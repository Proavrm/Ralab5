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1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16.xml" ContentType="application/vnd.openxmlformats-officedocument.drawing+xml"/>
  <Override PartName="/xl/tables/table2.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marco\OneDrive\Área de Trabalho\Logiciels labo marco\RaLab5\storage\documents\"/>
    </mc:Choice>
  </mc:AlternateContent>
  <xr:revisionPtr revIDLastSave="0" documentId="13_ncr:1_{10C37277-CDC0-499B-82E6-DFE319AB35D4}" xr6:coauthVersionLast="47" xr6:coauthVersionMax="47" xr10:uidLastSave="{00000000-0000-0000-0000-000000000000}"/>
  <bookViews>
    <workbookView xWindow="-120" yWindow="-120" windowWidth="38640" windowHeight="21120" firstSheet="4" activeTab="14" xr2:uid="{00000000-000D-0000-FFFF-FFFF00000000}"/>
  </bookViews>
  <sheets>
    <sheet name="Sommaire" sheetId="18" r:id="rId1"/>
    <sheet name="Registe AT " sheetId="17" r:id="rId2"/>
    <sheet name="Quart heure CC - CE" sheetId="3" r:id="rId3"/>
    <sheet name="Quart heure Encadrant" sheetId="19" r:id="rId4"/>
    <sheet name="Suggestions - Mesures" sheetId="14" r:id="rId5"/>
    <sheet name="5 PM " sheetId="12" r:id="rId6"/>
    <sheet name="Eveil Musculaire " sheetId="13" r:id="rId7"/>
    <sheet name="Remontées d'infos" sheetId="11" r:id="rId8"/>
    <sheet name="Registre PASD" sheetId="20" r:id="rId9"/>
    <sheet name="Visites QSSE - 5PM_Eveils" sheetId="4" r:id="rId10"/>
    <sheet name="Registre BP" sheetId="23" r:id="rId11"/>
    <sheet name="Registre FAE" sheetId="22" r:id="rId12"/>
    <sheet name="Casses réseaux" sheetId="26" r:id="rId13"/>
    <sheet name="FNC " sheetId="16" r:id="rId14"/>
    <sheet name="Registre FNC" sheetId="25" r:id="rId15"/>
    <sheet name="Plan d'actions" sheetId="30" r:id="rId16"/>
    <sheet name="Tests Alcool et Stup" sheetId="28" r:id="rId17"/>
    <sheet name="Non-respect RV" sheetId="32" r:id="rId18"/>
    <sheet name="Non-respect EPI" sheetId="31" r:id="rId19"/>
    <sheet name="Arrêt de chantier" sheetId="33" r:id="rId20"/>
    <sheet name="Graphiques" sheetId="2" r:id="rId21"/>
    <sheet name="Feuil1" sheetId="34" r:id="rId22"/>
  </sheets>
  <definedNames>
    <definedName name="_xlnm._FilterDatabase" localSheetId="5" hidden="1">'5 PM '!$A$2:$OS$115</definedName>
    <definedName name="_xlnm._FilterDatabase" localSheetId="19" hidden="1">'Arrêt de chantier'!$A$2:$H$2</definedName>
    <definedName name="_xlnm._FilterDatabase" localSheetId="12" hidden="1">'Casses réseaux'!$A$2:$M$5</definedName>
    <definedName name="_xlnm._FilterDatabase" localSheetId="6" hidden="1">'Eveil Musculaire '!$A$2:$OS$105</definedName>
    <definedName name="_xlnm._FilterDatabase" localSheetId="13" hidden="1">'FNC '!$A$2:$R$73</definedName>
    <definedName name="_xlnm._FilterDatabase" localSheetId="18" hidden="1">'Non-respect EPI'!$A$2:$K$2</definedName>
    <definedName name="_xlnm._FilterDatabase" localSheetId="17" hidden="1">'Non-respect RV'!$A$2:$L$2</definedName>
    <definedName name="_xlnm._FilterDatabase" localSheetId="15" hidden="1">'Plan d''actions'!$A$2:$K$5</definedName>
    <definedName name="_xlnm._FilterDatabase" localSheetId="2" hidden="1">'Quart heure CC - CE'!$A$2:$S$114</definedName>
    <definedName name="_xlnm._FilterDatabase" localSheetId="3" hidden="1">'Quart heure Encadrant'!$A$2:$K$81</definedName>
    <definedName name="_xlnm._FilterDatabase" localSheetId="10" hidden="1">'Registre BP'!$A$2:$H$40</definedName>
    <definedName name="_xlnm._FilterDatabase" localSheetId="11" hidden="1">'Registre FAE'!$A$2:$K$2</definedName>
    <definedName name="_xlnm._FilterDatabase" localSheetId="14" hidden="1">'Registre FNC'!$A$2:$X$160</definedName>
    <definedName name="_xlnm._FilterDatabase" localSheetId="8" hidden="1">'Registre PASD'!$A$2:$AF$126</definedName>
    <definedName name="_xlnm._FilterDatabase" localSheetId="7" hidden="1">'Remontées d''infos'!$B$2:$R$110</definedName>
    <definedName name="_xlnm._FilterDatabase" localSheetId="4" hidden="1">'Suggestions - Mesures'!$B$1:$G$21</definedName>
    <definedName name="_xlnm._FilterDatabase" localSheetId="16" hidden="1">'Tests Alcool et Stup'!$A$3:$K$8</definedName>
    <definedName name="_xlnm._FilterDatabase" localSheetId="9" hidden="1">'Visites QSSE - 5PM_Eveils'!$A$2:$AG$79</definedName>
    <definedName name="Titr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6" l="1"/>
  <c r="R68" i="11"/>
  <c r="I74" i="19" l="1"/>
  <c r="K74" i="19" s="1"/>
  <c r="I68" i="19"/>
  <c r="K68" i="19" s="1"/>
  <c r="I66" i="19"/>
  <c r="K66" i="19" s="1"/>
  <c r="I64" i="19"/>
  <c r="K64" i="19" s="1"/>
  <c r="I57" i="19"/>
  <c r="K57" i="19" s="1"/>
  <c r="I48" i="19"/>
  <c r="K48" i="19" s="1"/>
  <c r="I47" i="19"/>
  <c r="K47" i="19" s="1"/>
  <c r="I40" i="19"/>
  <c r="K40" i="19" s="1"/>
  <c r="I38" i="19"/>
  <c r="K38" i="19" s="1"/>
  <c r="I33" i="19"/>
  <c r="K33" i="19" s="1"/>
  <c r="I32" i="19"/>
  <c r="K32" i="19" s="1"/>
  <c r="I26" i="19"/>
  <c r="K26" i="19" s="1"/>
  <c r="I18" i="19"/>
  <c r="K18" i="19" s="1"/>
  <c r="I16" i="19"/>
  <c r="K16" i="19" s="1"/>
  <c r="I15" i="19"/>
  <c r="K15" i="19" s="1"/>
  <c r="I13" i="19"/>
  <c r="K13" i="19" s="1"/>
  <c r="I12" i="19"/>
  <c r="K12" i="19" s="1"/>
  <c r="OO85" i="12" a="1"/>
  <c r="OO85" i="12" s="1"/>
  <c r="ON85" i="12"/>
  <c r="OL85" i="12" a="1"/>
  <c r="OL85" i="12" s="1"/>
  <c r="OK85" i="12"/>
  <c r="OI85" i="12" a="1"/>
  <c r="OI85" i="12" s="1"/>
  <c r="OH85" i="12"/>
  <c r="OF85" i="12" a="1"/>
  <c r="OF85" i="12" s="1"/>
  <c r="OE85" i="12"/>
  <c r="OC85" i="12" a="1"/>
  <c r="OC85" i="12" s="1"/>
  <c r="OB85" i="12"/>
  <c r="NZ85" i="12" a="1"/>
  <c r="NZ85" i="12" s="1"/>
  <c r="NY85" i="12"/>
  <c r="NW85" i="12" a="1"/>
  <c r="NW85" i="12" s="1"/>
  <c r="NV85" i="12"/>
  <c r="NT85" i="12" a="1"/>
  <c r="NT85" i="12" s="1"/>
  <c r="NS85" i="12"/>
  <c r="NQ85" i="12" a="1"/>
  <c r="NQ85" i="12" s="1"/>
  <c r="NP85" i="12"/>
  <c r="NN85" i="12" a="1"/>
  <c r="NN85" i="12" s="1"/>
  <c r="NM85" i="12"/>
  <c r="NK85" i="12" a="1"/>
  <c r="NK85" i="12" s="1"/>
  <c r="NJ85" i="12"/>
  <c r="NH85" i="12" a="1"/>
  <c r="NH85" i="12" s="1"/>
  <c r="NG85" i="12"/>
  <c r="NU99" i="12"/>
  <c r="NU60" i="12"/>
  <c r="NU33" i="12"/>
  <c r="NU25" i="12"/>
  <c r="NU13" i="12"/>
  <c r="NR99" i="12"/>
  <c r="NR60" i="12"/>
  <c r="NR25" i="12"/>
  <c r="NR13" i="12"/>
  <c r="NO13" i="12"/>
  <c r="NO25" i="12"/>
  <c r="NO60" i="12"/>
  <c r="NO99" i="12"/>
  <c r="NL13" i="12"/>
  <c r="NL25" i="12"/>
  <c r="NL60" i="12"/>
  <c r="NL99" i="12"/>
  <c r="NI13" i="12"/>
  <c r="NI25" i="12"/>
  <c r="NI60" i="12"/>
  <c r="NI99" i="12"/>
  <c r="Q63" i="3"/>
  <c r="NI85" i="12" l="1"/>
  <c r="NO85" i="12"/>
  <c r="OQ85" i="12"/>
  <c r="NU85" i="12"/>
  <c r="OR85" i="12"/>
  <c r="NL85" i="12"/>
  <c r="NR85" i="12"/>
  <c r="I22" i="19"/>
  <c r="K22" i="19" s="1"/>
  <c r="Q60" i="3"/>
  <c r="S60" i="3" s="1"/>
  <c r="AF9" i="4"/>
  <c r="AF39" i="4"/>
  <c r="AF40" i="4"/>
  <c r="AF61" i="4"/>
  <c r="R61" i="4"/>
  <c r="F116" i="3"/>
  <c r="G116" i="3"/>
  <c r="H116" i="3"/>
  <c r="I53" i="25"/>
  <c r="I54" i="25"/>
  <c r="I56" i="25"/>
  <c r="I57" i="25"/>
  <c r="I58" i="25"/>
  <c r="I59" i="25"/>
  <c r="I60" i="25"/>
  <c r="I63" i="25"/>
  <c r="I64" i="25"/>
  <c r="I65" i="25"/>
  <c r="I67" i="25"/>
  <c r="I68" i="25"/>
  <c r="I69" i="25"/>
  <c r="I71" i="25"/>
  <c r="I72" i="25"/>
  <c r="I73" i="25"/>
  <c r="I75" i="25"/>
  <c r="I80" i="25"/>
  <c r="I82" i="25"/>
  <c r="I84" i="25"/>
  <c r="I86" i="25"/>
  <c r="I87" i="25"/>
  <c r="I88" i="25"/>
  <c r="I91" i="25"/>
  <c r="I92" i="25"/>
  <c r="I93" i="25"/>
  <c r="I94" i="25"/>
  <c r="I95" i="25"/>
  <c r="I96" i="25"/>
  <c r="I97" i="25"/>
  <c r="I98" i="25"/>
  <c r="I99" i="25"/>
  <c r="I100" i="25"/>
  <c r="I103" i="25"/>
  <c r="I104" i="25"/>
  <c r="I105" i="25"/>
  <c r="I106" i="25"/>
  <c r="I107" i="25"/>
  <c r="I108" i="25"/>
  <c r="I109" i="25"/>
  <c r="I110" i="25"/>
  <c r="I111" i="25"/>
  <c r="I112" i="25"/>
  <c r="I114" i="25"/>
  <c r="I115" i="25"/>
  <c r="I5" i="25"/>
  <c r="I27" i="25"/>
  <c r="I28" i="25"/>
  <c r="I30" i="25"/>
  <c r="I31" i="25"/>
  <c r="I32" i="25"/>
  <c r="NQ33" i="12" a="1"/>
  <c r="NQ33" i="12" s="1"/>
  <c r="NN33" i="12" a="1"/>
  <c r="NN33" i="12" s="1"/>
  <c r="NK33" i="12" a="1"/>
  <c r="NK33" i="12" s="1"/>
  <c r="NH33" i="12" a="1"/>
  <c r="NH33" i="12" s="1"/>
  <c r="NP33" i="12"/>
  <c r="NM33" i="12"/>
  <c r="NJ33" i="12"/>
  <c r="NG33" i="12"/>
  <c r="NQ92" i="12"/>
  <c r="NS92" i="12"/>
  <c r="NT92" i="12"/>
  <c r="NV92" i="12"/>
  <c r="NW92" i="12"/>
  <c r="NX92" i="12"/>
  <c r="NY92" i="12"/>
  <c r="NZ92" i="12"/>
  <c r="OA92" i="12"/>
  <c r="OB92" i="12"/>
  <c r="OC92" i="12"/>
  <c r="OD92" i="12"/>
  <c r="OE92" i="12"/>
  <c r="OF92" i="12"/>
  <c r="OG92" i="12"/>
  <c r="OH92" i="12"/>
  <c r="OI92" i="12"/>
  <c r="OJ92" i="12"/>
  <c r="OK92" i="12"/>
  <c r="OL92" i="12"/>
  <c r="OM92" i="12"/>
  <c r="ON92" i="12"/>
  <c r="OO92" i="12"/>
  <c r="OP92" i="12"/>
  <c r="NQ77" i="12"/>
  <c r="NS77" i="12"/>
  <c r="NT77" i="12"/>
  <c r="NV77" i="12"/>
  <c r="NW77" i="12"/>
  <c r="NX77" i="12"/>
  <c r="NY77" i="12"/>
  <c r="NZ77" i="12"/>
  <c r="OA77" i="12"/>
  <c r="OB77" i="12"/>
  <c r="OC77" i="12"/>
  <c r="OD77" i="12"/>
  <c r="OE77" i="12"/>
  <c r="OF77" i="12"/>
  <c r="OG77" i="12"/>
  <c r="OH77" i="12"/>
  <c r="OI77" i="12"/>
  <c r="OJ77" i="12"/>
  <c r="OK77" i="12"/>
  <c r="OL77" i="12"/>
  <c r="OM77" i="12"/>
  <c r="ON77" i="12"/>
  <c r="OO77" i="12"/>
  <c r="OP77" i="12"/>
  <c r="NN92" i="12" a="1"/>
  <c r="NN92" i="12" s="1"/>
  <c r="NK92" i="12" a="1"/>
  <c r="NK92" i="12" s="1"/>
  <c r="NH92" i="12" a="1"/>
  <c r="NH92" i="12" s="1"/>
  <c r="NP92" i="12"/>
  <c r="NM92" i="12"/>
  <c r="NJ92" i="12"/>
  <c r="NG92" i="12"/>
  <c r="NN77" i="12" a="1"/>
  <c r="NN77" i="12" s="1"/>
  <c r="NK77" i="12" a="1"/>
  <c r="NK77" i="12" s="1"/>
  <c r="NH77" i="12" a="1"/>
  <c r="NH77" i="12" s="1"/>
  <c r="NP77" i="12"/>
  <c r="NM77" i="12"/>
  <c r="NJ77" i="12"/>
  <c r="NG77" i="12"/>
  <c r="R28" i="11"/>
  <c r="Q52" i="3"/>
  <c r="S52" i="3" s="1"/>
  <c r="NG90" i="12"/>
  <c r="NQ103" i="12" a="1"/>
  <c r="NQ103" i="12" s="1"/>
  <c r="NQ101" i="12" a="1"/>
  <c r="NQ101" i="12" s="1"/>
  <c r="NQ98" i="12" a="1"/>
  <c r="NQ98" i="12" s="1"/>
  <c r="NQ97" i="12" a="1"/>
  <c r="NQ97" i="12" s="1"/>
  <c r="NQ90" i="12" a="1"/>
  <c r="NQ90" i="12" s="1"/>
  <c r="NQ82" i="12" a="1"/>
  <c r="NQ82" i="12" s="1"/>
  <c r="NQ67" i="12" a="1"/>
  <c r="NQ67" i="12" s="1"/>
  <c r="NQ66" i="12" a="1"/>
  <c r="NQ66" i="12" s="1"/>
  <c r="NQ62" i="12" a="1"/>
  <c r="NQ62" i="12" s="1"/>
  <c r="NQ55" i="12" a="1"/>
  <c r="NQ55" i="12" s="1"/>
  <c r="NQ49" i="12" a="1"/>
  <c r="NQ49" i="12" s="1"/>
  <c r="NQ48" i="12" a="1"/>
  <c r="NQ48" i="12" s="1"/>
  <c r="NQ40" i="12" a="1"/>
  <c r="NQ40" i="12" s="1"/>
  <c r="NQ38" i="12" a="1"/>
  <c r="NQ38" i="12" s="1"/>
  <c r="NQ21" i="12" a="1"/>
  <c r="NQ21" i="12" s="1"/>
  <c r="NP94" i="13"/>
  <c r="NP91" i="13"/>
  <c r="NP89" i="13"/>
  <c r="NP88" i="13"/>
  <c r="NP82" i="13"/>
  <c r="NP76" i="13"/>
  <c r="NP62" i="13"/>
  <c r="NP61" i="13"/>
  <c r="NP60" i="13"/>
  <c r="NP56" i="13"/>
  <c r="NP47" i="13"/>
  <c r="NP44" i="13"/>
  <c r="NP36" i="13"/>
  <c r="NP34" i="13"/>
  <c r="NP20" i="13"/>
  <c r="NP62" i="12"/>
  <c r="NP55" i="12"/>
  <c r="NP49" i="12"/>
  <c r="NP48" i="12"/>
  <c r="NP40" i="12"/>
  <c r="NP38" i="12"/>
  <c r="NP21" i="12"/>
  <c r="NP3" i="13"/>
  <c r="NP5" i="13"/>
  <c r="NP6" i="13"/>
  <c r="NP7" i="13"/>
  <c r="NP8" i="13"/>
  <c r="NP9" i="13"/>
  <c r="NP10" i="13"/>
  <c r="NP11" i="13"/>
  <c r="NP12" i="13"/>
  <c r="NP13" i="13"/>
  <c r="NP14" i="13"/>
  <c r="NP15" i="13"/>
  <c r="NP16" i="13"/>
  <c r="NP17" i="13"/>
  <c r="NP18" i="13"/>
  <c r="NP19" i="13"/>
  <c r="NP21" i="13"/>
  <c r="NP22" i="13"/>
  <c r="NP23" i="13"/>
  <c r="NP24" i="13"/>
  <c r="NP25" i="13"/>
  <c r="NP26" i="13"/>
  <c r="NP27" i="13"/>
  <c r="NP28" i="13"/>
  <c r="NP29" i="13"/>
  <c r="NP30" i="13"/>
  <c r="NP31" i="13"/>
  <c r="NP32" i="13"/>
  <c r="NP33" i="13"/>
  <c r="NP35" i="13"/>
  <c r="NP37" i="13"/>
  <c r="NP38" i="13"/>
  <c r="NP39" i="13"/>
  <c r="NP40" i="13"/>
  <c r="NP41" i="13"/>
  <c r="NP42" i="13"/>
  <c r="NP43" i="13"/>
  <c r="NP45" i="13"/>
  <c r="NP46" i="13"/>
  <c r="NP48" i="13"/>
  <c r="NP49" i="13"/>
  <c r="NP50" i="13"/>
  <c r="NP51" i="13"/>
  <c r="NP52" i="13"/>
  <c r="NP53" i="13"/>
  <c r="NP54" i="13"/>
  <c r="NP55" i="13"/>
  <c r="NP57" i="13"/>
  <c r="NP58" i="13"/>
  <c r="NP59" i="13"/>
  <c r="NP63" i="13"/>
  <c r="NP64" i="13"/>
  <c r="NP65" i="13"/>
  <c r="NP66" i="13"/>
  <c r="NP67" i="13"/>
  <c r="NP68" i="13"/>
  <c r="NP69" i="13"/>
  <c r="NP70" i="13"/>
  <c r="NP71" i="13"/>
  <c r="NP72" i="13"/>
  <c r="NP73" i="13"/>
  <c r="NP74" i="13"/>
  <c r="NP75" i="13"/>
  <c r="NP77" i="13"/>
  <c r="NP78" i="13"/>
  <c r="NP79" i="13"/>
  <c r="NP80" i="13"/>
  <c r="NP81" i="13"/>
  <c r="NP83" i="13"/>
  <c r="NP84" i="13"/>
  <c r="NP85" i="13"/>
  <c r="NP86" i="13"/>
  <c r="NP87" i="13"/>
  <c r="NP90" i="13"/>
  <c r="NP92" i="13"/>
  <c r="NP93" i="13"/>
  <c r="NP95" i="13"/>
  <c r="NP96" i="13"/>
  <c r="NP97" i="13"/>
  <c r="NP98" i="13"/>
  <c r="NP99" i="13"/>
  <c r="NP100" i="13"/>
  <c r="NP101" i="13"/>
  <c r="NP102" i="13"/>
  <c r="NP103" i="13"/>
  <c r="NP104" i="13"/>
  <c r="NP105" i="13"/>
  <c r="NP3" i="12"/>
  <c r="S24" i="11" a="1"/>
  <c r="S24" i="11" s="1"/>
  <c r="S25" i="11" a="1"/>
  <c r="S25" i="11" s="1"/>
  <c r="S26" i="11" a="1"/>
  <c r="S26" i="11" s="1"/>
  <c r="S27" i="11" a="1"/>
  <c r="S27" i="11" s="1"/>
  <c r="S29" i="11" a="1"/>
  <c r="S29" i="11" s="1"/>
  <c r="S30" i="11" a="1"/>
  <c r="S30" i="11" s="1"/>
  <c r="S31" i="11" a="1"/>
  <c r="S31" i="11" s="1"/>
  <c r="S32" i="11" a="1"/>
  <c r="S32" i="11" s="1"/>
  <c r="S33" i="11" a="1"/>
  <c r="S33" i="11" s="1"/>
  <c r="S34" i="11" a="1"/>
  <c r="S34" i="11" s="1"/>
  <c r="S35" i="11" a="1"/>
  <c r="S35" i="11" s="1"/>
  <c r="S36" i="11" a="1"/>
  <c r="S36" i="11" s="1"/>
  <c r="S37" i="11" a="1"/>
  <c r="S37" i="11" s="1"/>
  <c r="S38" i="11" a="1"/>
  <c r="S38" i="11" s="1"/>
  <c r="S39" i="11" a="1"/>
  <c r="S39" i="11" s="1"/>
  <c r="S40" i="11" a="1"/>
  <c r="S40" i="11" s="1"/>
  <c r="S41" i="11" a="1"/>
  <c r="S41" i="11" s="1"/>
  <c r="S42" i="11" a="1"/>
  <c r="S42" i="11" s="1"/>
  <c r="S43" i="11" a="1"/>
  <c r="S43" i="11" s="1"/>
  <c r="S44" i="11" a="1"/>
  <c r="S44" i="11" s="1"/>
  <c r="S45" i="11" a="1"/>
  <c r="S45" i="11" s="1"/>
  <c r="S46" i="11" a="1"/>
  <c r="S46" i="11" s="1"/>
  <c r="S47" i="11" a="1"/>
  <c r="S47" i="11" s="1"/>
  <c r="S48" i="11" a="1"/>
  <c r="S48" i="11" s="1"/>
  <c r="S49" i="11" a="1"/>
  <c r="S49" i="11" s="1"/>
  <c r="S50" i="11" a="1"/>
  <c r="S50" i="11" s="1"/>
  <c r="S52" i="11" a="1"/>
  <c r="S52" i="11" s="1"/>
  <c r="S53" i="11" a="1"/>
  <c r="S53" i="11" s="1"/>
  <c r="S54" i="11" a="1"/>
  <c r="S54" i="11" s="1"/>
  <c r="S55" i="11" a="1"/>
  <c r="S55" i="11" s="1"/>
  <c r="S56" i="11" a="1"/>
  <c r="S56" i="11" s="1"/>
  <c r="S57" i="11" a="1"/>
  <c r="S57" i="11" s="1"/>
  <c r="S58" i="11" a="1"/>
  <c r="S58" i="11" s="1"/>
  <c r="S59" i="11" a="1"/>
  <c r="S59" i="11" s="1"/>
  <c r="S60" i="11" a="1"/>
  <c r="S60" i="11" s="1"/>
  <c r="S61" i="11" a="1"/>
  <c r="S61" i="11" s="1"/>
  <c r="S63" i="11" a="1"/>
  <c r="S63" i="11" s="1"/>
  <c r="S64" i="11" a="1"/>
  <c r="S64" i="11" s="1"/>
  <c r="S65" i="11" a="1"/>
  <c r="S65" i="11" s="1"/>
  <c r="S66" i="11" a="1"/>
  <c r="S66" i="11" s="1"/>
  <c r="S67" i="11" a="1"/>
  <c r="S67" i="11" s="1"/>
  <c r="S69" i="11" a="1"/>
  <c r="S69" i="11" s="1"/>
  <c r="S70" i="11" a="1"/>
  <c r="S70" i="11" s="1"/>
  <c r="S71" i="11" a="1"/>
  <c r="S71" i="11" s="1"/>
  <c r="S72" i="11" a="1"/>
  <c r="S72" i="11" s="1"/>
  <c r="S73" i="11" a="1"/>
  <c r="S73" i="11" s="1"/>
  <c r="S74" i="11" a="1"/>
  <c r="S74" i="11" s="1"/>
  <c r="S75" i="11" a="1"/>
  <c r="S75" i="11" s="1"/>
  <c r="S76" i="11" a="1"/>
  <c r="S76" i="11" s="1"/>
  <c r="S77" i="11" a="1"/>
  <c r="S77" i="11" s="1"/>
  <c r="S78" i="11" a="1"/>
  <c r="S78" i="11" s="1"/>
  <c r="S79" i="11" a="1"/>
  <c r="S79" i="11" s="1"/>
  <c r="S80" i="11" a="1"/>
  <c r="S80" i="11" s="1"/>
  <c r="S81" i="11" a="1"/>
  <c r="S81" i="11" s="1"/>
  <c r="S82" i="11" a="1"/>
  <c r="S82" i="11" s="1"/>
  <c r="S83" i="11" a="1"/>
  <c r="S83" i="11" s="1"/>
  <c r="S84" i="11" a="1"/>
  <c r="S84" i="11" s="1"/>
  <c r="S85" i="11" a="1"/>
  <c r="S85" i="11" s="1"/>
  <c r="S86" i="11" a="1"/>
  <c r="S86" i="11" s="1"/>
  <c r="S87" i="11" a="1"/>
  <c r="S87" i="11" s="1"/>
  <c r="S88" i="11" a="1"/>
  <c r="S88" i="11" s="1"/>
  <c r="S89" i="11" a="1"/>
  <c r="S89" i="11" s="1"/>
  <c r="S90" i="11" a="1"/>
  <c r="S90" i="11" s="1"/>
  <c r="S91" i="11" a="1"/>
  <c r="S91" i="11" s="1"/>
  <c r="S92" i="11" a="1"/>
  <c r="S92" i="11" s="1"/>
  <c r="S93" i="11" a="1"/>
  <c r="S93" i="11" s="1"/>
  <c r="S94" i="11" a="1"/>
  <c r="S94" i="11" s="1"/>
  <c r="S95" i="11" a="1"/>
  <c r="S95" i="11" s="1"/>
  <c r="S96" i="11" a="1"/>
  <c r="S96" i="11" s="1"/>
  <c r="S97" i="11" a="1"/>
  <c r="S97" i="11" s="1"/>
  <c r="S98" i="11" a="1"/>
  <c r="S98" i="11" s="1"/>
  <c r="S99" i="11" a="1"/>
  <c r="S99" i="11" s="1"/>
  <c r="S100" i="11" a="1"/>
  <c r="S100" i="11" s="1"/>
  <c r="S101" i="11" a="1"/>
  <c r="S101" i="11" s="1"/>
  <c r="S102" i="11" a="1"/>
  <c r="S102" i="11" s="1"/>
  <c r="S103" i="11" a="1"/>
  <c r="S103" i="11" s="1"/>
  <c r="S104" i="11" a="1"/>
  <c r="S104" i="11" s="1"/>
  <c r="S105" i="11" a="1"/>
  <c r="S105" i="11" s="1"/>
  <c r="S106" i="11" a="1"/>
  <c r="S106" i="11" s="1"/>
  <c r="S107" i="11" a="1"/>
  <c r="S107" i="11" s="1"/>
  <c r="S108" i="11" a="1"/>
  <c r="S108" i="11" s="1"/>
  <c r="S109" i="11" a="1"/>
  <c r="S109" i="11" s="1"/>
  <c r="S110" i="11" a="1"/>
  <c r="S110" i="11" s="1"/>
  <c r="S4" i="11" a="1"/>
  <c r="S4" i="11" s="1"/>
  <c r="S5" i="11" a="1"/>
  <c r="S5" i="11" s="1"/>
  <c r="S6" i="11" a="1"/>
  <c r="S6" i="11" s="1"/>
  <c r="S7" i="11" a="1"/>
  <c r="S7" i="11" s="1"/>
  <c r="S8" i="11" a="1"/>
  <c r="S8" i="11" s="1"/>
  <c r="S9" i="11" a="1"/>
  <c r="S9" i="11" s="1"/>
  <c r="S10" i="11" a="1"/>
  <c r="S10" i="11" s="1"/>
  <c r="S11" i="11" a="1"/>
  <c r="S11" i="11" s="1"/>
  <c r="S12" i="11" a="1"/>
  <c r="S12" i="11" s="1"/>
  <c r="S13" i="11" a="1"/>
  <c r="S13" i="11" s="1"/>
  <c r="S14" i="11" a="1"/>
  <c r="S14" i="11" s="1"/>
  <c r="S15" i="11" a="1"/>
  <c r="S15" i="11" s="1"/>
  <c r="S16" i="11" a="1"/>
  <c r="S16" i="11" s="1"/>
  <c r="S17" i="11" a="1"/>
  <c r="S17" i="11" s="1"/>
  <c r="S18" i="11" a="1"/>
  <c r="S18" i="11" s="1"/>
  <c r="S19" i="11" a="1"/>
  <c r="S19" i="11" s="1"/>
  <c r="S20" i="11" a="1"/>
  <c r="S20" i="11" s="1"/>
  <c r="S21" i="11" a="1"/>
  <c r="S21" i="11" s="1"/>
  <c r="S22" i="11" a="1"/>
  <c r="S22" i="11" s="1"/>
  <c r="S23" i="11" a="1"/>
  <c r="S23" i="11" s="1"/>
  <c r="S3" i="11" a="1"/>
  <c r="S3" i="11" s="1"/>
  <c r="R3" i="11"/>
  <c r="R4" i="11"/>
  <c r="R5" i="11"/>
  <c r="R6" i="11"/>
  <c r="R7" i="11"/>
  <c r="R8" i="11"/>
  <c r="R9" i="11"/>
  <c r="R10" i="11"/>
  <c r="R11" i="11"/>
  <c r="R12" i="11"/>
  <c r="R13" i="11"/>
  <c r="R14" i="11"/>
  <c r="R15" i="11"/>
  <c r="R16" i="11"/>
  <c r="R17" i="11"/>
  <c r="R18" i="11"/>
  <c r="R19" i="11"/>
  <c r="R20" i="11"/>
  <c r="R21" i="11"/>
  <c r="R22" i="11"/>
  <c r="R23" i="11"/>
  <c r="R25" i="11"/>
  <c r="R26" i="11"/>
  <c r="R27" i="11"/>
  <c r="R29" i="11"/>
  <c r="R30" i="11"/>
  <c r="R31" i="11"/>
  <c r="R32" i="11"/>
  <c r="R33" i="11"/>
  <c r="R34" i="11"/>
  <c r="R35" i="11"/>
  <c r="R36" i="11"/>
  <c r="R37" i="11"/>
  <c r="R38" i="11"/>
  <c r="R39" i="11"/>
  <c r="R40" i="11"/>
  <c r="R41" i="11"/>
  <c r="R42" i="11"/>
  <c r="R43" i="11"/>
  <c r="R44" i="11"/>
  <c r="R45" i="11"/>
  <c r="R46" i="11"/>
  <c r="R47" i="11"/>
  <c r="R48" i="11"/>
  <c r="R49" i="11"/>
  <c r="R50" i="11"/>
  <c r="R51" i="11"/>
  <c r="T51" i="11" s="1"/>
  <c r="R52" i="11"/>
  <c r="R53" i="11"/>
  <c r="R54" i="11"/>
  <c r="R55" i="11"/>
  <c r="R56" i="11"/>
  <c r="R57" i="11"/>
  <c r="R58" i="11"/>
  <c r="R59" i="11"/>
  <c r="R60" i="11"/>
  <c r="R61" i="11"/>
  <c r="R63" i="11"/>
  <c r="R64" i="11"/>
  <c r="R65" i="11"/>
  <c r="R66" i="11"/>
  <c r="R67"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9" i="11"/>
  <c r="R100" i="11"/>
  <c r="R101" i="11"/>
  <c r="R102" i="11"/>
  <c r="R103" i="11"/>
  <c r="R104" i="11"/>
  <c r="R105" i="11"/>
  <c r="R106" i="11"/>
  <c r="R107" i="11"/>
  <c r="R108" i="11"/>
  <c r="R109" i="11"/>
  <c r="R110" i="11"/>
  <c r="AF13" i="20"/>
  <c r="AF14" i="20"/>
  <c r="AF15" i="20"/>
  <c r="AF16" i="20"/>
  <c r="AF17" i="20"/>
  <c r="AF18" i="20"/>
  <c r="AF19" i="20"/>
  <c r="AF77" i="20"/>
  <c r="AF60" i="20"/>
  <c r="AF80" i="20"/>
  <c r="AF81" i="20"/>
  <c r="AF92" i="20"/>
  <c r="AF93" i="20"/>
  <c r="AF86" i="20"/>
  <c r="AF87" i="20"/>
  <c r="AF88" i="20"/>
  <c r="AF79" i="20"/>
  <c r="AF89" i="20"/>
  <c r="AF90" i="20"/>
  <c r="AF48" i="20"/>
  <c r="Q41" i="16"/>
  <c r="Q37" i="16"/>
  <c r="Q58" i="16"/>
  <c r="Q55" i="16"/>
  <c r="AF63" i="20"/>
  <c r="AF66" i="20"/>
  <c r="AF69" i="20"/>
  <c r="AF71" i="20"/>
  <c r="AF75" i="20"/>
  <c r="AF78" i="20"/>
  <c r="AF73" i="20"/>
  <c r="AF74" i="20"/>
  <c r="AF59" i="20"/>
  <c r="AF83" i="20"/>
  <c r="AF85" i="20"/>
  <c r="Q99" i="3"/>
  <c r="R114" i="3" a="1"/>
  <c r="R114" i="3" s="1"/>
  <c r="R113" i="3" a="1"/>
  <c r="R113" i="3" s="1"/>
  <c r="R112" i="3" a="1"/>
  <c r="R112" i="3" s="1"/>
  <c r="R111" i="3" a="1"/>
  <c r="R111" i="3" s="1"/>
  <c r="R109" i="3" a="1"/>
  <c r="R109" i="3" s="1"/>
  <c r="R107" i="3" a="1"/>
  <c r="R107" i="3" s="1"/>
  <c r="R105" i="3" a="1"/>
  <c r="R105" i="3" s="1"/>
  <c r="R104" i="3" a="1"/>
  <c r="R104" i="3" s="1"/>
  <c r="R103" i="3" a="1"/>
  <c r="R103" i="3" s="1"/>
  <c r="R102" i="3" a="1"/>
  <c r="R102" i="3" s="1"/>
  <c r="R101" i="3" a="1"/>
  <c r="R101" i="3" s="1"/>
  <c r="R100" i="3" a="1"/>
  <c r="R100" i="3" s="1"/>
  <c r="R99" i="3" a="1"/>
  <c r="R99" i="3" s="1"/>
  <c r="R98" i="3" a="1"/>
  <c r="R98" i="3" s="1"/>
  <c r="R97" i="3" a="1"/>
  <c r="R97" i="3" s="1"/>
  <c r="R96" i="3" a="1"/>
  <c r="R96" i="3" s="1"/>
  <c r="R95" i="3" a="1"/>
  <c r="R95" i="3" s="1"/>
  <c r="R94" i="3" a="1"/>
  <c r="R94" i="3" s="1"/>
  <c r="R93" i="3" a="1"/>
  <c r="R93" i="3" s="1"/>
  <c r="R92" i="3" a="1"/>
  <c r="R92" i="3" s="1"/>
  <c r="R91" i="3" a="1"/>
  <c r="R91" i="3" s="1"/>
  <c r="R90" i="3" a="1"/>
  <c r="R90" i="3" s="1"/>
  <c r="R89" i="3" a="1"/>
  <c r="R89" i="3" s="1"/>
  <c r="R87" i="3" a="1"/>
  <c r="R87" i="3" s="1"/>
  <c r="R86" i="3" a="1"/>
  <c r="R86" i="3" s="1"/>
  <c r="R85" i="3" a="1"/>
  <c r="R85" i="3" s="1"/>
  <c r="R84" i="3" a="1"/>
  <c r="R84" i="3" s="1"/>
  <c r="R83" i="3" a="1"/>
  <c r="R83" i="3" s="1"/>
  <c r="R82" i="3" a="1"/>
  <c r="R82" i="3" s="1"/>
  <c r="R81" i="3" a="1"/>
  <c r="R81" i="3" s="1"/>
  <c r="R80" i="3" a="1"/>
  <c r="R80" i="3" s="1"/>
  <c r="R79" i="3" a="1"/>
  <c r="R79" i="3" s="1"/>
  <c r="R78" i="3" a="1"/>
  <c r="R78" i="3" s="1"/>
  <c r="R77" i="3" a="1"/>
  <c r="R77" i="3" s="1"/>
  <c r="R76" i="3" a="1"/>
  <c r="R76" i="3" s="1"/>
  <c r="R75" i="3" a="1"/>
  <c r="R75" i="3" s="1"/>
  <c r="R74" i="3" a="1"/>
  <c r="R74" i="3" s="1"/>
  <c r="R73" i="3" a="1"/>
  <c r="R73" i="3" s="1"/>
  <c r="R72" i="3" a="1"/>
  <c r="R72" i="3" s="1"/>
  <c r="R71" i="3" a="1"/>
  <c r="R71" i="3" s="1"/>
  <c r="R69" i="3" a="1"/>
  <c r="R69" i="3" s="1"/>
  <c r="R68" i="3" a="1"/>
  <c r="R68" i="3" s="1"/>
  <c r="R67" i="3" a="1"/>
  <c r="R67" i="3" s="1"/>
  <c r="R66" i="3" a="1"/>
  <c r="R66" i="3" s="1"/>
  <c r="R65" i="3" a="1"/>
  <c r="R65" i="3" s="1"/>
  <c r="R64" i="3" a="1"/>
  <c r="R64" i="3" s="1"/>
  <c r="R62" i="3" a="1"/>
  <c r="R62" i="3" s="1"/>
  <c r="R61" i="3" a="1"/>
  <c r="R61" i="3" s="1"/>
  <c r="R59" i="3" a="1"/>
  <c r="R59" i="3" s="1"/>
  <c r="R58" i="3" a="1"/>
  <c r="R58" i="3" s="1"/>
  <c r="R57" i="3" a="1"/>
  <c r="R57" i="3" s="1"/>
  <c r="R56" i="3" a="1"/>
  <c r="R56" i="3" s="1"/>
  <c r="R55" i="3" a="1"/>
  <c r="R55" i="3" s="1"/>
  <c r="R54" i="3" a="1"/>
  <c r="R54" i="3" s="1"/>
  <c r="R53" i="3" a="1"/>
  <c r="R53" i="3" s="1"/>
  <c r="R51" i="3" a="1"/>
  <c r="R51" i="3" s="1"/>
  <c r="R50" i="3" a="1"/>
  <c r="R50" i="3" s="1"/>
  <c r="R49" i="3" a="1"/>
  <c r="R49" i="3" s="1"/>
  <c r="R48" i="3" a="1"/>
  <c r="R48" i="3" s="1"/>
  <c r="R47" i="3" a="1"/>
  <c r="R47" i="3" s="1"/>
  <c r="R46" i="3" a="1"/>
  <c r="R46" i="3" s="1"/>
  <c r="R45" i="3" a="1"/>
  <c r="R45" i="3" s="1"/>
  <c r="R44" i="3" a="1"/>
  <c r="R44" i="3" s="1"/>
  <c r="R43" i="3" a="1"/>
  <c r="R43" i="3" s="1"/>
  <c r="R42" i="3" a="1"/>
  <c r="R42" i="3" s="1"/>
  <c r="R41" i="3" a="1"/>
  <c r="R41" i="3" s="1"/>
  <c r="R40" i="3" a="1"/>
  <c r="R40" i="3" s="1"/>
  <c r="R39" i="3" a="1"/>
  <c r="R39" i="3" s="1"/>
  <c r="R38" i="3" a="1"/>
  <c r="R38" i="3" s="1"/>
  <c r="R36" i="3" a="1"/>
  <c r="R36" i="3" s="1"/>
  <c r="R35" i="3" a="1"/>
  <c r="R35" i="3" s="1"/>
  <c r="R34" i="3" a="1"/>
  <c r="R34" i="3" s="1"/>
  <c r="R33" i="3" a="1"/>
  <c r="R33" i="3" s="1"/>
  <c r="R32" i="3" a="1"/>
  <c r="R32" i="3" s="1"/>
  <c r="R31" i="3" a="1"/>
  <c r="R31" i="3" s="1"/>
  <c r="R30" i="3" a="1"/>
  <c r="R30" i="3" s="1"/>
  <c r="R29" i="3" a="1"/>
  <c r="R29" i="3" s="1"/>
  <c r="R28" i="3" a="1"/>
  <c r="R28" i="3" s="1"/>
  <c r="R27" i="3" a="1"/>
  <c r="R27" i="3" s="1"/>
  <c r="R26" i="3" a="1"/>
  <c r="R26" i="3" s="1"/>
  <c r="R25" i="3" a="1"/>
  <c r="R25" i="3" s="1"/>
  <c r="R24" i="3" a="1"/>
  <c r="R24" i="3" s="1"/>
  <c r="R23" i="3" a="1"/>
  <c r="R23" i="3" s="1"/>
  <c r="R22" i="3" a="1"/>
  <c r="R22" i="3" s="1"/>
  <c r="R21" i="3" a="1"/>
  <c r="R21" i="3" s="1"/>
  <c r="R20" i="3" a="1"/>
  <c r="R20" i="3" s="1"/>
  <c r="R19" i="3" a="1"/>
  <c r="R19" i="3" s="1"/>
  <c r="R18" i="3" a="1"/>
  <c r="R18" i="3" s="1"/>
  <c r="R17" i="3" a="1"/>
  <c r="R17" i="3" s="1"/>
  <c r="R16" i="3" a="1"/>
  <c r="R16" i="3" s="1"/>
  <c r="R15" i="3" a="1"/>
  <c r="R15" i="3" s="1"/>
  <c r="R14" i="3" a="1"/>
  <c r="R14" i="3" s="1"/>
  <c r="R13" i="3" a="1"/>
  <c r="R13" i="3" s="1"/>
  <c r="R12" i="3" a="1"/>
  <c r="R12" i="3" s="1"/>
  <c r="R11" i="3" a="1"/>
  <c r="R11" i="3" s="1"/>
  <c r="R10" i="3" a="1"/>
  <c r="R10" i="3" s="1"/>
  <c r="R9" i="3" a="1"/>
  <c r="R9" i="3" s="1"/>
  <c r="R8" i="3" a="1"/>
  <c r="R8" i="3" s="1"/>
  <c r="R7" i="3" a="1"/>
  <c r="R7" i="3" s="1"/>
  <c r="R5" i="3" a="1"/>
  <c r="R5" i="3" s="1"/>
  <c r="R4" i="3" a="1"/>
  <c r="R4" i="3" s="1"/>
  <c r="R3" i="3" a="1"/>
  <c r="R3" i="3" s="1"/>
  <c r="AB14" i="17"/>
  <c r="Q61" i="16"/>
  <c r="Q53" i="16"/>
  <c r="Q49" i="16"/>
  <c r="Q36" i="16"/>
  <c r="Q25" i="16"/>
  <c r="Q19" i="16"/>
  <c r="Q13" i="3"/>
  <c r="NL77" i="12" l="1"/>
  <c r="NI33" i="12"/>
  <c r="NR49" i="12"/>
  <c r="NR62" i="12"/>
  <c r="NL92" i="12"/>
  <c r="NR48" i="12"/>
  <c r="NO77" i="12"/>
  <c r="NR77" i="12"/>
  <c r="NL33" i="12"/>
  <c r="NO33" i="12"/>
  <c r="NR55" i="12"/>
  <c r="NR33" i="12"/>
  <c r="NI92" i="12"/>
  <c r="NR21" i="12"/>
  <c r="NR38" i="12"/>
  <c r="NO92" i="12"/>
  <c r="NR40" i="12"/>
  <c r="NR92" i="12"/>
  <c r="NI77" i="12"/>
  <c r="NU77" i="12"/>
  <c r="NU92" i="12"/>
  <c r="OR77" i="12"/>
  <c r="OR92" i="12"/>
  <c r="OQ92" i="12"/>
  <c r="OQ77" i="12"/>
  <c r="T28" i="11"/>
  <c r="S13" i="3"/>
  <c r="AB11" i="17"/>
  <c r="OS77" i="12" l="1"/>
  <c r="OS92" i="12"/>
  <c r="AB12" i="17"/>
  <c r="C1" i="30"/>
  <c r="Q82" i="3"/>
  <c r="S82" i="3" s="1"/>
  <c r="R33" i="4"/>
  <c r="R40" i="4"/>
  <c r="T58" i="11"/>
  <c r="T52" i="11"/>
  <c r="AB6" i="17"/>
  <c r="R9" i="4"/>
  <c r="AF58" i="20"/>
  <c r="T37" i="11"/>
  <c r="Q25" i="3"/>
  <c r="S25" i="3" s="1"/>
  <c r="Q65" i="16" l="1"/>
  <c r="T104" i="11" l="1"/>
  <c r="OO106" i="12" a="1"/>
  <c r="OO106" i="12" s="1"/>
  <c r="ON106" i="12"/>
  <c r="OL106" i="12" a="1"/>
  <c r="OL106" i="12" s="1"/>
  <c r="OK106" i="12"/>
  <c r="OI106" i="12" a="1"/>
  <c r="OI106" i="12" s="1"/>
  <c r="OH106" i="12"/>
  <c r="OF106" i="12" a="1"/>
  <c r="OF106" i="12" s="1"/>
  <c r="OE106" i="12"/>
  <c r="OC106" i="12" a="1"/>
  <c r="OC106" i="12" s="1"/>
  <c r="OB106" i="12"/>
  <c r="NZ106" i="12" a="1"/>
  <c r="NZ106" i="12" s="1"/>
  <c r="NY106" i="12"/>
  <c r="NW106" i="12" a="1"/>
  <c r="NW106" i="12" s="1"/>
  <c r="NV106" i="12"/>
  <c r="NT106" i="12" a="1"/>
  <c r="NT106" i="12" s="1"/>
  <c r="NS106" i="12"/>
  <c r="NQ106" i="12" a="1"/>
  <c r="NQ106" i="12" s="1"/>
  <c r="NP106" i="12"/>
  <c r="NN106" i="12" a="1"/>
  <c r="NN106" i="12" s="1"/>
  <c r="NM106" i="12"/>
  <c r="NK106" i="12" a="1"/>
  <c r="NK106" i="12" s="1"/>
  <c r="NJ106" i="12"/>
  <c r="NH106" i="12" a="1"/>
  <c r="NH106" i="12" s="1"/>
  <c r="NG106" i="12"/>
  <c r="NJ114" i="12"/>
  <c r="NJ112" i="12"/>
  <c r="NJ108" i="12"/>
  <c r="NJ94" i="12"/>
  <c r="NJ91" i="12"/>
  <c r="NJ80" i="12"/>
  <c r="NJ74" i="12"/>
  <c r="NJ70" i="12"/>
  <c r="NJ57" i="12"/>
  <c r="NJ56" i="12"/>
  <c r="NJ50" i="12"/>
  <c r="NJ42" i="12"/>
  <c r="NJ37" i="12"/>
  <c r="NJ36" i="12"/>
  <c r="NJ19" i="12"/>
  <c r="NJ18" i="12"/>
  <c r="NJ12" i="12"/>
  <c r="NJ11" i="12"/>
  <c r="NJ9" i="12"/>
  <c r="OO111" i="12" a="1"/>
  <c r="OO111" i="12" s="1"/>
  <c r="ON111" i="12"/>
  <c r="OL111" i="12" a="1"/>
  <c r="OL111" i="12" s="1"/>
  <c r="OK111" i="12"/>
  <c r="OI111" i="12" a="1"/>
  <c r="OI111" i="12" s="1"/>
  <c r="OH111" i="12"/>
  <c r="OF111" i="12" a="1"/>
  <c r="OF111" i="12" s="1"/>
  <c r="OE111" i="12"/>
  <c r="OC111" i="12" a="1"/>
  <c r="OC111" i="12" s="1"/>
  <c r="OB111" i="12"/>
  <c r="NZ111" i="12" a="1"/>
  <c r="NZ111" i="12" s="1"/>
  <c r="NY111" i="12"/>
  <c r="NW111" i="12" a="1"/>
  <c r="NW111" i="12" s="1"/>
  <c r="NV111" i="12"/>
  <c r="NT111" i="12" a="1"/>
  <c r="NT111" i="12" s="1"/>
  <c r="NS111" i="12"/>
  <c r="NQ111" i="12" a="1"/>
  <c r="NQ111" i="12" s="1"/>
  <c r="NP111" i="12"/>
  <c r="NN111" i="12" a="1"/>
  <c r="NN111" i="12" s="1"/>
  <c r="NM111" i="12"/>
  <c r="NK111" i="12" a="1"/>
  <c r="NK111" i="12" s="1"/>
  <c r="NJ111" i="12"/>
  <c r="NH111" i="12" a="1"/>
  <c r="NH111" i="12" s="1"/>
  <c r="NG111" i="12"/>
  <c r="OO110" i="12" a="1"/>
  <c r="OO110" i="12" s="1"/>
  <c r="ON110" i="12"/>
  <c r="OL110" i="12" a="1"/>
  <c r="OL110" i="12" s="1"/>
  <c r="OK110" i="12"/>
  <c r="OI110" i="12" a="1"/>
  <c r="OI110" i="12" s="1"/>
  <c r="OH110" i="12"/>
  <c r="OF110" i="12" a="1"/>
  <c r="OF110" i="12" s="1"/>
  <c r="OE110" i="12"/>
  <c r="OC110" i="12" a="1"/>
  <c r="OC110" i="12" s="1"/>
  <c r="OB110" i="12"/>
  <c r="NZ110" i="12" a="1"/>
  <c r="NZ110" i="12" s="1"/>
  <c r="NY110" i="12"/>
  <c r="NW110" i="12" a="1"/>
  <c r="NW110" i="12" s="1"/>
  <c r="NV110" i="12"/>
  <c r="NT110" i="12" a="1"/>
  <c r="NT110" i="12" s="1"/>
  <c r="NS110" i="12"/>
  <c r="NQ110" i="12" a="1"/>
  <c r="NQ110" i="12" s="1"/>
  <c r="NP110" i="12"/>
  <c r="NN110" i="12" a="1"/>
  <c r="NN110" i="12" s="1"/>
  <c r="NM110" i="12"/>
  <c r="NK110" i="12" a="1"/>
  <c r="NK110" i="12" s="1"/>
  <c r="NJ110" i="12"/>
  <c r="NH110" i="12" a="1"/>
  <c r="NH110" i="12" s="1"/>
  <c r="NG110" i="12"/>
  <c r="OO79" i="12" a="1"/>
  <c r="OO79" i="12" s="1"/>
  <c r="ON79" i="12"/>
  <c r="OL79" i="12" a="1"/>
  <c r="OL79" i="12" s="1"/>
  <c r="OK79" i="12"/>
  <c r="OI79" i="12" a="1"/>
  <c r="OI79" i="12" s="1"/>
  <c r="OH79" i="12"/>
  <c r="OF79" i="12" a="1"/>
  <c r="OF79" i="12" s="1"/>
  <c r="OE79" i="12"/>
  <c r="OC79" i="12" a="1"/>
  <c r="OC79" i="12" s="1"/>
  <c r="OB79" i="12"/>
  <c r="NZ79" i="12" a="1"/>
  <c r="NZ79" i="12" s="1"/>
  <c r="NY79" i="12"/>
  <c r="NW79" i="12" a="1"/>
  <c r="NW79" i="12" s="1"/>
  <c r="NV79" i="12"/>
  <c r="NT79" i="12" a="1"/>
  <c r="NT79" i="12" s="1"/>
  <c r="NS79" i="12"/>
  <c r="NQ79" i="12" a="1"/>
  <c r="NQ79" i="12" s="1"/>
  <c r="NP79" i="12"/>
  <c r="NN79" i="12" a="1"/>
  <c r="NN79" i="12" s="1"/>
  <c r="NM79" i="12"/>
  <c r="NK79" i="12" a="1"/>
  <c r="NK79" i="12" s="1"/>
  <c r="NJ79" i="12"/>
  <c r="NH79" i="12" a="1"/>
  <c r="NH79" i="12" s="1"/>
  <c r="NG79" i="12"/>
  <c r="OO65" i="12" a="1"/>
  <c r="OO65" i="12" s="1"/>
  <c r="ON65" i="12"/>
  <c r="OL65" i="12" a="1"/>
  <c r="OL65" i="12" s="1"/>
  <c r="OK65" i="12"/>
  <c r="OI65" i="12" a="1"/>
  <c r="OI65" i="12" s="1"/>
  <c r="OH65" i="12"/>
  <c r="OF65" i="12" a="1"/>
  <c r="OF65" i="12" s="1"/>
  <c r="OE65" i="12"/>
  <c r="OC65" i="12" a="1"/>
  <c r="OC65" i="12" s="1"/>
  <c r="OB65" i="12"/>
  <c r="NZ65" i="12" a="1"/>
  <c r="NZ65" i="12" s="1"/>
  <c r="NY65" i="12"/>
  <c r="NW65" i="12" a="1"/>
  <c r="NW65" i="12" s="1"/>
  <c r="NV65" i="12"/>
  <c r="NT65" i="12" a="1"/>
  <c r="NT65" i="12" s="1"/>
  <c r="NS65" i="12"/>
  <c r="NQ65" i="12" a="1"/>
  <c r="NQ65" i="12" s="1"/>
  <c r="NP65" i="12"/>
  <c r="NN65" i="12" a="1"/>
  <c r="NN65" i="12" s="1"/>
  <c r="NM65" i="12"/>
  <c r="NK65" i="12" a="1"/>
  <c r="NK65" i="12" s="1"/>
  <c r="NJ65" i="12"/>
  <c r="NH65" i="12" a="1"/>
  <c r="NH65" i="12" s="1"/>
  <c r="NG65" i="12"/>
  <c r="OO64" i="12" a="1"/>
  <c r="OO64" i="12" s="1"/>
  <c r="ON64" i="12"/>
  <c r="OL64" i="12" a="1"/>
  <c r="OL64" i="12" s="1"/>
  <c r="OK64" i="12"/>
  <c r="OI64" i="12" a="1"/>
  <c r="OI64" i="12" s="1"/>
  <c r="OH64" i="12"/>
  <c r="OF64" i="12" a="1"/>
  <c r="OF64" i="12" s="1"/>
  <c r="OE64" i="12"/>
  <c r="OC64" i="12" a="1"/>
  <c r="OC64" i="12" s="1"/>
  <c r="OB64" i="12"/>
  <c r="NZ64" i="12" a="1"/>
  <c r="NZ64" i="12" s="1"/>
  <c r="NY64" i="12"/>
  <c r="NW64" i="12" a="1"/>
  <c r="NW64" i="12" s="1"/>
  <c r="NV64" i="12"/>
  <c r="NT64" i="12" a="1"/>
  <c r="NT64" i="12" s="1"/>
  <c r="NS64" i="12"/>
  <c r="NQ64" i="12" a="1"/>
  <c r="NQ64" i="12" s="1"/>
  <c r="NP64" i="12"/>
  <c r="NN64" i="12" a="1"/>
  <c r="NN64" i="12" s="1"/>
  <c r="NM64" i="12"/>
  <c r="NK64" i="12" a="1"/>
  <c r="NK64" i="12" s="1"/>
  <c r="NJ64" i="12"/>
  <c r="NH64" i="12" a="1"/>
  <c r="NH64" i="12" s="1"/>
  <c r="NG64" i="12"/>
  <c r="OO61" i="12" a="1"/>
  <c r="OO61" i="12" s="1"/>
  <c r="ON61" i="12"/>
  <c r="OL61" i="12" a="1"/>
  <c r="OL61" i="12" s="1"/>
  <c r="OK61" i="12"/>
  <c r="OI61" i="12" a="1"/>
  <c r="OI61" i="12" s="1"/>
  <c r="OH61" i="12"/>
  <c r="OF61" i="12" a="1"/>
  <c r="OF61" i="12" s="1"/>
  <c r="OE61" i="12"/>
  <c r="OC61" i="12" a="1"/>
  <c r="OC61" i="12" s="1"/>
  <c r="OB61" i="12"/>
  <c r="NZ61" i="12" a="1"/>
  <c r="NZ61" i="12" s="1"/>
  <c r="NY61" i="12"/>
  <c r="NW61" i="12" a="1"/>
  <c r="NW61" i="12" s="1"/>
  <c r="NV61" i="12"/>
  <c r="NT61" i="12" a="1"/>
  <c r="NT61" i="12" s="1"/>
  <c r="NS61" i="12"/>
  <c r="NQ61" i="12" a="1"/>
  <c r="NQ61" i="12" s="1"/>
  <c r="NP61" i="12"/>
  <c r="NN61" i="12" a="1"/>
  <c r="NN61" i="12" s="1"/>
  <c r="NM61" i="12"/>
  <c r="NK61" i="12" a="1"/>
  <c r="NK61" i="12" s="1"/>
  <c r="NJ61" i="12"/>
  <c r="NH61" i="12" a="1"/>
  <c r="NH61" i="12" s="1"/>
  <c r="NG61" i="12"/>
  <c r="OO53" i="12" a="1"/>
  <c r="OO53" i="12" s="1"/>
  <c r="ON53" i="12"/>
  <c r="OL53" i="12" a="1"/>
  <c r="OL53" i="12" s="1"/>
  <c r="OK53" i="12"/>
  <c r="OI53" i="12" a="1"/>
  <c r="OI53" i="12" s="1"/>
  <c r="OH53" i="12"/>
  <c r="OF53" i="12" a="1"/>
  <c r="OF53" i="12" s="1"/>
  <c r="OE53" i="12"/>
  <c r="OC53" i="12" a="1"/>
  <c r="OC53" i="12" s="1"/>
  <c r="OB53" i="12"/>
  <c r="NZ53" i="12" a="1"/>
  <c r="NZ53" i="12" s="1"/>
  <c r="NY53" i="12"/>
  <c r="NW53" i="12" a="1"/>
  <c r="NW53" i="12" s="1"/>
  <c r="NV53" i="12"/>
  <c r="NT53" i="12" a="1"/>
  <c r="NT53" i="12" s="1"/>
  <c r="NS53" i="12"/>
  <c r="NQ53" i="12" a="1"/>
  <c r="NQ53" i="12" s="1"/>
  <c r="NP53" i="12"/>
  <c r="NN53" i="12" a="1"/>
  <c r="NN53" i="12" s="1"/>
  <c r="NM53" i="12"/>
  <c r="NK53" i="12" a="1"/>
  <c r="NK53" i="12" s="1"/>
  <c r="NJ53" i="12"/>
  <c r="NH53" i="12" a="1"/>
  <c r="NH53" i="12" s="1"/>
  <c r="NG53" i="12"/>
  <c r="OO45" i="12" a="1"/>
  <c r="OO45" i="12" s="1"/>
  <c r="ON45" i="12"/>
  <c r="OL45" i="12" a="1"/>
  <c r="OL45" i="12" s="1"/>
  <c r="OK45" i="12"/>
  <c r="OI45" i="12" a="1"/>
  <c r="OI45" i="12" s="1"/>
  <c r="OH45" i="12"/>
  <c r="OF45" i="12" a="1"/>
  <c r="OF45" i="12" s="1"/>
  <c r="OE45" i="12"/>
  <c r="OC45" i="12" a="1"/>
  <c r="OC45" i="12" s="1"/>
  <c r="OB45" i="12"/>
  <c r="NZ45" i="12" a="1"/>
  <c r="NZ45" i="12" s="1"/>
  <c r="NY45" i="12"/>
  <c r="NW45" i="12" a="1"/>
  <c r="NW45" i="12" s="1"/>
  <c r="NV45" i="12"/>
  <c r="NT45" i="12" a="1"/>
  <c r="NT45" i="12" s="1"/>
  <c r="NS45" i="12"/>
  <c r="NQ45" i="12" a="1"/>
  <c r="NQ45" i="12" s="1"/>
  <c r="NP45" i="12"/>
  <c r="NN45" i="12" a="1"/>
  <c r="NN45" i="12" s="1"/>
  <c r="NM45" i="12"/>
  <c r="NK45" i="12" a="1"/>
  <c r="NK45" i="12" s="1"/>
  <c r="NJ45" i="12"/>
  <c r="NH45" i="12" a="1"/>
  <c r="NH45" i="12" s="1"/>
  <c r="NG45" i="12"/>
  <c r="OO43" i="12" a="1"/>
  <c r="OO43" i="12" s="1"/>
  <c r="ON43" i="12"/>
  <c r="OL43" i="12" a="1"/>
  <c r="OL43" i="12" s="1"/>
  <c r="OK43" i="12"/>
  <c r="OI43" i="12" a="1"/>
  <c r="OI43" i="12" s="1"/>
  <c r="OH43" i="12"/>
  <c r="OF43" i="12" a="1"/>
  <c r="OF43" i="12" s="1"/>
  <c r="OE43" i="12"/>
  <c r="OC43" i="12" a="1"/>
  <c r="OC43" i="12" s="1"/>
  <c r="OB43" i="12"/>
  <c r="NZ43" i="12" a="1"/>
  <c r="NZ43" i="12" s="1"/>
  <c r="NY43" i="12"/>
  <c r="NW43" i="12" a="1"/>
  <c r="NW43" i="12" s="1"/>
  <c r="NV43" i="12"/>
  <c r="NT43" i="12" a="1"/>
  <c r="NT43" i="12" s="1"/>
  <c r="NS43" i="12"/>
  <c r="NQ43" i="12" a="1"/>
  <c r="NQ43" i="12" s="1"/>
  <c r="NP43" i="12"/>
  <c r="NN43" i="12" a="1"/>
  <c r="NN43" i="12" s="1"/>
  <c r="NM43" i="12"/>
  <c r="NK43" i="12" a="1"/>
  <c r="NK43" i="12" s="1"/>
  <c r="NJ43" i="12"/>
  <c r="NH43" i="12" a="1"/>
  <c r="NH43" i="12" s="1"/>
  <c r="NG43" i="12"/>
  <c r="OO41" i="12" a="1"/>
  <c r="OO41" i="12" s="1"/>
  <c r="ON41" i="12"/>
  <c r="OL41" i="12" a="1"/>
  <c r="OL41" i="12" s="1"/>
  <c r="OK41" i="12"/>
  <c r="OI41" i="12" a="1"/>
  <c r="OI41" i="12" s="1"/>
  <c r="OH41" i="12"/>
  <c r="OF41" i="12" a="1"/>
  <c r="OF41" i="12" s="1"/>
  <c r="OE41" i="12"/>
  <c r="OC41" i="12" a="1"/>
  <c r="OC41" i="12" s="1"/>
  <c r="OB41" i="12"/>
  <c r="NZ41" i="12" a="1"/>
  <c r="NZ41" i="12" s="1"/>
  <c r="NY41" i="12"/>
  <c r="NW41" i="12" a="1"/>
  <c r="NW41" i="12" s="1"/>
  <c r="NV41" i="12"/>
  <c r="NT41" i="12" a="1"/>
  <c r="NT41" i="12" s="1"/>
  <c r="NS41" i="12"/>
  <c r="NQ41" i="12" a="1"/>
  <c r="NQ41" i="12" s="1"/>
  <c r="NP41" i="12"/>
  <c r="NN41" i="12" a="1"/>
  <c r="NN41" i="12" s="1"/>
  <c r="NM41" i="12"/>
  <c r="NK41" i="12" a="1"/>
  <c r="NK41" i="12" s="1"/>
  <c r="NJ41" i="12"/>
  <c r="NH41" i="12" a="1"/>
  <c r="NH41" i="12" s="1"/>
  <c r="NG41" i="12"/>
  <c r="OO30" i="12" a="1"/>
  <c r="OO30" i="12" s="1"/>
  <c r="ON30" i="12"/>
  <c r="OL30" i="12" a="1"/>
  <c r="OL30" i="12" s="1"/>
  <c r="OK30" i="12"/>
  <c r="OI30" i="12" a="1"/>
  <c r="OI30" i="12" s="1"/>
  <c r="OH30" i="12"/>
  <c r="OF30" i="12" a="1"/>
  <c r="OF30" i="12" s="1"/>
  <c r="OE30" i="12"/>
  <c r="OC30" i="12" a="1"/>
  <c r="OC30" i="12" s="1"/>
  <c r="OB30" i="12"/>
  <c r="NZ30" i="12" a="1"/>
  <c r="NZ30" i="12" s="1"/>
  <c r="NY30" i="12"/>
  <c r="NW30" i="12" a="1"/>
  <c r="NW30" i="12" s="1"/>
  <c r="NV30" i="12"/>
  <c r="NT30" i="12" a="1"/>
  <c r="NT30" i="12" s="1"/>
  <c r="NS30" i="12"/>
  <c r="NQ30" i="12" a="1"/>
  <c r="NQ30" i="12" s="1"/>
  <c r="NP30" i="12"/>
  <c r="NN30" i="12" a="1"/>
  <c r="NN30" i="12" s="1"/>
  <c r="NM30" i="12"/>
  <c r="NK30" i="12" a="1"/>
  <c r="NK30" i="12" s="1"/>
  <c r="NJ30" i="12"/>
  <c r="NH30" i="12" a="1"/>
  <c r="NH30" i="12" s="1"/>
  <c r="NG30" i="12"/>
  <c r="OO23" i="12" a="1"/>
  <c r="OO23" i="12" s="1"/>
  <c r="ON23" i="12"/>
  <c r="OL23" i="12" a="1"/>
  <c r="OL23" i="12" s="1"/>
  <c r="OK23" i="12"/>
  <c r="OI23" i="12" a="1"/>
  <c r="OI23" i="12" s="1"/>
  <c r="OH23" i="12"/>
  <c r="OF23" i="12" a="1"/>
  <c r="OF23" i="12" s="1"/>
  <c r="OE23" i="12"/>
  <c r="OC23" i="12" a="1"/>
  <c r="OC23" i="12" s="1"/>
  <c r="OB23" i="12"/>
  <c r="NZ23" i="12" a="1"/>
  <c r="NZ23" i="12" s="1"/>
  <c r="NY23" i="12"/>
  <c r="NW23" i="12" a="1"/>
  <c r="NW23" i="12" s="1"/>
  <c r="NV23" i="12"/>
  <c r="NT23" i="12" a="1"/>
  <c r="NT23" i="12" s="1"/>
  <c r="NS23" i="12"/>
  <c r="NQ23" i="12" a="1"/>
  <c r="NQ23" i="12" s="1"/>
  <c r="NP23" i="12"/>
  <c r="NN23" i="12" a="1"/>
  <c r="NN23" i="12" s="1"/>
  <c r="NM23" i="12"/>
  <c r="NK23" i="12" a="1"/>
  <c r="NK23" i="12" s="1"/>
  <c r="NJ23" i="12"/>
  <c r="NH23" i="12" a="1"/>
  <c r="NH23" i="12" s="1"/>
  <c r="NG23" i="12"/>
  <c r="NG10" i="12"/>
  <c r="NH10" i="12" a="1"/>
  <c r="NH10" i="12" s="1"/>
  <c r="NJ10" i="12"/>
  <c r="NK10" i="12" a="1"/>
  <c r="NK10" i="12" s="1"/>
  <c r="NM10" i="12"/>
  <c r="NN10" i="12" a="1"/>
  <c r="NN10" i="12" s="1"/>
  <c r="NP10" i="12"/>
  <c r="NQ10" i="12" a="1"/>
  <c r="NQ10" i="12" s="1"/>
  <c r="NS10" i="12"/>
  <c r="NT10" i="12" a="1"/>
  <c r="NT10" i="12" s="1"/>
  <c r="NV10" i="12"/>
  <c r="NW10" i="12" a="1"/>
  <c r="NW10" i="12" s="1"/>
  <c r="NY10" i="12"/>
  <c r="NZ10" i="12" a="1"/>
  <c r="NZ10" i="12" s="1"/>
  <c r="OB10" i="12"/>
  <c r="OC10" i="12" a="1"/>
  <c r="OC10" i="12" s="1"/>
  <c r="OE10" i="12"/>
  <c r="OF10" i="12" a="1"/>
  <c r="OF10" i="12" s="1"/>
  <c r="OH10" i="12"/>
  <c r="OI10" i="12" a="1"/>
  <c r="OI10" i="12" s="1"/>
  <c r="OK10" i="12"/>
  <c r="OL10" i="12" a="1"/>
  <c r="OL10" i="12" s="1"/>
  <c r="ON10" i="12"/>
  <c r="OO10" i="12" a="1"/>
  <c r="OO10" i="12" s="1"/>
  <c r="NG11" i="12"/>
  <c r="NH11" i="12" a="1"/>
  <c r="NH11" i="12" s="1"/>
  <c r="NK11" i="12" a="1"/>
  <c r="NK11" i="12" s="1"/>
  <c r="NM11" i="12"/>
  <c r="NN11" i="12" a="1"/>
  <c r="NN11" i="12" s="1"/>
  <c r="NP11" i="12"/>
  <c r="NQ11" i="12" a="1"/>
  <c r="NQ11" i="12" s="1"/>
  <c r="NS11" i="12"/>
  <c r="NT11" i="12" a="1"/>
  <c r="NT11" i="12" s="1"/>
  <c r="NV11" i="12"/>
  <c r="NW11" i="12" a="1"/>
  <c r="NW11" i="12" s="1"/>
  <c r="NY11" i="12"/>
  <c r="NZ11" i="12" a="1"/>
  <c r="NZ11" i="12" s="1"/>
  <c r="OB11" i="12"/>
  <c r="OC11" i="12" a="1"/>
  <c r="OC11" i="12" s="1"/>
  <c r="OE11" i="12"/>
  <c r="OF11" i="12" a="1"/>
  <c r="OF11" i="12" s="1"/>
  <c r="OH11" i="12"/>
  <c r="OI11" i="12" a="1"/>
  <c r="OI11" i="12" s="1"/>
  <c r="OK11" i="12"/>
  <c r="OL11" i="12" a="1"/>
  <c r="OL11" i="12" s="1"/>
  <c r="ON11" i="12"/>
  <c r="OO11" i="12" a="1"/>
  <c r="OO11" i="12" s="1"/>
  <c r="NG12" i="12"/>
  <c r="NH12" i="12" a="1"/>
  <c r="NH12" i="12" s="1"/>
  <c r="NK12" i="12" a="1"/>
  <c r="NK12" i="12" s="1"/>
  <c r="NM12" i="12"/>
  <c r="NN12" i="12" a="1"/>
  <c r="NN12" i="12" s="1"/>
  <c r="NP12" i="12"/>
  <c r="NQ12" i="12" a="1"/>
  <c r="NQ12" i="12" s="1"/>
  <c r="NS12" i="12"/>
  <c r="NT12" i="12" a="1"/>
  <c r="NT12" i="12" s="1"/>
  <c r="NV12" i="12"/>
  <c r="NW12" i="12" a="1"/>
  <c r="NW12" i="12" s="1"/>
  <c r="NY12" i="12"/>
  <c r="NZ12" i="12" a="1"/>
  <c r="NZ12" i="12" s="1"/>
  <c r="OB12" i="12"/>
  <c r="OC12" i="12" a="1"/>
  <c r="OC12" i="12" s="1"/>
  <c r="OE12" i="12"/>
  <c r="OF12" i="12" a="1"/>
  <c r="OF12" i="12" s="1"/>
  <c r="OH12" i="12"/>
  <c r="OI12" i="12" a="1"/>
  <c r="OI12" i="12" s="1"/>
  <c r="OK12" i="12"/>
  <c r="OL12" i="12" a="1"/>
  <c r="OL12" i="12" s="1"/>
  <c r="ON12" i="12"/>
  <c r="OO12" i="12" a="1"/>
  <c r="OO12" i="12" s="1"/>
  <c r="NG14" i="12"/>
  <c r="NH14" i="12" a="1"/>
  <c r="NH14" i="12" s="1"/>
  <c r="NJ14" i="12"/>
  <c r="NK14" i="12" a="1"/>
  <c r="NK14" i="12" s="1"/>
  <c r="NM14" i="12"/>
  <c r="NN14" i="12" a="1"/>
  <c r="NN14" i="12" s="1"/>
  <c r="NP14" i="12"/>
  <c r="NQ14" i="12" a="1"/>
  <c r="NQ14" i="12" s="1"/>
  <c r="NS14" i="12"/>
  <c r="NT14" i="12" a="1"/>
  <c r="NT14" i="12" s="1"/>
  <c r="NV14" i="12"/>
  <c r="NW14" i="12" a="1"/>
  <c r="NW14" i="12" s="1"/>
  <c r="NY14" i="12"/>
  <c r="NZ14" i="12" a="1"/>
  <c r="NZ14" i="12" s="1"/>
  <c r="OB14" i="12"/>
  <c r="OC14" i="12" a="1"/>
  <c r="OC14" i="12" s="1"/>
  <c r="OE14" i="12"/>
  <c r="OF14" i="12" a="1"/>
  <c r="OF14" i="12" s="1"/>
  <c r="OH14" i="12"/>
  <c r="OI14" i="12" a="1"/>
  <c r="OI14" i="12" s="1"/>
  <c r="OK14" i="12"/>
  <c r="OL14" i="12" a="1"/>
  <c r="OL14" i="12" s="1"/>
  <c r="ON14" i="12"/>
  <c r="OO14" i="12" a="1"/>
  <c r="OO14" i="12" s="1"/>
  <c r="NG15" i="12"/>
  <c r="NH15" i="12" a="1"/>
  <c r="NH15" i="12" s="1"/>
  <c r="NJ15" i="12"/>
  <c r="NK15" i="12" a="1"/>
  <c r="NK15" i="12" s="1"/>
  <c r="NM15" i="12"/>
  <c r="NN15" i="12" a="1"/>
  <c r="NN15" i="12" s="1"/>
  <c r="NP15" i="12"/>
  <c r="NQ15" i="12" a="1"/>
  <c r="NQ15" i="12" s="1"/>
  <c r="NS15" i="12"/>
  <c r="NT15" i="12" a="1"/>
  <c r="NT15" i="12" s="1"/>
  <c r="NV15" i="12"/>
  <c r="NW15" i="12" a="1"/>
  <c r="NW15" i="12" s="1"/>
  <c r="NY15" i="12"/>
  <c r="NZ15" i="12" a="1"/>
  <c r="NZ15" i="12" s="1"/>
  <c r="OB15" i="12"/>
  <c r="OC15" i="12" a="1"/>
  <c r="OC15" i="12" s="1"/>
  <c r="OE15" i="12"/>
  <c r="OF15" i="12" a="1"/>
  <c r="OF15" i="12" s="1"/>
  <c r="OH15" i="12"/>
  <c r="OI15" i="12" a="1"/>
  <c r="OI15" i="12" s="1"/>
  <c r="OK15" i="12"/>
  <c r="OL15" i="12" a="1"/>
  <c r="OL15" i="12" s="1"/>
  <c r="ON15" i="12"/>
  <c r="OO15" i="12" a="1"/>
  <c r="OO15" i="12" s="1"/>
  <c r="NG16" i="12"/>
  <c r="NH16" i="12" a="1"/>
  <c r="NH16" i="12" s="1"/>
  <c r="NJ16" i="12"/>
  <c r="NK16" i="12" a="1"/>
  <c r="NK16" i="12" s="1"/>
  <c r="NM16" i="12"/>
  <c r="NN16" i="12" a="1"/>
  <c r="NN16" i="12" s="1"/>
  <c r="NP16" i="12"/>
  <c r="NQ16" i="12" a="1"/>
  <c r="NQ16" i="12" s="1"/>
  <c r="NS16" i="12"/>
  <c r="NT16" i="12" a="1"/>
  <c r="NT16" i="12" s="1"/>
  <c r="NV16" i="12"/>
  <c r="NW16" i="12" a="1"/>
  <c r="NW16" i="12" s="1"/>
  <c r="NY16" i="12"/>
  <c r="NZ16" i="12" a="1"/>
  <c r="NZ16" i="12" s="1"/>
  <c r="OB16" i="12"/>
  <c r="OC16" i="12" a="1"/>
  <c r="OC16" i="12" s="1"/>
  <c r="OE16" i="12"/>
  <c r="OF16" i="12" a="1"/>
  <c r="OF16" i="12" s="1"/>
  <c r="OH16" i="12"/>
  <c r="OI16" i="12" a="1"/>
  <c r="OI16" i="12" s="1"/>
  <c r="OK16" i="12"/>
  <c r="OL16" i="12" a="1"/>
  <c r="OL16" i="12" s="1"/>
  <c r="ON16" i="12"/>
  <c r="OO16" i="12" a="1"/>
  <c r="OO16" i="12" s="1"/>
  <c r="NG17" i="12"/>
  <c r="NH17" i="12" a="1"/>
  <c r="NH17" i="12" s="1"/>
  <c r="NJ17" i="12"/>
  <c r="NK17" i="12" a="1"/>
  <c r="NK17" i="12" s="1"/>
  <c r="NM17" i="12"/>
  <c r="NN17" i="12" a="1"/>
  <c r="NN17" i="12" s="1"/>
  <c r="NP17" i="12"/>
  <c r="NQ17" i="12" a="1"/>
  <c r="NQ17" i="12" s="1"/>
  <c r="NS17" i="12"/>
  <c r="NT17" i="12" a="1"/>
  <c r="NT17" i="12" s="1"/>
  <c r="NV17" i="12"/>
  <c r="NW17" i="12" a="1"/>
  <c r="NW17" i="12" s="1"/>
  <c r="NY17" i="12"/>
  <c r="NZ17" i="12" a="1"/>
  <c r="NZ17" i="12" s="1"/>
  <c r="OB17" i="12"/>
  <c r="OC17" i="12" a="1"/>
  <c r="OC17" i="12" s="1"/>
  <c r="OE17" i="12"/>
  <c r="OF17" i="12" a="1"/>
  <c r="OF17" i="12" s="1"/>
  <c r="OH17" i="12"/>
  <c r="OI17" i="12" a="1"/>
  <c r="OI17" i="12" s="1"/>
  <c r="OK17" i="12"/>
  <c r="OL17" i="12" a="1"/>
  <c r="OL17" i="12" s="1"/>
  <c r="ON17" i="12"/>
  <c r="OO17" i="12" a="1"/>
  <c r="OO17" i="12" s="1"/>
  <c r="NG18" i="12"/>
  <c r="NH18" i="12" a="1"/>
  <c r="NH18" i="12" s="1"/>
  <c r="NK18" i="12" a="1"/>
  <c r="NK18" i="12" s="1"/>
  <c r="NM18" i="12"/>
  <c r="NN18" i="12" a="1"/>
  <c r="NN18" i="12" s="1"/>
  <c r="NP18" i="12"/>
  <c r="NQ18" i="12" a="1"/>
  <c r="NQ18" i="12" s="1"/>
  <c r="NS18" i="12"/>
  <c r="NT18" i="12" a="1"/>
  <c r="NT18" i="12" s="1"/>
  <c r="NV18" i="12"/>
  <c r="NW18" i="12" a="1"/>
  <c r="NW18" i="12" s="1"/>
  <c r="NY18" i="12"/>
  <c r="NZ18" i="12" a="1"/>
  <c r="NZ18" i="12" s="1"/>
  <c r="OB18" i="12"/>
  <c r="OC18" i="12" a="1"/>
  <c r="OC18" i="12" s="1"/>
  <c r="OE18" i="12"/>
  <c r="OF18" i="12" a="1"/>
  <c r="OF18" i="12" s="1"/>
  <c r="OH18" i="12"/>
  <c r="OI18" i="12" a="1"/>
  <c r="OI18" i="12" s="1"/>
  <c r="OK18" i="12"/>
  <c r="OL18" i="12" a="1"/>
  <c r="OL18" i="12" s="1"/>
  <c r="ON18" i="12"/>
  <c r="OO18" i="12" a="1"/>
  <c r="OO18" i="12" s="1"/>
  <c r="NG19" i="12"/>
  <c r="NH19" i="12" a="1"/>
  <c r="NH19" i="12" s="1"/>
  <c r="NK19" i="12" a="1"/>
  <c r="NK19" i="12" s="1"/>
  <c r="NM19" i="12"/>
  <c r="NN19" i="12" a="1"/>
  <c r="NN19" i="12" s="1"/>
  <c r="NP19" i="12"/>
  <c r="NQ19" i="12" a="1"/>
  <c r="NQ19" i="12" s="1"/>
  <c r="NS19" i="12"/>
  <c r="NT19" i="12" a="1"/>
  <c r="NT19" i="12" s="1"/>
  <c r="NV19" i="12"/>
  <c r="NW19" i="12" a="1"/>
  <c r="NW19" i="12" s="1"/>
  <c r="NY19" i="12"/>
  <c r="NZ19" i="12" a="1"/>
  <c r="NZ19" i="12" s="1"/>
  <c r="OB19" i="12"/>
  <c r="OC19" i="12" a="1"/>
  <c r="OC19" i="12" s="1"/>
  <c r="OE19" i="12"/>
  <c r="OF19" i="12" a="1"/>
  <c r="OF19" i="12" s="1"/>
  <c r="OH19" i="12"/>
  <c r="OI19" i="12" a="1"/>
  <c r="OI19" i="12" s="1"/>
  <c r="OK19" i="12"/>
  <c r="OL19" i="12" a="1"/>
  <c r="OL19" i="12" s="1"/>
  <c r="ON19" i="12"/>
  <c r="OO19" i="12" a="1"/>
  <c r="OO19" i="12" s="1"/>
  <c r="NG20" i="12"/>
  <c r="NH20" i="12" a="1"/>
  <c r="NH20" i="12" s="1"/>
  <c r="NJ20" i="12"/>
  <c r="NK20" i="12" a="1"/>
  <c r="NK20" i="12" s="1"/>
  <c r="NM20" i="12"/>
  <c r="NN20" i="12" a="1"/>
  <c r="NN20" i="12" s="1"/>
  <c r="NP20" i="12"/>
  <c r="NQ20" i="12" a="1"/>
  <c r="NQ20" i="12" s="1"/>
  <c r="NS20" i="12"/>
  <c r="NT20" i="12" a="1"/>
  <c r="NT20" i="12" s="1"/>
  <c r="NV20" i="12"/>
  <c r="NW20" i="12" a="1"/>
  <c r="NW20" i="12" s="1"/>
  <c r="NY20" i="12"/>
  <c r="NZ20" i="12" a="1"/>
  <c r="NZ20" i="12" s="1"/>
  <c r="OB20" i="12"/>
  <c r="OC20" i="12" a="1"/>
  <c r="OC20" i="12" s="1"/>
  <c r="OE20" i="12"/>
  <c r="OF20" i="12" a="1"/>
  <c r="OF20" i="12" s="1"/>
  <c r="OH20" i="12"/>
  <c r="OI20" i="12" a="1"/>
  <c r="OI20" i="12" s="1"/>
  <c r="OK20" i="12"/>
  <c r="OL20" i="12" a="1"/>
  <c r="OL20" i="12" s="1"/>
  <c r="ON20" i="12"/>
  <c r="OO20" i="12" a="1"/>
  <c r="OO20" i="12" s="1"/>
  <c r="NG21" i="12"/>
  <c r="NH21" i="12" a="1"/>
  <c r="NH21" i="12" s="1"/>
  <c r="NJ21" i="12"/>
  <c r="NK21" i="12" a="1"/>
  <c r="NK21" i="12" s="1"/>
  <c r="NM21" i="12"/>
  <c r="NN21" i="12" a="1"/>
  <c r="NN21" i="12" s="1"/>
  <c r="NS21" i="12"/>
  <c r="NT21" i="12" a="1"/>
  <c r="NT21" i="12" s="1"/>
  <c r="NV21" i="12"/>
  <c r="NW21" i="12" a="1"/>
  <c r="NW21" i="12" s="1"/>
  <c r="NY21" i="12"/>
  <c r="NZ21" i="12" a="1"/>
  <c r="NZ21" i="12" s="1"/>
  <c r="OB21" i="12"/>
  <c r="OC21" i="12" a="1"/>
  <c r="OC21" i="12" s="1"/>
  <c r="OE21" i="12"/>
  <c r="OF21" i="12" a="1"/>
  <c r="OF21" i="12" s="1"/>
  <c r="OH21" i="12"/>
  <c r="OI21" i="12" a="1"/>
  <c r="OI21" i="12" s="1"/>
  <c r="OK21" i="12"/>
  <c r="OL21" i="12" a="1"/>
  <c r="OL21" i="12" s="1"/>
  <c r="ON21" i="12"/>
  <c r="OO21" i="12" a="1"/>
  <c r="OO21" i="12" s="1"/>
  <c r="NG22" i="12"/>
  <c r="NH22" i="12" a="1"/>
  <c r="NH22" i="12" s="1"/>
  <c r="NJ22" i="12"/>
  <c r="NK22" i="12" a="1"/>
  <c r="NK22" i="12" s="1"/>
  <c r="NM22" i="12"/>
  <c r="NN22" i="12" a="1"/>
  <c r="NN22" i="12" s="1"/>
  <c r="NP22" i="12"/>
  <c r="NQ22" i="12" a="1"/>
  <c r="NQ22" i="12" s="1"/>
  <c r="NS22" i="12"/>
  <c r="NT22" i="12" a="1"/>
  <c r="NT22" i="12" s="1"/>
  <c r="NV22" i="12"/>
  <c r="NW22" i="12" a="1"/>
  <c r="NW22" i="12" s="1"/>
  <c r="NY22" i="12"/>
  <c r="NZ22" i="12" a="1"/>
  <c r="NZ22" i="12" s="1"/>
  <c r="OB22" i="12"/>
  <c r="OC22" i="12" a="1"/>
  <c r="OC22" i="12" s="1"/>
  <c r="OE22" i="12"/>
  <c r="OF22" i="12" a="1"/>
  <c r="OF22" i="12" s="1"/>
  <c r="OH22" i="12"/>
  <c r="OI22" i="12" a="1"/>
  <c r="OI22" i="12" s="1"/>
  <c r="OK22" i="12"/>
  <c r="OL22" i="12" a="1"/>
  <c r="OL22" i="12" s="1"/>
  <c r="ON22" i="12"/>
  <c r="OO22" i="12" a="1"/>
  <c r="OO22" i="12" s="1"/>
  <c r="NG24" i="12"/>
  <c r="NH24" i="12" a="1"/>
  <c r="NH24" i="12" s="1"/>
  <c r="NJ24" i="12"/>
  <c r="NK24" i="12" a="1"/>
  <c r="NK24" i="12" s="1"/>
  <c r="NM24" i="12"/>
  <c r="NN24" i="12" a="1"/>
  <c r="NN24" i="12" s="1"/>
  <c r="NP24" i="12"/>
  <c r="NQ24" i="12" a="1"/>
  <c r="NQ24" i="12" s="1"/>
  <c r="NS24" i="12"/>
  <c r="NT24" i="12" a="1"/>
  <c r="NT24" i="12" s="1"/>
  <c r="NV24" i="12"/>
  <c r="NW24" i="12" a="1"/>
  <c r="NW24" i="12" s="1"/>
  <c r="NY24" i="12"/>
  <c r="NZ24" i="12" a="1"/>
  <c r="NZ24" i="12" s="1"/>
  <c r="OB24" i="12"/>
  <c r="OC24" i="12" a="1"/>
  <c r="OC24" i="12" s="1"/>
  <c r="OE24" i="12"/>
  <c r="OF24" i="12" a="1"/>
  <c r="OF24" i="12" s="1"/>
  <c r="OH24" i="12"/>
  <c r="OI24" i="12" a="1"/>
  <c r="OI24" i="12" s="1"/>
  <c r="OK24" i="12"/>
  <c r="OL24" i="12" a="1"/>
  <c r="OL24" i="12" s="1"/>
  <c r="ON24" i="12"/>
  <c r="OO24" i="12" a="1"/>
  <c r="OO24" i="12" s="1"/>
  <c r="NG26" i="12"/>
  <c r="NH26" i="12" a="1"/>
  <c r="NH26" i="12" s="1"/>
  <c r="NJ26" i="12"/>
  <c r="NK26" i="12" a="1"/>
  <c r="NK26" i="12" s="1"/>
  <c r="NM26" i="12"/>
  <c r="NN26" i="12" a="1"/>
  <c r="NN26" i="12" s="1"/>
  <c r="NP26" i="12"/>
  <c r="NQ26" i="12" a="1"/>
  <c r="NQ26" i="12" s="1"/>
  <c r="NS26" i="12"/>
  <c r="NT26" i="12" a="1"/>
  <c r="NT26" i="12" s="1"/>
  <c r="NV26" i="12"/>
  <c r="NW26" i="12" a="1"/>
  <c r="NW26" i="12" s="1"/>
  <c r="NY26" i="12"/>
  <c r="NZ26" i="12" a="1"/>
  <c r="NZ26" i="12" s="1"/>
  <c r="OB26" i="12"/>
  <c r="OC26" i="12" a="1"/>
  <c r="OC26" i="12" s="1"/>
  <c r="OE26" i="12"/>
  <c r="OF26" i="12" a="1"/>
  <c r="OF26" i="12" s="1"/>
  <c r="OH26" i="12"/>
  <c r="OI26" i="12" a="1"/>
  <c r="OI26" i="12" s="1"/>
  <c r="OK26" i="12"/>
  <c r="OL26" i="12" a="1"/>
  <c r="OL26" i="12" s="1"/>
  <c r="ON26" i="12"/>
  <c r="OO26" i="12" a="1"/>
  <c r="OO26" i="12" s="1"/>
  <c r="NG27" i="12"/>
  <c r="NH27" i="12" a="1"/>
  <c r="NH27" i="12" s="1"/>
  <c r="NJ27" i="12"/>
  <c r="NK27" i="12" a="1"/>
  <c r="NK27" i="12" s="1"/>
  <c r="NM27" i="12"/>
  <c r="NN27" i="12" a="1"/>
  <c r="NN27" i="12" s="1"/>
  <c r="NP27" i="12"/>
  <c r="NQ27" i="12" a="1"/>
  <c r="NQ27" i="12" s="1"/>
  <c r="NS27" i="12"/>
  <c r="NT27" i="12" a="1"/>
  <c r="NT27" i="12" s="1"/>
  <c r="NV27" i="12"/>
  <c r="NW27" i="12" a="1"/>
  <c r="NW27" i="12" s="1"/>
  <c r="NY27" i="12"/>
  <c r="NZ27" i="12" a="1"/>
  <c r="NZ27" i="12" s="1"/>
  <c r="OB27" i="12"/>
  <c r="OC27" i="12" a="1"/>
  <c r="OC27" i="12" s="1"/>
  <c r="OE27" i="12"/>
  <c r="OF27" i="12" a="1"/>
  <c r="OF27" i="12" s="1"/>
  <c r="OH27" i="12"/>
  <c r="OI27" i="12" a="1"/>
  <c r="OI27" i="12" s="1"/>
  <c r="OK27" i="12"/>
  <c r="OL27" i="12" a="1"/>
  <c r="OL27" i="12" s="1"/>
  <c r="ON27" i="12"/>
  <c r="OO27" i="12" a="1"/>
  <c r="OO27" i="12" s="1"/>
  <c r="NG28" i="12"/>
  <c r="NH28" i="12" a="1"/>
  <c r="NH28" i="12" s="1"/>
  <c r="NJ28" i="12"/>
  <c r="NK28" i="12" a="1"/>
  <c r="NK28" i="12" s="1"/>
  <c r="NM28" i="12"/>
  <c r="NN28" i="12" a="1"/>
  <c r="NN28" i="12" s="1"/>
  <c r="NP28" i="12"/>
  <c r="NQ28" i="12" a="1"/>
  <c r="NQ28" i="12" s="1"/>
  <c r="NS28" i="12"/>
  <c r="NT28" i="12" a="1"/>
  <c r="NT28" i="12" s="1"/>
  <c r="NV28" i="12"/>
  <c r="NW28" i="12" a="1"/>
  <c r="NW28" i="12" s="1"/>
  <c r="NY28" i="12"/>
  <c r="NZ28" i="12" a="1"/>
  <c r="NZ28" i="12" s="1"/>
  <c r="OB28" i="12"/>
  <c r="OC28" i="12" a="1"/>
  <c r="OC28" i="12" s="1"/>
  <c r="OE28" i="12"/>
  <c r="OF28" i="12" a="1"/>
  <c r="OF28" i="12" s="1"/>
  <c r="OH28" i="12"/>
  <c r="OI28" i="12" a="1"/>
  <c r="OI28" i="12" s="1"/>
  <c r="OK28" i="12"/>
  <c r="OL28" i="12" a="1"/>
  <c r="OL28" i="12" s="1"/>
  <c r="ON28" i="12"/>
  <c r="OO28" i="12" a="1"/>
  <c r="OO28" i="12" s="1"/>
  <c r="NG29" i="12"/>
  <c r="NH29" i="12" a="1"/>
  <c r="NH29" i="12" s="1"/>
  <c r="NJ29" i="12"/>
  <c r="NK29" i="12" a="1"/>
  <c r="NK29" i="12" s="1"/>
  <c r="NM29" i="12"/>
  <c r="NN29" i="12" a="1"/>
  <c r="NN29" i="12" s="1"/>
  <c r="NP29" i="12"/>
  <c r="NQ29" i="12" a="1"/>
  <c r="NQ29" i="12" s="1"/>
  <c r="NS29" i="12"/>
  <c r="NT29" i="12" a="1"/>
  <c r="NT29" i="12" s="1"/>
  <c r="NV29" i="12"/>
  <c r="NW29" i="12" a="1"/>
  <c r="NW29" i="12" s="1"/>
  <c r="NY29" i="12"/>
  <c r="NZ29" i="12" a="1"/>
  <c r="NZ29" i="12" s="1"/>
  <c r="OB29" i="12"/>
  <c r="OC29" i="12" a="1"/>
  <c r="OC29" i="12" s="1"/>
  <c r="OE29" i="12"/>
  <c r="OF29" i="12" a="1"/>
  <c r="OF29" i="12" s="1"/>
  <c r="OH29" i="12"/>
  <c r="OI29" i="12" a="1"/>
  <c r="OI29" i="12" s="1"/>
  <c r="OK29" i="12"/>
  <c r="OL29" i="12" a="1"/>
  <c r="OL29" i="12" s="1"/>
  <c r="ON29" i="12"/>
  <c r="OO29" i="12" a="1"/>
  <c r="OO29" i="12" s="1"/>
  <c r="NG31" i="12"/>
  <c r="NH31" i="12" a="1"/>
  <c r="NH31" i="12" s="1"/>
  <c r="NJ31" i="12"/>
  <c r="NK31" i="12" a="1"/>
  <c r="NK31" i="12" s="1"/>
  <c r="NM31" i="12"/>
  <c r="NN31" i="12" a="1"/>
  <c r="NN31" i="12" s="1"/>
  <c r="NP31" i="12"/>
  <c r="NQ31" i="12" a="1"/>
  <c r="NQ31" i="12" s="1"/>
  <c r="NS31" i="12"/>
  <c r="NT31" i="12" a="1"/>
  <c r="NT31" i="12" s="1"/>
  <c r="NV31" i="12"/>
  <c r="NW31" i="12" a="1"/>
  <c r="NW31" i="12" s="1"/>
  <c r="NY31" i="12"/>
  <c r="NZ31" i="12" a="1"/>
  <c r="NZ31" i="12" s="1"/>
  <c r="OB31" i="12"/>
  <c r="OC31" i="12" a="1"/>
  <c r="OC31" i="12" s="1"/>
  <c r="OE31" i="12"/>
  <c r="OF31" i="12" a="1"/>
  <c r="OF31" i="12" s="1"/>
  <c r="OH31" i="12"/>
  <c r="OI31" i="12" a="1"/>
  <c r="OI31" i="12" s="1"/>
  <c r="OK31" i="12"/>
  <c r="OL31" i="12" a="1"/>
  <c r="OL31" i="12" s="1"/>
  <c r="ON31" i="12"/>
  <c r="OO31" i="12" a="1"/>
  <c r="OO31" i="12" s="1"/>
  <c r="NG32" i="12"/>
  <c r="NH32" i="12" a="1"/>
  <c r="NH32" i="12" s="1"/>
  <c r="NJ32" i="12"/>
  <c r="NK32" i="12" a="1"/>
  <c r="NK32" i="12" s="1"/>
  <c r="NM32" i="12"/>
  <c r="NN32" i="12" a="1"/>
  <c r="NN32" i="12" s="1"/>
  <c r="NP32" i="12"/>
  <c r="NQ32" i="12" a="1"/>
  <c r="NQ32" i="12" s="1"/>
  <c r="NS32" i="12"/>
  <c r="NT32" i="12" a="1"/>
  <c r="NT32" i="12" s="1"/>
  <c r="NV32" i="12"/>
  <c r="NW32" i="12" a="1"/>
  <c r="NW32" i="12" s="1"/>
  <c r="NY32" i="12"/>
  <c r="NZ32" i="12" a="1"/>
  <c r="NZ32" i="12" s="1"/>
  <c r="OB32" i="12"/>
  <c r="OC32" i="12" a="1"/>
  <c r="OC32" i="12" s="1"/>
  <c r="OE32" i="12"/>
  <c r="OF32" i="12" a="1"/>
  <c r="OF32" i="12" s="1"/>
  <c r="OH32" i="12"/>
  <c r="OI32" i="12" a="1"/>
  <c r="OI32" i="12" s="1"/>
  <c r="OK32" i="12"/>
  <c r="OL32" i="12" a="1"/>
  <c r="OL32" i="12" s="1"/>
  <c r="ON32" i="12"/>
  <c r="OO32" i="12" a="1"/>
  <c r="OO32" i="12" s="1"/>
  <c r="NG34" i="12"/>
  <c r="NH34" i="12" a="1"/>
  <c r="NH34" i="12" s="1"/>
  <c r="NJ34" i="12"/>
  <c r="NK34" i="12" a="1"/>
  <c r="NK34" i="12" s="1"/>
  <c r="NM34" i="12"/>
  <c r="NN34" i="12" a="1"/>
  <c r="NN34" i="12" s="1"/>
  <c r="NP34" i="12"/>
  <c r="NQ34" i="12" a="1"/>
  <c r="NQ34" i="12" s="1"/>
  <c r="NS34" i="12"/>
  <c r="NT34" i="12" a="1"/>
  <c r="NT34" i="12" s="1"/>
  <c r="NV34" i="12"/>
  <c r="NW34" i="12" a="1"/>
  <c r="NW34" i="12" s="1"/>
  <c r="NY34" i="12"/>
  <c r="NZ34" i="12" a="1"/>
  <c r="NZ34" i="12" s="1"/>
  <c r="OB34" i="12"/>
  <c r="OC34" i="12" a="1"/>
  <c r="OC34" i="12" s="1"/>
  <c r="OE34" i="12"/>
  <c r="OF34" i="12" a="1"/>
  <c r="OF34" i="12" s="1"/>
  <c r="OH34" i="12"/>
  <c r="OI34" i="12" a="1"/>
  <c r="OI34" i="12" s="1"/>
  <c r="OK34" i="12"/>
  <c r="OL34" i="12" a="1"/>
  <c r="OL34" i="12" s="1"/>
  <c r="ON34" i="12"/>
  <c r="OO34" i="12" a="1"/>
  <c r="OO34" i="12" s="1"/>
  <c r="NG35" i="12"/>
  <c r="NH35" i="12" a="1"/>
  <c r="NH35" i="12" s="1"/>
  <c r="NJ35" i="12"/>
  <c r="NK35" i="12" a="1"/>
  <c r="NK35" i="12" s="1"/>
  <c r="NM35" i="12"/>
  <c r="NN35" i="12" a="1"/>
  <c r="NN35" i="12" s="1"/>
  <c r="NP35" i="12"/>
  <c r="NQ35" i="12" a="1"/>
  <c r="NQ35" i="12" s="1"/>
  <c r="NS35" i="12"/>
  <c r="NT35" i="12" a="1"/>
  <c r="NT35" i="12" s="1"/>
  <c r="NV35" i="12"/>
  <c r="NW35" i="12" a="1"/>
  <c r="NW35" i="12" s="1"/>
  <c r="NY35" i="12"/>
  <c r="NZ35" i="12" a="1"/>
  <c r="NZ35" i="12" s="1"/>
  <c r="OB35" i="12"/>
  <c r="OC35" i="12" a="1"/>
  <c r="OC35" i="12" s="1"/>
  <c r="OE35" i="12"/>
  <c r="OF35" i="12" a="1"/>
  <c r="OF35" i="12" s="1"/>
  <c r="OH35" i="12"/>
  <c r="OI35" i="12" a="1"/>
  <c r="OI35" i="12" s="1"/>
  <c r="OK35" i="12"/>
  <c r="OL35" i="12" a="1"/>
  <c r="OL35" i="12" s="1"/>
  <c r="ON35" i="12"/>
  <c r="OO35" i="12" a="1"/>
  <c r="OO35" i="12" s="1"/>
  <c r="NG36" i="12"/>
  <c r="NH36" i="12" a="1"/>
  <c r="NH36" i="12" s="1"/>
  <c r="NK36" i="12" a="1"/>
  <c r="NK36" i="12" s="1"/>
  <c r="NM36" i="12"/>
  <c r="NN36" i="12" a="1"/>
  <c r="NN36" i="12" s="1"/>
  <c r="NP36" i="12"/>
  <c r="NQ36" i="12" a="1"/>
  <c r="NQ36" i="12" s="1"/>
  <c r="NS36" i="12"/>
  <c r="NT36" i="12" a="1"/>
  <c r="NT36" i="12" s="1"/>
  <c r="NV36" i="12"/>
  <c r="NW36" i="12" a="1"/>
  <c r="NW36" i="12" s="1"/>
  <c r="NY36" i="12"/>
  <c r="NZ36" i="12" a="1"/>
  <c r="NZ36" i="12" s="1"/>
  <c r="OB36" i="12"/>
  <c r="OC36" i="12" a="1"/>
  <c r="OC36" i="12" s="1"/>
  <c r="OE36" i="12"/>
  <c r="OF36" i="12" a="1"/>
  <c r="OF36" i="12" s="1"/>
  <c r="OH36" i="12"/>
  <c r="OI36" i="12" a="1"/>
  <c r="OI36" i="12" s="1"/>
  <c r="OK36" i="12"/>
  <c r="OL36" i="12" a="1"/>
  <c r="OL36" i="12" s="1"/>
  <c r="ON36" i="12"/>
  <c r="OO36" i="12" a="1"/>
  <c r="OO36" i="12" s="1"/>
  <c r="NG37" i="12"/>
  <c r="NH37" i="12" a="1"/>
  <c r="NH37" i="12" s="1"/>
  <c r="NK37" i="12" a="1"/>
  <c r="NK37" i="12" s="1"/>
  <c r="NM37" i="12"/>
  <c r="NN37" i="12" a="1"/>
  <c r="NN37" i="12" s="1"/>
  <c r="NP37" i="12"/>
  <c r="NQ37" i="12" a="1"/>
  <c r="NQ37" i="12" s="1"/>
  <c r="NS37" i="12"/>
  <c r="NT37" i="12" a="1"/>
  <c r="NT37" i="12" s="1"/>
  <c r="NV37" i="12"/>
  <c r="NW37" i="12" a="1"/>
  <c r="NW37" i="12" s="1"/>
  <c r="NY37" i="12"/>
  <c r="NZ37" i="12" a="1"/>
  <c r="NZ37" i="12" s="1"/>
  <c r="OB37" i="12"/>
  <c r="OC37" i="12" a="1"/>
  <c r="OC37" i="12" s="1"/>
  <c r="OE37" i="12"/>
  <c r="OF37" i="12" a="1"/>
  <c r="OF37" i="12" s="1"/>
  <c r="OH37" i="12"/>
  <c r="OI37" i="12" a="1"/>
  <c r="OI37" i="12" s="1"/>
  <c r="OK37" i="12"/>
  <c r="OL37" i="12" a="1"/>
  <c r="OL37" i="12" s="1"/>
  <c r="ON37" i="12"/>
  <c r="OO37" i="12" a="1"/>
  <c r="OO37" i="12" s="1"/>
  <c r="NG38" i="12"/>
  <c r="NH38" i="12" a="1"/>
  <c r="NH38" i="12" s="1"/>
  <c r="NJ38" i="12"/>
  <c r="NK38" i="12" a="1"/>
  <c r="NK38" i="12" s="1"/>
  <c r="NM38" i="12"/>
  <c r="NN38" i="12" a="1"/>
  <c r="NN38" i="12" s="1"/>
  <c r="NS38" i="12"/>
  <c r="NT38" i="12" a="1"/>
  <c r="NT38" i="12" s="1"/>
  <c r="NV38" i="12"/>
  <c r="NW38" i="12" a="1"/>
  <c r="NW38" i="12" s="1"/>
  <c r="NY38" i="12"/>
  <c r="NZ38" i="12" a="1"/>
  <c r="NZ38" i="12" s="1"/>
  <c r="OB38" i="12"/>
  <c r="OC38" i="12" a="1"/>
  <c r="OC38" i="12" s="1"/>
  <c r="OE38" i="12"/>
  <c r="OF38" i="12" a="1"/>
  <c r="OF38" i="12" s="1"/>
  <c r="OH38" i="12"/>
  <c r="OI38" i="12" a="1"/>
  <c r="OI38" i="12" s="1"/>
  <c r="OK38" i="12"/>
  <c r="OL38" i="12" a="1"/>
  <c r="OL38" i="12" s="1"/>
  <c r="ON38" i="12"/>
  <c r="OO38" i="12" a="1"/>
  <c r="OO38" i="12" s="1"/>
  <c r="NG39" i="12"/>
  <c r="NH39" i="12" a="1"/>
  <c r="NH39" i="12" s="1"/>
  <c r="NJ39" i="12"/>
  <c r="NK39" i="12" a="1"/>
  <c r="NK39" i="12" s="1"/>
  <c r="NM39" i="12"/>
  <c r="NN39" i="12" a="1"/>
  <c r="NN39" i="12" s="1"/>
  <c r="NP39" i="12"/>
  <c r="NQ39" i="12" a="1"/>
  <c r="NQ39" i="12" s="1"/>
  <c r="NS39" i="12"/>
  <c r="NT39" i="12" a="1"/>
  <c r="NT39" i="12" s="1"/>
  <c r="NV39" i="12"/>
  <c r="NW39" i="12" a="1"/>
  <c r="NW39" i="12" s="1"/>
  <c r="NY39" i="12"/>
  <c r="NZ39" i="12" a="1"/>
  <c r="NZ39" i="12" s="1"/>
  <c r="OB39" i="12"/>
  <c r="OC39" i="12" a="1"/>
  <c r="OC39" i="12" s="1"/>
  <c r="OE39" i="12"/>
  <c r="OF39" i="12" a="1"/>
  <c r="OF39" i="12" s="1"/>
  <c r="OH39" i="12"/>
  <c r="OI39" i="12" a="1"/>
  <c r="OI39" i="12" s="1"/>
  <c r="OK39" i="12"/>
  <c r="OL39" i="12" a="1"/>
  <c r="OL39" i="12" s="1"/>
  <c r="ON39" i="12"/>
  <c r="OO39" i="12" a="1"/>
  <c r="OO39" i="12" s="1"/>
  <c r="NG40" i="12"/>
  <c r="NH40" i="12" a="1"/>
  <c r="NH40" i="12" s="1"/>
  <c r="NJ40" i="12"/>
  <c r="NK40" i="12" a="1"/>
  <c r="NK40" i="12" s="1"/>
  <c r="NM40" i="12"/>
  <c r="NN40" i="12" a="1"/>
  <c r="NN40" i="12" s="1"/>
  <c r="NS40" i="12"/>
  <c r="NT40" i="12" a="1"/>
  <c r="NT40" i="12" s="1"/>
  <c r="NV40" i="12"/>
  <c r="NW40" i="12" a="1"/>
  <c r="NW40" i="12" s="1"/>
  <c r="NY40" i="12"/>
  <c r="NZ40" i="12" a="1"/>
  <c r="NZ40" i="12" s="1"/>
  <c r="OB40" i="12"/>
  <c r="OC40" i="12" a="1"/>
  <c r="OC40" i="12" s="1"/>
  <c r="OE40" i="12"/>
  <c r="OF40" i="12" a="1"/>
  <c r="OF40" i="12" s="1"/>
  <c r="OH40" i="12"/>
  <c r="OI40" i="12" a="1"/>
  <c r="OI40" i="12" s="1"/>
  <c r="OK40" i="12"/>
  <c r="OL40" i="12" a="1"/>
  <c r="OL40" i="12" s="1"/>
  <c r="ON40" i="12"/>
  <c r="OO40" i="12" a="1"/>
  <c r="OO40" i="12" s="1"/>
  <c r="NG42" i="12"/>
  <c r="NH42" i="12" a="1"/>
  <c r="NH42" i="12" s="1"/>
  <c r="NK42" i="12" a="1"/>
  <c r="NK42" i="12" s="1"/>
  <c r="NM42" i="12"/>
  <c r="NN42" i="12" a="1"/>
  <c r="NN42" i="12" s="1"/>
  <c r="NP42" i="12"/>
  <c r="NQ42" i="12" a="1"/>
  <c r="NQ42" i="12" s="1"/>
  <c r="NS42" i="12"/>
  <c r="NT42" i="12" a="1"/>
  <c r="NT42" i="12" s="1"/>
  <c r="NV42" i="12"/>
  <c r="NW42" i="12" a="1"/>
  <c r="NW42" i="12" s="1"/>
  <c r="NY42" i="12"/>
  <c r="NZ42" i="12" a="1"/>
  <c r="NZ42" i="12" s="1"/>
  <c r="OB42" i="12"/>
  <c r="OC42" i="12" a="1"/>
  <c r="OC42" i="12" s="1"/>
  <c r="OE42" i="12"/>
  <c r="OF42" i="12" a="1"/>
  <c r="OF42" i="12" s="1"/>
  <c r="OH42" i="12"/>
  <c r="OI42" i="12" a="1"/>
  <c r="OI42" i="12" s="1"/>
  <c r="OK42" i="12"/>
  <c r="OL42" i="12" a="1"/>
  <c r="OL42" i="12" s="1"/>
  <c r="ON42" i="12"/>
  <c r="OO42" i="12" a="1"/>
  <c r="OO42" i="12" s="1"/>
  <c r="NG44" i="12"/>
  <c r="NH44" i="12" a="1"/>
  <c r="NH44" i="12" s="1"/>
  <c r="NJ44" i="12"/>
  <c r="NK44" i="12" a="1"/>
  <c r="NK44" i="12" s="1"/>
  <c r="NM44" i="12"/>
  <c r="NN44" i="12" a="1"/>
  <c r="NN44" i="12" s="1"/>
  <c r="NP44" i="12"/>
  <c r="NQ44" i="12" a="1"/>
  <c r="NQ44" i="12" s="1"/>
  <c r="NS44" i="12"/>
  <c r="NT44" i="12" a="1"/>
  <c r="NT44" i="12" s="1"/>
  <c r="NV44" i="12"/>
  <c r="NW44" i="12" a="1"/>
  <c r="NW44" i="12" s="1"/>
  <c r="NY44" i="12"/>
  <c r="NZ44" i="12" a="1"/>
  <c r="NZ44" i="12" s="1"/>
  <c r="OB44" i="12"/>
  <c r="OC44" i="12" a="1"/>
  <c r="OC44" i="12" s="1"/>
  <c r="OE44" i="12"/>
  <c r="OF44" i="12" a="1"/>
  <c r="OF44" i="12" s="1"/>
  <c r="OH44" i="12"/>
  <c r="OI44" i="12" a="1"/>
  <c r="OI44" i="12" s="1"/>
  <c r="OK44" i="12"/>
  <c r="OL44" i="12" a="1"/>
  <c r="OL44" i="12" s="1"/>
  <c r="ON44" i="12"/>
  <c r="OO44" i="12" a="1"/>
  <c r="OO44" i="12" s="1"/>
  <c r="OO6" i="12" a="1"/>
  <c r="OO6" i="12" s="1"/>
  <c r="ON6" i="12"/>
  <c r="OL6" i="12" a="1"/>
  <c r="OL6" i="12" s="1"/>
  <c r="OK6" i="12"/>
  <c r="OI6" i="12" a="1"/>
  <c r="OI6" i="12" s="1"/>
  <c r="OH6" i="12"/>
  <c r="OF6" i="12" a="1"/>
  <c r="OF6" i="12" s="1"/>
  <c r="OE6" i="12"/>
  <c r="OC6" i="12" a="1"/>
  <c r="OC6" i="12" s="1"/>
  <c r="OB6" i="12"/>
  <c r="NZ6" i="12" a="1"/>
  <c r="NZ6" i="12" s="1"/>
  <c r="NY6" i="12"/>
  <c r="NW6" i="12" a="1"/>
  <c r="NW6" i="12" s="1"/>
  <c r="NV6" i="12"/>
  <c r="NT6" i="12" a="1"/>
  <c r="NT6" i="12" s="1"/>
  <c r="NS6" i="12"/>
  <c r="NQ6" i="12" a="1"/>
  <c r="NQ6" i="12" s="1"/>
  <c r="NP6" i="12"/>
  <c r="NN6" i="12" a="1"/>
  <c r="NN6" i="12" s="1"/>
  <c r="NM6" i="12"/>
  <c r="NK6" i="12" a="1"/>
  <c r="NK6" i="12" s="1"/>
  <c r="NJ6" i="12"/>
  <c r="NH6" i="12" a="1"/>
  <c r="NH6" i="12" s="1"/>
  <c r="NG6" i="12"/>
  <c r="NI14" i="12" l="1"/>
  <c r="NR12" i="12"/>
  <c r="NO22" i="12"/>
  <c r="NI16" i="12"/>
  <c r="NR15" i="12"/>
  <c r="NI17" i="12"/>
  <c r="NU19" i="12"/>
  <c r="NU6" i="12"/>
  <c r="NR16" i="12"/>
  <c r="NU16" i="12"/>
  <c r="NU12" i="12"/>
  <c r="NR10" i="12"/>
  <c r="NI18" i="12"/>
  <c r="NR14" i="12"/>
  <c r="NU17" i="12"/>
  <c r="NO24" i="12"/>
  <c r="NL20" i="12"/>
  <c r="NL106" i="12"/>
  <c r="NU10" i="12"/>
  <c r="NU14" i="12"/>
  <c r="NL21" i="12"/>
  <c r="NR17" i="12"/>
  <c r="NI15" i="12"/>
  <c r="NO10" i="12"/>
  <c r="NU15" i="12"/>
  <c r="NO15" i="12"/>
  <c r="NL10" i="12"/>
  <c r="NU32" i="12"/>
  <c r="NU24" i="12"/>
  <c r="NO16" i="12"/>
  <c r="NO12" i="12"/>
  <c r="NO14" i="12"/>
  <c r="NU20" i="12"/>
  <c r="NO32" i="12"/>
  <c r="NO31" i="12"/>
  <c r="NO29" i="12"/>
  <c r="NO28" i="12"/>
  <c r="NO27" i="12"/>
  <c r="NO26" i="12"/>
  <c r="NO44" i="12"/>
  <c r="NO42" i="12"/>
  <c r="NI24" i="12"/>
  <c r="NI22" i="12"/>
  <c r="NR18" i="12"/>
  <c r="NO11" i="12"/>
  <c r="NL32" i="12"/>
  <c r="NL29" i="12"/>
  <c r="NL27" i="12"/>
  <c r="NL26" i="12"/>
  <c r="NL24" i="12"/>
  <c r="NI21" i="12"/>
  <c r="NI20" i="12"/>
  <c r="NR32" i="12"/>
  <c r="NR24" i="12"/>
  <c r="NO20" i="12"/>
  <c r="NO106" i="12"/>
  <c r="NL34" i="12"/>
  <c r="NL22" i="12"/>
  <c r="NI29" i="12"/>
  <c r="NI28" i="12"/>
  <c r="NI27" i="12"/>
  <c r="NI26" i="12"/>
  <c r="NL31" i="12"/>
  <c r="NL28" i="12"/>
  <c r="NU44" i="12"/>
  <c r="NU42" i="12"/>
  <c r="NI32" i="12"/>
  <c r="NR44" i="12"/>
  <c r="NR42" i="12"/>
  <c r="NI37" i="12"/>
  <c r="NU23" i="12"/>
  <c r="NU30" i="12"/>
  <c r="NU41" i="12"/>
  <c r="NU43" i="12"/>
  <c r="NU45" i="12"/>
  <c r="NU53" i="12"/>
  <c r="NU61" i="12"/>
  <c r="NU64" i="12"/>
  <c r="NU65" i="12"/>
  <c r="NU79" i="12"/>
  <c r="NU110" i="12"/>
  <c r="NU111" i="12"/>
  <c r="NU34" i="12"/>
  <c r="NU31" i="12"/>
  <c r="NU27" i="12"/>
  <c r="NU21" i="12"/>
  <c r="NL14" i="12"/>
  <c r="NR36" i="12"/>
  <c r="NI12" i="12"/>
  <c r="NI23" i="12"/>
  <c r="NI30" i="12"/>
  <c r="NI41" i="12"/>
  <c r="NI43" i="12"/>
  <c r="NI45" i="12"/>
  <c r="NI53" i="12"/>
  <c r="NI61" i="12"/>
  <c r="NI64" i="12"/>
  <c r="NI65" i="12"/>
  <c r="NI79" i="12"/>
  <c r="NI110" i="12"/>
  <c r="NI111" i="12"/>
  <c r="NO19" i="12"/>
  <c r="NL17" i="12"/>
  <c r="NL16" i="12"/>
  <c r="NI11" i="12"/>
  <c r="NI6" i="12"/>
  <c r="NU39" i="12"/>
  <c r="NU38" i="12"/>
  <c r="NR37" i="12"/>
  <c r="NO35" i="12"/>
  <c r="NO34" i="12"/>
  <c r="NL11" i="12"/>
  <c r="NR106" i="12"/>
  <c r="NI10" i="12"/>
  <c r="NI44" i="12"/>
  <c r="NO36" i="12"/>
  <c r="NI19" i="12"/>
  <c r="NL23" i="12"/>
  <c r="NL30" i="12"/>
  <c r="NL41" i="12"/>
  <c r="NL43" i="12"/>
  <c r="NL45" i="12"/>
  <c r="NL53" i="12"/>
  <c r="NL61" i="12"/>
  <c r="NL64" i="12"/>
  <c r="NL65" i="12"/>
  <c r="NL79" i="12"/>
  <c r="NL110" i="12"/>
  <c r="NL111" i="12"/>
  <c r="NL12" i="12"/>
  <c r="NL44" i="12"/>
  <c r="NU36" i="12"/>
  <c r="NL6" i="12"/>
  <c r="NU40" i="12"/>
  <c r="NR39" i="12"/>
  <c r="NO38" i="12"/>
  <c r="NO37" i="12"/>
  <c r="NL35" i="12"/>
  <c r="NL18" i="12"/>
  <c r="NU106" i="12"/>
  <c r="NI40" i="12"/>
  <c r="NI39" i="12"/>
  <c r="NU35" i="12"/>
  <c r="NU28" i="12"/>
  <c r="NR35" i="12"/>
  <c r="NR29" i="12"/>
  <c r="NU11" i="12"/>
  <c r="NO23" i="12"/>
  <c r="NO30" i="12"/>
  <c r="NO41" i="12"/>
  <c r="NO43" i="12"/>
  <c r="NO45" i="12"/>
  <c r="NO53" i="12"/>
  <c r="NO61" i="12"/>
  <c r="NO64" i="12"/>
  <c r="NO65" i="12"/>
  <c r="NO79" i="12"/>
  <c r="NO110" i="12"/>
  <c r="NO111" i="12"/>
  <c r="NL19" i="12"/>
  <c r="NI42" i="12"/>
  <c r="NU37" i="12"/>
  <c r="NR34" i="12"/>
  <c r="NR27" i="12"/>
  <c r="NR22" i="12"/>
  <c r="NO6" i="12"/>
  <c r="NO40" i="12"/>
  <c r="NO39" i="12"/>
  <c r="NL38" i="12"/>
  <c r="NI36" i="12"/>
  <c r="NI35" i="12"/>
  <c r="NI34" i="12"/>
  <c r="NI31" i="12"/>
  <c r="NL36" i="12"/>
  <c r="NU29" i="12"/>
  <c r="NU26" i="12"/>
  <c r="NU22" i="12"/>
  <c r="NR20" i="12"/>
  <c r="NR19" i="12"/>
  <c r="NO17" i="12"/>
  <c r="NR31" i="12"/>
  <c r="NR28" i="12"/>
  <c r="NR26" i="12"/>
  <c r="NO21" i="12"/>
  <c r="NU18" i="12"/>
  <c r="NR11" i="12"/>
  <c r="NR23" i="12"/>
  <c r="NR30" i="12"/>
  <c r="NR41" i="12"/>
  <c r="NR43" i="12"/>
  <c r="NR45" i="12"/>
  <c r="NR53" i="12"/>
  <c r="NR61" i="12"/>
  <c r="NR64" i="12"/>
  <c r="NR65" i="12"/>
  <c r="NR79" i="12"/>
  <c r="NR110" i="12"/>
  <c r="NR111" i="12"/>
  <c r="NL37" i="12"/>
  <c r="NO18" i="12"/>
  <c r="NL15" i="12"/>
  <c r="NR6" i="12"/>
  <c r="NL40" i="12"/>
  <c r="NL39" i="12"/>
  <c r="NI38" i="12"/>
  <c r="NL42" i="12"/>
  <c r="NI106" i="12"/>
  <c r="OG10" i="12"/>
  <c r="OD10" i="12"/>
  <c r="OA79" i="12"/>
  <c r="OD106" i="12"/>
  <c r="OP106" i="12"/>
  <c r="NX106" i="12"/>
  <c r="OA106" i="12"/>
  <c r="OJ106" i="12"/>
  <c r="OM106" i="12"/>
  <c r="OG53" i="12"/>
  <c r="OJ10" i="12"/>
  <c r="OG106" i="12"/>
  <c r="OR106" i="12"/>
  <c r="OQ106" i="12"/>
  <c r="OA28" i="12"/>
  <c r="NX39" i="12"/>
  <c r="OM40" i="12"/>
  <c r="OJ39" i="12"/>
  <c r="OG110" i="12"/>
  <c r="OG40" i="12"/>
  <c r="OD42" i="12"/>
  <c r="NX42" i="12"/>
  <c r="OJ21" i="12"/>
  <c r="OD44" i="12"/>
  <c r="OA26" i="12"/>
  <c r="OA15" i="12"/>
  <c r="OD20" i="12"/>
  <c r="OA40" i="12"/>
  <c r="OA39" i="12"/>
  <c r="OJ17" i="12"/>
  <c r="OD32" i="12"/>
  <c r="NX22" i="12"/>
  <c r="OP12" i="12"/>
  <c r="OM34" i="12"/>
  <c r="OG31" i="12"/>
  <c r="OJ29" i="12"/>
  <c r="OJ35" i="12"/>
  <c r="NX28" i="12"/>
  <c r="OM11" i="12"/>
  <c r="OP27" i="12"/>
  <c r="OP18" i="12"/>
  <c r="OJ28" i="12"/>
  <c r="OG11" i="12"/>
  <c r="OA35" i="12"/>
  <c r="OD39" i="12"/>
  <c r="OG28" i="12"/>
  <c r="NX16" i="12"/>
  <c r="OD12" i="12"/>
  <c r="OG12" i="12"/>
  <c r="NX36" i="12"/>
  <c r="OJ19" i="12"/>
  <c r="OP44" i="12"/>
  <c r="NX18" i="12"/>
  <c r="OP28" i="12"/>
  <c r="OP38" i="12"/>
  <c r="OM21" i="12"/>
  <c r="NX40" i="12"/>
  <c r="OM31" i="12"/>
  <c r="OA31" i="12"/>
  <c r="OJ40" i="12"/>
  <c r="OP37" i="12"/>
  <c r="OA37" i="12"/>
  <c r="OA34" i="12"/>
  <c r="OG19" i="12"/>
  <c r="OD110" i="12"/>
  <c r="OA22" i="12"/>
  <c r="OP20" i="12"/>
  <c r="OJ18" i="12"/>
  <c r="OA16" i="12"/>
  <c r="OG15" i="12"/>
  <c r="OD31" i="12"/>
  <c r="OQ21" i="12"/>
  <c r="OG37" i="12"/>
  <c r="OJ36" i="12"/>
  <c r="OP39" i="12"/>
  <c r="OG38" i="12"/>
  <c r="OG36" i="12"/>
  <c r="OP34" i="12"/>
  <c r="OM28" i="12"/>
  <c r="OG24" i="12"/>
  <c r="OP16" i="12"/>
  <c r="OA11" i="12"/>
  <c r="NX37" i="12"/>
  <c r="OM22" i="12"/>
  <c r="OG18" i="12"/>
  <c r="OM16" i="12"/>
  <c r="OD15" i="12"/>
  <c r="OG14" i="12"/>
  <c r="OP26" i="12"/>
  <c r="OJ42" i="12"/>
  <c r="OD38" i="12"/>
  <c r="OJ37" i="12"/>
  <c r="OM26" i="12"/>
  <c r="OJ22" i="12"/>
  <c r="OA21" i="12"/>
  <c r="NX11" i="12"/>
  <c r="OD27" i="12"/>
  <c r="OG32" i="12"/>
  <c r="OM10" i="12"/>
  <c r="NX12" i="12"/>
  <c r="OD34" i="12"/>
  <c r="OM32" i="12"/>
  <c r="OA32" i="12"/>
  <c r="OJ27" i="12"/>
  <c r="OA19" i="12"/>
  <c r="NX30" i="12"/>
  <c r="OP30" i="12"/>
  <c r="NX43" i="12"/>
  <c r="OP43" i="12"/>
  <c r="NX53" i="12"/>
  <c r="OP53" i="12"/>
  <c r="NX61" i="12"/>
  <c r="OP64" i="12"/>
  <c r="OP65" i="12"/>
  <c r="NX79" i="12"/>
  <c r="NX110" i="12"/>
  <c r="OP110" i="12"/>
  <c r="NX111" i="12"/>
  <c r="OP42" i="12"/>
  <c r="OA17" i="12"/>
  <c r="OM29" i="12"/>
  <c r="OA29" i="12"/>
  <c r="OP14" i="12"/>
  <c r="OD14" i="12"/>
  <c r="NX6" i="12"/>
  <c r="OP6" i="12"/>
  <c r="OD37" i="12"/>
  <c r="OP36" i="12"/>
  <c r="NX32" i="12"/>
  <c r="OQ23" i="12"/>
  <c r="OA30" i="12"/>
  <c r="OQ41" i="12"/>
  <c r="OA43" i="12"/>
  <c r="OQ45" i="12"/>
  <c r="OA45" i="12"/>
  <c r="OA61" i="12"/>
  <c r="OA64" i="12"/>
  <c r="OA110" i="12"/>
  <c r="OA111" i="12"/>
  <c r="OG26" i="12"/>
  <c r="OQ6" i="12"/>
  <c r="OP21" i="12"/>
  <c r="NX19" i="12"/>
  <c r="OD23" i="12"/>
  <c r="OD30" i="12"/>
  <c r="OD41" i="12"/>
  <c r="OD43" i="12"/>
  <c r="OD45" i="12"/>
  <c r="OD61" i="12"/>
  <c r="OD64" i="12"/>
  <c r="OD65" i="12"/>
  <c r="OD111" i="12"/>
  <c r="OG42" i="12"/>
  <c r="OD26" i="12"/>
  <c r="OG17" i="12"/>
  <c r="OP10" i="12"/>
  <c r="OG45" i="12"/>
  <c r="OG111" i="12"/>
  <c r="OA10" i="12"/>
  <c r="OD6" i="12"/>
  <c r="OP31" i="12"/>
  <c r="OJ24" i="12"/>
  <c r="NX21" i="12"/>
  <c r="OD18" i="12"/>
  <c r="OG6" i="12"/>
  <c r="OM39" i="12"/>
  <c r="NX24" i="12"/>
  <c r="OJ15" i="12"/>
  <c r="NX15" i="12"/>
  <c r="OJ11" i="12"/>
  <c r="OJ23" i="12"/>
  <c r="OJ41" i="12"/>
  <c r="OJ45" i="12"/>
  <c r="OJ61" i="12"/>
  <c r="OJ65" i="12"/>
  <c r="OJ110" i="12"/>
  <c r="OJ6" i="12"/>
  <c r="OG35" i="12"/>
  <c r="OP32" i="12"/>
  <c r="OD28" i="12"/>
  <c r="OA27" i="12"/>
  <c r="OG20" i="12"/>
  <c r="OP19" i="12"/>
  <c r="OD19" i="12"/>
  <c r="NX10" i="12"/>
  <c r="OM41" i="12"/>
  <c r="OM45" i="12"/>
  <c r="OM64" i="12"/>
  <c r="OM111" i="12"/>
  <c r="OR27" i="12"/>
  <c r="OD36" i="12"/>
  <c r="OJ12" i="12"/>
  <c r="OD21" i="12"/>
  <c r="NX17" i="12"/>
  <c r="OA44" i="12"/>
  <c r="OM35" i="12"/>
  <c r="OD16" i="12"/>
  <c r="OM27" i="12"/>
  <c r="OR42" i="12"/>
  <c r="OR22" i="12"/>
  <c r="OM17" i="12"/>
  <c r="NX35" i="12"/>
  <c r="OG22" i="12"/>
  <c r="OM44" i="12"/>
  <c r="NX29" i="12"/>
  <c r="OP15" i="12"/>
  <c r="NX44" i="12"/>
  <c r="OA36" i="12"/>
  <c r="OD22" i="12"/>
  <c r="OM36" i="12"/>
  <c r="OP22" i="12"/>
  <c r="OD11" i="12"/>
  <c r="OR21" i="12"/>
  <c r="OQ65" i="12"/>
  <c r="NX38" i="12"/>
  <c r="OG61" i="12"/>
  <c r="OM6" i="12"/>
  <c r="OA42" i="12"/>
  <c r="OQ35" i="12"/>
  <c r="NX34" i="12"/>
  <c r="OQ26" i="12"/>
  <c r="OQ11" i="12"/>
  <c r="OQ43" i="12"/>
  <c r="OD29" i="12"/>
  <c r="OA24" i="12"/>
  <c r="OR18" i="12"/>
  <c r="OG30" i="12"/>
  <c r="OG43" i="12"/>
  <c r="OA53" i="12"/>
  <c r="OM65" i="12"/>
  <c r="OR40" i="12"/>
  <c r="OR16" i="12"/>
  <c r="OG41" i="12"/>
  <c r="OA38" i="12"/>
  <c r="OA14" i="12"/>
  <c r="OQ111" i="12"/>
  <c r="OQ32" i="12"/>
  <c r="OP11" i="12"/>
  <c r="OQ61" i="12"/>
  <c r="OG27" i="12"/>
  <c r="NX14" i="12"/>
  <c r="OR11" i="12"/>
  <c r="OJ38" i="12"/>
  <c r="OQ37" i="12"/>
  <c r="OA20" i="12"/>
  <c r="OM18" i="12"/>
  <c r="OQ18" i="12"/>
  <c r="OM42" i="12"/>
  <c r="OQ42" i="12"/>
  <c r="OQ30" i="12"/>
  <c r="OM37" i="12"/>
  <c r="OP35" i="12"/>
  <c r="NX20" i="12"/>
  <c r="OQ17" i="12"/>
  <c r="OJ16" i="12"/>
  <c r="OQ15" i="12"/>
  <c r="NX23" i="12"/>
  <c r="OJ30" i="12"/>
  <c r="NX41" i="12"/>
  <c r="OJ43" i="12"/>
  <c r="OP45" i="12"/>
  <c r="OD53" i="12"/>
  <c r="OP61" i="12"/>
  <c r="OG23" i="12"/>
  <c r="OM79" i="12"/>
  <c r="OQ28" i="12"/>
  <c r="OR36" i="12"/>
  <c r="NX31" i="12"/>
  <c r="OJ31" i="12"/>
  <c r="OR31" i="12"/>
  <c r="OQ24" i="12"/>
  <c r="OQ10" i="12"/>
  <c r="OD79" i="12"/>
  <c r="OJ111" i="12"/>
  <c r="OM53" i="12"/>
  <c r="OA65" i="12"/>
  <c r="OQ36" i="12"/>
  <c r="OQ22" i="12"/>
  <c r="OR26" i="12"/>
  <c r="OA18" i="12"/>
  <c r="OG65" i="12"/>
  <c r="OQ110" i="12"/>
  <c r="OG44" i="12"/>
  <c r="OD24" i="12"/>
  <c r="OJ14" i="12"/>
  <c r="NX64" i="12"/>
  <c r="OQ44" i="12"/>
  <c r="OD40" i="12"/>
  <c r="OG34" i="12"/>
  <c r="OP29" i="12"/>
  <c r="OJ20" i="12"/>
  <c r="OQ19" i="12"/>
  <c r="OA23" i="12"/>
  <c r="OM30" i="12"/>
  <c r="OA41" i="12"/>
  <c r="OM43" i="12"/>
  <c r="NX45" i="12"/>
  <c r="OQ53" i="12"/>
  <c r="OQ64" i="12"/>
  <c r="OG64" i="12"/>
  <c r="OR44" i="12"/>
  <c r="OR39" i="12"/>
  <c r="OQ12" i="12"/>
  <c r="OQ79" i="12"/>
  <c r="OA6" i="12"/>
  <c r="NX27" i="12"/>
  <c r="OG79" i="12"/>
  <c r="OP40" i="12"/>
  <c r="OQ40" i="12"/>
  <c r="OQ34" i="12"/>
  <c r="OJ32" i="12"/>
  <c r="OQ29" i="12"/>
  <c r="OM19" i="12"/>
  <c r="OM15" i="12"/>
  <c r="OJ64" i="12"/>
  <c r="OJ79" i="12"/>
  <c r="OM110" i="12"/>
  <c r="OP111" i="12"/>
  <c r="OR111" i="12"/>
  <c r="OR110" i="12"/>
  <c r="OR79" i="12"/>
  <c r="OP79" i="12"/>
  <c r="OR65" i="12"/>
  <c r="OR64" i="12"/>
  <c r="NX65" i="12"/>
  <c r="OM61" i="12"/>
  <c r="OR61" i="12"/>
  <c r="OR53" i="12"/>
  <c r="OJ53" i="12"/>
  <c r="OR45" i="12"/>
  <c r="OR43" i="12"/>
  <c r="OR41" i="12"/>
  <c r="OP41" i="12"/>
  <c r="OR30" i="12"/>
  <c r="OM23" i="12"/>
  <c r="OR23" i="12"/>
  <c r="OP23" i="12"/>
  <c r="OJ26" i="12"/>
  <c r="OG29" i="12"/>
  <c r="OR14" i="12"/>
  <c r="OM24" i="12"/>
  <c r="OM38" i="12"/>
  <c r="OD17" i="12"/>
  <c r="OJ44" i="12"/>
  <c r="OR38" i="12"/>
  <c r="OG21" i="12"/>
  <c r="OM20" i="12"/>
  <c r="OR20" i="12"/>
  <c r="OR28" i="12"/>
  <c r="OR29" i="12"/>
  <c r="OR24" i="12"/>
  <c r="OD35" i="12"/>
  <c r="OR34" i="12"/>
  <c r="OA12" i="12"/>
  <c r="OG39" i="12"/>
  <c r="OR17" i="12"/>
  <c r="OR15" i="12"/>
  <c r="OM14" i="12"/>
  <c r="OP17" i="12"/>
  <c r="OG16" i="12"/>
  <c r="OM12" i="12"/>
  <c r="OP24" i="12"/>
  <c r="OR37" i="12"/>
  <c r="OR35" i="12"/>
  <c r="OJ34" i="12"/>
  <c r="OR19" i="12"/>
  <c r="OR10" i="12"/>
  <c r="NX26" i="12"/>
  <c r="OR32" i="12"/>
  <c r="OR12" i="12"/>
  <c r="OQ16" i="12"/>
  <c r="OQ39" i="12"/>
  <c r="OQ31" i="12"/>
  <c r="OQ27" i="12"/>
  <c r="OQ20" i="12"/>
  <c r="OQ14" i="12"/>
  <c r="OQ38" i="12"/>
  <c r="OR6" i="12"/>
  <c r="OS6" i="12" l="1"/>
  <c r="OS106" i="12"/>
  <c r="OS27" i="12"/>
  <c r="OS35" i="12"/>
  <c r="OS79" i="12"/>
  <c r="OS15" i="12"/>
  <c r="OS41" i="12"/>
  <c r="OS44" i="12"/>
  <c r="OS61" i="12"/>
  <c r="OS19" i="12"/>
  <c r="OS23" i="12"/>
  <c r="OS32" i="12"/>
  <c r="OS21" i="12"/>
  <c r="OS111" i="12"/>
  <c r="OS11" i="12"/>
  <c r="OS14" i="12"/>
  <c r="OS37" i="12"/>
  <c r="OS28" i="12"/>
  <c r="OS65" i="12"/>
  <c r="OS30" i="12"/>
  <c r="OS29" i="12"/>
  <c r="OS17" i="12"/>
  <c r="OS12" i="12"/>
  <c r="OS18" i="12"/>
  <c r="OS40" i="12"/>
  <c r="OS53" i="12"/>
  <c r="OS26" i="12"/>
  <c r="OS34" i="12"/>
  <c r="OS64" i="12"/>
  <c r="OS10" i="12"/>
  <c r="OS45" i="12"/>
  <c r="OS36" i="12"/>
  <c r="OS38" i="12"/>
  <c r="OS16" i="12"/>
  <c r="OS43" i="12"/>
  <c r="OS110" i="12"/>
  <c r="OS22" i="12"/>
  <c r="OS31" i="12"/>
  <c r="OS39" i="12"/>
  <c r="OS42" i="12"/>
  <c r="OS24" i="12"/>
  <c r="OS20" i="12"/>
  <c r="NK62" i="12" l="1" a="1"/>
  <c r="NK62" i="12" s="1"/>
  <c r="NK66" i="12" a="1"/>
  <c r="NK66" i="12" s="1"/>
  <c r="NK90" i="12" a="1"/>
  <c r="NK90" i="12" s="1"/>
  <c r="NK55" i="12" a="1"/>
  <c r="NK55" i="12" s="1"/>
  <c r="NK49" i="12" a="1"/>
  <c r="NK49" i="12" s="1"/>
  <c r="Q96" i="3"/>
  <c r="S96" i="3" s="1"/>
  <c r="Q97" i="3"/>
  <c r="S97" i="3" s="1"/>
  <c r="Q98" i="3"/>
  <c r="S98" i="3" s="1"/>
  <c r="T85" i="11" l="1"/>
  <c r="Q108" i="3"/>
  <c r="S108" i="3" s="1"/>
  <c r="Q109" i="3"/>
  <c r="S109" i="3" s="1"/>
  <c r="Q37" i="3"/>
  <c r="S37" i="3" s="1"/>
  <c r="I75" i="19" l="1"/>
  <c r="K75" i="19" s="1"/>
  <c r="AF71" i="4"/>
  <c r="R71" i="4"/>
  <c r="R34" i="4"/>
  <c r="AF34" i="4"/>
  <c r="OO4" i="13" a="1"/>
  <c r="OO4" i="13" s="1"/>
  <c r="OO5" i="13" a="1"/>
  <c r="OO5" i="13" s="1"/>
  <c r="OO6" i="13" a="1"/>
  <c r="OO6" i="13" s="1"/>
  <c r="OO7" i="13" a="1"/>
  <c r="OO7" i="13" s="1"/>
  <c r="OO8" i="13" a="1"/>
  <c r="OO8" i="13" s="1"/>
  <c r="OO9" i="13" a="1"/>
  <c r="OO9" i="13" s="1"/>
  <c r="OO10" i="13" a="1"/>
  <c r="OO10" i="13" s="1"/>
  <c r="OO11" i="13" a="1"/>
  <c r="OO11" i="13" s="1"/>
  <c r="OO12" i="13" a="1"/>
  <c r="OO12" i="13" s="1"/>
  <c r="OO13" i="13" a="1"/>
  <c r="OO13" i="13" s="1"/>
  <c r="OO14" i="13" a="1"/>
  <c r="OO14" i="13" s="1"/>
  <c r="OO15" i="13" a="1"/>
  <c r="OO15" i="13" s="1"/>
  <c r="OO16" i="13" a="1"/>
  <c r="OO16" i="13" s="1"/>
  <c r="OO17" i="13" a="1"/>
  <c r="OO17" i="13" s="1"/>
  <c r="OO18" i="13" a="1"/>
  <c r="OO18" i="13" s="1"/>
  <c r="OO19" i="13" a="1"/>
  <c r="OO19" i="13" s="1"/>
  <c r="OO20" i="13" a="1"/>
  <c r="OO20" i="13" s="1"/>
  <c r="OO21" i="13" a="1"/>
  <c r="OO21" i="13" s="1"/>
  <c r="OO22" i="13" a="1"/>
  <c r="OO22" i="13" s="1"/>
  <c r="OO23" i="13" a="1"/>
  <c r="OO23" i="13" s="1"/>
  <c r="OO24" i="13" a="1"/>
  <c r="OO24" i="13" s="1"/>
  <c r="OO25" i="13" a="1"/>
  <c r="OO25" i="13" s="1"/>
  <c r="OO26" i="13" a="1"/>
  <c r="OO26" i="13" s="1"/>
  <c r="OO27" i="13" a="1"/>
  <c r="OO27" i="13" s="1"/>
  <c r="OO28" i="13" a="1"/>
  <c r="OO28" i="13" s="1"/>
  <c r="OO29" i="13" a="1"/>
  <c r="OO29" i="13" s="1"/>
  <c r="OO30" i="13" a="1"/>
  <c r="OO30" i="13" s="1"/>
  <c r="OO31" i="13" a="1"/>
  <c r="OO31" i="13" s="1"/>
  <c r="OO32" i="13" a="1"/>
  <c r="OO32" i="13" s="1"/>
  <c r="OO33" i="13" a="1"/>
  <c r="OO33" i="13" s="1"/>
  <c r="OO34" i="13" a="1"/>
  <c r="OO34" i="13" s="1"/>
  <c r="OO35" i="13" a="1"/>
  <c r="OO35" i="13" s="1"/>
  <c r="OO36" i="13" a="1"/>
  <c r="OO36" i="13" s="1"/>
  <c r="OO37" i="13" a="1"/>
  <c r="OO37" i="13" s="1"/>
  <c r="OO38" i="13" a="1"/>
  <c r="OO38" i="13" s="1"/>
  <c r="OO39" i="13" a="1"/>
  <c r="OO39" i="13" s="1"/>
  <c r="OO40" i="13" a="1"/>
  <c r="OO40" i="13" s="1"/>
  <c r="OO41" i="13" a="1"/>
  <c r="OO41" i="13" s="1"/>
  <c r="OO42" i="13" a="1"/>
  <c r="OO42" i="13" s="1"/>
  <c r="OO43" i="13" a="1"/>
  <c r="OO43" i="13" s="1"/>
  <c r="OO44" i="13" a="1"/>
  <c r="OO44" i="13" s="1"/>
  <c r="OO45" i="13" a="1"/>
  <c r="OO45" i="13" s="1"/>
  <c r="OO46" i="13" a="1"/>
  <c r="OO46" i="13" s="1"/>
  <c r="OO47" i="13" a="1"/>
  <c r="OO47" i="13" s="1"/>
  <c r="OO48" i="13" a="1"/>
  <c r="OO48" i="13" s="1"/>
  <c r="OO49" i="13" a="1"/>
  <c r="OO49" i="13" s="1"/>
  <c r="OO50" i="13" a="1"/>
  <c r="OO50" i="13" s="1"/>
  <c r="OO51" i="13" a="1"/>
  <c r="OO51" i="13" s="1"/>
  <c r="OO52" i="13" a="1"/>
  <c r="OO52" i="13" s="1"/>
  <c r="OO53" i="13" a="1"/>
  <c r="OO53" i="13" s="1"/>
  <c r="OO54" i="13" a="1"/>
  <c r="OO54" i="13" s="1"/>
  <c r="OO55" i="13" a="1"/>
  <c r="OO55" i="13" s="1"/>
  <c r="OO56" i="13" a="1"/>
  <c r="OO56" i="13" s="1"/>
  <c r="OO57" i="13" a="1"/>
  <c r="OO57" i="13" s="1"/>
  <c r="OO58" i="13" a="1"/>
  <c r="OO58" i="13" s="1"/>
  <c r="OO59" i="13" a="1"/>
  <c r="OO59" i="13" s="1"/>
  <c r="OO60" i="13" a="1"/>
  <c r="OO60" i="13" s="1"/>
  <c r="OO61" i="13" a="1"/>
  <c r="OO61" i="13" s="1"/>
  <c r="OO62" i="13" a="1"/>
  <c r="OO62" i="13" s="1"/>
  <c r="OO63" i="13" a="1"/>
  <c r="OO63" i="13" s="1"/>
  <c r="OO64" i="13" a="1"/>
  <c r="OO64" i="13" s="1"/>
  <c r="OO65" i="13" a="1"/>
  <c r="OO65" i="13" s="1"/>
  <c r="OO66" i="13" a="1"/>
  <c r="OO66" i="13" s="1"/>
  <c r="OO67" i="13" a="1"/>
  <c r="OO67" i="13" s="1"/>
  <c r="OO68" i="13" a="1"/>
  <c r="OO68" i="13" s="1"/>
  <c r="OO69" i="13" a="1"/>
  <c r="OO69" i="13" s="1"/>
  <c r="OO70" i="13" a="1"/>
  <c r="OO70" i="13" s="1"/>
  <c r="OO71" i="13" a="1"/>
  <c r="OO71" i="13" s="1"/>
  <c r="OO72" i="13" a="1"/>
  <c r="OO72" i="13" s="1"/>
  <c r="OO73" i="13" a="1"/>
  <c r="OO73" i="13" s="1"/>
  <c r="OO74" i="13" a="1"/>
  <c r="OO74" i="13" s="1"/>
  <c r="OO75" i="13" a="1"/>
  <c r="OO75" i="13" s="1"/>
  <c r="OO76" i="13" a="1"/>
  <c r="OO76" i="13" s="1"/>
  <c r="OO77" i="13" a="1"/>
  <c r="OO77" i="13" s="1"/>
  <c r="OO78" i="13" a="1"/>
  <c r="OO78" i="13" s="1"/>
  <c r="OO79" i="13" a="1"/>
  <c r="OO79" i="13" s="1"/>
  <c r="OO80" i="13" a="1"/>
  <c r="OO80" i="13" s="1"/>
  <c r="OO81" i="13" a="1"/>
  <c r="OO81" i="13" s="1"/>
  <c r="OO82" i="13" a="1"/>
  <c r="OO82" i="13" s="1"/>
  <c r="OO83" i="13" a="1"/>
  <c r="OO83" i="13" s="1"/>
  <c r="OO84" i="13" a="1"/>
  <c r="OO84" i="13" s="1"/>
  <c r="OO85" i="13" a="1"/>
  <c r="OO85" i="13" s="1"/>
  <c r="OO86" i="13" a="1"/>
  <c r="OO86" i="13" s="1"/>
  <c r="OO87" i="13" a="1"/>
  <c r="OO87" i="13" s="1"/>
  <c r="OO88" i="13" a="1"/>
  <c r="OO88" i="13" s="1"/>
  <c r="OO89" i="13" a="1"/>
  <c r="OO89" i="13" s="1"/>
  <c r="OO90" i="13" a="1"/>
  <c r="OO90" i="13" s="1"/>
  <c r="OO91" i="13" a="1"/>
  <c r="OO91" i="13" s="1"/>
  <c r="OO92" i="13" a="1"/>
  <c r="OO92" i="13" s="1"/>
  <c r="OO93" i="13" a="1"/>
  <c r="OO93" i="13" s="1"/>
  <c r="OO94" i="13" a="1"/>
  <c r="OO94" i="13" s="1"/>
  <c r="OO95" i="13" a="1"/>
  <c r="OO95" i="13" s="1"/>
  <c r="OO96" i="13" a="1"/>
  <c r="OO96" i="13" s="1"/>
  <c r="OO97" i="13" a="1"/>
  <c r="OO97" i="13" s="1"/>
  <c r="OO98" i="13" a="1"/>
  <c r="OO98" i="13" s="1"/>
  <c r="OO99" i="13" a="1"/>
  <c r="OO99" i="13" s="1"/>
  <c r="OO100" i="13" a="1"/>
  <c r="OO100" i="13" s="1"/>
  <c r="OO101" i="13" a="1"/>
  <c r="OO101" i="13" s="1"/>
  <c r="OO102" i="13" a="1"/>
  <c r="OO102" i="13" s="1"/>
  <c r="OO103" i="13" a="1"/>
  <c r="OO103" i="13" s="1"/>
  <c r="OO104" i="13" a="1"/>
  <c r="OO104" i="13" s="1"/>
  <c r="OO105" i="13" a="1"/>
  <c r="OO105" i="13" s="1"/>
  <c r="OO3" i="13" a="1"/>
  <c r="OO3" i="13" s="1"/>
  <c r="OL4" i="13" a="1"/>
  <c r="OL4" i="13" s="1"/>
  <c r="OL5" i="13" a="1"/>
  <c r="OL5" i="13" s="1"/>
  <c r="OL6" i="13" a="1"/>
  <c r="OL6" i="13" s="1"/>
  <c r="OL7" i="13" a="1"/>
  <c r="OL7" i="13" s="1"/>
  <c r="OL8" i="13" a="1"/>
  <c r="OL8" i="13" s="1"/>
  <c r="OL9" i="13" a="1"/>
  <c r="OL9" i="13" s="1"/>
  <c r="OL10" i="13" a="1"/>
  <c r="OL10" i="13" s="1"/>
  <c r="OL11" i="13" a="1"/>
  <c r="OL11" i="13" s="1"/>
  <c r="OL12" i="13" a="1"/>
  <c r="OL12" i="13" s="1"/>
  <c r="OL13" i="13" a="1"/>
  <c r="OL13" i="13" s="1"/>
  <c r="OL14" i="13" a="1"/>
  <c r="OL14" i="13" s="1"/>
  <c r="OL15" i="13" a="1"/>
  <c r="OL15" i="13" s="1"/>
  <c r="OL16" i="13" a="1"/>
  <c r="OL16" i="13" s="1"/>
  <c r="OL17" i="13" a="1"/>
  <c r="OL17" i="13" s="1"/>
  <c r="OL18" i="13" a="1"/>
  <c r="OL18" i="13" s="1"/>
  <c r="OL19" i="13" a="1"/>
  <c r="OL19" i="13" s="1"/>
  <c r="OL20" i="13" a="1"/>
  <c r="OL20" i="13" s="1"/>
  <c r="OL21" i="13" a="1"/>
  <c r="OL21" i="13" s="1"/>
  <c r="OL22" i="13" a="1"/>
  <c r="OL22" i="13" s="1"/>
  <c r="OL23" i="13" a="1"/>
  <c r="OL23" i="13" s="1"/>
  <c r="OL24" i="13" a="1"/>
  <c r="OL24" i="13" s="1"/>
  <c r="OL25" i="13" a="1"/>
  <c r="OL25" i="13" s="1"/>
  <c r="OL26" i="13" a="1"/>
  <c r="OL26" i="13" s="1"/>
  <c r="OL27" i="13" a="1"/>
  <c r="OL27" i="13" s="1"/>
  <c r="OL28" i="13" a="1"/>
  <c r="OL28" i="13" s="1"/>
  <c r="OL29" i="13" a="1"/>
  <c r="OL29" i="13" s="1"/>
  <c r="OL30" i="13" a="1"/>
  <c r="OL30" i="13" s="1"/>
  <c r="OL31" i="13" a="1"/>
  <c r="OL31" i="13" s="1"/>
  <c r="OL32" i="13" a="1"/>
  <c r="OL32" i="13" s="1"/>
  <c r="OL33" i="13" a="1"/>
  <c r="OL33" i="13" s="1"/>
  <c r="OL34" i="13" a="1"/>
  <c r="OL34" i="13" s="1"/>
  <c r="OL35" i="13" a="1"/>
  <c r="OL35" i="13" s="1"/>
  <c r="OL36" i="13" a="1"/>
  <c r="OL36" i="13" s="1"/>
  <c r="OL37" i="13" a="1"/>
  <c r="OL37" i="13" s="1"/>
  <c r="OL38" i="13" a="1"/>
  <c r="OL38" i="13" s="1"/>
  <c r="OL39" i="13" a="1"/>
  <c r="OL39" i="13" s="1"/>
  <c r="OL40" i="13" a="1"/>
  <c r="OL40" i="13" s="1"/>
  <c r="OL41" i="13" a="1"/>
  <c r="OL41" i="13" s="1"/>
  <c r="OL42" i="13" a="1"/>
  <c r="OL42" i="13" s="1"/>
  <c r="OL43" i="13" a="1"/>
  <c r="OL43" i="13" s="1"/>
  <c r="OL44" i="13" a="1"/>
  <c r="OL44" i="13" s="1"/>
  <c r="OL45" i="13" a="1"/>
  <c r="OL45" i="13" s="1"/>
  <c r="OL46" i="13" a="1"/>
  <c r="OL46" i="13" s="1"/>
  <c r="OL47" i="13" a="1"/>
  <c r="OL47" i="13" s="1"/>
  <c r="OL48" i="13" a="1"/>
  <c r="OL48" i="13" s="1"/>
  <c r="OL49" i="13" a="1"/>
  <c r="OL49" i="13" s="1"/>
  <c r="OL50" i="13" a="1"/>
  <c r="OL50" i="13" s="1"/>
  <c r="OL51" i="13" a="1"/>
  <c r="OL51" i="13" s="1"/>
  <c r="OL52" i="13" a="1"/>
  <c r="OL52" i="13" s="1"/>
  <c r="OL53" i="13" a="1"/>
  <c r="OL53" i="13" s="1"/>
  <c r="OL54" i="13" a="1"/>
  <c r="OL54" i="13" s="1"/>
  <c r="OL55" i="13" a="1"/>
  <c r="OL55" i="13" s="1"/>
  <c r="OL56" i="13" a="1"/>
  <c r="OL56" i="13" s="1"/>
  <c r="OL57" i="13" a="1"/>
  <c r="OL57" i="13" s="1"/>
  <c r="OL58" i="13" a="1"/>
  <c r="OL58" i="13" s="1"/>
  <c r="OL59" i="13" a="1"/>
  <c r="OL59" i="13" s="1"/>
  <c r="OL60" i="13" a="1"/>
  <c r="OL60" i="13" s="1"/>
  <c r="OL61" i="13" a="1"/>
  <c r="OL61" i="13" s="1"/>
  <c r="OL62" i="13" a="1"/>
  <c r="OL62" i="13" s="1"/>
  <c r="OL63" i="13" a="1"/>
  <c r="OL63" i="13" s="1"/>
  <c r="OL64" i="13" a="1"/>
  <c r="OL64" i="13" s="1"/>
  <c r="OL65" i="13" a="1"/>
  <c r="OL65" i="13" s="1"/>
  <c r="OL66" i="13" a="1"/>
  <c r="OL66" i="13" s="1"/>
  <c r="OL67" i="13" a="1"/>
  <c r="OL67" i="13" s="1"/>
  <c r="OL68" i="13" a="1"/>
  <c r="OL68" i="13" s="1"/>
  <c r="OL69" i="13" a="1"/>
  <c r="OL69" i="13" s="1"/>
  <c r="OL70" i="13" a="1"/>
  <c r="OL70" i="13" s="1"/>
  <c r="OL71" i="13" a="1"/>
  <c r="OL71" i="13" s="1"/>
  <c r="OL72" i="13" a="1"/>
  <c r="OL72" i="13" s="1"/>
  <c r="OL73" i="13" a="1"/>
  <c r="OL73" i="13" s="1"/>
  <c r="OL74" i="13" a="1"/>
  <c r="OL74" i="13" s="1"/>
  <c r="OL75" i="13" a="1"/>
  <c r="OL75" i="13" s="1"/>
  <c r="OL76" i="13" a="1"/>
  <c r="OL76" i="13" s="1"/>
  <c r="OL77" i="13" a="1"/>
  <c r="OL77" i="13" s="1"/>
  <c r="OL78" i="13" a="1"/>
  <c r="OL78" i="13" s="1"/>
  <c r="OL79" i="13" a="1"/>
  <c r="OL79" i="13" s="1"/>
  <c r="OL80" i="13" a="1"/>
  <c r="OL80" i="13" s="1"/>
  <c r="OL81" i="13" a="1"/>
  <c r="OL81" i="13" s="1"/>
  <c r="OL82" i="13" a="1"/>
  <c r="OL82" i="13" s="1"/>
  <c r="OL83" i="13" a="1"/>
  <c r="OL83" i="13" s="1"/>
  <c r="OL84" i="13" a="1"/>
  <c r="OL84" i="13" s="1"/>
  <c r="OL85" i="13" a="1"/>
  <c r="OL85" i="13" s="1"/>
  <c r="OL86" i="13" a="1"/>
  <c r="OL86" i="13" s="1"/>
  <c r="OL87" i="13" a="1"/>
  <c r="OL87" i="13" s="1"/>
  <c r="OL88" i="13" a="1"/>
  <c r="OL88" i="13" s="1"/>
  <c r="OL89" i="13" a="1"/>
  <c r="OL89" i="13" s="1"/>
  <c r="OL90" i="13" a="1"/>
  <c r="OL90" i="13" s="1"/>
  <c r="OL91" i="13" a="1"/>
  <c r="OL91" i="13" s="1"/>
  <c r="OL92" i="13" a="1"/>
  <c r="OL92" i="13" s="1"/>
  <c r="OL93" i="13" a="1"/>
  <c r="OL93" i="13" s="1"/>
  <c r="OL94" i="13" a="1"/>
  <c r="OL94" i="13" s="1"/>
  <c r="OL95" i="13" a="1"/>
  <c r="OL95" i="13" s="1"/>
  <c r="OL96" i="13" a="1"/>
  <c r="OL96" i="13" s="1"/>
  <c r="OL97" i="13" a="1"/>
  <c r="OL97" i="13" s="1"/>
  <c r="OL98" i="13" a="1"/>
  <c r="OL98" i="13" s="1"/>
  <c r="OL99" i="13" a="1"/>
  <c r="OL99" i="13" s="1"/>
  <c r="OL100" i="13" a="1"/>
  <c r="OL100" i="13" s="1"/>
  <c r="OL101" i="13" a="1"/>
  <c r="OL101" i="13" s="1"/>
  <c r="OL102" i="13" a="1"/>
  <c r="OL102" i="13" s="1"/>
  <c r="OL103" i="13" a="1"/>
  <c r="OL103" i="13" s="1"/>
  <c r="OL104" i="13" a="1"/>
  <c r="OL104" i="13" s="1"/>
  <c r="OL105" i="13" a="1"/>
  <c r="OL105" i="13" s="1"/>
  <c r="OL3" i="13" a="1"/>
  <c r="OL3" i="13" s="1"/>
  <c r="OI4" i="13" a="1"/>
  <c r="OI4" i="13" s="1"/>
  <c r="OI5" i="13" a="1"/>
  <c r="OI5" i="13" s="1"/>
  <c r="OI6" i="13" a="1"/>
  <c r="OI6" i="13" s="1"/>
  <c r="OI7" i="13" a="1"/>
  <c r="OI7" i="13" s="1"/>
  <c r="OI8" i="13" a="1"/>
  <c r="OI8" i="13" s="1"/>
  <c r="OI9" i="13" a="1"/>
  <c r="OI9" i="13" s="1"/>
  <c r="OI10" i="13" a="1"/>
  <c r="OI10" i="13" s="1"/>
  <c r="OI11" i="13" a="1"/>
  <c r="OI11" i="13" s="1"/>
  <c r="OI12" i="13" a="1"/>
  <c r="OI12" i="13" s="1"/>
  <c r="OI13" i="13" a="1"/>
  <c r="OI13" i="13" s="1"/>
  <c r="OI14" i="13" a="1"/>
  <c r="OI14" i="13" s="1"/>
  <c r="OI15" i="13" a="1"/>
  <c r="OI15" i="13" s="1"/>
  <c r="OI16" i="13" a="1"/>
  <c r="OI16" i="13" s="1"/>
  <c r="OI17" i="13" a="1"/>
  <c r="OI17" i="13" s="1"/>
  <c r="OI18" i="13" a="1"/>
  <c r="OI18" i="13" s="1"/>
  <c r="OI19" i="13" a="1"/>
  <c r="OI19" i="13" s="1"/>
  <c r="OI20" i="13" a="1"/>
  <c r="OI20" i="13" s="1"/>
  <c r="OI21" i="13" a="1"/>
  <c r="OI21" i="13" s="1"/>
  <c r="OI22" i="13" a="1"/>
  <c r="OI22" i="13" s="1"/>
  <c r="OI23" i="13" a="1"/>
  <c r="OI23" i="13" s="1"/>
  <c r="OI24" i="13" a="1"/>
  <c r="OI24" i="13" s="1"/>
  <c r="OI25" i="13" a="1"/>
  <c r="OI25" i="13" s="1"/>
  <c r="OI26" i="13" a="1"/>
  <c r="OI26" i="13" s="1"/>
  <c r="OI27" i="13" a="1"/>
  <c r="OI27" i="13" s="1"/>
  <c r="OI28" i="13" a="1"/>
  <c r="OI28" i="13" s="1"/>
  <c r="OI29" i="13" a="1"/>
  <c r="OI29" i="13" s="1"/>
  <c r="OI30" i="13" a="1"/>
  <c r="OI30" i="13" s="1"/>
  <c r="OI31" i="13" a="1"/>
  <c r="OI31" i="13" s="1"/>
  <c r="OI32" i="13" a="1"/>
  <c r="OI32" i="13" s="1"/>
  <c r="OI33" i="13" a="1"/>
  <c r="OI33" i="13" s="1"/>
  <c r="OI34" i="13" a="1"/>
  <c r="OI34" i="13" s="1"/>
  <c r="OI35" i="13" a="1"/>
  <c r="OI35" i="13" s="1"/>
  <c r="OI36" i="13" a="1"/>
  <c r="OI36" i="13" s="1"/>
  <c r="OI37" i="13" a="1"/>
  <c r="OI37" i="13" s="1"/>
  <c r="OI38" i="13" a="1"/>
  <c r="OI38" i="13" s="1"/>
  <c r="OI39" i="13" a="1"/>
  <c r="OI39" i="13" s="1"/>
  <c r="OI40" i="13" a="1"/>
  <c r="OI40" i="13" s="1"/>
  <c r="OI41" i="13" a="1"/>
  <c r="OI41" i="13" s="1"/>
  <c r="OI42" i="13" a="1"/>
  <c r="OI42" i="13" s="1"/>
  <c r="OI43" i="13" a="1"/>
  <c r="OI43" i="13" s="1"/>
  <c r="OI44" i="13" a="1"/>
  <c r="OI44" i="13" s="1"/>
  <c r="OI45" i="13" a="1"/>
  <c r="OI45" i="13" s="1"/>
  <c r="OI46" i="13" a="1"/>
  <c r="OI46" i="13" s="1"/>
  <c r="OI47" i="13" a="1"/>
  <c r="OI47" i="13" s="1"/>
  <c r="OI48" i="13" a="1"/>
  <c r="OI48" i="13" s="1"/>
  <c r="OI49" i="13" a="1"/>
  <c r="OI49" i="13" s="1"/>
  <c r="OI50" i="13" a="1"/>
  <c r="OI50" i="13" s="1"/>
  <c r="OI51" i="13" a="1"/>
  <c r="OI51" i="13" s="1"/>
  <c r="OI52" i="13" a="1"/>
  <c r="OI52" i="13" s="1"/>
  <c r="OI53" i="13" a="1"/>
  <c r="OI53" i="13" s="1"/>
  <c r="OI54" i="13" a="1"/>
  <c r="OI54" i="13" s="1"/>
  <c r="OI55" i="13" a="1"/>
  <c r="OI55" i="13" s="1"/>
  <c r="OI56" i="13" a="1"/>
  <c r="OI56" i="13" s="1"/>
  <c r="OI57" i="13" a="1"/>
  <c r="OI57" i="13" s="1"/>
  <c r="OI58" i="13" a="1"/>
  <c r="OI58" i="13" s="1"/>
  <c r="OI59" i="13" a="1"/>
  <c r="OI59" i="13" s="1"/>
  <c r="OI60" i="13" a="1"/>
  <c r="OI60" i="13" s="1"/>
  <c r="OI61" i="13" a="1"/>
  <c r="OI61" i="13" s="1"/>
  <c r="OI62" i="13" a="1"/>
  <c r="OI62" i="13" s="1"/>
  <c r="OI63" i="13" a="1"/>
  <c r="OI63" i="13" s="1"/>
  <c r="OI64" i="13" a="1"/>
  <c r="OI64" i="13" s="1"/>
  <c r="OI65" i="13" a="1"/>
  <c r="OI65" i="13" s="1"/>
  <c r="OI66" i="13" a="1"/>
  <c r="OI66" i="13" s="1"/>
  <c r="OI67" i="13" a="1"/>
  <c r="OI67" i="13" s="1"/>
  <c r="OI68" i="13" a="1"/>
  <c r="OI68" i="13" s="1"/>
  <c r="OI69" i="13" a="1"/>
  <c r="OI69" i="13" s="1"/>
  <c r="OI70" i="13" a="1"/>
  <c r="OI70" i="13" s="1"/>
  <c r="OI71" i="13" a="1"/>
  <c r="OI71" i="13" s="1"/>
  <c r="OI72" i="13" a="1"/>
  <c r="OI72" i="13" s="1"/>
  <c r="OI73" i="13" a="1"/>
  <c r="OI73" i="13" s="1"/>
  <c r="OI74" i="13" a="1"/>
  <c r="OI74" i="13" s="1"/>
  <c r="OI75" i="13" a="1"/>
  <c r="OI75" i="13" s="1"/>
  <c r="OI76" i="13" a="1"/>
  <c r="OI76" i="13" s="1"/>
  <c r="OI77" i="13" a="1"/>
  <c r="OI77" i="13" s="1"/>
  <c r="OI78" i="13" a="1"/>
  <c r="OI78" i="13" s="1"/>
  <c r="OI79" i="13" a="1"/>
  <c r="OI79" i="13" s="1"/>
  <c r="OI80" i="13" a="1"/>
  <c r="OI80" i="13" s="1"/>
  <c r="OI81" i="13" a="1"/>
  <c r="OI81" i="13" s="1"/>
  <c r="OI82" i="13" a="1"/>
  <c r="OI82" i="13" s="1"/>
  <c r="OI83" i="13" a="1"/>
  <c r="OI83" i="13" s="1"/>
  <c r="OI84" i="13" a="1"/>
  <c r="OI84" i="13" s="1"/>
  <c r="OI85" i="13" a="1"/>
  <c r="OI85" i="13" s="1"/>
  <c r="OI86" i="13" a="1"/>
  <c r="OI86" i="13" s="1"/>
  <c r="OI87" i="13" a="1"/>
  <c r="OI87" i="13" s="1"/>
  <c r="OI88" i="13" a="1"/>
  <c r="OI88" i="13" s="1"/>
  <c r="OI89" i="13" a="1"/>
  <c r="OI89" i="13" s="1"/>
  <c r="OI90" i="13" a="1"/>
  <c r="OI90" i="13" s="1"/>
  <c r="OI91" i="13" a="1"/>
  <c r="OI91" i="13" s="1"/>
  <c r="OI92" i="13" a="1"/>
  <c r="OI92" i="13" s="1"/>
  <c r="OI93" i="13" a="1"/>
  <c r="OI93" i="13" s="1"/>
  <c r="OI94" i="13" a="1"/>
  <c r="OI94" i="13" s="1"/>
  <c r="OI95" i="13" a="1"/>
  <c r="OI95" i="13" s="1"/>
  <c r="OI96" i="13" a="1"/>
  <c r="OI96" i="13" s="1"/>
  <c r="OI97" i="13" a="1"/>
  <c r="OI97" i="13" s="1"/>
  <c r="OI98" i="13" a="1"/>
  <c r="OI98" i="13" s="1"/>
  <c r="OI99" i="13" a="1"/>
  <c r="OI99" i="13" s="1"/>
  <c r="OI100" i="13" a="1"/>
  <c r="OI100" i="13" s="1"/>
  <c r="OI101" i="13" a="1"/>
  <c r="OI101" i="13" s="1"/>
  <c r="OI102" i="13" a="1"/>
  <c r="OI102" i="13" s="1"/>
  <c r="OI103" i="13" a="1"/>
  <c r="OI103" i="13" s="1"/>
  <c r="OI104" i="13" a="1"/>
  <c r="OI104" i="13" s="1"/>
  <c r="OI105" i="13" a="1"/>
  <c r="OI105" i="13" s="1"/>
  <c r="OI3" i="13" a="1"/>
  <c r="OI3" i="13" s="1"/>
  <c r="OF4" i="13" a="1"/>
  <c r="OF4" i="13" s="1"/>
  <c r="OF5" i="13" a="1"/>
  <c r="OF5" i="13" s="1"/>
  <c r="OF6" i="13" a="1"/>
  <c r="OF6" i="13" s="1"/>
  <c r="OF7" i="13" a="1"/>
  <c r="OF7" i="13" s="1"/>
  <c r="OF8" i="13" a="1"/>
  <c r="OF8" i="13" s="1"/>
  <c r="OF9" i="13" a="1"/>
  <c r="OF9" i="13" s="1"/>
  <c r="OF10" i="13" a="1"/>
  <c r="OF10" i="13" s="1"/>
  <c r="OF11" i="13" a="1"/>
  <c r="OF11" i="13" s="1"/>
  <c r="OF12" i="13" a="1"/>
  <c r="OF12" i="13" s="1"/>
  <c r="OF13" i="13" a="1"/>
  <c r="OF13" i="13" s="1"/>
  <c r="OF14" i="13" a="1"/>
  <c r="OF14" i="13" s="1"/>
  <c r="OF15" i="13" a="1"/>
  <c r="OF15" i="13" s="1"/>
  <c r="OF16" i="13" a="1"/>
  <c r="OF16" i="13" s="1"/>
  <c r="OF17" i="13" a="1"/>
  <c r="OF17" i="13" s="1"/>
  <c r="OF18" i="13" a="1"/>
  <c r="OF18" i="13" s="1"/>
  <c r="OF19" i="13" a="1"/>
  <c r="OF19" i="13" s="1"/>
  <c r="OF20" i="13" a="1"/>
  <c r="OF20" i="13" s="1"/>
  <c r="OF21" i="13" a="1"/>
  <c r="OF21" i="13" s="1"/>
  <c r="OF22" i="13" a="1"/>
  <c r="OF22" i="13" s="1"/>
  <c r="OF23" i="13" a="1"/>
  <c r="OF23" i="13" s="1"/>
  <c r="OF24" i="13" a="1"/>
  <c r="OF24" i="13" s="1"/>
  <c r="OF25" i="13" a="1"/>
  <c r="OF25" i="13" s="1"/>
  <c r="OF26" i="13" a="1"/>
  <c r="OF26" i="13" s="1"/>
  <c r="OF27" i="13" a="1"/>
  <c r="OF27" i="13" s="1"/>
  <c r="OF28" i="13" a="1"/>
  <c r="OF28" i="13" s="1"/>
  <c r="OF29" i="13" a="1"/>
  <c r="OF29" i="13" s="1"/>
  <c r="OF30" i="13" a="1"/>
  <c r="OF30" i="13" s="1"/>
  <c r="OF31" i="13" a="1"/>
  <c r="OF31" i="13" s="1"/>
  <c r="OF32" i="13" a="1"/>
  <c r="OF32" i="13" s="1"/>
  <c r="OF33" i="13" a="1"/>
  <c r="OF33" i="13" s="1"/>
  <c r="OF34" i="13" a="1"/>
  <c r="OF34" i="13" s="1"/>
  <c r="OF35" i="13" a="1"/>
  <c r="OF35" i="13" s="1"/>
  <c r="OF36" i="13" a="1"/>
  <c r="OF36" i="13" s="1"/>
  <c r="OF37" i="13" a="1"/>
  <c r="OF37" i="13" s="1"/>
  <c r="OF38" i="13" a="1"/>
  <c r="OF38" i="13" s="1"/>
  <c r="OF39" i="13" a="1"/>
  <c r="OF39" i="13" s="1"/>
  <c r="OF40" i="13" a="1"/>
  <c r="OF40" i="13" s="1"/>
  <c r="OF41" i="13" a="1"/>
  <c r="OF41" i="13" s="1"/>
  <c r="OF42" i="13" a="1"/>
  <c r="OF42" i="13" s="1"/>
  <c r="OF43" i="13" a="1"/>
  <c r="OF43" i="13" s="1"/>
  <c r="OF44" i="13" a="1"/>
  <c r="OF44" i="13" s="1"/>
  <c r="OF45" i="13" a="1"/>
  <c r="OF45" i="13" s="1"/>
  <c r="OF46" i="13" a="1"/>
  <c r="OF46" i="13" s="1"/>
  <c r="OF47" i="13" a="1"/>
  <c r="OF47" i="13" s="1"/>
  <c r="OF48" i="13" a="1"/>
  <c r="OF48" i="13" s="1"/>
  <c r="OF49" i="13" a="1"/>
  <c r="OF49" i="13" s="1"/>
  <c r="OF50" i="13" a="1"/>
  <c r="OF50" i="13" s="1"/>
  <c r="OF51" i="13" a="1"/>
  <c r="OF51" i="13" s="1"/>
  <c r="OF52" i="13" a="1"/>
  <c r="OF52" i="13" s="1"/>
  <c r="OF53" i="13" a="1"/>
  <c r="OF53" i="13" s="1"/>
  <c r="OF54" i="13" a="1"/>
  <c r="OF54" i="13" s="1"/>
  <c r="OF55" i="13" a="1"/>
  <c r="OF55" i="13" s="1"/>
  <c r="OF56" i="13" a="1"/>
  <c r="OF56" i="13" s="1"/>
  <c r="OF57" i="13" a="1"/>
  <c r="OF57" i="13" s="1"/>
  <c r="OF58" i="13" a="1"/>
  <c r="OF58" i="13" s="1"/>
  <c r="OF59" i="13" a="1"/>
  <c r="OF59" i="13" s="1"/>
  <c r="OF60" i="13" a="1"/>
  <c r="OF60" i="13" s="1"/>
  <c r="OF61" i="13" a="1"/>
  <c r="OF61" i="13" s="1"/>
  <c r="OF62" i="13" a="1"/>
  <c r="OF62" i="13" s="1"/>
  <c r="OF63" i="13" a="1"/>
  <c r="OF63" i="13" s="1"/>
  <c r="OF64" i="13" a="1"/>
  <c r="OF64" i="13" s="1"/>
  <c r="OF65" i="13" a="1"/>
  <c r="OF65" i="13" s="1"/>
  <c r="OF66" i="13" a="1"/>
  <c r="OF66" i="13" s="1"/>
  <c r="OF67" i="13" a="1"/>
  <c r="OF67" i="13" s="1"/>
  <c r="OF68" i="13" a="1"/>
  <c r="OF68" i="13" s="1"/>
  <c r="OF69" i="13" a="1"/>
  <c r="OF69" i="13" s="1"/>
  <c r="OF70" i="13" a="1"/>
  <c r="OF70" i="13" s="1"/>
  <c r="OF71" i="13" a="1"/>
  <c r="OF71" i="13" s="1"/>
  <c r="OF72" i="13" a="1"/>
  <c r="OF72" i="13" s="1"/>
  <c r="OF73" i="13" a="1"/>
  <c r="OF73" i="13" s="1"/>
  <c r="OF74" i="13" a="1"/>
  <c r="OF74" i="13" s="1"/>
  <c r="OF75" i="13" a="1"/>
  <c r="OF75" i="13" s="1"/>
  <c r="OF76" i="13" a="1"/>
  <c r="OF76" i="13" s="1"/>
  <c r="OF77" i="13" a="1"/>
  <c r="OF77" i="13" s="1"/>
  <c r="OF78" i="13" a="1"/>
  <c r="OF78" i="13" s="1"/>
  <c r="OF79" i="13" a="1"/>
  <c r="OF79" i="13" s="1"/>
  <c r="OF80" i="13" a="1"/>
  <c r="OF80" i="13" s="1"/>
  <c r="OF81" i="13" a="1"/>
  <c r="OF81" i="13" s="1"/>
  <c r="OF82" i="13" a="1"/>
  <c r="OF82" i="13" s="1"/>
  <c r="OF83" i="13" a="1"/>
  <c r="OF83" i="13" s="1"/>
  <c r="OF84" i="13" a="1"/>
  <c r="OF84" i="13" s="1"/>
  <c r="OF85" i="13" a="1"/>
  <c r="OF85" i="13" s="1"/>
  <c r="OF86" i="13" a="1"/>
  <c r="OF86" i="13" s="1"/>
  <c r="OF87" i="13" a="1"/>
  <c r="OF87" i="13" s="1"/>
  <c r="OF88" i="13" a="1"/>
  <c r="OF88" i="13" s="1"/>
  <c r="OF89" i="13" a="1"/>
  <c r="OF89" i="13" s="1"/>
  <c r="OF90" i="13" a="1"/>
  <c r="OF90" i="13" s="1"/>
  <c r="OF91" i="13" a="1"/>
  <c r="OF91" i="13" s="1"/>
  <c r="OF92" i="13" a="1"/>
  <c r="OF92" i="13" s="1"/>
  <c r="OF93" i="13" a="1"/>
  <c r="OF93" i="13" s="1"/>
  <c r="OF94" i="13" a="1"/>
  <c r="OF94" i="13" s="1"/>
  <c r="OF95" i="13" a="1"/>
  <c r="OF95" i="13" s="1"/>
  <c r="OF96" i="13" a="1"/>
  <c r="OF96" i="13" s="1"/>
  <c r="OF97" i="13" a="1"/>
  <c r="OF97" i="13" s="1"/>
  <c r="OF98" i="13" a="1"/>
  <c r="OF98" i="13" s="1"/>
  <c r="OF99" i="13" a="1"/>
  <c r="OF99" i="13" s="1"/>
  <c r="OF100" i="13" a="1"/>
  <c r="OF100" i="13" s="1"/>
  <c r="OF101" i="13" a="1"/>
  <c r="OF101" i="13" s="1"/>
  <c r="OF102" i="13" a="1"/>
  <c r="OF102" i="13" s="1"/>
  <c r="OF103" i="13" a="1"/>
  <c r="OF103" i="13" s="1"/>
  <c r="OF104" i="13" a="1"/>
  <c r="OF104" i="13" s="1"/>
  <c r="OF105" i="13" a="1"/>
  <c r="OF105" i="13" s="1"/>
  <c r="OF3" i="13" a="1"/>
  <c r="OF3" i="13" s="1"/>
  <c r="OC4" i="13" a="1"/>
  <c r="OC4" i="13" s="1"/>
  <c r="OC5" i="13" a="1"/>
  <c r="OC5" i="13" s="1"/>
  <c r="OC6" i="13" a="1"/>
  <c r="OC6" i="13" s="1"/>
  <c r="OC7" i="13" a="1"/>
  <c r="OC7" i="13" s="1"/>
  <c r="OC8" i="13" a="1"/>
  <c r="OC8" i="13" s="1"/>
  <c r="OC9" i="13" a="1"/>
  <c r="OC9" i="13" s="1"/>
  <c r="OC10" i="13" a="1"/>
  <c r="OC10" i="13" s="1"/>
  <c r="OC11" i="13" a="1"/>
  <c r="OC11" i="13" s="1"/>
  <c r="OC12" i="13" a="1"/>
  <c r="OC12" i="13" s="1"/>
  <c r="OC13" i="13" a="1"/>
  <c r="OC13" i="13" s="1"/>
  <c r="OC14" i="13" a="1"/>
  <c r="OC14" i="13" s="1"/>
  <c r="OC15" i="13" a="1"/>
  <c r="OC15" i="13" s="1"/>
  <c r="OC16" i="13" a="1"/>
  <c r="OC16" i="13" s="1"/>
  <c r="OC17" i="13" a="1"/>
  <c r="OC17" i="13" s="1"/>
  <c r="OC18" i="13" a="1"/>
  <c r="OC18" i="13" s="1"/>
  <c r="OC19" i="13" a="1"/>
  <c r="OC19" i="13" s="1"/>
  <c r="OC20" i="13" a="1"/>
  <c r="OC20" i="13" s="1"/>
  <c r="OC21" i="13" a="1"/>
  <c r="OC21" i="13" s="1"/>
  <c r="OC22" i="13" a="1"/>
  <c r="OC22" i="13" s="1"/>
  <c r="OC23" i="13" a="1"/>
  <c r="OC23" i="13" s="1"/>
  <c r="OC24" i="13" a="1"/>
  <c r="OC24" i="13" s="1"/>
  <c r="OC25" i="13" a="1"/>
  <c r="OC25" i="13" s="1"/>
  <c r="OC26" i="13" a="1"/>
  <c r="OC26" i="13" s="1"/>
  <c r="OC27" i="13" a="1"/>
  <c r="OC27" i="13" s="1"/>
  <c r="OC28" i="13" a="1"/>
  <c r="OC28" i="13" s="1"/>
  <c r="OC29" i="13" a="1"/>
  <c r="OC29" i="13" s="1"/>
  <c r="OC30" i="13" a="1"/>
  <c r="OC30" i="13" s="1"/>
  <c r="OC31" i="13" a="1"/>
  <c r="OC31" i="13" s="1"/>
  <c r="OC32" i="13" a="1"/>
  <c r="OC32" i="13" s="1"/>
  <c r="OC33" i="13" a="1"/>
  <c r="OC33" i="13" s="1"/>
  <c r="OC34" i="13" a="1"/>
  <c r="OC34" i="13" s="1"/>
  <c r="OC35" i="13" a="1"/>
  <c r="OC35" i="13" s="1"/>
  <c r="OC36" i="13" a="1"/>
  <c r="OC36" i="13" s="1"/>
  <c r="OC37" i="13" a="1"/>
  <c r="OC37" i="13" s="1"/>
  <c r="OC38" i="13" a="1"/>
  <c r="OC38" i="13" s="1"/>
  <c r="OC39" i="13" a="1"/>
  <c r="OC39" i="13" s="1"/>
  <c r="OC40" i="13" a="1"/>
  <c r="OC40" i="13" s="1"/>
  <c r="OC41" i="13" a="1"/>
  <c r="OC41" i="13" s="1"/>
  <c r="OC42" i="13" a="1"/>
  <c r="OC42" i="13" s="1"/>
  <c r="OC43" i="13" a="1"/>
  <c r="OC43" i="13" s="1"/>
  <c r="OC44" i="13" a="1"/>
  <c r="OC44" i="13" s="1"/>
  <c r="OC45" i="13" a="1"/>
  <c r="OC45" i="13" s="1"/>
  <c r="OC46" i="13" a="1"/>
  <c r="OC46" i="13" s="1"/>
  <c r="OC47" i="13" a="1"/>
  <c r="OC47" i="13" s="1"/>
  <c r="OC48" i="13" a="1"/>
  <c r="OC48" i="13" s="1"/>
  <c r="OC49" i="13" a="1"/>
  <c r="OC49" i="13" s="1"/>
  <c r="OC50" i="13" a="1"/>
  <c r="OC50" i="13" s="1"/>
  <c r="OC51" i="13" a="1"/>
  <c r="OC51" i="13" s="1"/>
  <c r="OC52" i="13" a="1"/>
  <c r="OC52" i="13" s="1"/>
  <c r="OC53" i="13" a="1"/>
  <c r="OC53" i="13" s="1"/>
  <c r="OC54" i="13" a="1"/>
  <c r="OC54" i="13" s="1"/>
  <c r="OC55" i="13" a="1"/>
  <c r="OC55" i="13" s="1"/>
  <c r="OC56" i="13" a="1"/>
  <c r="OC56" i="13" s="1"/>
  <c r="OC57" i="13" a="1"/>
  <c r="OC57" i="13" s="1"/>
  <c r="OC58" i="13" a="1"/>
  <c r="OC58" i="13" s="1"/>
  <c r="OC59" i="13" a="1"/>
  <c r="OC59" i="13" s="1"/>
  <c r="OC60" i="13" a="1"/>
  <c r="OC60" i="13" s="1"/>
  <c r="OC61" i="13" a="1"/>
  <c r="OC61" i="13" s="1"/>
  <c r="OC62" i="13" a="1"/>
  <c r="OC62" i="13" s="1"/>
  <c r="OC63" i="13" a="1"/>
  <c r="OC63" i="13" s="1"/>
  <c r="OC64" i="13" a="1"/>
  <c r="OC64" i="13" s="1"/>
  <c r="OC65" i="13" a="1"/>
  <c r="OC65" i="13" s="1"/>
  <c r="OC66" i="13" a="1"/>
  <c r="OC66" i="13" s="1"/>
  <c r="OC67" i="13" a="1"/>
  <c r="OC67" i="13" s="1"/>
  <c r="OC68" i="13" a="1"/>
  <c r="OC68" i="13" s="1"/>
  <c r="OC69" i="13" a="1"/>
  <c r="OC69" i="13" s="1"/>
  <c r="OC70" i="13" a="1"/>
  <c r="OC70" i="13" s="1"/>
  <c r="OC71" i="13" a="1"/>
  <c r="OC71" i="13" s="1"/>
  <c r="OC72" i="13" a="1"/>
  <c r="OC72" i="13" s="1"/>
  <c r="OC73" i="13" a="1"/>
  <c r="OC73" i="13" s="1"/>
  <c r="OC74" i="13" a="1"/>
  <c r="OC74" i="13" s="1"/>
  <c r="OC75" i="13" a="1"/>
  <c r="OC75" i="13" s="1"/>
  <c r="OC76" i="13" a="1"/>
  <c r="OC76" i="13" s="1"/>
  <c r="OC77" i="13" a="1"/>
  <c r="OC77" i="13" s="1"/>
  <c r="OC78" i="13" a="1"/>
  <c r="OC78" i="13" s="1"/>
  <c r="OC79" i="13" a="1"/>
  <c r="OC79" i="13" s="1"/>
  <c r="OC80" i="13" a="1"/>
  <c r="OC80" i="13" s="1"/>
  <c r="OC81" i="13" a="1"/>
  <c r="OC81" i="13" s="1"/>
  <c r="OC82" i="13" a="1"/>
  <c r="OC82" i="13" s="1"/>
  <c r="OC83" i="13" a="1"/>
  <c r="OC83" i="13" s="1"/>
  <c r="OC84" i="13" a="1"/>
  <c r="OC84" i="13" s="1"/>
  <c r="OC85" i="13" a="1"/>
  <c r="OC85" i="13" s="1"/>
  <c r="OC86" i="13" a="1"/>
  <c r="OC86" i="13" s="1"/>
  <c r="OC87" i="13" a="1"/>
  <c r="OC87" i="13" s="1"/>
  <c r="OC88" i="13" a="1"/>
  <c r="OC88" i="13" s="1"/>
  <c r="OC89" i="13" a="1"/>
  <c r="OC89" i="13" s="1"/>
  <c r="OC90" i="13" a="1"/>
  <c r="OC90" i="13" s="1"/>
  <c r="OC91" i="13" a="1"/>
  <c r="OC91" i="13" s="1"/>
  <c r="OC92" i="13" a="1"/>
  <c r="OC92" i="13" s="1"/>
  <c r="OC93" i="13" a="1"/>
  <c r="OC93" i="13" s="1"/>
  <c r="OC94" i="13" a="1"/>
  <c r="OC94" i="13" s="1"/>
  <c r="OC95" i="13" a="1"/>
  <c r="OC95" i="13" s="1"/>
  <c r="OC96" i="13" a="1"/>
  <c r="OC96" i="13" s="1"/>
  <c r="OC97" i="13" a="1"/>
  <c r="OC97" i="13" s="1"/>
  <c r="OC98" i="13" a="1"/>
  <c r="OC98" i="13" s="1"/>
  <c r="OC99" i="13" a="1"/>
  <c r="OC99" i="13" s="1"/>
  <c r="OC100" i="13" a="1"/>
  <c r="OC100" i="13" s="1"/>
  <c r="OC101" i="13" a="1"/>
  <c r="OC101" i="13" s="1"/>
  <c r="OC102" i="13" a="1"/>
  <c r="OC102" i="13" s="1"/>
  <c r="OC103" i="13" a="1"/>
  <c r="OC103" i="13" s="1"/>
  <c r="OC104" i="13" a="1"/>
  <c r="OC104" i="13" s="1"/>
  <c r="OC105" i="13" a="1"/>
  <c r="OC105" i="13" s="1"/>
  <c r="OC3" i="13" a="1"/>
  <c r="OC3" i="13" s="1"/>
  <c r="NZ4" i="13" a="1"/>
  <c r="NZ4" i="13" s="1"/>
  <c r="NZ5" i="13" a="1"/>
  <c r="NZ5" i="13" s="1"/>
  <c r="NZ6" i="13" a="1"/>
  <c r="NZ6" i="13" s="1"/>
  <c r="NZ7" i="13" a="1"/>
  <c r="NZ7" i="13" s="1"/>
  <c r="NZ8" i="13" a="1"/>
  <c r="NZ8" i="13" s="1"/>
  <c r="NZ9" i="13" a="1"/>
  <c r="NZ9" i="13" s="1"/>
  <c r="NZ10" i="13" a="1"/>
  <c r="NZ10" i="13" s="1"/>
  <c r="NZ11" i="13" a="1"/>
  <c r="NZ11" i="13" s="1"/>
  <c r="NZ12" i="13" a="1"/>
  <c r="NZ12" i="13" s="1"/>
  <c r="NZ13" i="13" a="1"/>
  <c r="NZ13" i="13" s="1"/>
  <c r="NZ14" i="13" a="1"/>
  <c r="NZ14" i="13" s="1"/>
  <c r="NZ15" i="13" a="1"/>
  <c r="NZ15" i="13" s="1"/>
  <c r="NZ16" i="13" a="1"/>
  <c r="NZ16" i="13" s="1"/>
  <c r="NZ17" i="13" a="1"/>
  <c r="NZ17" i="13" s="1"/>
  <c r="NZ18" i="13" a="1"/>
  <c r="NZ18" i="13" s="1"/>
  <c r="NZ19" i="13" a="1"/>
  <c r="NZ19" i="13" s="1"/>
  <c r="NZ20" i="13" a="1"/>
  <c r="NZ20" i="13" s="1"/>
  <c r="NZ21" i="13" a="1"/>
  <c r="NZ21" i="13" s="1"/>
  <c r="NZ22" i="13" a="1"/>
  <c r="NZ22" i="13" s="1"/>
  <c r="NZ23" i="13" a="1"/>
  <c r="NZ23" i="13" s="1"/>
  <c r="NZ24" i="13" a="1"/>
  <c r="NZ24" i="13" s="1"/>
  <c r="NZ25" i="13" a="1"/>
  <c r="NZ25" i="13" s="1"/>
  <c r="NZ26" i="13" a="1"/>
  <c r="NZ26" i="13" s="1"/>
  <c r="NZ27" i="13" a="1"/>
  <c r="NZ27" i="13" s="1"/>
  <c r="NZ28" i="13" a="1"/>
  <c r="NZ28" i="13" s="1"/>
  <c r="NZ29" i="13" a="1"/>
  <c r="NZ29" i="13" s="1"/>
  <c r="NZ30" i="13" a="1"/>
  <c r="NZ30" i="13" s="1"/>
  <c r="NZ31" i="13" a="1"/>
  <c r="NZ31" i="13" s="1"/>
  <c r="NZ32" i="13" a="1"/>
  <c r="NZ32" i="13" s="1"/>
  <c r="NZ33" i="13" a="1"/>
  <c r="NZ33" i="13" s="1"/>
  <c r="NZ34" i="13" a="1"/>
  <c r="NZ34" i="13" s="1"/>
  <c r="NZ35" i="13" a="1"/>
  <c r="NZ35" i="13" s="1"/>
  <c r="NZ36" i="13" a="1"/>
  <c r="NZ36" i="13" s="1"/>
  <c r="NZ37" i="13" a="1"/>
  <c r="NZ37" i="13" s="1"/>
  <c r="NZ38" i="13" a="1"/>
  <c r="NZ38" i="13" s="1"/>
  <c r="NZ39" i="13" a="1"/>
  <c r="NZ39" i="13" s="1"/>
  <c r="NZ40" i="13" a="1"/>
  <c r="NZ40" i="13" s="1"/>
  <c r="NZ41" i="13" a="1"/>
  <c r="NZ41" i="13" s="1"/>
  <c r="NZ42" i="13" a="1"/>
  <c r="NZ42" i="13" s="1"/>
  <c r="NZ43" i="13" a="1"/>
  <c r="NZ43" i="13" s="1"/>
  <c r="NZ44" i="13" a="1"/>
  <c r="NZ44" i="13" s="1"/>
  <c r="NZ45" i="13" a="1"/>
  <c r="NZ45" i="13" s="1"/>
  <c r="NZ46" i="13" a="1"/>
  <c r="NZ46" i="13" s="1"/>
  <c r="NZ47" i="13" a="1"/>
  <c r="NZ47" i="13" s="1"/>
  <c r="NZ48" i="13" a="1"/>
  <c r="NZ48" i="13" s="1"/>
  <c r="NZ49" i="13" a="1"/>
  <c r="NZ49" i="13" s="1"/>
  <c r="NZ50" i="13" a="1"/>
  <c r="NZ50" i="13" s="1"/>
  <c r="NZ51" i="13" a="1"/>
  <c r="NZ51" i="13" s="1"/>
  <c r="NZ52" i="13" a="1"/>
  <c r="NZ52" i="13" s="1"/>
  <c r="NZ53" i="13" a="1"/>
  <c r="NZ53" i="13" s="1"/>
  <c r="NZ54" i="13" a="1"/>
  <c r="NZ54" i="13" s="1"/>
  <c r="NZ55" i="13" a="1"/>
  <c r="NZ55" i="13" s="1"/>
  <c r="NZ56" i="13" a="1"/>
  <c r="NZ56" i="13" s="1"/>
  <c r="NZ57" i="13" a="1"/>
  <c r="NZ57" i="13" s="1"/>
  <c r="NZ58" i="13" a="1"/>
  <c r="NZ58" i="13" s="1"/>
  <c r="NZ59" i="13" a="1"/>
  <c r="NZ59" i="13" s="1"/>
  <c r="NZ60" i="13" a="1"/>
  <c r="NZ60" i="13" s="1"/>
  <c r="NZ61" i="13" a="1"/>
  <c r="NZ61" i="13" s="1"/>
  <c r="NZ62" i="13" a="1"/>
  <c r="NZ62" i="13" s="1"/>
  <c r="NZ63" i="13" a="1"/>
  <c r="NZ63" i="13" s="1"/>
  <c r="NZ64" i="13" a="1"/>
  <c r="NZ64" i="13" s="1"/>
  <c r="NZ65" i="13" a="1"/>
  <c r="NZ65" i="13" s="1"/>
  <c r="NZ66" i="13" a="1"/>
  <c r="NZ66" i="13" s="1"/>
  <c r="NZ67" i="13" a="1"/>
  <c r="NZ67" i="13" s="1"/>
  <c r="NZ68" i="13" a="1"/>
  <c r="NZ68" i="13" s="1"/>
  <c r="NZ69" i="13" a="1"/>
  <c r="NZ69" i="13" s="1"/>
  <c r="NZ70" i="13" a="1"/>
  <c r="NZ70" i="13" s="1"/>
  <c r="NZ71" i="13" a="1"/>
  <c r="NZ71" i="13" s="1"/>
  <c r="NZ72" i="13" a="1"/>
  <c r="NZ72" i="13" s="1"/>
  <c r="NZ73" i="13" a="1"/>
  <c r="NZ73" i="13" s="1"/>
  <c r="NZ74" i="13" a="1"/>
  <c r="NZ74" i="13" s="1"/>
  <c r="NZ75" i="13" a="1"/>
  <c r="NZ75" i="13" s="1"/>
  <c r="NZ76" i="13" a="1"/>
  <c r="NZ76" i="13" s="1"/>
  <c r="NZ77" i="13" a="1"/>
  <c r="NZ77" i="13" s="1"/>
  <c r="NZ78" i="13" a="1"/>
  <c r="NZ78" i="13" s="1"/>
  <c r="NZ79" i="13" a="1"/>
  <c r="NZ79" i="13" s="1"/>
  <c r="NZ80" i="13" a="1"/>
  <c r="NZ80" i="13" s="1"/>
  <c r="NZ81" i="13" a="1"/>
  <c r="NZ81" i="13" s="1"/>
  <c r="NZ82" i="13" a="1"/>
  <c r="NZ82" i="13" s="1"/>
  <c r="NZ83" i="13" a="1"/>
  <c r="NZ83" i="13" s="1"/>
  <c r="NZ84" i="13" a="1"/>
  <c r="NZ84" i="13" s="1"/>
  <c r="NZ85" i="13" a="1"/>
  <c r="NZ85" i="13" s="1"/>
  <c r="NZ86" i="13" a="1"/>
  <c r="NZ86" i="13" s="1"/>
  <c r="NZ87" i="13" a="1"/>
  <c r="NZ87" i="13" s="1"/>
  <c r="NZ88" i="13" a="1"/>
  <c r="NZ88" i="13" s="1"/>
  <c r="NZ89" i="13" a="1"/>
  <c r="NZ89" i="13" s="1"/>
  <c r="NZ90" i="13" a="1"/>
  <c r="NZ90" i="13" s="1"/>
  <c r="NZ91" i="13" a="1"/>
  <c r="NZ91" i="13" s="1"/>
  <c r="NZ92" i="13" a="1"/>
  <c r="NZ92" i="13" s="1"/>
  <c r="NZ93" i="13" a="1"/>
  <c r="NZ93" i="13" s="1"/>
  <c r="NZ94" i="13" a="1"/>
  <c r="NZ94" i="13" s="1"/>
  <c r="NZ95" i="13" a="1"/>
  <c r="NZ95" i="13" s="1"/>
  <c r="NZ96" i="13" a="1"/>
  <c r="NZ96" i="13" s="1"/>
  <c r="NZ97" i="13" a="1"/>
  <c r="NZ97" i="13" s="1"/>
  <c r="NZ98" i="13" a="1"/>
  <c r="NZ98" i="13" s="1"/>
  <c r="NZ99" i="13" a="1"/>
  <c r="NZ99" i="13" s="1"/>
  <c r="NZ100" i="13" a="1"/>
  <c r="NZ100" i="13" s="1"/>
  <c r="NZ101" i="13" a="1"/>
  <c r="NZ101" i="13" s="1"/>
  <c r="NZ102" i="13" a="1"/>
  <c r="NZ102" i="13" s="1"/>
  <c r="NZ103" i="13" a="1"/>
  <c r="NZ103" i="13" s="1"/>
  <c r="NZ104" i="13" a="1"/>
  <c r="NZ104" i="13" s="1"/>
  <c r="NZ105" i="13" a="1"/>
  <c r="NZ105" i="13" s="1"/>
  <c r="NZ3" i="13" a="1"/>
  <c r="NZ3" i="13" s="1"/>
  <c r="NT3" i="13" a="1"/>
  <c r="NT3" i="13" s="1"/>
  <c r="NW4" i="13" a="1"/>
  <c r="NW4" i="13" s="1"/>
  <c r="NW5" i="13" a="1"/>
  <c r="NW5" i="13" s="1"/>
  <c r="NW6" i="13" a="1"/>
  <c r="NW6" i="13" s="1"/>
  <c r="NW7" i="13" a="1"/>
  <c r="NW7" i="13" s="1"/>
  <c r="NW8" i="13" a="1"/>
  <c r="NW8" i="13" s="1"/>
  <c r="NW9" i="13" a="1"/>
  <c r="NW9" i="13" s="1"/>
  <c r="NW10" i="13" a="1"/>
  <c r="NW10" i="13" s="1"/>
  <c r="NW11" i="13" a="1"/>
  <c r="NW11" i="13" s="1"/>
  <c r="NW12" i="13" a="1"/>
  <c r="NW12" i="13" s="1"/>
  <c r="NW13" i="13" a="1"/>
  <c r="NW13" i="13" s="1"/>
  <c r="NW14" i="13" a="1"/>
  <c r="NW14" i="13" s="1"/>
  <c r="NW15" i="13" a="1"/>
  <c r="NW15" i="13" s="1"/>
  <c r="NW16" i="13" a="1"/>
  <c r="NW16" i="13" s="1"/>
  <c r="NW17" i="13" a="1"/>
  <c r="NW17" i="13" s="1"/>
  <c r="NW18" i="13" a="1"/>
  <c r="NW18" i="13" s="1"/>
  <c r="NW19" i="13" a="1"/>
  <c r="NW19" i="13" s="1"/>
  <c r="NW20" i="13" a="1"/>
  <c r="NW20" i="13" s="1"/>
  <c r="NW21" i="13" a="1"/>
  <c r="NW21" i="13" s="1"/>
  <c r="NW22" i="13" a="1"/>
  <c r="NW22" i="13" s="1"/>
  <c r="NW23" i="13" a="1"/>
  <c r="NW23" i="13" s="1"/>
  <c r="NW24" i="13" a="1"/>
  <c r="NW24" i="13" s="1"/>
  <c r="NW25" i="13" a="1"/>
  <c r="NW25" i="13" s="1"/>
  <c r="NW26" i="13" a="1"/>
  <c r="NW26" i="13" s="1"/>
  <c r="NW27" i="13" a="1"/>
  <c r="NW27" i="13" s="1"/>
  <c r="NW28" i="13" a="1"/>
  <c r="NW28" i="13" s="1"/>
  <c r="NW29" i="13" a="1"/>
  <c r="NW29" i="13" s="1"/>
  <c r="NW30" i="13" a="1"/>
  <c r="NW30" i="13" s="1"/>
  <c r="NW31" i="13" a="1"/>
  <c r="NW31" i="13" s="1"/>
  <c r="NW32" i="13" a="1"/>
  <c r="NW32" i="13" s="1"/>
  <c r="NW33" i="13" a="1"/>
  <c r="NW33" i="13" s="1"/>
  <c r="NW34" i="13" a="1"/>
  <c r="NW34" i="13" s="1"/>
  <c r="NW35" i="13" a="1"/>
  <c r="NW35" i="13" s="1"/>
  <c r="NW36" i="13" a="1"/>
  <c r="NW36" i="13" s="1"/>
  <c r="NW37" i="13" a="1"/>
  <c r="NW37" i="13" s="1"/>
  <c r="NW38" i="13" a="1"/>
  <c r="NW38" i="13" s="1"/>
  <c r="NW39" i="13" a="1"/>
  <c r="NW39" i="13" s="1"/>
  <c r="NW40" i="13" a="1"/>
  <c r="NW40" i="13" s="1"/>
  <c r="NW41" i="13" a="1"/>
  <c r="NW41" i="13" s="1"/>
  <c r="NW42" i="13" a="1"/>
  <c r="NW42" i="13" s="1"/>
  <c r="NW43" i="13" a="1"/>
  <c r="NW43" i="13" s="1"/>
  <c r="NW44" i="13" a="1"/>
  <c r="NW44" i="13" s="1"/>
  <c r="NW45" i="13" a="1"/>
  <c r="NW45" i="13" s="1"/>
  <c r="NW46" i="13" a="1"/>
  <c r="NW46" i="13" s="1"/>
  <c r="NW47" i="13" a="1"/>
  <c r="NW47" i="13" s="1"/>
  <c r="NW48" i="13" a="1"/>
  <c r="NW48" i="13" s="1"/>
  <c r="NW49" i="13" a="1"/>
  <c r="NW49" i="13" s="1"/>
  <c r="NW50" i="13" a="1"/>
  <c r="NW50" i="13" s="1"/>
  <c r="NW51" i="13" a="1"/>
  <c r="NW51" i="13" s="1"/>
  <c r="NW52" i="13" a="1"/>
  <c r="NW52" i="13" s="1"/>
  <c r="NW53" i="13" a="1"/>
  <c r="NW53" i="13" s="1"/>
  <c r="NW54" i="13" a="1"/>
  <c r="NW54" i="13" s="1"/>
  <c r="NW55" i="13" a="1"/>
  <c r="NW55" i="13" s="1"/>
  <c r="NW56" i="13" a="1"/>
  <c r="NW56" i="13" s="1"/>
  <c r="NW57" i="13" a="1"/>
  <c r="NW57" i="13" s="1"/>
  <c r="NW58" i="13" a="1"/>
  <c r="NW58" i="13" s="1"/>
  <c r="NW59" i="13" a="1"/>
  <c r="NW59" i="13" s="1"/>
  <c r="NW60" i="13" a="1"/>
  <c r="NW60" i="13" s="1"/>
  <c r="NW61" i="13" a="1"/>
  <c r="NW61" i="13" s="1"/>
  <c r="NW62" i="13" a="1"/>
  <c r="NW62" i="13" s="1"/>
  <c r="NW63" i="13" a="1"/>
  <c r="NW63" i="13" s="1"/>
  <c r="NW64" i="13" a="1"/>
  <c r="NW64" i="13" s="1"/>
  <c r="NW65" i="13" a="1"/>
  <c r="NW65" i="13" s="1"/>
  <c r="NW66" i="13" a="1"/>
  <c r="NW66" i="13" s="1"/>
  <c r="NW67" i="13" a="1"/>
  <c r="NW67" i="13" s="1"/>
  <c r="NW68" i="13" a="1"/>
  <c r="NW68" i="13" s="1"/>
  <c r="NW69" i="13" a="1"/>
  <c r="NW69" i="13" s="1"/>
  <c r="NW70" i="13" a="1"/>
  <c r="NW70" i="13" s="1"/>
  <c r="NW71" i="13" a="1"/>
  <c r="NW71" i="13" s="1"/>
  <c r="NW72" i="13" a="1"/>
  <c r="NW72" i="13" s="1"/>
  <c r="NW73" i="13" a="1"/>
  <c r="NW73" i="13" s="1"/>
  <c r="NW74" i="13" a="1"/>
  <c r="NW74" i="13" s="1"/>
  <c r="NW75" i="13" a="1"/>
  <c r="NW75" i="13" s="1"/>
  <c r="NW76" i="13" a="1"/>
  <c r="NW76" i="13" s="1"/>
  <c r="NW77" i="13" a="1"/>
  <c r="NW77" i="13" s="1"/>
  <c r="NW78" i="13" a="1"/>
  <c r="NW78" i="13" s="1"/>
  <c r="NW79" i="13" a="1"/>
  <c r="NW79" i="13" s="1"/>
  <c r="NW80" i="13" a="1"/>
  <c r="NW80" i="13" s="1"/>
  <c r="NW81" i="13" a="1"/>
  <c r="NW81" i="13" s="1"/>
  <c r="NW82" i="13" a="1"/>
  <c r="NW82" i="13" s="1"/>
  <c r="NW83" i="13" a="1"/>
  <c r="NW83" i="13" s="1"/>
  <c r="NW84" i="13" a="1"/>
  <c r="NW84" i="13" s="1"/>
  <c r="NW85" i="13" a="1"/>
  <c r="NW85" i="13" s="1"/>
  <c r="NW86" i="13" a="1"/>
  <c r="NW86" i="13" s="1"/>
  <c r="NW87" i="13" a="1"/>
  <c r="NW87" i="13" s="1"/>
  <c r="NW88" i="13" a="1"/>
  <c r="NW88" i="13" s="1"/>
  <c r="NW89" i="13" a="1"/>
  <c r="NW89" i="13" s="1"/>
  <c r="NW90" i="13" a="1"/>
  <c r="NW90" i="13" s="1"/>
  <c r="NW91" i="13" a="1"/>
  <c r="NW91" i="13" s="1"/>
  <c r="NW92" i="13" a="1"/>
  <c r="NW92" i="13" s="1"/>
  <c r="NW93" i="13" a="1"/>
  <c r="NW93" i="13" s="1"/>
  <c r="NW94" i="13" a="1"/>
  <c r="NW94" i="13" s="1"/>
  <c r="NW95" i="13" a="1"/>
  <c r="NW95" i="13" s="1"/>
  <c r="NW96" i="13" a="1"/>
  <c r="NW96" i="13" s="1"/>
  <c r="NW97" i="13" a="1"/>
  <c r="NW97" i="13" s="1"/>
  <c r="NW98" i="13" a="1"/>
  <c r="NW98" i="13" s="1"/>
  <c r="NW99" i="13" a="1"/>
  <c r="NW99" i="13" s="1"/>
  <c r="NW100" i="13" a="1"/>
  <c r="NW100" i="13" s="1"/>
  <c r="NW101" i="13" a="1"/>
  <c r="NW101" i="13" s="1"/>
  <c r="NW102" i="13" a="1"/>
  <c r="NW102" i="13" s="1"/>
  <c r="NW103" i="13" a="1"/>
  <c r="NW103" i="13" s="1"/>
  <c r="NW104" i="13" a="1"/>
  <c r="NW104" i="13" s="1"/>
  <c r="NW105" i="13" a="1"/>
  <c r="NW105" i="13" s="1"/>
  <c r="NW3" i="13" a="1"/>
  <c r="NW3" i="13" s="1"/>
  <c r="NT4" i="13" a="1"/>
  <c r="NT4" i="13" s="1"/>
  <c r="NT5" i="13" a="1"/>
  <c r="NT5" i="13" s="1"/>
  <c r="NT6" i="13" a="1"/>
  <c r="NT6" i="13" s="1"/>
  <c r="NT7" i="13" a="1"/>
  <c r="NT7" i="13" s="1"/>
  <c r="NT8" i="13" a="1"/>
  <c r="NT8" i="13" s="1"/>
  <c r="NT9" i="13" a="1"/>
  <c r="NT9" i="13" s="1"/>
  <c r="NT10" i="13" a="1"/>
  <c r="NT10" i="13" s="1"/>
  <c r="NT11" i="13" a="1"/>
  <c r="NT11" i="13" s="1"/>
  <c r="NT12" i="13" a="1"/>
  <c r="NT12" i="13" s="1"/>
  <c r="NT13" i="13" a="1"/>
  <c r="NT13" i="13" s="1"/>
  <c r="NT14" i="13" a="1"/>
  <c r="NT14" i="13" s="1"/>
  <c r="NT15" i="13" a="1"/>
  <c r="NT15" i="13" s="1"/>
  <c r="NT16" i="13" a="1"/>
  <c r="NT16" i="13" s="1"/>
  <c r="NT17" i="13" a="1"/>
  <c r="NT17" i="13" s="1"/>
  <c r="NT18" i="13" a="1"/>
  <c r="NT18" i="13" s="1"/>
  <c r="NT19" i="13" a="1"/>
  <c r="NT19" i="13" s="1"/>
  <c r="NT20" i="13" a="1"/>
  <c r="NT20" i="13" s="1"/>
  <c r="NT21" i="13" a="1"/>
  <c r="NT21" i="13" s="1"/>
  <c r="NT22" i="13" a="1"/>
  <c r="NT22" i="13" s="1"/>
  <c r="NT23" i="13" a="1"/>
  <c r="NT23" i="13" s="1"/>
  <c r="NT24" i="13" a="1"/>
  <c r="NT24" i="13" s="1"/>
  <c r="NT25" i="13" a="1"/>
  <c r="NT25" i="13" s="1"/>
  <c r="NT26" i="13" a="1"/>
  <c r="NT26" i="13" s="1"/>
  <c r="NT27" i="13" a="1"/>
  <c r="NT27" i="13" s="1"/>
  <c r="NT28" i="13" a="1"/>
  <c r="NT28" i="13" s="1"/>
  <c r="NT29" i="13" a="1"/>
  <c r="NT29" i="13" s="1"/>
  <c r="NT30" i="13" a="1"/>
  <c r="NT30" i="13" s="1"/>
  <c r="NT31" i="13" a="1"/>
  <c r="NT31" i="13" s="1"/>
  <c r="NT32" i="13" a="1"/>
  <c r="NT32" i="13" s="1"/>
  <c r="NT33" i="13" a="1"/>
  <c r="NT33" i="13" s="1"/>
  <c r="NT34" i="13" a="1"/>
  <c r="NT34" i="13" s="1"/>
  <c r="NT35" i="13" a="1"/>
  <c r="NT35" i="13" s="1"/>
  <c r="NT36" i="13" a="1"/>
  <c r="NT36" i="13" s="1"/>
  <c r="NT37" i="13" a="1"/>
  <c r="NT37" i="13" s="1"/>
  <c r="NT38" i="13" a="1"/>
  <c r="NT38" i="13" s="1"/>
  <c r="NT39" i="13" a="1"/>
  <c r="NT39" i="13" s="1"/>
  <c r="NT40" i="13" a="1"/>
  <c r="NT40" i="13" s="1"/>
  <c r="NT41" i="13" a="1"/>
  <c r="NT41" i="13" s="1"/>
  <c r="NT42" i="13" a="1"/>
  <c r="NT42" i="13" s="1"/>
  <c r="NT43" i="13" a="1"/>
  <c r="NT43" i="13" s="1"/>
  <c r="NT44" i="13" a="1"/>
  <c r="NT44" i="13" s="1"/>
  <c r="NT45" i="13" a="1"/>
  <c r="NT45" i="13" s="1"/>
  <c r="NT46" i="13" a="1"/>
  <c r="NT46" i="13" s="1"/>
  <c r="NT47" i="13" a="1"/>
  <c r="NT47" i="13" s="1"/>
  <c r="NT48" i="13" a="1"/>
  <c r="NT48" i="13" s="1"/>
  <c r="NT49" i="13" a="1"/>
  <c r="NT49" i="13" s="1"/>
  <c r="NT50" i="13" a="1"/>
  <c r="NT50" i="13" s="1"/>
  <c r="NT51" i="13" a="1"/>
  <c r="NT51" i="13" s="1"/>
  <c r="NT52" i="13" a="1"/>
  <c r="NT52" i="13" s="1"/>
  <c r="NT53" i="13" a="1"/>
  <c r="NT53" i="13" s="1"/>
  <c r="NT54" i="13" a="1"/>
  <c r="NT54" i="13" s="1"/>
  <c r="NT55" i="13" a="1"/>
  <c r="NT55" i="13" s="1"/>
  <c r="NT56" i="13" a="1"/>
  <c r="NT56" i="13" s="1"/>
  <c r="NT57" i="13" a="1"/>
  <c r="NT57" i="13" s="1"/>
  <c r="NT58" i="13" a="1"/>
  <c r="NT58" i="13" s="1"/>
  <c r="NT59" i="13" a="1"/>
  <c r="NT59" i="13" s="1"/>
  <c r="NT60" i="13" a="1"/>
  <c r="NT60" i="13" s="1"/>
  <c r="NT61" i="13" a="1"/>
  <c r="NT61" i="13" s="1"/>
  <c r="NT62" i="13" a="1"/>
  <c r="NT62" i="13" s="1"/>
  <c r="NT63" i="13" a="1"/>
  <c r="NT63" i="13" s="1"/>
  <c r="NT64" i="13" a="1"/>
  <c r="NT64" i="13" s="1"/>
  <c r="NT65" i="13" a="1"/>
  <c r="NT65" i="13" s="1"/>
  <c r="NT66" i="13" a="1"/>
  <c r="NT66" i="13" s="1"/>
  <c r="NT67" i="13" a="1"/>
  <c r="NT67" i="13" s="1"/>
  <c r="NT68" i="13" a="1"/>
  <c r="NT68" i="13" s="1"/>
  <c r="NT69" i="13" a="1"/>
  <c r="NT69" i="13" s="1"/>
  <c r="NT70" i="13" a="1"/>
  <c r="NT70" i="13" s="1"/>
  <c r="NT71" i="13" a="1"/>
  <c r="NT71" i="13" s="1"/>
  <c r="NT72" i="13" a="1"/>
  <c r="NT72" i="13" s="1"/>
  <c r="NT73" i="13" a="1"/>
  <c r="NT73" i="13" s="1"/>
  <c r="NT74" i="13" a="1"/>
  <c r="NT74" i="13" s="1"/>
  <c r="NT75" i="13" a="1"/>
  <c r="NT75" i="13" s="1"/>
  <c r="NT76" i="13" a="1"/>
  <c r="NT76" i="13" s="1"/>
  <c r="NT77" i="13" a="1"/>
  <c r="NT77" i="13" s="1"/>
  <c r="NT78" i="13" a="1"/>
  <c r="NT78" i="13" s="1"/>
  <c r="NT79" i="13" a="1"/>
  <c r="NT79" i="13" s="1"/>
  <c r="NT80" i="13" a="1"/>
  <c r="NT80" i="13" s="1"/>
  <c r="NT81" i="13" a="1"/>
  <c r="NT81" i="13" s="1"/>
  <c r="NT82" i="13" a="1"/>
  <c r="NT82" i="13" s="1"/>
  <c r="NT83" i="13" a="1"/>
  <c r="NT83" i="13" s="1"/>
  <c r="NT84" i="13" a="1"/>
  <c r="NT84" i="13" s="1"/>
  <c r="NT85" i="13" a="1"/>
  <c r="NT85" i="13" s="1"/>
  <c r="NT86" i="13" a="1"/>
  <c r="NT86" i="13" s="1"/>
  <c r="NT87" i="13" a="1"/>
  <c r="NT87" i="13" s="1"/>
  <c r="NT88" i="13" a="1"/>
  <c r="NT88" i="13" s="1"/>
  <c r="NT89" i="13" a="1"/>
  <c r="NT89" i="13" s="1"/>
  <c r="NT90" i="13" a="1"/>
  <c r="NT90" i="13" s="1"/>
  <c r="NT91" i="13" a="1"/>
  <c r="NT91" i="13" s="1"/>
  <c r="NT92" i="13" a="1"/>
  <c r="NT92" i="13" s="1"/>
  <c r="NT93" i="13" a="1"/>
  <c r="NT93" i="13" s="1"/>
  <c r="NT94" i="13" a="1"/>
  <c r="NT94" i="13" s="1"/>
  <c r="NT95" i="13" a="1"/>
  <c r="NT95" i="13" s="1"/>
  <c r="NT96" i="13" a="1"/>
  <c r="NT96" i="13" s="1"/>
  <c r="NT97" i="13" a="1"/>
  <c r="NT97" i="13" s="1"/>
  <c r="NT98" i="13" a="1"/>
  <c r="NT98" i="13" s="1"/>
  <c r="NT99" i="13" a="1"/>
  <c r="NT99" i="13" s="1"/>
  <c r="NT100" i="13" a="1"/>
  <c r="NT100" i="13" s="1"/>
  <c r="NT101" i="13" a="1"/>
  <c r="NT101" i="13" s="1"/>
  <c r="NT102" i="13" a="1"/>
  <c r="NT102" i="13" s="1"/>
  <c r="NT103" i="13" a="1"/>
  <c r="NT103" i="13" s="1"/>
  <c r="NT104" i="13" a="1"/>
  <c r="NT104" i="13" s="1"/>
  <c r="NT105" i="13" a="1"/>
  <c r="NT105" i="13" s="1"/>
  <c r="NQ4" i="13" a="1"/>
  <c r="NQ4" i="13" s="1"/>
  <c r="NQ5" i="13" a="1"/>
  <c r="NQ5" i="13" s="1"/>
  <c r="NQ6" i="13" a="1"/>
  <c r="NQ6" i="13" s="1"/>
  <c r="NQ7" i="13" a="1"/>
  <c r="NQ7" i="13" s="1"/>
  <c r="NQ8" i="13" a="1"/>
  <c r="NQ8" i="13" s="1"/>
  <c r="NQ9" i="13" a="1"/>
  <c r="NQ9" i="13" s="1"/>
  <c r="NQ10" i="13" a="1"/>
  <c r="NQ10" i="13" s="1"/>
  <c r="NQ11" i="13" a="1"/>
  <c r="NQ11" i="13" s="1"/>
  <c r="NQ12" i="13" a="1"/>
  <c r="NQ12" i="13" s="1"/>
  <c r="NQ13" i="13" a="1"/>
  <c r="NQ13" i="13" s="1"/>
  <c r="NQ14" i="13" a="1"/>
  <c r="NQ14" i="13" s="1"/>
  <c r="NQ15" i="13" a="1"/>
  <c r="NQ15" i="13" s="1"/>
  <c r="NQ16" i="13" a="1"/>
  <c r="NQ16" i="13" s="1"/>
  <c r="NQ17" i="13" a="1"/>
  <c r="NQ17" i="13" s="1"/>
  <c r="NQ18" i="13" a="1"/>
  <c r="NQ18" i="13" s="1"/>
  <c r="NQ19" i="13" a="1"/>
  <c r="NQ19" i="13" s="1"/>
  <c r="NQ20" i="13" a="1"/>
  <c r="NQ20" i="13" s="1"/>
  <c r="NQ21" i="13" a="1"/>
  <c r="NQ21" i="13" s="1"/>
  <c r="NQ22" i="13" a="1"/>
  <c r="NQ22" i="13" s="1"/>
  <c r="NQ23" i="13" a="1"/>
  <c r="NQ23" i="13" s="1"/>
  <c r="NQ24" i="13" a="1"/>
  <c r="NQ24" i="13" s="1"/>
  <c r="NQ25" i="13" a="1"/>
  <c r="NQ25" i="13" s="1"/>
  <c r="NQ26" i="13" a="1"/>
  <c r="NQ26" i="13" s="1"/>
  <c r="NQ27" i="13" a="1"/>
  <c r="NQ27" i="13" s="1"/>
  <c r="NQ28" i="13" a="1"/>
  <c r="NQ28" i="13" s="1"/>
  <c r="NQ29" i="13" a="1"/>
  <c r="NQ29" i="13" s="1"/>
  <c r="NQ30" i="13" a="1"/>
  <c r="NQ30" i="13" s="1"/>
  <c r="NQ31" i="13" a="1"/>
  <c r="NQ31" i="13" s="1"/>
  <c r="NQ32" i="13" a="1"/>
  <c r="NQ32" i="13" s="1"/>
  <c r="NQ33" i="13" a="1"/>
  <c r="NQ33" i="13" s="1"/>
  <c r="NQ34" i="13" a="1"/>
  <c r="NQ34" i="13" s="1"/>
  <c r="NQ35" i="13" a="1"/>
  <c r="NQ35" i="13" s="1"/>
  <c r="NQ36" i="13" a="1"/>
  <c r="NQ36" i="13" s="1"/>
  <c r="NQ37" i="13" a="1"/>
  <c r="NQ37" i="13" s="1"/>
  <c r="NQ38" i="13" a="1"/>
  <c r="NQ38" i="13" s="1"/>
  <c r="NQ39" i="13" a="1"/>
  <c r="NQ39" i="13" s="1"/>
  <c r="NQ40" i="13" a="1"/>
  <c r="NQ40" i="13" s="1"/>
  <c r="NQ41" i="13" a="1"/>
  <c r="NQ41" i="13" s="1"/>
  <c r="NQ42" i="13" a="1"/>
  <c r="NQ42" i="13" s="1"/>
  <c r="NQ43" i="13" a="1"/>
  <c r="NQ43" i="13" s="1"/>
  <c r="NQ44" i="13" a="1"/>
  <c r="NQ44" i="13" s="1"/>
  <c r="NQ45" i="13" a="1"/>
  <c r="NQ45" i="13" s="1"/>
  <c r="NQ46" i="13" a="1"/>
  <c r="NQ46" i="13" s="1"/>
  <c r="NQ47" i="13" a="1"/>
  <c r="NQ47" i="13" s="1"/>
  <c r="NQ48" i="13" a="1"/>
  <c r="NQ48" i="13" s="1"/>
  <c r="NQ49" i="13" a="1"/>
  <c r="NQ49" i="13" s="1"/>
  <c r="NQ50" i="13" a="1"/>
  <c r="NQ50" i="13" s="1"/>
  <c r="NQ51" i="13" a="1"/>
  <c r="NQ51" i="13" s="1"/>
  <c r="NQ52" i="13" a="1"/>
  <c r="NQ52" i="13" s="1"/>
  <c r="NQ53" i="13" a="1"/>
  <c r="NQ53" i="13" s="1"/>
  <c r="NQ54" i="13" a="1"/>
  <c r="NQ54" i="13" s="1"/>
  <c r="NQ55" i="13" a="1"/>
  <c r="NQ55" i="13" s="1"/>
  <c r="NQ56" i="13" a="1"/>
  <c r="NQ56" i="13" s="1"/>
  <c r="NQ57" i="13" a="1"/>
  <c r="NQ57" i="13" s="1"/>
  <c r="NQ58" i="13" a="1"/>
  <c r="NQ58" i="13" s="1"/>
  <c r="NQ59" i="13" a="1"/>
  <c r="NQ59" i="13" s="1"/>
  <c r="NQ60" i="13" a="1"/>
  <c r="NQ60" i="13" s="1"/>
  <c r="NQ61" i="13" a="1"/>
  <c r="NQ61" i="13" s="1"/>
  <c r="NQ62" i="13" a="1"/>
  <c r="NQ62" i="13" s="1"/>
  <c r="NQ63" i="13" a="1"/>
  <c r="NQ63" i="13" s="1"/>
  <c r="NQ64" i="13" a="1"/>
  <c r="NQ64" i="13" s="1"/>
  <c r="NQ65" i="13" a="1"/>
  <c r="NQ65" i="13" s="1"/>
  <c r="NQ66" i="13" a="1"/>
  <c r="NQ66" i="13" s="1"/>
  <c r="NQ67" i="13" a="1"/>
  <c r="NQ67" i="13" s="1"/>
  <c r="NQ68" i="13" a="1"/>
  <c r="NQ68" i="13" s="1"/>
  <c r="NQ69" i="13" a="1"/>
  <c r="NQ69" i="13" s="1"/>
  <c r="NQ70" i="13" a="1"/>
  <c r="NQ70" i="13" s="1"/>
  <c r="NQ71" i="13" a="1"/>
  <c r="NQ71" i="13" s="1"/>
  <c r="NQ72" i="13" a="1"/>
  <c r="NQ72" i="13" s="1"/>
  <c r="NQ73" i="13" a="1"/>
  <c r="NQ73" i="13" s="1"/>
  <c r="NQ74" i="13" a="1"/>
  <c r="NQ74" i="13" s="1"/>
  <c r="NQ75" i="13" a="1"/>
  <c r="NQ75" i="13" s="1"/>
  <c r="NQ76" i="13" a="1"/>
  <c r="NQ76" i="13" s="1"/>
  <c r="NQ77" i="13" a="1"/>
  <c r="NQ77" i="13" s="1"/>
  <c r="NQ78" i="13" a="1"/>
  <c r="NQ78" i="13" s="1"/>
  <c r="NQ79" i="13" a="1"/>
  <c r="NQ79" i="13" s="1"/>
  <c r="NQ80" i="13" a="1"/>
  <c r="NQ80" i="13" s="1"/>
  <c r="NQ81" i="13" a="1"/>
  <c r="NQ81" i="13" s="1"/>
  <c r="NQ82" i="13" a="1"/>
  <c r="NQ82" i="13" s="1"/>
  <c r="NQ83" i="13" a="1"/>
  <c r="NQ83" i="13" s="1"/>
  <c r="NQ84" i="13" a="1"/>
  <c r="NQ84" i="13" s="1"/>
  <c r="NQ85" i="13" a="1"/>
  <c r="NQ85" i="13" s="1"/>
  <c r="NQ86" i="13" a="1"/>
  <c r="NQ86" i="13" s="1"/>
  <c r="NQ87" i="13" a="1"/>
  <c r="NQ87" i="13" s="1"/>
  <c r="NQ88" i="13" a="1"/>
  <c r="NQ88" i="13" s="1"/>
  <c r="NQ89" i="13" a="1"/>
  <c r="NQ89" i="13" s="1"/>
  <c r="NQ90" i="13" a="1"/>
  <c r="NQ90" i="13" s="1"/>
  <c r="NQ91" i="13" a="1"/>
  <c r="NQ91" i="13" s="1"/>
  <c r="NQ92" i="13" a="1"/>
  <c r="NQ92" i="13" s="1"/>
  <c r="NQ93" i="13" a="1"/>
  <c r="NQ93" i="13" s="1"/>
  <c r="NQ94" i="13" a="1"/>
  <c r="NQ94" i="13" s="1"/>
  <c r="NQ95" i="13" a="1"/>
  <c r="NQ95" i="13" s="1"/>
  <c r="NQ96" i="13" a="1"/>
  <c r="NQ96" i="13" s="1"/>
  <c r="NQ97" i="13" a="1"/>
  <c r="NQ97" i="13" s="1"/>
  <c r="NQ98" i="13" a="1"/>
  <c r="NQ98" i="13" s="1"/>
  <c r="NQ99" i="13" a="1"/>
  <c r="NQ99" i="13" s="1"/>
  <c r="NQ100" i="13" a="1"/>
  <c r="NQ100" i="13" s="1"/>
  <c r="NQ101" i="13" a="1"/>
  <c r="NQ101" i="13" s="1"/>
  <c r="NQ102" i="13" a="1"/>
  <c r="NQ102" i="13" s="1"/>
  <c r="NQ103" i="13" a="1"/>
  <c r="NQ103" i="13" s="1"/>
  <c r="NQ104" i="13" a="1"/>
  <c r="NQ104" i="13" s="1"/>
  <c r="NQ105" i="13" a="1"/>
  <c r="NQ105" i="13" s="1"/>
  <c r="NQ3" i="13" a="1"/>
  <c r="NQ3" i="13" s="1"/>
  <c r="NN4" i="13" a="1"/>
  <c r="NN4" i="13" s="1"/>
  <c r="NN5" i="13" a="1"/>
  <c r="NN5" i="13" s="1"/>
  <c r="NN6" i="13" a="1"/>
  <c r="NN6" i="13" s="1"/>
  <c r="NN7" i="13" a="1"/>
  <c r="NN7" i="13" s="1"/>
  <c r="NN8" i="13" a="1"/>
  <c r="NN8" i="13" s="1"/>
  <c r="NN9" i="13" a="1"/>
  <c r="NN9" i="13" s="1"/>
  <c r="NN10" i="13" a="1"/>
  <c r="NN10" i="13" s="1"/>
  <c r="NN11" i="13" a="1"/>
  <c r="NN11" i="13" s="1"/>
  <c r="NN12" i="13" a="1"/>
  <c r="NN12" i="13" s="1"/>
  <c r="NN13" i="13" a="1"/>
  <c r="NN13" i="13" s="1"/>
  <c r="NN14" i="13" a="1"/>
  <c r="NN14" i="13" s="1"/>
  <c r="NN15" i="13" a="1"/>
  <c r="NN15" i="13" s="1"/>
  <c r="NN16" i="13" a="1"/>
  <c r="NN16" i="13" s="1"/>
  <c r="NN17" i="13" a="1"/>
  <c r="NN17" i="13" s="1"/>
  <c r="NN18" i="13" a="1"/>
  <c r="NN18" i="13" s="1"/>
  <c r="NN19" i="13" a="1"/>
  <c r="NN19" i="13" s="1"/>
  <c r="NN20" i="13" a="1"/>
  <c r="NN20" i="13" s="1"/>
  <c r="NN21" i="13" a="1"/>
  <c r="NN21" i="13" s="1"/>
  <c r="NN22" i="13" a="1"/>
  <c r="NN22" i="13" s="1"/>
  <c r="NN23" i="13" a="1"/>
  <c r="NN23" i="13" s="1"/>
  <c r="NN24" i="13" a="1"/>
  <c r="NN24" i="13" s="1"/>
  <c r="NN25" i="13" a="1"/>
  <c r="NN25" i="13" s="1"/>
  <c r="NN26" i="13" a="1"/>
  <c r="NN26" i="13" s="1"/>
  <c r="NN27" i="13" a="1"/>
  <c r="NN27" i="13" s="1"/>
  <c r="NN28" i="13" a="1"/>
  <c r="NN28" i="13" s="1"/>
  <c r="NN29" i="13" a="1"/>
  <c r="NN29" i="13" s="1"/>
  <c r="NN30" i="13" a="1"/>
  <c r="NN30" i="13" s="1"/>
  <c r="NN31" i="13" a="1"/>
  <c r="NN31" i="13" s="1"/>
  <c r="NN32" i="13" a="1"/>
  <c r="NN32" i="13" s="1"/>
  <c r="NN33" i="13" a="1"/>
  <c r="NN33" i="13" s="1"/>
  <c r="NN34" i="13" a="1"/>
  <c r="NN34" i="13" s="1"/>
  <c r="NN35" i="13" a="1"/>
  <c r="NN35" i="13" s="1"/>
  <c r="NN36" i="13" a="1"/>
  <c r="NN36" i="13" s="1"/>
  <c r="NN37" i="13" a="1"/>
  <c r="NN37" i="13" s="1"/>
  <c r="NN38" i="13" a="1"/>
  <c r="NN38" i="13" s="1"/>
  <c r="NN39" i="13" a="1"/>
  <c r="NN39" i="13" s="1"/>
  <c r="NN40" i="13" a="1"/>
  <c r="NN40" i="13" s="1"/>
  <c r="NN41" i="13" a="1"/>
  <c r="NN41" i="13" s="1"/>
  <c r="NN42" i="13" a="1"/>
  <c r="NN42" i="13" s="1"/>
  <c r="NN43" i="13" a="1"/>
  <c r="NN43" i="13" s="1"/>
  <c r="NN44" i="13" a="1"/>
  <c r="NN44" i="13" s="1"/>
  <c r="NN45" i="13" a="1"/>
  <c r="NN45" i="13" s="1"/>
  <c r="NN46" i="13" a="1"/>
  <c r="NN46" i="13" s="1"/>
  <c r="NN47" i="13" a="1"/>
  <c r="NN47" i="13" s="1"/>
  <c r="NN48" i="13" a="1"/>
  <c r="NN48" i="13" s="1"/>
  <c r="NN49" i="13" a="1"/>
  <c r="NN49" i="13" s="1"/>
  <c r="NN50" i="13" a="1"/>
  <c r="NN50" i="13" s="1"/>
  <c r="NN51" i="13" a="1"/>
  <c r="NN51" i="13" s="1"/>
  <c r="NN52" i="13" a="1"/>
  <c r="NN52" i="13" s="1"/>
  <c r="NN53" i="13" a="1"/>
  <c r="NN53" i="13" s="1"/>
  <c r="NN54" i="13" a="1"/>
  <c r="NN54" i="13" s="1"/>
  <c r="NN55" i="13" a="1"/>
  <c r="NN55" i="13" s="1"/>
  <c r="NN56" i="13" a="1"/>
  <c r="NN56" i="13" s="1"/>
  <c r="NN57" i="13" a="1"/>
  <c r="NN57" i="13" s="1"/>
  <c r="NN58" i="13" a="1"/>
  <c r="NN58" i="13" s="1"/>
  <c r="NN59" i="13" a="1"/>
  <c r="NN59" i="13" s="1"/>
  <c r="NN60" i="13" a="1"/>
  <c r="NN60" i="13" s="1"/>
  <c r="NN61" i="13" a="1"/>
  <c r="NN61" i="13" s="1"/>
  <c r="NN62" i="13" a="1"/>
  <c r="NN62" i="13" s="1"/>
  <c r="NN63" i="13" a="1"/>
  <c r="NN63" i="13" s="1"/>
  <c r="NN64" i="13" a="1"/>
  <c r="NN64" i="13" s="1"/>
  <c r="NN65" i="13" a="1"/>
  <c r="NN65" i="13" s="1"/>
  <c r="NN66" i="13" a="1"/>
  <c r="NN66" i="13" s="1"/>
  <c r="NN67" i="13" a="1"/>
  <c r="NN67" i="13" s="1"/>
  <c r="NN68" i="13" a="1"/>
  <c r="NN68" i="13" s="1"/>
  <c r="NN69" i="13" a="1"/>
  <c r="NN69" i="13" s="1"/>
  <c r="NN70" i="13" a="1"/>
  <c r="NN70" i="13" s="1"/>
  <c r="NN71" i="13" a="1"/>
  <c r="NN71" i="13" s="1"/>
  <c r="NN72" i="13" a="1"/>
  <c r="NN72" i="13" s="1"/>
  <c r="NN73" i="13" a="1"/>
  <c r="NN73" i="13" s="1"/>
  <c r="NN74" i="13" a="1"/>
  <c r="NN74" i="13" s="1"/>
  <c r="NN75" i="13" a="1"/>
  <c r="NN75" i="13" s="1"/>
  <c r="NN76" i="13" a="1"/>
  <c r="NN76" i="13" s="1"/>
  <c r="NN77" i="13" a="1"/>
  <c r="NN77" i="13" s="1"/>
  <c r="NN78" i="13" a="1"/>
  <c r="NN78" i="13" s="1"/>
  <c r="NN79" i="13" a="1"/>
  <c r="NN79" i="13" s="1"/>
  <c r="NN80" i="13" a="1"/>
  <c r="NN80" i="13" s="1"/>
  <c r="NN81" i="13" a="1"/>
  <c r="NN81" i="13" s="1"/>
  <c r="NN82" i="13" a="1"/>
  <c r="NN82" i="13" s="1"/>
  <c r="NN83" i="13" a="1"/>
  <c r="NN83" i="13" s="1"/>
  <c r="NN84" i="13" a="1"/>
  <c r="NN84" i="13" s="1"/>
  <c r="NN85" i="13" a="1"/>
  <c r="NN85" i="13" s="1"/>
  <c r="NN86" i="13" a="1"/>
  <c r="NN86" i="13" s="1"/>
  <c r="NN87" i="13" a="1"/>
  <c r="NN87" i="13" s="1"/>
  <c r="NN88" i="13" a="1"/>
  <c r="NN88" i="13" s="1"/>
  <c r="NN89" i="13" a="1"/>
  <c r="NN89" i="13" s="1"/>
  <c r="NN90" i="13" a="1"/>
  <c r="NN90" i="13" s="1"/>
  <c r="NN91" i="13" a="1"/>
  <c r="NN91" i="13" s="1"/>
  <c r="NN92" i="13" a="1"/>
  <c r="NN92" i="13" s="1"/>
  <c r="NN93" i="13" a="1"/>
  <c r="NN93" i="13" s="1"/>
  <c r="NN94" i="13" a="1"/>
  <c r="NN94" i="13" s="1"/>
  <c r="NN95" i="13" a="1"/>
  <c r="NN95" i="13" s="1"/>
  <c r="NN96" i="13" a="1"/>
  <c r="NN96" i="13" s="1"/>
  <c r="NN97" i="13" a="1"/>
  <c r="NN97" i="13" s="1"/>
  <c r="NN98" i="13" a="1"/>
  <c r="NN98" i="13" s="1"/>
  <c r="NN99" i="13" a="1"/>
  <c r="NN99" i="13" s="1"/>
  <c r="NN100" i="13" a="1"/>
  <c r="NN100" i="13" s="1"/>
  <c r="NN101" i="13" a="1"/>
  <c r="NN101" i="13" s="1"/>
  <c r="NN102" i="13" a="1"/>
  <c r="NN102" i="13" s="1"/>
  <c r="NN103" i="13" a="1"/>
  <c r="NN103" i="13" s="1"/>
  <c r="NN104" i="13" a="1"/>
  <c r="NN104" i="13" s="1"/>
  <c r="NN105" i="13" a="1"/>
  <c r="NN105" i="13" s="1"/>
  <c r="NN3" i="13" a="1"/>
  <c r="NN3" i="13" s="1"/>
  <c r="NK4" i="13" a="1"/>
  <c r="NK4" i="13" s="1"/>
  <c r="NK5" i="13" a="1"/>
  <c r="NK5" i="13" s="1"/>
  <c r="NK6" i="13" a="1"/>
  <c r="NK6" i="13" s="1"/>
  <c r="NK7" i="13" a="1"/>
  <c r="NK7" i="13" s="1"/>
  <c r="NK8" i="13" a="1"/>
  <c r="NK8" i="13" s="1"/>
  <c r="NK9" i="13" a="1"/>
  <c r="NK9" i="13" s="1"/>
  <c r="NK10" i="13" a="1"/>
  <c r="NK10" i="13" s="1"/>
  <c r="NK11" i="13" a="1"/>
  <c r="NK11" i="13" s="1"/>
  <c r="NK12" i="13" a="1"/>
  <c r="NK12" i="13" s="1"/>
  <c r="NK13" i="13" a="1"/>
  <c r="NK13" i="13" s="1"/>
  <c r="NK14" i="13" a="1"/>
  <c r="NK14" i="13" s="1"/>
  <c r="NK15" i="13" a="1"/>
  <c r="NK15" i="13" s="1"/>
  <c r="NK16" i="13" a="1"/>
  <c r="NK16" i="13" s="1"/>
  <c r="NK17" i="13" a="1"/>
  <c r="NK17" i="13" s="1"/>
  <c r="NK18" i="13" a="1"/>
  <c r="NK18" i="13" s="1"/>
  <c r="NK19" i="13" a="1"/>
  <c r="NK19" i="13" s="1"/>
  <c r="NK20" i="13" a="1"/>
  <c r="NK20" i="13" s="1"/>
  <c r="NK21" i="13" a="1"/>
  <c r="NK21" i="13" s="1"/>
  <c r="NK22" i="13" a="1"/>
  <c r="NK22" i="13" s="1"/>
  <c r="NK23" i="13" a="1"/>
  <c r="NK23" i="13" s="1"/>
  <c r="NK24" i="13" a="1"/>
  <c r="NK24" i="13" s="1"/>
  <c r="NK25" i="13" a="1"/>
  <c r="NK25" i="13" s="1"/>
  <c r="NK26" i="13" a="1"/>
  <c r="NK26" i="13" s="1"/>
  <c r="NK27" i="13" a="1"/>
  <c r="NK27" i="13" s="1"/>
  <c r="NK28" i="13" a="1"/>
  <c r="NK28" i="13" s="1"/>
  <c r="NK29" i="13" a="1"/>
  <c r="NK29" i="13" s="1"/>
  <c r="NK30" i="13" a="1"/>
  <c r="NK30" i="13" s="1"/>
  <c r="NK31" i="13" a="1"/>
  <c r="NK31" i="13" s="1"/>
  <c r="NK32" i="13" a="1"/>
  <c r="NK32" i="13" s="1"/>
  <c r="NK33" i="13" a="1"/>
  <c r="NK33" i="13" s="1"/>
  <c r="NK34" i="13" a="1"/>
  <c r="NK34" i="13" s="1"/>
  <c r="NK35" i="13" a="1"/>
  <c r="NK35" i="13" s="1"/>
  <c r="NK36" i="13" a="1"/>
  <c r="NK36" i="13" s="1"/>
  <c r="NK37" i="13" a="1"/>
  <c r="NK37" i="13" s="1"/>
  <c r="NK38" i="13" a="1"/>
  <c r="NK38" i="13" s="1"/>
  <c r="NK39" i="13" a="1"/>
  <c r="NK39" i="13" s="1"/>
  <c r="NK40" i="13" a="1"/>
  <c r="NK40" i="13" s="1"/>
  <c r="NK41" i="13" a="1"/>
  <c r="NK41" i="13" s="1"/>
  <c r="NK42" i="13" a="1"/>
  <c r="NK42" i="13" s="1"/>
  <c r="NK43" i="13" a="1"/>
  <c r="NK43" i="13" s="1"/>
  <c r="NK44" i="13" a="1"/>
  <c r="NK44" i="13" s="1"/>
  <c r="NK45" i="13" a="1"/>
  <c r="NK45" i="13" s="1"/>
  <c r="NK46" i="13" a="1"/>
  <c r="NK46" i="13" s="1"/>
  <c r="NK47" i="13" a="1"/>
  <c r="NK47" i="13" s="1"/>
  <c r="NK48" i="13" a="1"/>
  <c r="NK48" i="13" s="1"/>
  <c r="NK49" i="13" a="1"/>
  <c r="NK49" i="13" s="1"/>
  <c r="NK50" i="13" a="1"/>
  <c r="NK50" i="13" s="1"/>
  <c r="NK51" i="13" a="1"/>
  <c r="NK51" i="13" s="1"/>
  <c r="NK52" i="13" a="1"/>
  <c r="NK52" i="13" s="1"/>
  <c r="NK53" i="13" a="1"/>
  <c r="NK53" i="13" s="1"/>
  <c r="NK54" i="13" a="1"/>
  <c r="NK54" i="13" s="1"/>
  <c r="NK55" i="13" a="1"/>
  <c r="NK55" i="13" s="1"/>
  <c r="NK56" i="13" a="1"/>
  <c r="NK56" i="13" s="1"/>
  <c r="NK57" i="13" a="1"/>
  <c r="NK57" i="13" s="1"/>
  <c r="NK58" i="13" a="1"/>
  <c r="NK58" i="13" s="1"/>
  <c r="NK59" i="13" a="1"/>
  <c r="NK59" i="13" s="1"/>
  <c r="NK60" i="13" a="1"/>
  <c r="NK60" i="13" s="1"/>
  <c r="NK61" i="13" a="1"/>
  <c r="NK61" i="13" s="1"/>
  <c r="NK62" i="13" a="1"/>
  <c r="NK62" i="13" s="1"/>
  <c r="NK63" i="13" a="1"/>
  <c r="NK63" i="13" s="1"/>
  <c r="NK64" i="13" a="1"/>
  <c r="NK64" i="13" s="1"/>
  <c r="NK65" i="13" a="1"/>
  <c r="NK65" i="13" s="1"/>
  <c r="NK66" i="13" a="1"/>
  <c r="NK66" i="13" s="1"/>
  <c r="NK67" i="13" a="1"/>
  <c r="NK67" i="13" s="1"/>
  <c r="NK68" i="13" a="1"/>
  <c r="NK68" i="13" s="1"/>
  <c r="NK69" i="13" a="1"/>
  <c r="NK69" i="13" s="1"/>
  <c r="NK70" i="13" a="1"/>
  <c r="NK70" i="13" s="1"/>
  <c r="NK71" i="13" a="1"/>
  <c r="NK71" i="13" s="1"/>
  <c r="NK72" i="13" a="1"/>
  <c r="NK72" i="13" s="1"/>
  <c r="NK73" i="13" a="1"/>
  <c r="NK73" i="13" s="1"/>
  <c r="NK74" i="13" a="1"/>
  <c r="NK74" i="13" s="1"/>
  <c r="NK75" i="13" a="1"/>
  <c r="NK75" i="13" s="1"/>
  <c r="NK76" i="13" a="1"/>
  <c r="NK76" i="13" s="1"/>
  <c r="NK77" i="13" a="1"/>
  <c r="NK77" i="13" s="1"/>
  <c r="NK78" i="13" a="1"/>
  <c r="NK78" i="13" s="1"/>
  <c r="NK79" i="13" a="1"/>
  <c r="NK79" i="13" s="1"/>
  <c r="NK80" i="13" a="1"/>
  <c r="NK80" i="13" s="1"/>
  <c r="NK81" i="13" a="1"/>
  <c r="NK81" i="13" s="1"/>
  <c r="NK82" i="13" a="1"/>
  <c r="NK82" i="13" s="1"/>
  <c r="NK83" i="13" a="1"/>
  <c r="NK83" i="13" s="1"/>
  <c r="NK84" i="13" a="1"/>
  <c r="NK84" i="13" s="1"/>
  <c r="NK85" i="13" a="1"/>
  <c r="NK85" i="13" s="1"/>
  <c r="NK86" i="13" a="1"/>
  <c r="NK86" i="13" s="1"/>
  <c r="NK87" i="13" a="1"/>
  <c r="NK87" i="13" s="1"/>
  <c r="NK88" i="13" a="1"/>
  <c r="NK88" i="13" s="1"/>
  <c r="NK89" i="13" a="1"/>
  <c r="NK89" i="13" s="1"/>
  <c r="NK90" i="13" a="1"/>
  <c r="NK90" i="13" s="1"/>
  <c r="NK91" i="13" a="1"/>
  <c r="NK91" i="13" s="1"/>
  <c r="NK92" i="13" a="1"/>
  <c r="NK92" i="13" s="1"/>
  <c r="NK93" i="13" a="1"/>
  <c r="NK93" i="13" s="1"/>
  <c r="NK94" i="13" a="1"/>
  <c r="NK94" i="13" s="1"/>
  <c r="NK95" i="13" a="1"/>
  <c r="NK95" i="13" s="1"/>
  <c r="NK96" i="13" a="1"/>
  <c r="NK96" i="13" s="1"/>
  <c r="NK97" i="13" a="1"/>
  <c r="NK97" i="13" s="1"/>
  <c r="NK98" i="13" a="1"/>
  <c r="NK98" i="13" s="1"/>
  <c r="NK99" i="13" a="1"/>
  <c r="NK99" i="13" s="1"/>
  <c r="NK100" i="13" a="1"/>
  <c r="NK100" i="13" s="1"/>
  <c r="NK101" i="13" a="1"/>
  <c r="NK101" i="13" s="1"/>
  <c r="NK102" i="13" a="1"/>
  <c r="NK102" i="13" s="1"/>
  <c r="NK103" i="13" a="1"/>
  <c r="NK103" i="13" s="1"/>
  <c r="NK104" i="13" a="1"/>
  <c r="NK104" i="13" s="1"/>
  <c r="NK105" i="13" a="1"/>
  <c r="NK105" i="13" s="1"/>
  <c r="NK3" i="13" a="1"/>
  <c r="NK3" i="13" s="1"/>
  <c r="NH4" i="13" a="1"/>
  <c r="NH4" i="13" s="1"/>
  <c r="NH5" i="13" a="1"/>
  <c r="NH5" i="13" s="1"/>
  <c r="NH6" i="13" a="1"/>
  <c r="NH6" i="13" s="1"/>
  <c r="NH7" i="13" a="1"/>
  <c r="NH7" i="13" s="1"/>
  <c r="NH8" i="13" a="1"/>
  <c r="NH8" i="13" s="1"/>
  <c r="NH9" i="13" a="1"/>
  <c r="NH9" i="13" s="1"/>
  <c r="NH10" i="13" a="1"/>
  <c r="NH10" i="13" s="1"/>
  <c r="NH11" i="13" a="1"/>
  <c r="NH11" i="13" s="1"/>
  <c r="NH12" i="13" a="1"/>
  <c r="NH12" i="13" s="1"/>
  <c r="NH13" i="13" a="1"/>
  <c r="NH13" i="13" s="1"/>
  <c r="NH14" i="13" a="1"/>
  <c r="NH14" i="13" s="1"/>
  <c r="NH15" i="13" a="1"/>
  <c r="NH15" i="13" s="1"/>
  <c r="NH16" i="13" a="1"/>
  <c r="NH16" i="13" s="1"/>
  <c r="NH17" i="13" a="1"/>
  <c r="NH17" i="13" s="1"/>
  <c r="NH18" i="13" a="1"/>
  <c r="NH18" i="13" s="1"/>
  <c r="NH19" i="13" a="1"/>
  <c r="NH19" i="13" s="1"/>
  <c r="NH20" i="13" a="1"/>
  <c r="NH20" i="13" s="1"/>
  <c r="NH21" i="13" a="1"/>
  <c r="NH21" i="13" s="1"/>
  <c r="NH22" i="13" a="1"/>
  <c r="NH22" i="13" s="1"/>
  <c r="NH23" i="13" a="1"/>
  <c r="NH23" i="13" s="1"/>
  <c r="NH24" i="13" a="1"/>
  <c r="NH24" i="13" s="1"/>
  <c r="NH25" i="13" a="1"/>
  <c r="NH25" i="13" s="1"/>
  <c r="NH26" i="13" a="1"/>
  <c r="NH26" i="13" s="1"/>
  <c r="NH27" i="13" a="1"/>
  <c r="NH27" i="13" s="1"/>
  <c r="NH28" i="13" a="1"/>
  <c r="NH28" i="13" s="1"/>
  <c r="NH29" i="13" a="1"/>
  <c r="NH29" i="13" s="1"/>
  <c r="NH30" i="13" a="1"/>
  <c r="NH30" i="13" s="1"/>
  <c r="NH31" i="13" a="1"/>
  <c r="NH31" i="13" s="1"/>
  <c r="NH32" i="13" a="1"/>
  <c r="NH32" i="13" s="1"/>
  <c r="NH33" i="13" a="1"/>
  <c r="NH33" i="13" s="1"/>
  <c r="NH34" i="13" a="1"/>
  <c r="NH34" i="13" s="1"/>
  <c r="NH35" i="13" a="1"/>
  <c r="NH35" i="13" s="1"/>
  <c r="NH36" i="13" a="1"/>
  <c r="NH36" i="13" s="1"/>
  <c r="NH37" i="13" a="1"/>
  <c r="NH37" i="13" s="1"/>
  <c r="NH38" i="13" a="1"/>
  <c r="NH38" i="13" s="1"/>
  <c r="NH39" i="13" a="1"/>
  <c r="NH39" i="13" s="1"/>
  <c r="NH40" i="13" a="1"/>
  <c r="NH40" i="13" s="1"/>
  <c r="NH41" i="13" a="1"/>
  <c r="NH41" i="13" s="1"/>
  <c r="NH42" i="13" a="1"/>
  <c r="NH42" i="13" s="1"/>
  <c r="NH43" i="13" a="1"/>
  <c r="NH43" i="13" s="1"/>
  <c r="NH44" i="13" a="1"/>
  <c r="NH44" i="13" s="1"/>
  <c r="NH45" i="13" a="1"/>
  <c r="NH45" i="13" s="1"/>
  <c r="NH46" i="13" a="1"/>
  <c r="NH46" i="13" s="1"/>
  <c r="NH47" i="13" a="1"/>
  <c r="NH47" i="13" s="1"/>
  <c r="NH48" i="13" a="1"/>
  <c r="NH48" i="13" s="1"/>
  <c r="NH49" i="13" a="1"/>
  <c r="NH49" i="13" s="1"/>
  <c r="NH50" i="13" a="1"/>
  <c r="NH50" i="13" s="1"/>
  <c r="NH51" i="13" a="1"/>
  <c r="NH51" i="13" s="1"/>
  <c r="NH52" i="13" a="1"/>
  <c r="NH52" i="13" s="1"/>
  <c r="NH53" i="13" a="1"/>
  <c r="NH53" i="13" s="1"/>
  <c r="NH54" i="13" a="1"/>
  <c r="NH54" i="13" s="1"/>
  <c r="NH55" i="13" a="1"/>
  <c r="NH55" i="13" s="1"/>
  <c r="NH56" i="13" a="1"/>
  <c r="NH56" i="13" s="1"/>
  <c r="NH57" i="13" a="1"/>
  <c r="NH57" i="13" s="1"/>
  <c r="NH58" i="13" a="1"/>
  <c r="NH58" i="13" s="1"/>
  <c r="NH59" i="13" a="1"/>
  <c r="NH59" i="13" s="1"/>
  <c r="NH60" i="13" a="1"/>
  <c r="NH60" i="13" s="1"/>
  <c r="NH61" i="13" a="1"/>
  <c r="NH61" i="13" s="1"/>
  <c r="NH62" i="13" a="1"/>
  <c r="NH62" i="13" s="1"/>
  <c r="NH63" i="13" a="1"/>
  <c r="NH63" i="13" s="1"/>
  <c r="NH64" i="13" a="1"/>
  <c r="NH64" i="13" s="1"/>
  <c r="NH65" i="13" a="1"/>
  <c r="NH65" i="13" s="1"/>
  <c r="NH66" i="13" a="1"/>
  <c r="NH66" i="13" s="1"/>
  <c r="NH67" i="13" a="1"/>
  <c r="NH67" i="13" s="1"/>
  <c r="NH68" i="13" a="1"/>
  <c r="NH68" i="13" s="1"/>
  <c r="NH69" i="13" a="1"/>
  <c r="NH69" i="13" s="1"/>
  <c r="NH70" i="13" a="1"/>
  <c r="NH70" i="13" s="1"/>
  <c r="NH71" i="13" a="1"/>
  <c r="NH71" i="13" s="1"/>
  <c r="NH72" i="13" a="1"/>
  <c r="NH72" i="13" s="1"/>
  <c r="NH73" i="13" a="1"/>
  <c r="NH73" i="13" s="1"/>
  <c r="NH74" i="13" a="1"/>
  <c r="NH74" i="13" s="1"/>
  <c r="NH75" i="13" a="1"/>
  <c r="NH75" i="13" s="1"/>
  <c r="NH76" i="13" a="1"/>
  <c r="NH76" i="13" s="1"/>
  <c r="NH77" i="13" a="1"/>
  <c r="NH77" i="13" s="1"/>
  <c r="NH78" i="13" a="1"/>
  <c r="NH78" i="13" s="1"/>
  <c r="NH79" i="13" a="1"/>
  <c r="NH79" i="13" s="1"/>
  <c r="NH80" i="13" a="1"/>
  <c r="NH80" i="13" s="1"/>
  <c r="NH81" i="13" a="1"/>
  <c r="NH81" i="13" s="1"/>
  <c r="NH82" i="13" a="1"/>
  <c r="NH82" i="13" s="1"/>
  <c r="NH83" i="13" a="1"/>
  <c r="NH83" i="13" s="1"/>
  <c r="NH84" i="13" a="1"/>
  <c r="NH84" i="13" s="1"/>
  <c r="NH85" i="13" a="1"/>
  <c r="NH85" i="13" s="1"/>
  <c r="NH86" i="13" a="1"/>
  <c r="NH86" i="13" s="1"/>
  <c r="NH87" i="13" a="1"/>
  <c r="NH87" i="13" s="1"/>
  <c r="NH88" i="13" a="1"/>
  <c r="NH88" i="13" s="1"/>
  <c r="NH89" i="13" a="1"/>
  <c r="NH89" i="13" s="1"/>
  <c r="NH90" i="13" a="1"/>
  <c r="NH90" i="13" s="1"/>
  <c r="NH91" i="13" a="1"/>
  <c r="NH91" i="13" s="1"/>
  <c r="NH92" i="13" a="1"/>
  <c r="NH92" i="13" s="1"/>
  <c r="NH93" i="13" a="1"/>
  <c r="NH93" i="13" s="1"/>
  <c r="NH94" i="13" a="1"/>
  <c r="NH94" i="13" s="1"/>
  <c r="NH95" i="13" a="1"/>
  <c r="NH95" i="13" s="1"/>
  <c r="NH96" i="13" a="1"/>
  <c r="NH96" i="13" s="1"/>
  <c r="NH97" i="13" a="1"/>
  <c r="NH97" i="13" s="1"/>
  <c r="NH98" i="13" a="1"/>
  <c r="NH98" i="13" s="1"/>
  <c r="NH99" i="13" a="1"/>
  <c r="NH99" i="13" s="1"/>
  <c r="NH100" i="13" a="1"/>
  <c r="NH100" i="13" s="1"/>
  <c r="NH101" i="13" a="1"/>
  <c r="NH101" i="13" s="1"/>
  <c r="NH102" i="13" a="1"/>
  <c r="NH102" i="13" s="1"/>
  <c r="NH103" i="13" a="1"/>
  <c r="NH103" i="13" s="1"/>
  <c r="NH104" i="13" a="1"/>
  <c r="NH104" i="13" s="1"/>
  <c r="NH105" i="13" a="1"/>
  <c r="NH105" i="13" s="1"/>
  <c r="NH3" i="13" a="1"/>
  <c r="NH3" i="13" s="1"/>
  <c r="OO4" i="12" a="1"/>
  <c r="OO4" i="12" s="1"/>
  <c r="OO5" i="12" a="1"/>
  <c r="OO5" i="12" s="1"/>
  <c r="OO7" i="12" a="1"/>
  <c r="OO7" i="12" s="1"/>
  <c r="OO8" i="12" a="1"/>
  <c r="OO8" i="12" s="1"/>
  <c r="OO9" i="12" a="1"/>
  <c r="OO9" i="12" s="1"/>
  <c r="OO46" i="12" a="1"/>
  <c r="OO46" i="12" s="1"/>
  <c r="OO47" i="12" a="1"/>
  <c r="OO47" i="12" s="1"/>
  <c r="OO48" i="12" a="1"/>
  <c r="OO48" i="12" s="1"/>
  <c r="OO49" i="12" a="1"/>
  <c r="OO49" i="12" s="1"/>
  <c r="OO50" i="12" a="1"/>
  <c r="OO50" i="12" s="1"/>
  <c r="OO51" i="12" a="1"/>
  <c r="OO51" i="12" s="1"/>
  <c r="OO52" i="12" a="1"/>
  <c r="OO52" i="12" s="1"/>
  <c r="OO54" i="12" a="1"/>
  <c r="OO54" i="12" s="1"/>
  <c r="OO55" i="12" a="1"/>
  <c r="OO55" i="12" s="1"/>
  <c r="OO56" i="12" a="1"/>
  <c r="OO56" i="12" s="1"/>
  <c r="OO57" i="12" a="1"/>
  <c r="OO57" i="12" s="1"/>
  <c r="OO58" i="12" a="1"/>
  <c r="OO58" i="12" s="1"/>
  <c r="OO59" i="12" a="1"/>
  <c r="OO59" i="12" s="1"/>
  <c r="OO62" i="12" a="1"/>
  <c r="OO62" i="12" s="1"/>
  <c r="OO63" i="12" a="1"/>
  <c r="OO63" i="12" s="1"/>
  <c r="OO66" i="12" a="1"/>
  <c r="OO66" i="12" s="1"/>
  <c r="OO67" i="12" a="1"/>
  <c r="OO67" i="12" s="1"/>
  <c r="OO68" i="12" a="1"/>
  <c r="OO68" i="12" s="1"/>
  <c r="OO69" i="12" a="1"/>
  <c r="OO69" i="12" s="1"/>
  <c r="OO70" i="12" a="1"/>
  <c r="OO70" i="12" s="1"/>
  <c r="OO71" i="12" a="1"/>
  <c r="OO71" i="12" s="1"/>
  <c r="OO72" i="12" a="1"/>
  <c r="OO72" i="12" s="1"/>
  <c r="OO73" i="12" a="1"/>
  <c r="OO73" i="12" s="1"/>
  <c r="OO74" i="12" a="1"/>
  <c r="OO74" i="12" s="1"/>
  <c r="OO75" i="12" a="1"/>
  <c r="OO75" i="12" s="1"/>
  <c r="OO76" i="12" a="1"/>
  <c r="OO76" i="12" s="1"/>
  <c r="OO78" i="12" a="1"/>
  <c r="OO78" i="12" s="1"/>
  <c r="OO80" i="12" a="1"/>
  <c r="OO80" i="12" s="1"/>
  <c r="OO81" i="12" a="1"/>
  <c r="OO81" i="12" s="1"/>
  <c r="OO82" i="12" a="1"/>
  <c r="OO82" i="12" s="1"/>
  <c r="OO83" i="12" a="1"/>
  <c r="OO83" i="12" s="1"/>
  <c r="OO84" i="12" a="1"/>
  <c r="OO84" i="12" s="1"/>
  <c r="OO86" i="12" a="1"/>
  <c r="OO86" i="12" s="1"/>
  <c r="OO87" i="12" a="1"/>
  <c r="OO87" i="12" s="1"/>
  <c r="OO88" i="12" a="1"/>
  <c r="OO88" i="12" s="1"/>
  <c r="OO89" i="12" a="1"/>
  <c r="OO89" i="12" s="1"/>
  <c r="OO90" i="12" a="1"/>
  <c r="OO90" i="12" s="1"/>
  <c r="OO91" i="12" a="1"/>
  <c r="OO91" i="12" s="1"/>
  <c r="OO93" i="12" a="1"/>
  <c r="OO93" i="12" s="1"/>
  <c r="OO94" i="12" a="1"/>
  <c r="OO94" i="12" s="1"/>
  <c r="OO95" i="12" a="1"/>
  <c r="OO95" i="12" s="1"/>
  <c r="OO96" i="12" a="1"/>
  <c r="OO96" i="12" s="1"/>
  <c r="OO97" i="12" a="1"/>
  <c r="OO97" i="12" s="1"/>
  <c r="OO98" i="12" a="1"/>
  <c r="OO98" i="12" s="1"/>
  <c r="OO100" i="12" a="1"/>
  <c r="OO100" i="12" s="1"/>
  <c r="OO101" i="12" a="1"/>
  <c r="OO101" i="12" s="1"/>
  <c r="OO102" i="12" a="1"/>
  <c r="OO102" i="12" s="1"/>
  <c r="OO103" i="12" a="1"/>
  <c r="OO103" i="12" s="1"/>
  <c r="OO104" i="12" a="1"/>
  <c r="OO104" i="12" s="1"/>
  <c r="OO105" i="12" a="1"/>
  <c r="OO105" i="12" s="1"/>
  <c r="OO107" i="12" a="1"/>
  <c r="OO107" i="12" s="1"/>
  <c r="OO108" i="12" a="1"/>
  <c r="OO108" i="12" s="1"/>
  <c r="OO109" i="12" a="1"/>
  <c r="OO109" i="12" s="1"/>
  <c r="OO112" i="12" a="1"/>
  <c r="OO112" i="12" s="1"/>
  <c r="OO113" i="12" a="1"/>
  <c r="OO113" i="12" s="1"/>
  <c r="OO114" i="12" a="1"/>
  <c r="OO114" i="12" s="1"/>
  <c r="OO115" i="12" a="1"/>
  <c r="OO115" i="12" s="1"/>
  <c r="OO3" i="12" a="1"/>
  <c r="OO3" i="12" s="1"/>
  <c r="OL4" i="12" a="1"/>
  <c r="OL4" i="12" s="1"/>
  <c r="OL5" i="12" a="1"/>
  <c r="OL5" i="12" s="1"/>
  <c r="OL7" i="12" a="1"/>
  <c r="OL7" i="12" s="1"/>
  <c r="OL8" i="12" a="1"/>
  <c r="OL8" i="12" s="1"/>
  <c r="OL9" i="12" a="1"/>
  <c r="OL9" i="12" s="1"/>
  <c r="OL46" i="12" a="1"/>
  <c r="OL46" i="12" s="1"/>
  <c r="OL47" i="12" a="1"/>
  <c r="OL47" i="12" s="1"/>
  <c r="OL48" i="12" a="1"/>
  <c r="OL48" i="12" s="1"/>
  <c r="OL49" i="12" a="1"/>
  <c r="OL49" i="12" s="1"/>
  <c r="OL50" i="12" a="1"/>
  <c r="OL50" i="12" s="1"/>
  <c r="OL51" i="12" a="1"/>
  <c r="OL51" i="12" s="1"/>
  <c r="OL52" i="12" a="1"/>
  <c r="OL52" i="12" s="1"/>
  <c r="OL54" i="12" a="1"/>
  <c r="OL54" i="12" s="1"/>
  <c r="OL55" i="12" a="1"/>
  <c r="OL55" i="12" s="1"/>
  <c r="OL56" i="12" a="1"/>
  <c r="OL56" i="12" s="1"/>
  <c r="OL57" i="12" a="1"/>
  <c r="OL57" i="12" s="1"/>
  <c r="OL58" i="12" a="1"/>
  <c r="OL58" i="12" s="1"/>
  <c r="OL59" i="12" a="1"/>
  <c r="OL59" i="12" s="1"/>
  <c r="OL62" i="12" a="1"/>
  <c r="OL62" i="12" s="1"/>
  <c r="OL63" i="12" a="1"/>
  <c r="OL63" i="12" s="1"/>
  <c r="OL66" i="12" a="1"/>
  <c r="OL66" i="12" s="1"/>
  <c r="OL67" i="12" a="1"/>
  <c r="OL67" i="12" s="1"/>
  <c r="OL68" i="12" a="1"/>
  <c r="OL68" i="12" s="1"/>
  <c r="OL69" i="12" a="1"/>
  <c r="OL69" i="12" s="1"/>
  <c r="OL70" i="12" a="1"/>
  <c r="OL70" i="12" s="1"/>
  <c r="OL71" i="12" a="1"/>
  <c r="OL71" i="12" s="1"/>
  <c r="OL72" i="12" a="1"/>
  <c r="OL72" i="12" s="1"/>
  <c r="OL73" i="12" a="1"/>
  <c r="OL73" i="12" s="1"/>
  <c r="OL74" i="12" a="1"/>
  <c r="OL74" i="12" s="1"/>
  <c r="OL75" i="12" a="1"/>
  <c r="OL75" i="12" s="1"/>
  <c r="OL76" i="12" a="1"/>
  <c r="OL76" i="12" s="1"/>
  <c r="OL78" i="12" a="1"/>
  <c r="OL78" i="12" s="1"/>
  <c r="OL80" i="12" a="1"/>
  <c r="OL80" i="12" s="1"/>
  <c r="OL81" i="12" a="1"/>
  <c r="OL81" i="12" s="1"/>
  <c r="OL82" i="12" a="1"/>
  <c r="OL82" i="12" s="1"/>
  <c r="OL83" i="12" a="1"/>
  <c r="OL83" i="12" s="1"/>
  <c r="OL84" i="12" a="1"/>
  <c r="OL84" i="12" s="1"/>
  <c r="OL86" i="12" a="1"/>
  <c r="OL86" i="12" s="1"/>
  <c r="OL87" i="12" a="1"/>
  <c r="OL87" i="12" s="1"/>
  <c r="OL88" i="12" a="1"/>
  <c r="OL88" i="12" s="1"/>
  <c r="OL89" i="12" a="1"/>
  <c r="OL89" i="12" s="1"/>
  <c r="OL90" i="12" a="1"/>
  <c r="OL90" i="12" s="1"/>
  <c r="OL91" i="12" a="1"/>
  <c r="OL91" i="12" s="1"/>
  <c r="OL93" i="12" a="1"/>
  <c r="OL93" i="12" s="1"/>
  <c r="OL94" i="12" a="1"/>
  <c r="OL94" i="12" s="1"/>
  <c r="OL95" i="12" a="1"/>
  <c r="OL95" i="12" s="1"/>
  <c r="OL96" i="12" a="1"/>
  <c r="OL96" i="12" s="1"/>
  <c r="OL97" i="12" a="1"/>
  <c r="OL97" i="12" s="1"/>
  <c r="OL98" i="12" a="1"/>
  <c r="OL98" i="12" s="1"/>
  <c r="OL100" i="12" a="1"/>
  <c r="OL100" i="12" s="1"/>
  <c r="OL101" i="12" a="1"/>
  <c r="OL101" i="12" s="1"/>
  <c r="OL102" i="12" a="1"/>
  <c r="OL102" i="12" s="1"/>
  <c r="OL103" i="12" a="1"/>
  <c r="OL103" i="12" s="1"/>
  <c r="OL104" i="12" a="1"/>
  <c r="OL104" i="12" s="1"/>
  <c r="OL105" i="12" a="1"/>
  <c r="OL105" i="12" s="1"/>
  <c r="OL107" i="12" a="1"/>
  <c r="OL107" i="12" s="1"/>
  <c r="OL108" i="12" a="1"/>
  <c r="OL108" i="12" s="1"/>
  <c r="OL109" i="12" a="1"/>
  <c r="OL109" i="12" s="1"/>
  <c r="OL112" i="12" a="1"/>
  <c r="OL112" i="12" s="1"/>
  <c r="OL113" i="12" a="1"/>
  <c r="OL113" i="12" s="1"/>
  <c r="OL114" i="12" a="1"/>
  <c r="OL114" i="12" s="1"/>
  <c r="OL115" i="12" a="1"/>
  <c r="OL115" i="12" s="1"/>
  <c r="OL3" i="12" a="1"/>
  <c r="OL3" i="12" s="1"/>
  <c r="OI4" i="12" a="1"/>
  <c r="OI4" i="12" s="1"/>
  <c r="OI5" i="12" a="1"/>
  <c r="OI5" i="12" s="1"/>
  <c r="OI7" i="12" a="1"/>
  <c r="OI7" i="12" s="1"/>
  <c r="OI8" i="12" a="1"/>
  <c r="OI8" i="12" s="1"/>
  <c r="OI9" i="12" a="1"/>
  <c r="OI9" i="12" s="1"/>
  <c r="OI46" i="12" a="1"/>
  <c r="OI46" i="12" s="1"/>
  <c r="OI47" i="12" a="1"/>
  <c r="OI47" i="12" s="1"/>
  <c r="OI48" i="12" a="1"/>
  <c r="OI48" i="12" s="1"/>
  <c r="OI49" i="12" a="1"/>
  <c r="OI49" i="12" s="1"/>
  <c r="OI50" i="12" a="1"/>
  <c r="OI50" i="12" s="1"/>
  <c r="OI51" i="12" a="1"/>
  <c r="OI51" i="12" s="1"/>
  <c r="OI52" i="12" a="1"/>
  <c r="OI52" i="12" s="1"/>
  <c r="OI54" i="12" a="1"/>
  <c r="OI54" i="12" s="1"/>
  <c r="OI55" i="12" a="1"/>
  <c r="OI55" i="12" s="1"/>
  <c r="OI56" i="12" a="1"/>
  <c r="OI56" i="12" s="1"/>
  <c r="OI57" i="12" a="1"/>
  <c r="OI57" i="12" s="1"/>
  <c r="OI58" i="12" a="1"/>
  <c r="OI58" i="12" s="1"/>
  <c r="OI59" i="12" a="1"/>
  <c r="OI59" i="12" s="1"/>
  <c r="OI62" i="12" a="1"/>
  <c r="OI62" i="12" s="1"/>
  <c r="OI63" i="12" a="1"/>
  <c r="OI63" i="12" s="1"/>
  <c r="OI66" i="12" a="1"/>
  <c r="OI66" i="12" s="1"/>
  <c r="OI67" i="12" a="1"/>
  <c r="OI67" i="12" s="1"/>
  <c r="OI68" i="12" a="1"/>
  <c r="OI68" i="12" s="1"/>
  <c r="OI69" i="12" a="1"/>
  <c r="OI69" i="12" s="1"/>
  <c r="OI70" i="12" a="1"/>
  <c r="OI70" i="12" s="1"/>
  <c r="OI71" i="12" a="1"/>
  <c r="OI71" i="12" s="1"/>
  <c r="OI72" i="12" a="1"/>
  <c r="OI72" i="12" s="1"/>
  <c r="OI73" i="12" a="1"/>
  <c r="OI73" i="12" s="1"/>
  <c r="OI74" i="12" a="1"/>
  <c r="OI74" i="12" s="1"/>
  <c r="OI75" i="12" a="1"/>
  <c r="OI75" i="12" s="1"/>
  <c r="OI76" i="12" a="1"/>
  <c r="OI76" i="12" s="1"/>
  <c r="OI78" i="12" a="1"/>
  <c r="OI78" i="12" s="1"/>
  <c r="OI80" i="12" a="1"/>
  <c r="OI80" i="12" s="1"/>
  <c r="OI81" i="12" a="1"/>
  <c r="OI81" i="12" s="1"/>
  <c r="OI82" i="12" a="1"/>
  <c r="OI82" i="12" s="1"/>
  <c r="OI83" i="12" a="1"/>
  <c r="OI83" i="12" s="1"/>
  <c r="OI84" i="12" a="1"/>
  <c r="OI84" i="12" s="1"/>
  <c r="OI86" i="12" a="1"/>
  <c r="OI86" i="12" s="1"/>
  <c r="OI87" i="12" a="1"/>
  <c r="OI87" i="12" s="1"/>
  <c r="OI88" i="12" a="1"/>
  <c r="OI88" i="12" s="1"/>
  <c r="OI89" i="12" a="1"/>
  <c r="OI89" i="12" s="1"/>
  <c r="OI90" i="12" a="1"/>
  <c r="OI90" i="12" s="1"/>
  <c r="OI91" i="12" a="1"/>
  <c r="OI91" i="12" s="1"/>
  <c r="OI93" i="12" a="1"/>
  <c r="OI93" i="12" s="1"/>
  <c r="OI94" i="12" a="1"/>
  <c r="OI94" i="12" s="1"/>
  <c r="OI95" i="12" a="1"/>
  <c r="OI95" i="12" s="1"/>
  <c r="OI96" i="12" a="1"/>
  <c r="OI96" i="12" s="1"/>
  <c r="OI97" i="12" a="1"/>
  <c r="OI97" i="12" s="1"/>
  <c r="OI98" i="12" a="1"/>
  <c r="OI98" i="12" s="1"/>
  <c r="OI100" i="12" a="1"/>
  <c r="OI100" i="12" s="1"/>
  <c r="OI101" i="12" a="1"/>
  <c r="OI101" i="12" s="1"/>
  <c r="OI102" i="12" a="1"/>
  <c r="OI102" i="12" s="1"/>
  <c r="OI103" i="12" a="1"/>
  <c r="OI103" i="12" s="1"/>
  <c r="OI104" i="12" a="1"/>
  <c r="OI104" i="12" s="1"/>
  <c r="OI105" i="12" a="1"/>
  <c r="OI105" i="12" s="1"/>
  <c r="OI107" i="12" a="1"/>
  <c r="OI107" i="12" s="1"/>
  <c r="OI108" i="12" a="1"/>
  <c r="OI108" i="12" s="1"/>
  <c r="OI109" i="12" a="1"/>
  <c r="OI109" i="12" s="1"/>
  <c r="OI112" i="12" a="1"/>
  <c r="OI112" i="12" s="1"/>
  <c r="OI113" i="12" a="1"/>
  <c r="OI113" i="12" s="1"/>
  <c r="OI114" i="12" a="1"/>
  <c r="OI114" i="12" s="1"/>
  <c r="OI115" i="12" a="1"/>
  <c r="OI115" i="12" s="1"/>
  <c r="OI3" i="12" a="1"/>
  <c r="OI3" i="12" s="1"/>
  <c r="OF4" i="12" a="1"/>
  <c r="OF4" i="12" s="1"/>
  <c r="OF5" i="12" a="1"/>
  <c r="OF5" i="12" s="1"/>
  <c r="OF7" i="12" a="1"/>
  <c r="OF7" i="12" s="1"/>
  <c r="OF8" i="12" a="1"/>
  <c r="OF8" i="12" s="1"/>
  <c r="OF9" i="12" a="1"/>
  <c r="OF9" i="12" s="1"/>
  <c r="OF46" i="12" a="1"/>
  <c r="OF46" i="12" s="1"/>
  <c r="OF47" i="12" a="1"/>
  <c r="OF47" i="12" s="1"/>
  <c r="OF48" i="12" a="1"/>
  <c r="OF48" i="12" s="1"/>
  <c r="OF49" i="12" a="1"/>
  <c r="OF49" i="12" s="1"/>
  <c r="OF50" i="12" a="1"/>
  <c r="OF50" i="12" s="1"/>
  <c r="OF51" i="12" a="1"/>
  <c r="OF51" i="12" s="1"/>
  <c r="OF52" i="12" a="1"/>
  <c r="OF52" i="12" s="1"/>
  <c r="OF54" i="12" a="1"/>
  <c r="OF54" i="12" s="1"/>
  <c r="OF55" i="12" a="1"/>
  <c r="OF55" i="12" s="1"/>
  <c r="OF56" i="12" a="1"/>
  <c r="OF56" i="12" s="1"/>
  <c r="OF57" i="12" a="1"/>
  <c r="OF57" i="12" s="1"/>
  <c r="OF58" i="12" a="1"/>
  <c r="OF58" i="12" s="1"/>
  <c r="OF59" i="12" a="1"/>
  <c r="OF59" i="12" s="1"/>
  <c r="OF62" i="12" a="1"/>
  <c r="OF62" i="12" s="1"/>
  <c r="OF63" i="12" a="1"/>
  <c r="OF63" i="12" s="1"/>
  <c r="OF66" i="12" a="1"/>
  <c r="OF66" i="12" s="1"/>
  <c r="OF67" i="12" a="1"/>
  <c r="OF67" i="12" s="1"/>
  <c r="OF68" i="12" a="1"/>
  <c r="OF68" i="12" s="1"/>
  <c r="OF69" i="12" a="1"/>
  <c r="OF69" i="12" s="1"/>
  <c r="OF70" i="12" a="1"/>
  <c r="OF70" i="12" s="1"/>
  <c r="OF71" i="12" a="1"/>
  <c r="OF71" i="12" s="1"/>
  <c r="OF72" i="12" a="1"/>
  <c r="OF72" i="12" s="1"/>
  <c r="OF73" i="12" a="1"/>
  <c r="OF73" i="12" s="1"/>
  <c r="OF74" i="12" a="1"/>
  <c r="OF74" i="12" s="1"/>
  <c r="OF75" i="12" a="1"/>
  <c r="OF75" i="12" s="1"/>
  <c r="OF76" i="12" a="1"/>
  <c r="OF76" i="12" s="1"/>
  <c r="OF78" i="12" a="1"/>
  <c r="OF78" i="12" s="1"/>
  <c r="OF80" i="12" a="1"/>
  <c r="OF80" i="12" s="1"/>
  <c r="OF81" i="12" a="1"/>
  <c r="OF81" i="12" s="1"/>
  <c r="OF82" i="12" a="1"/>
  <c r="OF82" i="12" s="1"/>
  <c r="OF83" i="12" a="1"/>
  <c r="OF83" i="12" s="1"/>
  <c r="OF84" i="12" a="1"/>
  <c r="OF84" i="12" s="1"/>
  <c r="OF86" i="12" a="1"/>
  <c r="OF86" i="12" s="1"/>
  <c r="OF87" i="12" a="1"/>
  <c r="OF87" i="12" s="1"/>
  <c r="OF88" i="12" a="1"/>
  <c r="OF88" i="12" s="1"/>
  <c r="OF89" i="12" a="1"/>
  <c r="OF89" i="12" s="1"/>
  <c r="OF90" i="12" a="1"/>
  <c r="OF90" i="12" s="1"/>
  <c r="OF91" i="12" a="1"/>
  <c r="OF91" i="12" s="1"/>
  <c r="OF93" i="12" a="1"/>
  <c r="OF93" i="12" s="1"/>
  <c r="OF94" i="12" a="1"/>
  <c r="OF94" i="12" s="1"/>
  <c r="OF95" i="12" a="1"/>
  <c r="OF95" i="12" s="1"/>
  <c r="OF96" i="12" a="1"/>
  <c r="OF96" i="12" s="1"/>
  <c r="OF97" i="12" a="1"/>
  <c r="OF97" i="12" s="1"/>
  <c r="OF98" i="12" a="1"/>
  <c r="OF98" i="12" s="1"/>
  <c r="OF100" i="12" a="1"/>
  <c r="OF100" i="12" s="1"/>
  <c r="OF101" i="12" a="1"/>
  <c r="OF101" i="12" s="1"/>
  <c r="OF102" i="12" a="1"/>
  <c r="OF102" i="12" s="1"/>
  <c r="OF103" i="12" a="1"/>
  <c r="OF103" i="12" s="1"/>
  <c r="OF104" i="12" a="1"/>
  <c r="OF104" i="12" s="1"/>
  <c r="OF105" i="12" a="1"/>
  <c r="OF105" i="12" s="1"/>
  <c r="OF107" i="12" a="1"/>
  <c r="OF107" i="12" s="1"/>
  <c r="OF108" i="12" a="1"/>
  <c r="OF108" i="12" s="1"/>
  <c r="OF109" i="12" a="1"/>
  <c r="OF109" i="12" s="1"/>
  <c r="OF112" i="12" a="1"/>
  <c r="OF112" i="12" s="1"/>
  <c r="OF113" i="12" a="1"/>
  <c r="OF113" i="12" s="1"/>
  <c r="OF114" i="12" a="1"/>
  <c r="OF114" i="12" s="1"/>
  <c r="OF115" i="12" a="1"/>
  <c r="OF115" i="12" s="1"/>
  <c r="OF3" i="12" a="1"/>
  <c r="OF3" i="12" s="1"/>
  <c r="OC3" i="12" l="1" a="1"/>
  <c r="OC3" i="12" s="1"/>
  <c r="NG87" i="12" l="1"/>
  <c r="NH87" i="12" a="1"/>
  <c r="NH87" i="12" s="1"/>
  <c r="NJ87" i="12"/>
  <c r="NK87" i="12" a="1"/>
  <c r="NK87" i="12" s="1"/>
  <c r="NM87" i="12"/>
  <c r="NN87" i="12" a="1"/>
  <c r="NN87" i="12" s="1"/>
  <c r="NP87" i="12"/>
  <c r="NQ87" i="12" a="1"/>
  <c r="NQ87" i="12" s="1"/>
  <c r="NS87" i="12"/>
  <c r="NT87" i="12" a="1"/>
  <c r="NT87" i="12" s="1"/>
  <c r="NV87" i="12"/>
  <c r="NW87" i="12" a="1"/>
  <c r="NW87" i="12" s="1"/>
  <c r="NY87" i="12"/>
  <c r="NZ87" i="12" a="1"/>
  <c r="NZ87" i="12" s="1"/>
  <c r="OB87" i="12"/>
  <c r="OC87" i="12" a="1"/>
  <c r="OC87" i="12" s="1"/>
  <c r="OE87" i="12"/>
  <c r="OG87" i="12" s="1"/>
  <c r="OH87" i="12"/>
  <c r="OJ87" i="12" s="1"/>
  <c r="OK87" i="12"/>
  <c r="OM87" i="12" s="1"/>
  <c r="ON87" i="12"/>
  <c r="OP87" i="12" s="1"/>
  <c r="OC4" i="12" a="1"/>
  <c r="OC4" i="12" s="1"/>
  <c r="OC5" i="12" a="1"/>
  <c r="OC5" i="12" s="1"/>
  <c r="OC7" i="12" a="1"/>
  <c r="OC7" i="12" s="1"/>
  <c r="OC8" i="12" a="1"/>
  <c r="OC8" i="12" s="1"/>
  <c r="OC9" i="12" a="1"/>
  <c r="OC9" i="12" s="1"/>
  <c r="OC46" i="12" a="1"/>
  <c r="OC46" i="12" s="1"/>
  <c r="OC47" i="12" a="1"/>
  <c r="OC47" i="12" s="1"/>
  <c r="OC48" i="12" a="1"/>
  <c r="OC48" i="12" s="1"/>
  <c r="OC49" i="12" a="1"/>
  <c r="OC49" i="12" s="1"/>
  <c r="OC50" i="12" a="1"/>
  <c r="OC50" i="12" s="1"/>
  <c r="OC51" i="12" a="1"/>
  <c r="OC51" i="12" s="1"/>
  <c r="OC52" i="12" a="1"/>
  <c r="OC52" i="12" s="1"/>
  <c r="OC54" i="12" a="1"/>
  <c r="OC54" i="12" s="1"/>
  <c r="OC55" i="12" a="1"/>
  <c r="OC55" i="12" s="1"/>
  <c r="OC56" i="12" a="1"/>
  <c r="OC56" i="12" s="1"/>
  <c r="OC57" i="12" a="1"/>
  <c r="OC57" i="12" s="1"/>
  <c r="OC58" i="12" a="1"/>
  <c r="OC58" i="12" s="1"/>
  <c r="OC59" i="12" a="1"/>
  <c r="OC59" i="12" s="1"/>
  <c r="OC62" i="12" a="1"/>
  <c r="OC62" i="12" s="1"/>
  <c r="OC63" i="12" a="1"/>
  <c r="OC63" i="12" s="1"/>
  <c r="OC66" i="12" a="1"/>
  <c r="OC66" i="12" s="1"/>
  <c r="OC67" i="12" a="1"/>
  <c r="OC67" i="12" s="1"/>
  <c r="OC68" i="12" a="1"/>
  <c r="OC68" i="12" s="1"/>
  <c r="OC69" i="12" a="1"/>
  <c r="OC69" i="12" s="1"/>
  <c r="OC70" i="12" a="1"/>
  <c r="OC70" i="12" s="1"/>
  <c r="OC71" i="12" a="1"/>
  <c r="OC71" i="12" s="1"/>
  <c r="OC72" i="12" a="1"/>
  <c r="OC72" i="12" s="1"/>
  <c r="OC73" i="12" a="1"/>
  <c r="OC73" i="12" s="1"/>
  <c r="OC74" i="12" a="1"/>
  <c r="OC74" i="12" s="1"/>
  <c r="OC75" i="12" a="1"/>
  <c r="OC75" i="12" s="1"/>
  <c r="OC76" i="12" a="1"/>
  <c r="OC76" i="12" s="1"/>
  <c r="OC78" i="12" a="1"/>
  <c r="OC78" i="12" s="1"/>
  <c r="OC80" i="12" a="1"/>
  <c r="OC80" i="12" s="1"/>
  <c r="OC81" i="12" a="1"/>
  <c r="OC81" i="12" s="1"/>
  <c r="OC82" i="12" a="1"/>
  <c r="OC82" i="12" s="1"/>
  <c r="OC83" i="12" a="1"/>
  <c r="OC83" i="12" s="1"/>
  <c r="OC84" i="12" a="1"/>
  <c r="OC84" i="12" s="1"/>
  <c r="OC86" i="12" a="1"/>
  <c r="OC86" i="12" s="1"/>
  <c r="OC88" i="12" a="1"/>
  <c r="OC88" i="12" s="1"/>
  <c r="OC89" i="12" a="1"/>
  <c r="OC89" i="12" s="1"/>
  <c r="OC90" i="12" a="1"/>
  <c r="OC90" i="12" s="1"/>
  <c r="OC91" i="12" a="1"/>
  <c r="OC91" i="12" s="1"/>
  <c r="OC93" i="12" a="1"/>
  <c r="OC93" i="12" s="1"/>
  <c r="OC94" i="12" a="1"/>
  <c r="OC94" i="12" s="1"/>
  <c r="OC95" i="12" a="1"/>
  <c r="OC95" i="12" s="1"/>
  <c r="OC96" i="12" a="1"/>
  <c r="OC96" i="12" s="1"/>
  <c r="OC97" i="12" a="1"/>
  <c r="OC97" i="12" s="1"/>
  <c r="OC98" i="12" a="1"/>
  <c r="OC98" i="12" s="1"/>
  <c r="OC100" i="12" a="1"/>
  <c r="OC100" i="12" s="1"/>
  <c r="OC101" i="12" a="1"/>
  <c r="OC101" i="12" s="1"/>
  <c r="OC102" i="12" a="1"/>
  <c r="OC102" i="12" s="1"/>
  <c r="OC103" i="12" a="1"/>
  <c r="OC103" i="12" s="1"/>
  <c r="OC104" i="12" a="1"/>
  <c r="OC104" i="12" s="1"/>
  <c r="OC105" i="12" a="1"/>
  <c r="OC105" i="12" s="1"/>
  <c r="OC107" i="12" a="1"/>
  <c r="OC107" i="12" s="1"/>
  <c r="OC108" i="12" a="1"/>
  <c r="OC108" i="12" s="1"/>
  <c r="OC109" i="12" a="1"/>
  <c r="OC109" i="12" s="1"/>
  <c r="OC112" i="12" a="1"/>
  <c r="OC112" i="12" s="1"/>
  <c r="OC113" i="12" a="1"/>
  <c r="OC113" i="12" s="1"/>
  <c r="OC114" i="12" a="1"/>
  <c r="OC114" i="12" s="1"/>
  <c r="OC115" i="12" a="1"/>
  <c r="OC115" i="12" s="1"/>
  <c r="NZ4" i="12" a="1"/>
  <c r="NZ4" i="12" s="1"/>
  <c r="NZ5" i="12" a="1"/>
  <c r="NZ5" i="12" s="1"/>
  <c r="NZ7" i="12" a="1"/>
  <c r="NZ7" i="12" s="1"/>
  <c r="NZ8" i="12" a="1"/>
  <c r="NZ8" i="12" s="1"/>
  <c r="NZ9" i="12" a="1"/>
  <c r="NZ9" i="12" s="1"/>
  <c r="NZ46" i="12" a="1"/>
  <c r="NZ46" i="12" s="1"/>
  <c r="NZ47" i="12" a="1"/>
  <c r="NZ47" i="12" s="1"/>
  <c r="NZ48" i="12" a="1"/>
  <c r="NZ48" i="12" s="1"/>
  <c r="NZ49" i="12" a="1"/>
  <c r="NZ49" i="12" s="1"/>
  <c r="NZ50" i="12" a="1"/>
  <c r="NZ50" i="12" s="1"/>
  <c r="NZ51" i="12" a="1"/>
  <c r="NZ51" i="12" s="1"/>
  <c r="NZ52" i="12" a="1"/>
  <c r="NZ52" i="12" s="1"/>
  <c r="NZ54" i="12" a="1"/>
  <c r="NZ54" i="12" s="1"/>
  <c r="NZ55" i="12" a="1"/>
  <c r="NZ55" i="12" s="1"/>
  <c r="NZ56" i="12" a="1"/>
  <c r="NZ56" i="12" s="1"/>
  <c r="NZ57" i="12" a="1"/>
  <c r="NZ57" i="12" s="1"/>
  <c r="NZ58" i="12" a="1"/>
  <c r="NZ58" i="12" s="1"/>
  <c r="NZ59" i="12" a="1"/>
  <c r="NZ59" i="12" s="1"/>
  <c r="NZ62" i="12" a="1"/>
  <c r="NZ62" i="12" s="1"/>
  <c r="NZ63" i="12" a="1"/>
  <c r="NZ63" i="12" s="1"/>
  <c r="NZ66" i="12" a="1"/>
  <c r="NZ66" i="12" s="1"/>
  <c r="NZ67" i="12" a="1"/>
  <c r="NZ67" i="12" s="1"/>
  <c r="NZ68" i="12" a="1"/>
  <c r="NZ68" i="12" s="1"/>
  <c r="NZ69" i="12" a="1"/>
  <c r="NZ69" i="12" s="1"/>
  <c r="NZ70" i="12" a="1"/>
  <c r="NZ70" i="12" s="1"/>
  <c r="NZ71" i="12" a="1"/>
  <c r="NZ71" i="12" s="1"/>
  <c r="NZ72" i="12" a="1"/>
  <c r="NZ72" i="12" s="1"/>
  <c r="NZ73" i="12" a="1"/>
  <c r="NZ73" i="12" s="1"/>
  <c r="NZ74" i="12" a="1"/>
  <c r="NZ74" i="12" s="1"/>
  <c r="NZ75" i="12" a="1"/>
  <c r="NZ75" i="12" s="1"/>
  <c r="NZ76" i="12" a="1"/>
  <c r="NZ76" i="12" s="1"/>
  <c r="NZ78" i="12" a="1"/>
  <c r="NZ78" i="12" s="1"/>
  <c r="NZ80" i="12" a="1"/>
  <c r="NZ80" i="12" s="1"/>
  <c r="NZ81" i="12" a="1"/>
  <c r="NZ81" i="12" s="1"/>
  <c r="NZ82" i="12" a="1"/>
  <c r="NZ82" i="12" s="1"/>
  <c r="NZ83" i="12" a="1"/>
  <c r="NZ83" i="12" s="1"/>
  <c r="NZ84" i="12" a="1"/>
  <c r="NZ84" i="12" s="1"/>
  <c r="NZ86" i="12" a="1"/>
  <c r="NZ86" i="12" s="1"/>
  <c r="NZ88" i="12" a="1"/>
  <c r="NZ88" i="12" s="1"/>
  <c r="NZ89" i="12" a="1"/>
  <c r="NZ89" i="12" s="1"/>
  <c r="NZ90" i="12" a="1"/>
  <c r="NZ90" i="12" s="1"/>
  <c r="NZ91" i="12" a="1"/>
  <c r="NZ91" i="12" s="1"/>
  <c r="NZ93" i="12" a="1"/>
  <c r="NZ93" i="12" s="1"/>
  <c r="NZ94" i="12" a="1"/>
  <c r="NZ94" i="12" s="1"/>
  <c r="NZ95" i="12" a="1"/>
  <c r="NZ95" i="12" s="1"/>
  <c r="NZ96" i="12" a="1"/>
  <c r="NZ96" i="12" s="1"/>
  <c r="NZ97" i="12" a="1"/>
  <c r="NZ97" i="12" s="1"/>
  <c r="NZ98" i="12" a="1"/>
  <c r="NZ98" i="12" s="1"/>
  <c r="NZ100" i="12" a="1"/>
  <c r="NZ100" i="12" s="1"/>
  <c r="NZ101" i="12" a="1"/>
  <c r="NZ101" i="12" s="1"/>
  <c r="NZ102" i="12" a="1"/>
  <c r="NZ102" i="12" s="1"/>
  <c r="NZ103" i="12" a="1"/>
  <c r="NZ103" i="12" s="1"/>
  <c r="NZ104" i="12" a="1"/>
  <c r="NZ104" i="12" s="1"/>
  <c r="NZ105" i="12" a="1"/>
  <c r="NZ105" i="12" s="1"/>
  <c r="NZ107" i="12" a="1"/>
  <c r="NZ107" i="12" s="1"/>
  <c r="NZ108" i="12" a="1"/>
  <c r="NZ108" i="12" s="1"/>
  <c r="NZ109" i="12" a="1"/>
  <c r="NZ109" i="12" s="1"/>
  <c r="NZ112" i="12" a="1"/>
  <c r="NZ112" i="12" s="1"/>
  <c r="NZ113" i="12" a="1"/>
  <c r="NZ113" i="12" s="1"/>
  <c r="NZ114" i="12" a="1"/>
  <c r="NZ114" i="12" s="1"/>
  <c r="NZ115" i="12" a="1"/>
  <c r="NZ115" i="12" s="1"/>
  <c r="NZ3" i="12" a="1"/>
  <c r="NZ3" i="12" s="1"/>
  <c r="NW4" i="12" a="1"/>
  <c r="NW4" i="12" s="1"/>
  <c r="NW5" i="12" a="1"/>
  <c r="NW5" i="12" s="1"/>
  <c r="NW7" i="12" a="1"/>
  <c r="NW7" i="12" s="1"/>
  <c r="NW8" i="12" a="1"/>
  <c r="NW8" i="12" s="1"/>
  <c r="NW9" i="12" a="1"/>
  <c r="NW9" i="12" s="1"/>
  <c r="NW46" i="12" a="1"/>
  <c r="NW46" i="12" s="1"/>
  <c r="NW47" i="12" a="1"/>
  <c r="NW47" i="12" s="1"/>
  <c r="NW48" i="12" a="1"/>
  <c r="NW48" i="12" s="1"/>
  <c r="NW49" i="12" a="1"/>
  <c r="NW49" i="12" s="1"/>
  <c r="NW50" i="12" a="1"/>
  <c r="NW50" i="12" s="1"/>
  <c r="NW51" i="12" a="1"/>
  <c r="NW51" i="12" s="1"/>
  <c r="NW52" i="12" a="1"/>
  <c r="NW52" i="12" s="1"/>
  <c r="NW54" i="12" a="1"/>
  <c r="NW54" i="12" s="1"/>
  <c r="NW55" i="12" a="1"/>
  <c r="NW55" i="12" s="1"/>
  <c r="NW56" i="12" a="1"/>
  <c r="NW56" i="12" s="1"/>
  <c r="NW57" i="12" a="1"/>
  <c r="NW57" i="12" s="1"/>
  <c r="NW58" i="12" a="1"/>
  <c r="NW58" i="12" s="1"/>
  <c r="NW59" i="12" a="1"/>
  <c r="NW59" i="12" s="1"/>
  <c r="NW62" i="12" a="1"/>
  <c r="NW62" i="12" s="1"/>
  <c r="NW63" i="12" a="1"/>
  <c r="NW63" i="12" s="1"/>
  <c r="NW66" i="12" a="1"/>
  <c r="NW66" i="12" s="1"/>
  <c r="NW67" i="12" a="1"/>
  <c r="NW67" i="12" s="1"/>
  <c r="NW68" i="12" a="1"/>
  <c r="NW68" i="12" s="1"/>
  <c r="NW69" i="12" a="1"/>
  <c r="NW69" i="12" s="1"/>
  <c r="NW70" i="12" a="1"/>
  <c r="NW70" i="12" s="1"/>
  <c r="NW71" i="12" a="1"/>
  <c r="NW71" i="12" s="1"/>
  <c r="NW72" i="12" a="1"/>
  <c r="NW72" i="12" s="1"/>
  <c r="NW73" i="12" a="1"/>
  <c r="NW73" i="12" s="1"/>
  <c r="NW74" i="12" a="1"/>
  <c r="NW74" i="12" s="1"/>
  <c r="NW75" i="12" a="1"/>
  <c r="NW75" i="12" s="1"/>
  <c r="NW76" i="12" a="1"/>
  <c r="NW76" i="12" s="1"/>
  <c r="NW78" i="12" a="1"/>
  <c r="NW78" i="12" s="1"/>
  <c r="NW80" i="12" a="1"/>
  <c r="NW80" i="12" s="1"/>
  <c r="NW81" i="12" a="1"/>
  <c r="NW81" i="12" s="1"/>
  <c r="NW82" i="12" a="1"/>
  <c r="NW82" i="12" s="1"/>
  <c r="NW83" i="12" a="1"/>
  <c r="NW83" i="12" s="1"/>
  <c r="NW84" i="12" a="1"/>
  <c r="NW84" i="12" s="1"/>
  <c r="NW86" i="12" a="1"/>
  <c r="NW86" i="12" s="1"/>
  <c r="NW88" i="12" a="1"/>
  <c r="NW88" i="12" s="1"/>
  <c r="NW89" i="12" a="1"/>
  <c r="NW89" i="12" s="1"/>
  <c r="NW90" i="12" a="1"/>
  <c r="NW90" i="12" s="1"/>
  <c r="NW91" i="12" a="1"/>
  <c r="NW91" i="12" s="1"/>
  <c r="NW93" i="12" a="1"/>
  <c r="NW93" i="12" s="1"/>
  <c r="NW94" i="12" a="1"/>
  <c r="NW94" i="12" s="1"/>
  <c r="NW95" i="12" a="1"/>
  <c r="NW95" i="12" s="1"/>
  <c r="NW96" i="12" a="1"/>
  <c r="NW96" i="12" s="1"/>
  <c r="NW97" i="12" a="1"/>
  <c r="NW97" i="12" s="1"/>
  <c r="NW98" i="12" a="1"/>
  <c r="NW98" i="12" s="1"/>
  <c r="NW100" i="12" a="1"/>
  <c r="NW100" i="12" s="1"/>
  <c r="NW101" i="12" a="1"/>
  <c r="NW101" i="12" s="1"/>
  <c r="NW102" i="12" a="1"/>
  <c r="NW102" i="12" s="1"/>
  <c r="NW103" i="12" a="1"/>
  <c r="NW103" i="12" s="1"/>
  <c r="NW104" i="12" a="1"/>
  <c r="NW104" i="12" s="1"/>
  <c r="NW105" i="12" a="1"/>
  <c r="NW105" i="12" s="1"/>
  <c r="NW107" i="12" a="1"/>
  <c r="NW107" i="12" s="1"/>
  <c r="NW108" i="12" a="1"/>
  <c r="NW108" i="12" s="1"/>
  <c r="NW109" i="12" a="1"/>
  <c r="NW109" i="12" s="1"/>
  <c r="NW112" i="12" a="1"/>
  <c r="NW112" i="12" s="1"/>
  <c r="NW113" i="12" a="1"/>
  <c r="NW113" i="12" s="1"/>
  <c r="NW114" i="12" a="1"/>
  <c r="NW114" i="12" s="1"/>
  <c r="NW115" i="12" a="1"/>
  <c r="NW115" i="12" s="1"/>
  <c r="NW3" i="12" a="1"/>
  <c r="NW3" i="12" s="1"/>
  <c r="NT4" i="12" a="1"/>
  <c r="NT4" i="12" s="1"/>
  <c r="NT5" i="12" a="1"/>
  <c r="NT5" i="12" s="1"/>
  <c r="NT7" i="12" a="1"/>
  <c r="NT7" i="12" s="1"/>
  <c r="NT8" i="12" a="1"/>
  <c r="NT8" i="12" s="1"/>
  <c r="NT9" i="12" a="1"/>
  <c r="NT9" i="12" s="1"/>
  <c r="NT46" i="12" a="1"/>
  <c r="NT46" i="12" s="1"/>
  <c r="NT47" i="12" a="1"/>
  <c r="NT47" i="12" s="1"/>
  <c r="NT48" i="12" a="1"/>
  <c r="NT48" i="12" s="1"/>
  <c r="NT49" i="12" a="1"/>
  <c r="NT49" i="12" s="1"/>
  <c r="NT50" i="12" a="1"/>
  <c r="NT50" i="12" s="1"/>
  <c r="NT51" i="12" a="1"/>
  <c r="NT51" i="12" s="1"/>
  <c r="NT52" i="12" a="1"/>
  <c r="NT52" i="12" s="1"/>
  <c r="NT54" i="12" a="1"/>
  <c r="NT54" i="12" s="1"/>
  <c r="NT55" i="12" a="1"/>
  <c r="NT55" i="12" s="1"/>
  <c r="NT56" i="12" a="1"/>
  <c r="NT56" i="12" s="1"/>
  <c r="NT57" i="12" a="1"/>
  <c r="NT57" i="12" s="1"/>
  <c r="NT58" i="12" a="1"/>
  <c r="NT58" i="12" s="1"/>
  <c r="NT59" i="12" a="1"/>
  <c r="NT59" i="12" s="1"/>
  <c r="NT62" i="12" a="1"/>
  <c r="NT62" i="12" s="1"/>
  <c r="NT63" i="12" a="1"/>
  <c r="NT63" i="12" s="1"/>
  <c r="NT66" i="12" a="1"/>
  <c r="NT66" i="12" s="1"/>
  <c r="NT67" i="12" a="1"/>
  <c r="NT67" i="12" s="1"/>
  <c r="NT68" i="12" a="1"/>
  <c r="NT68" i="12" s="1"/>
  <c r="NT69" i="12" a="1"/>
  <c r="NT69" i="12" s="1"/>
  <c r="NT70" i="12" a="1"/>
  <c r="NT70" i="12" s="1"/>
  <c r="NT71" i="12" a="1"/>
  <c r="NT71" i="12" s="1"/>
  <c r="NT72" i="12" a="1"/>
  <c r="NT72" i="12" s="1"/>
  <c r="NT73" i="12" a="1"/>
  <c r="NT73" i="12" s="1"/>
  <c r="NT74" i="12" a="1"/>
  <c r="NT74" i="12" s="1"/>
  <c r="NT75" i="12" a="1"/>
  <c r="NT75" i="12" s="1"/>
  <c r="NT76" i="12" a="1"/>
  <c r="NT76" i="12" s="1"/>
  <c r="NT78" i="12" a="1"/>
  <c r="NT78" i="12" s="1"/>
  <c r="NT80" i="12" a="1"/>
  <c r="NT80" i="12" s="1"/>
  <c r="NT81" i="12" a="1"/>
  <c r="NT81" i="12" s="1"/>
  <c r="NT82" i="12" a="1"/>
  <c r="NT82" i="12" s="1"/>
  <c r="NT83" i="12" a="1"/>
  <c r="NT83" i="12" s="1"/>
  <c r="NT84" i="12" a="1"/>
  <c r="NT84" i="12" s="1"/>
  <c r="NT86" i="12" a="1"/>
  <c r="NT86" i="12" s="1"/>
  <c r="NT88" i="12" a="1"/>
  <c r="NT88" i="12" s="1"/>
  <c r="NT89" i="12" a="1"/>
  <c r="NT89" i="12" s="1"/>
  <c r="NT90" i="12" a="1"/>
  <c r="NT90" i="12" s="1"/>
  <c r="NT91" i="12" a="1"/>
  <c r="NT91" i="12" s="1"/>
  <c r="NT93" i="12" a="1"/>
  <c r="NT93" i="12" s="1"/>
  <c r="NT94" i="12" a="1"/>
  <c r="NT94" i="12" s="1"/>
  <c r="NT95" i="12" a="1"/>
  <c r="NT95" i="12" s="1"/>
  <c r="NT96" i="12" a="1"/>
  <c r="NT96" i="12" s="1"/>
  <c r="NT97" i="12" a="1"/>
  <c r="NT97" i="12" s="1"/>
  <c r="NT98" i="12" a="1"/>
  <c r="NT98" i="12" s="1"/>
  <c r="NT100" i="12" a="1"/>
  <c r="NT100" i="12" s="1"/>
  <c r="NT101" i="12" a="1"/>
  <c r="NT101" i="12" s="1"/>
  <c r="NT102" i="12" a="1"/>
  <c r="NT102" i="12" s="1"/>
  <c r="NT103" i="12" a="1"/>
  <c r="NT103" i="12" s="1"/>
  <c r="NT104" i="12" a="1"/>
  <c r="NT104" i="12" s="1"/>
  <c r="NT105" i="12" a="1"/>
  <c r="NT105" i="12" s="1"/>
  <c r="NT107" i="12" a="1"/>
  <c r="NT107" i="12" s="1"/>
  <c r="NT108" i="12" a="1"/>
  <c r="NT108" i="12" s="1"/>
  <c r="NT109" i="12" a="1"/>
  <c r="NT109" i="12" s="1"/>
  <c r="NT112" i="12" a="1"/>
  <c r="NT112" i="12" s="1"/>
  <c r="NT113" i="12" a="1"/>
  <c r="NT113" i="12" s="1"/>
  <c r="NT114" i="12" a="1"/>
  <c r="NT114" i="12" s="1"/>
  <c r="NT115" i="12" a="1"/>
  <c r="NT115" i="12" s="1"/>
  <c r="NT3" i="12" a="1"/>
  <c r="NT3" i="12" s="1"/>
  <c r="C1" i="33"/>
  <c r="C1" i="32"/>
  <c r="C1" i="31"/>
  <c r="NL87" i="12" l="1"/>
  <c r="NU87" i="12"/>
  <c r="NR87" i="12"/>
  <c r="NO87" i="12"/>
  <c r="NI87" i="12"/>
  <c r="OD87" i="12"/>
  <c r="NX87" i="12"/>
  <c r="OQ87" i="12"/>
  <c r="OA87" i="12"/>
  <c r="OR87" i="12"/>
  <c r="C1" i="28"/>
  <c r="OS87" i="12" l="1"/>
  <c r="NQ115" i="12" a="1"/>
  <c r="NQ115" i="12" s="1"/>
  <c r="NQ114" i="12" a="1"/>
  <c r="NQ114" i="12" s="1"/>
  <c r="NQ113" i="12" a="1"/>
  <c r="NQ113" i="12" s="1"/>
  <c r="NQ112" i="12" a="1"/>
  <c r="NQ112" i="12" s="1"/>
  <c r="NQ109" i="12" a="1"/>
  <c r="NQ109" i="12" s="1"/>
  <c r="NQ108" i="12" a="1"/>
  <c r="NQ108" i="12" s="1"/>
  <c r="NQ107" i="12" a="1"/>
  <c r="NQ107" i="12" s="1"/>
  <c r="NQ105" i="12" a="1"/>
  <c r="NQ105" i="12" s="1"/>
  <c r="NQ104" i="12" a="1"/>
  <c r="NQ104" i="12" s="1"/>
  <c r="NQ102" i="12" a="1"/>
  <c r="NQ102" i="12" s="1"/>
  <c r="NQ100" i="12" a="1"/>
  <c r="NQ100" i="12" s="1"/>
  <c r="NQ96" i="12" a="1"/>
  <c r="NQ96" i="12" s="1"/>
  <c r="NQ95" i="12" a="1"/>
  <c r="NQ95" i="12" s="1"/>
  <c r="NQ94" i="12" a="1"/>
  <c r="NQ94" i="12" s="1"/>
  <c r="NQ93" i="12" a="1"/>
  <c r="NQ93" i="12" s="1"/>
  <c r="NQ91" i="12" a="1"/>
  <c r="NQ91" i="12" s="1"/>
  <c r="NQ89" i="12" a="1"/>
  <c r="NQ89" i="12" s="1"/>
  <c r="NQ88" i="12" a="1"/>
  <c r="NQ88" i="12" s="1"/>
  <c r="NQ86" i="12" a="1"/>
  <c r="NQ86" i="12" s="1"/>
  <c r="NQ84" i="12" a="1"/>
  <c r="NQ84" i="12" s="1"/>
  <c r="NQ83" i="12" a="1"/>
  <c r="NQ83" i="12" s="1"/>
  <c r="NQ81" i="12" a="1"/>
  <c r="NQ81" i="12" s="1"/>
  <c r="NQ80" i="12" a="1"/>
  <c r="NQ80" i="12" s="1"/>
  <c r="NQ78" i="12" a="1"/>
  <c r="NQ78" i="12" s="1"/>
  <c r="NQ76" i="12" a="1"/>
  <c r="NQ76" i="12" s="1"/>
  <c r="NQ75" i="12" a="1"/>
  <c r="NQ75" i="12" s="1"/>
  <c r="NQ74" i="12" a="1"/>
  <c r="NQ74" i="12" s="1"/>
  <c r="NQ73" i="12" a="1"/>
  <c r="NQ73" i="12" s="1"/>
  <c r="NQ72" i="12" a="1"/>
  <c r="NQ72" i="12" s="1"/>
  <c r="NQ71" i="12" a="1"/>
  <c r="NQ71" i="12" s="1"/>
  <c r="NQ70" i="12" a="1"/>
  <c r="NQ70" i="12" s="1"/>
  <c r="NQ69" i="12" a="1"/>
  <c r="NQ69" i="12" s="1"/>
  <c r="NQ68" i="12" a="1"/>
  <c r="NQ68" i="12" s="1"/>
  <c r="NQ63" i="12" a="1"/>
  <c r="NQ63" i="12" s="1"/>
  <c r="NQ59" i="12" a="1"/>
  <c r="NQ59" i="12" s="1"/>
  <c r="NQ58" i="12" a="1"/>
  <c r="NQ58" i="12" s="1"/>
  <c r="NQ57" i="12" a="1"/>
  <c r="NQ57" i="12" s="1"/>
  <c r="NQ56" i="12" a="1"/>
  <c r="NQ56" i="12" s="1"/>
  <c r="NQ54" i="12" a="1"/>
  <c r="NQ54" i="12" s="1"/>
  <c r="NQ52" i="12" a="1"/>
  <c r="NQ52" i="12" s="1"/>
  <c r="NQ51" i="12" a="1"/>
  <c r="NQ51" i="12" s="1"/>
  <c r="NQ50" i="12" a="1"/>
  <c r="NQ50" i="12" s="1"/>
  <c r="NQ47" i="12" a="1"/>
  <c r="NQ47" i="12" s="1"/>
  <c r="NQ46" i="12" a="1"/>
  <c r="NQ46" i="12" s="1"/>
  <c r="NQ9" i="12" a="1"/>
  <c r="NQ9" i="12" s="1"/>
  <c r="NQ8" i="12" a="1"/>
  <c r="NQ8" i="12" s="1"/>
  <c r="NQ7" i="12" a="1"/>
  <c r="NQ7" i="12" s="1"/>
  <c r="NQ5" i="12" a="1"/>
  <c r="NQ5" i="12" s="1"/>
  <c r="NQ3" i="12" a="1"/>
  <c r="NQ3" i="12" s="1"/>
  <c r="NR3" i="12" s="1"/>
  <c r="NQ4" i="12" a="1"/>
  <c r="NQ4" i="12" s="1"/>
  <c r="NN115" i="12" l="1" a="1"/>
  <c r="NN115" i="12" s="1"/>
  <c r="NN114" i="12" a="1"/>
  <c r="NN114" i="12" s="1"/>
  <c r="NN113" i="12" a="1"/>
  <c r="NN113" i="12" s="1"/>
  <c r="NN112" i="12" a="1"/>
  <c r="NN112" i="12" s="1"/>
  <c r="NN109" i="12" a="1"/>
  <c r="NN109" i="12" s="1"/>
  <c r="NN108" i="12" a="1"/>
  <c r="NN108" i="12" s="1"/>
  <c r="NN107" i="12" a="1"/>
  <c r="NN107" i="12" s="1"/>
  <c r="NN105" i="12" a="1"/>
  <c r="NN105" i="12" s="1"/>
  <c r="NN104" i="12" a="1"/>
  <c r="NN104" i="12" s="1"/>
  <c r="NN103" i="12" a="1"/>
  <c r="NN103" i="12" s="1"/>
  <c r="NN102" i="12" a="1"/>
  <c r="NN102" i="12" s="1"/>
  <c r="NN101" i="12" a="1"/>
  <c r="NN101" i="12" s="1"/>
  <c r="NN100" i="12" a="1"/>
  <c r="NN100" i="12" s="1"/>
  <c r="NN98" i="12" a="1"/>
  <c r="NN98" i="12" s="1"/>
  <c r="NN97" i="12" a="1"/>
  <c r="NN97" i="12" s="1"/>
  <c r="NN96" i="12" a="1"/>
  <c r="NN96" i="12" s="1"/>
  <c r="NN95" i="12" a="1"/>
  <c r="NN95" i="12" s="1"/>
  <c r="NN94" i="12" a="1"/>
  <c r="NN94" i="12" s="1"/>
  <c r="NN93" i="12" a="1"/>
  <c r="NN93" i="12" s="1"/>
  <c r="NN91" i="12" a="1"/>
  <c r="NN91" i="12" s="1"/>
  <c r="NN90" i="12" a="1"/>
  <c r="NN90" i="12" s="1"/>
  <c r="NN89" i="12" a="1"/>
  <c r="NN89" i="12" s="1"/>
  <c r="NN88" i="12" a="1"/>
  <c r="NN88" i="12" s="1"/>
  <c r="NN86" i="12" a="1"/>
  <c r="NN86" i="12" s="1"/>
  <c r="NN84" i="12" a="1"/>
  <c r="NN84" i="12" s="1"/>
  <c r="NN83" i="12" a="1"/>
  <c r="NN83" i="12" s="1"/>
  <c r="NN82" i="12" a="1"/>
  <c r="NN82" i="12" s="1"/>
  <c r="NN81" i="12" a="1"/>
  <c r="NN81" i="12" s="1"/>
  <c r="NN80" i="12" a="1"/>
  <c r="NN80" i="12" s="1"/>
  <c r="NN78" i="12" a="1"/>
  <c r="NN78" i="12" s="1"/>
  <c r="NN76" i="12" a="1"/>
  <c r="NN76" i="12" s="1"/>
  <c r="NN75" i="12" a="1"/>
  <c r="NN75" i="12" s="1"/>
  <c r="NN74" i="12" a="1"/>
  <c r="NN74" i="12" s="1"/>
  <c r="NN73" i="12" a="1"/>
  <c r="NN73" i="12" s="1"/>
  <c r="NN72" i="12" a="1"/>
  <c r="NN72" i="12" s="1"/>
  <c r="NN71" i="12" a="1"/>
  <c r="NN71" i="12" s="1"/>
  <c r="NN70" i="12" a="1"/>
  <c r="NN70" i="12" s="1"/>
  <c r="NN69" i="12" a="1"/>
  <c r="NN69" i="12" s="1"/>
  <c r="NN68" i="12" a="1"/>
  <c r="NN68" i="12" s="1"/>
  <c r="NN67" i="12" a="1"/>
  <c r="NN67" i="12" s="1"/>
  <c r="NN66" i="12" a="1"/>
  <c r="NN66" i="12" s="1"/>
  <c r="NN63" i="12" a="1"/>
  <c r="NN63" i="12" s="1"/>
  <c r="NN62" i="12" a="1"/>
  <c r="NN62" i="12" s="1"/>
  <c r="NN59" i="12" a="1"/>
  <c r="NN59" i="12" s="1"/>
  <c r="NN58" i="12" a="1"/>
  <c r="NN58" i="12" s="1"/>
  <c r="NN57" i="12" a="1"/>
  <c r="NN57" i="12" s="1"/>
  <c r="NN56" i="12" a="1"/>
  <c r="NN56" i="12" s="1"/>
  <c r="NN55" i="12" a="1"/>
  <c r="NN55" i="12" s="1"/>
  <c r="NN54" i="12" a="1"/>
  <c r="NN54" i="12" s="1"/>
  <c r="NN52" i="12" a="1"/>
  <c r="NN52" i="12" s="1"/>
  <c r="NN51" i="12" a="1"/>
  <c r="NN51" i="12" s="1"/>
  <c r="NN50" i="12" a="1"/>
  <c r="NN50" i="12" s="1"/>
  <c r="NN49" i="12" a="1"/>
  <c r="NN49" i="12" s="1"/>
  <c r="NN48" i="12" a="1"/>
  <c r="NN48" i="12" s="1"/>
  <c r="NN47" i="12" a="1"/>
  <c r="NN47" i="12" s="1"/>
  <c r="NN46" i="12" a="1"/>
  <c r="NN46" i="12" s="1"/>
  <c r="NN9" i="12" a="1"/>
  <c r="NN9" i="12" s="1"/>
  <c r="NN8" i="12" a="1"/>
  <c r="NN8" i="12" s="1"/>
  <c r="NN7" i="12" a="1"/>
  <c r="NN7" i="12" s="1"/>
  <c r="NN5" i="12" a="1"/>
  <c r="NN5" i="12" s="1"/>
  <c r="NN4" i="12" a="1"/>
  <c r="NN4" i="12" s="1"/>
  <c r="NN3" i="12" a="1"/>
  <c r="NN3" i="12" s="1"/>
  <c r="NK115" i="12" a="1"/>
  <c r="NK115" i="12" s="1"/>
  <c r="NK114" i="12" a="1"/>
  <c r="NK114" i="12" s="1"/>
  <c r="NL114" i="12" s="1"/>
  <c r="NK113" i="12" a="1"/>
  <c r="NK113" i="12" s="1"/>
  <c r="NK112" i="12" a="1"/>
  <c r="NK112" i="12" s="1"/>
  <c r="NL112" i="12" s="1"/>
  <c r="NK109" i="12" a="1"/>
  <c r="NK109" i="12" s="1"/>
  <c r="NK108" i="12" a="1"/>
  <c r="NK108" i="12" s="1"/>
  <c r="NL108" i="12" s="1"/>
  <c r="NK107" i="12" a="1"/>
  <c r="NK107" i="12" s="1"/>
  <c r="NK105" i="12" a="1"/>
  <c r="NK105" i="12" s="1"/>
  <c r="NK104" i="12" a="1"/>
  <c r="NK104" i="12" s="1"/>
  <c r="NK103" i="12" a="1"/>
  <c r="NK103" i="12" s="1"/>
  <c r="NK102" i="12" a="1"/>
  <c r="NK102" i="12" s="1"/>
  <c r="NK101" i="12" a="1"/>
  <c r="NK101" i="12" s="1"/>
  <c r="NK100" i="12" a="1"/>
  <c r="NK100" i="12" s="1"/>
  <c r="NK98" i="12" a="1"/>
  <c r="NK98" i="12" s="1"/>
  <c r="NK97" i="12" a="1"/>
  <c r="NK97" i="12" s="1"/>
  <c r="NK96" i="12" a="1"/>
  <c r="NK96" i="12" s="1"/>
  <c r="NK95" i="12" a="1"/>
  <c r="NK95" i="12" s="1"/>
  <c r="NK94" i="12" a="1"/>
  <c r="NK94" i="12" s="1"/>
  <c r="NL94" i="12" s="1"/>
  <c r="NK93" i="12" a="1"/>
  <c r="NK93" i="12" s="1"/>
  <c r="NK91" i="12" a="1"/>
  <c r="NK91" i="12" s="1"/>
  <c r="NL91" i="12" s="1"/>
  <c r="NK89" i="12" a="1"/>
  <c r="NK89" i="12" s="1"/>
  <c r="NK88" i="12" a="1"/>
  <c r="NK88" i="12" s="1"/>
  <c r="NK86" i="12" a="1"/>
  <c r="NK86" i="12" s="1"/>
  <c r="NK84" i="12" a="1"/>
  <c r="NK84" i="12" s="1"/>
  <c r="NK83" i="12" a="1"/>
  <c r="NK83" i="12" s="1"/>
  <c r="NK82" i="12" a="1"/>
  <c r="NK82" i="12" s="1"/>
  <c r="NK81" i="12" a="1"/>
  <c r="NK81" i="12" s="1"/>
  <c r="NK80" i="12" a="1"/>
  <c r="NK80" i="12" s="1"/>
  <c r="NL80" i="12" s="1"/>
  <c r="NK78" i="12" a="1"/>
  <c r="NK78" i="12" s="1"/>
  <c r="NK76" i="12" a="1"/>
  <c r="NK76" i="12" s="1"/>
  <c r="NK75" i="12" a="1"/>
  <c r="NK75" i="12" s="1"/>
  <c r="NK74" i="12" a="1"/>
  <c r="NK74" i="12" s="1"/>
  <c r="NL74" i="12" s="1"/>
  <c r="NK73" i="12" a="1"/>
  <c r="NK73" i="12" s="1"/>
  <c r="NK72" i="12" a="1"/>
  <c r="NK72" i="12" s="1"/>
  <c r="NK71" i="12" a="1"/>
  <c r="NK71" i="12" s="1"/>
  <c r="NK70" i="12" a="1"/>
  <c r="NK70" i="12" s="1"/>
  <c r="NL70" i="12" s="1"/>
  <c r="NK69" i="12" a="1"/>
  <c r="NK69" i="12" s="1"/>
  <c r="NK68" i="12" a="1"/>
  <c r="NK68" i="12" s="1"/>
  <c r="NK67" i="12" a="1"/>
  <c r="NK67" i="12" s="1"/>
  <c r="NK63" i="12" a="1"/>
  <c r="NK63" i="12" s="1"/>
  <c r="NK59" i="12" a="1"/>
  <c r="NK59" i="12" s="1"/>
  <c r="NK58" i="12" a="1"/>
  <c r="NK58" i="12" s="1"/>
  <c r="NK57" i="12" a="1"/>
  <c r="NK57" i="12" s="1"/>
  <c r="NL57" i="12" s="1"/>
  <c r="NK56" i="12" a="1"/>
  <c r="NK56" i="12" s="1"/>
  <c r="NL56" i="12" s="1"/>
  <c r="NK54" i="12" a="1"/>
  <c r="NK54" i="12" s="1"/>
  <c r="NK52" i="12" a="1"/>
  <c r="NK52" i="12" s="1"/>
  <c r="NK51" i="12" a="1"/>
  <c r="NK51" i="12" s="1"/>
  <c r="NK50" i="12" a="1"/>
  <c r="NK50" i="12" s="1"/>
  <c r="NL50" i="12" s="1"/>
  <c r="NK48" i="12" a="1"/>
  <c r="NK48" i="12" s="1"/>
  <c r="NK47" i="12" a="1"/>
  <c r="NK47" i="12" s="1"/>
  <c r="NK46" i="12" a="1"/>
  <c r="NK46" i="12" s="1"/>
  <c r="NK9" i="12" a="1"/>
  <c r="NK9" i="12" s="1"/>
  <c r="NL9" i="12" s="1"/>
  <c r="NK8" i="12" a="1"/>
  <c r="NK8" i="12" s="1"/>
  <c r="NK7" i="12" a="1"/>
  <c r="NK7" i="12" s="1"/>
  <c r="NK5" i="12" a="1"/>
  <c r="NK5" i="12" s="1"/>
  <c r="NK4" i="12" a="1"/>
  <c r="NK4" i="12" s="1"/>
  <c r="NK3" i="12" a="1"/>
  <c r="NK3" i="12" s="1"/>
  <c r="NH3" i="12" a="1"/>
  <c r="NH3" i="12" s="1"/>
  <c r="NH115" i="12" a="1"/>
  <c r="NH115" i="12" s="1"/>
  <c r="NH114" i="12" a="1"/>
  <c r="NH114" i="12" s="1"/>
  <c r="NH113" i="12" a="1"/>
  <c r="NH113" i="12" s="1"/>
  <c r="NH112" i="12" a="1"/>
  <c r="NH112" i="12" s="1"/>
  <c r="NH109" i="12" a="1"/>
  <c r="NH109" i="12" s="1"/>
  <c r="NH108" i="12" a="1"/>
  <c r="NH108" i="12" s="1"/>
  <c r="NH107" i="12" a="1"/>
  <c r="NH107" i="12" s="1"/>
  <c r="NH105" i="12" a="1"/>
  <c r="NH105" i="12" s="1"/>
  <c r="NH104" i="12" a="1"/>
  <c r="NH104" i="12" s="1"/>
  <c r="NH103" i="12" a="1"/>
  <c r="NH103" i="12" s="1"/>
  <c r="NH102" i="12" a="1"/>
  <c r="NH102" i="12" s="1"/>
  <c r="NH101" i="12" a="1"/>
  <c r="NH101" i="12" s="1"/>
  <c r="NH100" i="12" a="1"/>
  <c r="NH100" i="12" s="1"/>
  <c r="NH98" i="12" a="1"/>
  <c r="NH98" i="12" s="1"/>
  <c r="NH97" i="12" a="1"/>
  <c r="NH97" i="12" s="1"/>
  <c r="NH96" i="12" a="1"/>
  <c r="NH96" i="12" s="1"/>
  <c r="NH95" i="12" a="1"/>
  <c r="NH95" i="12" s="1"/>
  <c r="NH94" i="12" a="1"/>
  <c r="NH94" i="12" s="1"/>
  <c r="NH93" i="12" a="1"/>
  <c r="NH93" i="12" s="1"/>
  <c r="NH91" i="12" a="1"/>
  <c r="NH91" i="12" s="1"/>
  <c r="NH90" i="12" a="1"/>
  <c r="NH90" i="12" s="1"/>
  <c r="NI90" i="12" s="1"/>
  <c r="NH89" i="12" a="1"/>
  <c r="NH89" i="12" s="1"/>
  <c r="NH88" i="12" a="1"/>
  <c r="NH88" i="12" s="1"/>
  <c r="NH86" i="12" a="1"/>
  <c r="NH86" i="12" s="1"/>
  <c r="NH84" i="12" a="1"/>
  <c r="NH84" i="12" s="1"/>
  <c r="NH83" i="12" a="1"/>
  <c r="NH83" i="12" s="1"/>
  <c r="NH82" i="12" a="1"/>
  <c r="NH82" i="12" s="1"/>
  <c r="NH81" i="12" a="1"/>
  <c r="NH81" i="12" s="1"/>
  <c r="NH80" i="12" a="1"/>
  <c r="NH80" i="12" s="1"/>
  <c r="NH78" i="12" a="1"/>
  <c r="NH78" i="12" s="1"/>
  <c r="NH76" i="12" a="1"/>
  <c r="NH76" i="12" s="1"/>
  <c r="NH75" i="12" a="1"/>
  <c r="NH75" i="12" s="1"/>
  <c r="NH74" i="12" a="1"/>
  <c r="NH74" i="12" s="1"/>
  <c r="NH73" i="12" a="1"/>
  <c r="NH73" i="12" s="1"/>
  <c r="NH72" i="12" a="1"/>
  <c r="NH72" i="12" s="1"/>
  <c r="NH71" i="12" a="1"/>
  <c r="NH71" i="12" s="1"/>
  <c r="NH70" i="12" a="1"/>
  <c r="NH70" i="12" s="1"/>
  <c r="NH69" i="12" a="1"/>
  <c r="NH69" i="12" s="1"/>
  <c r="NH68" i="12" a="1"/>
  <c r="NH68" i="12" s="1"/>
  <c r="NH67" i="12" a="1"/>
  <c r="NH67" i="12" s="1"/>
  <c r="NH66" i="12" a="1"/>
  <c r="NH66" i="12" s="1"/>
  <c r="NH63" i="12" a="1"/>
  <c r="NH63" i="12" s="1"/>
  <c r="NH62" i="12" a="1"/>
  <c r="NH62" i="12" s="1"/>
  <c r="NH59" i="12" a="1"/>
  <c r="NH59" i="12" s="1"/>
  <c r="NH58" i="12" a="1"/>
  <c r="NH58" i="12" s="1"/>
  <c r="NH57" i="12" a="1"/>
  <c r="NH57" i="12" s="1"/>
  <c r="NH56" i="12" a="1"/>
  <c r="NH56" i="12" s="1"/>
  <c r="NH55" i="12" a="1"/>
  <c r="NH55" i="12" s="1"/>
  <c r="NH54" i="12" a="1"/>
  <c r="NH54" i="12" s="1"/>
  <c r="NH52" i="12" a="1"/>
  <c r="NH52" i="12" s="1"/>
  <c r="NH51" i="12" a="1"/>
  <c r="NH51" i="12" s="1"/>
  <c r="NH50" i="12" a="1"/>
  <c r="NH50" i="12" s="1"/>
  <c r="NH49" i="12" a="1"/>
  <c r="NH49" i="12" s="1"/>
  <c r="NH48" i="12" a="1"/>
  <c r="NH48" i="12" s="1"/>
  <c r="NH47" i="12" a="1"/>
  <c r="NH47" i="12" s="1"/>
  <c r="NH46" i="12" a="1"/>
  <c r="NH46" i="12" s="1"/>
  <c r="NH9" i="12" a="1"/>
  <c r="NH9" i="12" s="1"/>
  <c r="NH8" i="12" a="1"/>
  <c r="NH8" i="12" s="1"/>
  <c r="NH7" i="12" a="1"/>
  <c r="NH7" i="12" s="1"/>
  <c r="NH5" i="12" a="1"/>
  <c r="NH5" i="12" s="1"/>
  <c r="NH4" i="12" a="1"/>
  <c r="NH4" i="12" s="1"/>
  <c r="R32" i="4" l="1"/>
  <c r="AF3" i="4"/>
  <c r="AF4" i="4"/>
  <c r="AF5" i="4"/>
  <c r="AF6" i="4"/>
  <c r="AF7" i="4"/>
  <c r="AF10" i="4"/>
  <c r="AF11" i="4"/>
  <c r="AF12" i="4"/>
  <c r="AF13" i="4"/>
  <c r="AF15" i="4"/>
  <c r="AF16" i="4"/>
  <c r="AF8" i="4"/>
  <c r="AF17" i="4"/>
  <c r="AF18" i="4"/>
  <c r="AF19" i="4"/>
  <c r="AF20" i="4"/>
  <c r="AF21" i="4"/>
  <c r="AF22" i="4"/>
  <c r="AF23" i="4"/>
  <c r="AF55" i="4"/>
  <c r="AF24" i="4"/>
  <c r="AF25" i="4"/>
  <c r="AF26" i="4"/>
  <c r="AF27" i="4"/>
  <c r="AF28" i="4"/>
  <c r="AF29" i="4"/>
  <c r="AF30" i="4"/>
  <c r="AF31" i="4"/>
  <c r="AF14" i="4"/>
  <c r="AF32" i="4"/>
  <c r="AF33" i="4"/>
  <c r="AF35" i="4"/>
  <c r="AF36" i="4"/>
  <c r="AF37" i="4"/>
  <c r="AF38" i="4"/>
  <c r="AF41" i="4"/>
  <c r="AF43" i="4"/>
  <c r="AF62" i="4"/>
  <c r="AF44" i="4"/>
  <c r="AF45" i="4"/>
  <c r="AF46" i="4"/>
  <c r="AF47" i="4"/>
  <c r="AF48" i="4"/>
  <c r="AF49" i="4"/>
  <c r="AF50" i="4"/>
  <c r="AF51" i="4"/>
  <c r="AF52" i="4"/>
  <c r="AF53" i="4"/>
  <c r="AF54" i="4"/>
  <c r="AF56" i="4"/>
  <c r="AF57" i="4"/>
  <c r="AF58" i="4"/>
  <c r="AF59" i="4"/>
  <c r="AF60" i="4"/>
  <c r="AF63" i="4"/>
  <c r="AF64" i="4"/>
  <c r="AF65" i="4"/>
  <c r="AF66" i="4"/>
  <c r="AF67" i="4"/>
  <c r="AF68" i="4"/>
  <c r="AF69" i="4"/>
  <c r="AF70" i="4"/>
  <c r="AF72" i="4"/>
  <c r="AF73" i="4"/>
  <c r="AF74" i="4"/>
  <c r="AF75" i="4"/>
  <c r="AF76" i="4"/>
  <c r="AF77" i="4"/>
  <c r="I63" i="19"/>
  <c r="K63" i="19" s="1"/>
  <c r="OR72" i="12"/>
  <c r="ON72" i="12"/>
  <c r="OP72" i="12" s="1"/>
  <c r="OK72" i="12"/>
  <c r="OM72" i="12" s="1"/>
  <c r="OH72" i="12"/>
  <c r="OJ72" i="12" s="1"/>
  <c r="OE72" i="12"/>
  <c r="OG72" i="12" s="1"/>
  <c r="OB72" i="12"/>
  <c r="OD72" i="12" s="1"/>
  <c r="NY72" i="12"/>
  <c r="OA72" i="12" s="1"/>
  <c r="NV72" i="12"/>
  <c r="NX72" i="12" s="1"/>
  <c r="NS72" i="12"/>
  <c r="NU72" i="12" s="1"/>
  <c r="NP72" i="12"/>
  <c r="NR72" i="12" s="1"/>
  <c r="NG72" i="12"/>
  <c r="NI72" i="12" s="1"/>
  <c r="NJ72" i="12"/>
  <c r="NL72" i="12" s="1"/>
  <c r="NM72" i="12"/>
  <c r="NO72" i="12" s="1"/>
  <c r="OR75" i="13"/>
  <c r="ON75" i="13"/>
  <c r="OP75" i="13" s="1"/>
  <c r="OK75" i="13"/>
  <c r="OM75" i="13" s="1"/>
  <c r="OH75" i="13"/>
  <c r="OJ75" i="13" s="1"/>
  <c r="OE75" i="13"/>
  <c r="OG75" i="13" s="1"/>
  <c r="OB75" i="13"/>
  <c r="OD75" i="13" s="1"/>
  <c r="NY75" i="13"/>
  <c r="OA75" i="13" s="1"/>
  <c r="NV75" i="13"/>
  <c r="NX75" i="13" s="1"/>
  <c r="NS75" i="13"/>
  <c r="NR75" i="13"/>
  <c r="NM75" i="13"/>
  <c r="NO75" i="13" s="1"/>
  <c r="NG75" i="13"/>
  <c r="NI75" i="13" s="1"/>
  <c r="NJ75" i="13"/>
  <c r="NL75" i="13" s="1"/>
  <c r="I78" i="19"/>
  <c r="K78" i="19" s="1"/>
  <c r="OQ72" i="12" l="1"/>
  <c r="OS72" i="12" s="1"/>
  <c r="OQ75" i="13"/>
  <c r="OS75" i="13" s="1"/>
  <c r="NU75" i="13"/>
  <c r="Q38" i="3"/>
  <c r="S38" i="3" s="1"/>
  <c r="AF20" i="20" l="1"/>
  <c r="AF11" i="20"/>
  <c r="AF12" i="20"/>
  <c r="AF23" i="20"/>
  <c r="AF24" i="20"/>
  <c r="AF27" i="20"/>
  <c r="AF7" i="20"/>
  <c r="AF28" i="20"/>
  <c r="AF26" i="20"/>
  <c r="AF4" i="20"/>
  <c r="AF8" i="20"/>
  <c r="AF25" i="20"/>
  <c r="AF29" i="20"/>
  <c r="AF3" i="20"/>
  <c r="AF5" i="20"/>
  <c r="AF9" i="20"/>
  <c r="AF35" i="20"/>
  <c r="AF31" i="20"/>
  <c r="AF32" i="20"/>
  <c r="AF33" i="20"/>
  <c r="AF34" i="20"/>
  <c r="AF36" i="20"/>
  <c r="AF38" i="20"/>
  <c r="AF37" i="20"/>
  <c r="AF39" i="20"/>
  <c r="AF46" i="20"/>
  <c r="AF47" i="20"/>
  <c r="AF51" i="20"/>
  <c r="AF30" i="20"/>
  <c r="AF45" i="20"/>
  <c r="AF52" i="20"/>
  <c r="AF53" i="20"/>
  <c r="AF50" i="20"/>
  <c r="AF55" i="20"/>
  <c r="AF56" i="20"/>
  <c r="AF42" i="20"/>
  <c r="AF40" i="20"/>
  <c r="AF41" i="20"/>
  <c r="AF6" i="20"/>
  <c r="AF44" i="20"/>
  <c r="AF21" i="20"/>
  <c r="AF54" i="20"/>
  <c r="AF49" i="20"/>
  <c r="AF57" i="20"/>
  <c r="AF61" i="20"/>
  <c r="AF62" i="20"/>
  <c r="AF64" i="20"/>
  <c r="AF65" i="20"/>
  <c r="AF67" i="20"/>
  <c r="AF68" i="20"/>
  <c r="AF72" i="20"/>
  <c r="AF70" i="20"/>
  <c r="AF76" i="20"/>
  <c r="AF43" i="20"/>
  <c r="AF22" i="20"/>
  <c r="AF95" i="20"/>
  <c r="AF96" i="20"/>
  <c r="AF82" i="20"/>
  <c r="AF97" i="20"/>
  <c r="AF98" i="20"/>
  <c r="AF94" i="20"/>
  <c r="AF99" i="20"/>
  <c r="AF100" i="20"/>
  <c r="AF103" i="20"/>
  <c r="AF106" i="20"/>
  <c r="AF110" i="20"/>
  <c r="AF101" i="20"/>
  <c r="AF104" i="20"/>
  <c r="AF105" i="20"/>
  <c r="AF91" i="20"/>
  <c r="AF107" i="20"/>
  <c r="AF108" i="20"/>
  <c r="AF109" i="20"/>
  <c r="AF113" i="20"/>
  <c r="AF111" i="20"/>
  <c r="AF84" i="20"/>
  <c r="AF112" i="20"/>
  <c r="AF102" i="20"/>
  <c r="AF114" i="20"/>
  <c r="AF115" i="20"/>
  <c r="AF116" i="20"/>
  <c r="AF117" i="20"/>
  <c r="AF118" i="20"/>
  <c r="AF119" i="20"/>
  <c r="AF120" i="20"/>
  <c r="AF121" i="20"/>
  <c r="AF122" i="20"/>
  <c r="AF123" i="20"/>
  <c r="AF124" i="20"/>
  <c r="AF125" i="20"/>
  <c r="AF126" i="20"/>
  <c r="AF10" i="20"/>
  <c r="Q53" i="3"/>
  <c r="S53" i="3" s="1"/>
  <c r="C1" i="26"/>
  <c r="C1" i="25"/>
  <c r="C1" i="23"/>
  <c r="C1" i="22"/>
  <c r="T66" i="11"/>
  <c r="R65" i="4"/>
  <c r="Q59" i="16"/>
  <c r="C1" i="20"/>
  <c r="E79" i="19" l="1"/>
  <c r="F79" i="19"/>
  <c r="F81" i="19" s="1"/>
  <c r="G79" i="19"/>
  <c r="G81" i="19" s="1"/>
  <c r="H79" i="19"/>
  <c r="H81" i="19" s="1"/>
  <c r="I80" i="19"/>
  <c r="C1" i="19"/>
  <c r="I3" i="19"/>
  <c r="K3" i="19" s="1"/>
  <c r="I4" i="19"/>
  <c r="K4" i="19" s="1"/>
  <c r="I5" i="19"/>
  <c r="K5" i="19" s="1"/>
  <c r="I6" i="19"/>
  <c r="K6" i="19" s="1"/>
  <c r="I7" i="19"/>
  <c r="K7" i="19" s="1"/>
  <c r="I8" i="19"/>
  <c r="K8" i="19" s="1"/>
  <c r="I9" i="19"/>
  <c r="K9" i="19" s="1"/>
  <c r="I10" i="19"/>
  <c r="K10" i="19" s="1"/>
  <c r="I11" i="19"/>
  <c r="K11" i="19" s="1"/>
  <c r="I14" i="19"/>
  <c r="K14" i="19" s="1"/>
  <c r="I17" i="19"/>
  <c r="K17" i="19" s="1"/>
  <c r="I19" i="19"/>
  <c r="K19" i="19" s="1"/>
  <c r="I20" i="19"/>
  <c r="K20" i="19" s="1"/>
  <c r="I21" i="19"/>
  <c r="K21" i="19" s="1"/>
  <c r="I23" i="19"/>
  <c r="K23" i="19" s="1"/>
  <c r="I24" i="19"/>
  <c r="K24" i="19" s="1"/>
  <c r="I25" i="19"/>
  <c r="K25" i="19" s="1"/>
  <c r="I27" i="19"/>
  <c r="K27" i="19" s="1"/>
  <c r="I28" i="19"/>
  <c r="K28" i="19" s="1"/>
  <c r="I29" i="19"/>
  <c r="K29" i="19" s="1"/>
  <c r="I30" i="19"/>
  <c r="K30" i="19" s="1"/>
  <c r="I31" i="19"/>
  <c r="K31" i="19" s="1"/>
  <c r="I34" i="19"/>
  <c r="K34" i="19" s="1"/>
  <c r="I35" i="19"/>
  <c r="K35" i="19" s="1"/>
  <c r="I36" i="19"/>
  <c r="K36" i="19" s="1"/>
  <c r="I37" i="19"/>
  <c r="K37" i="19" s="1"/>
  <c r="I39" i="19"/>
  <c r="K39" i="19" s="1"/>
  <c r="I41" i="19"/>
  <c r="K41" i="19" s="1"/>
  <c r="I42" i="19"/>
  <c r="K42" i="19" s="1"/>
  <c r="I43" i="19"/>
  <c r="K43" i="19" s="1"/>
  <c r="I44" i="19"/>
  <c r="K44" i="19" s="1"/>
  <c r="I45" i="19"/>
  <c r="K45" i="19" s="1"/>
  <c r="I46" i="19"/>
  <c r="K46" i="19" s="1"/>
  <c r="I49" i="19"/>
  <c r="K49" i="19" s="1"/>
  <c r="I50" i="19"/>
  <c r="K50" i="19" s="1"/>
  <c r="I51" i="19"/>
  <c r="K51" i="19" s="1"/>
  <c r="I52" i="19"/>
  <c r="K52" i="19" s="1"/>
  <c r="I53" i="19"/>
  <c r="K53" i="19" s="1"/>
  <c r="I55" i="19"/>
  <c r="K55" i="19" s="1"/>
  <c r="I54" i="19"/>
  <c r="K54" i="19" s="1"/>
  <c r="I58" i="19"/>
  <c r="K58" i="19" s="1"/>
  <c r="I59" i="19"/>
  <c r="K59" i="19" s="1"/>
  <c r="I60" i="19"/>
  <c r="K60" i="19" s="1"/>
  <c r="I61" i="19"/>
  <c r="K61" i="19" s="1"/>
  <c r="I62" i="19"/>
  <c r="K62" i="19" s="1"/>
  <c r="I56" i="19"/>
  <c r="K56" i="19" s="1"/>
  <c r="I65" i="19"/>
  <c r="K65" i="19" s="1"/>
  <c r="I67" i="19"/>
  <c r="K67" i="19" s="1"/>
  <c r="I69" i="19"/>
  <c r="K69" i="19" s="1"/>
  <c r="I70" i="19"/>
  <c r="K70" i="19" s="1"/>
  <c r="I71" i="19"/>
  <c r="K71" i="19" s="1"/>
  <c r="I72" i="19"/>
  <c r="K72" i="19" s="1"/>
  <c r="I73" i="19"/>
  <c r="K73" i="19" s="1"/>
  <c r="I76" i="19"/>
  <c r="K76" i="19" s="1"/>
  <c r="I77" i="19"/>
  <c r="K77" i="19" s="1"/>
  <c r="P72" i="16"/>
  <c r="P73" i="16" s="1"/>
  <c r="O72" i="16"/>
  <c r="O73" i="16" s="1"/>
  <c r="N72" i="16"/>
  <c r="N73" i="16" s="1"/>
  <c r="M72" i="16"/>
  <c r="M73" i="16" s="1"/>
  <c r="L72" i="16"/>
  <c r="L73" i="16" s="1"/>
  <c r="K72" i="16"/>
  <c r="K73" i="16" s="1"/>
  <c r="J72" i="16"/>
  <c r="J73" i="16" s="1"/>
  <c r="I72" i="16"/>
  <c r="I73" i="16" s="1"/>
  <c r="H72" i="16"/>
  <c r="H73" i="16" s="1"/>
  <c r="G72" i="16"/>
  <c r="G73" i="16" s="1"/>
  <c r="F72" i="16"/>
  <c r="F73" i="16" s="1"/>
  <c r="E72" i="16"/>
  <c r="E73" i="16" s="1"/>
  <c r="Q71" i="16"/>
  <c r="Q70" i="16"/>
  <c r="Q69" i="16"/>
  <c r="Q68" i="16"/>
  <c r="Q67" i="16"/>
  <c r="Q66" i="16"/>
  <c r="Q64" i="16"/>
  <c r="Q62" i="16"/>
  <c r="Q60" i="16"/>
  <c r="Q57" i="16"/>
  <c r="Q56" i="16"/>
  <c r="Q63" i="16"/>
  <c r="Q54" i="16"/>
  <c r="Q51" i="16"/>
  <c r="Q50" i="16"/>
  <c r="Q46" i="16"/>
  <c r="Q48" i="16"/>
  <c r="Q47" i="16"/>
  <c r="Q44" i="16"/>
  <c r="Q43" i="16"/>
  <c r="Q45" i="16"/>
  <c r="Q42" i="16"/>
  <c r="Q40" i="16"/>
  <c r="Q39" i="16"/>
  <c r="Q38" i="16"/>
  <c r="Q35" i="16"/>
  <c r="Q34" i="16"/>
  <c r="Q33" i="16"/>
  <c r="Q32" i="16"/>
  <c r="Q31" i="16"/>
  <c r="Q30" i="16"/>
  <c r="Q29" i="16"/>
  <c r="Q28" i="16"/>
  <c r="Q27" i="16"/>
  <c r="Q26" i="16"/>
  <c r="Q24" i="16"/>
  <c r="Q23" i="16"/>
  <c r="Q22" i="16"/>
  <c r="Q21" i="16"/>
  <c r="Q20" i="16"/>
  <c r="Q18" i="16"/>
  <c r="Q17" i="16"/>
  <c r="Q15" i="16"/>
  <c r="Q14" i="16"/>
  <c r="Q13" i="16"/>
  <c r="Q52" i="16"/>
  <c r="Q12" i="16"/>
  <c r="Q11" i="16"/>
  <c r="Q10" i="16"/>
  <c r="Q8" i="16"/>
  <c r="Q9" i="16"/>
  <c r="Q7" i="16"/>
  <c r="Q6" i="16"/>
  <c r="Q5" i="16"/>
  <c r="Q4" i="16"/>
  <c r="Q3" i="16"/>
  <c r="C1" i="16"/>
  <c r="R5" i="4"/>
  <c r="R6" i="4"/>
  <c r="R7" i="4"/>
  <c r="R11" i="4"/>
  <c r="R10" i="4"/>
  <c r="R12" i="4"/>
  <c r="R13" i="4"/>
  <c r="R15" i="4"/>
  <c r="R16" i="4"/>
  <c r="R8" i="4"/>
  <c r="R17" i="4"/>
  <c r="R18" i="4"/>
  <c r="R20" i="4"/>
  <c r="R19" i="4"/>
  <c r="R21" i="4"/>
  <c r="R22" i="4"/>
  <c r="R23" i="4"/>
  <c r="R55" i="4"/>
  <c r="R24" i="4"/>
  <c r="R25" i="4"/>
  <c r="R26" i="4"/>
  <c r="R27" i="4"/>
  <c r="R28" i="4"/>
  <c r="R29" i="4"/>
  <c r="R30" i="4"/>
  <c r="R14" i="4"/>
  <c r="R31" i="4"/>
  <c r="R35" i="4"/>
  <c r="R36" i="4"/>
  <c r="R37" i="4"/>
  <c r="R38" i="4"/>
  <c r="R39" i="4"/>
  <c r="R41" i="4"/>
  <c r="R42" i="4"/>
  <c r="R43" i="4"/>
  <c r="R62" i="4"/>
  <c r="R44" i="4"/>
  <c r="R45" i="4"/>
  <c r="R48" i="4"/>
  <c r="R46" i="4"/>
  <c r="R47" i="4"/>
  <c r="R50" i="4"/>
  <c r="R51" i="4"/>
  <c r="R49" i="4"/>
  <c r="R52" i="4"/>
  <c r="R53" i="4"/>
  <c r="R54" i="4"/>
  <c r="R56" i="4"/>
  <c r="R57" i="4"/>
  <c r="R58" i="4"/>
  <c r="R69" i="4"/>
  <c r="R59" i="4"/>
  <c r="R60" i="4"/>
  <c r="R63" i="4"/>
  <c r="R64" i="4"/>
  <c r="R67" i="4"/>
  <c r="R66" i="4"/>
  <c r="R68" i="4"/>
  <c r="R70" i="4"/>
  <c r="R72" i="4"/>
  <c r="R73" i="4"/>
  <c r="R74" i="4"/>
  <c r="R75" i="4"/>
  <c r="R76" i="4"/>
  <c r="R77" i="4"/>
  <c r="R4" i="4"/>
  <c r="R3" i="4"/>
  <c r="I79" i="19" l="1"/>
  <c r="E81" i="19"/>
  <c r="T6" i="11"/>
  <c r="R113" i="11"/>
  <c r="Q112" i="11"/>
  <c r="Q114" i="11" s="1"/>
  <c r="P112" i="11"/>
  <c r="P114" i="11" s="1"/>
  <c r="O112" i="11"/>
  <c r="O114" i="11" s="1"/>
  <c r="N112" i="11"/>
  <c r="N114" i="11" s="1"/>
  <c r="M112" i="11"/>
  <c r="M114" i="11" s="1"/>
  <c r="L112" i="11"/>
  <c r="L114" i="11" s="1"/>
  <c r="K112" i="11"/>
  <c r="K114" i="11" s="1"/>
  <c r="J112" i="11"/>
  <c r="J114" i="11" s="1"/>
  <c r="I112" i="11"/>
  <c r="I114" i="11" s="1"/>
  <c r="H112" i="11"/>
  <c r="H114" i="11" s="1"/>
  <c r="G112" i="11"/>
  <c r="G114" i="11" s="1"/>
  <c r="F112" i="11"/>
  <c r="F114" i="11" s="1"/>
  <c r="T110" i="11"/>
  <c r="T109" i="11"/>
  <c r="T108" i="11"/>
  <c r="T107" i="11"/>
  <c r="T106" i="11"/>
  <c r="T105" i="11"/>
  <c r="T103" i="11"/>
  <c r="T101" i="11"/>
  <c r="T98" i="11"/>
  <c r="T97" i="11"/>
  <c r="T96" i="11"/>
  <c r="T95" i="11"/>
  <c r="T94" i="11"/>
  <c r="T93" i="11"/>
  <c r="T92" i="11"/>
  <c r="T91" i="11"/>
  <c r="T89" i="11"/>
  <c r="T88" i="11"/>
  <c r="T87" i="11"/>
  <c r="T86" i="11"/>
  <c r="T84" i="11"/>
  <c r="T83" i="11"/>
  <c r="T82" i="11"/>
  <c r="T81" i="11"/>
  <c r="T80" i="11"/>
  <c r="T79" i="11"/>
  <c r="T78" i="11"/>
  <c r="T77" i="11"/>
  <c r="T76" i="11"/>
  <c r="T75" i="11"/>
  <c r="T74" i="11"/>
  <c r="T73" i="11"/>
  <c r="T72" i="11"/>
  <c r="T71" i="11"/>
  <c r="T70" i="11"/>
  <c r="T69" i="11"/>
  <c r="T68" i="11"/>
  <c r="T67" i="11"/>
  <c r="T65" i="11"/>
  <c r="T64" i="11"/>
  <c r="T63" i="11"/>
  <c r="T61" i="11"/>
  <c r="T60" i="11"/>
  <c r="T59" i="11"/>
  <c r="T56" i="11"/>
  <c r="T55" i="11"/>
  <c r="T54" i="11"/>
  <c r="T53" i="11"/>
  <c r="T50" i="11"/>
  <c r="T49" i="11"/>
  <c r="T48" i="11"/>
  <c r="T47" i="11"/>
  <c r="T46" i="11"/>
  <c r="T45" i="11"/>
  <c r="T44" i="11"/>
  <c r="T43" i="11"/>
  <c r="T42" i="11"/>
  <c r="T41" i="11"/>
  <c r="T40" i="11"/>
  <c r="T39" i="11"/>
  <c r="T38" i="11"/>
  <c r="T36" i="11"/>
  <c r="T35" i="11"/>
  <c r="T34" i="11"/>
  <c r="T33" i="11"/>
  <c r="T32" i="11"/>
  <c r="T31" i="11"/>
  <c r="T30" i="11"/>
  <c r="T27" i="11"/>
  <c r="T26" i="11"/>
  <c r="T25" i="11"/>
  <c r="T23" i="11"/>
  <c r="T22" i="11"/>
  <c r="T21" i="11"/>
  <c r="T20" i="11"/>
  <c r="T19" i="11"/>
  <c r="T18" i="11"/>
  <c r="T17" i="11"/>
  <c r="T16" i="11"/>
  <c r="T15" i="11"/>
  <c r="T14" i="11"/>
  <c r="T12" i="11"/>
  <c r="T11" i="11"/>
  <c r="T10" i="11"/>
  <c r="T9" i="11"/>
  <c r="T8" i="11"/>
  <c r="T7" i="11"/>
  <c r="T5" i="11"/>
  <c r="T4" i="11"/>
  <c r="T3" i="11"/>
  <c r="D1" i="11"/>
  <c r="OS106" i="13"/>
  <c r="OR106" i="13"/>
  <c r="OQ106" i="13"/>
  <c r="OR105" i="13"/>
  <c r="ON105" i="13"/>
  <c r="OP105" i="13" s="1"/>
  <c r="OK105" i="13"/>
  <c r="OM105" i="13" s="1"/>
  <c r="OH105" i="13"/>
  <c r="OJ105" i="13" s="1"/>
  <c r="OE105" i="13"/>
  <c r="OG105" i="13" s="1"/>
  <c r="OB105" i="13"/>
  <c r="OD105" i="13" s="1"/>
  <c r="NY105" i="13"/>
  <c r="OA105" i="13" s="1"/>
  <c r="NV105" i="13"/>
  <c r="NX105" i="13" s="1"/>
  <c r="NS105" i="13"/>
  <c r="NU105" i="13" s="1"/>
  <c r="NR105" i="13"/>
  <c r="NM105" i="13"/>
  <c r="NO105" i="13" s="1"/>
  <c r="NJ105" i="13"/>
  <c r="NL105" i="13" s="1"/>
  <c r="NG105" i="13"/>
  <c r="OR104" i="13"/>
  <c r="ON104" i="13"/>
  <c r="OP104" i="13" s="1"/>
  <c r="OK104" i="13"/>
  <c r="OM104" i="13" s="1"/>
  <c r="OH104" i="13"/>
  <c r="OJ104" i="13" s="1"/>
  <c r="OE104" i="13"/>
  <c r="OG104" i="13" s="1"/>
  <c r="OB104" i="13"/>
  <c r="OD104" i="13" s="1"/>
  <c r="NY104" i="13"/>
  <c r="OA104" i="13" s="1"/>
  <c r="NV104" i="13"/>
  <c r="NX104" i="13" s="1"/>
  <c r="NS104" i="13"/>
  <c r="NU104" i="13" s="1"/>
  <c r="NR104" i="13"/>
  <c r="NM104" i="13"/>
  <c r="NO104" i="13" s="1"/>
  <c r="NJ104" i="13"/>
  <c r="NL104" i="13" s="1"/>
  <c r="NG104" i="13"/>
  <c r="OR103" i="13"/>
  <c r="ON103" i="13"/>
  <c r="OP103" i="13" s="1"/>
  <c r="OK103" i="13"/>
  <c r="OM103" i="13" s="1"/>
  <c r="OH103" i="13"/>
  <c r="OJ103" i="13" s="1"/>
  <c r="OE103" i="13"/>
  <c r="OG103" i="13" s="1"/>
  <c r="OB103" i="13"/>
  <c r="OD103" i="13" s="1"/>
  <c r="NY103" i="13"/>
  <c r="OA103" i="13" s="1"/>
  <c r="NV103" i="13"/>
  <c r="NX103" i="13" s="1"/>
  <c r="NS103" i="13"/>
  <c r="NU103" i="13" s="1"/>
  <c r="NR103" i="13"/>
  <c r="NM103" i="13"/>
  <c r="NO103" i="13" s="1"/>
  <c r="NJ103" i="13"/>
  <c r="NL103" i="13" s="1"/>
  <c r="NG103" i="13"/>
  <c r="OR102" i="13"/>
  <c r="ON102" i="13"/>
  <c r="OP102" i="13" s="1"/>
  <c r="OK102" i="13"/>
  <c r="OM102" i="13" s="1"/>
  <c r="OH102" i="13"/>
  <c r="OJ102" i="13" s="1"/>
  <c r="OE102" i="13"/>
  <c r="OG102" i="13" s="1"/>
  <c r="OB102" i="13"/>
  <c r="OD102" i="13" s="1"/>
  <c r="NY102" i="13"/>
  <c r="OA102" i="13" s="1"/>
  <c r="NV102" i="13"/>
  <c r="NX102" i="13" s="1"/>
  <c r="NS102" i="13"/>
  <c r="NU102" i="13" s="1"/>
  <c r="NR102" i="13"/>
  <c r="NM102" i="13"/>
  <c r="NO102" i="13" s="1"/>
  <c r="NJ102" i="13"/>
  <c r="NL102" i="13" s="1"/>
  <c r="NG102" i="13"/>
  <c r="OR101" i="13"/>
  <c r="ON101" i="13"/>
  <c r="OP101" i="13" s="1"/>
  <c r="OK101" i="13"/>
  <c r="OM101" i="13" s="1"/>
  <c r="OH101" i="13"/>
  <c r="OJ101" i="13" s="1"/>
  <c r="OE101" i="13"/>
  <c r="OG101" i="13" s="1"/>
  <c r="OB101" i="13"/>
  <c r="OD101" i="13" s="1"/>
  <c r="NY101" i="13"/>
  <c r="OA101" i="13" s="1"/>
  <c r="NV101" i="13"/>
  <c r="NX101" i="13" s="1"/>
  <c r="NS101" i="13"/>
  <c r="NU101" i="13" s="1"/>
  <c r="NR101" i="13"/>
  <c r="NM101" i="13"/>
  <c r="NO101" i="13" s="1"/>
  <c r="NJ101" i="13"/>
  <c r="NL101" i="13" s="1"/>
  <c r="NG101" i="13"/>
  <c r="OR100" i="13"/>
  <c r="ON100" i="13"/>
  <c r="OP100" i="13" s="1"/>
  <c r="OK100" i="13"/>
  <c r="OM100" i="13" s="1"/>
  <c r="OH100" i="13"/>
  <c r="OJ100" i="13" s="1"/>
  <c r="OE100" i="13"/>
  <c r="OG100" i="13" s="1"/>
  <c r="OB100" i="13"/>
  <c r="OD100" i="13" s="1"/>
  <c r="NY100" i="13"/>
  <c r="OA100" i="13" s="1"/>
  <c r="NV100" i="13"/>
  <c r="NX100" i="13" s="1"/>
  <c r="NS100" i="13"/>
  <c r="NU100" i="13" s="1"/>
  <c r="NR100" i="13"/>
  <c r="NM100" i="13"/>
  <c r="NO100" i="13" s="1"/>
  <c r="NJ100" i="13"/>
  <c r="NL100" i="13" s="1"/>
  <c r="NG100" i="13"/>
  <c r="NI100" i="13" s="1"/>
  <c r="OR99" i="13"/>
  <c r="ON99" i="13"/>
  <c r="OP99" i="13" s="1"/>
  <c r="OK99" i="13"/>
  <c r="OM99" i="13" s="1"/>
  <c r="OH99" i="13"/>
  <c r="OJ99" i="13" s="1"/>
  <c r="OE99" i="13"/>
  <c r="OG99" i="13" s="1"/>
  <c r="OB99" i="13"/>
  <c r="OD99" i="13" s="1"/>
  <c r="NY99" i="13"/>
  <c r="OA99" i="13" s="1"/>
  <c r="NV99" i="13"/>
  <c r="NX99" i="13" s="1"/>
  <c r="NS99" i="13"/>
  <c r="NU99" i="13" s="1"/>
  <c r="NR99" i="13"/>
  <c r="NM99" i="13"/>
  <c r="NO99" i="13" s="1"/>
  <c r="NJ99" i="13"/>
  <c r="NL99" i="13" s="1"/>
  <c r="NG99" i="13"/>
  <c r="OR98" i="13"/>
  <c r="ON98" i="13"/>
  <c r="OP98" i="13" s="1"/>
  <c r="OK98" i="13"/>
  <c r="OM98" i="13" s="1"/>
  <c r="OH98" i="13"/>
  <c r="OJ98" i="13" s="1"/>
  <c r="OE98" i="13"/>
  <c r="OG98" i="13" s="1"/>
  <c r="OB98" i="13"/>
  <c r="OD98" i="13" s="1"/>
  <c r="NY98" i="13"/>
  <c r="OA98" i="13" s="1"/>
  <c r="NV98" i="13"/>
  <c r="NX98" i="13" s="1"/>
  <c r="NS98" i="13"/>
  <c r="NU98" i="13" s="1"/>
  <c r="NR98" i="13"/>
  <c r="NM98" i="13"/>
  <c r="NO98" i="13" s="1"/>
  <c r="NJ98" i="13"/>
  <c r="NL98" i="13" s="1"/>
  <c r="NG98" i="13"/>
  <c r="NI98" i="13" s="1"/>
  <c r="OR97" i="13"/>
  <c r="ON97" i="13"/>
  <c r="OP97" i="13" s="1"/>
  <c r="OK97" i="13"/>
  <c r="OM97" i="13" s="1"/>
  <c r="OH97" i="13"/>
  <c r="OJ97" i="13" s="1"/>
  <c r="OE97" i="13"/>
  <c r="OG97" i="13" s="1"/>
  <c r="OB97" i="13"/>
  <c r="OD97" i="13" s="1"/>
  <c r="NY97" i="13"/>
  <c r="OA97" i="13" s="1"/>
  <c r="NV97" i="13"/>
  <c r="NX97" i="13" s="1"/>
  <c r="NS97" i="13"/>
  <c r="NU97" i="13" s="1"/>
  <c r="NR97" i="13"/>
  <c r="NM97" i="13"/>
  <c r="NO97" i="13" s="1"/>
  <c r="NJ97" i="13"/>
  <c r="NL97" i="13" s="1"/>
  <c r="NG97" i="13"/>
  <c r="OR96" i="13"/>
  <c r="ON96" i="13"/>
  <c r="OP96" i="13" s="1"/>
  <c r="OK96" i="13"/>
  <c r="OM96" i="13" s="1"/>
  <c r="OH96" i="13"/>
  <c r="OJ96" i="13" s="1"/>
  <c r="OE96" i="13"/>
  <c r="OG96" i="13" s="1"/>
  <c r="OB96" i="13"/>
  <c r="OD96" i="13" s="1"/>
  <c r="NY96" i="13"/>
  <c r="OA96" i="13" s="1"/>
  <c r="NV96" i="13"/>
  <c r="NX96" i="13" s="1"/>
  <c r="NS96" i="13"/>
  <c r="NU96" i="13" s="1"/>
  <c r="NR96" i="13"/>
  <c r="NM96" i="13"/>
  <c r="NO96" i="13" s="1"/>
  <c r="NJ96" i="13"/>
  <c r="NG96" i="13"/>
  <c r="NI96" i="13" s="1"/>
  <c r="OR95" i="13"/>
  <c r="ON95" i="13"/>
  <c r="OP95" i="13" s="1"/>
  <c r="OK95" i="13"/>
  <c r="OM95" i="13" s="1"/>
  <c r="OH95" i="13"/>
  <c r="OJ95" i="13" s="1"/>
  <c r="OE95" i="13"/>
  <c r="OG95" i="13" s="1"/>
  <c r="OB95" i="13"/>
  <c r="OD95" i="13" s="1"/>
  <c r="NY95" i="13"/>
  <c r="OA95" i="13" s="1"/>
  <c r="NV95" i="13"/>
  <c r="NX95" i="13" s="1"/>
  <c r="NS95" i="13"/>
  <c r="NU95" i="13" s="1"/>
  <c r="NR95" i="13"/>
  <c r="NM95" i="13"/>
  <c r="NO95" i="13" s="1"/>
  <c r="NJ95" i="13"/>
  <c r="NL95" i="13" s="1"/>
  <c r="NG95" i="13"/>
  <c r="OR94" i="13"/>
  <c r="ON94" i="13"/>
  <c r="OP94" i="13" s="1"/>
  <c r="OK94" i="13"/>
  <c r="OM94" i="13" s="1"/>
  <c r="OH94" i="13"/>
  <c r="OJ94" i="13" s="1"/>
  <c r="OE94" i="13"/>
  <c r="OG94" i="13" s="1"/>
  <c r="OB94" i="13"/>
  <c r="OD94" i="13" s="1"/>
  <c r="NY94" i="13"/>
  <c r="OA94" i="13" s="1"/>
  <c r="NV94" i="13"/>
  <c r="NS94" i="13"/>
  <c r="NU94" i="13" s="1"/>
  <c r="NR94" i="13"/>
  <c r="NM94" i="13"/>
  <c r="NO94" i="13" s="1"/>
  <c r="NJ94" i="13"/>
  <c r="NL94" i="13" s="1"/>
  <c r="NG94" i="13"/>
  <c r="NI94" i="13" s="1"/>
  <c r="OR93" i="13"/>
  <c r="ON93" i="13"/>
  <c r="OP93" i="13" s="1"/>
  <c r="OK93" i="13"/>
  <c r="OM93" i="13" s="1"/>
  <c r="OH93" i="13"/>
  <c r="OJ93" i="13" s="1"/>
  <c r="OE93" i="13"/>
  <c r="OG93" i="13" s="1"/>
  <c r="OB93" i="13"/>
  <c r="OD93" i="13" s="1"/>
  <c r="NY93" i="13"/>
  <c r="OA93" i="13" s="1"/>
  <c r="NV93" i="13"/>
  <c r="NX93" i="13" s="1"/>
  <c r="NS93" i="13"/>
  <c r="NU93" i="13" s="1"/>
  <c r="NR93" i="13"/>
  <c r="NM93" i="13"/>
  <c r="NO93" i="13" s="1"/>
  <c r="NJ93" i="13"/>
  <c r="NG93" i="13"/>
  <c r="NI93" i="13" s="1"/>
  <c r="OR92" i="13"/>
  <c r="ON92" i="13"/>
  <c r="OP92" i="13" s="1"/>
  <c r="OK92" i="13"/>
  <c r="OM92" i="13" s="1"/>
  <c r="OH92" i="13"/>
  <c r="OJ92" i="13" s="1"/>
  <c r="OE92" i="13"/>
  <c r="OG92" i="13" s="1"/>
  <c r="OB92" i="13"/>
  <c r="OD92" i="13" s="1"/>
  <c r="NY92" i="13"/>
  <c r="OA92" i="13" s="1"/>
  <c r="NV92" i="13"/>
  <c r="NX92" i="13" s="1"/>
  <c r="NS92" i="13"/>
  <c r="NR92" i="13"/>
  <c r="NM92" i="13"/>
  <c r="NO92" i="13" s="1"/>
  <c r="NJ92" i="13"/>
  <c r="NL92" i="13" s="1"/>
  <c r="NG92" i="13"/>
  <c r="NI92" i="13" s="1"/>
  <c r="OR91" i="13"/>
  <c r="ON91" i="13"/>
  <c r="OP91" i="13" s="1"/>
  <c r="OK91" i="13"/>
  <c r="OM91" i="13" s="1"/>
  <c r="OH91" i="13"/>
  <c r="OJ91" i="13" s="1"/>
  <c r="OE91" i="13"/>
  <c r="OG91" i="13" s="1"/>
  <c r="OB91" i="13"/>
  <c r="OD91" i="13" s="1"/>
  <c r="NY91" i="13"/>
  <c r="OA91" i="13" s="1"/>
  <c r="NV91" i="13"/>
  <c r="NX91" i="13" s="1"/>
  <c r="NS91" i="13"/>
  <c r="NU91" i="13" s="1"/>
  <c r="NR91" i="13"/>
  <c r="NM91" i="13"/>
  <c r="NO91" i="13" s="1"/>
  <c r="NJ91" i="13"/>
  <c r="NL91" i="13" s="1"/>
  <c r="NG91" i="13"/>
  <c r="OR90" i="13"/>
  <c r="ON90" i="13"/>
  <c r="OP90" i="13" s="1"/>
  <c r="OK90" i="13"/>
  <c r="OM90" i="13" s="1"/>
  <c r="OH90" i="13"/>
  <c r="OJ90" i="13" s="1"/>
  <c r="OE90" i="13"/>
  <c r="OG90" i="13" s="1"/>
  <c r="OB90" i="13"/>
  <c r="OD90" i="13" s="1"/>
  <c r="NY90" i="13"/>
  <c r="OA90" i="13" s="1"/>
  <c r="NV90" i="13"/>
  <c r="NX90" i="13" s="1"/>
  <c r="NS90" i="13"/>
  <c r="NU90" i="13" s="1"/>
  <c r="NR90" i="13"/>
  <c r="NM90" i="13"/>
  <c r="NO90" i="13" s="1"/>
  <c r="NJ90" i="13"/>
  <c r="NL90" i="13" s="1"/>
  <c r="NG90" i="13"/>
  <c r="NI90" i="13" s="1"/>
  <c r="OR89" i="13"/>
  <c r="ON89" i="13"/>
  <c r="OP89" i="13" s="1"/>
  <c r="OK89" i="13"/>
  <c r="OM89" i="13" s="1"/>
  <c r="OH89" i="13"/>
  <c r="OJ89" i="13" s="1"/>
  <c r="OE89" i="13"/>
  <c r="OG89" i="13" s="1"/>
  <c r="OB89" i="13"/>
  <c r="OD89" i="13" s="1"/>
  <c r="NY89" i="13"/>
  <c r="OA89" i="13" s="1"/>
  <c r="NV89" i="13"/>
  <c r="NX89" i="13" s="1"/>
  <c r="NS89" i="13"/>
  <c r="NU89" i="13" s="1"/>
  <c r="NR89" i="13"/>
  <c r="NM89" i="13"/>
  <c r="NO89" i="13" s="1"/>
  <c r="NJ89" i="13"/>
  <c r="NL89" i="13" s="1"/>
  <c r="NG89" i="13"/>
  <c r="NI89" i="13" s="1"/>
  <c r="OR88" i="13"/>
  <c r="ON88" i="13"/>
  <c r="OP88" i="13" s="1"/>
  <c r="OK88" i="13"/>
  <c r="OM88" i="13" s="1"/>
  <c r="OH88" i="13"/>
  <c r="OJ88" i="13" s="1"/>
  <c r="OE88" i="13"/>
  <c r="OG88" i="13" s="1"/>
  <c r="OB88" i="13"/>
  <c r="OD88" i="13" s="1"/>
  <c r="NY88" i="13"/>
  <c r="OA88" i="13" s="1"/>
  <c r="NV88" i="13"/>
  <c r="NX88" i="13" s="1"/>
  <c r="NS88" i="13"/>
  <c r="NU88" i="13" s="1"/>
  <c r="NR88" i="13"/>
  <c r="NM88" i="13"/>
  <c r="NO88" i="13" s="1"/>
  <c r="NJ88" i="13"/>
  <c r="NL88" i="13" s="1"/>
  <c r="NG88" i="13"/>
  <c r="OR87" i="13"/>
  <c r="ON87" i="13"/>
  <c r="OP87" i="13" s="1"/>
  <c r="OK87" i="13"/>
  <c r="OM87" i="13" s="1"/>
  <c r="OH87" i="13"/>
  <c r="OJ87" i="13" s="1"/>
  <c r="OE87" i="13"/>
  <c r="OG87" i="13" s="1"/>
  <c r="OB87" i="13"/>
  <c r="OD87" i="13" s="1"/>
  <c r="NY87" i="13"/>
  <c r="OA87" i="13" s="1"/>
  <c r="NV87" i="13"/>
  <c r="NX87" i="13" s="1"/>
  <c r="NS87" i="13"/>
  <c r="NU87" i="13" s="1"/>
  <c r="NR87" i="13"/>
  <c r="NM87" i="13"/>
  <c r="NO87" i="13" s="1"/>
  <c r="NJ87" i="13"/>
  <c r="NL87" i="13" s="1"/>
  <c r="NG87" i="13"/>
  <c r="NI87" i="13" s="1"/>
  <c r="OR86" i="13"/>
  <c r="ON86" i="13"/>
  <c r="OP86" i="13" s="1"/>
  <c r="OK86" i="13"/>
  <c r="OM86" i="13" s="1"/>
  <c r="OH86" i="13"/>
  <c r="OJ86" i="13" s="1"/>
  <c r="OE86" i="13"/>
  <c r="OG86" i="13" s="1"/>
  <c r="OB86" i="13"/>
  <c r="OD86" i="13" s="1"/>
  <c r="NY86" i="13"/>
  <c r="OA86" i="13" s="1"/>
  <c r="NV86" i="13"/>
  <c r="NX86" i="13" s="1"/>
  <c r="NS86" i="13"/>
  <c r="NU86" i="13" s="1"/>
  <c r="NR86" i="13"/>
  <c r="NM86" i="13"/>
  <c r="NO86" i="13" s="1"/>
  <c r="NJ86" i="13"/>
  <c r="NL86" i="13" s="1"/>
  <c r="NG86" i="13"/>
  <c r="OR85" i="13"/>
  <c r="ON85" i="13"/>
  <c r="OP85" i="13" s="1"/>
  <c r="OK85" i="13"/>
  <c r="OM85" i="13" s="1"/>
  <c r="OH85" i="13"/>
  <c r="OJ85" i="13" s="1"/>
  <c r="OE85" i="13"/>
  <c r="OG85" i="13" s="1"/>
  <c r="OB85" i="13"/>
  <c r="OD85" i="13" s="1"/>
  <c r="NY85" i="13"/>
  <c r="OA85" i="13" s="1"/>
  <c r="NV85" i="13"/>
  <c r="NX85" i="13" s="1"/>
  <c r="NS85" i="13"/>
  <c r="NU85" i="13" s="1"/>
  <c r="NR85" i="13"/>
  <c r="NM85" i="13"/>
  <c r="NO85" i="13" s="1"/>
  <c r="NJ85" i="13"/>
  <c r="NL85" i="13" s="1"/>
  <c r="NG85" i="13"/>
  <c r="NI85" i="13" s="1"/>
  <c r="OR84" i="13"/>
  <c r="ON84" i="13"/>
  <c r="OP84" i="13" s="1"/>
  <c r="OK84" i="13"/>
  <c r="OM84" i="13" s="1"/>
  <c r="OH84" i="13"/>
  <c r="OJ84" i="13" s="1"/>
  <c r="OE84" i="13"/>
  <c r="OG84" i="13" s="1"/>
  <c r="OB84" i="13"/>
  <c r="OD84" i="13" s="1"/>
  <c r="NY84" i="13"/>
  <c r="OA84" i="13" s="1"/>
  <c r="NV84" i="13"/>
  <c r="NX84" i="13" s="1"/>
  <c r="NS84" i="13"/>
  <c r="NU84" i="13" s="1"/>
  <c r="NR84" i="13"/>
  <c r="NM84" i="13"/>
  <c r="NO84" i="13" s="1"/>
  <c r="NJ84" i="13"/>
  <c r="NL84" i="13" s="1"/>
  <c r="NG84" i="13"/>
  <c r="OR83" i="13"/>
  <c r="ON83" i="13"/>
  <c r="OP83" i="13" s="1"/>
  <c r="OK83" i="13"/>
  <c r="OM83" i="13" s="1"/>
  <c r="OH83" i="13"/>
  <c r="OJ83" i="13" s="1"/>
  <c r="OE83" i="13"/>
  <c r="OG83" i="13" s="1"/>
  <c r="OB83" i="13"/>
  <c r="OD83" i="13" s="1"/>
  <c r="NY83" i="13"/>
  <c r="OA83" i="13" s="1"/>
  <c r="NV83" i="13"/>
  <c r="NX83" i="13" s="1"/>
  <c r="NS83" i="13"/>
  <c r="NU83" i="13" s="1"/>
  <c r="NR83" i="13"/>
  <c r="NM83" i="13"/>
  <c r="NO83" i="13" s="1"/>
  <c r="NJ83" i="13"/>
  <c r="NL83" i="13" s="1"/>
  <c r="NG83" i="13"/>
  <c r="NI83" i="13" s="1"/>
  <c r="OR82" i="13"/>
  <c r="ON82" i="13"/>
  <c r="OP82" i="13" s="1"/>
  <c r="OK82" i="13"/>
  <c r="OM82" i="13" s="1"/>
  <c r="OH82" i="13"/>
  <c r="OJ82" i="13" s="1"/>
  <c r="OE82" i="13"/>
  <c r="OG82" i="13" s="1"/>
  <c r="OB82" i="13"/>
  <c r="OD82" i="13" s="1"/>
  <c r="NY82" i="13"/>
  <c r="OA82" i="13" s="1"/>
  <c r="NV82" i="13"/>
  <c r="NX82" i="13" s="1"/>
  <c r="NS82" i="13"/>
  <c r="NU82" i="13" s="1"/>
  <c r="NR82" i="13"/>
  <c r="NM82" i="13"/>
  <c r="NO82" i="13" s="1"/>
  <c r="NJ82" i="13"/>
  <c r="NL82" i="13" s="1"/>
  <c r="NG82" i="13"/>
  <c r="NI82" i="13" s="1"/>
  <c r="OR81" i="13"/>
  <c r="ON81" i="13"/>
  <c r="OP81" i="13" s="1"/>
  <c r="OK81" i="13"/>
  <c r="OM81" i="13" s="1"/>
  <c r="OH81" i="13"/>
  <c r="OJ81" i="13" s="1"/>
  <c r="OE81" i="13"/>
  <c r="OG81" i="13" s="1"/>
  <c r="OB81" i="13"/>
  <c r="OD81" i="13" s="1"/>
  <c r="NY81" i="13"/>
  <c r="OA81" i="13" s="1"/>
  <c r="NV81" i="13"/>
  <c r="NX81" i="13" s="1"/>
  <c r="NS81" i="13"/>
  <c r="NU81" i="13" s="1"/>
  <c r="NR81" i="13"/>
  <c r="NM81" i="13"/>
  <c r="NO81" i="13" s="1"/>
  <c r="NJ81" i="13"/>
  <c r="NL81" i="13" s="1"/>
  <c r="NG81" i="13"/>
  <c r="NI81" i="13" s="1"/>
  <c r="OR80" i="13"/>
  <c r="ON80" i="13"/>
  <c r="OP80" i="13" s="1"/>
  <c r="OK80" i="13"/>
  <c r="OM80" i="13" s="1"/>
  <c r="OH80" i="13"/>
  <c r="OJ80" i="13" s="1"/>
  <c r="OE80" i="13"/>
  <c r="OG80" i="13" s="1"/>
  <c r="OB80" i="13"/>
  <c r="OD80" i="13" s="1"/>
  <c r="NY80" i="13"/>
  <c r="OA80" i="13" s="1"/>
  <c r="NV80" i="13"/>
  <c r="NX80" i="13" s="1"/>
  <c r="NS80" i="13"/>
  <c r="NU80" i="13" s="1"/>
  <c r="NR80" i="13"/>
  <c r="NM80" i="13"/>
  <c r="NO80" i="13" s="1"/>
  <c r="NJ80" i="13"/>
  <c r="NG80" i="13"/>
  <c r="NI80" i="13" s="1"/>
  <c r="OR79" i="13"/>
  <c r="ON79" i="13"/>
  <c r="OK79" i="13"/>
  <c r="OM79" i="13" s="1"/>
  <c r="OH79" i="13"/>
  <c r="OJ79" i="13" s="1"/>
  <c r="OE79" i="13"/>
  <c r="OG79" i="13" s="1"/>
  <c r="OB79" i="13"/>
  <c r="OD79" i="13" s="1"/>
  <c r="NY79" i="13"/>
  <c r="OA79" i="13" s="1"/>
  <c r="NV79" i="13"/>
  <c r="NX79" i="13" s="1"/>
  <c r="NS79" i="13"/>
  <c r="NU79" i="13" s="1"/>
  <c r="NR79" i="13"/>
  <c r="NM79" i="13"/>
  <c r="NO79" i="13" s="1"/>
  <c r="NJ79" i="13"/>
  <c r="NL79" i="13" s="1"/>
  <c r="NG79" i="13"/>
  <c r="NI79" i="13" s="1"/>
  <c r="OR78" i="13"/>
  <c r="ON78" i="13"/>
  <c r="OP78" i="13" s="1"/>
  <c r="OK78" i="13"/>
  <c r="OM78" i="13" s="1"/>
  <c r="OH78" i="13"/>
  <c r="OJ78" i="13" s="1"/>
  <c r="OE78" i="13"/>
  <c r="OG78" i="13" s="1"/>
  <c r="OB78" i="13"/>
  <c r="OD78" i="13" s="1"/>
  <c r="NY78" i="13"/>
  <c r="OA78" i="13" s="1"/>
  <c r="NV78" i="13"/>
  <c r="NX78" i="13" s="1"/>
  <c r="NS78" i="13"/>
  <c r="NU78" i="13" s="1"/>
  <c r="NR78" i="13"/>
  <c r="NM78" i="13"/>
  <c r="NO78" i="13" s="1"/>
  <c r="NJ78" i="13"/>
  <c r="NL78" i="13" s="1"/>
  <c r="NG78" i="13"/>
  <c r="NI78" i="13" s="1"/>
  <c r="OR77" i="13"/>
  <c r="ON77" i="13"/>
  <c r="OP77" i="13" s="1"/>
  <c r="OK77" i="13"/>
  <c r="OM77" i="13" s="1"/>
  <c r="OH77" i="13"/>
  <c r="OJ77" i="13" s="1"/>
  <c r="OE77" i="13"/>
  <c r="OG77" i="13" s="1"/>
  <c r="OB77" i="13"/>
  <c r="OD77" i="13" s="1"/>
  <c r="NY77" i="13"/>
  <c r="OA77" i="13" s="1"/>
  <c r="NV77" i="13"/>
  <c r="NX77" i="13" s="1"/>
  <c r="NS77" i="13"/>
  <c r="NU77" i="13" s="1"/>
  <c r="NR77" i="13"/>
  <c r="NM77" i="13"/>
  <c r="NO77" i="13" s="1"/>
  <c r="NJ77" i="13"/>
  <c r="NG77" i="13"/>
  <c r="NI77" i="13" s="1"/>
  <c r="OR76" i="13"/>
  <c r="ON76" i="13"/>
  <c r="OP76" i="13" s="1"/>
  <c r="OK76" i="13"/>
  <c r="OM76" i="13" s="1"/>
  <c r="OH76" i="13"/>
  <c r="OJ76" i="13" s="1"/>
  <c r="OE76" i="13"/>
  <c r="OG76" i="13" s="1"/>
  <c r="OB76" i="13"/>
  <c r="OD76" i="13" s="1"/>
  <c r="NY76" i="13"/>
  <c r="OA76" i="13" s="1"/>
  <c r="NV76" i="13"/>
  <c r="NX76" i="13" s="1"/>
  <c r="NS76" i="13"/>
  <c r="NU76" i="13" s="1"/>
  <c r="NR76" i="13"/>
  <c r="NM76" i="13"/>
  <c r="NO76" i="13" s="1"/>
  <c r="NJ76" i="13"/>
  <c r="NL76" i="13" s="1"/>
  <c r="NG76" i="13"/>
  <c r="NI76" i="13" s="1"/>
  <c r="OR74" i="13"/>
  <c r="ON74" i="13"/>
  <c r="OP74" i="13" s="1"/>
  <c r="OK74" i="13"/>
  <c r="OM74" i="13" s="1"/>
  <c r="OH74" i="13"/>
  <c r="OJ74" i="13" s="1"/>
  <c r="OE74" i="13"/>
  <c r="OG74" i="13" s="1"/>
  <c r="OB74" i="13"/>
  <c r="OD74" i="13" s="1"/>
  <c r="NY74" i="13"/>
  <c r="OA74" i="13" s="1"/>
  <c r="NV74" i="13"/>
  <c r="NX74" i="13" s="1"/>
  <c r="NS74" i="13"/>
  <c r="NU74" i="13" s="1"/>
  <c r="NR74" i="13"/>
  <c r="NM74" i="13"/>
  <c r="NO74" i="13" s="1"/>
  <c r="NJ74" i="13"/>
  <c r="NG74" i="13"/>
  <c r="NI74" i="13" s="1"/>
  <c r="OR73" i="13"/>
  <c r="ON73" i="13"/>
  <c r="OP73" i="13" s="1"/>
  <c r="OK73" i="13"/>
  <c r="OM73" i="13" s="1"/>
  <c r="OH73" i="13"/>
  <c r="OJ73" i="13" s="1"/>
  <c r="OE73" i="13"/>
  <c r="OG73" i="13" s="1"/>
  <c r="OB73" i="13"/>
  <c r="OD73" i="13" s="1"/>
  <c r="NY73" i="13"/>
  <c r="OA73" i="13" s="1"/>
  <c r="NV73" i="13"/>
  <c r="NX73" i="13" s="1"/>
  <c r="NS73" i="13"/>
  <c r="NU73" i="13" s="1"/>
  <c r="NR73" i="13"/>
  <c r="NM73" i="13"/>
  <c r="NJ73" i="13"/>
  <c r="NL73" i="13" s="1"/>
  <c r="NG73" i="13"/>
  <c r="NI73" i="13" s="1"/>
  <c r="OR72" i="13"/>
  <c r="ON72" i="13"/>
  <c r="OP72" i="13" s="1"/>
  <c r="OK72" i="13"/>
  <c r="OM72" i="13" s="1"/>
  <c r="OH72" i="13"/>
  <c r="OJ72" i="13" s="1"/>
  <c r="OE72" i="13"/>
  <c r="OG72" i="13" s="1"/>
  <c r="OB72" i="13"/>
  <c r="OD72" i="13" s="1"/>
  <c r="NY72" i="13"/>
  <c r="OA72" i="13" s="1"/>
  <c r="NV72" i="13"/>
  <c r="NX72" i="13" s="1"/>
  <c r="NS72" i="13"/>
  <c r="NU72" i="13" s="1"/>
  <c r="NR72" i="13"/>
  <c r="NM72" i="13"/>
  <c r="NO72" i="13" s="1"/>
  <c r="NJ72" i="13"/>
  <c r="NL72" i="13" s="1"/>
  <c r="NG72" i="13"/>
  <c r="OR71" i="13"/>
  <c r="ON71" i="13"/>
  <c r="OP71" i="13" s="1"/>
  <c r="OK71" i="13"/>
  <c r="OM71" i="13" s="1"/>
  <c r="OH71" i="13"/>
  <c r="OJ71" i="13" s="1"/>
  <c r="OE71" i="13"/>
  <c r="OG71" i="13" s="1"/>
  <c r="OB71" i="13"/>
  <c r="OD71" i="13" s="1"/>
  <c r="NY71" i="13"/>
  <c r="OA71" i="13" s="1"/>
  <c r="NV71" i="13"/>
  <c r="NX71" i="13" s="1"/>
  <c r="NS71" i="13"/>
  <c r="NU71" i="13" s="1"/>
  <c r="NR71" i="13"/>
  <c r="NM71" i="13"/>
  <c r="NO71" i="13" s="1"/>
  <c r="NJ71" i="13"/>
  <c r="NL71" i="13" s="1"/>
  <c r="NG71" i="13"/>
  <c r="NI71" i="13" s="1"/>
  <c r="OR70" i="13"/>
  <c r="ON70" i="13"/>
  <c r="OP70" i="13" s="1"/>
  <c r="OK70" i="13"/>
  <c r="OM70" i="13" s="1"/>
  <c r="OH70" i="13"/>
  <c r="OJ70" i="13" s="1"/>
  <c r="OE70" i="13"/>
  <c r="OG70" i="13" s="1"/>
  <c r="OB70" i="13"/>
  <c r="OD70" i="13" s="1"/>
  <c r="NY70" i="13"/>
  <c r="OA70" i="13" s="1"/>
  <c r="NV70" i="13"/>
  <c r="NX70" i="13" s="1"/>
  <c r="NS70" i="13"/>
  <c r="NU70" i="13" s="1"/>
  <c r="NR70" i="13"/>
  <c r="NM70" i="13"/>
  <c r="NO70" i="13" s="1"/>
  <c r="NJ70" i="13"/>
  <c r="NL70" i="13" s="1"/>
  <c r="NG70" i="13"/>
  <c r="NI70" i="13" s="1"/>
  <c r="OR69" i="13"/>
  <c r="ON69" i="13"/>
  <c r="OP69" i="13" s="1"/>
  <c r="OK69" i="13"/>
  <c r="OM69" i="13" s="1"/>
  <c r="OH69" i="13"/>
  <c r="OJ69" i="13" s="1"/>
  <c r="OE69" i="13"/>
  <c r="OG69" i="13" s="1"/>
  <c r="OB69" i="13"/>
  <c r="OD69" i="13" s="1"/>
  <c r="NY69" i="13"/>
  <c r="OA69" i="13" s="1"/>
  <c r="NV69" i="13"/>
  <c r="NS69" i="13"/>
  <c r="NU69" i="13" s="1"/>
  <c r="NR69" i="13"/>
  <c r="NM69" i="13"/>
  <c r="NO69" i="13" s="1"/>
  <c r="NJ69" i="13"/>
  <c r="NL69" i="13" s="1"/>
  <c r="NG69" i="13"/>
  <c r="NI69" i="13" s="1"/>
  <c r="OR68" i="13"/>
  <c r="ON68" i="13"/>
  <c r="OP68" i="13" s="1"/>
  <c r="OK68" i="13"/>
  <c r="OM68" i="13" s="1"/>
  <c r="OH68" i="13"/>
  <c r="OJ68" i="13" s="1"/>
  <c r="OE68" i="13"/>
  <c r="OG68" i="13" s="1"/>
  <c r="OB68" i="13"/>
  <c r="OD68" i="13" s="1"/>
  <c r="NY68" i="13"/>
  <c r="OA68" i="13" s="1"/>
  <c r="NV68" i="13"/>
  <c r="NX68" i="13" s="1"/>
  <c r="NS68" i="13"/>
  <c r="NU68" i="13" s="1"/>
  <c r="NR68" i="13"/>
  <c r="NM68" i="13"/>
  <c r="NO68" i="13" s="1"/>
  <c r="NJ68" i="13"/>
  <c r="NL68" i="13" s="1"/>
  <c r="NG68" i="13"/>
  <c r="OR67" i="13"/>
  <c r="ON67" i="13"/>
  <c r="OP67" i="13" s="1"/>
  <c r="OK67" i="13"/>
  <c r="OM67" i="13" s="1"/>
  <c r="OH67" i="13"/>
  <c r="OJ67" i="13" s="1"/>
  <c r="OE67" i="13"/>
  <c r="OG67" i="13" s="1"/>
  <c r="OB67" i="13"/>
  <c r="OD67" i="13" s="1"/>
  <c r="NY67" i="13"/>
  <c r="OA67" i="13" s="1"/>
  <c r="NV67" i="13"/>
  <c r="NX67" i="13" s="1"/>
  <c r="NS67" i="13"/>
  <c r="NU67" i="13" s="1"/>
  <c r="NR67" i="13"/>
  <c r="NM67" i="13"/>
  <c r="NO67" i="13" s="1"/>
  <c r="NJ67" i="13"/>
  <c r="NL67" i="13" s="1"/>
  <c r="NG67" i="13"/>
  <c r="NI67" i="13" s="1"/>
  <c r="OR66" i="13"/>
  <c r="ON66" i="13"/>
  <c r="OP66" i="13" s="1"/>
  <c r="OK66" i="13"/>
  <c r="OM66" i="13" s="1"/>
  <c r="OH66" i="13"/>
  <c r="OJ66" i="13" s="1"/>
  <c r="OE66" i="13"/>
  <c r="OG66" i="13" s="1"/>
  <c r="OB66" i="13"/>
  <c r="OD66" i="13" s="1"/>
  <c r="NY66" i="13"/>
  <c r="OA66" i="13" s="1"/>
  <c r="NV66" i="13"/>
  <c r="NX66" i="13" s="1"/>
  <c r="NS66" i="13"/>
  <c r="NU66" i="13" s="1"/>
  <c r="NR66" i="13"/>
  <c r="NM66" i="13"/>
  <c r="NO66" i="13" s="1"/>
  <c r="NJ66" i="13"/>
  <c r="NG66" i="13"/>
  <c r="NI66" i="13" s="1"/>
  <c r="OR65" i="13"/>
  <c r="ON65" i="13"/>
  <c r="OP65" i="13" s="1"/>
  <c r="OK65" i="13"/>
  <c r="OM65" i="13" s="1"/>
  <c r="OH65" i="13"/>
  <c r="OJ65" i="13" s="1"/>
  <c r="OE65" i="13"/>
  <c r="OG65" i="13" s="1"/>
  <c r="OB65" i="13"/>
  <c r="OD65" i="13" s="1"/>
  <c r="NY65" i="13"/>
  <c r="OA65" i="13" s="1"/>
  <c r="NV65" i="13"/>
  <c r="NX65" i="13" s="1"/>
  <c r="NS65" i="13"/>
  <c r="NU65" i="13" s="1"/>
  <c r="NR65" i="13"/>
  <c r="NM65" i="13"/>
  <c r="NO65" i="13" s="1"/>
  <c r="NJ65" i="13"/>
  <c r="NL65" i="13" s="1"/>
  <c r="NG65" i="13"/>
  <c r="OR64" i="13"/>
  <c r="ON64" i="13"/>
  <c r="OP64" i="13" s="1"/>
  <c r="OK64" i="13"/>
  <c r="OM64" i="13" s="1"/>
  <c r="OH64" i="13"/>
  <c r="OJ64" i="13" s="1"/>
  <c r="OE64" i="13"/>
  <c r="OG64" i="13" s="1"/>
  <c r="OB64" i="13"/>
  <c r="OD64" i="13" s="1"/>
  <c r="NY64" i="13"/>
  <c r="OA64" i="13" s="1"/>
  <c r="NV64" i="13"/>
  <c r="NX64" i="13" s="1"/>
  <c r="NS64" i="13"/>
  <c r="NU64" i="13" s="1"/>
  <c r="NR64" i="13"/>
  <c r="NM64" i="13"/>
  <c r="NO64" i="13" s="1"/>
  <c r="NJ64" i="13"/>
  <c r="NL64" i="13" s="1"/>
  <c r="NG64" i="13"/>
  <c r="OR63" i="13"/>
  <c r="ON63" i="13"/>
  <c r="OP63" i="13" s="1"/>
  <c r="OK63" i="13"/>
  <c r="OM63" i="13" s="1"/>
  <c r="OH63" i="13"/>
  <c r="OJ63" i="13" s="1"/>
  <c r="OE63" i="13"/>
  <c r="OG63" i="13" s="1"/>
  <c r="OB63" i="13"/>
  <c r="OD63" i="13" s="1"/>
  <c r="NY63" i="13"/>
  <c r="OA63" i="13" s="1"/>
  <c r="NV63" i="13"/>
  <c r="NX63" i="13" s="1"/>
  <c r="NS63" i="13"/>
  <c r="NU63" i="13" s="1"/>
  <c r="NR63" i="13"/>
  <c r="NM63" i="13"/>
  <c r="NO63" i="13" s="1"/>
  <c r="NJ63" i="13"/>
  <c r="NL63" i="13" s="1"/>
  <c r="NG63" i="13"/>
  <c r="NI63" i="13" s="1"/>
  <c r="OR62" i="13"/>
  <c r="ON62" i="13"/>
  <c r="OP62" i="13" s="1"/>
  <c r="OK62" i="13"/>
  <c r="OM62" i="13" s="1"/>
  <c r="OH62" i="13"/>
  <c r="OJ62" i="13" s="1"/>
  <c r="OE62" i="13"/>
  <c r="OG62" i="13" s="1"/>
  <c r="OB62" i="13"/>
  <c r="OD62" i="13" s="1"/>
  <c r="NY62" i="13"/>
  <c r="OA62" i="13" s="1"/>
  <c r="NV62" i="13"/>
  <c r="NX62" i="13" s="1"/>
  <c r="NS62" i="13"/>
  <c r="NU62" i="13" s="1"/>
  <c r="NR62" i="13"/>
  <c r="NM62" i="13"/>
  <c r="NO62" i="13" s="1"/>
  <c r="NJ62" i="13"/>
  <c r="NL62" i="13" s="1"/>
  <c r="NG62" i="13"/>
  <c r="NI62" i="13" s="1"/>
  <c r="OR61" i="13"/>
  <c r="ON61" i="13"/>
  <c r="OP61" i="13" s="1"/>
  <c r="OK61" i="13"/>
  <c r="OM61" i="13" s="1"/>
  <c r="OH61" i="13"/>
  <c r="OJ61" i="13" s="1"/>
  <c r="OE61" i="13"/>
  <c r="OG61" i="13" s="1"/>
  <c r="OB61" i="13"/>
  <c r="OD61" i="13" s="1"/>
  <c r="NY61" i="13"/>
  <c r="OA61" i="13" s="1"/>
  <c r="NV61" i="13"/>
  <c r="NX61" i="13" s="1"/>
  <c r="NS61" i="13"/>
  <c r="NU61" i="13" s="1"/>
  <c r="NR61" i="13"/>
  <c r="NM61" i="13"/>
  <c r="NO61" i="13" s="1"/>
  <c r="NJ61" i="13"/>
  <c r="NL61" i="13" s="1"/>
  <c r="NG61" i="13"/>
  <c r="OR60" i="13"/>
  <c r="ON60" i="13"/>
  <c r="OP60" i="13" s="1"/>
  <c r="OK60" i="13"/>
  <c r="OM60" i="13" s="1"/>
  <c r="OH60" i="13"/>
  <c r="OJ60" i="13" s="1"/>
  <c r="OE60" i="13"/>
  <c r="OG60" i="13" s="1"/>
  <c r="OB60" i="13"/>
  <c r="OD60" i="13" s="1"/>
  <c r="NY60" i="13"/>
  <c r="OA60" i="13" s="1"/>
  <c r="NV60" i="13"/>
  <c r="NX60" i="13" s="1"/>
  <c r="NS60" i="13"/>
  <c r="NU60" i="13" s="1"/>
  <c r="NR60" i="13"/>
  <c r="NM60" i="13"/>
  <c r="NO60" i="13" s="1"/>
  <c r="NJ60" i="13"/>
  <c r="NG60" i="13"/>
  <c r="NI60" i="13" s="1"/>
  <c r="OR59" i="13"/>
  <c r="ON59" i="13"/>
  <c r="OP59" i="13" s="1"/>
  <c r="OK59" i="13"/>
  <c r="OM59" i="13" s="1"/>
  <c r="OH59" i="13"/>
  <c r="OJ59" i="13" s="1"/>
  <c r="OE59" i="13"/>
  <c r="OG59" i="13" s="1"/>
  <c r="OB59" i="13"/>
  <c r="OD59" i="13" s="1"/>
  <c r="NY59" i="13"/>
  <c r="OA59" i="13" s="1"/>
  <c r="NV59" i="13"/>
  <c r="NX59" i="13" s="1"/>
  <c r="NS59" i="13"/>
  <c r="NU59" i="13" s="1"/>
  <c r="NR59" i="13"/>
  <c r="NM59" i="13"/>
  <c r="NO59" i="13" s="1"/>
  <c r="NJ59" i="13"/>
  <c r="NL59" i="13" s="1"/>
  <c r="NG59" i="13"/>
  <c r="OR58" i="13"/>
  <c r="ON58" i="13"/>
  <c r="OP58" i="13" s="1"/>
  <c r="OK58" i="13"/>
  <c r="OM58" i="13" s="1"/>
  <c r="OH58" i="13"/>
  <c r="OJ58" i="13" s="1"/>
  <c r="OE58" i="13"/>
  <c r="OG58" i="13" s="1"/>
  <c r="OB58" i="13"/>
  <c r="OD58" i="13" s="1"/>
  <c r="NY58" i="13"/>
  <c r="OA58" i="13" s="1"/>
  <c r="NV58" i="13"/>
  <c r="NX58" i="13" s="1"/>
  <c r="NS58" i="13"/>
  <c r="NU58" i="13" s="1"/>
  <c r="NR58" i="13"/>
  <c r="NM58" i="13"/>
  <c r="NO58" i="13" s="1"/>
  <c r="NJ58" i="13"/>
  <c r="NL58" i="13" s="1"/>
  <c r="NG58" i="13"/>
  <c r="OR57" i="13"/>
  <c r="ON57" i="13"/>
  <c r="OP57" i="13" s="1"/>
  <c r="OK57" i="13"/>
  <c r="OM57" i="13" s="1"/>
  <c r="OH57" i="13"/>
  <c r="OJ57" i="13" s="1"/>
  <c r="OE57" i="13"/>
  <c r="OG57" i="13" s="1"/>
  <c r="OB57" i="13"/>
  <c r="OD57" i="13" s="1"/>
  <c r="NY57" i="13"/>
  <c r="OA57" i="13" s="1"/>
  <c r="NV57" i="13"/>
  <c r="NX57" i="13" s="1"/>
  <c r="NS57" i="13"/>
  <c r="NU57" i="13" s="1"/>
  <c r="NR57" i="13"/>
  <c r="NM57" i="13"/>
  <c r="NO57" i="13" s="1"/>
  <c r="NJ57" i="13"/>
  <c r="NL57" i="13" s="1"/>
  <c r="NG57" i="13"/>
  <c r="NI57" i="13" s="1"/>
  <c r="OR56" i="13"/>
  <c r="ON56" i="13"/>
  <c r="OP56" i="13" s="1"/>
  <c r="OK56" i="13"/>
  <c r="OM56" i="13" s="1"/>
  <c r="OH56" i="13"/>
  <c r="OJ56" i="13" s="1"/>
  <c r="OE56" i="13"/>
  <c r="OG56" i="13" s="1"/>
  <c r="OB56" i="13"/>
  <c r="OD56" i="13" s="1"/>
  <c r="NY56" i="13"/>
  <c r="OA56" i="13" s="1"/>
  <c r="NV56" i="13"/>
  <c r="NX56" i="13" s="1"/>
  <c r="NS56" i="13"/>
  <c r="NU56" i="13" s="1"/>
  <c r="NR56" i="13"/>
  <c r="NM56" i="13"/>
  <c r="NO56" i="13" s="1"/>
  <c r="NJ56" i="13"/>
  <c r="NL56" i="13" s="1"/>
  <c r="NG56" i="13"/>
  <c r="NI56" i="13" s="1"/>
  <c r="OR55" i="13"/>
  <c r="ON55" i="13"/>
  <c r="OP55" i="13" s="1"/>
  <c r="OK55" i="13"/>
  <c r="OM55" i="13" s="1"/>
  <c r="OH55" i="13"/>
  <c r="OJ55" i="13" s="1"/>
  <c r="OE55" i="13"/>
  <c r="OG55" i="13" s="1"/>
  <c r="OB55" i="13"/>
  <c r="OD55" i="13" s="1"/>
  <c r="NY55" i="13"/>
  <c r="OA55" i="13" s="1"/>
  <c r="NV55" i="13"/>
  <c r="NX55" i="13" s="1"/>
  <c r="NS55" i="13"/>
  <c r="NU55" i="13" s="1"/>
  <c r="NR55" i="13"/>
  <c r="NM55" i="13"/>
  <c r="NO55" i="13" s="1"/>
  <c r="NJ55" i="13"/>
  <c r="NL55" i="13" s="1"/>
  <c r="NG55" i="13"/>
  <c r="OR54" i="13"/>
  <c r="ON54" i="13"/>
  <c r="OP54" i="13" s="1"/>
  <c r="OK54" i="13"/>
  <c r="OM54" i="13" s="1"/>
  <c r="OH54" i="13"/>
  <c r="OJ54" i="13" s="1"/>
  <c r="OE54" i="13"/>
  <c r="OG54" i="13" s="1"/>
  <c r="OB54" i="13"/>
  <c r="OD54" i="13" s="1"/>
  <c r="NY54" i="13"/>
  <c r="OA54" i="13" s="1"/>
  <c r="NV54" i="13"/>
  <c r="NX54" i="13" s="1"/>
  <c r="NS54" i="13"/>
  <c r="NU54" i="13" s="1"/>
  <c r="NR54" i="13"/>
  <c r="NM54" i="13"/>
  <c r="NO54" i="13" s="1"/>
  <c r="NJ54" i="13"/>
  <c r="NL54" i="13" s="1"/>
  <c r="NG54" i="13"/>
  <c r="OR53" i="13"/>
  <c r="ON53" i="13"/>
  <c r="OP53" i="13" s="1"/>
  <c r="OK53" i="13"/>
  <c r="OM53" i="13" s="1"/>
  <c r="OH53" i="13"/>
  <c r="OJ53" i="13" s="1"/>
  <c r="OE53" i="13"/>
  <c r="OG53" i="13" s="1"/>
  <c r="OB53" i="13"/>
  <c r="OD53" i="13" s="1"/>
  <c r="NY53" i="13"/>
  <c r="OA53" i="13" s="1"/>
  <c r="NV53" i="13"/>
  <c r="NX53" i="13" s="1"/>
  <c r="NS53" i="13"/>
  <c r="NU53" i="13" s="1"/>
  <c r="NR53" i="13"/>
  <c r="NM53" i="13"/>
  <c r="NO53" i="13" s="1"/>
  <c r="NJ53" i="13"/>
  <c r="NL53" i="13" s="1"/>
  <c r="NG53" i="13"/>
  <c r="OR52" i="13"/>
  <c r="ON52" i="13"/>
  <c r="OP52" i="13" s="1"/>
  <c r="OK52" i="13"/>
  <c r="OM52" i="13" s="1"/>
  <c r="OH52" i="13"/>
  <c r="OJ52" i="13" s="1"/>
  <c r="OE52" i="13"/>
  <c r="OG52" i="13" s="1"/>
  <c r="OB52" i="13"/>
  <c r="OD52" i="13" s="1"/>
  <c r="NY52" i="13"/>
  <c r="OA52" i="13" s="1"/>
  <c r="NV52" i="13"/>
  <c r="NX52" i="13" s="1"/>
  <c r="NS52" i="13"/>
  <c r="NU52" i="13" s="1"/>
  <c r="NR52" i="13"/>
  <c r="NM52" i="13"/>
  <c r="NO52" i="13" s="1"/>
  <c r="NJ52" i="13"/>
  <c r="NL52" i="13" s="1"/>
  <c r="NG52" i="13"/>
  <c r="OR51" i="13"/>
  <c r="ON51" i="13"/>
  <c r="OP51" i="13" s="1"/>
  <c r="OK51" i="13"/>
  <c r="OM51" i="13" s="1"/>
  <c r="OH51" i="13"/>
  <c r="OJ51" i="13" s="1"/>
  <c r="OE51" i="13"/>
  <c r="OG51" i="13" s="1"/>
  <c r="OB51" i="13"/>
  <c r="OD51" i="13" s="1"/>
  <c r="NY51" i="13"/>
  <c r="OA51" i="13" s="1"/>
  <c r="NV51" i="13"/>
  <c r="NX51" i="13" s="1"/>
  <c r="NS51" i="13"/>
  <c r="NU51" i="13" s="1"/>
  <c r="NR51" i="13"/>
  <c r="NM51" i="13"/>
  <c r="NJ51" i="13"/>
  <c r="NL51" i="13" s="1"/>
  <c r="NG51" i="13"/>
  <c r="NI51" i="13" s="1"/>
  <c r="OR50" i="13"/>
  <c r="ON50" i="13"/>
  <c r="OP50" i="13" s="1"/>
  <c r="OK50" i="13"/>
  <c r="OM50" i="13" s="1"/>
  <c r="OH50" i="13"/>
  <c r="OJ50" i="13" s="1"/>
  <c r="OE50" i="13"/>
  <c r="OG50" i="13" s="1"/>
  <c r="OB50" i="13"/>
  <c r="OD50" i="13" s="1"/>
  <c r="NY50" i="13"/>
  <c r="OA50" i="13" s="1"/>
  <c r="NV50" i="13"/>
  <c r="NX50" i="13" s="1"/>
  <c r="NS50" i="13"/>
  <c r="NU50" i="13" s="1"/>
  <c r="NR50" i="13"/>
  <c r="NM50" i="13"/>
  <c r="NO50" i="13" s="1"/>
  <c r="NJ50" i="13"/>
  <c r="NL50" i="13" s="1"/>
  <c r="NG50" i="13"/>
  <c r="NI50" i="13" s="1"/>
  <c r="OR49" i="13"/>
  <c r="ON49" i="13"/>
  <c r="OP49" i="13" s="1"/>
  <c r="OK49" i="13"/>
  <c r="OM49" i="13" s="1"/>
  <c r="OH49" i="13"/>
  <c r="OJ49" i="13" s="1"/>
  <c r="OE49" i="13"/>
  <c r="OG49" i="13" s="1"/>
  <c r="OB49" i="13"/>
  <c r="OD49" i="13" s="1"/>
  <c r="NY49" i="13"/>
  <c r="OA49" i="13" s="1"/>
  <c r="NV49" i="13"/>
  <c r="NX49" i="13" s="1"/>
  <c r="NS49" i="13"/>
  <c r="NU49" i="13" s="1"/>
  <c r="NR49" i="13"/>
  <c r="NM49" i="13"/>
  <c r="NO49" i="13" s="1"/>
  <c r="NJ49" i="13"/>
  <c r="NG49" i="13"/>
  <c r="NI49" i="13" s="1"/>
  <c r="OR47" i="13"/>
  <c r="ON47" i="13"/>
  <c r="OP47" i="13" s="1"/>
  <c r="OK47" i="13"/>
  <c r="OM47" i="13" s="1"/>
  <c r="OH47" i="13"/>
  <c r="OJ47" i="13" s="1"/>
  <c r="OE47" i="13"/>
  <c r="OG47" i="13" s="1"/>
  <c r="OB47" i="13"/>
  <c r="OD47" i="13" s="1"/>
  <c r="NY47" i="13"/>
  <c r="OA47" i="13" s="1"/>
  <c r="NV47" i="13"/>
  <c r="NX47" i="13" s="1"/>
  <c r="NS47" i="13"/>
  <c r="NU47" i="13" s="1"/>
  <c r="NR47" i="13"/>
  <c r="NM47" i="13"/>
  <c r="NO47" i="13" s="1"/>
  <c r="NJ47" i="13"/>
  <c r="NG47" i="13"/>
  <c r="NI47" i="13" s="1"/>
  <c r="OR46" i="13"/>
  <c r="ON46" i="13"/>
  <c r="OP46" i="13" s="1"/>
  <c r="OK46" i="13"/>
  <c r="OM46" i="13" s="1"/>
  <c r="OH46" i="13"/>
  <c r="OJ46" i="13" s="1"/>
  <c r="OE46" i="13"/>
  <c r="OG46" i="13" s="1"/>
  <c r="OB46" i="13"/>
  <c r="OD46" i="13" s="1"/>
  <c r="NY46" i="13"/>
  <c r="OA46" i="13" s="1"/>
  <c r="NV46" i="13"/>
  <c r="NX46" i="13" s="1"/>
  <c r="NS46" i="13"/>
  <c r="NR46" i="13"/>
  <c r="NM46" i="13"/>
  <c r="NO46" i="13" s="1"/>
  <c r="NJ46" i="13"/>
  <c r="NL46" i="13" s="1"/>
  <c r="NG46" i="13"/>
  <c r="NI46" i="13" s="1"/>
  <c r="OR45" i="13"/>
  <c r="ON45" i="13"/>
  <c r="OP45" i="13" s="1"/>
  <c r="OK45" i="13"/>
  <c r="OM45" i="13" s="1"/>
  <c r="OH45" i="13"/>
  <c r="OJ45" i="13" s="1"/>
  <c r="OE45" i="13"/>
  <c r="OG45" i="13" s="1"/>
  <c r="OB45" i="13"/>
  <c r="OD45" i="13" s="1"/>
  <c r="NY45" i="13"/>
  <c r="OA45" i="13" s="1"/>
  <c r="NV45" i="13"/>
  <c r="NX45" i="13" s="1"/>
  <c r="NS45" i="13"/>
  <c r="NU45" i="13" s="1"/>
  <c r="NR45" i="13"/>
  <c r="NM45" i="13"/>
  <c r="NO45" i="13" s="1"/>
  <c r="NJ45" i="13"/>
  <c r="NL45" i="13" s="1"/>
  <c r="NG45" i="13"/>
  <c r="OR44" i="13"/>
  <c r="ON44" i="13"/>
  <c r="OP44" i="13" s="1"/>
  <c r="OK44" i="13"/>
  <c r="OM44" i="13" s="1"/>
  <c r="OH44" i="13"/>
  <c r="OJ44" i="13" s="1"/>
  <c r="OE44" i="13"/>
  <c r="OG44" i="13" s="1"/>
  <c r="OB44" i="13"/>
  <c r="OD44" i="13" s="1"/>
  <c r="NY44" i="13"/>
  <c r="OA44" i="13" s="1"/>
  <c r="NV44" i="13"/>
  <c r="NX44" i="13" s="1"/>
  <c r="NS44" i="13"/>
  <c r="NU44" i="13" s="1"/>
  <c r="NR44" i="13"/>
  <c r="NM44" i="13"/>
  <c r="NO44" i="13" s="1"/>
  <c r="NJ44" i="13"/>
  <c r="NL44" i="13" s="1"/>
  <c r="NG44" i="13"/>
  <c r="NI44" i="13" s="1"/>
  <c r="OR43" i="13"/>
  <c r="ON43" i="13"/>
  <c r="OP43" i="13" s="1"/>
  <c r="OK43" i="13"/>
  <c r="OM43" i="13" s="1"/>
  <c r="OH43" i="13"/>
  <c r="OJ43" i="13" s="1"/>
  <c r="OE43" i="13"/>
  <c r="OG43" i="13" s="1"/>
  <c r="OB43" i="13"/>
  <c r="OD43" i="13" s="1"/>
  <c r="NY43" i="13"/>
  <c r="OA43" i="13" s="1"/>
  <c r="NV43" i="13"/>
  <c r="NX43" i="13" s="1"/>
  <c r="NS43" i="13"/>
  <c r="NU43" i="13" s="1"/>
  <c r="NR43" i="13"/>
  <c r="NM43" i="13"/>
  <c r="NO43" i="13" s="1"/>
  <c r="NJ43" i="13"/>
  <c r="NL43" i="13" s="1"/>
  <c r="NG43" i="13"/>
  <c r="OR42" i="13"/>
  <c r="ON42" i="13"/>
  <c r="OP42" i="13" s="1"/>
  <c r="OK42" i="13"/>
  <c r="OM42" i="13" s="1"/>
  <c r="OH42" i="13"/>
  <c r="OJ42" i="13" s="1"/>
  <c r="OE42" i="13"/>
  <c r="OG42" i="13" s="1"/>
  <c r="OB42" i="13"/>
  <c r="OD42" i="13" s="1"/>
  <c r="NY42" i="13"/>
  <c r="OA42" i="13" s="1"/>
  <c r="NV42" i="13"/>
  <c r="NX42" i="13" s="1"/>
  <c r="NS42" i="13"/>
  <c r="NU42" i="13" s="1"/>
  <c r="NR42" i="13"/>
  <c r="NM42" i="13"/>
  <c r="NO42" i="13" s="1"/>
  <c r="NJ42" i="13"/>
  <c r="NL42" i="13" s="1"/>
  <c r="NG42" i="13"/>
  <c r="NI42" i="13" s="1"/>
  <c r="OR41" i="13"/>
  <c r="ON41" i="13"/>
  <c r="OP41" i="13" s="1"/>
  <c r="OK41" i="13"/>
  <c r="OM41" i="13" s="1"/>
  <c r="OH41" i="13"/>
  <c r="OJ41" i="13" s="1"/>
  <c r="OE41" i="13"/>
  <c r="OG41" i="13" s="1"/>
  <c r="OB41" i="13"/>
  <c r="OD41" i="13" s="1"/>
  <c r="NY41" i="13"/>
  <c r="OA41" i="13" s="1"/>
  <c r="NV41" i="13"/>
  <c r="NX41" i="13" s="1"/>
  <c r="NS41" i="13"/>
  <c r="NU41" i="13" s="1"/>
  <c r="NR41" i="13"/>
  <c r="NM41" i="13"/>
  <c r="NJ41" i="13"/>
  <c r="NL41" i="13" s="1"/>
  <c r="NG41" i="13"/>
  <c r="NI41" i="13" s="1"/>
  <c r="OR40" i="13"/>
  <c r="ON40" i="13"/>
  <c r="OP40" i="13" s="1"/>
  <c r="OK40" i="13"/>
  <c r="OM40" i="13" s="1"/>
  <c r="OH40" i="13"/>
  <c r="OJ40" i="13" s="1"/>
  <c r="OE40" i="13"/>
  <c r="OG40" i="13" s="1"/>
  <c r="OB40" i="13"/>
  <c r="OD40" i="13" s="1"/>
  <c r="NY40" i="13"/>
  <c r="OA40" i="13" s="1"/>
  <c r="NV40" i="13"/>
  <c r="NX40" i="13" s="1"/>
  <c r="NS40" i="13"/>
  <c r="NU40" i="13" s="1"/>
  <c r="NR40" i="13"/>
  <c r="NM40" i="13"/>
  <c r="NO40" i="13" s="1"/>
  <c r="NJ40" i="13"/>
  <c r="NL40" i="13" s="1"/>
  <c r="NG40" i="13"/>
  <c r="NI40" i="13" s="1"/>
  <c r="OR39" i="13"/>
  <c r="ON39" i="13"/>
  <c r="OP39" i="13" s="1"/>
  <c r="OK39" i="13"/>
  <c r="OM39" i="13" s="1"/>
  <c r="OH39" i="13"/>
  <c r="OJ39" i="13" s="1"/>
  <c r="OE39" i="13"/>
  <c r="OG39" i="13" s="1"/>
  <c r="OB39" i="13"/>
  <c r="OD39" i="13" s="1"/>
  <c r="NY39" i="13"/>
  <c r="OA39" i="13" s="1"/>
  <c r="NV39" i="13"/>
  <c r="NX39" i="13" s="1"/>
  <c r="NS39" i="13"/>
  <c r="NU39" i="13" s="1"/>
  <c r="NR39" i="13"/>
  <c r="NM39" i="13"/>
  <c r="NO39" i="13" s="1"/>
  <c r="NJ39" i="13"/>
  <c r="NL39" i="13" s="1"/>
  <c r="NG39" i="13"/>
  <c r="OR38" i="13"/>
  <c r="ON38" i="13"/>
  <c r="OP38" i="13" s="1"/>
  <c r="OK38" i="13"/>
  <c r="OM38" i="13" s="1"/>
  <c r="OH38" i="13"/>
  <c r="OJ38" i="13" s="1"/>
  <c r="OE38" i="13"/>
  <c r="OG38" i="13" s="1"/>
  <c r="OB38" i="13"/>
  <c r="OD38" i="13" s="1"/>
  <c r="NY38" i="13"/>
  <c r="OA38" i="13" s="1"/>
  <c r="NV38" i="13"/>
  <c r="NX38" i="13" s="1"/>
  <c r="NS38" i="13"/>
  <c r="NU38" i="13" s="1"/>
  <c r="NR38" i="13"/>
  <c r="NM38" i="13"/>
  <c r="NO38" i="13" s="1"/>
  <c r="NJ38" i="13"/>
  <c r="NL38" i="13" s="1"/>
  <c r="NG38" i="13"/>
  <c r="OR37" i="13"/>
  <c r="ON37" i="13"/>
  <c r="OP37" i="13" s="1"/>
  <c r="OK37" i="13"/>
  <c r="OM37" i="13" s="1"/>
  <c r="OH37" i="13"/>
  <c r="OJ37" i="13" s="1"/>
  <c r="OE37" i="13"/>
  <c r="OG37" i="13" s="1"/>
  <c r="OB37" i="13"/>
  <c r="OD37" i="13" s="1"/>
  <c r="NY37" i="13"/>
  <c r="OA37" i="13" s="1"/>
  <c r="NV37" i="13"/>
  <c r="NX37" i="13" s="1"/>
  <c r="NS37" i="13"/>
  <c r="NU37" i="13" s="1"/>
  <c r="NR37" i="13"/>
  <c r="NM37" i="13"/>
  <c r="NO37" i="13" s="1"/>
  <c r="NJ37" i="13"/>
  <c r="NL37" i="13" s="1"/>
  <c r="NG37" i="13"/>
  <c r="NI37" i="13" s="1"/>
  <c r="OR36" i="13"/>
  <c r="ON36" i="13"/>
  <c r="OP36" i="13" s="1"/>
  <c r="OK36" i="13"/>
  <c r="OM36" i="13" s="1"/>
  <c r="OH36" i="13"/>
  <c r="OJ36" i="13" s="1"/>
  <c r="OE36" i="13"/>
  <c r="OG36" i="13" s="1"/>
  <c r="OB36" i="13"/>
  <c r="OD36" i="13" s="1"/>
  <c r="NY36" i="13"/>
  <c r="OA36" i="13" s="1"/>
  <c r="NV36" i="13"/>
  <c r="NX36" i="13" s="1"/>
  <c r="NS36" i="13"/>
  <c r="NU36" i="13" s="1"/>
  <c r="NR36" i="13"/>
  <c r="NM36" i="13"/>
  <c r="NO36" i="13" s="1"/>
  <c r="NJ36" i="13"/>
  <c r="NL36" i="13" s="1"/>
  <c r="NG36" i="13"/>
  <c r="NI36" i="13" s="1"/>
  <c r="OR35" i="13"/>
  <c r="ON35" i="13"/>
  <c r="OP35" i="13" s="1"/>
  <c r="OK35" i="13"/>
  <c r="OM35" i="13" s="1"/>
  <c r="OH35" i="13"/>
  <c r="OJ35" i="13" s="1"/>
  <c r="OE35" i="13"/>
  <c r="OG35" i="13" s="1"/>
  <c r="OB35" i="13"/>
  <c r="OD35" i="13" s="1"/>
  <c r="NY35" i="13"/>
  <c r="OA35" i="13" s="1"/>
  <c r="NV35" i="13"/>
  <c r="NX35" i="13" s="1"/>
  <c r="NS35" i="13"/>
  <c r="NU35" i="13" s="1"/>
  <c r="NR35" i="13"/>
  <c r="NM35" i="13"/>
  <c r="NO35" i="13" s="1"/>
  <c r="NJ35" i="13"/>
  <c r="NL35" i="13" s="1"/>
  <c r="NG35" i="13"/>
  <c r="OR34" i="13"/>
  <c r="ON34" i="13"/>
  <c r="OP34" i="13" s="1"/>
  <c r="OK34" i="13"/>
  <c r="OM34" i="13" s="1"/>
  <c r="OH34" i="13"/>
  <c r="OJ34" i="13" s="1"/>
  <c r="OE34" i="13"/>
  <c r="OG34" i="13" s="1"/>
  <c r="OB34" i="13"/>
  <c r="OD34" i="13" s="1"/>
  <c r="NY34" i="13"/>
  <c r="OA34" i="13" s="1"/>
  <c r="NV34" i="13"/>
  <c r="NX34" i="13" s="1"/>
  <c r="NS34" i="13"/>
  <c r="NU34" i="13" s="1"/>
  <c r="NR34" i="13"/>
  <c r="NM34" i="13"/>
  <c r="NO34" i="13" s="1"/>
  <c r="NJ34" i="13"/>
  <c r="NL34" i="13" s="1"/>
  <c r="NG34" i="13"/>
  <c r="NI34" i="13" s="1"/>
  <c r="OR33" i="13"/>
  <c r="ON33" i="13"/>
  <c r="OP33" i="13" s="1"/>
  <c r="OK33" i="13"/>
  <c r="OM33" i="13" s="1"/>
  <c r="OH33" i="13"/>
  <c r="OJ33" i="13" s="1"/>
  <c r="OE33" i="13"/>
  <c r="OG33" i="13" s="1"/>
  <c r="OB33" i="13"/>
  <c r="OD33" i="13" s="1"/>
  <c r="NY33" i="13"/>
  <c r="OA33" i="13" s="1"/>
  <c r="NV33" i="13"/>
  <c r="NX33" i="13" s="1"/>
  <c r="NS33" i="13"/>
  <c r="NU33" i="13" s="1"/>
  <c r="NR33" i="13"/>
  <c r="NM33" i="13"/>
  <c r="NO33" i="13" s="1"/>
  <c r="NJ33" i="13"/>
  <c r="NL33" i="13" s="1"/>
  <c r="NG33" i="13"/>
  <c r="NI33" i="13" s="1"/>
  <c r="OR32" i="13"/>
  <c r="ON32" i="13"/>
  <c r="OP32" i="13" s="1"/>
  <c r="OK32" i="13"/>
  <c r="OM32" i="13" s="1"/>
  <c r="OH32" i="13"/>
  <c r="OJ32" i="13" s="1"/>
  <c r="OE32" i="13"/>
  <c r="OG32" i="13" s="1"/>
  <c r="OB32" i="13"/>
  <c r="OD32" i="13" s="1"/>
  <c r="NY32" i="13"/>
  <c r="OA32" i="13" s="1"/>
  <c r="NV32" i="13"/>
  <c r="NS32" i="13"/>
  <c r="NU32" i="13" s="1"/>
  <c r="NR32" i="13"/>
  <c r="NM32" i="13"/>
  <c r="NO32" i="13" s="1"/>
  <c r="NJ32" i="13"/>
  <c r="NL32" i="13" s="1"/>
  <c r="NG32" i="13"/>
  <c r="NI32" i="13" s="1"/>
  <c r="OR31" i="13"/>
  <c r="ON31" i="13"/>
  <c r="OP31" i="13" s="1"/>
  <c r="OK31" i="13"/>
  <c r="OM31" i="13" s="1"/>
  <c r="OH31" i="13"/>
  <c r="OJ31" i="13" s="1"/>
  <c r="OE31" i="13"/>
  <c r="OG31" i="13" s="1"/>
  <c r="OB31" i="13"/>
  <c r="OD31" i="13" s="1"/>
  <c r="NY31" i="13"/>
  <c r="OA31" i="13" s="1"/>
  <c r="NV31" i="13"/>
  <c r="NX31" i="13" s="1"/>
  <c r="NS31" i="13"/>
  <c r="NU31" i="13" s="1"/>
  <c r="NR31" i="13"/>
  <c r="NM31" i="13"/>
  <c r="NO31" i="13" s="1"/>
  <c r="NJ31" i="13"/>
  <c r="NG31" i="13"/>
  <c r="NI31" i="13" s="1"/>
  <c r="OR30" i="13"/>
  <c r="ON30" i="13"/>
  <c r="OP30" i="13" s="1"/>
  <c r="OK30" i="13"/>
  <c r="OM30" i="13" s="1"/>
  <c r="OH30" i="13"/>
  <c r="OJ30" i="13" s="1"/>
  <c r="OE30" i="13"/>
  <c r="OG30" i="13" s="1"/>
  <c r="OB30" i="13"/>
  <c r="OD30" i="13" s="1"/>
  <c r="NY30" i="13"/>
  <c r="OA30" i="13" s="1"/>
  <c r="NV30" i="13"/>
  <c r="NX30" i="13" s="1"/>
  <c r="NS30" i="13"/>
  <c r="NU30" i="13" s="1"/>
  <c r="NR30" i="13"/>
  <c r="NM30" i="13"/>
  <c r="NO30" i="13" s="1"/>
  <c r="NJ30" i="13"/>
  <c r="NL30" i="13" s="1"/>
  <c r="NG30" i="13"/>
  <c r="NI30" i="13" s="1"/>
  <c r="OR29" i="13"/>
  <c r="ON29" i="13"/>
  <c r="OP29" i="13" s="1"/>
  <c r="OK29" i="13"/>
  <c r="OM29" i="13" s="1"/>
  <c r="OH29" i="13"/>
  <c r="OJ29" i="13" s="1"/>
  <c r="OE29" i="13"/>
  <c r="OG29" i="13" s="1"/>
  <c r="OB29" i="13"/>
  <c r="OD29" i="13" s="1"/>
  <c r="NY29" i="13"/>
  <c r="OA29" i="13" s="1"/>
  <c r="NV29" i="13"/>
  <c r="NX29" i="13" s="1"/>
  <c r="NS29" i="13"/>
  <c r="NU29" i="13" s="1"/>
  <c r="NR29" i="13"/>
  <c r="NM29" i="13"/>
  <c r="NO29" i="13" s="1"/>
  <c r="NJ29" i="13"/>
  <c r="NL29" i="13" s="1"/>
  <c r="NG29" i="13"/>
  <c r="NI29" i="13" s="1"/>
  <c r="OR28" i="13"/>
  <c r="ON28" i="13"/>
  <c r="OP28" i="13" s="1"/>
  <c r="OK28" i="13"/>
  <c r="OM28" i="13" s="1"/>
  <c r="OH28" i="13"/>
  <c r="OJ28" i="13" s="1"/>
  <c r="OE28" i="13"/>
  <c r="OG28" i="13" s="1"/>
  <c r="OB28" i="13"/>
  <c r="OD28" i="13" s="1"/>
  <c r="NY28" i="13"/>
  <c r="OA28" i="13" s="1"/>
  <c r="NV28" i="13"/>
  <c r="NX28" i="13" s="1"/>
  <c r="NS28" i="13"/>
  <c r="NU28" i="13" s="1"/>
  <c r="NR28" i="13"/>
  <c r="NM28" i="13"/>
  <c r="NO28" i="13" s="1"/>
  <c r="NJ28" i="13"/>
  <c r="NL28" i="13" s="1"/>
  <c r="NG28" i="13"/>
  <c r="NI28" i="13" s="1"/>
  <c r="OR27" i="13"/>
  <c r="ON27" i="13"/>
  <c r="OP27" i="13" s="1"/>
  <c r="OK27" i="13"/>
  <c r="OM27" i="13" s="1"/>
  <c r="OH27" i="13"/>
  <c r="OJ27" i="13" s="1"/>
  <c r="OE27" i="13"/>
  <c r="OG27" i="13" s="1"/>
  <c r="OB27" i="13"/>
  <c r="OD27" i="13" s="1"/>
  <c r="NY27" i="13"/>
  <c r="OA27" i="13" s="1"/>
  <c r="NV27" i="13"/>
  <c r="NX27" i="13" s="1"/>
  <c r="NS27" i="13"/>
  <c r="NU27" i="13" s="1"/>
  <c r="NR27" i="13"/>
  <c r="NM27" i="13"/>
  <c r="NO27" i="13" s="1"/>
  <c r="NJ27" i="13"/>
  <c r="NL27" i="13" s="1"/>
  <c r="NG27" i="13"/>
  <c r="NI27" i="13" s="1"/>
  <c r="OR26" i="13"/>
  <c r="ON26" i="13"/>
  <c r="OP26" i="13" s="1"/>
  <c r="OK26" i="13"/>
  <c r="OM26" i="13" s="1"/>
  <c r="OH26" i="13"/>
  <c r="OJ26" i="13" s="1"/>
  <c r="OE26" i="13"/>
  <c r="OG26" i="13" s="1"/>
  <c r="OB26" i="13"/>
  <c r="OD26" i="13" s="1"/>
  <c r="NY26" i="13"/>
  <c r="OA26" i="13" s="1"/>
  <c r="NV26" i="13"/>
  <c r="NX26" i="13" s="1"/>
  <c r="NS26" i="13"/>
  <c r="NU26" i="13" s="1"/>
  <c r="NR26" i="13"/>
  <c r="NM26" i="13"/>
  <c r="NO26" i="13" s="1"/>
  <c r="NJ26" i="13"/>
  <c r="NL26" i="13" s="1"/>
  <c r="NG26" i="13"/>
  <c r="OR25" i="13"/>
  <c r="ON25" i="13"/>
  <c r="OP25" i="13" s="1"/>
  <c r="OK25" i="13"/>
  <c r="OM25" i="13" s="1"/>
  <c r="OH25" i="13"/>
  <c r="OJ25" i="13" s="1"/>
  <c r="OE25" i="13"/>
  <c r="OG25" i="13" s="1"/>
  <c r="OB25" i="13"/>
  <c r="OD25" i="13" s="1"/>
  <c r="NY25" i="13"/>
  <c r="OA25" i="13" s="1"/>
  <c r="NV25" i="13"/>
  <c r="NX25" i="13" s="1"/>
  <c r="NS25" i="13"/>
  <c r="NU25" i="13" s="1"/>
  <c r="NR25" i="13"/>
  <c r="NM25" i="13"/>
  <c r="NO25" i="13" s="1"/>
  <c r="NJ25" i="13"/>
  <c r="NG25" i="13"/>
  <c r="NI25" i="13" s="1"/>
  <c r="OR24" i="13"/>
  <c r="ON24" i="13"/>
  <c r="OP24" i="13" s="1"/>
  <c r="OK24" i="13"/>
  <c r="OM24" i="13" s="1"/>
  <c r="OH24" i="13"/>
  <c r="OJ24" i="13" s="1"/>
  <c r="OE24" i="13"/>
  <c r="OG24" i="13" s="1"/>
  <c r="OB24" i="13"/>
  <c r="OD24" i="13" s="1"/>
  <c r="NY24" i="13"/>
  <c r="OA24" i="13" s="1"/>
  <c r="NV24" i="13"/>
  <c r="NX24" i="13" s="1"/>
  <c r="NS24" i="13"/>
  <c r="NU24" i="13" s="1"/>
  <c r="NR24" i="13"/>
  <c r="NM24" i="13"/>
  <c r="NJ24" i="13"/>
  <c r="NL24" i="13" s="1"/>
  <c r="NG24" i="13"/>
  <c r="NI24" i="13" s="1"/>
  <c r="OR23" i="13"/>
  <c r="ON23" i="13"/>
  <c r="OP23" i="13" s="1"/>
  <c r="OK23" i="13"/>
  <c r="OM23" i="13" s="1"/>
  <c r="OH23" i="13"/>
  <c r="OJ23" i="13" s="1"/>
  <c r="OE23" i="13"/>
  <c r="OG23" i="13" s="1"/>
  <c r="OB23" i="13"/>
  <c r="OD23" i="13" s="1"/>
  <c r="NY23" i="13"/>
  <c r="OA23" i="13" s="1"/>
  <c r="NV23" i="13"/>
  <c r="NX23" i="13" s="1"/>
  <c r="NS23" i="13"/>
  <c r="NU23" i="13" s="1"/>
  <c r="NR23" i="13"/>
  <c r="NM23" i="13"/>
  <c r="NO23" i="13" s="1"/>
  <c r="NJ23" i="13"/>
  <c r="NL23" i="13" s="1"/>
  <c r="NG23" i="13"/>
  <c r="OR22" i="13"/>
  <c r="ON22" i="13"/>
  <c r="OP22" i="13" s="1"/>
  <c r="OK22" i="13"/>
  <c r="OM22" i="13" s="1"/>
  <c r="OH22" i="13"/>
  <c r="OJ22" i="13" s="1"/>
  <c r="OE22" i="13"/>
  <c r="OG22" i="13" s="1"/>
  <c r="OB22" i="13"/>
  <c r="OD22" i="13" s="1"/>
  <c r="NY22" i="13"/>
  <c r="OA22" i="13" s="1"/>
  <c r="NV22" i="13"/>
  <c r="NX22" i="13" s="1"/>
  <c r="NS22" i="13"/>
  <c r="NU22" i="13" s="1"/>
  <c r="NR22" i="13"/>
  <c r="NM22" i="13"/>
  <c r="NO22" i="13" s="1"/>
  <c r="NJ22" i="13"/>
  <c r="NL22" i="13" s="1"/>
  <c r="NG22" i="13"/>
  <c r="NI22" i="13" s="1"/>
  <c r="OR21" i="13"/>
  <c r="ON21" i="13"/>
  <c r="OP21" i="13" s="1"/>
  <c r="OK21" i="13"/>
  <c r="OM21" i="13" s="1"/>
  <c r="OH21" i="13"/>
  <c r="OJ21" i="13" s="1"/>
  <c r="OE21" i="13"/>
  <c r="OG21" i="13" s="1"/>
  <c r="OB21" i="13"/>
  <c r="OD21" i="13" s="1"/>
  <c r="NY21" i="13"/>
  <c r="OA21" i="13" s="1"/>
  <c r="NV21" i="13"/>
  <c r="NX21" i="13" s="1"/>
  <c r="NS21" i="13"/>
  <c r="NU21" i="13" s="1"/>
  <c r="NR21" i="13"/>
  <c r="NM21" i="13"/>
  <c r="NO21" i="13" s="1"/>
  <c r="NJ21" i="13"/>
  <c r="NL21" i="13" s="1"/>
  <c r="NG21" i="13"/>
  <c r="NI21" i="13" s="1"/>
  <c r="OR20" i="13"/>
  <c r="ON20" i="13"/>
  <c r="OP20" i="13" s="1"/>
  <c r="OK20" i="13"/>
  <c r="OM20" i="13" s="1"/>
  <c r="OH20" i="13"/>
  <c r="OJ20" i="13" s="1"/>
  <c r="OE20" i="13"/>
  <c r="OG20" i="13" s="1"/>
  <c r="OB20" i="13"/>
  <c r="OD20" i="13" s="1"/>
  <c r="NY20" i="13"/>
  <c r="OA20" i="13" s="1"/>
  <c r="NV20" i="13"/>
  <c r="NX20" i="13" s="1"/>
  <c r="NS20" i="13"/>
  <c r="NU20" i="13" s="1"/>
  <c r="NR20" i="13"/>
  <c r="NM20" i="13"/>
  <c r="NO20" i="13" s="1"/>
  <c r="NJ20" i="13"/>
  <c r="NL20" i="13" s="1"/>
  <c r="NG20" i="13"/>
  <c r="OR19" i="13"/>
  <c r="ON19" i="13"/>
  <c r="OP19" i="13" s="1"/>
  <c r="OK19" i="13"/>
  <c r="OM19" i="13" s="1"/>
  <c r="OH19" i="13"/>
  <c r="OJ19" i="13" s="1"/>
  <c r="OE19" i="13"/>
  <c r="OG19" i="13" s="1"/>
  <c r="OB19" i="13"/>
  <c r="OD19" i="13" s="1"/>
  <c r="NY19" i="13"/>
  <c r="OA19" i="13" s="1"/>
  <c r="NV19" i="13"/>
  <c r="NX19" i="13" s="1"/>
  <c r="NS19" i="13"/>
  <c r="NU19" i="13" s="1"/>
  <c r="NR19" i="13"/>
  <c r="NM19" i="13"/>
  <c r="NO19" i="13" s="1"/>
  <c r="NJ19" i="13"/>
  <c r="NL19" i="13" s="1"/>
  <c r="NG19" i="13"/>
  <c r="NI19" i="13" s="1"/>
  <c r="OR18" i="13"/>
  <c r="ON18" i="13"/>
  <c r="OP18" i="13" s="1"/>
  <c r="OK18" i="13"/>
  <c r="OM18" i="13" s="1"/>
  <c r="OH18" i="13"/>
  <c r="OJ18" i="13" s="1"/>
  <c r="OE18" i="13"/>
  <c r="OG18" i="13" s="1"/>
  <c r="OB18" i="13"/>
  <c r="OD18" i="13" s="1"/>
  <c r="NY18" i="13"/>
  <c r="OA18" i="13" s="1"/>
  <c r="NV18" i="13"/>
  <c r="NX18" i="13" s="1"/>
  <c r="NS18" i="13"/>
  <c r="NU18" i="13" s="1"/>
  <c r="NR18" i="13"/>
  <c r="NM18" i="13"/>
  <c r="NO18" i="13" s="1"/>
  <c r="NJ18" i="13"/>
  <c r="NL18" i="13" s="1"/>
  <c r="NG18" i="13"/>
  <c r="NI18" i="13" s="1"/>
  <c r="OR17" i="13"/>
  <c r="ON17" i="13"/>
  <c r="OP17" i="13" s="1"/>
  <c r="OK17" i="13"/>
  <c r="OM17" i="13" s="1"/>
  <c r="OH17" i="13"/>
  <c r="OJ17" i="13" s="1"/>
  <c r="OE17" i="13"/>
  <c r="OG17" i="13" s="1"/>
  <c r="OB17" i="13"/>
  <c r="OD17" i="13" s="1"/>
  <c r="NY17" i="13"/>
  <c r="OA17" i="13" s="1"/>
  <c r="NV17" i="13"/>
  <c r="NX17" i="13" s="1"/>
  <c r="NS17" i="13"/>
  <c r="NU17" i="13" s="1"/>
  <c r="NR17" i="13"/>
  <c r="NM17" i="13"/>
  <c r="NO17" i="13" s="1"/>
  <c r="NJ17" i="13"/>
  <c r="NL17" i="13" s="1"/>
  <c r="NG17" i="13"/>
  <c r="OR16" i="13"/>
  <c r="ON16" i="13"/>
  <c r="OP16" i="13" s="1"/>
  <c r="OK16" i="13"/>
  <c r="OM16" i="13" s="1"/>
  <c r="OH16" i="13"/>
  <c r="OJ16" i="13" s="1"/>
  <c r="OE16" i="13"/>
  <c r="OG16" i="13" s="1"/>
  <c r="OB16" i="13"/>
  <c r="OD16" i="13" s="1"/>
  <c r="NY16" i="13"/>
  <c r="OA16" i="13" s="1"/>
  <c r="NV16" i="13"/>
  <c r="NX16" i="13" s="1"/>
  <c r="NS16" i="13"/>
  <c r="NU16" i="13" s="1"/>
  <c r="NR16" i="13"/>
  <c r="NM16" i="13"/>
  <c r="NO16" i="13" s="1"/>
  <c r="NJ16" i="13"/>
  <c r="NL16" i="13" s="1"/>
  <c r="NG16" i="13"/>
  <c r="NI16" i="13" s="1"/>
  <c r="OR15" i="13"/>
  <c r="ON15" i="13"/>
  <c r="OP15" i="13" s="1"/>
  <c r="OK15" i="13"/>
  <c r="OM15" i="13" s="1"/>
  <c r="OH15" i="13"/>
  <c r="OJ15" i="13" s="1"/>
  <c r="OE15" i="13"/>
  <c r="OG15" i="13" s="1"/>
  <c r="OB15" i="13"/>
  <c r="OD15" i="13" s="1"/>
  <c r="NY15" i="13"/>
  <c r="NV15" i="13"/>
  <c r="NX15" i="13" s="1"/>
  <c r="NS15" i="13"/>
  <c r="NU15" i="13" s="1"/>
  <c r="NR15" i="13"/>
  <c r="NM15" i="13"/>
  <c r="NO15" i="13" s="1"/>
  <c r="NJ15" i="13"/>
  <c r="NL15" i="13" s="1"/>
  <c r="NG15" i="13"/>
  <c r="NI15" i="13" s="1"/>
  <c r="OR14" i="13"/>
  <c r="ON14" i="13"/>
  <c r="OP14" i="13" s="1"/>
  <c r="OK14" i="13"/>
  <c r="OM14" i="13" s="1"/>
  <c r="OH14" i="13"/>
  <c r="OJ14" i="13" s="1"/>
  <c r="OE14" i="13"/>
  <c r="OG14" i="13" s="1"/>
  <c r="OB14" i="13"/>
  <c r="OD14" i="13" s="1"/>
  <c r="NY14" i="13"/>
  <c r="OA14" i="13" s="1"/>
  <c r="NV14" i="13"/>
  <c r="NX14" i="13" s="1"/>
  <c r="NS14" i="13"/>
  <c r="NU14" i="13" s="1"/>
  <c r="NR14" i="13"/>
  <c r="NM14" i="13"/>
  <c r="NO14" i="13" s="1"/>
  <c r="NJ14" i="13"/>
  <c r="NL14" i="13" s="1"/>
  <c r="NG14" i="13"/>
  <c r="NI14" i="13" s="1"/>
  <c r="OR13" i="13"/>
  <c r="ON13" i="13"/>
  <c r="OP13" i="13" s="1"/>
  <c r="OK13" i="13"/>
  <c r="OM13" i="13" s="1"/>
  <c r="OH13" i="13"/>
  <c r="OJ13" i="13" s="1"/>
  <c r="OE13" i="13"/>
  <c r="OG13" i="13" s="1"/>
  <c r="OB13" i="13"/>
  <c r="OD13" i="13" s="1"/>
  <c r="NY13" i="13"/>
  <c r="OA13" i="13" s="1"/>
  <c r="NV13" i="13"/>
  <c r="NX13" i="13" s="1"/>
  <c r="NS13" i="13"/>
  <c r="NU13" i="13" s="1"/>
  <c r="NR13" i="13"/>
  <c r="NM13" i="13"/>
  <c r="NO13" i="13" s="1"/>
  <c r="NJ13" i="13"/>
  <c r="NL13" i="13" s="1"/>
  <c r="NG13" i="13"/>
  <c r="OR12" i="13"/>
  <c r="ON12" i="13"/>
  <c r="OP12" i="13" s="1"/>
  <c r="OK12" i="13"/>
  <c r="OM12" i="13" s="1"/>
  <c r="OH12" i="13"/>
  <c r="OJ12" i="13" s="1"/>
  <c r="OE12" i="13"/>
  <c r="OG12" i="13" s="1"/>
  <c r="OB12" i="13"/>
  <c r="OD12" i="13" s="1"/>
  <c r="NY12" i="13"/>
  <c r="OA12" i="13" s="1"/>
  <c r="NV12" i="13"/>
  <c r="NX12" i="13" s="1"/>
  <c r="NS12" i="13"/>
  <c r="NU12" i="13" s="1"/>
  <c r="NR12" i="13"/>
  <c r="NM12" i="13"/>
  <c r="NO12" i="13" s="1"/>
  <c r="NJ12" i="13"/>
  <c r="NG12" i="13"/>
  <c r="NI12" i="13" s="1"/>
  <c r="OR11" i="13"/>
  <c r="ON11" i="13"/>
  <c r="OP11" i="13" s="1"/>
  <c r="OK11" i="13"/>
  <c r="OM11" i="13" s="1"/>
  <c r="OH11" i="13"/>
  <c r="OJ11" i="13" s="1"/>
  <c r="OE11" i="13"/>
  <c r="OG11" i="13" s="1"/>
  <c r="OB11" i="13"/>
  <c r="OD11" i="13" s="1"/>
  <c r="NY11" i="13"/>
  <c r="OA11" i="13" s="1"/>
  <c r="NV11" i="13"/>
  <c r="NX11" i="13" s="1"/>
  <c r="NS11" i="13"/>
  <c r="NU11" i="13" s="1"/>
  <c r="NR11" i="13"/>
  <c r="NM11" i="13"/>
  <c r="NO11" i="13" s="1"/>
  <c r="NJ11" i="13"/>
  <c r="NL11" i="13" s="1"/>
  <c r="NG11" i="13"/>
  <c r="NI11" i="13" s="1"/>
  <c r="OR10" i="13"/>
  <c r="ON10" i="13"/>
  <c r="OP10" i="13" s="1"/>
  <c r="OK10" i="13"/>
  <c r="OM10" i="13" s="1"/>
  <c r="OH10" i="13"/>
  <c r="OJ10" i="13" s="1"/>
  <c r="OE10" i="13"/>
  <c r="OG10" i="13" s="1"/>
  <c r="OB10" i="13"/>
  <c r="OD10" i="13" s="1"/>
  <c r="NY10" i="13"/>
  <c r="NV10" i="13"/>
  <c r="NX10" i="13" s="1"/>
  <c r="NS10" i="13"/>
  <c r="NU10" i="13" s="1"/>
  <c r="NR10" i="13"/>
  <c r="NM10" i="13"/>
  <c r="NO10" i="13" s="1"/>
  <c r="NJ10" i="13"/>
  <c r="NL10" i="13" s="1"/>
  <c r="NG10" i="13"/>
  <c r="NI10" i="13" s="1"/>
  <c r="OR9" i="13"/>
  <c r="ON9" i="13"/>
  <c r="OP9" i="13" s="1"/>
  <c r="OK9" i="13"/>
  <c r="OM9" i="13" s="1"/>
  <c r="OH9" i="13"/>
  <c r="OJ9" i="13" s="1"/>
  <c r="OE9" i="13"/>
  <c r="OG9" i="13" s="1"/>
  <c r="OB9" i="13"/>
  <c r="OD9" i="13" s="1"/>
  <c r="NY9" i="13"/>
  <c r="OA9" i="13" s="1"/>
  <c r="NV9" i="13"/>
  <c r="NX9" i="13" s="1"/>
  <c r="NS9" i="13"/>
  <c r="NU9" i="13" s="1"/>
  <c r="NR9" i="13"/>
  <c r="NM9" i="13"/>
  <c r="NO9" i="13" s="1"/>
  <c r="NJ9" i="13"/>
  <c r="NG9" i="13"/>
  <c r="NI9" i="13" s="1"/>
  <c r="OR8" i="13"/>
  <c r="ON8" i="13"/>
  <c r="OP8" i="13" s="1"/>
  <c r="OK8" i="13"/>
  <c r="OM8" i="13" s="1"/>
  <c r="OH8" i="13"/>
  <c r="OJ8" i="13" s="1"/>
  <c r="OE8" i="13"/>
  <c r="OG8" i="13" s="1"/>
  <c r="OB8" i="13"/>
  <c r="OD8" i="13" s="1"/>
  <c r="NY8" i="13"/>
  <c r="OA8" i="13" s="1"/>
  <c r="NV8" i="13"/>
  <c r="NX8" i="13" s="1"/>
  <c r="NS8" i="13"/>
  <c r="NU8" i="13" s="1"/>
  <c r="NR8" i="13"/>
  <c r="NM8" i="13"/>
  <c r="NO8" i="13" s="1"/>
  <c r="NJ8" i="13"/>
  <c r="NL8" i="13" s="1"/>
  <c r="NG8" i="13"/>
  <c r="NI8" i="13" s="1"/>
  <c r="OR7" i="13"/>
  <c r="ON7" i="13"/>
  <c r="OP7" i="13" s="1"/>
  <c r="OK7" i="13"/>
  <c r="OM7" i="13" s="1"/>
  <c r="OH7" i="13"/>
  <c r="OJ7" i="13" s="1"/>
  <c r="OE7" i="13"/>
  <c r="OG7" i="13" s="1"/>
  <c r="OB7" i="13"/>
  <c r="OD7" i="13" s="1"/>
  <c r="NY7" i="13"/>
  <c r="OA7" i="13" s="1"/>
  <c r="NV7" i="13"/>
  <c r="NX7" i="13" s="1"/>
  <c r="NS7" i="13"/>
  <c r="NU7" i="13" s="1"/>
  <c r="NR7" i="13"/>
  <c r="NM7" i="13"/>
  <c r="NO7" i="13" s="1"/>
  <c r="NJ7" i="13"/>
  <c r="NL7" i="13" s="1"/>
  <c r="NG7" i="13"/>
  <c r="OR6" i="13"/>
  <c r="ON6" i="13"/>
  <c r="OP6" i="13" s="1"/>
  <c r="OK6" i="13"/>
  <c r="OM6" i="13" s="1"/>
  <c r="OH6" i="13"/>
  <c r="OJ6" i="13" s="1"/>
  <c r="OE6" i="13"/>
  <c r="OG6" i="13" s="1"/>
  <c r="OB6" i="13"/>
  <c r="OD6" i="13" s="1"/>
  <c r="NY6" i="13"/>
  <c r="OA6" i="13" s="1"/>
  <c r="NV6" i="13"/>
  <c r="NX6" i="13" s="1"/>
  <c r="NS6" i="13"/>
  <c r="NU6" i="13" s="1"/>
  <c r="NR6" i="13"/>
  <c r="NM6" i="13"/>
  <c r="NO6" i="13" s="1"/>
  <c r="NJ6" i="13"/>
  <c r="NL6" i="13" s="1"/>
  <c r="NG6" i="13"/>
  <c r="NI6" i="13" s="1"/>
  <c r="OR5" i="13"/>
  <c r="ON5" i="13"/>
  <c r="OP5" i="13" s="1"/>
  <c r="OK5" i="13"/>
  <c r="OM5" i="13" s="1"/>
  <c r="OH5" i="13"/>
  <c r="OJ5" i="13" s="1"/>
  <c r="OE5" i="13"/>
  <c r="OG5" i="13" s="1"/>
  <c r="OB5" i="13"/>
  <c r="OD5" i="13" s="1"/>
  <c r="NY5" i="13"/>
  <c r="OA5" i="13" s="1"/>
  <c r="NV5" i="13"/>
  <c r="NX5" i="13" s="1"/>
  <c r="NS5" i="13"/>
  <c r="NU5" i="13" s="1"/>
  <c r="NR5" i="13"/>
  <c r="NM5" i="13"/>
  <c r="NO5" i="13" s="1"/>
  <c r="NJ5" i="13"/>
  <c r="NL5" i="13" s="1"/>
  <c r="NG5" i="13"/>
  <c r="OR4" i="13"/>
  <c r="ON4" i="13"/>
  <c r="OP4" i="13" s="1"/>
  <c r="OK4" i="13"/>
  <c r="OM4" i="13" s="1"/>
  <c r="OH4" i="13"/>
  <c r="OJ4" i="13" s="1"/>
  <c r="OE4" i="13"/>
  <c r="OG4" i="13" s="1"/>
  <c r="OB4" i="13"/>
  <c r="OD4" i="13" s="1"/>
  <c r="NY4" i="13"/>
  <c r="OA4" i="13" s="1"/>
  <c r="NV4" i="13"/>
  <c r="NX4" i="13" s="1"/>
  <c r="NS4" i="13"/>
  <c r="NU4" i="13" s="1"/>
  <c r="NP4" i="13"/>
  <c r="NM4" i="13"/>
  <c r="NO4" i="13" s="1"/>
  <c r="NJ4" i="13"/>
  <c r="NL4" i="13" s="1"/>
  <c r="NG4" i="13"/>
  <c r="NI4" i="13" s="1"/>
  <c r="OR3" i="13"/>
  <c r="ON3" i="13"/>
  <c r="OP3" i="13" s="1"/>
  <c r="OK3" i="13"/>
  <c r="OM3" i="13" s="1"/>
  <c r="OH3" i="13"/>
  <c r="OJ3" i="13" s="1"/>
  <c r="OE3" i="13"/>
  <c r="OG3" i="13" s="1"/>
  <c r="OB3" i="13"/>
  <c r="OD3" i="13" s="1"/>
  <c r="NY3" i="13"/>
  <c r="OA3" i="13" s="1"/>
  <c r="NV3" i="13"/>
  <c r="NX3" i="13" s="1"/>
  <c r="NS3" i="13"/>
  <c r="NU3" i="13" s="1"/>
  <c r="NR3" i="13"/>
  <c r="NM3" i="13"/>
  <c r="NO3" i="13" s="1"/>
  <c r="NJ3" i="13"/>
  <c r="NL3" i="13" s="1"/>
  <c r="NG3" i="13"/>
  <c r="C1" i="13"/>
  <c r="OR4" i="12"/>
  <c r="OR5" i="12"/>
  <c r="OR7" i="12"/>
  <c r="OR8" i="12"/>
  <c r="OR9" i="12"/>
  <c r="OR46" i="12"/>
  <c r="OR47" i="12"/>
  <c r="OR48" i="12"/>
  <c r="OR50" i="12"/>
  <c r="OR51" i="12"/>
  <c r="OR49" i="12"/>
  <c r="OR52" i="12"/>
  <c r="OR54" i="12"/>
  <c r="OR56" i="12"/>
  <c r="OR57" i="12"/>
  <c r="OR58" i="12"/>
  <c r="OR59" i="12"/>
  <c r="OR55" i="12"/>
  <c r="OR63" i="12"/>
  <c r="OR62" i="12"/>
  <c r="OR66" i="12"/>
  <c r="OR67" i="12"/>
  <c r="OR69" i="12"/>
  <c r="OR70" i="12"/>
  <c r="OR71" i="12"/>
  <c r="OR68" i="12"/>
  <c r="OR73" i="12"/>
  <c r="OR74" i="12"/>
  <c r="OR75" i="12"/>
  <c r="OR76" i="12"/>
  <c r="OR78" i="12"/>
  <c r="OR80" i="12"/>
  <c r="OR81" i="12"/>
  <c r="OR82" i="12"/>
  <c r="OR83" i="12"/>
  <c r="OR84" i="12"/>
  <c r="OR86" i="12"/>
  <c r="OR88" i="12"/>
  <c r="OR89" i="12"/>
  <c r="OR90" i="12"/>
  <c r="OR91" i="12"/>
  <c r="OR93" i="12"/>
  <c r="OR94" i="12"/>
  <c r="OR95" i="12"/>
  <c r="OR96" i="12"/>
  <c r="OR97" i="12"/>
  <c r="OR98" i="12"/>
  <c r="OR100" i="12"/>
  <c r="OR101" i="12"/>
  <c r="OR102" i="12"/>
  <c r="OR103" i="12"/>
  <c r="OR104" i="12"/>
  <c r="OR105" i="12"/>
  <c r="OR107" i="12"/>
  <c r="OR108" i="12"/>
  <c r="OR109" i="12"/>
  <c r="OR112" i="12"/>
  <c r="OR113" i="12"/>
  <c r="OR114" i="12"/>
  <c r="OR115" i="12"/>
  <c r="OR3" i="12"/>
  <c r="OR116" i="12"/>
  <c r="OS116" i="12"/>
  <c r="NG4" i="12"/>
  <c r="NI4" i="12" s="1"/>
  <c r="NJ4" i="12"/>
  <c r="NL4" i="12" s="1"/>
  <c r="NM4" i="12"/>
  <c r="NO4" i="12" s="1"/>
  <c r="NP4" i="12"/>
  <c r="NR4" i="12" s="1"/>
  <c r="NS4" i="12"/>
  <c r="NU4" i="12" s="1"/>
  <c r="NV4" i="12"/>
  <c r="NX4" i="12" s="1"/>
  <c r="NY4" i="12"/>
  <c r="OA4" i="12" s="1"/>
  <c r="OB4" i="12"/>
  <c r="OD4" i="12" s="1"/>
  <c r="OE4" i="12"/>
  <c r="OG4" i="12" s="1"/>
  <c r="OH4" i="12"/>
  <c r="OJ4" i="12" s="1"/>
  <c r="OK4" i="12"/>
  <c r="OM4" i="12" s="1"/>
  <c r="ON4" i="12"/>
  <c r="OP4" i="12" s="1"/>
  <c r="NG5" i="12"/>
  <c r="NI5" i="12" s="1"/>
  <c r="NJ5" i="12"/>
  <c r="NL5" i="12" s="1"/>
  <c r="NM5" i="12"/>
  <c r="NO5" i="12" s="1"/>
  <c r="NP5" i="12"/>
  <c r="NR5" i="12" s="1"/>
  <c r="NS5" i="12"/>
  <c r="NU5" i="12" s="1"/>
  <c r="NV5" i="12"/>
  <c r="NX5" i="12" s="1"/>
  <c r="NY5" i="12"/>
  <c r="OA5" i="12" s="1"/>
  <c r="OB5" i="12"/>
  <c r="OD5" i="12" s="1"/>
  <c r="OE5" i="12"/>
  <c r="OG5" i="12" s="1"/>
  <c r="OH5" i="12"/>
  <c r="OJ5" i="12" s="1"/>
  <c r="OK5" i="12"/>
  <c r="OM5" i="12" s="1"/>
  <c r="ON5" i="12"/>
  <c r="OP5" i="12" s="1"/>
  <c r="NG7" i="12"/>
  <c r="NI7" i="12" s="1"/>
  <c r="NJ7" i="12"/>
  <c r="NL7" i="12" s="1"/>
  <c r="NM7" i="12"/>
  <c r="NO7" i="12" s="1"/>
  <c r="NP7" i="12"/>
  <c r="NR7" i="12" s="1"/>
  <c r="NS7" i="12"/>
  <c r="NU7" i="12" s="1"/>
  <c r="NV7" i="12"/>
  <c r="NX7" i="12" s="1"/>
  <c r="NY7" i="12"/>
  <c r="OA7" i="12" s="1"/>
  <c r="OB7" i="12"/>
  <c r="OD7" i="12" s="1"/>
  <c r="OE7" i="12"/>
  <c r="OG7" i="12" s="1"/>
  <c r="OH7" i="12"/>
  <c r="OJ7" i="12" s="1"/>
  <c r="OK7" i="12"/>
  <c r="OM7" i="12" s="1"/>
  <c r="ON7" i="12"/>
  <c r="OP7" i="12" s="1"/>
  <c r="NG8" i="12"/>
  <c r="NJ8" i="12"/>
  <c r="NM8" i="12"/>
  <c r="NP8" i="12"/>
  <c r="NR8" i="12" s="1"/>
  <c r="NS8" i="12"/>
  <c r="NU8" i="12" s="1"/>
  <c r="NV8" i="12"/>
  <c r="NX8" i="12" s="1"/>
  <c r="NY8" i="12"/>
  <c r="OA8" i="12" s="1"/>
  <c r="OB8" i="12"/>
  <c r="OD8" i="12" s="1"/>
  <c r="OE8" i="12"/>
  <c r="OG8" i="12" s="1"/>
  <c r="OH8" i="12"/>
  <c r="OJ8" i="12" s="1"/>
  <c r="OK8" i="12"/>
  <c r="OM8" i="12" s="1"/>
  <c r="ON8" i="12"/>
  <c r="OP8" i="12" s="1"/>
  <c r="NG9" i="12"/>
  <c r="NI9" i="12" s="1"/>
  <c r="NM9" i="12"/>
  <c r="NO9" i="12" s="1"/>
  <c r="NP9" i="12"/>
  <c r="NR9" i="12" s="1"/>
  <c r="NS9" i="12"/>
  <c r="NU9" i="12" s="1"/>
  <c r="NV9" i="12"/>
  <c r="NX9" i="12" s="1"/>
  <c r="NY9" i="12"/>
  <c r="OA9" i="12" s="1"/>
  <c r="OB9" i="12"/>
  <c r="OD9" i="12" s="1"/>
  <c r="OE9" i="12"/>
  <c r="OG9" i="12" s="1"/>
  <c r="OH9" i="12"/>
  <c r="OJ9" i="12" s="1"/>
  <c r="OK9" i="12"/>
  <c r="OM9" i="12" s="1"/>
  <c r="ON9" i="12"/>
  <c r="OP9" i="12" s="1"/>
  <c r="NG46" i="12"/>
  <c r="NI46" i="12" s="1"/>
  <c r="NJ46" i="12"/>
  <c r="NL46" i="12" s="1"/>
  <c r="NM46" i="12"/>
  <c r="NO46" i="12" s="1"/>
  <c r="NP46" i="12"/>
  <c r="NR46" i="12" s="1"/>
  <c r="NS46" i="12"/>
  <c r="NU46" i="12" s="1"/>
  <c r="NV46" i="12"/>
  <c r="NX46" i="12" s="1"/>
  <c r="NY46" i="12"/>
  <c r="OA46" i="12" s="1"/>
  <c r="OB46" i="12"/>
  <c r="OD46" i="12" s="1"/>
  <c r="OE46" i="12"/>
  <c r="OG46" i="12" s="1"/>
  <c r="OH46" i="12"/>
  <c r="OJ46" i="12" s="1"/>
  <c r="OK46" i="12"/>
  <c r="OM46" i="12" s="1"/>
  <c r="ON46" i="12"/>
  <c r="OP46" i="12" s="1"/>
  <c r="NG47" i="12"/>
  <c r="NI47" i="12" s="1"/>
  <c r="NJ47" i="12"/>
  <c r="NL47" i="12" s="1"/>
  <c r="NM47" i="12"/>
  <c r="NO47" i="12" s="1"/>
  <c r="NP47" i="12"/>
  <c r="NR47" i="12" s="1"/>
  <c r="NS47" i="12"/>
  <c r="NU47" i="12" s="1"/>
  <c r="NV47" i="12"/>
  <c r="NX47" i="12" s="1"/>
  <c r="NY47" i="12"/>
  <c r="OA47" i="12" s="1"/>
  <c r="OB47" i="12"/>
  <c r="OD47" i="12" s="1"/>
  <c r="OE47" i="12"/>
  <c r="OG47" i="12" s="1"/>
  <c r="OH47" i="12"/>
  <c r="OJ47" i="12" s="1"/>
  <c r="OK47" i="12"/>
  <c r="OM47" i="12" s="1"/>
  <c r="ON47" i="12"/>
  <c r="OP47" i="12" s="1"/>
  <c r="NG48" i="12"/>
  <c r="NI48" i="12" s="1"/>
  <c r="NJ48" i="12"/>
  <c r="NL48" i="12" s="1"/>
  <c r="NM48" i="12"/>
  <c r="NO48" i="12" s="1"/>
  <c r="NS48" i="12"/>
  <c r="NU48" i="12" s="1"/>
  <c r="NV48" i="12"/>
  <c r="NX48" i="12" s="1"/>
  <c r="NY48" i="12"/>
  <c r="OA48" i="12" s="1"/>
  <c r="OB48" i="12"/>
  <c r="OD48" i="12" s="1"/>
  <c r="OE48" i="12"/>
  <c r="OG48" i="12" s="1"/>
  <c r="OH48" i="12"/>
  <c r="OJ48" i="12" s="1"/>
  <c r="OK48" i="12"/>
  <c r="OM48" i="12" s="1"/>
  <c r="ON48" i="12"/>
  <c r="OP48" i="12" s="1"/>
  <c r="NG50" i="12"/>
  <c r="NI50" i="12" s="1"/>
  <c r="NM50" i="12"/>
  <c r="NO50" i="12" s="1"/>
  <c r="NP50" i="12"/>
  <c r="NR50" i="12" s="1"/>
  <c r="NS50" i="12"/>
  <c r="NU50" i="12" s="1"/>
  <c r="NV50" i="12"/>
  <c r="NX50" i="12" s="1"/>
  <c r="NY50" i="12"/>
  <c r="OA50" i="12" s="1"/>
  <c r="OB50" i="12"/>
  <c r="OD50" i="12" s="1"/>
  <c r="OE50" i="12"/>
  <c r="OG50" i="12" s="1"/>
  <c r="OH50" i="12"/>
  <c r="OJ50" i="12" s="1"/>
  <c r="OK50" i="12"/>
  <c r="OM50" i="12" s="1"/>
  <c r="ON50" i="12"/>
  <c r="OP50" i="12" s="1"/>
  <c r="NG51" i="12"/>
  <c r="NI51" i="12" s="1"/>
  <c r="NJ51" i="12"/>
  <c r="NL51" i="12" s="1"/>
  <c r="NM51" i="12"/>
  <c r="NO51" i="12" s="1"/>
  <c r="NP51" i="12"/>
  <c r="NR51" i="12" s="1"/>
  <c r="NS51" i="12"/>
  <c r="NU51" i="12" s="1"/>
  <c r="NV51" i="12"/>
  <c r="NX51" i="12" s="1"/>
  <c r="NY51" i="12"/>
  <c r="OA51" i="12" s="1"/>
  <c r="OB51" i="12"/>
  <c r="OD51" i="12" s="1"/>
  <c r="OE51" i="12"/>
  <c r="OG51" i="12" s="1"/>
  <c r="OH51" i="12"/>
  <c r="OJ51" i="12" s="1"/>
  <c r="OK51" i="12"/>
  <c r="OM51" i="12" s="1"/>
  <c r="ON51" i="12"/>
  <c r="OP51" i="12" s="1"/>
  <c r="NG49" i="12"/>
  <c r="NI49" i="12" s="1"/>
  <c r="NJ49" i="12"/>
  <c r="NL49" i="12" s="1"/>
  <c r="NM49" i="12"/>
  <c r="NO49" i="12" s="1"/>
  <c r="NS49" i="12"/>
  <c r="NU49" i="12" s="1"/>
  <c r="NV49" i="12"/>
  <c r="NX49" i="12" s="1"/>
  <c r="NY49" i="12"/>
  <c r="OA49" i="12" s="1"/>
  <c r="OB49" i="12"/>
  <c r="OD49" i="12" s="1"/>
  <c r="OE49" i="12"/>
  <c r="OG49" i="12" s="1"/>
  <c r="OH49" i="12"/>
  <c r="OJ49" i="12" s="1"/>
  <c r="OK49" i="12"/>
  <c r="OM49" i="12" s="1"/>
  <c r="ON49" i="12"/>
  <c r="OP49" i="12" s="1"/>
  <c r="NG52" i="12"/>
  <c r="NI52" i="12" s="1"/>
  <c r="NJ52" i="12"/>
  <c r="NL52" i="12" s="1"/>
  <c r="NM52" i="12"/>
  <c r="NO52" i="12" s="1"/>
  <c r="NP52" i="12"/>
  <c r="NR52" i="12" s="1"/>
  <c r="NS52" i="12"/>
  <c r="NU52" i="12" s="1"/>
  <c r="NV52" i="12"/>
  <c r="NX52" i="12" s="1"/>
  <c r="NY52" i="12"/>
  <c r="OA52" i="12" s="1"/>
  <c r="OB52" i="12"/>
  <c r="OD52" i="12" s="1"/>
  <c r="OE52" i="12"/>
  <c r="OG52" i="12" s="1"/>
  <c r="OH52" i="12"/>
  <c r="OJ52" i="12" s="1"/>
  <c r="OK52" i="12"/>
  <c r="OM52" i="12" s="1"/>
  <c r="ON52" i="12"/>
  <c r="OP52" i="12" s="1"/>
  <c r="NG54" i="12"/>
  <c r="NI54" i="12" s="1"/>
  <c r="NJ54" i="12"/>
  <c r="NL54" i="12" s="1"/>
  <c r="NM54" i="12"/>
  <c r="NO54" i="12" s="1"/>
  <c r="NP54" i="12"/>
  <c r="NR54" i="12" s="1"/>
  <c r="NS54" i="12"/>
  <c r="NU54" i="12" s="1"/>
  <c r="NV54" i="12"/>
  <c r="NX54" i="12" s="1"/>
  <c r="NY54" i="12"/>
  <c r="OA54" i="12" s="1"/>
  <c r="OB54" i="12"/>
  <c r="OD54" i="12" s="1"/>
  <c r="OE54" i="12"/>
  <c r="OG54" i="12" s="1"/>
  <c r="OH54" i="12"/>
  <c r="OJ54" i="12" s="1"/>
  <c r="OK54" i="12"/>
  <c r="OM54" i="12" s="1"/>
  <c r="ON54" i="12"/>
  <c r="OP54" i="12" s="1"/>
  <c r="NG56" i="12"/>
  <c r="NI56" i="12" s="1"/>
  <c r="NM56" i="12"/>
  <c r="NO56" i="12" s="1"/>
  <c r="NP56" i="12"/>
  <c r="NR56" i="12" s="1"/>
  <c r="NS56" i="12"/>
  <c r="NU56" i="12" s="1"/>
  <c r="NV56" i="12"/>
  <c r="NX56" i="12" s="1"/>
  <c r="NY56" i="12"/>
  <c r="OA56" i="12" s="1"/>
  <c r="OB56" i="12"/>
  <c r="OD56" i="12" s="1"/>
  <c r="OE56" i="12"/>
  <c r="OG56" i="12" s="1"/>
  <c r="OH56" i="12"/>
  <c r="OJ56" i="12" s="1"/>
  <c r="OK56" i="12"/>
  <c r="OM56" i="12" s="1"/>
  <c r="ON56" i="12"/>
  <c r="OP56" i="12" s="1"/>
  <c r="NG57" i="12"/>
  <c r="NI57" i="12" s="1"/>
  <c r="NM57" i="12"/>
  <c r="NO57" i="12" s="1"/>
  <c r="NP57" i="12"/>
  <c r="NR57" i="12" s="1"/>
  <c r="NS57" i="12"/>
  <c r="NU57" i="12" s="1"/>
  <c r="NV57" i="12"/>
  <c r="NX57" i="12" s="1"/>
  <c r="NY57" i="12"/>
  <c r="OA57" i="12" s="1"/>
  <c r="OB57" i="12"/>
  <c r="OD57" i="12" s="1"/>
  <c r="OE57" i="12"/>
  <c r="OG57" i="12" s="1"/>
  <c r="OH57" i="12"/>
  <c r="OJ57" i="12" s="1"/>
  <c r="OK57" i="12"/>
  <c r="OM57" i="12" s="1"/>
  <c r="ON57" i="12"/>
  <c r="OP57" i="12" s="1"/>
  <c r="NG58" i="12"/>
  <c r="NI58" i="12" s="1"/>
  <c r="NJ58" i="12"/>
  <c r="NL58" i="12" s="1"/>
  <c r="NM58" i="12"/>
  <c r="NO58" i="12" s="1"/>
  <c r="NP58" i="12"/>
  <c r="NR58" i="12" s="1"/>
  <c r="NS58" i="12"/>
  <c r="NU58" i="12" s="1"/>
  <c r="NV58" i="12"/>
  <c r="NY58" i="12"/>
  <c r="OA58" i="12" s="1"/>
  <c r="OB58" i="12"/>
  <c r="OD58" i="12" s="1"/>
  <c r="OE58" i="12"/>
  <c r="OG58" i="12" s="1"/>
  <c r="OH58" i="12"/>
  <c r="OJ58" i="12" s="1"/>
  <c r="OK58" i="12"/>
  <c r="OM58" i="12" s="1"/>
  <c r="ON58" i="12"/>
  <c r="OP58" i="12" s="1"/>
  <c r="NG59" i="12"/>
  <c r="NI59" i="12" s="1"/>
  <c r="NJ59" i="12"/>
  <c r="NL59" i="12" s="1"/>
  <c r="NM59" i="12"/>
  <c r="NO59" i="12" s="1"/>
  <c r="NP59" i="12"/>
  <c r="NR59" i="12" s="1"/>
  <c r="NS59" i="12"/>
  <c r="NU59" i="12" s="1"/>
  <c r="NV59" i="12"/>
  <c r="NX59" i="12" s="1"/>
  <c r="NY59" i="12"/>
  <c r="OA59" i="12" s="1"/>
  <c r="OB59" i="12"/>
  <c r="OD59" i="12" s="1"/>
  <c r="OE59" i="12"/>
  <c r="OG59" i="12" s="1"/>
  <c r="OH59" i="12"/>
  <c r="OJ59" i="12" s="1"/>
  <c r="OK59" i="12"/>
  <c r="OM59" i="12" s="1"/>
  <c r="ON59" i="12"/>
  <c r="OP59" i="12" s="1"/>
  <c r="NG55" i="12"/>
  <c r="NI55" i="12" s="1"/>
  <c r="NJ55" i="12"/>
  <c r="NL55" i="12" s="1"/>
  <c r="NM55" i="12"/>
  <c r="NO55" i="12" s="1"/>
  <c r="NS55" i="12"/>
  <c r="NU55" i="12" s="1"/>
  <c r="NV55" i="12"/>
  <c r="NX55" i="12" s="1"/>
  <c r="NY55" i="12"/>
  <c r="OA55" i="12" s="1"/>
  <c r="OB55" i="12"/>
  <c r="OD55" i="12" s="1"/>
  <c r="OE55" i="12"/>
  <c r="OG55" i="12" s="1"/>
  <c r="OH55" i="12"/>
  <c r="OJ55" i="12" s="1"/>
  <c r="OK55" i="12"/>
  <c r="OM55" i="12" s="1"/>
  <c r="ON55" i="12"/>
  <c r="OP55" i="12" s="1"/>
  <c r="NG63" i="12"/>
  <c r="NI63" i="12" s="1"/>
  <c r="NJ63" i="12"/>
  <c r="NL63" i="12" s="1"/>
  <c r="NM63" i="12"/>
  <c r="NO63" i="12" s="1"/>
  <c r="NP63" i="12"/>
  <c r="NR63" i="12" s="1"/>
  <c r="NS63" i="12"/>
  <c r="NU63" i="12" s="1"/>
  <c r="NV63" i="12"/>
  <c r="NX63" i="12" s="1"/>
  <c r="NY63" i="12"/>
  <c r="OA63" i="12" s="1"/>
  <c r="OB63" i="12"/>
  <c r="OD63" i="12" s="1"/>
  <c r="OE63" i="12"/>
  <c r="OG63" i="12" s="1"/>
  <c r="OH63" i="12"/>
  <c r="OJ63" i="12" s="1"/>
  <c r="OK63" i="12"/>
  <c r="OM63" i="12" s="1"/>
  <c r="ON63" i="12"/>
  <c r="OP63" i="12" s="1"/>
  <c r="NG62" i="12"/>
  <c r="NI62" i="12" s="1"/>
  <c r="NJ62" i="12"/>
  <c r="NL62" i="12" s="1"/>
  <c r="NM62" i="12"/>
  <c r="NO62" i="12" s="1"/>
  <c r="NS62" i="12"/>
  <c r="NU62" i="12" s="1"/>
  <c r="NV62" i="12"/>
  <c r="NX62" i="12" s="1"/>
  <c r="NY62" i="12"/>
  <c r="OA62" i="12" s="1"/>
  <c r="OB62" i="12"/>
  <c r="OD62" i="12" s="1"/>
  <c r="OE62" i="12"/>
  <c r="OG62" i="12" s="1"/>
  <c r="OH62" i="12"/>
  <c r="OJ62" i="12" s="1"/>
  <c r="OK62" i="12"/>
  <c r="OM62" i="12" s="1"/>
  <c r="ON62" i="12"/>
  <c r="OP62" i="12" s="1"/>
  <c r="NG66" i="12"/>
  <c r="NI66" i="12" s="1"/>
  <c r="NJ66" i="12"/>
  <c r="NL66" i="12" s="1"/>
  <c r="NM66" i="12"/>
  <c r="NO66" i="12" s="1"/>
  <c r="NP66" i="12"/>
  <c r="NR66" i="12" s="1"/>
  <c r="NS66" i="12"/>
  <c r="NU66" i="12" s="1"/>
  <c r="NV66" i="12"/>
  <c r="NX66" i="12" s="1"/>
  <c r="NY66" i="12"/>
  <c r="OA66" i="12" s="1"/>
  <c r="OB66" i="12"/>
  <c r="OD66" i="12" s="1"/>
  <c r="OE66" i="12"/>
  <c r="OG66" i="12" s="1"/>
  <c r="OH66" i="12"/>
  <c r="OJ66" i="12" s="1"/>
  <c r="OK66" i="12"/>
  <c r="OM66" i="12" s="1"/>
  <c r="ON66" i="12"/>
  <c r="OP66" i="12" s="1"/>
  <c r="NG67" i="12"/>
  <c r="NI67" i="12" s="1"/>
  <c r="NJ67" i="12"/>
  <c r="NL67" i="12" s="1"/>
  <c r="NM67" i="12"/>
  <c r="NO67" i="12" s="1"/>
  <c r="NP67" i="12"/>
  <c r="NR67" i="12" s="1"/>
  <c r="NS67" i="12"/>
  <c r="NU67" i="12" s="1"/>
  <c r="NV67" i="12"/>
  <c r="NX67" i="12" s="1"/>
  <c r="NY67" i="12"/>
  <c r="OA67" i="12" s="1"/>
  <c r="OB67" i="12"/>
  <c r="OD67" i="12" s="1"/>
  <c r="OE67" i="12"/>
  <c r="OG67" i="12" s="1"/>
  <c r="OH67" i="12"/>
  <c r="OJ67" i="12" s="1"/>
  <c r="OK67" i="12"/>
  <c r="OM67" i="12" s="1"/>
  <c r="ON67" i="12"/>
  <c r="OP67" i="12" s="1"/>
  <c r="NG69" i="12"/>
  <c r="NI69" i="12" s="1"/>
  <c r="NJ69" i="12"/>
  <c r="NL69" i="12" s="1"/>
  <c r="NM69" i="12"/>
  <c r="NO69" i="12" s="1"/>
  <c r="NP69" i="12"/>
  <c r="NR69" i="12" s="1"/>
  <c r="NS69" i="12"/>
  <c r="NU69" i="12" s="1"/>
  <c r="NV69" i="12"/>
  <c r="NX69" i="12" s="1"/>
  <c r="NY69" i="12"/>
  <c r="OA69" i="12" s="1"/>
  <c r="OB69" i="12"/>
  <c r="OD69" i="12" s="1"/>
  <c r="OE69" i="12"/>
  <c r="OG69" i="12" s="1"/>
  <c r="OH69" i="12"/>
  <c r="OJ69" i="12" s="1"/>
  <c r="OK69" i="12"/>
  <c r="OM69" i="12" s="1"/>
  <c r="ON69" i="12"/>
  <c r="OP69" i="12" s="1"/>
  <c r="NG70" i="12"/>
  <c r="NI70" i="12" s="1"/>
  <c r="NM70" i="12"/>
  <c r="NO70" i="12" s="1"/>
  <c r="NP70" i="12"/>
  <c r="NR70" i="12" s="1"/>
  <c r="NS70" i="12"/>
  <c r="NU70" i="12" s="1"/>
  <c r="NV70" i="12"/>
  <c r="NX70" i="12" s="1"/>
  <c r="NY70" i="12"/>
  <c r="OA70" i="12" s="1"/>
  <c r="OB70" i="12"/>
  <c r="OD70" i="12" s="1"/>
  <c r="OE70" i="12"/>
  <c r="OG70" i="12" s="1"/>
  <c r="OH70" i="12"/>
  <c r="OJ70" i="12" s="1"/>
  <c r="OK70" i="12"/>
  <c r="OM70" i="12" s="1"/>
  <c r="ON70" i="12"/>
  <c r="OP70" i="12" s="1"/>
  <c r="NG71" i="12"/>
  <c r="NI71" i="12" s="1"/>
  <c r="NJ71" i="12"/>
  <c r="NL71" i="12" s="1"/>
  <c r="NM71" i="12"/>
  <c r="NO71" i="12" s="1"/>
  <c r="NP71" i="12"/>
  <c r="NR71" i="12" s="1"/>
  <c r="NS71" i="12"/>
  <c r="NU71" i="12" s="1"/>
  <c r="NV71" i="12"/>
  <c r="NX71" i="12" s="1"/>
  <c r="NY71" i="12"/>
  <c r="OA71" i="12" s="1"/>
  <c r="OB71" i="12"/>
  <c r="OD71" i="12" s="1"/>
  <c r="OE71" i="12"/>
  <c r="OG71" i="12" s="1"/>
  <c r="OH71" i="12"/>
  <c r="OJ71" i="12" s="1"/>
  <c r="OK71" i="12"/>
  <c r="OM71" i="12" s="1"/>
  <c r="ON71" i="12"/>
  <c r="OP71" i="12" s="1"/>
  <c r="NG68" i="12"/>
  <c r="NI68" i="12" s="1"/>
  <c r="NJ68" i="12"/>
  <c r="NL68" i="12" s="1"/>
  <c r="NM68" i="12"/>
  <c r="NO68" i="12" s="1"/>
  <c r="NP68" i="12"/>
  <c r="NR68" i="12" s="1"/>
  <c r="NS68" i="12"/>
  <c r="NU68" i="12" s="1"/>
  <c r="NV68" i="12"/>
  <c r="NX68" i="12" s="1"/>
  <c r="NY68" i="12"/>
  <c r="OA68" i="12" s="1"/>
  <c r="OB68" i="12"/>
  <c r="OD68" i="12" s="1"/>
  <c r="OE68" i="12"/>
  <c r="OG68" i="12" s="1"/>
  <c r="OH68" i="12"/>
  <c r="OJ68" i="12" s="1"/>
  <c r="OK68" i="12"/>
  <c r="OM68" i="12" s="1"/>
  <c r="ON68" i="12"/>
  <c r="OP68" i="12" s="1"/>
  <c r="NG73" i="12"/>
  <c r="NI73" i="12" s="1"/>
  <c r="NJ73" i="12"/>
  <c r="NL73" i="12" s="1"/>
  <c r="NM73" i="12"/>
  <c r="NO73" i="12" s="1"/>
  <c r="NP73" i="12"/>
  <c r="NR73" i="12" s="1"/>
  <c r="NS73" i="12"/>
  <c r="NU73" i="12" s="1"/>
  <c r="NV73" i="12"/>
  <c r="NX73" i="12" s="1"/>
  <c r="NY73" i="12"/>
  <c r="OA73" i="12" s="1"/>
  <c r="OB73" i="12"/>
  <c r="OD73" i="12" s="1"/>
  <c r="OE73" i="12"/>
  <c r="OG73" i="12" s="1"/>
  <c r="OH73" i="12"/>
  <c r="OJ73" i="12" s="1"/>
  <c r="OK73" i="12"/>
  <c r="OM73" i="12" s="1"/>
  <c r="ON73" i="12"/>
  <c r="OP73" i="12" s="1"/>
  <c r="NG74" i="12"/>
  <c r="NI74" i="12" s="1"/>
  <c r="NM74" i="12"/>
  <c r="NO74" i="12" s="1"/>
  <c r="NP74" i="12"/>
  <c r="NR74" i="12" s="1"/>
  <c r="NS74" i="12"/>
  <c r="NU74" i="12" s="1"/>
  <c r="NV74" i="12"/>
  <c r="NX74" i="12" s="1"/>
  <c r="NY74" i="12"/>
  <c r="OA74" i="12" s="1"/>
  <c r="OB74" i="12"/>
  <c r="OD74" i="12" s="1"/>
  <c r="OE74" i="12"/>
  <c r="OG74" i="12" s="1"/>
  <c r="OH74" i="12"/>
  <c r="OJ74" i="12" s="1"/>
  <c r="OK74" i="12"/>
  <c r="OM74" i="12" s="1"/>
  <c r="ON74" i="12"/>
  <c r="OP74" i="12" s="1"/>
  <c r="NG75" i="12"/>
  <c r="NI75" i="12" s="1"/>
  <c r="NJ75" i="12"/>
  <c r="NL75" i="12" s="1"/>
  <c r="NM75" i="12"/>
  <c r="NO75" i="12" s="1"/>
  <c r="NP75" i="12"/>
  <c r="NR75" i="12" s="1"/>
  <c r="NS75" i="12"/>
  <c r="NU75" i="12" s="1"/>
  <c r="NV75" i="12"/>
  <c r="NX75" i="12" s="1"/>
  <c r="NY75" i="12"/>
  <c r="OA75" i="12" s="1"/>
  <c r="OB75" i="12"/>
  <c r="OD75" i="12" s="1"/>
  <c r="OE75" i="12"/>
  <c r="OG75" i="12" s="1"/>
  <c r="OH75" i="12"/>
  <c r="OJ75" i="12" s="1"/>
  <c r="OK75" i="12"/>
  <c r="OM75" i="12" s="1"/>
  <c r="ON75" i="12"/>
  <c r="OP75" i="12" s="1"/>
  <c r="NG76" i="12"/>
  <c r="NI76" i="12" s="1"/>
  <c r="NJ76" i="12"/>
  <c r="NL76" i="12" s="1"/>
  <c r="NM76" i="12"/>
  <c r="NO76" i="12" s="1"/>
  <c r="NP76" i="12"/>
  <c r="NR76" i="12" s="1"/>
  <c r="NS76" i="12"/>
  <c r="NU76" i="12" s="1"/>
  <c r="NV76" i="12"/>
  <c r="NX76" i="12" s="1"/>
  <c r="NY76" i="12"/>
  <c r="OA76" i="12" s="1"/>
  <c r="OB76" i="12"/>
  <c r="OD76" i="12" s="1"/>
  <c r="OE76" i="12"/>
  <c r="OG76" i="12" s="1"/>
  <c r="OH76" i="12"/>
  <c r="OJ76" i="12" s="1"/>
  <c r="OK76" i="12"/>
  <c r="OM76" i="12" s="1"/>
  <c r="ON76" i="12"/>
  <c r="OP76" i="12" s="1"/>
  <c r="NG78" i="12"/>
  <c r="NI78" i="12" s="1"/>
  <c r="NJ78" i="12"/>
  <c r="NL78" i="12" s="1"/>
  <c r="NM78" i="12"/>
  <c r="NO78" i="12" s="1"/>
  <c r="NP78" i="12"/>
  <c r="NR78" i="12" s="1"/>
  <c r="NS78" i="12"/>
  <c r="NU78" i="12" s="1"/>
  <c r="NV78" i="12"/>
  <c r="NX78" i="12" s="1"/>
  <c r="NY78" i="12"/>
  <c r="OA78" i="12" s="1"/>
  <c r="OB78" i="12"/>
  <c r="OD78" i="12" s="1"/>
  <c r="OE78" i="12"/>
  <c r="OG78" i="12" s="1"/>
  <c r="OH78" i="12"/>
  <c r="OJ78" i="12" s="1"/>
  <c r="OK78" i="12"/>
  <c r="OM78" i="12" s="1"/>
  <c r="ON78" i="12"/>
  <c r="OP78" i="12" s="1"/>
  <c r="NG80" i="12"/>
  <c r="NI80" i="12" s="1"/>
  <c r="NM80" i="12"/>
  <c r="NO80" i="12" s="1"/>
  <c r="NP80" i="12"/>
  <c r="NR80" i="12" s="1"/>
  <c r="NS80" i="12"/>
  <c r="NU80" i="12" s="1"/>
  <c r="NV80" i="12"/>
  <c r="NY80" i="12"/>
  <c r="OA80" i="12" s="1"/>
  <c r="OB80" i="12"/>
  <c r="OD80" i="12" s="1"/>
  <c r="OE80" i="12"/>
  <c r="OG80" i="12" s="1"/>
  <c r="OH80" i="12"/>
  <c r="OJ80" i="12" s="1"/>
  <c r="OK80" i="12"/>
  <c r="OM80" i="12" s="1"/>
  <c r="ON80" i="12"/>
  <c r="OP80" i="12" s="1"/>
  <c r="NG81" i="12"/>
  <c r="NI81" i="12" s="1"/>
  <c r="NJ81" i="12"/>
  <c r="NL81" i="12" s="1"/>
  <c r="NM81" i="12"/>
  <c r="NO81" i="12" s="1"/>
  <c r="NP81" i="12"/>
  <c r="NR81" i="12" s="1"/>
  <c r="NS81" i="12"/>
  <c r="NU81" i="12" s="1"/>
  <c r="NV81" i="12"/>
  <c r="NX81" i="12" s="1"/>
  <c r="NY81" i="12"/>
  <c r="OA81" i="12" s="1"/>
  <c r="OB81" i="12"/>
  <c r="OD81" i="12" s="1"/>
  <c r="OE81" i="12"/>
  <c r="OG81" i="12" s="1"/>
  <c r="OH81" i="12"/>
  <c r="OJ81" i="12" s="1"/>
  <c r="OK81" i="12"/>
  <c r="OM81" i="12" s="1"/>
  <c r="ON81" i="12"/>
  <c r="OP81" i="12" s="1"/>
  <c r="NG82" i="12"/>
  <c r="NI82" i="12" s="1"/>
  <c r="NJ82" i="12"/>
  <c r="NL82" i="12" s="1"/>
  <c r="NM82" i="12"/>
  <c r="NO82" i="12" s="1"/>
  <c r="NP82" i="12"/>
  <c r="NR82" i="12" s="1"/>
  <c r="NS82" i="12"/>
  <c r="NU82" i="12" s="1"/>
  <c r="NV82" i="12"/>
  <c r="NX82" i="12" s="1"/>
  <c r="NY82" i="12"/>
  <c r="OA82" i="12" s="1"/>
  <c r="OB82" i="12"/>
  <c r="OD82" i="12" s="1"/>
  <c r="OE82" i="12"/>
  <c r="OG82" i="12" s="1"/>
  <c r="OH82" i="12"/>
  <c r="OJ82" i="12" s="1"/>
  <c r="OK82" i="12"/>
  <c r="OM82" i="12" s="1"/>
  <c r="ON82" i="12"/>
  <c r="OP82" i="12" s="1"/>
  <c r="NG83" i="12"/>
  <c r="NI83" i="12" s="1"/>
  <c r="NJ83" i="12"/>
  <c r="NL83" i="12" s="1"/>
  <c r="NM83" i="12"/>
  <c r="NO83" i="12" s="1"/>
  <c r="NP83" i="12"/>
  <c r="NR83" i="12" s="1"/>
  <c r="NS83" i="12"/>
  <c r="NU83" i="12" s="1"/>
  <c r="NV83" i="12"/>
  <c r="NX83" i="12" s="1"/>
  <c r="NY83" i="12"/>
  <c r="OA83" i="12" s="1"/>
  <c r="OB83" i="12"/>
  <c r="OD83" i="12" s="1"/>
  <c r="OE83" i="12"/>
  <c r="OG83" i="12" s="1"/>
  <c r="OH83" i="12"/>
  <c r="OJ83" i="12" s="1"/>
  <c r="OK83" i="12"/>
  <c r="OM83" i="12" s="1"/>
  <c r="ON83" i="12"/>
  <c r="OP83" i="12" s="1"/>
  <c r="NG84" i="12"/>
  <c r="NI84" i="12" s="1"/>
  <c r="NJ84" i="12"/>
  <c r="NL84" i="12" s="1"/>
  <c r="NM84" i="12"/>
  <c r="NO84" i="12" s="1"/>
  <c r="NP84" i="12"/>
  <c r="NR84" i="12" s="1"/>
  <c r="NS84" i="12"/>
  <c r="NU84" i="12" s="1"/>
  <c r="NV84" i="12"/>
  <c r="NX84" i="12" s="1"/>
  <c r="NY84" i="12"/>
  <c r="OA84" i="12" s="1"/>
  <c r="OB84" i="12"/>
  <c r="OD84" i="12" s="1"/>
  <c r="OE84" i="12"/>
  <c r="OG84" i="12" s="1"/>
  <c r="OH84" i="12"/>
  <c r="OJ84" i="12" s="1"/>
  <c r="OK84" i="12"/>
  <c r="OM84" i="12" s="1"/>
  <c r="ON84" i="12"/>
  <c r="OP84" i="12" s="1"/>
  <c r="NG86" i="12"/>
  <c r="NI86" i="12" s="1"/>
  <c r="NJ86" i="12"/>
  <c r="NL86" i="12" s="1"/>
  <c r="NM86" i="12"/>
  <c r="NO86" i="12" s="1"/>
  <c r="NP86" i="12"/>
  <c r="NR86" i="12" s="1"/>
  <c r="NS86" i="12"/>
  <c r="NU86" i="12" s="1"/>
  <c r="NV86" i="12"/>
  <c r="NX86" i="12" s="1"/>
  <c r="NY86" i="12"/>
  <c r="OA86" i="12" s="1"/>
  <c r="OB86" i="12"/>
  <c r="OD86" i="12" s="1"/>
  <c r="OE86" i="12"/>
  <c r="OG86" i="12" s="1"/>
  <c r="OH86" i="12"/>
  <c r="OJ86" i="12" s="1"/>
  <c r="OK86" i="12"/>
  <c r="OM86" i="12" s="1"/>
  <c r="ON86" i="12"/>
  <c r="OP86" i="12" s="1"/>
  <c r="NG88" i="12"/>
  <c r="NI88" i="12" s="1"/>
  <c r="NJ88" i="12"/>
  <c r="NL88" i="12" s="1"/>
  <c r="NM88" i="12"/>
  <c r="NO88" i="12" s="1"/>
  <c r="NP88" i="12"/>
  <c r="NR88" i="12" s="1"/>
  <c r="NS88" i="12"/>
  <c r="NU88" i="12" s="1"/>
  <c r="NV88" i="12"/>
  <c r="NX88" i="12" s="1"/>
  <c r="NY88" i="12"/>
  <c r="OA88" i="12" s="1"/>
  <c r="OB88" i="12"/>
  <c r="OD88" i="12" s="1"/>
  <c r="OE88" i="12"/>
  <c r="OG88" i="12" s="1"/>
  <c r="OH88" i="12"/>
  <c r="OJ88" i="12" s="1"/>
  <c r="OK88" i="12"/>
  <c r="OM88" i="12" s="1"/>
  <c r="ON88" i="12"/>
  <c r="OP88" i="12" s="1"/>
  <c r="NG89" i="12"/>
  <c r="NI89" i="12" s="1"/>
  <c r="NJ89" i="12"/>
  <c r="NL89" i="12" s="1"/>
  <c r="NM89" i="12"/>
  <c r="NO89" i="12" s="1"/>
  <c r="NP89" i="12"/>
  <c r="NR89" i="12" s="1"/>
  <c r="NS89" i="12"/>
  <c r="NU89" i="12" s="1"/>
  <c r="NV89" i="12"/>
  <c r="NX89" i="12" s="1"/>
  <c r="NY89" i="12"/>
  <c r="OA89" i="12" s="1"/>
  <c r="OB89" i="12"/>
  <c r="OD89" i="12" s="1"/>
  <c r="OE89" i="12"/>
  <c r="OG89" i="12" s="1"/>
  <c r="OH89" i="12"/>
  <c r="OJ89" i="12" s="1"/>
  <c r="OK89" i="12"/>
  <c r="OM89" i="12" s="1"/>
  <c r="ON89" i="12"/>
  <c r="OP89" i="12" s="1"/>
  <c r="NJ90" i="12"/>
  <c r="NL90" i="12" s="1"/>
  <c r="NM90" i="12"/>
  <c r="NO90" i="12" s="1"/>
  <c r="NP90" i="12"/>
  <c r="NR90" i="12" s="1"/>
  <c r="NS90" i="12"/>
  <c r="NU90" i="12" s="1"/>
  <c r="NV90" i="12"/>
  <c r="NX90" i="12" s="1"/>
  <c r="NY90" i="12"/>
  <c r="OA90" i="12" s="1"/>
  <c r="OB90" i="12"/>
  <c r="OD90" i="12" s="1"/>
  <c r="OE90" i="12"/>
  <c r="OG90" i="12" s="1"/>
  <c r="OH90" i="12"/>
  <c r="OJ90" i="12" s="1"/>
  <c r="OK90" i="12"/>
  <c r="OM90" i="12" s="1"/>
  <c r="ON90" i="12"/>
  <c r="OP90" i="12" s="1"/>
  <c r="NG91" i="12"/>
  <c r="NI91" i="12" s="1"/>
  <c r="NM91" i="12"/>
  <c r="NO91" i="12" s="1"/>
  <c r="NP91" i="12"/>
  <c r="NR91" i="12" s="1"/>
  <c r="NS91" i="12"/>
  <c r="NU91" i="12" s="1"/>
  <c r="NV91" i="12"/>
  <c r="NX91" i="12" s="1"/>
  <c r="NY91" i="12"/>
  <c r="OA91" i="12" s="1"/>
  <c r="OB91" i="12"/>
  <c r="OD91" i="12" s="1"/>
  <c r="OE91" i="12"/>
  <c r="OG91" i="12" s="1"/>
  <c r="OH91" i="12"/>
  <c r="OJ91" i="12" s="1"/>
  <c r="OK91" i="12"/>
  <c r="OM91" i="12" s="1"/>
  <c r="ON91" i="12"/>
  <c r="OP91" i="12" s="1"/>
  <c r="NG93" i="12"/>
  <c r="NI93" i="12" s="1"/>
  <c r="NJ93" i="12"/>
  <c r="NL93" i="12" s="1"/>
  <c r="NM93" i="12"/>
  <c r="NO93" i="12" s="1"/>
  <c r="NP93" i="12"/>
  <c r="NR93" i="12" s="1"/>
  <c r="NS93" i="12"/>
  <c r="NU93" i="12" s="1"/>
  <c r="NV93" i="12"/>
  <c r="NX93" i="12" s="1"/>
  <c r="NY93" i="12"/>
  <c r="OA93" i="12" s="1"/>
  <c r="OB93" i="12"/>
  <c r="OD93" i="12" s="1"/>
  <c r="OE93" i="12"/>
  <c r="OG93" i="12" s="1"/>
  <c r="OH93" i="12"/>
  <c r="OJ93" i="12" s="1"/>
  <c r="OK93" i="12"/>
  <c r="OM93" i="12" s="1"/>
  <c r="ON93" i="12"/>
  <c r="OP93" i="12" s="1"/>
  <c r="NG94" i="12"/>
  <c r="NI94" i="12" s="1"/>
  <c r="NM94" i="12"/>
  <c r="NO94" i="12" s="1"/>
  <c r="NP94" i="12"/>
  <c r="NR94" i="12" s="1"/>
  <c r="NS94" i="12"/>
  <c r="NU94" i="12" s="1"/>
  <c r="NV94" i="12"/>
  <c r="NX94" i="12" s="1"/>
  <c r="NY94" i="12"/>
  <c r="OA94" i="12" s="1"/>
  <c r="OB94" i="12"/>
  <c r="OD94" i="12" s="1"/>
  <c r="OE94" i="12"/>
  <c r="OG94" i="12" s="1"/>
  <c r="OH94" i="12"/>
  <c r="OJ94" i="12" s="1"/>
  <c r="OK94" i="12"/>
  <c r="OM94" i="12" s="1"/>
  <c r="ON94" i="12"/>
  <c r="OP94" i="12" s="1"/>
  <c r="NG95" i="12"/>
  <c r="NI95" i="12" s="1"/>
  <c r="NJ95" i="12"/>
  <c r="NL95" i="12" s="1"/>
  <c r="NM95" i="12"/>
  <c r="NO95" i="12" s="1"/>
  <c r="NP95" i="12"/>
  <c r="NR95" i="12" s="1"/>
  <c r="NS95" i="12"/>
  <c r="NU95" i="12" s="1"/>
  <c r="NV95" i="12"/>
  <c r="NX95" i="12" s="1"/>
  <c r="NY95" i="12"/>
  <c r="OA95" i="12" s="1"/>
  <c r="OB95" i="12"/>
  <c r="OD95" i="12" s="1"/>
  <c r="OE95" i="12"/>
  <c r="OG95" i="12" s="1"/>
  <c r="OH95" i="12"/>
  <c r="OJ95" i="12" s="1"/>
  <c r="OK95" i="12"/>
  <c r="OM95" i="12" s="1"/>
  <c r="ON95" i="12"/>
  <c r="OP95" i="12" s="1"/>
  <c r="NG96" i="12"/>
  <c r="NI96" i="12" s="1"/>
  <c r="NJ96" i="12"/>
  <c r="NL96" i="12" s="1"/>
  <c r="NM96" i="12"/>
  <c r="NO96" i="12" s="1"/>
  <c r="NP96" i="12"/>
  <c r="NR96" i="12" s="1"/>
  <c r="NS96" i="12"/>
  <c r="NU96" i="12" s="1"/>
  <c r="NV96" i="12"/>
  <c r="NX96" i="12" s="1"/>
  <c r="NY96" i="12"/>
  <c r="OA96" i="12" s="1"/>
  <c r="OB96" i="12"/>
  <c r="OD96" i="12" s="1"/>
  <c r="OE96" i="12"/>
  <c r="OG96" i="12" s="1"/>
  <c r="OH96" i="12"/>
  <c r="OJ96" i="12" s="1"/>
  <c r="OK96" i="12"/>
  <c r="OM96" i="12" s="1"/>
  <c r="ON96" i="12"/>
  <c r="OP96" i="12" s="1"/>
  <c r="NG97" i="12"/>
  <c r="NI97" i="12" s="1"/>
  <c r="NJ97" i="12"/>
  <c r="NL97" i="12" s="1"/>
  <c r="NM97" i="12"/>
  <c r="NO97" i="12" s="1"/>
  <c r="NP97" i="12"/>
  <c r="NR97" i="12" s="1"/>
  <c r="NS97" i="12"/>
  <c r="NU97" i="12" s="1"/>
  <c r="NV97" i="12"/>
  <c r="NX97" i="12" s="1"/>
  <c r="NY97" i="12"/>
  <c r="OA97" i="12" s="1"/>
  <c r="OB97" i="12"/>
  <c r="OD97" i="12" s="1"/>
  <c r="OE97" i="12"/>
  <c r="OG97" i="12" s="1"/>
  <c r="OH97" i="12"/>
  <c r="OJ97" i="12" s="1"/>
  <c r="OK97" i="12"/>
  <c r="OM97" i="12" s="1"/>
  <c r="ON97" i="12"/>
  <c r="OP97" i="12" s="1"/>
  <c r="NG98" i="12"/>
  <c r="NI98" i="12" s="1"/>
  <c r="NJ98" i="12"/>
  <c r="NL98" i="12" s="1"/>
  <c r="NM98" i="12"/>
  <c r="NO98" i="12" s="1"/>
  <c r="NP98" i="12"/>
  <c r="NR98" i="12" s="1"/>
  <c r="NS98" i="12"/>
  <c r="NU98" i="12" s="1"/>
  <c r="NV98" i="12"/>
  <c r="NX98" i="12" s="1"/>
  <c r="NY98" i="12"/>
  <c r="OA98" i="12" s="1"/>
  <c r="OB98" i="12"/>
  <c r="OD98" i="12" s="1"/>
  <c r="OE98" i="12"/>
  <c r="OG98" i="12" s="1"/>
  <c r="OH98" i="12"/>
  <c r="OJ98" i="12" s="1"/>
  <c r="OK98" i="12"/>
  <c r="OM98" i="12" s="1"/>
  <c r="ON98" i="12"/>
  <c r="OP98" i="12" s="1"/>
  <c r="NG100" i="12"/>
  <c r="NI100" i="12" s="1"/>
  <c r="NJ100" i="12"/>
  <c r="NL100" i="12" s="1"/>
  <c r="NM100" i="12"/>
  <c r="NO100" i="12" s="1"/>
  <c r="NP100" i="12"/>
  <c r="NR100" i="12" s="1"/>
  <c r="NS100" i="12"/>
  <c r="NU100" i="12" s="1"/>
  <c r="NV100" i="12"/>
  <c r="NX100" i="12" s="1"/>
  <c r="NY100" i="12"/>
  <c r="OA100" i="12" s="1"/>
  <c r="OB100" i="12"/>
  <c r="OD100" i="12" s="1"/>
  <c r="OE100" i="12"/>
  <c r="OG100" i="12" s="1"/>
  <c r="OH100" i="12"/>
  <c r="OJ100" i="12" s="1"/>
  <c r="OK100" i="12"/>
  <c r="OM100" i="12" s="1"/>
  <c r="ON100" i="12"/>
  <c r="OP100" i="12" s="1"/>
  <c r="NG101" i="12"/>
  <c r="NI101" i="12" s="1"/>
  <c r="NJ101" i="12"/>
  <c r="NL101" i="12" s="1"/>
  <c r="NM101" i="12"/>
  <c r="NO101" i="12" s="1"/>
  <c r="NP101" i="12"/>
  <c r="NR101" i="12" s="1"/>
  <c r="NS101" i="12"/>
  <c r="NU101" i="12" s="1"/>
  <c r="NV101" i="12"/>
  <c r="NX101" i="12" s="1"/>
  <c r="NY101" i="12"/>
  <c r="OA101" i="12" s="1"/>
  <c r="OB101" i="12"/>
  <c r="OD101" i="12" s="1"/>
  <c r="OE101" i="12"/>
  <c r="OG101" i="12" s="1"/>
  <c r="OH101" i="12"/>
  <c r="OJ101" i="12" s="1"/>
  <c r="OK101" i="12"/>
  <c r="OM101" i="12" s="1"/>
  <c r="ON101" i="12"/>
  <c r="OP101" i="12" s="1"/>
  <c r="NG102" i="12"/>
  <c r="NI102" i="12" s="1"/>
  <c r="NJ102" i="12"/>
  <c r="NL102" i="12" s="1"/>
  <c r="NM102" i="12"/>
  <c r="NO102" i="12" s="1"/>
  <c r="NP102" i="12"/>
  <c r="NR102" i="12" s="1"/>
  <c r="NS102" i="12"/>
  <c r="NU102" i="12" s="1"/>
  <c r="NV102" i="12"/>
  <c r="NX102" i="12" s="1"/>
  <c r="NY102" i="12"/>
  <c r="OA102" i="12" s="1"/>
  <c r="OB102" i="12"/>
  <c r="OD102" i="12" s="1"/>
  <c r="OE102" i="12"/>
  <c r="OG102" i="12" s="1"/>
  <c r="OH102" i="12"/>
  <c r="OJ102" i="12" s="1"/>
  <c r="OK102" i="12"/>
  <c r="OM102" i="12" s="1"/>
  <c r="ON102" i="12"/>
  <c r="OP102" i="12" s="1"/>
  <c r="NG103" i="12"/>
  <c r="NI103" i="12" s="1"/>
  <c r="NJ103" i="12"/>
  <c r="NL103" i="12" s="1"/>
  <c r="NM103" i="12"/>
  <c r="NO103" i="12" s="1"/>
  <c r="NP103" i="12"/>
  <c r="NR103" i="12" s="1"/>
  <c r="NS103" i="12"/>
  <c r="NU103" i="12" s="1"/>
  <c r="NV103" i="12"/>
  <c r="NX103" i="12" s="1"/>
  <c r="NY103" i="12"/>
  <c r="OA103" i="12" s="1"/>
  <c r="OB103" i="12"/>
  <c r="OD103" i="12" s="1"/>
  <c r="OE103" i="12"/>
  <c r="OG103" i="12" s="1"/>
  <c r="OH103" i="12"/>
  <c r="OJ103" i="12" s="1"/>
  <c r="OK103" i="12"/>
  <c r="OM103" i="12" s="1"/>
  <c r="ON103" i="12"/>
  <c r="OP103" i="12" s="1"/>
  <c r="NG104" i="12"/>
  <c r="NI104" i="12" s="1"/>
  <c r="NJ104" i="12"/>
  <c r="NL104" i="12" s="1"/>
  <c r="NM104" i="12"/>
  <c r="NO104" i="12" s="1"/>
  <c r="NP104" i="12"/>
  <c r="NR104" i="12" s="1"/>
  <c r="NS104" i="12"/>
  <c r="NU104" i="12" s="1"/>
  <c r="NV104" i="12"/>
  <c r="NX104" i="12" s="1"/>
  <c r="NY104" i="12"/>
  <c r="OA104" i="12" s="1"/>
  <c r="OB104" i="12"/>
  <c r="OD104" i="12" s="1"/>
  <c r="OE104" i="12"/>
  <c r="OG104" i="12" s="1"/>
  <c r="OH104" i="12"/>
  <c r="OJ104" i="12" s="1"/>
  <c r="OK104" i="12"/>
  <c r="OM104" i="12" s="1"/>
  <c r="ON104" i="12"/>
  <c r="OP104" i="12" s="1"/>
  <c r="NG105" i="12"/>
  <c r="NI105" i="12" s="1"/>
  <c r="NJ105" i="12"/>
  <c r="NL105" i="12" s="1"/>
  <c r="NM105" i="12"/>
  <c r="NO105" i="12" s="1"/>
  <c r="NP105" i="12"/>
  <c r="NR105" i="12" s="1"/>
  <c r="NS105" i="12"/>
  <c r="NU105" i="12" s="1"/>
  <c r="NV105" i="12"/>
  <c r="NX105" i="12" s="1"/>
  <c r="NY105" i="12"/>
  <c r="OA105" i="12" s="1"/>
  <c r="OB105" i="12"/>
  <c r="OD105" i="12" s="1"/>
  <c r="OE105" i="12"/>
  <c r="OG105" i="12" s="1"/>
  <c r="OH105" i="12"/>
  <c r="OJ105" i="12" s="1"/>
  <c r="OK105" i="12"/>
  <c r="OM105" i="12" s="1"/>
  <c r="ON105" i="12"/>
  <c r="OP105" i="12" s="1"/>
  <c r="NG107" i="12"/>
  <c r="NI107" i="12" s="1"/>
  <c r="NJ107" i="12"/>
  <c r="NL107" i="12" s="1"/>
  <c r="NM107" i="12"/>
  <c r="NO107" i="12" s="1"/>
  <c r="NP107" i="12"/>
  <c r="NR107" i="12" s="1"/>
  <c r="NS107" i="12"/>
  <c r="NU107" i="12" s="1"/>
  <c r="NV107" i="12"/>
  <c r="NX107" i="12" s="1"/>
  <c r="NY107" i="12"/>
  <c r="OA107" i="12" s="1"/>
  <c r="OB107" i="12"/>
  <c r="OD107" i="12" s="1"/>
  <c r="OE107" i="12"/>
  <c r="OG107" i="12" s="1"/>
  <c r="OH107" i="12"/>
  <c r="OJ107" i="12" s="1"/>
  <c r="OK107" i="12"/>
  <c r="OM107" i="12" s="1"/>
  <c r="ON107" i="12"/>
  <c r="OP107" i="12" s="1"/>
  <c r="NG108" i="12"/>
  <c r="NI108" i="12" s="1"/>
  <c r="NM108" i="12"/>
  <c r="NO108" i="12" s="1"/>
  <c r="NP108" i="12"/>
  <c r="NR108" i="12" s="1"/>
  <c r="NS108" i="12"/>
  <c r="NU108" i="12" s="1"/>
  <c r="NV108" i="12"/>
  <c r="NX108" i="12" s="1"/>
  <c r="NY108" i="12"/>
  <c r="OA108" i="12" s="1"/>
  <c r="OB108" i="12"/>
  <c r="OD108" i="12" s="1"/>
  <c r="OE108" i="12"/>
  <c r="OG108" i="12" s="1"/>
  <c r="OH108" i="12"/>
  <c r="OJ108" i="12" s="1"/>
  <c r="OK108" i="12"/>
  <c r="OM108" i="12" s="1"/>
  <c r="ON108" i="12"/>
  <c r="OP108" i="12" s="1"/>
  <c r="NG109" i="12"/>
  <c r="NI109" i="12" s="1"/>
  <c r="NJ109" i="12"/>
  <c r="NL109" i="12" s="1"/>
  <c r="NM109" i="12"/>
  <c r="NO109" i="12" s="1"/>
  <c r="NP109" i="12"/>
  <c r="NR109" i="12" s="1"/>
  <c r="NS109" i="12"/>
  <c r="NU109" i="12" s="1"/>
  <c r="NV109" i="12"/>
  <c r="NX109" i="12" s="1"/>
  <c r="NY109" i="12"/>
  <c r="OA109" i="12" s="1"/>
  <c r="OB109" i="12"/>
  <c r="OD109" i="12" s="1"/>
  <c r="OE109" i="12"/>
  <c r="OG109" i="12" s="1"/>
  <c r="OH109" i="12"/>
  <c r="OJ109" i="12" s="1"/>
  <c r="OK109" i="12"/>
  <c r="OM109" i="12" s="1"/>
  <c r="ON109" i="12"/>
  <c r="OP109" i="12" s="1"/>
  <c r="NG112" i="12"/>
  <c r="NI112" i="12" s="1"/>
  <c r="NM112" i="12"/>
  <c r="NO112" i="12" s="1"/>
  <c r="NP112" i="12"/>
  <c r="NR112" i="12" s="1"/>
  <c r="NS112" i="12"/>
  <c r="NU112" i="12" s="1"/>
  <c r="NV112" i="12"/>
  <c r="NX112" i="12" s="1"/>
  <c r="NY112" i="12"/>
  <c r="OA112" i="12" s="1"/>
  <c r="OB112" i="12"/>
  <c r="OD112" i="12" s="1"/>
  <c r="OE112" i="12"/>
  <c r="OG112" i="12" s="1"/>
  <c r="OH112" i="12"/>
  <c r="OJ112" i="12" s="1"/>
  <c r="OK112" i="12"/>
  <c r="OM112" i="12" s="1"/>
  <c r="ON112" i="12"/>
  <c r="OP112" i="12" s="1"/>
  <c r="NG113" i="12"/>
  <c r="NI113" i="12" s="1"/>
  <c r="NJ113" i="12"/>
  <c r="NL113" i="12" s="1"/>
  <c r="NM113" i="12"/>
  <c r="NO113" i="12" s="1"/>
  <c r="NP113" i="12"/>
  <c r="NR113" i="12" s="1"/>
  <c r="NS113" i="12"/>
  <c r="NU113" i="12" s="1"/>
  <c r="NV113" i="12"/>
  <c r="NX113" i="12" s="1"/>
  <c r="NY113" i="12"/>
  <c r="OA113" i="12" s="1"/>
  <c r="OB113" i="12"/>
  <c r="OD113" i="12" s="1"/>
  <c r="OE113" i="12"/>
  <c r="OG113" i="12" s="1"/>
  <c r="OH113" i="12"/>
  <c r="OJ113" i="12" s="1"/>
  <c r="OK113" i="12"/>
  <c r="OM113" i="12" s="1"/>
  <c r="ON113" i="12"/>
  <c r="OP113" i="12" s="1"/>
  <c r="NG114" i="12"/>
  <c r="NI114" i="12" s="1"/>
  <c r="NM114" i="12"/>
  <c r="NO114" i="12" s="1"/>
  <c r="NP114" i="12"/>
  <c r="NR114" i="12" s="1"/>
  <c r="NS114" i="12"/>
  <c r="NU114" i="12" s="1"/>
  <c r="NV114" i="12"/>
  <c r="NX114" i="12" s="1"/>
  <c r="NY114" i="12"/>
  <c r="OA114" i="12" s="1"/>
  <c r="OB114" i="12"/>
  <c r="OD114" i="12" s="1"/>
  <c r="OE114" i="12"/>
  <c r="OG114" i="12" s="1"/>
  <c r="OH114" i="12"/>
  <c r="OJ114" i="12" s="1"/>
  <c r="OK114" i="12"/>
  <c r="OM114" i="12" s="1"/>
  <c r="ON114" i="12"/>
  <c r="OP114" i="12" s="1"/>
  <c r="NG115" i="12"/>
  <c r="NI115" i="12" s="1"/>
  <c r="NJ115" i="12"/>
  <c r="NL115" i="12" s="1"/>
  <c r="NM115" i="12"/>
  <c r="NO115" i="12" s="1"/>
  <c r="NP115" i="12"/>
  <c r="NR115" i="12" s="1"/>
  <c r="NS115" i="12"/>
  <c r="NU115" i="12" s="1"/>
  <c r="NV115" i="12"/>
  <c r="NX115" i="12" s="1"/>
  <c r="NY115" i="12"/>
  <c r="OA115" i="12" s="1"/>
  <c r="OB115" i="12"/>
  <c r="OD115" i="12" s="1"/>
  <c r="OE115" i="12"/>
  <c r="OG115" i="12" s="1"/>
  <c r="OH115" i="12"/>
  <c r="OJ115" i="12" s="1"/>
  <c r="OK115" i="12"/>
  <c r="OM115" i="12" s="1"/>
  <c r="ON115" i="12"/>
  <c r="OP115" i="12" s="1"/>
  <c r="ON3" i="12"/>
  <c r="OP3" i="12" s="1"/>
  <c r="OK3" i="12"/>
  <c r="OM3" i="12" s="1"/>
  <c r="OH3" i="12"/>
  <c r="OJ3" i="12" s="1"/>
  <c r="OE3" i="12"/>
  <c r="OG3" i="12" s="1"/>
  <c r="OB3" i="12"/>
  <c r="OD3" i="12" s="1"/>
  <c r="NY3" i="12"/>
  <c r="OA3" i="12" s="1"/>
  <c r="NV3" i="12"/>
  <c r="NX3" i="12" s="1"/>
  <c r="NS3" i="12"/>
  <c r="NU3" i="12" s="1"/>
  <c r="NM3" i="12"/>
  <c r="NO3" i="12" s="1"/>
  <c r="NJ3" i="12"/>
  <c r="NL3" i="12" s="1"/>
  <c r="NG3" i="12"/>
  <c r="NI3" i="12" s="1"/>
  <c r="NO8" i="12" l="1"/>
  <c r="NM121" i="12"/>
  <c r="NL8" i="12"/>
  <c r="NJ121" i="12"/>
  <c r="NR120" i="12"/>
  <c r="NR119" i="12"/>
  <c r="NR118" i="12"/>
  <c r="NI8" i="12"/>
  <c r="NI119" i="12" s="1"/>
  <c r="NG121" i="12"/>
  <c r="NU120" i="12"/>
  <c r="NU119" i="12"/>
  <c r="NU118" i="12"/>
  <c r="NX120" i="12"/>
  <c r="NX119" i="12"/>
  <c r="NX118" i="12"/>
  <c r="T13" i="11"/>
  <c r="T57" i="11"/>
  <c r="T90" i="11"/>
  <c r="T99" i="11"/>
  <c r="T102" i="11"/>
  <c r="T100" i="11"/>
  <c r="T29" i="11"/>
  <c r="OQ4" i="13"/>
  <c r="OS4" i="13" s="1"/>
  <c r="OQ79" i="13"/>
  <c r="OS79" i="13" s="1"/>
  <c r="OP79" i="13"/>
  <c r="NR4" i="13"/>
  <c r="OQ24" i="13"/>
  <c r="OS24" i="13" s="1"/>
  <c r="OQ94" i="13"/>
  <c r="OS94" i="13" s="1"/>
  <c r="OQ35" i="13"/>
  <c r="OS35" i="13" s="1"/>
  <c r="OQ64" i="13"/>
  <c r="OS64" i="13" s="1"/>
  <c r="OQ3" i="13"/>
  <c r="OS3" i="13" s="1"/>
  <c r="OQ95" i="13"/>
  <c r="OS95" i="13" s="1"/>
  <c r="OQ10" i="13"/>
  <c r="OS10" i="13" s="1"/>
  <c r="OQ32" i="13"/>
  <c r="OS32" i="13" s="1"/>
  <c r="OQ43" i="13"/>
  <c r="OS43" i="13" s="1"/>
  <c r="OQ91" i="13"/>
  <c r="OS91" i="13" s="1"/>
  <c r="OQ81" i="13"/>
  <c r="OS81" i="13" s="1"/>
  <c r="OQ45" i="13"/>
  <c r="OS45" i="13" s="1"/>
  <c r="OQ69" i="13"/>
  <c r="OS69" i="13" s="1"/>
  <c r="OQ72" i="13"/>
  <c r="OS72" i="13" s="1"/>
  <c r="OQ27" i="13"/>
  <c r="OS27" i="13" s="1"/>
  <c r="OQ30" i="13"/>
  <c r="OS30" i="13" s="1"/>
  <c r="OQ51" i="13"/>
  <c r="OS51" i="13" s="1"/>
  <c r="OQ67" i="13"/>
  <c r="OS67" i="13" s="1"/>
  <c r="OQ28" i="13"/>
  <c r="OS28" i="13" s="1"/>
  <c r="OQ16" i="13"/>
  <c r="OS16" i="13" s="1"/>
  <c r="OQ42" i="13"/>
  <c r="OS42" i="13" s="1"/>
  <c r="OQ60" i="13"/>
  <c r="OS60" i="13" s="1"/>
  <c r="OQ93" i="13"/>
  <c r="OS93" i="13" s="1"/>
  <c r="OQ70" i="13"/>
  <c r="OS70" i="13" s="1"/>
  <c r="OQ15" i="13"/>
  <c r="OS15" i="13" s="1"/>
  <c r="R112" i="11"/>
  <c r="OQ41" i="13"/>
  <c r="OS41" i="13" s="1"/>
  <c r="OQ78" i="13"/>
  <c r="OS78" i="13" s="1"/>
  <c r="OQ83" i="13"/>
  <c r="OS83" i="13" s="1"/>
  <c r="NI5" i="13"/>
  <c r="OQ5" i="13"/>
  <c r="OS5" i="13" s="1"/>
  <c r="NX32" i="13"/>
  <c r="NI38" i="13"/>
  <c r="OQ38" i="13"/>
  <c r="OS38" i="13" s="1"/>
  <c r="NO51" i="13"/>
  <c r="NI91" i="13"/>
  <c r="OQ8" i="13"/>
  <c r="OS8" i="13" s="1"/>
  <c r="OA10" i="13"/>
  <c r="NI95" i="13"/>
  <c r="OQ100" i="13"/>
  <c r="OS100" i="13" s="1"/>
  <c r="OA15" i="13"/>
  <c r="OQ13" i="13"/>
  <c r="OS13" i="13" s="1"/>
  <c r="NI35" i="13"/>
  <c r="OQ87" i="13"/>
  <c r="OS87" i="13" s="1"/>
  <c r="OQ9" i="13"/>
  <c r="OS9" i="13" s="1"/>
  <c r="NI26" i="13"/>
  <c r="OQ26" i="13"/>
  <c r="OS26" i="13" s="1"/>
  <c r="OQ40" i="13"/>
  <c r="OS40" i="13" s="1"/>
  <c r="NI3" i="13"/>
  <c r="NL9" i="13"/>
  <c r="OQ47" i="13"/>
  <c r="OS47" i="13" s="1"/>
  <c r="NI72" i="13"/>
  <c r="OQ88" i="13"/>
  <c r="OS88" i="13" s="1"/>
  <c r="NI88" i="13"/>
  <c r="OQ6" i="13"/>
  <c r="OS6" i="13" s="1"/>
  <c r="OQ22" i="13"/>
  <c r="OS22" i="13" s="1"/>
  <c r="NL31" i="13"/>
  <c r="OQ31" i="13"/>
  <c r="OS31" i="13" s="1"/>
  <c r="OQ57" i="13"/>
  <c r="OS57" i="13" s="1"/>
  <c r="NL93" i="13"/>
  <c r="NI103" i="13"/>
  <c r="OQ103" i="13"/>
  <c r="OS103" i="13" s="1"/>
  <c r="NL49" i="13"/>
  <c r="OQ49" i="13"/>
  <c r="OS49" i="13" s="1"/>
  <c r="OQ58" i="13"/>
  <c r="OS58" i="13" s="1"/>
  <c r="OQ7" i="13"/>
  <c r="OS7" i="13" s="1"/>
  <c r="OQ23" i="13"/>
  <c r="OS23" i="13" s="1"/>
  <c r="NI58" i="13"/>
  <c r="NI45" i="13"/>
  <c r="OQ11" i="13"/>
  <c r="OS11" i="13" s="1"/>
  <c r="OQ62" i="13"/>
  <c r="OS62" i="13" s="1"/>
  <c r="OQ66" i="13"/>
  <c r="OS66" i="13" s="1"/>
  <c r="OQ86" i="13"/>
  <c r="OS86" i="13" s="1"/>
  <c r="NI86" i="13"/>
  <c r="OQ90" i="13"/>
  <c r="OS90" i="13" s="1"/>
  <c r="NI43" i="13"/>
  <c r="NX69" i="13"/>
  <c r="OQ76" i="13"/>
  <c r="OS76" i="13" s="1"/>
  <c r="NL60" i="13"/>
  <c r="OQ12" i="13"/>
  <c r="OS12" i="13" s="1"/>
  <c r="OQ25" i="13"/>
  <c r="OS25" i="13" s="1"/>
  <c r="OQ68" i="13"/>
  <c r="OS68" i="13" s="1"/>
  <c r="OQ101" i="13"/>
  <c r="OS101" i="13" s="1"/>
  <c r="NI101" i="13"/>
  <c r="NI13" i="13"/>
  <c r="OQ14" i="13"/>
  <c r="OS14" i="13" s="1"/>
  <c r="OQ18" i="13"/>
  <c r="OS18" i="13" s="1"/>
  <c r="NL25" i="13"/>
  <c r="NI68" i="13"/>
  <c r="NX94" i="13"/>
  <c r="NL96" i="13"/>
  <c r="OQ96" i="13"/>
  <c r="OS96" i="13" s="1"/>
  <c r="NU46" i="13"/>
  <c r="OQ46" i="13"/>
  <c r="OS46" i="13" s="1"/>
  <c r="OQ19" i="13"/>
  <c r="OS19" i="13" s="1"/>
  <c r="NL47" i="13"/>
  <c r="OQ85" i="13"/>
  <c r="OS85" i="13" s="1"/>
  <c r="OQ98" i="13"/>
  <c r="OS98" i="13" s="1"/>
  <c r="NI53" i="13"/>
  <c r="OQ53" i="13"/>
  <c r="OS53" i="13" s="1"/>
  <c r="NU92" i="13"/>
  <c r="OQ92" i="13"/>
  <c r="OS92" i="13" s="1"/>
  <c r="NI7" i="13"/>
  <c r="NI23" i="13"/>
  <c r="OQ33" i="13"/>
  <c r="OS33" i="13" s="1"/>
  <c r="OQ105" i="13"/>
  <c r="OS105" i="13" s="1"/>
  <c r="NI105" i="13"/>
  <c r="OQ21" i="13"/>
  <c r="OS21" i="13" s="1"/>
  <c r="OQ37" i="13"/>
  <c r="OS37" i="13" s="1"/>
  <c r="OQ17" i="13"/>
  <c r="OS17" i="13" s="1"/>
  <c r="NI17" i="13"/>
  <c r="NL66" i="13"/>
  <c r="OQ73" i="13"/>
  <c r="OS73" i="13" s="1"/>
  <c r="OQ102" i="13"/>
  <c r="OS102" i="13" s="1"/>
  <c r="NL12" i="13"/>
  <c r="OQ39" i="13"/>
  <c r="OS39" i="13" s="1"/>
  <c r="OQ59" i="13"/>
  <c r="OS59" i="13" s="1"/>
  <c r="NO73" i="13"/>
  <c r="OQ80" i="13"/>
  <c r="OS80" i="13" s="1"/>
  <c r="NI99" i="13"/>
  <c r="OQ99" i="13"/>
  <c r="OS99" i="13" s="1"/>
  <c r="NI102" i="13"/>
  <c r="OQ29" i="13"/>
  <c r="OS29" i="13" s="1"/>
  <c r="NI39" i="13"/>
  <c r="NO41" i="13"/>
  <c r="OQ50" i="13"/>
  <c r="OS50" i="13" s="1"/>
  <c r="NI59" i="13"/>
  <c r="NI64" i="13"/>
  <c r="OQ77" i="13"/>
  <c r="OS77" i="13" s="1"/>
  <c r="NL80" i="13"/>
  <c r="OQ84" i="13"/>
  <c r="OS84" i="13" s="1"/>
  <c r="NI84" i="13"/>
  <c r="OQ55" i="13"/>
  <c r="OS55" i="13" s="1"/>
  <c r="OQ82" i="13"/>
  <c r="OS82" i="13" s="1"/>
  <c r="OQ56" i="13"/>
  <c r="OS56" i="13" s="1"/>
  <c r="NI61" i="13"/>
  <c r="OQ61" i="13"/>
  <c r="OS61" i="13" s="1"/>
  <c r="OQ63" i="13"/>
  <c r="OS63" i="13" s="1"/>
  <c r="OQ89" i="13"/>
  <c r="OS89" i="13" s="1"/>
  <c r="OQ20" i="13"/>
  <c r="OS20" i="13" s="1"/>
  <c r="NI20" i="13"/>
  <c r="OQ34" i="13"/>
  <c r="OS34" i="13" s="1"/>
  <c r="OQ44" i="13"/>
  <c r="OS44" i="13" s="1"/>
  <c r="NI55" i="13"/>
  <c r="NO24" i="13"/>
  <c r="OQ74" i="13"/>
  <c r="OS74" i="13" s="1"/>
  <c r="OQ97" i="13"/>
  <c r="OS97" i="13" s="1"/>
  <c r="NI97" i="13"/>
  <c r="OQ65" i="13"/>
  <c r="OS65" i="13" s="1"/>
  <c r="NI65" i="13"/>
  <c r="NL74" i="13"/>
  <c r="NL77" i="13"/>
  <c r="OQ52" i="13"/>
  <c r="OS52" i="13" s="1"/>
  <c r="NI52" i="13"/>
  <c r="NI54" i="13"/>
  <c r="OQ54" i="13"/>
  <c r="OS54" i="13" s="1"/>
  <c r="OQ71" i="13"/>
  <c r="OS71" i="13" s="1"/>
  <c r="OQ104" i="13"/>
  <c r="OS104" i="13" s="1"/>
  <c r="NI104" i="13"/>
  <c r="OQ36" i="13"/>
  <c r="OS36" i="13" s="1"/>
  <c r="OQ69" i="12"/>
  <c r="OS69" i="12" s="1"/>
  <c r="OQ113" i="12"/>
  <c r="OS113" i="12" s="1"/>
  <c r="OQ88" i="12"/>
  <c r="OS88" i="12" s="1"/>
  <c r="OQ59" i="12"/>
  <c r="OS59" i="12" s="1"/>
  <c r="OQ51" i="12"/>
  <c r="OS51" i="12" s="1"/>
  <c r="OQ8" i="12"/>
  <c r="OS8" i="12" s="1"/>
  <c r="NX80" i="12"/>
  <c r="OQ80" i="12"/>
  <c r="OS80" i="12" s="1"/>
  <c r="OQ4" i="12"/>
  <c r="OS4" i="12" s="1"/>
  <c r="OQ102" i="12"/>
  <c r="OS102" i="12" s="1"/>
  <c r="OQ89" i="12"/>
  <c r="OS89" i="12" s="1"/>
  <c r="OQ70" i="12"/>
  <c r="OS70" i="12" s="1"/>
  <c r="OQ55" i="12"/>
  <c r="OS55" i="12" s="1"/>
  <c r="OQ71" i="12"/>
  <c r="OS71" i="12" s="1"/>
  <c r="OQ9" i="12"/>
  <c r="OS9" i="12" s="1"/>
  <c r="NX58" i="12"/>
  <c r="OQ58" i="12"/>
  <c r="OS58" i="12" s="1"/>
  <c r="OQ98" i="12"/>
  <c r="OS98" i="12" s="1"/>
  <c r="OQ94" i="12"/>
  <c r="OS94" i="12" s="1"/>
  <c r="OQ90" i="12"/>
  <c r="OS90" i="12" s="1"/>
  <c r="OQ50" i="12"/>
  <c r="OS50" i="12" s="1"/>
  <c r="OQ107" i="12"/>
  <c r="OS107" i="12" s="1"/>
  <c r="OQ57" i="12"/>
  <c r="OS57" i="12" s="1"/>
  <c r="OQ48" i="12"/>
  <c r="OS48" i="12" s="1"/>
  <c r="OQ67" i="12"/>
  <c r="OS67" i="12" s="1"/>
  <c r="OQ7" i="12"/>
  <c r="OS7" i="12" s="1"/>
  <c r="OQ103" i="12"/>
  <c r="OS103" i="12" s="1"/>
  <c r="OQ66" i="12"/>
  <c r="OS66" i="12" s="1"/>
  <c r="OQ95" i="12"/>
  <c r="OS95" i="12" s="1"/>
  <c r="OQ63" i="12"/>
  <c r="OS63" i="12" s="1"/>
  <c r="OQ96" i="12"/>
  <c r="OS96" i="12" s="1"/>
  <c r="OQ91" i="12"/>
  <c r="OS91" i="12" s="1"/>
  <c r="OQ46" i="12"/>
  <c r="OS46" i="12" s="1"/>
  <c r="OQ83" i="12"/>
  <c r="OS83" i="12" s="1"/>
  <c r="OQ52" i="12"/>
  <c r="OS52" i="12" s="1"/>
  <c r="OQ75" i="12"/>
  <c r="OS75" i="12" s="1"/>
  <c r="OQ5" i="12"/>
  <c r="OS5" i="12" s="1"/>
  <c r="OQ78" i="12"/>
  <c r="OS78" i="12" s="1"/>
  <c r="OQ56" i="12"/>
  <c r="OS56" i="12" s="1"/>
  <c r="OQ112" i="12"/>
  <c r="OS112" i="12" s="1"/>
  <c r="OQ100" i="12"/>
  <c r="OS100" i="12" s="1"/>
  <c r="OQ74" i="12"/>
  <c r="OS74" i="12" s="1"/>
  <c r="OQ84" i="12"/>
  <c r="OS84" i="12" s="1"/>
  <c r="OQ114" i="12"/>
  <c r="OS114" i="12" s="1"/>
  <c r="OQ109" i="12"/>
  <c r="OS109" i="12" s="1"/>
  <c r="OQ105" i="12"/>
  <c r="OS105" i="12" s="1"/>
  <c r="OQ97" i="12"/>
  <c r="OS97" i="12" s="1"/>
  <c r="OQ93" i="12"/>
  <c r="OS93" i="12" s="1"/>
  <c r="OQ82" i="12"/>
  <c r="OS82" i="12" s="1"/>
  <c r="OQ73" i="12"/>
  <c r="OS73" i="12" s="1"/>
  <c r="OQ47" i="12"/>
  <c r="OS47" i="12" s="1"/>
  <c r="OQ115" i="12"/>
  <c r="OS115" i="12" s="1"/>
  <c r="OQ62" i="12"/>
  <c r="OS62" i="12" s="1"/>
  <c r="OQ54" i="12"/>
  <c r="OS54" i="12" s="1"/>
  <c r="OQ76" i="12"/>
  <c r="OS76" i="12" s="1"/>
  <c r="OQ49" i="12"/>
  <c r="OS49" i="12" s="1"/>
  <c r="OQ108" i="12"/>
  <c r="OS108" i="12" s="1"/>
  <c r="OQ104" i="12"/>
  <c r="OS104" i="12" s="1"/>
  <c r="OQ101" i="12"/>
  <c r="OS101" i="12" s="1"/>
  <c r="OQ86" i="12"/>
  <c r="OS86" i="12" s="1"/>
  <c r="OQ81" i="12"/>
  <c r="OS81" i="12" s="1"/>
  <c r="OQ68" i="12"/>
  <c r="OS68" i="12" s="1"/>
  <c r="OQ3" i="12"/>
  <c r="OS3" i="12" s="1"/>
  <c r="NI120" i="12" l="1"/>
  <c r="NI118" i="12"/>
  <c r="NL120" i="12"/>
  <c r="NL118" i="12"/>
  <c r="NL119" i="12"/>
  <c r="NO119" i="12"/>
  <c r="NO118" i="12"/>
  <c r="NO120" i="12"/>
  <c r="Q102" i="3"/>
  <c r="S102" i="3" s="1"/>
  <c r="C1" i="12"/>
  <c r="Q92" i="3"/>
  <c r="S92" i="3" s="1"/>
  <c r="Q68" i="3"/>
  <c r="S68" i="3" s="1"/>
  <c r="I116" i="3"/>
  <c r="J116" i="3"/>
  <c r="K116" i="3"/>
  <c r="L116" i="3"/>
  <c r="M116" i="3"/>
  <c r="N116" i="3"/>
  <c r="O116" i="3"/>
  <c r="P116" i="3"/>
  <c r="E116" i="3"/>
  <c r="Q30" i="3" l="1"/>
  <c r="S30" i="3" s="1"/>
  <c r="Q31" i="3"/>
  <c r="S31" i="3" s="1"/>
  <c r="Q32" i="3"/>
  <c r="S32" i="3" s="1"/>
  <c r="Q33" i="3"/>
  <c r="S33" i="3" s="1"/>
  <c r="Q34" i="3"/>
  <c r="S34" i="3" s="1"/>
  <c r="Q35" i="3"/>
  <c r="S35" i="3" s="1"/>
  <c r="Q22" i="3"/>
  <c r="S22" i="3" s="1"/>
  <c r="Q36" i="3"/>
  <c r="S36" i="3" s="1"/>
  <c r="Q39" i="3"/>
  <c r="S39" i="3" s="1"/>
  <c r="Q40" i="3"/>
  <c r="S40" i="3" s="1"/>
  <c r="Q41" i="3"/>
  <c r="S41" i="3" s="1"/>
  <c r="Q42" i="3"/>
  <c r="S42" i="3" s="1"/>
  <c r="Q43" i="3"/>
  <c r="S43" i="3" s="1"/>
  <c r="Q44" i="3"/>
  <c r="S44" i="3" s="1"/>
  <c r="Q45" i="3"/>
  <c r="S45" i="3" s="1"/>
  <c r="Q46" i="3"/>
  <c r="S46" i="3" s="1"/>
  <c r="Q47" i="3"/>
  <c r="S47" i="3" s="1"/>
  <c r="Q48" i="3"/>
  <c r="S48" i="3" s="1"/>
  <c r="Q49" i="3"/>
  <c r="S49" i="3" s="1"/>
  <c r="Q50" i="3"/>
  <c r="S50" i="3" s="1"/>
  <c r="Q51" i="3"/>
  <c r="S51" i="3" s="1"/>
  <c r="Q54" i="3"/>
  <c r="S54" i="3" s="1"/>
  <c r="Q56" i="3"/>
  <c r="S56" i="3" s="1"/>
  <c r="Q58" i="3"/>
  <c r="S58" i="3" s="1"/>
  <c r="Q57" i="3"/>
  <c r="S57" i="3" s="1"/>
  <c r="Q59" i="3"/>
  <c r="S59" i="3" s="1"/>
  <c r="Q55" i="3"/>
  <c r="S55" i="3" s="1"/>
  <c r="Q62" i="3"/>
  <c r="S62" i="3" s="1"/>
  <c r="Q64" i="3"/>
  <c r="S64" i="3" s="1"/>
  <c r="Q65" i="3"/>
  <c r="S65" i="3" s="1"/>
  <c r="Q66" i="3"/>
  <c r="S66" i="3" s="1"/>
  <c r="Q61" i="3"/>
  <c r="S61" i="3" s="1"/>
  <c r="Q67" i="3"/>
  <c r="S67" i="3" s="1"/>
  <c r="Q69" i="3"/>
  <c r="S69" i="3" s="1"/>
  <c r="S71" i="3"/>
  <c r="Q70" i="3"/>
  <c r="S70" i="3" s="1"/>
  <c r="Q72" i="3"/>
  <c r="S72" i="3" s="1"/>
  <c r="Q73" i="3"/>
  <c r="S73" i="3" s="1"/>
  <c r="Q74" i="3"/>
  <c r="S74" i="3" s="1"/>
  <c r="Q75" i="3"/>
  <c r="S75" i="3" s="1"/>
  <c r="Q76" i="3"/>
  <c r="S76" i="3" s="1"/>
  <c r="Q77" i="3"/>
  <c r="S77" i="3" s="1"/>
  <c r="Q78" i="3"/>
  <c r="S78" i="3" s="1"/>
  <c r="Q79" i="3"/>
  <c r="S79" i="3" s="1"/>
  <c r="Q80" i="3"/>
  <c r="S80" i="3" s="1"/>
  <c r="Q81" i="3"/>
  <c r="S81" i="3" s="1"/>
  <c r="Q83" i="3"/>
  <c r="S83" i="3" s="1"/>
  <c r="Q84" i="3"/>
  <c r="S84" i="3" s="1"/>
  <c r="Q85" i="3"/>
  <c r="S85" i="3" s="1"/>
  <c r="Q86" i="3"/>
  <c r="S86" i="3" s="1"/>
  <c r="Q87" i="3"/>
  <c r="S87" i="3" s="1"/>
  <c r="Q89" i="3"/>
  <c r="S89" i="3" s="1"/>
  <c r="Q90" i="3"/>
  <c r="S90" i="3" s="1"/>
  <c r="Q91" i="3"/>
  <c r="S91" i="3" s="1"/>
  <c r="Q93" i="3"/>
  <c r="S93" i="3" s="1"/>
  <c r="Q94" i="3"/>
  <c r="S94" i="3" s="1"/>
  <c r="Q95" i="3"/>
  <c r="S95" i="3" s="1"/>
  <c r="S99" i="3"/>
  <c r="Q101" i="3"/>
  <c r="S101" i="3" s="1"/>
  <c r="Q100" i="3"/>
  <c r="S100" i="3" s="1"/>
  <c r="Q103" i="3"/>
  <c r="S103" i="3" s="1"/>
  <c r="Q104" i="3"/>
  <c r="S104" i="3" s="1"/>
  <c r="Q105" i="3"/>
  <c r="S105" i="3" s="1"/>
  <c r="Q106" i="3"/>
  <c r="S106" i="3" s="1"/>
  <c r="Q107" i="3"/>
  <c r="S107" i="3" s="1"/>
  <c r="Q111" i="3"/>
  <c r="S111" i="3" s="1"/>
  <c r="Q112" i="3"/>
  <c r="S112" i="3" s="1"/>
  <c r="Q113" i="3"/>
  <c r="S113" i="3" s="1"/>
  <c r="Q110" i="3"/>
  <c r="S110" i="3" s="1"/>
  <c r="Q114" i="3"/>
  <c r="S114" i="3" s="1"/>
  <c r="Q11" i="3"/>
  <c r="S11" i="3" s="1"/>
  <c r="L99" i="17"/>
  <c r="L98" i="17"/>
  <c r="L97" i="17"/>
  <c r="L96" i="17"/>
  <c r="L95" i="17"/>
  <c r="L94" i="17"/>
  <c r="L93" i="17"/>
  <c r="L92" i="17"/>
  <c r="L91" i="17"/>
  <c r="L90" i="17"/>
  <c r="L88" i="17"/>
  <c r="L87" i="17"/>
  <c r="L86" i="17"/>
  <c r="L85" i="17"/>
  <c r="L84" i="17"/>
  <c r="L83" i="17"/>
  <c r="L82" i="17"/>
  <c r="L81" i="17"/>
  <c r="AB52" i="17"/>
  <c r="AB51" i="17"/>
  <c r="AB50" i="17"/>
  <c r="AB49" i="17"/>
  <c r="AB48" i="17"/>
  <c r="AB47" i="17"/>
  <c r="AB46" i="17"/>
  <c r="AB45" i="17"/>
  <c r="AB44" i="17"/>
  <c r="AB43" i="17"/>
  <c r="AB42" i="17"/>
  <c r="AB41" i="17"/>
  <c r="AB40" i="17"/>
  <c r="AB39" i="17"/>
  <c r="AB38" i="17"/>
  <c r="AB37" i="17"/>
  <c r="AB36" i="17"/>
  <c r="AB35" i="17"/>
  <c r="AB34" i="17"/>
  <c r="AB33" i="17"/>
  <c r="AB32" i="17"/>
  <c r="AB31" i="17"/>
  <c r="AB30" i="17"/>
  <c r="AB29" i="17"/>
  <c r="AB28" i="17"/>
  <c r="AB27" i="17"/>
  <c r="AB26" i="17"/>
  <c r="AB25" i="17"/>
  <c r="AB24" i="17"/>
  <c r="AB23" i="17"/>
  <c r="AB22" i="17"/>
  <c r="AB21" i="17"/>
  <c r="AB20" i="17"/>
  <c r="AB19" i="17"/>
  <c r="AB16" i="17"/>
  <c r="AB18" i="17"/>
  <c r="AB17" i="17"/>
  <c r="AB15" i="17"/>
  <c r="AB13" i="17"/>
  <c r="AB10" i="17"/>
  <c r="AB9" i="17"/>
  <c r="AB8" i="17"/>
  <c r="AB7" i="17"/>
  <c r="AB5" i="17"/>
  <c r="AB3" i="17"/>
  <c r="AB4" i="17"/>
  <c r="Q78" i="4"/>
  <c r="Q79" i="4" s="1"/>
  <c r="G78" i="4"/>
  <c r="H78" i="4"/>
  <c r="I78" i="4"/>
  <c r="J78" i="4"/>
  <c r="K78" i="4"/>
  <c r="L78" i="4"/>
  <c r="M78" i="4"/>
  <c r="N78" i="4"/>
  <c r="O78" i="4"/>
  <c r="P78" i="4"/>
  <c r="F78" i="4"/>
  <c r="Q18" i="3" l="1"/>
  <c r="S18" i="3" s="1"/>
  <c r="Q19" i="3"/>
  <c r="S19" i="3" s="1"/>
  <c r="Q20" i="3"/>
  <c r="S20" i="3" s="1"/>
  <c r="Q21" i="3"/>
  <c r="S21" i="3" s="1"/>
  <c r="Q23" i="3"/>
  <c r="S23" i="3" s="1"/>
  <c r="Q24" i="3"/>
  <c r="S24" i="3" s="1"/>
  <c r="D1" i="4"/>
  <c r="Q17" i="3" l="1"/>
  <c r="S17" i="3" s="1"/>
  <c r="Q6" i="3" l="1"/>
  <c r="S6" i="3" s="1"/>
  <c r="C1" i="3"/>
  <c r="Q7" i="3" l="1"/>
  <c r="S7" i="3" s="1"/>
  <c r="Q8" i="3"/>
  <c r="S8" i="3" s="1"/>
  <c r="Q9" i="3"/>
  <c r="S9" i="3" s="1"/>
  <c r="Q10" i="3"/>
  <c r="S10" i="3" s="1"/>
  <c r="Q12" i="3"/>
  <c r="S12" i="3" s="1"/>
  <c r="Q14" i="3"/>
  <c r="S14" i="3" s="1"/>
  <c r="Q15" i="3"/>
  <c r="S15" i="3" s="1"/>
  <c r="Q16" i="3"/>
  <c r="S16" i="3" s="1"/>
  <c r="Q26" i="3"/>
  <c r="S26" i="3" s="1"/>
  <c r="Q27" i="3"/>
  <c r="S27" i="3" s="1"/>
  <c r="Q28" i="3"/>
  <c r="S28" i="3" s="1"/>
  <c r="Q29" i="3"/>
  <c r="S29" i="3" s="1"/>
  <c r="Q5" i="3"/>
  <c r="S5" i="3" s="1"/>
  <c r="Q4" i="3"/>
  <c r="S4" i="3" s="1"/>
  <c r="Q3" i="3"/>
  <c r="S3" i="3" s="1"/>
  <c r="OQ116" i="12" l="1"/>
  <c r="Q117" i="3" l="1"/>
  <c r="F118" i="3" l="1"/>
  <c r="O79" i="4" l="1"/>
  <c r="G79" i="4"/>
  <c r="G118" i="3" l="1"/>
  <c r="H118" i="3"/>
  <c r="I118" i="3"/>
  <c r="J118" i="3"/>
  <c r="K118" i="3"/>
  <c r="L118" i="3"/>
  <c r="M118" i="3"/>
  <c r="N118" i="3"/>
  <c r="O118" i="3"/>
  <c r="P118" i="3"/>
  <c r="E118" i="3"/>
  <c r="J79" i="4" l="1"/>
  <c r="I79" i="4" l="1"/>
  <c r="H79" i="4" l="1"/>
  <c r="K79" i="4" l="1"/>
  <c r="L79" i="4"/>
  <c r="M79" i="4"/>
  <c r="N79" i="4"/>
  <c r="P79" i="4"/>
  <c r="F79" i="4"/>
  <c r="Q116" i="3" l="1"/>
  <c r="AF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tc={F8827322-657A-46AF-9605-D2EE25E9764B}</author>
    <author>tc={16BAE3B4-DDEE-4F5A-8052-E829CE20DEC2}</author>
    <author>tc={7FFD97B7-9841-4CC1-A0F8-58F88E077F05}</author>
    <author>tc={4290EA11-F33E-4DDA-A85B-0293546C5EE0}</author>
    <author>tc={8F3D3329-E9DD-4C7C-AAD2-37A0F617D83D}</author>
    <author>tc={7B8CFFCA-3261-41C2-A9FD-991F8CD75110}</author>
    <author>tc={938C7F9F-DA9C-4D66-9644-A1BDB5C66B35}</author>
    <author>tc={69949479-8B87-4E51-94E2-898D5ED66C03}</author>
    <author>tc={2697CC56-9B9F-4FE1-B762-187EB01ABB27}</author>
    <author>tc={3851248A-D48B-4B34-A528-061251EFDB64}</author>
    <author>tc={2E59BE89-2053-4E74-9846-245E0A1A2CE8}</author>
    <author>tc={90BFDD7B-BE22-4ABA-8BFA-62CE65CE76E2}</author>
    <author>tc={FB94E3C8-AD0F-46F2-AE01-5A774052223C}</author>
    <author>tc={8373BE0C-B392-4990-B6E1-AA675B55633D}</author>
    <author>tc={EC54357C-B5C2-4560-9746-EFBF8C52D3B9}</author>
    <author>tc={F52EBD4E-CBEC-4B88-9570-29F4966643DF}</author>
  </authors>
  <commentList>
    <comment ref="R5" authorId="0" shapeId="0" xr:uid="{F8827322-657A-46AF-9605-D2EE25E9764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 MUNOS</t>
      </text>
    </comment>
    <comment ref="S5" authorId="1" shapeId="0" xr:uid="{16BAE3B4-DDEE-4F5A-8052-E829CE20DEC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04/02/2026
MUNOS
DUCOTTET
PERRRET
GUERIN</t>
      </text>
    </comment>
    <comment ref="R6" authorId="2" shapeId="0" xr:uid="{7FFD97B7-9841-4CC1-A0F8-58F88E077F0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 JANISSET</t>
      </text>
    </comment>
    <comment ref="Q7" authorId="3" shapeId="0" xr:uid="{4290EA11-F33E-4DDA-A85B-0293546C5EE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24/03/2026</t>
      </text>
    </comment>
    <comment ref="R7" authorId="4" shapeId="0" xr:uid="{8F3D3329-E9DD-4C7C-AAD2-37A0F617D83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 MUNOS</t>
      </text>
    </comment>
    <comment ref="S7" authorId="5" shapeId="0" xr:uid="{7B8CFFCA-3261-41C2-A9FD-991F8CD751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11/03/2026
MUNOS
CHALVIN
PERRET
DENEPOUX
DUCOTTET</t>
      </text>
    </comment>
    <comment ref="R8" authorId="6" shapeId="0" xr:uid="{938C7F9F-DA9C-4D66-9644-A1BDB5C66B3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PERRY. P</t>
      </text>
    </comment>
    <comment ref="S8" authorId="7" shapeId="0" xr:uid="{69949479-8B87-4E51-94E2-898D5ED66C0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23/03/2026 :
PERRY. Y
SEPCHAT. N 
BAYARD. P </t>
      </text>
    </comment>
    <comment ref="R9" authorId="8" shapeId="0" xr:uid="{2697CC56-9B9F-4FE1-B762-187EB01ABB2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 MUNOS</t>
      </text>
    </comment>
    <comment ref="S9" authorId="9" shapeId="0" xr:uid="{3851248A-D48B-4B34-A528-061251EFDB6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24/03/2026
MUNOS
DUCOTTET
DA SILVA B.
LHOMME
HASSAN</t>
      </text>
    </comment>
    <comment ref="R10" authorId="10" shapeId="0" xr:uid="{2E59BE89-2053-4E74-9846-245E0A1A2CE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Joêl POUPEAU</t>
      </text>
    </comment>
    <comment ref="R14" authorId="11" shapeId="0" xr:uid="{90BFDD7B-BE22-4ABA-8BFA-62CE65CE76E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 MUNOS</t>
      </text>
    </comment>
    <comment ref="S14" authorId="12" shapeId="0" xr:uid="{FB94E3C8-AD0F-46F2-AE01-5A774052223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03/04/2026
COCHET
GRIMAND
MUNOS
JEAN-VICTOR
DUCOTTET</t>
      </text>
    </comment>
    <comment ref="R15" authorId="13" shapeId="0" xr:uid="{8373BE0C-B392-4990-B6E1-AA675B55633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J. PEYRICAL</t>
      </text>
    </comment>
    <comment ref="S15" authorId="14" shapeId="0" xr:uid="{EC54357C-B5C2-4560-9746-EFBF8C52D3B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07/04/2026
HEYRAUD
PEYRICAL
CRETTON
COSTA
DUCOTTET</t>
      </text>
    </comment>
    <comment ref="L18" authorId="15" shapeId="0" xr:uid="{F52EBD4E-CBEC-4B88-9570-29F4966643D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Absent le jour de l’accident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tc={18EA4144-5B26-496C-ACF7-C0284C25F775}</author>
    <author>tc={5DCB6439-2938-4154-926A-94EA47E44AE2}</author>
    <author>tc={77F82055-2CD8-4D5F-A83F-550594C3B526}</author>
    <author>tc={764145DB-4AFD-4C94-ABF6-40C29B863ECC}</author>
    <author>tc={0520FBB4-6363-4838-AEC9-6C4A6EE2F67B}</author>
    <author>tc={F4538F9C-67F1-45FC-B6A3-EC34E55702BC}</author>
    <author>tc={E3A3CC3B-F06C-4035-9011-B3AA83A4FBD1}</author>
    <author>tc={BEB1400E-A9C6-4B6B-9D23-090A0C7BB8D5}</author>
    <author>tc={3C58F7E6-2CC9-43A9-9120-005D7692A218}</author>
    <author>tc={1C563511-E7AD-4C54-ADCB-64BAB161545B}</author>
    <author>tc={5134A323-F376-4A6A-8E27-39F45F808787}</author>
    <author>tc={0FAFB301-9EC2-4BA5-AF4C-D189446A7C4A}</author>
    <author>tc={6635737B-C5B1-43A3-A540-24A4EF1787F1}</author>
    <author>tc={8A864C91-BDF7-48B0-B075-FA9BC8397D53}</author>
    <author>tc={DD050317-7D4E-4592-90D7-54BBB631A0A4}</author>
    <author>tc={C1C5415F-1577-4459-9FAA-922AA6BF08F2}</author>
    <author>tc={54ECB10B-9F1A-421D-A141-C573B1863621}</author>
    <author>tc={93D6A6F2-EB86-47D7-8EA6-4467EDAF3522}</author>
    <author>tc={4A13D24D-F5DE-4DE2-8DDF-2B2F62545D8E}</author>
    <author>tc={152CD725-4999-4DEE-840A-CB18162BD69A}</author>
    <author>tc={025E2365-9232-4293-87AE-B6C1EAED814D}</author>
    <author>tc={DEE99C14-B7A0-4C89-8B2B-C9F905EB7721}</author>
    <author>tc={ED45F9CD-B3B9-465D-B37B-66AA02312C7E}</author>
    <author>tc={9CAF630F-553E-4950-93A5-F736565E8686}</author>
    <author>tc={5CFEBE51-61C0-4804-BE44-60E32BF1BA89}</author>
    <author>tc={E37C43B5-9984-48AC-A83B-D9451B4A231E}</author>
    <author>tc={5570EDA0-84F2-478C-9B8D-A367BB8DDE94}</author>
  </authors>
  <commentList>
    <comment ref="I5" authorId="0" shapeId="0" xr:uid="{18EA4144-5B26-496C-ACF7-C0284C25F77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Morsure/piqures
</t>
      </text>
    </comment>
    <comment ref="E10" authorId="1" shapeId="0" xr:uid="{5DCB6439-2938-4154-926A-94EA47E44AE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260121 - Politique
260128 - REX</t>
      </text>
    </comment>
    <comment ref="F17" authorId="2" shapeId="0" xr:uid="{77F82055-2CD8-4D5F-A83F-550594C3B52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03/02/26 - Politique</t>
      </text>
    </comment>
    <comment ref="E26" authorId="3" shapeId="0" xr:uid="{764145DB-4AFD-4C94-ABF6-40C29B863EC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Lettre M. CHAMPION
Politique protection intérets
RI DP2D</t>
      </text>
    </comment>
    <comment ref="E28" authorId="4" shapeId="0" xr:uid="{0520FBB4-6363-4838-AEC9-6C4A6EE2F67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RI DP2D
</t>
      </text>
    </comment>
    <comment ref="H28" authorId="5" shapeId="0" xr:uid="{F4538F9C-67F1-45FC-B6A3-EC34E55702B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Paquetage 2027/port des EPI (10/04/2026)
Réponse :
    Notes interne NGE (17/04/2026)
Réponse :
    Marquage piquetage (24/04/2026)</t>
      </text>
    </comment>
    <comment ref="H30" authorId="6" shapeId="0" xr:uid="{E3A3CC3B-F06C-4035-9011-B3AA83A4FB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N°3 Stockage</t>
      </text>
    </comment>
    <comment ref="F37" authorId="7" shapeId="0" xr:uid="{BEB1400E-A9C6-4B6B-9D23-090A0C7BB8D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260212 - ENV Déchets
260212 - N°2 Batterie</t>
      </text>
    </comment>
    <comment ref="E44" authorId="8" shapeId="0" xr:uid="{3C58F7E6-2CC9-43A9-9120-005D7692A21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260120 - REX
260120 - Politique</t>
      </text>
    </comment>
    <comment ref="F44" authorId="9" shapeId="0" xr:uid="{1C563511-E7AD-4C54-ADCB-64BAB161545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260211 - Accueil annuel
260216 - Batterie
260216 - Stockage</t>
      </text>
    </comment>
    <comment ref="G44" authorId="10" shapeId="0" xr:uid="{5134A323-F376-4A6A-8E27-39F45F80878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260319 - Alternat</t>
      </text>
    </comment>
    <comment ref="F45" authorId="11" shapeId="0" xr:uid="{0FAFB301-9EC2-4BA5-AF4C-D189446A7C4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03/02/26 - Politique</t>
      </text>
    </comment>
    <comment ref="H45" authorId="12" shapeId="0" xr:uid="{6635737B-C5B1-43A3-A540-24A4EF1787F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20/04/2026 Notes internes
24/04/2026 Réseaux</t>
      </text>
    </comment>
    <comment ref="F47" authorId="13" shapeId="0" xr:uid="{8A864C91-BDF7-48B0-B075-FA9BC8397D5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03/02/26 - Politique</t>
      </text>
    </comment>
    <comment ref="E83" authorId="14" shapeId="0" xr:uid="{DD050317-7D4E-4592-90D7-54BBB631A0A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27/01/2026 - EPI</t>
      </text>
    </comment>
    <comment ref="E84" authorId="15" shapeId="0" xr:uid="{C1C5415F-1577-4459-9FAA-922AA6BF08F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RI DP2D</t>
      </text>
    </comment>
    <comment ref="H84" authorId="16" shapeId="0" xr:uid="{54ECB10B-9F1A-421D-A141-C573B18636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Marquage piquetage (24/04/2026)</t>
      </text>
    </comment>
    <comment ref="H85" authorId="17" shapeId="0" xr:uid="{93D6A6F2-EB86-47D7-8EA6-4467EDAF352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20/04/2026 Notes internes
24/04/2026 Réseaux</t>
      </text>
    </comment>
    <comment ref="E86" authorId="18" shapeId="0" xr:uid="{4A13D24D-F5DE-4DE2-8DDF-2B2F62545D8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RI DP2D
</t>
      </text>
    </comment>
    <comment ref="H86" authorId="19" shapeId="0" xr:uid="{152CD725-4999-4DEE-840A-CB18162BD6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Notes interne NGE
Réponse :
    Marquage piquetage (24/04/2026)</t>
      </text>
    </comment>
    <comment ref="E98" authorId="20" shapeId="0" xr:uid="{025E2365-9232-4293-87AE-B6C1EAED814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Lettre M. CHAMPION
Politique protection intérêts
RI DP2D</t>
      </text>
    </comment>
    <comment ref="G98" authorId="21" shapeId="0" xr:uid="{DEE99C14-B7A0-4C89-8B2B-C9F905EB772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N°1 Politique
N°3 Energies</t>
      </text>
    </comment>
    <comment ref="F101" authorId="22" shapeId="0" xr:uid="{ED45F9CD-B3B9-465D-B37B-66AA02312C7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03/02/26 - Politique</t>
      </text>
    </comment>
    <comment ref="H105" authorId="23" shapeId="0" xr:uid="{9CAF630F-553E-4950-93A5-F736565E868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260422 - FLASH 9AT</t>
      </text>
    </comment>
    <comment ref="E108" authorId="24" shapeId="0" xr:uid="{5CFEBE51-61C0-4804-BE44-60E32BF1BA8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27/01/2026 - EPI</t>
      </text>
    </comment>
    <comment ref="G110" authorId="25" shapeId="0" xr:uid="{E37C43B5-9984-48AC-A83B-D9451B4A231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13/03/26 - Déversement
09/03/26 - Produits chimiques
17/03/26 - Nettoyage zones travail
24/03/26 - Signalisation
</t>
      </text>
    </comment>
    <comment ref="E112" authorId="26" shapeId="0" xr:uid="{5570EDA0-84F2-478C-9B8D-A367BB8DDE9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Lettre M. CHAMPION
Politique protection intérets
RI DP2D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tc={17816138-EF88-4A6E-B172-252F42739201}</author>
    <author>tc={58CE7428-D797-4A21-9E0E-EAA636914BE5}</author>
    <author>tc={FB83772E-851A-4D43-B3F7-A4757AD67B1C}</author>
  </authors>
  <commentList>
    <comment ref="V11" authorId="0" shapeId="0" xr:uid="{17816138-EF88-4A6E-B172-252F4273920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Photo eveil 12/03/26
Photo eveil 30/03/26</t>
      </text>
    </comment>
    <comment ref="W56" authorId="1" shapeId="0" xr:uid="{58CE7428-D797-4A21-9E0E-EAA636914BE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Photo éveil 08/04/26</t>
      </text>
    </comment>
    <comment ref="T57" authorId="2" shapeId="0" xr:uid="{FB83772E-851A-4D43-B3F7-A4757AD67B1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05/02/2026 - COUTURIER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tc={A68E026B-3464-4139-8FF2-8FF9A0C89628}</author>
    <author>tc={E7A05D36-01EF-457B-B4C3-1F049DBF5F11}</author>
  </authors>
  <commentList>
    <comment ref="G37" authorId="0" shapeId="0" xr:uid="{A68E026B-3464-4139-8FF2-8FF9A0C8962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+ 1 FAE</t>
      </text>
    </comment>
    <comment ref="H37" authorId="1" shapeId="0" xr:uid="{E7A05D36-01EF-457B-B4C3-1F049DBF5F1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Casse réseau</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tc={5A63C564-893F-437F-8505-81A0F7369DE0}</author>
    <author>tc={51454765-A0B5-4A59-AD0E-5C05F56BAA4E}</author>
    <author>tc={725C5E22-1659-40E2-B67C-0E9B3F555B3C}</author>
  </authors>
  <commentList>
    <comment ref="I21" authorId="0" shapeId="0" xr:uid="{5A63C564-893F-437F-8505-81A0F7369DE0}">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 semaine de préparation pour enlever les alvéoles et préparer. Repose des alvéoles par SOL CONFLUENCE. </t>
      </text>
    </comment>
    <comment ref="I66" authorId="1" shapeId="0" xr:uid="{51454765-A0B5-4A59-AD0E-5C05F56BAA4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définir, entre 0 et 50k€</t>
      </text>
    </comment>
    <comment ref="I80" authorId="2" shapeId="0" xr:uid="{725C5E22-1659-40E2-B67C-0E9B3F555B3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selon la surface à reprendre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tc={7839005A-08AD-4DFB-B4F5-AD03A4D7E305}</author>
  </authors>
  <commentList>
    <comment ref="K365" authorId="0" shapeId="0" xr:uid="{7839005A-08AD-4DFB-B4F5-AD03A4D7E30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Proposition du fournisseur peu intéressante.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<sst xmlns="http://schemas.openxmlformats.org/spreadsheetml/2006/main" count="11997" uniqueCount="2417">
  <si>
    <t xml:space="preserve"> </t>
  </si>
  <si>
    <t>REGISTRE AT - 2026</t>
  </si>
  <si>
    <t>Trimestre</t>
  </si>
  <si>
    <t>Date</t>
  </si>
  <si>
    <t>Nom et Prénom</t>
  </si>
  <si>
    <t>Statut</t>
  </si>
  <si>
    <t>Société</t>
  </si>
  <si>
    <t>Chantier</t>
  </si>
  <si>
    <t>Agence</t>
  </si>
  <si>
    <t>Type d'Accident (AT ou Trajet)</t>
  </si>
  <si>
    <t>Lésion</t>
  </si>
  <si>
    <t>Circonstances de l'accident</t>
  </si>
  <si>
    <t>HPG</t>
  </si>
  <si>
    <t xml:space="preserve">Arrêt </t>
  </si>
  <si>
    <t>Date début arrêt</t>
  </si>
  <si>
    <t>Dates de dernier jour d'arrêt</t>
  </si>
  <si>
    <t>Nombre de jours</t>
  </si>
  <si>
    <t>Poste adapté</t>
  </si>
  <si>
    <t>Entretien de retour</t>
  </si>
  <si>
    <t>DA sur chantier dans les 24h</t>
  </si>
  <si>
    <t>Analyse avec encadrement sous 7J</t>
  </si>
  <si>
    <t>Réserves</t>
  </si>
  <si>
    <t>Délai de communication au QSE (en heure)</t>
  </si>
  <si>
    <t>DAT agence intérim</t>
  </si>
  <si>
    <t>CONCERNE UNE REGLE VITALE (oui ou non)</t>
  </si>
  <si>
    <t>Gravité Réelle</t>
  </si>
  <si>
    <t>Fréquence</t>
  </si>
  <si>
    <t xml:space="preserve">Répétitions </t>
  </si>
  <si>
    <t>Gravité potentielle</t>
  </si>
  <si>
    <t>TOTAL</t>
  </si>
  <si>
    <t>Faire une analyse détaillée</t>
  </si>
  <si>
    <t>ANALYSE</t>
  </si>
  <si>
    <t>VANG William</t>
  </si>
  <si>
    <t>Stagiaire</t>
  </si>
  <si>
    <t>GUINTOLI</t>
  </si>
  <si>
    <t>RAN92E</t>
  </si>
  <si>
    <t>AUV</t>
  </si>
  <si>
    <t>AT</t>
  </si>
  <si>
    <t xml:space="preserve">Entorse externe cheville gauche </t>
  </si>
  <si>
    <t>D'après les dires du salarié, il se serait tordu la cheville gauche en voulant passer un fossé.</t>
  </si>
  <si>
    <t>NON</t>
  </si>
  <si>
    <t>OUI</t>
  </si>
  <si>
    <t>REFUSÉ</t>
  </si>
  <si>
    <t>VIDAL Nelly</t>
  </si>
  <si>
    <t>Salarié</t>
  </si>
  <si>
    <t>EHTP</t>
  </si>
  <si>
    <t>RAEHES</t>
  </si>
  <si>
    <t>Cana Est</t>
  </si>
  <si>
    <t>Trajet</t>
  </si>
  <si>
    <t>Multiples</t>
  </si>
  <si>
    <t>Notre salarié s'est fait rentrer dans son VL par un autre VL arrivant face à elle.</t>
  </si>
  <si>
    <t>CONDE Yassin</t>
  </si>
  <si>
    <t>Intérimaire</t>
  </si>
  <si>
    <t>RAP49C</t>
  </si>
  <si>
    <t>RL TU</t>
  </si>
  <si>
    <t>Pied</t>
  </si>
  <si>
    <t>Le salarié chauffait son scotch au niveau du pot d'échappement de la minipelle, lorsque le chauffeur de l'engin a reculé au même moment. La chenille de la mini-pelle a heurté le pied droit du salarié.</t>
  </si>
  <si>
    <t>/</t>
  </si>
  <si>
    <t>Victime dans l'angle mort
Incompréhensin / pb de communication
Mauvaise habitude de réchauffer le scotch sur le pot d'échappement</t>
  </si>
  <si>
    <t>FRANCOIS Axel</t>
  </si>
  <si>
    <t>RAP87E</t>
  </si>
  <si>
    <t>Fracture fermée du pouce gauche</t>
  </si>
  <si>
    <t xml:space="preserve">Lors de la pose de bordures, notre salarié s'est tapé sur le pouce gauche avec le maillet. </t>
  </si>
  <si>
    <t>CHAMBION Arnaud</t>
  </si>
  <si>
    <t>Doigts</t>
  </si>
  <si>
    <t xml:space="preserve">Le salarié a glissé lors d'un déplacement à pied pour aller laver sa pelle. </t>
  </si>
  <si>
    <t>Zone de stationnement et de stockage à ranger, baliser et organiser</t>
  </si>
  <si>
    <t xml:space="preserve">BATTUT Jean Michel </t>
  </si>
  <si>
    <t xml:space="preserve">Salarié </t>
  </si>
  <si>
    <t xml:space="preserve">TP LYAUDET </t>
  </si>
  <si>
    <t>RAO83L</t>
  </si>
  <si>
    <t>TP LYAUDET</t>
  </si>
  <si>
    <t xml:space="preserve">AT </t>
  </si>
  <si>
    <t>Electrisation pouce gauche</t>
  </si>
  <si>
    <t>Lors d’une tentative de redémarrage d’un tombereau en panne à l’aide de câbles branchés sur un second engin en fonctionnement, une batterie a explosé lors du branchement.</t>
  </si>
  <si>
    <t xml:space="preserve">OUI </t>
  </si>
  <si>
    <t>DE MORANT Jean-Baptiste</t>
  </si>
  <si>
    <t>RAP53C</t>
  </si>
  <si>
    <t>Cheville</t>
  </si>
  <si>
    <t xml:space="preserve">En descendant du fourgon, notre salarié s’est tordu la cheville. </t>
  </si>
  <si>
    <t xml:space="preserve">Améliorer le rangement du fourgon
Accès au fourgon dangereux : adapter l'accès avec le service matériel. </t>
  </si>
  <si>
    <t xml:space="preserve">SLIMANI Raïs </t>
  </si>
  <si>
    <t xml:space="preserve">GUINTOLI </t>
  </si>
  <si>
    <t>RAQ12E</t>
  </si>
  <si>
    <t xml:space="preserve">Lumbago </t>
  </si>
  <si>
    <t>En voulant faire glisser une croûte d'enrobé vers le godet de l'engin, le salarié a ressenti une vive douleur dans le dos.</t>
  </si>
  <si>
    <t>VIOLAS Guillaume</t>
  </si>
  <si>
    <t>NGE GC</t>
  </si>
  <si>
    <t>RAP76I</t>
  </si>
  <si>
    <t>Corps étranger oeil droit</t>
  </si>
  <si>
    <t>Lors d'une découpe de treillis soudé, la victime a reçu de la limaille dans l'oeil</t>
  </si>
  <si>
    <t>Lunettes adaptées, cisaille plutôt que disqueuse</t>
  </si>
  <si>
    <t>FERNANDEZ Marc</t>
  </si>
  <si>
    <t>A4J001</t>
  </si>
  <si>
    <t>NGE ES</t>
  </si>
  <si>
    <t>Fracture métacarpe auriculaire gauche</t>
  </si>
  <si>
    <t>Notre salarié voulait sortir d'une tranchée (70 cm) il s'est hissé en s'aidant d'une barrière légère. La rangée de barrière a basculée, le salarié s'est ratrappé sur la main gauche. Son doigt s'est retourné</t>
  </si>
  <si>
    <t>24 (week entre)</t>
  </si>
  <si>
    <t>JACOUD Lucas</t>
  </si>
  <si>
    <t>RAP61D</t>
  </si>
  <si>
    <t>LHL</t>
  </si>
  <si>
    <t>Coupure auriculaire droit</t>
  </si>
  <si>
    <t>En prenant des panneaux dans le fourgon le salarié s'est coupé au niveau de l'auriculaire droit</t>
  </si>
  <si>
    <t>COCHET Loris</t>
  </si>
  <si>
    <t>RAP56C</t>
  </si>
  <si>
    <t>Majeur droit</t>
  </si>
  <si>
    <t xml:space="preserve">Le salarié s'est coincé les doigts sous une grille en la poussant dans son cadre. </t>
  </si>
  <si>
    <t>COSTA Paulo</t>
  </si>
  <si>
    <t>RAP67C</t>
  </si>
  <si>
    <t>RL GT</t>
  </si>
  <si>
    <t>Cuisse gauche</t>
  </si>
  <si>
    <t xml:space="preserve">Le salarié s'est coupé au niveau de la cuisse avec une meuleuse d'angle en coupant une bordure. </t>
  </si>
  <si>
    <t>BELGUIZ Younes</t>
  </si>
  <si>
    <t>RAH03I</t>
  </si>
  <si>
    <t>AJ</t>
  </si>
  <si>
    <t>Thorax</t>
  </si>
  <si>
    <t>Chute de trotinnette sur trajet retour travail - domicile</t>
  </si>
  <si>
    <t>LAURENT Damien</t>
  </si>
  <si>
    <t>Cervicales</t>
  </si>
  <si>
    <t xml:space="preserve">Notre salarié s'est fait percuter par l'arrière de sa voiture alors qu'il était en train de s'arrêter à un feu rouge. Trajet domicile - travail. </t>
  </si>
  <si>
    <t xml:space="preserve">    </t>
  </si>
  <si>
    <t xml:space="preserve">mains </t>
  </si>
  <si>
    <t xml:space="preserve">Bras </t>
  </si>
  <si>
    <t>Bassin</t>
  </si>
  <si>
    <t>Yeux</t>
  </si>
  <si>
    <t>Dos</t>
  </si>
  <si>
    <t>Tete</t>
  </si>
  <si>
    <t>Pieds</t>
  </si>
  <si>
    <t xml:space="preserve">Genoux/Jambes </t>
  </si>
  <si>
    <t>Chute de plein pied, circulation piétonne</t>
  </si>
  <si>
    <t>Utilisation d'outils (marteau piqueur, pilonneuse…)</t>
  </si>
  <si>
    <t>Choc/heurt</t>
  </si>
  <si>
    <t>Manutention manuelle (TMS)</t>
  </si>
  <si>
    <t>Descente d'engin</t>
  </si>
  <si>
    <t>Accident de la circulation</t>
  </si>
  <si>
    <t>Manutention mécanique</t>
  </si>
  <si>
    <t>Projection œil</t>
  </si>
  <si>
    <t>Coupure</t>
  </si>
  <si>
    <t xml:space="preserve">MAJ : </t>
  </si>
  <si>
    <t>QUART D'HEURE SECURITE / ENVIRONNEMENT</t>
  </si>
  <si>
    <t xml:space="preserve">AGENCE </t>
  </si>
  <si>
    <t xml:space="preserve">ENTITE </t>
  </si>
  <si>
    <t xml:space="preserve">FONCTION </t>
  </si>
  <si>
    <t xml:space="preserve">NOM / PRENOM </t>
  </si>
  <si>
    <t xml:space="preserve">Janvier </t>
  </si>
  <si>
    <t>Février</t>
  </si>
  <si>
    <t>Mars</t>
  </si>
  <si>
    <t>Avril</t>
  </si>
  <si>
    <t>Mai</t>
  </si>
  <si>
    <t>Juin</t>
  </si>
  <si>
    <t>Juillet</t>
  </si>
  <si>
    <t>Août</t>
  </si>
  <si>
    <t>Septembre</t>
  </si>
  <si>
    <t>Octobre</t>
  </si>
  <si>
    <t>Novembre</t>
  </si>
  <si>
    <t>Décembre</t>
  </si>
  <si>
    <t xml:space="preserve">Nbr de 1/4 heure </t>
  </si>
  <si>
    <t xml:space="preserve">Objectif Année </t>
  </si>
  <si>
    <t xml:space="preserve">1/4h </t>
  </si>
  <si>
    <t>EHTP RAL</t>
  </si>
  <si>
    <t>CHEF DE CHANTIER</t>
  </si>
  <si>
    <t>ANDRIETTI Silvio</t>
  </si>
  <si>
    <t>AM</t>
  </si>
  <si>
    <t>AUCLAIR Alexandre</t>
  </si>
  <si>
    <t xml:space="preserve">AIN </t>
  </si>
  <si>
    <t>AUGER Alexis</t>
  </si>
  <si>
    <t>CHEF D'EQUIPE</t>
  </si>
  <si>
    <t>AUGUSTO Francisco</t>
  </si>
  <si>
    <t xml:space="preserve">NGE GC </t>
  </si>
  <si>
    <t>BELLONI Lorenzo</t>
  </si>
  <si>
    <t>BERAUD Maxence</t>
  </si>
  <si>
    <t>BERTHE Gregorie</t>
  </si>
  <si>
    <t xml:space="preserve">BERTHELON Jordan </t>
  </si>
  <si>
    <t>BERTHET Vincent</t>
  </si>
  <si>
    <t>BIR Haci</t>
  </si>
  <si>
    <t>ASSISTANT CHEF DE CHANTIER</t>
  </si>
  <si>
    <t>BIR Tacettin</t>
  </si>
  <si>
    <t>BLANCHET Florent</t>
  </si>
  <si>
    <t xml:space="preserve">AUVERGNE </t>
  </si>
  <si>
    <t xml:space="preserve">NGE ROUTES </t>
  </si>
  <si>
    <t xml:space="preserve">BOUILLET  Kévin </t>
  </si>
  <si>
    <t>AUVERGNE</t>
  </si>
  <si>
    <t xml:space="preserve">BOURGEOIS  Philippe </t>
  </si>
  <si>
    <t>CAILLE Thierry</t>
  </si>
  <si>
    <t>CALDEMAISON Eric</t>
  </si>
  <si>
    <t>CARDOSO DE ANDRADE André Manuel</t>
  </si>
  <si>
    <t xml:space="preserve">CELLE  Louis </t>
  </si>
  <si>
    <t>CHADEYRAS  Gilles</t>
  </si>
  <si>
    <t>ASS. CHEF DE CHANTIER</t>
  </si>
  <si>
    <t>CHAFFRAIX Loïc</t>
  </si>
  <si>
    <t>CHALVIN Barthélémy</t>
  </si>
  <si>
    <t xml:space="preserve">CHAPON Julien </t>
  </si>
  <si>
    <t>NUC</t>
  </si>
  <si>
    <t>BOHARD Thierry</t>
  </si>
  <si>
    <t>GUiNTOLI</t>
  </si>
  <si>
    <t>CHARAVIT Pascal</t>
  </si>
  <si>
    <t>CHUPIN Yannick</t>
  </si>
  <si>
    <t>CLAPISSON Baptiste</t>
  </si>
  <si>
    <t>COLMARD Jean-Christophe</t>
  </si>
  <si>
    <t>CORNIER Fabrice</t>
  </si>
  <si>
    <t>COUTURIER Flavien</t>
  </si>
  <si>
    <t xml:space="preserve">CUILLERAT Jordan </t>
  </si>
  <si>
    <t>BFC</t>
  </si>
  <si>
    <t>CUILLERON Cédric</t>
  </si>
  <si>
    <t>DA COSTA LEAO Jorge Daniel</t>
  </si>
  <si>
    <t>DA COSTA TURICAS Luis Nelson</t>
  </si>
  <si>
    <t>DA CUNHA  Yoann</t>
  </si>
  <si>
    <t>COLLIGNON Vincent</t>
  </si>
  <si>
    <t>NC</t>
  </si>
  <si>
    <t>CRETTON Olivier</t>
  </si>
  <si>
    <t>DA ROCHA Paulo</t>
  </si>
  <si>
    <t>DA SILVA  Tony</t>
  </si>
  <si>
    <t>DE ARAUJO Paulo</t>
  </si>
  <si>
    <t>DE BARROS Ugo</t>
  </si>
  <si>
    <t>DE JESUS DIAS Alfredo</t>
  </si>
  <si>
    <t>DE JESUS DIAS Joao Carlos</t>
  </si>
  <si>
    <t>DE OLIVEIRA GONCALVES Jorge</t>
  </si>
  <si>
    <t>DE SAINT-JEAN Arnaud</t>
  </si>
  <si>
    <t>DEFRANCE Damien</t>
  </si>
  <si>
    <t>DIAS  José</t>
  </si>
  <si>
    <t>DORLEANS Jérôme</t>
  </si>
  <si>
    <t>DOS PRAZERES José</t>
  </si>
  <si>
    <t>DUFOUR Thomas</t>
  </si>
  <si>
    <t>CP</t>
  </si>
  <si>
    <t>DIMBERTON Benjamin</t>
  </si>
  <si>
    <t>DUPUY Jordan</t>
  </si>
  <si>
    <t>ELKEBAILI  Mohamed</t>
  </si>
  <si>
    <t>FAURE Romain</t>
  </si>
  <si>
    <t>FAVIER Nicolas</t>
  </si>
  <si>
    <t>FERNANDEZ Luc</t>
  </si>
  <si>
    <t>NGE ROUTES</t>
  </si>
  <si>
    <t>FESSAGUET Adrien</t>
  </si>
  <si>
    <t>GALLIEN David</t>
  </si>
  <si>
    <t>GRANDEMANGE Lionel</t>
  </si>
  <si>
    <t xml:space="preserve">GRANGEVERSANNE  Brice </t>
  </si>
  <si>
    <t>QSE</t>
  </si>
  <si>
    <t>GRANGIER Fabien</t>
  </si>
  <si>
    <t>GREDZIAK Marc</t>
  </si>
  <si>
    <t>GRIMAND Adrien</t>
  </si>
  <si>
    <t>GUERIN Ludovic</t>
  </si>
  <si>
    <t xml:space="preserve">CHEF DE CHANTIER </t>
  </si>
  <si>
    <t xml:space="preserve">GUINOT  Nicolas </t>
  </si>
  <si>
    <t xml:space="preserve">ITIER Milan </t>
  </si>
  <si>
    <t>JACINTO Frédéric</t>
  </si>
  <si>
    <t>JACQUOT  Xavier</t>
  </si>
  <si>
    <t>JAKUPOVIC Elvis</t>
  </si>
  <si>
    <t>JARRET Mickaël</t>
  </si>
  <si>
    <t xml:space="preserve">JAUBERT Benjamin </t>
  </si>
  <si>
    <t>C</t>
  </si>
  <si>
    <t>KARAKAYA Eray</t>
  </si>
  <si>
    <t>LAFARGE Olivier</t>
  </si>
  <si>
    <t>LAGENESTE Yoann</t>
  </si>
  <si>
    <t>LHOMME Jonathan</t>
  </si>
  <si>
    <t>SVV</t>
  </si>
  <si>
    <t>LOKMANE Mohamed</t>
  </si>
  <si>
    <t>LOURENCO Tony</t>
  </si>
  <si>
    <t>LUCAS NEVES Manuel Edgar</t>
  </si>
  <si>
    <t>MACIAS Julien</t>
  </si>
  <si>
    <t>MARTIN Lucas</t>
  </si>
  <si>
    <t>MAUPOU Ambre</t>
  </si>
  <si>
    <t xml:space="preserve">MAURIN Julien </t>
  </si>
  <si>
    <t>MENDES Eduardo</t>
  </si>
  <si>
    <t>MERLINO Loïc</t>
  </si>
  <si>
    <t>MORA Stan</t>
  </si>
  <si>
    <t>NEVES Joaquim</t>
  </si>
  <si>
    <t>OLIVEIRA  DA CUNHA Sergio</t>
  </si>
  <si>
    <t>PEREIRA  Antoine</t>
  </si>
  <si>
    <t>PERRY Pierre</t>
  </si>
  <si>
    <t>PITA VIERA Manuel</t>
  </si>
  <si>
    <t>AIN</t>
  </si>
  <si>
    <t>PONCET Pascal</t>
  </si>
  <si>
    <t>PRAT Claire</t>
  </si>
  <si>
    <t xml:space="preserve">RENARD  Alexandre </t>
  </si>
  <si>
    <t>RIBEIRO  Alexandre</t>
  </si>
  <si>
    <t xml:space="preserve">RIBIERE Julien </t>
  </si>
  <si>
    <t>ROLLET Léo</t>
  </si>
  <si>
    <t>AC</t>
  </si>
  <si>
    <t>RONQUETTE Evan</t>
  </si>
  <si>
    <t>RONZE Alexandre</t>
  </si>
  <si>
    <t xml:space="preserve">ROUTUROU Baptiste </t>
  </si>
  <si>
    <t>SALINGUE Julien</t>
  </si>
  <si>
    <t>SALVADORI Fabien</t>
  </si>
  <si>
    <t>SANTOS CRUZ Carlos</t>
  </si>
  <si>
    <t>SATRE Stéphane</t>
  </si>
  <si>
    <t>SOARES PEREIRA José Orlando</t>
  </si>
  <si>
    <t>TOUZEL Denis</t>
  </si>
  <si>
    <t>VALOT Baptiste</t>
  </si>
  <si>
    <t xml:space="preserve">VIAL Benjamin </t>
  </si>
  <si>
    <t xml:space="preserve">VOULPE Daniil </t>
  </si>
  <si>
    <t>WUILLEME Thierry</t>
  </si>
  <si>
    <t>ZAIR Nordine</t>
  </si>
  <si>
    <t>Nombre</t>
  </si>
  <si>
    <t>Objectif</t>
  </si>
  <si>
    <t xml:space="preserve">QUART D'HEURE SECURITE / ENVIRONNEMENT ENCADRANTS </t>
  </si>
  <si>
    <t>1/4 H CDTx / CS - 1/ trimestre</t>
  </si>
  <si>
    <t xml:space="preserve">Trimestre 1 </t>
  </si>
  <si>
    <t>Trimestre 2</t>
  </si>
  <si>
    <t>Trimestre 3</t>
  </si>
  <si>
    <t>Trimestre 4</t>
  </si>
  <si>
    <t>AIDE CDTX</t>
  </si>
  <si>
    <t>AIMARD Léo</t>
  </si>
  <si>
    <t>CDTX</t>
  </si>
  <si>
    <t>ANTONIALI Clara</t>
  </si>
  <si>
    <t>AUGER Anthony</t>
  </si>
  <si>
    <t>BACOT Vincent</t>
  </si>
  <si>
    <t>RAL</t>
  </si>
  <si>
    <t>DRA</t>
  </si>
  <si>
    <t>BARRE Pierric</t>
  </si>
  <si>
    <t>BEIGNON Romain</t>
  </si>
  <si>
    <t>BERCHARD Yannick</t>
  </si>
  <si>
    <t>BLANC Cédric</t>
  </si>
  <si>
    <t>DA</t>
  </si>
  <si>
    <t>BONNET Frédéric</t>
  </si>
  <si>
    <t>BAREIRO Adrien</t>
  </si>
  <si>
    <t>CHABRIER Stéphane</t>
  </si>
  <si>
    <t>CHEF DE SECTEUR</t>
  </si>
  <si>
    <t xml:space="preserve">CLARET Sébastien </t>
  </si>
  <si>
    <t>MEHAT Maud</t>
  </si>
  <si>
    <t>COURNIL Valentin</t>
  </si>
  <si>
    <t xml:space="preserve">CUSSET Clément </t>
  </si>
  <si>
    <t xml:space="preserve">CHEF DE SECTEUR </t>
  </si>
  <si>
    <t xml:space="preserve">DAUTHEVILLE  Grégoire </t>
  </si>
  <si>
    <t>RL TP</t>
  </si>
  <si>
    <t xml:space="preserve">DE LA ROCHE Bertrand </t>
  </si>
  <si>
    <t>DE MACEDO  Maxime</t>
  </si>
  <si>
    <t>DE SOUSA Mickaël</t>
  </si>
  <si>
    <t>DE ZAYAS D'HARCOURT Geoffroy</t>
  </si>
  <si>
    <t>DENEPOUX Romain</t>
  </si>
  <si>
    <t>DINET Nicolas</t>
  </si>
  <si>
    <t>DOS SANTOS Manuel</t>
  </si>
  <si>
    <t>DUCROIX Angèle</t>
  </si>
  <si>
    <t>DUCROUX Fabien</t>
  </si>
  <si>
    <t xml:space="preserve">DURIF  Alexis </t>
  </si>
  <si>
    <t>FALCOU Yoann</t>
  </si>
  <si>
    <t>FAYARD Guillaume</t>
  </si>
  <si>
    <t>FOURCADE Nathan</t>
  </si>
  <si>
    <t>BUCHET Adrien</t>
  </si>
  <si>
    <t>GANIERE Nicolas</t>
  </si>
  <si>
    <t>GARCIA Sabrina</t>
  </si>
  <si>
    <t>GARNIER Loïc</t>
  </si>
  <si>
    <t>GASTON Jean-Baptiste</t>
  </si>
  <si>
    <t xml:space="preserve">GAZE David </t>
  </si>
  <si>
    <t>GINDRE Albéric</t>
  </si>
  <si>
    <t>GIRAUD Antoine</t>
  </si>
  <si>
    <t>GRAND Lucas</t>
  </si>
  <si>
    <t>GUILLON Théo</t>
  </si>
  <si>
    <t>HEYRAUD  Baptiste</t>
  </si>
  <si>
    <t>HUET  Sébastien</t>
  </si>
  <si>
    <t xml:space="preserve">JANISSET Benjamin </t>
  </si>
  <si>
    <t>JEAN-VICTOR Emma</t>
  </si>
  <si>
    <t>LAFRINDI Ghizlane</t>
  </si>
  <si>
    <t>LEFRANC Paul</t>
  </si>
  <si>
    <t xml:space="preserve">LOPES David </t>
  </si>
  <si>
    <t>LOUBEYRE  Anne Sarah</t>
  </si>
  <si>
    <t>MADEBENE Hugo</t>
  </si>
  <si>
    <t>MAGNIN  Cédric</t>
  </si>
  <si>
    <t xml:space="preserve">MALEYRAT  Philippe </t>
  </si>
  <si>
    <t xml:space="preserve">MARQUIER  Francis </t>
  </si>
  <si>
    <t>MARQUES Daniel</t>
  </si>
  <si>
    <t>PERRY Yvan</t>
  </si>
  <si>
    <t>MAUCHET Richard</t>
  </si>
  <si>
    <t>MONIN Adrien</t>
  </si>
  <si>
    <t xml:space="preserve">MOREL Lilian </t>
  </si>
  <si>
    <t>MORIZON Nicolas</t>
  </si>
  <si>
    <t>MUNOS Philippe</t>
  </si>
  <si>
    <t>NOUVET Fabien</t>
  </si>
  <si>
    <t xml:space="preserve">POUPEAU Joël </t>
  </si>
  <si>
    <t>PEIREIRA GOMES Henrique</t>
  </si>
  <si>
    <t>PEYRICAL Julien</t>
  </si>
  <si>
    <t>RATHIER Benoît</t>
  </si>
  <si>
    <t>REPELLIN Vincent</t>
  </si>
  <si>
    <t>REVIRON DE NARDI Julie</t>
  </si>
  <si>
    <t>RICHARD Kévin</t>
  </si>
  <si>
    <t>SAUTERON Jean-Luc</t>
  </si>
  <si>
    <t>SEPCHAT  Nicolas</t>
  </si>
  <si>
    <t>SMILGINS Vitalijs</t>
  </si>
  <si>
    <t>THOMAS Romain</t>
  </si>
  <si>
    <t>VIRAT Mickael</t>
  </si>
  <si>
    <t>VAN DER BIEST Lubin</t>
  </si>
  <si>
    <t>WEHRLIN Simon</t>
  </si>
  <si>
    <t>ZARZA Anthony</t>
  </si>
  <si>
    <t>SCHIFANO Céline</t>
  </si>
  <si>
    <t xml:space="preserve">Date </t>
  </si>
  <si>
    <t>NOM / Prénom</t>
  </si>
  <si>
    <t xml:space="preserve">Propositions </t>
  </si>
  <si>
    <t>Actions</t>
  </si>
  <si>
    <t xml:space="preserve">Délais </t>
  </si>
  <si>
    <t>Observations</t>
  </si>
  <si>
    <t>Faire un 1/4 d'heure sur les chantiers hyper urbains</t>
  </si>
  <si>
    <t>BERTHELON Jordan</t>
  </si>
  <si>
    <t>Equiper tous les chefs d'équipe de pulvérisateur pour tronçonneuse électrique</t>
  </si>
  <si>
    <t xml:space="preserve">Faire le point sur les besoins et en acheter. </t>
  </si>
  <si>
    <t xml:space="preserve">Faire un 1/4 d'heure sur la communication entre les différents intervenants et entreprises à proximité du chantier. </t>
  </si>
  <si>
    <t>HEYRAUD Baptiste</t>
  </si>
  <si>
    <t xml:space="preserve">Rappeler les règles liées aux intempéries. </t>
  </si>
  <si>
    <t xml:space="preserve">Action à gérer par le service RH. </t>
  </si>
  <si>
    <t xml:space="preserve">DA CUNHA Yoann </t>
  </si>
  <si>
    <t xml:space="preserve">Plusieurs salariés arrivent sans leurs documents sur chantier. </t>
  </si>
  <si>
    <t xml:space="preserve">Faire des essais d'autres modèles de lunettes pour améliorer la visibilité. </t>
  </si>
  <si>
    <t xml:space="preserve">Choix parmis 15 paires de lunettes sur chantier VL4. </t>
  </si>
  <si>
    <t xml:space="preserve">Avoir une sacoche pour que chaque collaborateur puisse mettre leur mêtre et le nécessaire pour travailler. </t>
  </si>
  <si>
    <t xml:space="preserve">Tester, faire une bonne pratique et la partager. </t>
  </si>
  <si>
    <t>CHAPON Julien</t>
  </si>
  <si>
    <t>Acheter un palonnier ou en louer un pour dérouler le géotextile. Quand ils sont mouillés, ils sont lourds. Surtout quand il y a des grandes surfaces</t>
  </si>
  <si>
    <t xml:space="preserve">Gérer en préparation de chantier. </t>
  </si>
  <si>
    <t xml:space="preserve">RIBEIRO Alexandre </t>
  </si>
  <si>
    <t xml:space="preserve">Achat détecteurs réseaux TOPO CENTER </t>
  </si>
  <si>
    <t xml:space="preserve">Est-il prévu en Auvergne l'achat d'une aspiratice ou d'un système d'aspiration sur des pelles ? Il existe également des </t>
  </si>
  <si>
    <t>JARRET Mickael</t>
  </si>
  <si>
    <t>Avoir des rack pour le stockage des plots de barrières heras</t>
  </si>
  <si>
    <t xml:space="preserve">Faire le point sur les besoins et en acheter pour essayer (consultation KROMM). </t>
  </si>
  <si>
    <t xml:space="preserve">Demande de mise en place d'une benne fermée avec cadenas. </t>
  </si>
  <si>
    <t xml:space="preserve">Cadenas insuffisant, trop d'incivilité des riverains. Rester sur les big bag. </t>
  </si>
  <si>
    <t xml:space="preserve">Il serait bien d'avoir une ceinture qui permette d'avoir un support pour 1 mètre, 1 feutre noir, 1 petit rouleau de scotch d'électricien. </t>
  </si>
  <si>
    <t xml:space="preserve">Up Cycling des EPI ? </t>
  </si>
  <si>
    <t>Fournir des prises minuteur pour éviter les problèmes avec les batteries</t>
  </si>
  <si>
    <t xml:space="preserve">Plutôt avoir une batterie intégrer aux fourgons avec alternateur. Commande de 2nd batterie lors des achats de nouveaux fourgons. </t>
  </si>
  <si>
    <t>DE JESUS DIAS Carlos</t>
  </si>
  <si>
    <t>Les chaussures de Soumaila MIRADJI sont en mauvais état, il faudrait les changer bientôt</t>
  </si>
  <si>
    <t>Indication au salarié de récupérer des chaussures auprès de Dorian via un camion</t>
  </si>
  <si>
    <t>Lors de la location des fourgons, il faudrait des rangements provisoires. On aurait juste à fixer dans les fourgons.</t>
  </si>
  <si>
    <t>A aménager via location : faire aménagement adapté à tous les fourgons &gt; Refusé par T. BACCON</t>
  </si>
  <si>
    <t>RL TU_260324_RAM2AC_DE ARAUJO - N°5 PTAC</t>
  </si>
  <si>
    <t xml:space="preserve">Avoir des K5 plus légers quand il y a beaucoup à mettre sur le chantier. </t>
  </si>
  <si>
    <t xml:space="preserve">Faire ¼ d’h sur les différentes signalisations qui existent pour adapter en fonction du chantier.  </t>
  </si>
  <si>
    <t>RL TU_260324_RAM2AC_DE ARAUJO - N°4 Alternat</t>
  </si>
  <si>
    <t>Trouver un système de climatisation pour cet été dans les roulottes</t>
  </si>
  <si>
    <t>RL TU_260325_RAO28C_CHUPIN - N°3 Energies</t>
  </si>
  <si>
    <t>Avoir un petite table pliante pour la lecture des plans sur chantier</t>
  </si>
  <si>
    <t xml:space="preserve">A acheter directement par le chef pour son chantier. </t>
  </si>
  <si>
    <t>RL TU_260324_RAO28C_CHUPIN - N°3 Stockage</t>
  </si>
  <si>
    <t>Essayer de l'outillage léger (pelle / rateau), disponible chez Kiloutou</t>
  </si>
  <si>
    <t xml:space="preserve">Organiser un test en achetant la même pelle que sur LHL. </t>
  </si>
  <si>
    <t>30/03/202</t>
  </si>
  <si>
    <t>Fournir des carnets avec reglement pour l'installation des signa de chantiers</t>
  </si>
  <si>
    <t>Classeur chef/guide SETRA</t>
  </si>
  <si>
    <t>chade</t>
  </si>
  <si>
    <t xml:space="preserve">5 Premières Minutes </t>
  </si>
  <si>
    <t xml:space="preserve">Février </t>
  </si>
  <si>
    <t xml:space="preserve">Mars </t>
  </si>
  <si>
    <t>Total</t>
  </si>
  <si>
    <t xml:space="preserve">5PM </t>
  </si>
  <si>
    <t xml:space="preserve">NB Jours travaillés </t>
  </si>
  <si>
    <t>%</t>
  </si>
  <si>
    <t>5PM</t>
  </si>
  <si>
    <t>R</t>
  </si>
  <si>
    <t>A</t>
  </si>
  <si>
    <t>F</t>
  </si>
  <si>
    <t>RTT</t>
  </si>
  <si>
    <t>I</t>
  </si>
  <si>
    <t>P</t>
  </si>
  <si>
    <t>DE OLIVEIRA G. Jorge</t>
  </si>
  <si>
    <t xml:space="preserve">AC </t>
  </si>
  <si>
    <t xml:space="preserve">MARTIN Lucas </t>
  </si>
  <si>
    <t>LIE Falemana</t>
  </si>
  <si>
    <t>MENNESSON Gilles</t>
  </si>
  <si>
    <t>MONTUSCLAT Anthony</t>
  </si>
  <si>
    <t xml:space="preserve">CP </t>
  </si>
  <si>
    <t>ASS. CONDUCTEUR DE TRAVAUX</t>
  </si>
  <si>
    <t>PEREIRA GOMES Henrique</t>
  </si>
  <si>
    <t>RIBES Julie</t>
  </si>
  <si>
    <t>min</t>
  </si>
  <si>
    <t>moy</t>
  </si>
  <si>
    <t>max</t>
  </si>
  <si>
    <t>167+1</t>
  </si>
  <si>
    <t xml:space="preserve">Eveil Musculaire </t>
  </si>
  <si>
    <t xml:space="preserve">Eveil </t>
  </si>
  <si>
    <t>Eveil musculaire</t>
  </si>
  <si>
    <t>RL</t>
  </si>
  <si>
    <t>MARTIN  Lucas</t>
  </si>
  <si>
    <t>Date :</t>
  </si>
  <si>
    <t xml:space="preserve">Remontées d'informations </t>
  </si>
  <si>
    <t>Nbr Fiches d'événements</t>
  </si>
  <si>
    <t xml:space="preserve">EHTP </t>
  </si>
  <si>
    <t>Presqu'accidents et situations dangereuses</t>
  </si>
  <si>
    <t xml:space="preserve">DATE </t>
  </si>
  <si>
    <t xml:space="preserve">PA / SD </t>
  </si>
  <si>
    <t xml:space="preserve">HPG </t>
  </si>
  <si>
    <t xml:space="preserve">RECIT DE L'EVENEMENT </t>
  </si>
  <si>
    <t>CHANTIER OU SITE CONCERNE</t>
  </si>
  <si>
    <t>ENEGISTREMENT</t>
  </si>
  <si>
    <t xml:space="preserve">REDACTEUR </t>
  </si>
  <si>
    <t>Chute de plain-pied</t>
  </si>
  <si>
    <t>Risque de manutention</t>
  </si>
  <si>
    <t>Risque d'ensevelissement</t>
  </si>
  <si>
    <t>Risque de projection et chutes d'objets</t>
  </si>
  <si>
    <t>Risque de chute de hauteur</t>
  </si>
  <si>
    <t>Risque chimique</t>
  </si>
  <si>
    <t>EPI</t>
  </si>
  <si>
    <t>Utilisation d'outils à main et électroportatifs</t>
  </si>
  <si>
    <t>Utilisation d'engins et véhicules</t>
  </si>
  <si>
    <t>Signalisation et balisage</t>
  </si>
  <si>
    <t>Installation de chantier</t>
  </si>
  <si>
    <t>Organisation des secours</t>
  </si>
  <si>
    <t>Ambiance thermique &amp; Environnement</t>
  </si>
  <si>
    <t>Organisation générale du chantier</t>
  </si>
  <si>
    <t>Formation et information du personnel</t>
  </si>
  <si>
    <t>Documents sur chantier</t>
  </si>
  <si>
    <t>Riverains</t>
  </si>
  <si>
    <t xml:space="preserve">Réseaux, élec, gaz… </t>
  </si>
  <si>
    <t xml:space="preserve">Répétions </t>
  </si>
  <si>
    <t xml:space="preserve">AUV </t>
  </si>
  <si>
    <t xml:space="preserve">SD </t>
  </si>
  <si>
    <t xml:space="preserve">NON </t>
  </si>
  <si>
    <t>La base vie de la step à été déplacé et réduite en fin d'année. Depuis rien n'a été ranger ni nettoyer. Les
tables sont dans un état lamentable, présence de nourriture dans les frigos depuis plusieurs semaines voir
mois, accès non stabilisé, stockage de gnr pour le groupe électrogène dans le couloir du réfectoire.</t>
  </si>
  <si>
    <t>RAK52K</t>
  </si>
  <si>
    <t>2026.01.08_RAK52K_CHAFFRAIX_Base vie insalubre</t>
  </si>
  <si>
    <t xml:space="preserve">CHAFFRAIX Loic </t>
  </si>
  <si>
    <t>SD</t>
  </si>
  <si>
    <t>Lors de la création d'une grille avaloir, nous terrassions à la pelle mecanique équipe d'un godet à lame, lorsque
nous avons découvert une conduite en fonte non présent sur les dict, sans grillage avertisseur ni sable
d'enrobage.</t>
  </si>
  <si>
    <t>260113_LHL_RAP61D_VALOT - N°1 Politique</t>
  </si>
  <si>
    <t>N</t>
  </si>
  <si>
    <t>L’opérateur a monté un disque a bois sur la tronçonneuse pour couper des panneaux en bois pour fabriquer un coffrage. Une fois la tâche finit, ils ont repris la pose de pavés autobloquants en béton.
Il a du faire des coupes de pavés et il a oublié de mettre le disque adapté pour béton
Arret toute suite de l’opérateur pour changer le disque</t>
  </si>
  <si>
    <t>RAP92E</t>
  </si>
  <si>
    <t>2026.01.14_RAP92E_BOUILLET_Mauvais disque de découpeuse</t>
  </si>
  <si>
    <t xml:space="preserve">BOUILLET Kévin </t>
  </si>
  <si>
    <t>une voiture est rentrée sur le chantier en montant sur le trottoir malgré le balisage
action effectué double le nombre de barrière et k5</t>
  </si>
  <si>
    <t>RAN90J</t>
  </si>
  <si>
    <t>260113_EHTP_RAN90J_ANDRIETTI - Intrusion VL</t>
  </si>
  <si>
    <t>PA</t>
  </si>
  <si>
    <t xml:space="preserve">En tapant sur une bordure avec un marteau, celui-ci s'est cassé au niveau de la vis de maintien des 2 parties (rigide et caoutchouc) et Paulo a faillit se taper la main contre la bordure. </t>
  </si>
  <si>
    <t>RL GT_260114_RAN67C_OLIVEIRA DA CUNHA - Maillet cassé</t>
  </si>
  <si>
    <t>OLIVEIRA DA CUNHA Sergio</t>
  </si>
  <si>
    <t>Une plaque pont à basculer des fourches lors d'un déplacement</t>
  </si>
  <si>
    <t>RAM16D</t>
  </si>
  <si>
    <t>260115_LHL_RAM16D_DE_SAINT_JEAN - N°1 Politique</t>
  </si>
  <si>
    <t xml:space="preserve">PA </t>
  </si>
  <si>
    <t>Le conducteur de camion grue s'est positionné à 1m de la fosse pour le déchargement des colonnes
enterrées avec sa plaque de répartition. Malgré l'avertissement de l'équipe le conducteur a continué sa
manipulation la structure s'est affaissée accentuant la fissure d'une buse EP existante qui avait été
accrochée par le conducteur de pelle au préalable (DICT classe C).
Le chef de chantier a arrêté la manipulation et re-deplacé son camion sur une zone appropriée.</t>
  </si>
  <si>
    <t>RAP95E</t>
  </si>
  <si>
    <t>2026.01.15_SBA_GUI_Affaissement chaussé déchargement camion grue</t>
  </si>
  <si>
    <t xml:space="preserve">Une trotinette électrique est rentrée dans l'emprise du chantier. </t>
  </si>
  <si>
    <t>RAN67C</t>
  </si>
  <si>
    <t>RL TG_260116_RAN67C_MARQUES MONTUSCLAT - N°SPE LAC</t>
  </si>
  <si>
    <t>MONTUSCLAT</t>
  </si>
  <si>
    <t xml:space="preserve">Une personne s'est servi d'un cutter l'ayant apporté personnellement et n'étant pas conforme. Nous allons redistribuer des cutters conformes avec lame rétractable automatique afin d'éviter toute coupure. </t>
  </si>
  <si>
    <t>RL GT_260116_RAP67C_GRANDEMANGE PRAT DA CUNHA HEYRAUD DA ROCHA - N°13 Levage</t>
  </si>
  <si>
    <t xml:space="preserve">En chargeant un camion, le pelleteur a souhaité égaliser les matériaux dans la benne à l'aide d'un godet de curage (plat sur l'arrière) et des cailloux sont tombés de l'arrière du godet sur une voiture qui se trouvait à côté : rappel important de baliser et créer une zone tampon entre camion et circulation. </t>
  </si>
  <si>
    <t>RL GT_260120_RAP67C_GRANDEMANGE ZAIR DA ROCHA DA CUNHA PRAT CRETTON - N°1 Politique</t>
  </si>
  <si>
    <t>À la demande de Clermont Auvergne Métropole, une intervention urgente a été réalisée dans le cadre des marchés à bons de commande afin de mettre en place 140 blocs béton de type «LEGO » à l’entrée d’une parcelle vierge, dans le but d’empêcher toute installation de gens du voyage. La mission de transport, de déchargement et de pose des blocs a été confiée à la société SBC PREFA, avec l’appui des entreprises COURCELLE (camion-grue) et BOUSQUET (livraison des blocs par semi-remorques plateau). Deux salariés de l’entreprise GUINTOLI étaient présents sur site pour assurer la coordination de l’intervention. Lors du neuvième passage d’une semi-remorque, alors que les opérations de repositionnement du véhicule étaient en cours, le chauffeur du camion-grue est monté sur le plateau pour accrocher une élingue, tandis que le chauffeur du plateau se trouvait encore en cabine.
L’arrivée d’un poids lourd à l’arrière de la semi-remorque a conduit ce dernier à redémarrer, entraînant le coincement du chauffeur de la grue entre deux blocs béton et occasionnant des éraflures à la jambe.</t>
  </si>
  <si>
    <t>RAM07E</t>
  </si>
  <si>
    <t>2026.01.20_RAM07E_GUI_Choc bloc béton salarié</t>
  </si>
  <si>
    <t xml:space="preserve">DIAS José </t>
  </si>
  <si>
    <t xml:space="preserve">Lors d'une réunion commune avec les responsables du chantier voisin, la grue de ce chantier est passée au dessus de leur tête avec une charge. Le chauffeur de la grue n'avait pas de visibilité et était guidé par un collaborateur au sol. Celui-ci était placé juste à côté de la réunion et n'a pas pris en compte la situation. </t>
  </si>
  <si>
    <t>RL TU_260122_RAP49C_GUERIN GUILLON CHALVIN - N°1 Politique</t>
  </si>
  <si>
    <t>O</t>
  </si>
  <si>
    <t xml:space="preserve">Croisement de nombreux réseaux lors du terrassement pour la pose de massif SLT et fosses d'arbres. Point d'arrêt et échanges avec MOE pour adapter la suite des travaux. </t>
  </si>
  <si>
    <t>RL GT_260128_RAP67C_GRANDEMANGE ZAIR PRAT CRETTON DA ROCHA HEYRAUD - N°6 Réseaux</t>
  </si>
  <si>
    <t xml:space="preserve">Balisage des regards ; bien vérifier les fermetures des tampons sur grilles pour les piétons à proximité qui ne respecteraient pas le balisage. </t>
  </si>
  <si>
    <t>RAL1EC</t>
  </si>
  <si>
    <t>RL TU_260127_RAL1EC_JARRET - N°1 Politique</t>
  </si>
  <si>
    <t>engin concerné : EC 220
Le godet terrassement de la ec 220 a été remis en service après réparation au service mécanique.
Lors du contrôle visuel et fonctionnel , il a été constaté que l attache du godet est trop large , avec un jeu d
environ 4cm .
risque identifié :
- mauvais maintien du godet</t>
  </si>
  <si>
    <t>RAP91D</t>
  </si>
  <si>
    <t>260121_LHL_RAP91D_CHAPON - N°1 Politique</t>
  </si>
  <si>
    <t xml:space="preserve">Vitesse excessive des riverains à proximité du chantier. Malgré le balisage renforcé, les véhicules roulent à vive allure à proximité de nos travaux et ne respectent pas le sens de circulation. </t>
  </si>
  <si>
    <t>RL TU_260121_RAP56C_GRIMAND JEAN VICTOR DUPUY - N°2 REX</t>
  </si>
  <si>
    <t>sans citer de nom l'entreprise qui est sur la co-activité coupe sans eau et protection individuelle au risques
de dérange l'activitée des collaborateurs NGE</t>
  </si>
  <si>
    <t>RAP40E</t>
  </si>
  <si>
    <t>2026.01.22_RAP40E_RENARD_Découpe sans eau à proximité</t>
  </si>
  <si>
    <t xml:space="preserve">RENARD Alexandre </t>
  </si>
  <si>
    <t xml:space="preserve">Une palette de bordures P1 est défectueuse et risque de tomber en posant les bordures. </t>
  </si>
  <si>
    <t>RAO1AC</t>
  </si>
  <si>
    <t>RL TU_260126_RAO1AC_DE ARAUJO - N°1 Politique</t>
  </si>
  <si>
    <t>Pallette d'eau sur le cheminement piétons.
Entreposé sur un sol pas droit.</t>
  </si>
  <si>
    <t>RAP99A</t>
  </si>
  <si>
    <t>260126_AIN_RAP99A_SALINGUE - Chute palette d'eau</t>
  </si>
  <si>
    <t xml:space="preserve">Lors de la préparation pour la pose de bordures, nous avons eu besoin du BRH pour casser du béton gênant. Le chauffeur de pelle monte donc le BRH, branche les flexibles et redresse le BRH afin de faire un essai. Le BRH tombe de sa hauteur car le verrouillage automatique 'a pas fonctionné correctement. Les flexibles assez longs n'ont pas été arrachés. Il n'y a pas eu de casse. </t>
  </si>
  <si>
    <t>RAK52E</t>
  </si>
  <si>
    <t>2026,01,2026_RAK52E_GUI_Chute du BRH</t>
  </si>
  <si>
    <t xml:space="preserve">DUFOUR Thomas
</t>
  </si>
  <si>
    <t xml:space="preserve">Les riverains ne respectent pas les feux tricolores en place. Il y a souvent des face à face entre les riverains. La chargeuse a faillit rentrer dans une voitures qui n'avait pas respecté le feux sur le rond point Charmettes. </t>
  </si>
  <si>
    <t>RL GT_260127_RAP67C_GRANDEMANGE DA ROCHA DA CUNHA PRAT CRETTON - N°1 Politique 2</t>
  </si>
  <si>
    <t xml:space="preserve">Risque vélo/piétons frères lumières : veiller sur le balisage de chantier pour empêcher les vélos de descendre la rue frères lumières. </t>
  </si>
  <si>
    <t>RAO92C</t>
  </si>
  <si>
    <t>RL TU_260127_RAO92C_DENEPOUX SANTOS  CRUZ - N°2 REX</t>
  </si>
  <si>
    <t>Le camion affrété pour le chantier est rentré par l'accès en sens interdit , briefer les chauffeurs au sens de circulation</t>
  </si>
  <si>
    <t>260127_EHTP_A4J001_GASTON CORNIER - N°1 Politique</t>
  </si>
  <si>
    <t>GASTON Jean-Baptiste
CORNIER Fabrice</t>
  </si>
  <si>
    <t>Levage de plaque vibrante par son arceau de levage à l'aide d'un mécalac</t>
  </si>
  <si>
    <t>RAN63C</t>
  </si>
  <si>
    <t>RL GT_260128_RAN63C_RONZE - Arceau levage</t>
  </si>
  <si>
    <t>Les automobilistes forcent les routes barrées</t>
  </si>
  <si>
    <t>RAP23C</t>
  </si>
  <si>
    <t>RL TU_260130_RAP23C_FESSAGUET LOURENCO - N°2 REX</t>
  </si>
  <si>
    <t>collision évitée entre notre mécalac et un automobiliste qui a forcé le passage lors de la synchronisation des
feux de circulation lors du commencement du chantier.
Nous réalisons la synchronisation des feux à l'avance avant de les installer, mais au moment de les installer les
automobilistes refusent souvent de s'arrêter, ce qui crée des situations dangereuses avec nos engins et nos
collaborateurs à pied</t>
  </si>
  <si>
    <t>RAP63D</t>
  </si>
  <si>
    <t>260130_LHL_RAP63D_COUTURIER - EPI cat. 3</t>
  </si>
  <si>
    <t>Un compagnon a été aperçu en train de chanfreiner à la découpeuse thermique avec un disque non adapté. Le tuyau est tenu avec le pied</t>
  </si>
  <si>
    <t>260130_AIN_RAP99A_AUGER BLANCHET COLMARD CUILLERAT PONCET SALINGUE - Chanfreins découpeuse</t>
  </si>
  <si>
    <t xml:space="preserve">Un salarié a tiré au rateau toute la journée pour faire 50T à 2. Il a senti sa tendinite se réveiller à la fin de la journée. </t>
  </si>
  <si>
    <t>RAP50J</t>
  </si>
  <si>
    <t>260131_CANA EST_RAP50J_TOUZEL - Tendinite</t>
  </si>
  <si>
    <t xml:space="preserve">Route barrée sans autorisation. Par moment, sur certaines zones de travaux, les équipes se permettent de barrer la route sans autorisation par arrêté de circulation. Rappel fait sur l'interdiction de ce type de pratique. Phasage prévu en amont des travaux. Places de stationnemment réservées pour la circulation et non les véhicules NGE qui ont déjà des zones prévues ailleurs. </t>
  </si>
  <si>
    <t>260203_RL GT_RAP67C_HEYRAUD GRANDEMANGE PRAT DA CUNHA ZAIR DA ROCHA CRETTON - N°SPE EPI</t>
  </si>
  <si>
    <t xml:space="preserve">Irruption dans le balisage chantier. Enceinte clôturée qui a été ouverte par des riverains qui ne souhaitent pas faire le tour du balisage et suivre le cheminement prévu à cet effet. </t>
  </si>
  <si>
    <t>RL GT_260211_RAP67C_HEYRAUD DA ROCHA ZAIR PRAT GRANDEMANGE DA CUNHA - N°SPE Balisage</t>
  </si>
  <si>
    <t>Sur un atelier de dépose-repose de pavés, un ouvrier était chargé de retirer les joints en mortier encore présent sur les pavés à réutiliser, pour ce faire il utilisait une massette et frappait directement sur le joints pour le décoller, au bout d'1h il c'est frappé le doigts</t>
  </si>
  <si>
    <t>260211_LHL_RAP61D_VALOT - N°2 Batteries</t>
  </si>
  <si>
    <t>Un matin en sortant le matériel du conteneur, un ouvrier a trébuché en descendant du conteneur et est tombé au sol</t>
  </si>
  <si>
    <t>260211_LHL_RAP61D_VALOT - N°3 Stockage</t>
  </si>
  <si>
    <t xml:space="preserve">Lors des 5premieres minutes dans la cabane, une personne debout était appuyée sur la porte d'entrée et une autre a voulu rentrer au même moment sans prévenir le collaborateur appuyé. Il s'est trouvé déséquilibré et risqué de tomber en arrière. </t>
  </si>
  <si>
    <t>2026-02-12_RAP87E_DUFOUR_Thomas__Réseaux_Réception engins</t>
  </si>
  <si>
    <t xml:space="preserve">DUFOUR Thomas
ITIER Milan </t>
  </si>
  <si>
    <t>co- activités sur le chantier, nous déposons des pavés dans une zone précise lorsque une autre entreprise est venue réaliser une tranché de réseau sec au même endroit avec une mini pelle et un dumper qui passais juste à côté de nous.
nous avions du travail à un autre endroit, nous avons donc changé de zone de travail pour éviter un accident</t>
  </si>
  <si>
    <t>RAP02D</t>
  </si>
  <si>
    <t>260212_LHL_RAP02D_BERAUD - N°3 Stockage</t>
  </si>
  <si>
    <t>Sur CNPE Bugey le dumper 6T en location a un avertisseur sonore cassé ainsi que la caméra de recul. Le risque de heurt est accru</t>
  </si>
  <si>
    <t>RAN02A</t>
  </si>
  <si>
    <t>260212_NUC_RAN02A_MERLINO - Coactivité engins-piéton</t>
  </si>
  <si>
    <t>utilisation des téléphones portables très souvent
inappropriés sur le chantier visionnage de vidéo, etc.</t>
  </si>
  <si>
    <t>RAP1PD</t>
  </si>
  <si>
    <t>260213_LHL_RAP1PD_CHAPON - N°2 Batteries</t>
  </si>
  <si>
    <t>Le topographe effectuait des relevés en périphérie d'un bassin de rétention qui était déjà bâché. Il était amené à se déplacer sur la bâche, et donc un risque de glissade/chute</t>
  </si>
  <si>
    <t>2026.02.16_RAK52E_ROUTUROU_Risque de glissade topo</t>
  </si>
  <si>
    <t>ROUTUROU Baptiste</t>
  </si>
  <si>
    <t>Lors de la réalisation d'enrobés au finisseur, une semie a avancé plus vite que le finisseur et a vidé de l'enrobé entre sa benne et le finisseur. Cela aurait pu être dangeureux si un compagnon était dans la zone de manoeuvre</t>
  </si>
  <si>
    <t>260217_LHL_RAP63D_COUTURIER - N°2 Batteries</t>
  </si>
  <si>
    <t>vendredi dernier la pelle de location a faillait s’enfoncer dans le terrain boueux à cause
de la boue. il n’a pas sondé la portance du terrain avec son godet. rappel sur l’importance des chauffeurs de
pelle à écouter les gens à pied</t>
  </si>
  <si>
    <t>RAN80D</t>
  </si>
  <si>
    <t>260217_LHL_RAN80D_FAYARD JACINTO - N°3 Stockage</t>
  </si>
  <si>
    <t>FAYARD Guillaume
JACINTO Frédéric</t>
  </si>
  <si>
    <t>Le salarié enroulait de la cablette. Cette dernière est remontée vers la tete du salarié et lui a érraflé le nez</t>
  </si>
  <si>
    <t>260218_EHTP_A4J001_BOURRUST CORNIER GASTON - N°2 Batteries</t>
  </si>
  <si>
    <t>CORNIER Fabrice
GASTON Jean-Baptiste
BOURRUST Titouan</t>
  </si>
  <si>
    <t>Nos tôle de passages n'ont qu'un trou pour la manutention. Une fois qu'elles sont posées au sol il n'y a pas de moyen de les accrocher avec une chaîne. Nous sommes obligé de les relever avec une pelle</t>
  </si>
  <si>
    <t>RAP26K</t>
  </si>
  <si>
    <t>2026,02,18_RAP26K_CHAFFRAIX_Levage tôle de passage</t>
  </si>
  <si>
    <t>axe principale du bras de la chargeuse</t>
  </si>
  <si>
    <t>RAP83A</t>
  </si>
  <si>
    <t>260223_AIN_RAP83A_SALVADORI - Axe chargeuse</t>
  </si>
  <si>
    <t>Un salarié a marché sur un clou qui s'est planté dans sa chaussure et l'a transpersé</t>
  </si>
  <si>
    <t>RAP25C</t>
  </si>
  <si>
    <t>RL TU_260220_RAP25C_GRIMAND - Clou chaussure</t>
  </si>
  <si>
    <t xml:space="preserve">Lors d'une opération de compactage à l'aide d'une plaque vibrante PQ1, notre collaborateur a souahité déplacer la machine en installant les roues prévues à cet effet. Au moment de la manipulation, il est entré en contact avec le pot d'échappement encore chaud et s'est brûlé la main droite. </t>
  </si>
  <si>
    <t>2026.02.23_RAK52E_ROUTUROU_Brulure</t>
  </si>
  <si>
    <t xml:space="preserve">Lors d'un gros coup de vent, les barrières héras ses sont renversées sur la chaussée malgré les plots jaunes de renfort de 50kg. La CAM a appelé en urgence le conduc' pour remettre en place le balisage et renforcer le lestage. 
Il n'y avait plus d'équipe sur le chantier à ce moment-là. </t>
  </si>
  <si>
    <t>2026,02,24_RAP92E_ZARZA_Chute barrières héras</t>
  </si>
  <si>
    <t xml:space="preserve">En voulant rectifier un affaissement sur les enrobés qui étaient en train d'être mis en place, après avoir sauté à pied joints dessus pour les tasser, un de nos ouvriers est allé chercher de l’enrobé avec une brouette pour combler l’affaissement. En revenant, l’enrobé s’était effondré à l’intérieur du puit, laissant apparaitre un trou d’une profondeur de 10 mètres, sur un diamètre d’un mètre. </t>
  </si>
  <si>
    <t>RL TU_260224_RAP50J_TOUZEL - Puits 10m</t>
  </si>
  <si>
    <t xml:space="preserve">Une pelle à pneu chargeait un camion par derrière sur une voie de la chaussée, accompagnée de 3 hommes trafic. Lors de la rotation de la pelle, un homme en trotinette est passé à moins de 30cm du godet. </t>
  </si>
  <si>
    <t>RL GT_260227_RAP67C_GRANDEMANGE PRAT CRETTON ZAIR DA ROCHA - N°SPE Angles morts</t>
  </si>
  <si>
    <t>Sur le chantier de Royat, un de nos sous-traitants(AVM) est intervenu le Vendredi 27 Février pour réaliser 
de la résine pépite sur un plateau surélevé.
Ces travaux nécessitaient la mise en place d'une déviation qui avait été installée par le conducteur de 
travaux le matin même, le replis de celle-ci a été réalisé pour le sous traitant.
La chaussée a été rouverte vers 18h avec les panneaux suivants:
- AK5 Travailleurs
- A2A Dos d'anes
-A14 Point exclamation
Le soir même un scooter a glissé sur le rejet de la résine pépite et il est tombé. (dégâts que matériel).
Le conducteur du scooter se plaint ne pas avoir vu de panneaux AK22 "Gravillons".
La CAM fait marcher son assurance dans un premier temps.</t>
  </si>
  <si>
    <t>2026,02,27_RAP92E_GUI_Chute d'un scooter</t>
  </si>
  <si>
    <t>Pour passer les nouveaux fourreaux, l’équipe de chantier a eu recours à une aspiratrice pour ouvrir les
fouilles. Compte tenu de l’interdiction de plus des engins de 7t dans la rue Meyrland, la société Tapir a
proposé de fixer l’extrémité du tuyau d’aspiration de l’aspiratrice au godet de la pelle 6t.
Avant l’incident, une des fixations à droite casse et est remplacée par Tapir.
Sur la 3e et dernière fosse (11h30), un des maillons de la chaînes, mis sous tension avec l’angle du godet
appliqué, vient à casser et propulse la chaîne dans la vitre basse de la pelle. Le pare brise étant relevé.
Sur site il n’y a pas de VGP pour les chaînes, qui ne possèdent pas non plus de scellés de vérification.</t>
  </si>
  <si>
    <t>2026,03,04_RAQ12E_GUI_Casse de l'accroche de l'aspiratrice au godet</t>
  </si>
  <si>
    <t>BERLIAT Milan
DA SILVA Tony
PEREIRA Antoine</t>
  </si>
  <si>
    <t>Le marquage piquetage a été effectué par une entreprise mandatée par le moa. Auquel le procès-verbal a
été établi par le moe.
Une fois de plus le traçage est incomplet surtout pour le gaz!
(un branchement non tracé, aucun chevron sur tout le linéaire de la conduite et tout les branchements en
classe C).
Il suffisait pourtant de recopier les plans de DICT au sol!
Je m'interroge fortement sur l'utilité des investigations complémentaires.
A l' AIPR on nous dit que les réseaux sensibles doivent être ramené en classe A d'où le but des IC.
Étant donné qu'à chaque fois personne n'est responsable de rien, en cas d'incident, sur qui l'équipe de
travaux doit-elle se dédouaner?</t>
  </si>
  <si>
    <t>2026,03,06_RAP26K_CHAFFRAIX_Marquage réseau incomplet</t>
  </si>
  <si>
    <t>Le chauffeur de pelle a fait une rotation avec la pelle à pneu en chargeant un camion et a accroché le candélavre qui était partiellement caché par les cyprès</t>
  </si>
  <si>
    <t>RAQ27E</t>
  </si>
  <si>
    <t>2026.03.06_RAQ27E_GUI_Casse tête de candélabre</t>
  </si>
  <si>
    <t>Lors du remblaiement d'une zone étroite entre une chambre et une tranchée, un ouvrier s'est mis en position dangeureuse et instableafin de récuperer le remblai à la pelle à main. Il a placé un pied au bord de la chambre et l'autre sur le godet de la pelle mécanique</t>
  </si>
  <si>
    <t>260309_AIN_RAP99A_LAFRINDI BLANCHET COLMARD CUILLERAT AUGER - Position remblaiement</t>
  </si>
  <si>
    <t>LAFRINDI Ghizlane
COLMARD Jean-Christophe
AUGER Alexis
CUILLERAT Jordan
BLANCHET Florent
PONCET Pascal</t>
  </si>
  <si>
    <t>lors d’une decoupe d.enrobe avec la tronconneuse thermique, aucun control du serrage du disque n’a ete
realiser et celui ci s’est desserer .</t>
  </si>
  <si>
    <t>260310_EHTP_RAP50J_DOS PRAZERES MACIAS RONQUETTE - N°3 Stockage</t>
  </si>
  <si>
    <t>DOS PRAZERES José
MACIAS Julien
RONQUETTE Evan</t>
  </si>
  <si>
    <t>un ouvrier se tenait sur une echelle existante dans un regard d’assainissement qui faisait 80 cm de haut. le barreau de l’echelle qui etait rouillé a ceder sous le poid de l’ouvrier. il est tomber au fond du regard qui fort heureusement etait peu profond et n’a subi aucun traumatisme</t>
  </si>
  <si>
    <t>260310_EHTP_RAP50J_DOS PRAZERES MACIAS RONQUETTE - N°2 Batteries</t>
  </si>
  <si>
    <t xml:space="preserve">Un usager de la route a remonté le chantier en contre-sens de la circulation malgré le balisage et a heurté la lame d'une pelle mécanique travaillant dans l'emprise du chantier. </t>
  </si>
  <si>
    <t>RL GT_260310_RAP67C_HEYRAUD DA ROCHA CRETTON PRAT GRANDEMANGE JACQUOT BACOT - N°3 Stockage</t>
  </si>
  <si>
    <t>Un rdv a ete pris avec des commerciaux pour essai d’une solution de levage de container. Lors de la
demonstration ses derniers n’avaient pas de casque. Alors que des levages ont eu lieu.
A leur arrivée sur le site les EPI leur ont éte demandés par le QSE mais ce dernier n’a pas effectué le
lancement avec eux comme une formation ete en cours.
Une fois présent pour la demonstration ce dernier a demandé aux commerciaux de s’eloigner du cone de
levage et de se tenir a distance</t>
  </si>
  <si>
    <t>RAALHL</t>
  </si>
  <si>
    <t>260313_LHL_RAALHL_BOURRUST - Non port des EPI par intervenants exterieurs</t>
  </si>
  <si>
    <t>BOURRUST Titouan</t>
  </si>
  <si>
    <t xml:space="preserve">Un riverain s'est fait renversé par une chargeuse qui était en train de déplacer des barrières bleues à l'aide de ses fourches. Le riverain est parti à l'hopital et est ressorti 3h </t>
  </si>
  <si>
    <t>RU GT_260316_RAN63C_RONZE DE OLIVEIRA G. DEFRANCE - N°3 Energies</t>
  </si>
  <si>
    <t xml:space="preserve">Location d'une raboteuse W600 pour une tranchée à St Priest, le chauffeur a mis en route le tapis alors que le camion était trop loin, 1 pierre a tapée dans la porte arrière du camion. Elle aurait pu heurter un piéton en rebondissant. </t>
  </si>
  <si>
    <t>RAM64C</t>
  </si>
  <si>
    <t>RL TU_260316_RAM64C_LOURENCO FESSAGUET - N°5 PTAC</t>
  </si>
  <si>
    <t>Le marché pied à cédé en montant dans la pelle.</t>
  </si>
  <si>
    <t>RAP09A</t>
  </si>
  <si>
    <t>260317_NUC_RAP09A_SALINGUE - Marche pied défectueux</t>
  </si>
  <si>
    <t>Lors du compactage d'une rampe (3,5m de large) avec un compacteur V4 ce dernier a faillit se renverser. Le chauffeur a un peu mordu sur le talus ce qui a enfoncé le compacteur à l'avant. S'en rendant compte immédiatement il a pu faire marche arrière sans problème.</t>
  </si>
  <si>
    <t>RAQ17D</t>
  </si>
  <si>
    <t>260319_LHL_RAQ17D_COUTURIER - N°4 Alternats</t>
  </si>
  <si>
    <t xml:space="preserve">Faire attention aux ficelles qui sont tendues lors de la pose de bordures afin de ne pas trébucher. Le fait de les prendre de couleur les rend plus visibles. </t>
  </si>
  <si>
    <t>RL GT_260318_RAP67C_GRANDEMANGE DA ROCHA DA CUNHA PRAT CRETTON - N°SPE AT Levage</t>
  </si>
  <si>
    <t>Terraseement en bord de trottoir, passage limité pour laisser la chaussée en double sens</t>
  </si>
  <si>
    <t>260320_EHTP_A4J001_CORNIER GASTON - N°3 Energies</t>
  </si>
  <si>
    <t>CORNIER Fabrice
GASTON Jean-Baptiste</t>
  </si>
  <si>
    <t>Dans l'alternat une voiture à grillé le feu rouge et faillit percuter l'autre véhicule en face</t>
  </si>
  <si>
    <t>260320_EHTP_A4J001_CORNIER GASTON - N°4 Alternat</t>
  </si>
  <si>
    <t xml:space="preserve">Les cyclistes ne respecte,t pas les signalisations et balisages, risque de heurt. </t>
  </si>
  <si>
    <t>RL TU_260320_RAL1EC_COLLIGNON JARRET BERCHARD DUCOTTET - N°5 PTAC</t>
  </si>
  <si>
    <t>Riverain grille systématiquement les feux de chantier mise en place sur le chantier rue maréchal leclerc à St
priest</t>
  </si>
  <si>
    <t>RAP15J</t>
  </si>
  <si>
    <t>260323_EHTP_RAP15J_NOUVET - N°4 Alternat</t>
  </si>
  <si>
    <t>Une bordure est tombée de la palette lors de la manutention avec le camion grue, car cette dernière était mal
équilibrée</t>
  </si>
  <si>
    <t>260323_LHL_RAN80D_VALOT - N°5 Charge véhicules</t>
  </si>
  <si>
    <t xml:space="preserve">Malgré la mise en place de signalisation de chantier et de balisage lourd, les véhicules ne respectent pas la route barréee et tente de s'engager dans le chantier. </t>
  </si>
  <si>
    <t>RL TU_260324_RAP56C_GRIMAND JEAN-VICTOR DUPUY - N°4 Alternat</t>
  </si>
  <si>
    <t>Avec le vent les barrières sont tombées dans la tranchée. Elles n'étaient plus solidaires pour accès du personnel aux travaux. L'ouvrier qui passait la plaque a faillit les prendre sur les jambes</t>
  </si>
  <si>
    <t>RAL15J</t>
  </si>
  <si>
    <t>260327_EHTP_RAL15J_GASTON GREDZIAK - N°4 Alternat</t>
  </si>
  <si>
    <t>GASTON Jean-Baptiste 
GREDZIAK Marc</t>
  </si>
  <si>
    <t xml:space="preserve">Collision chargeuse / VL lors de l'insertion dans la circulation. Le VL a freiné au feu et la charge dans le godet a basculé et endommagé le VL. Dégâts matériels uniquement. </t>
  </si>
  <si>
    <t>RL GT_260325_RAP67C_HEYRAUD GRANDEMANGE PRAT CRETTON ZAIR JACQUOT DA ROCHA - N°5 PTAC</t>
  </si>
  <si>
    <t>un riverain a pied a faillit chuter sur un fourreau electrique qui passait sur le trottoire. le probleme a ete resolu en creant un chanfrain avec de l’enrobé froid.</t>
  </si>
  <si>
    <t>260326_EHTP_RAP50J_DOS PRAZERES MACIAS - N°4 Alternat</t>
  </si>
  <si>
    <t>DOS PRAZERES José
MACIAS Julien</t>
  </si>
  <si>
    <t>big bag de pavés laisser dehors pendant 1ans qui lâche lors de manutentions au camion grue</t>
  </si>
  <si>
    <t>260327_LHL_RAP02D_BERAUD - N°4 Alternat</t>
  </si>
  <si>
    <t>piétons qui marche sur bétons frais coulé dans les trottoirs malgré les barrières ( qu'il déplace)
conséquence:
-riverains avec les 2 pieds plein de bétons
- finitions sur le bétons à refaire</t>
  </si>
  <si>
    <t>260327_LHL_RAP02D_BERAUD - N°5 Charge véhicules</t>
  </si>
  <si>
    <t>Lors de l'usage du maillet pour assembler les bordures pour poser correctement à la ficelle il faut les mettre en place en leur tapant dessus pour les asseoir dans le lit de béton les bordures 30-30 îlot central assez conséquente lors de plusieurs frappes le maillet c'est divisé en plusieurs parties il ne restait plus que le manche
dans la main de l'ouvrier cela aurait pu causer de graves conséquences sur un passager ou les voitures face à la bordure</t>
  </si>
  <si>
    <t>RL GT_260327_RAP67C_GRANDEMANGE ZAIR DA ROCHA PRAT CRETTON DA CUNHA - N°4 Alternat</t>
  </si>
  <si>
    <t>Lors d'une manœuvre en marche arrière sur le chantier, un ouvrier conduisant une camionnette avec un capteur de recul défectueux et ne disposant pas d'alerte sonore fonctionnelle, n'a pas détecté la présence d'un piéton derrière le véhicule. En reculant, le camion a heurté la plaque vibrante au sol et a manqué de peu le piéton qui se trouvait derrière</t>
  </si>
  <si>
    <t>RAN52E</t>
  </si>
  <si>
    <t>2026-03-31_RAP52E_MAUPOU_Transport par 3t5</t>
  </si>
  <si>
    <t>Décès d'un SDF dans la rue : l'équipe a mobilisé les pompiers et a fait les gestes de premiers secours. Le SDF ne se sentait pas bien (fatigues intense, affaiblissement)</t>
  </si>
  <si>
    <t>RL TU_260331_RAO92C_SANTOS CRUZ DENEPOUX - N°2 Batterie</t>
  </si>
  <si>
    <t xml:space="preserve">Nous avons fait intervenir une aspiratrice autour d'un regard d'eau potable où il y avit différents réseaux. Lors de l'aspiration, le sable qui avait servi pour la pose du regard en polyester a fait un soucavement malgré un calage avec un bastin. Il a basculé à proximité de la conduite de gaz qui aurait pu la détériorer. </t>
  </si>
  <si>
    <t>RAN29E</t>
  </si>
  <si>
    <t>2026-04-01_GUI_RAN29E_Basculement regard eau potable</t>
  </si>
  <si>
    <t xml:space="preserve">Le levage de palettes de bordures granit 20*30 dangereux car les palettes bois sont souvent en mauvais état lors de livraison. </t>
  </si>
  <si>
    <t>RAO28C</t>
  </si>
  <si>
    <t>RL TU_260402_RAO28C_CHUPIN - N°5 PTAC</t>
  </si>
  <si>
    <t xml:space="preserve">Une voiture a percuté l'arrière de la chargeuse qui attendait au feu rouge. Pas de blessé. Gyrophare et clignotants ok. </t>
  </si>
  <si>
    <t xml:space="preserve">RL GT_260403_RAP67C_HEYRAUD PRAT DA ROCHA DA CUNHA CRETTON - N°SPE Manoeuvre </t>
  </si>
  <si>
    <t xml:space="preserve">En marchant sur un tampon, un collaborateur est tombé. Le couvercle de ce tampon était mal emboité et a basculé sous le poids du collaborateur. En faisant les finitions, un autre collaborateur avait mal refermé le couvercle. </t>
  </si>
  <si>
    <t>RL TU_260407_RAP49C_GUERIN - N°5 PTAC</t>
  </si>
  <si>
    <t xml:space="preserve">Travaux en chaussée rétrécie dans un carrefour malgré la demande dde route barrée anticipée car refus de la MOA. Intervention du CSPS pour imposer la route barrée. </t>
  </si>
  <si>
    <t>RL TU_260422_RAP56C_GRIMAND JEAN-VICTOR DUPUY COLLIGNON - N°7 Réseaux</t>
  </si>
  <si>
    <t xml:space="preserve">Le conducteur a réalisé la chauffe du tombereau 109 à partir de 7h10. 
Il quitte le dépôt à 7h30 pour se rendre sur le chantier, au même moment, le fournisseur de GNR arrive. Il réalise le plein de l'engin. 
Il redémarre l'engin et se rend sur le chantier. Le conducteur du porteur suit le tombereau et il observe des flammes sortir devant la benne du tombereau. 
Le chef de chantier arrive juste après avoir fermé la base-vie et remarque que le conducteur du camion de livraison est descendu et que les deux véhicules sont à l'arrêt. 
Il apperçoit des flammes dans l'articulation du tombereau, il récupère son extincteur 2kg ABC dans son fourgon, et demande au conducteur d'éteindre et de descendre de la machine. Après avoir vidé l'extincteur, le feu est maîtrisé. 
Après échange avec le conducteur, lorsqu'il a voulu marquer l'arrêt au STOP, il remarque qu'il n'a plus de frein de service. Le frein de parc fonctionnait mal également. </t>
  </si>
  <si>
    <t>RAO84L</t>
  </si>
  <si>
    <t>2026-04-13_TPL_RAO84L_Départ d'incendie</t>
  </si>
  <si>
    <t>CHASSAGNOL Florian</t>
  </si>
  <si>
    <t>Faire Attention au contenu des bidons de 2T et 4T, et connaître leur utilisation.
Un compagnon a fait le plein d'une plaque vibrante avec du 2 Temps. Nous nous en sommes rendu compte
assez rapidement et avons pu purger le réservoir avant de réutiliser la plaque.</t>
  </si>
  <si>
    <t>260415_LHL_RAP02D_COUTURIER - 8 incontournables</t>
  </si>
  <si>
    <t>Travail en co-activité à l'Hôtel Dieu : On règle du 0/31,5 sous le bâtiment avec une pelle et 2 ouvriers. Cependant, il y a sans cesse des aller-retours entre l'extérieur et l'intérieur du bâtiment, donc du mouvement autour de la pelle.</t>
  </si>
  <si>
    <t>RAM1TE</t>
  </si>
  <si>
    <t>2026-04-16_RAM1TE_DA SILVA_PEREIRA_ITIER_ EPI</t>
  </si>
  <si>
    <t>DA SILVA Tony</t>
  </si>
  <si>
    <t xml:space="preserve">Lors de la préparation des asphaltes, nous étions en train d'enlever des chanfreins autour des tampons avec la minipelle. Des ouvriers étaient là pour faire la circulation des piétons et des cyclistes. Le cycliste a vu les gestes de l'ouvrier au dernier moment car il avait le soleil dans les yeux. Il a fait un écart avec le vélo et heureusement il n'était pas tombé. Il arrivait sûrement un peu vite. </t>
  </si>
  <si>
    <t>RL GT_260416_RAN63C_BERTHELON - N°6 Notes internes</t>
  </si>
  <si>
    <t xml:space="preserve">Lors de la mise en place de planches de coffrage, je me suis apperçu de l'utilisation du disque diamand pour allez plus vite. Risque de surchauffe du disque : le disque était HS par la suite (noir). </t>
  </si>
  <si>
    <t>RL GT_260416_RAP67C_GRANDEMANGE DA CUNHA PRAT CRETTON JACQUOT - N°6 Notes internes</t>
  </si>
  <si>
    <t xml:space="preserve">Les gens forcent le passage, quitte à heurter l'homme-trafic, pour arriver à leur fin. Les sens interdits provisoirs ne sont jamais respectés même avec un homme-trafic. </t>
  </si>
  <si>
    <t>RL GT_260416_RAP67C_GRANDEMANGE DA CUNHA PRAT CRETTON JACQUOT - N°7 Réseaux</t>
  </si>
  <si>
    <t>Sur un autre chantier que celui ci , 2 OS utilise une tronçonneuse thermique pour chanfreiner un pavé 15x15. Un ouvrier tenait le pavé et l'autre la tronçonneuse.
--&gt; Mauvaise utilisation de la tronçonneuse et risque de coupure important</t>
  </si>
  <si>
    <t>260417_LHL_RAP91D_CHAPON VALOT - N°7 Réseaux</t>
  </si>
  <si>
    <t>CHAPON Julien
VALOT Baptiste</t>
  </si>
  <si>
    <t>pas d'échelle de talus pour mise en place d'échelle à grenouille</t>
  </si>
  <si>
    <t>260417_AIN_RAP99A_CUILLERAT VAN DER BIEST WEHRLIN - N°7 Réseaux</t>
  </si>
  <si>
    <t xml:space="preserve">CUILLERAT Jortdan
VAN DER BIEST Lubon
WEHRLIN Simon
</t>
  </si>
  <si>
    <t xml:space="preserve">Lors de l'impression des DICT du concessionnaire ENEDIS, le fond de plan se décale entrainement un positionnement incorrect du marquage des réseaux sur le chantier. </t>
  </si>
  <si>
    <t>2026-04-17_RAM07E_DUFOUR_Thomas</t>
  </si>
  <si>
    <t xml:space="preserve">DUFOUR Thomas </t>
  </si>
  <si>
    <t xml:space="preserve">Après terrassement à -30 cm du futur niveau fini nous attaquons le terrassement des chaussées drainantes à l'aspiratrice. 
Pour la guider on lui laisse les piquets d'implantations afin qu'elle se repère sur x, y et z car il y a la hauteur sur les piquets
Au moment d'implanter la troisième chaussée drainante au deuxième coup de masse surle piquet, l'opérateur ressent un obstacle au moment où il tape sur le piquet ; il arrête l'opération, ressort la fiche et remarque que cette dernière est noire sur 10 cm. 
Il balise immédiatement la zone et prévient son responsable. </t>
  </si>
  <si>
    <t>RAP52E</t>
  </si>
  <si>
    <t>2026-04-20_GUI_RAP52E_Fiche dans réseau BT</t>
  </si>
  <si>
    <t>RIBEIRO Alexandre</t>
  </si>
  <si>
    <t>Une trottinette électrique a roulé sur les enrobés pas encore cylindrés.</t>
  </si>
  <si>
    <t>AMQ001</t>
  </si>
  <si>
    <t>RL GT_260421_AMQ001_TOUZEL MARQUES - N°7 Réseaux</t>
  </si>
  <si>
    <t>Pelle d'enrobés lourde à magner, plus le poids de l'enrobé dedans. Il existe des pelles spéciales enrobé que l'on appelle pelle poids plume de 1kg.</t>
  </si>
  <si>
    <t>RAQ43E</t>
  </si>
  <si>
    <t>2026-04-21_RAQ43E_MAUPOU_Epi et Stop &amp; Go</t>
  </si>
  <si>
    <t xml:space="preserve">Le chauffeur de la balayeuse est descendu de son camin pour utiliser la lance sans mettre ses chaussures de sécurité. Il a fallu lui faire remarquer pour qu'il le corrige. </t>
  </si>
  <si>
    <t>RL GT_260422_RAN63C_MARQUES - Non respect du port des EPI</t>
  </si>
  <si>
    <t xml:space="preserve">Non respect de la signalisation de chantier par les riverains malgré le marquage spécifique, les panneaux dos d'âne, panneaux limite de vitesse… Les véhicules arrivent à vive allure sur le dos d'ane provisoire et accrochent leur pare-choc. </t>
  </si>
  <si>
    <t>RL TU_260422_RAP56C_GRIMAND JEAN-VICTOR DUPUY COLLIGNON - N°6 Notes internes</t>
  </si>
  <si>
    <t xml:space="preserve">Les cyclistes passent dans le balisage et manquent de heurter un compagnon. </t>
  </si>
  <si>
    <t>RL TU_260422_RAP50J_DE ARAUJO JARRET - N°6 Notes internes</t>
  </si>
  <si>
    <t xml:space="preserve">Lors de la découpede bordure, un opérateur a travailler sans lunette de protection, des projections de gravillons ont été émises et ont frôlées son visage. Aucun blessé mais risque réel de blessure à l'outil identifié. </t>
  </si>
  <si>
    <t>RL GT_260422_RAN63C_VIAL REPELLIN - N°6 Notes internes</t>
  </si>
  <si>
    <t>VIAL Benjamin</t>
  </si>
  <si>
    <t xml:space="preserve">En descendant du camion, le baudrier du chauffeur a activé la manette de benne. La porte arrière s'est ouverte. </t>
  </si>
  <si>
    <t>RL GT_260422_RAN63C_MARQUES TOUZEL - N°FLASH 9AT</t>
  </si>
  <si>
    <t xml:space="preserve">Intrusion de riverains dans la zone de chantier. Vérification et reprise du balisage quotidienne. </t>
  </si>
  <si>
    <t>RL TU_260429_RAP53C_DE ZAYAS MONIN DE JESUS DIAS A. LHOMME - N°FLASH 9AT</t>
  </si>
  <si>
    <t xml:space="preserve">Le modèle actuel de masque FFP3 laisse entrer les poussières de silice au niveau du nez. La pince du masque n'est pas de bonne qualité. </t>
  </si>
  <si>
    <t>RL TU_260422_RAP50J_DE ARAUJO JARRET DUCOTTET YVROUD - N°FLASH 9AT</t>
  </si>
  <si>
    <t xml:space="preserve">Chute d'un salarié dans une tranchée faite par la société COIRO qui n'était pas protégée par des barrières. </t>
  </si>
  <si>
    <t>RAO48C</t>
  </si>
  <si>
    <t>260419_RL TU_RAO48C_DE JESUS DIAS C. - N°7 Réseaux</t>
  </si>
  <si>
    <t xml:space="preserve">Un plot de barrière a été projeté proche d'un collaborateur qui posait des pavés. </t>
  </si>
  <si>
    <t>RL GT_260424_RAN63C_VIAL - Plot projeté par un PL</t>
  </si>
  <si>
    <t xml:space="preserve">La goupille qui tient l'axe de la porte de la benne de la semie a cassé, l'axe a été éjecté et la porte désaxé. L'axe a failli tomber sur la tête d'un compagnon. La porte de la benne a failli sortir de son emplacement. </t>
  </si>
  <si>
    <t>RL GT_260427_AMQ001_MARQUES - Goupille cassée, axe éjecté</t>
  </si>
  <si>
    <t xml:space="preserve">Réfléchir à une alternative pour le déplacement des blocs anti-intrusion car chargeuse non adaptée. </t>
  </si>
  <si>
    <t>RL GT_260429_RAP67C_HEYRAUD DA ROCHA PRAT BACOT CAILLE - N°SPE Trappes charbo</t>
  </si>
  <si>
    <t>Présence d'un serpent lors de l'ouverture d'une chambre.
Réaliser un 1/4 d'heure pour sensibiliser le personnel</t>
  </si>
  <si>
    <t>260424_AIN_RAP99A_CUILLERAT WEHRLIN VAN DER BIEST - Flash 9AT</t>
  </si>
  <si>
    <t xml:space="preserve">CUILLERAT Jordan
WEHRLIN Simon
VAN DER BIEST Lubin
</t>
  </si>
  <si>
    <t>lors de chargement de pavés dans des big bags manuellement un salarié c'est coincé le doigt entre les pavés déjà dedans et ceux qu'il à rajouté</t>
  </si>
  <si>
    <t>260429_LHL_RAP02D_BERAUD RONZE - N°6 Notes internes</t>
  </si>
  <si>
    <t>BERAUD Maxence
RONZE Alexandre</t>
  </si>
  <si>
    <t>Lors de travaux un regard situé sur notre emplacement de pose de cadette qui était hs et à supprimer était en
réalité encore câblé et avec des câbles encore en service</t>
  </si>
  <si>
    <t>260429_LHL_RAP02D_BERAUD RONZE - N°7 Réseaux</t>
  </si>
  <si>
    <t>Certains locatiers ne louent pas de tronçonneuse avec carter de protection (smartguard)</t>
  </si>
  <si>
    <t>RL TU_260430_RAP53C_DE JESUS DIAS A. LHOMME - N°6 Notes internes</t>
  </si>
  <si>
    <t>Butée de fourche manquante (pas de poste à souder) Une fourche est tombée à coté des pieds du pelleteur</t>
  </si>
  <si>
    <t>260430_EHTP_RAL15J_GREDZIAK GASTON - Flash 9 AT</t>
  </si>
  <si>
    <t>GREDZIAK Marc
GASTON Jean-Baptiste</t>
  </si>
  <si>
    <t>le balisage n’est pas remis en place apres intervention de nge fondation.
le probleme a été résolu en discutant avec le chef de chantier nge fondation et un quart d’heure securite a été
fait sur le thème du balisage des zones á risque</t>
  </si>
  <si>
    <t>RAP88H</t>
  </si>
  <si>
    <t>260506_EHTP_RAP88H_DOS PRAZERES SOLY CRETTON - Balisage zone à risque</t>
  </si>
  <si>
    <t>DOS PRAZERES José
CRETTON Olivier</t>
  </si>
  <si>
    <t xml:space="preserve">Visite QSSE </t>
  </si>
  <si>
    <t>INDICATEURS</t>
  </si>
  <si>
    <t>ANIMATION 5PM / EVEIL MUSCULAIRE</t>
  </si>
  <si>
    <t>ENTITE</t>
  </si>
  <si>
    <t>POSTE</t>
  </si>
  <si>
    <t xml:space="preserve">NOM / Prénom Responsable </t>
  </si>
  <si>
    <t xml:space="preserve">Nombre visite QSSE </t>
  </si>
  <si>
    <t xml:space="preserve">Objectifs </t>
  </si>
  <si>
    <t>Nombre ANIMATION 5PM / EVEIL MUSCULAIRE</t>
  </si>
  <si>
    <t>BARREIRO Adrien</t>
  </si>
  <si>
    <t xml:space="preserve">BAYARD Pascal </t>
  </si>
  <si>
    <t>Chargé QSE</t>
  </si>
  <si>
    <t>MEHATS Maude</t>
  </si>
  <si>
    <t>PEREIRA DE SOUZA Laetitia</t>
  </si>
  <si>
    <t>POUPEAU Joël</t>
  </si>
  <si>
    <t>DTVX</t>
  </si>
  <si>
    <t>Bonnes pratiques</t>
  </si>
  <si>
    <t>COÛT</t>
  </si>
  <si>
    <t>DÉTAILS</t>
  </si>
  <si>
    <t>DOCUMENT DE REFERENCE</t>
  </si>
  <si>
    <t>Utilisation de GBA plastiques rouges et blanches pour délimitation chantier / chaussée : plus facile à manutentionner ; rangement simplifié car empilables et se transporte en fourches ; bonne visibilitée</t>
  </si>
  <si>
    <t>23,60€ /ml</t>
  </si>
  <si>
    <t>Fournisseur KROMM</t>
  </si>
  <si>
    <t>JEAN VICTOR Emma</t>
  </si>
  <si>
    <t>RL TU_260107_RAP56C_JEAN VICTOR - N°13 Utilisation KIZEO</t>
  </si>
  <si>
    <t>Travail à proximité de réseaux sensibles (HTA, gaz). Plan de recollement ok, Echelle améliorée pour plus de précision. Sensibilisation à toute l'équipe</t>
  </si>
  <si>
    <t>260115_LHL_RAN80D_FAYARD JACINTO - N°1 Politique</t>
  </si>
  <si>
    <t>Utilisation de 3 feux tricolores sur le chantier de St chamond
Nous n'avions jamais utilisé ce mode de fonctionnement, celui ci est adapté pour le carrefour sur lequel on
travaille, en revanche le choix des distances entre feux devrait offrir plus de choix</t>
  </si>
  <si>
    <t>260113_LHL_RAP63D_COUTURIER - N°1 Politique</t>
  </si>
  <si>
    <t xml:space="preserve">RAP1AE </t>
  </si>
  <si>
    <t>Pour le chantier de Châteaugay, le chef de chantier a eu recours à une base-vie ampliroll. 
Le module, pouvant accueillir 8 personnes est composé :
- D'un réfectoire ;
- D'un vestiaire ;
- De deux WC autonomes séparés.
Le module dispose de panneaux solaires pour la lumière. Il peut être raccorder également sur un groupe électrogène ou une batterie mobile pour l'alimentation du chauffage, du frigo et du micro-onde.
Les opérations de chargement/déchargement nécessitent un transport par camion ampliroll. Cependant, le système supprime le risque de chute de hauteur.
À la location, le coût est similaire à celui d'une roulotte de chantier.</t>
  </si>
  <si>
    <t>18,84€ HT/J</t>
  </si>
  <si>
    <t xml:space="preserve">WC LOC </t>
  </si>
  <si>
    <t>BERLIAT Milan
DA CUNHA Yoann</t>
  </si>
  <si>
    <t>2026.01.16_BERLIAT_Base-vie ampirole</t>
  </si>
  <si>
    <t xml:space="preserve">Pour réaliser des coupes de pavés 20x20cm en béton d’une épaisseur de 10 cm nous avons loué un coupe pavé manuel à LOCASERVICE 63. 
</t>
  </si>
  <si>
    <t xml:space="preserve">20,00€HT/j </t>
  </si>
  <si>
    <t xml:space="preserve">PROBST </t>
  </si>
  <si>
    <t xml:space="preserve">BOUILLET Kévin
ZARZA Anthony </t>
  </si>
  <si>
    <t>2026.01.20_BOUILLET_Coupe pavé</t>
  </si>
  <si>
    <t xml:space="preserve">Utilisation de pince à bordure longitudinale pour pose de dalles alvéolaires 50x50 : limite la manutention (poids de dalle 35kg/pièce) et augmente les cadences de pose. </t>
  </si>
  <si>
    <t>155€ / pince à l'achat</t>
  </si>
  <si>
    <t xml:space="preserve">Fournisseur PLATTARD
Peut s'ouvrir jusqu'à 1m de long. </t>
  </si>
  <si>
    <t>RL TU_260121_RAP56C_JEAN VICTOR GRIMAND DUPUY - N°1 Politique</t>
  </si>
  <si>
    <t xml:space="preserve">En trvaillant sur la réalisation d'une piste cyclable, nous avons utilisé des GBA plastiques séparateur de voie K16 auto lestées très pratiques. Facilite la manipulation et le maintien une fois en place. </t>
  </si>
  <si>
    <t>RL TU_260122_RAO28C_CHUPIN - N°1 Politique</t>
  </si>
  <si>
    <t>Pour sectionner le feuillard des palettes fonte aep dn 300, j'ai utilisé une broche et une massette. En
frappant à la jonction du cerclage du feuillard avec la broche, je limite les étincelles et donc les projections (
yeux, visage, etc). On utilise habituellement une meuleuse pour sectionner les feuillards.</t>
  </si>
  <si>
    <t>260123_AIN_RAP99A_BLANCHET - Broche massette feuillard</t>
  </si>
  <si>
    <t>Mise en place d'un panneau de rappel des consignes et règles vitales à l'entrée du chantier</t>
  </si>
  <si>
    <t>RL TU_260129_RAP53C_DE JESUS DIAS A. LHOMME - N°1 Politique</t>
  </si>
  <si>
    <t>lors de la manutention de pavé toute la journée par une équipe, des petites pause sont réalisées pour s'étirer le
dos et ce soulager des douleurs</t>
  </si>
  <si>
    <t>260129_LHL_RAP02D_BERAUD - N°1 Politique</t>
  </si>
  <si>
    <t>le personnel qui découpe des bordures béton, granit ou autre matériaux sont exposés à des risques des
troubles respiratoire et de pathologies pulmonaire. il est donc essentiel d'intégrer cette problématique dans
les bonnes pratiques de prévention.</t>
  </si>
  <si>
    <t>Continuer à portée les protections nécessaires pour éviter de respirer la poussière et recevoir des projections
dans le corps.</t>
  </si>
  <si>
    <t>MENDES Eduardo
DOS PRAZERES José
RONQUETTE Evan
AUGUSTO Francisco</t>
  </si>
  <si>
    <t>260130_EHTP_RAP50J_MENDES DOS PRAZERES RONQUETTE AUGUSTO - Risque silice</t>
  </si>
  <si>
    <t>RAO95E</t>
  </si>
  <si>
    <t xml:space="preserve">Nous devions réaliser des fondations 30cm×30cm h30cm sur les terrasses que nous réglons pour ensuite
recevoir des pergolas dessus. Nous avons utilisé des rehausses bétons comme gabarits de fondations étant donné que le reglage des terrasses étaient en remblais. Une fois le réglage finit et compacté, nousavions juste à retirer les rehausses bétons et les fondations étaient faites.  Cela évite de revenir avec un engin pour creuser les fondations et en plus celle ci étaient au ras des façades neuves donc ça evite un accrochage. </t>
  </si>
  <si>
    <t>10,00€ HT</t>
  </si>
  <si>
    <t>BOUILLET Kévin</t>
  </si>
  <si>
    <t>2026.02.09_BOUILLET_Gabarit pour fondation pergola</t>
  </si>
  <si>
    <t xml:space="preserve">Mise en place d'enrochement avec pince rotative. La prise d'enrochement reste précaire donc ne pas avoir de personnel à côté. Mais la mise en place est simple et efficace. </t>
  </si>
  <si>
    <t>RL TU_260211_RAP53C_DE JESUS DIAS A. LHOMME MONIN - N°2 Batterie</t>
  </si>
  <si>
    <t>achat de petite caisse de rangement pour ranger plus facilement les outils dans le container et classer les outils
selon leur tâche (maçonnerie,trassages,scotch,cordeau...)</t>
  </si>
  <si>
    <t>260212_LHL_RAP02D_BERAUD - N°2 Batteries</t>
  </si>
  <si>
    <t xml:space="preserve">Lors des 5PM du lundi, un collaborateur est désigné pour être responsable du maintien du marquage piquetage. Un seau de bombe de peinture lui est attribué pour la semaine et il doit photographier et diffuser sur le WhatsApp du chantier tous les matins les marquages. </t>
  </si>
  <si>
    <t>2026.02.19_RIBEIRO8Maintien marquage réseaux</t>
  </si>
  <si>
    <t>Le personnel qui découpe des bordures béton, granit ou autre matériaux sont exposés à des risques des
troubles respiratoire et de pathologies pulmonaire. il est donc essentiel d'intégrer cette problématique dans
les bonnes pratiques de prévention. Bon port du masque FFP3, adduction en eau sur batterie, lunettes masques...</t>
  </si>
  <si>
    <t>MENDES Eduardo
AUGUSTO Francisco</t>
  </si>
  <si>
    <t>260130_CANA EST_RAP50J_MENDES AUGUSTO - Silice</t>
  </si>
  <si>
    <t>traçage des emboîtement sur tuyaux découper avec un marqueur</t>
  </si>
  <si>
    <t>Tuyaux bien emboités</t>
  </si>
  <si>
    <t>260223_AIN_RAP99A_COLMARD - Traçage emboitement tuyaux</t>
  </si>
  <si>
    <t>Utilisation de 3 tires fort en simultané pour l'emboitement des pièces AEP en fonte dn 300.
Cela permet un emboîtement régulier sur tout le tour de la pièce, sans faire de gros décalage comme il
pourrait se produire en utilisant une pelle mécanique pour emboîter.
Un emboîtement trop en travers peu pousser voir découper le joint.</t>
  </si>
  <si>
    <t>emboîtement régulier et avec précision</t>
  </si>
  <si>
    <t>260212_AIN_RAP99A_BLANCHET - Utilisation tire fort</t>
  </si>
  <si>
    <t>RAO89C</t>
  </si>
  <si>
    <t>Utilisation d'une roulotte ampirole avec des panneaux solaires</t>
  </si>
  <si>
    <t>RL GT_260311_RAO89C_BERTHELON - N°3 Energie</t>
  </si>
  <si>
    <t>En entrée de zone chantier un mirroir est apposé avec un rappel des EPI.</t>
  </si>
  <si>
    <t>2026-03-18_visite_RAP99A_BOURRUST.pdf</t>
  </si>
  <si>
    <t>Zone pour nettoyer les roues des vehicules installée. Faire un REX pour les
etudes dessus</t>
  </si>
  <si>
    <t xml:space="preserve">Afin de désencombrer la base vie et améliorer les zones de stockage, une demande a été faite à la métropole pour qu'une parcelle supplémentaire nous soit mise à disposition. La demande a été acceptée : palettes stockées sur une cour en enrobés et triées selon le type de bordures. Amélioration de l'accès aux fournitures. </t>
  </si>
  <si>
    <t>RL TU_260216_RAP56C_GRIMAND DUPUY JEAN VICTOR - N°3 Stockage</t>
  </si>
  <si>
    <t xml:space="preserve">Location raboteuse sur mecalac pour essai, en vue de supprimer ou diminuer la possibilité des ouvriers. </t>
  </si>
  <si>
    <t>RL TU_260224_RAP23C_LOURENCO FESSAGUET - N°3 Stockage</t>
  </si>
  <si>
    <t>Utilisation d'une niveleuse pour régler du 0/31,5</t>
  </si>
  <si>
    <t>RL TU_260227_RAO1AC_CHUPIN - N°2 Batterie</t>
  </si>
  <si>
    <t>Chaque semaine, un collaborateur est désigné comme responsable rangement et matériel. Il est responsable du rangement, de l'entretien et de la gestion du container et du petit matériel</t>
  </si>
  <si>
    <t>2026,03,23_Responsable rangement et matériel</t>
  </si>
  <si>
    <t>Utilisation d'un brûleur pour gommer certain défaut sur des enrobés en réchauffant les zones concernées</t>
  </si>
  <si>
    <t>260323_LHL_RAN80D_VALOT - N°4 Alternats</t>
  </si>
  <si>
    <t>RAN92</t>
  </si>
  <si>
    <t xml:space="preserve">Pour les DICT de la phase 2 du BHNS, nous avons fait une demande de plan au format .dwg sur la plateforme Sogelink.
Le but est de pouvoir récupérer les tracés des réseaux directement au format .dwg pour les intégrer à nos fonds de plan d'EXE, afin que les chefs de chantier aient des plans avec le calque projet et le claque des réseaux existants. </t>
  </si>
  <si>
    <t>1800,00€ HT</t>
  </si>
  <si>
    <t>1,2 centimes par m2 de projet
Environ 2 semaines de délai
La qualité des tracés dépend de la qualité de ce que fournissent les concessionnaires</t>
  </si>
  <si>
    <t>2026.03.30_MADEBENE_DICT au format .dwg</t>
  </si>
  <si>
    <t>bonne pratique
le véhicule du chef de chantier et équiper du transformateur 12V \ 220V
idealee pour charger les batteries de meuleuse , batteries hilti , utiliser un perforateur électrique etc</t>
  </si>
  <si>
    <t>260325_LHL_RAP91D_CHAPON - N°5 Charge véhicules</t>
  </si>
  <si>
    <t>RAP15A</t>
  </si>
  <si>
    <t>protection d'un arbre lors d'un réglage de fond de forme en 0/80 à l'aide d'un tpc d90</t>
  </si>
  <si>
    <t>260331_AIN_RAP15A_SALVADORI - Protection arbre</t>
  </si>
  <si>
    <t>Panneaux de signalisation lestés</t>
  </si>
  <si>
    <t>260407_AIN_RAP50J_SALVADORI - Panneaux lestés</t>
  </si>
  <si>
    <t xml:space="preserve">Location pour 1 mois d'une raboteuse à connecter au mécalac pour diminuer les TMS. Essai non concluant car non efficiant. </t>
  </si>
  <si>
    <t>RL TU_260331_RAM64C_LOURENCO FESSAGUET - N°4 Alternat</t>
  </si>
  <si>
    <t>RAP11A</t>
  </si>
  <si>
    <t>Réalisation d'une sensibilisation RP avec IFARE à la demande du CC</t>
  </si>
  <si>
    <t>Rappels théoriques et mise en pratique sur les règles d'accès en zone contaminée</t>
  </si>
  <si>
    <t>J.RIBIERE</t>
  </si>
  <si>
    <t>RAP88J</t>
  </si>
  <si>
    <t>Une partie du déblai à été utilisé pour remblayer = moins d'emission de CO2</t>
  </si>
  <si>
    <t>260417_EHTP_RAP88J_DOS PRAZERES - N°6 Notes internes</t>
  </si>
  <si>
    <t>Mise en place d'une sangle d'arrimage pour stabiliser le poste de refoulement et éviter le basculement lors du
stockage provisoire</t>
  </si>
  <si>
    <t>CUILLERAT Jordan
LAFRINDI Ghizlane
VAN DER BIEST Lubin
WEHRLIN Simon</t>
  </si>
  <si>
    <t>260417_AIN_RAP99A_CUILLERAT LAFRINDI VAN DER BIEST WEHRLIN - N°6 Notes internes</t>
  </si>
  <si>
    <t xml:space="preserve">Utilisation de lisses extensibles pour cônes de signalisation pour bloquer la piste cyclable. </t>
  </si>
  <si>
    <t>RL TU_260422_RAP23C_FALCOU FESSAGUET GALLIEN - N°FLASH 9AT</t>
  </si>
  <si>
    <t>RAP63C</t>
  </si>
  <si>
    <t xml:space="preserve">Décision de louer une scie a table afin d'éviter les risques liés à l'utilisation de la tronçonneuse pour la coupe d'un grand nombre de pavés. </t>
  </si>
  <si>
    <t>?</t>
  </si>
  <si>
    <t>Demander modèle et prix à V. REPELLIN</t>
  </si>
  <si>
    <t>RL GT_260428_RAN63C_REPELLIN VIAL - N°SPE SCIE A TABLE</t>
  </si>
  <si>
    <t xml:space="preserve">Mise en place d'une ventouse adaptée permettant de saisir et positionner les dalles plus facilement et en sécurité. </t>
  </si>
  <si>
    <t xml:space="preserve">Location chez KLM location à Chassieu. Quelle capacité ? </t>
  </si>
  <si>
    <t>RL GT_260420_RAN63C_VIAL - Ventouse dalles
RL GT_260430_RAN63C_SMILGINS REPELLIN MENDES DE OLIVEIRA G. VIAL - N°FLASH 9AT</t>
  </si>
  <si>
    <t xml:space="preserve">Mettre une protection sur les tampons lors du coulage de béton ou joints de pavés pour éviter d'avoir des levés de réserves et de nettoyer les tampons une fois sec. C'est mieux de le faire quand c'est encore frais que sec. </t>
  </si>
  <si>
    <t xml:space="preserve">Avec un polian en plastique ou bidim. </t>
  </si>
  <si>
    <t xml:space="preserve">RL GT_260216_RAN63C_BERTHELON - Protections tampons </t>
  </si>
  <si>
    <t>Utilisation d'une mini pelle à pneu 7T a la place d'une mini pelle a chenille, sur le marché d'entretien du Gier</t>
  </si>
  <si>
    <t>260427_LHL_RAP61D_VALOT - N°6 Notes internes</t>
  </si>
  <si>
    <t>utilisation de panneau K5C personnalisé "interdit de stationner"
plus leger, plus facile à transporter, place spéciale pour la mise en place de l'arrêté de circulation</t>
  </si>
  <si>
    <t>VALOT Baptiste
CUSSET Clément</t>
  </si>
  <si>
    <t>260427_LHL_RAP61D_CUSSET VALOT - Flash 9AT</t>
  </si>
  <si>
    <t>affichage plan synthèse réseaux existants sur le chantier de l'Ondaine. Permet de rappeler
(pendant les 5 premieres minutes) les réseaux présent sur la zone de la journée</t>
  </si>
  <si>
    <t>MORIZON Nicolas
FAYARD Guillaume
BERAUD Maxence
COUTURIER Flavien</t>
  </si>
  <si>
    <t>260507_LHL_RAP02D_MORIZON FAYARD COUTURIER BERAUD - Flash 9 AT</t>
  </si>
  <si>
    <t>nous utilisons des aimants pour les grosse tolle ferraille ce qui nous facilite le stockage pour éviter de mettre
des cale dessous et facilite la manutention aussi</t>
  </si>
  <si>
    <t>1645</t>
  </si>
  <si>
    <t>822,965 € l'aimant 1T chez BRA</t>
  </si>
  <si>
    <t>260421_EHTP_RAN90J_ANDRIETTI - Aimants pour toles</t>
  </si>
  <si>
    <t>pour plante des fiche dans le sol aujourd'hui je ne me sert plus d'un marteau mais de mon Hilti te30 sa évite
de ce raté avec le marteau et de ce taper sur les doigts ou la main</t>
  </si>
  <si>
    <t xml:space="preserve">Place la fiche dans le perforateur à la place </t>
  </si>
  <si>
    <t>260423_EHTP_RAN90J_ANDRIETTI - Perforateur et fiches</t>
  </si>
  <si>
    <t>RAQ28J</t>
  </si>
  <si>
    <t>installation d'un échelon à l'arrière de la benne, pour monter facilement dans celle-ci.</t>
  </si>
  <si>
    <t>260429_AIN_RAQ28J_BLANCHET - Echelon camion benne</t>
  </si>
  <si>
    <t>Registre FAE</t>
  </si>
  <si>
    <t>THEME (POLLUTION / POUSSIERE / SURCONSOMMATION / DECHETS…)</t>
  </si>
  <si>
    <t>CAUSE</t>
  </si>
  <si>
    <t>TRAITEMENT</t>
  </si>
  <si>
    <t>DATE DE CLÔTURE</t>
  </si>
  <si>
    <t>POLLUTION</t>
  </si>
  <si>
    <t>Fuite hydraulique sur raccord BRH</t>
  </si>
  <si>
    <t>RAP84A</t>
  </si>
  <si>
    <t>260115_AIN_RAP83A_SALVADORI - N°1 Politique</t>
  </si>
  <si>
    <t xml:space="preserve">Lors du rabotage du caisson pour la future bordure de piste cyclable, la raboteuse a un flexible qui a cassé et de l'huile hydraulique s'est répandue sur la chaussée. Le chauffeur n'avait pas de kit antipollution, nous avons donc utilisé le notre et tout à pu être nettoyé correctement. </t>
  </si>
  <si>
    <t xml:space="preserve">Utilisation de notre kit antipollution. </t>
  </si>
  <si>
    <t>RL TU_260122_RAO28C_CHUPIN - N°2 REX</t>
  </si>
  <si>
    <t>DECHETS</t>
  </si>
  <si>
    <t xml:space="preserve">Tous les déchets sont mélangés : Bois, démolition, ferraille… Des meubles sont à côté des bennes. </t>
  </si>
  <si>
    <t xml:space="preserve">Mettre plus de bennes à déchets, mettre une benne spéciale ferraille et non par terre, faire évacuer régulièrement les déchets. Sensibiliser les équipes au tri des déchets. </t>
  </si>
  <si>
    <t>RL GT_260212_RAN63C_BERTHELON - Tri des déchets</t>
  </si>
  <si>
    <t xml:space="preserve">Une zone de tri avait été mise en place au début du chantier (septembre) avec big bag et panneaux. Après plusieurs mois passés, nous avons constaté un non respect du tri dû aux entreprises extérieures et habitants qui ouvraient les barrières pour y déposer leurs déchets. </t>
  </si>
  <si>
    <t>Incivilités extérieures au chantier</t>
  </si>
  <si>
    <t>RL TU_260216_RAP49C_ GUERIN CHALVIN - N°2 Déchets</t>
  </si>
  <si>
    <t xml:space="preserve">Nous avons constaté que les bidons souillés vides de Marline ainsi que les bombes de peintures étaient stockées dans un sac à l'extérieur non abrité des intempéries. </t>
  </si>
  <si>
    <t>Organisation du chantier</t>
  </si>
  <si>
    <t xml:space="preserve">Mise en polace d'une caisse abritée de la pluie. </t>
  </si>
  <si>
    <t>RL TU_260216_RAO92C_GUILLON SANTUS CRUZ - N°2 Déchets</t>
  </si>
  <si>
    <t>une fuite de fluide hydraulique s’est produite sur un bulldozer, Le fluide s’est initialement accumulé sous le capot moteur, dans un compartiment interne, sans
écoulement visible immédiat au sol. Sous l’effet des vibrations et des déplacements répétés de l’engin, le liquide accumulé s’est déversé accidentellement sur le sol.
Une fois constaté par le chauffeur, il a immédiatement arrêté l’engin et mis en place les absorbants du kit antipollution présent à bord afin de contenir la propagation.
Le conducteur de travaux a été informé sans délai. Un curage des terres impactées a été réalisé rapidement. Les terres souillées ont été récupérées, stockées en BigBga puis évacuées au Centre de Tri MarcelPoil.
L’impact est resté localisé et superficiel. Aucune infiltration profonde ni atteinte significative à l’environnement n’a été constatée.</t>
  </si>
  <si>
    <t>Incident mécanique</t>
  </si>
  <si>
    <t>Curage de la terre souillée et évacuation en Bigbag au centre de tri MarcelPoil</t>
  </si>
  <si>
    <t>260226_AIN_RAP99A_LAFRINDI - Fuite bulldozer</t>
  </si>
  <si>
    <t>Casse d'un raccord hydraulique sur la grue du camion, utilisation du kit antipollution</t>
  </si>
  <si>
    <t>Kit antipollution</t>
  </si>
  <si>
    <t>Casse de flexible sur la minipelle, immobilisation de la pelle 2h00</t>
  </si>
  <si>
    <t>RL TU_260331_RAO92C_SANTOS CRUZ DENEPOUX - N°3 Energie</t>
  </si>
  <si>
    <t xml:space="preserve">Fuite à la rupture de flexible sur la pelle 910 B2118. Intervention d'un prestataire de service mécanique. 1 jour de panne. </t>
  </si>
  <si>
    <t>RL GT_260309_RAP67C_HEYRAUD - Fuite flexible</t>
  </si>
  <si>
    <t>Casses réseaux</t>
  </si>
  <si>
    <t>TYPE DE RÉSEAU</t>
  </si>
  <si>
    <t>MATERIEL ENTRAINANT LA CASSE (PELLE / ASPIRATRICE / FICHE / CUTTER…)</t>
  </si>
  <si>
    <t>MESURES EN PLACE AVANT CASSE RESEAU (MARQUAGE / DICT / SONDAGES…)</t>
  </si>
  <si>
    <t>RESPONSABLE DE LA CASSE (NGE / RESP. PROJET / EXPLOITANT RESEAU)</t>
  </si>
  <si>
    <t>GAZ</t>
  </si>
  <si>
    <t xml:space="preserve">RAP52E </t>
  </si>
  <si>
    <t>Lors de travaux de réalisation d’une chaussée drainante au droit d’une conduite principale de gaz en fonte, un branchement de gaz en PE diamètre 20 a été endommagé. Au cours du terrassement par couches, le suiveur a demandé l’arrêt de la pelle mécanique après avoir constaté la présence de sable et d’un grillage avertisseur jaune qui annoncé la présence du branchement. Des sondages manuels ont alors été réalisés de part et d’autre, sans mise en évidence du réseau. Le terrassement mécanique a ensuite repris et a entraîné l’accrochage du branchement de gaz en PE. Il a été constaté que celui-ci était décalé par rapport au grillage avertisseur, d’environ 40 cm. Le chantier a immédiatement été sécurisé et les services de GRDF ont été contactés. Une équipe est
intervenue pour procéder à la réparation du branchement endommagé. Il a également été constaté que le drain prévu dans le cadre des travaux passait au-dessus de ce branchement. Quarante-huit heures plus tard, une nouvelle intervention était programmée pour l’installation d’un bac SODECO à proximité de ce même branchement. L’opérateur a donc procédé à la mise à nu du réseau à l’aide d’outils manuels, puis a dégagé la zone destinée à recevoir le bac. Pendant que ce salarié se rendait dans la zone de stockage afin de récupérer du grillage avertisseur, le conducteur de la pelle a entrepris de dégager légèrement la zone afin de faciliter la mise en place du bac. Au cours de cette manœuvre, le godet a de nouveau accroché le branchement de gaz, entraînant un second endommagement de celui-ci.</t>
  </si>
  <si>
    <t xml:space="preserve">Rappel des règles liées aux travaux à proximité des réseaux, 
 Mise en œuvre d’une aspiratrice pour le dégagement des réseaux
 Mise en place de potence pour l’implantation des bordures, 
 Rendez vous avec GRDF à leur siège social pour échange  </t>
  </si>
  <si>
    <t>PELLE MECANIQUE</t>
  </si>
  <si>
    <t xml:space="preserve">MARQUAGE CONFORME 
DICT A JOUR
SONDAGE A LA MAIN EN AMONT </t>
  </si>
  <si>
    <t>NGE</t>
  </si>
  <si>
    <t>2026.01.26_RAP52E_RIBEIRO_Casse branchement gaz deux reprises</t>
  </si>
  <si>
    <t>CHASSAGNOL Florian 
RIBEIRO Alexandre</t>
  </si>
  <si>
    <t>LAC</t>
  </si>
  <si>
    <t>Accrochage de la LAC place Grand Clément a VILLEURBANNE</t>
  </si>
  <si>
    <t>POIDS LOURD</t>
  </si>
  <si>
    <t>RL GT_260122_RAN67C_MONTUSCLAT - N°2 REX</t>
  </si>
  <si>
    <t>lors du terrassement pour le chauffage, le chauffeur de pelle a accroché un réseau non identifié sur les plans et les DICT.</t>
  </si>
  <si>
    <t>contacter la maire - réseau non réparé</t>
  </si>
  <si>
    <t>DICT A JOUR</t>
  </si>
  <si>
    <t>260202_AIN_RAP83A_SALVADORI - Accrochage réseau non-identifié</t>
  </si>
  <si>
    <t>ADSL</t>
  </si>
  <si>
    <t xml:space="preserve">Pour réaliser le piquetage dans une chambre télécom existante en béton, l'opérateur utilise le perforateur portatif équipé du forêt de diamètre 45 spécialement acheter pour ce genre d'opération. 
Pour la réalisation, l'opérateur place le perforateur côté extérieur et s'apprête à percer la chambre, en demandant juste avant à son collègue d'ouvrir la chambre pour vérifier qu'aucun câble ne gêne le piquage. 
Cependant le contrôle a été mal effectué et l'opérateur a accroché le câble à l'intérieur de la chambre. </t>
  </si>
  <si>
    <t>Contacte de l'opérateur télécom - réseau réparé dans la journée</t>
  </si>
  <si>
    <t>Perforateur</t>
  </si>
  <si>
    <t>Vérification de l'emplacement des câbles lors de l'ouverture de la chambre télécom</t>
  </si>
  <si>
    <t>2026,03,30_RAP52E_RIBEIRO_Casse ADSL</t>
  </si>
  <si>
    <t>Eau</t>
  </si>
  <si>
    <t xml:space="preserve">Au démarrage de la nouvelle portion de voirie, avenue Kruger, un PE (alimentation de WC public) était absent sur les DICT et sans grillage avertisseur. Prit dans le béton du trottoir, nous avons arraché le PE durant la phase de démolition. </t>
  </si>
  <si>
    <t>Réparation par nos propres moyens</t>
  </si>
  <si>
    <t>EXPLOITANT RESEAU</t>
  </si>
  <si>
    <t>RL GT_260327_RAN63C_SMILGINS DIMBERTON VIAL - N°4 Alternat</t>
  </si>
  <si>
    <t>Fibre</t>
  </si>
  <si>
    <t xml:space="preserve">Le réseau était situé à une faible profondeur. Il a été pincé lors des passages et du poids des engins de chantier sur la zone de travaux lors de la réalisation des terrassements et de l'aspiration des réseaux. Intervention d'une société pour effectuer les réparations et nous avertir de l'accrochage qui n'était pas visible. Réparations et reprises de certains fourreaux vétustes. </t>
  </si>
  <si>
    <t xml:space="preserve">Circulation avec des engins lours sur un réseau à faible profondeur. </t>
  </si>
  <si>
    <t>MULTI ENGINS</t>
  </si>
  <si>
    <t>MARQUAGE / DICT / ASPIRATRICE…</t>
  </si>
  <si>
    <t>EXPLOITANT RESEAU / NGE (50 - 50)</t>
  </si>
  <si>
    <t>RL GT_260406_RAP67C_HEYRAUD - Accrochage réseau fibre</t>
  </si>
  <si>
    <t>Electricité</t>
  </si>
  <si>
    <t>accrochage câble électrique aérien avec pelle 8t</t>
  </si>
  <si>
    <t>260427_AIN_RAQ28J_COLMARD AUGER BLANCHET GAZE - Flash 9AT</t>
  </si>
  <si>
    <t>COLMARD Jean-Christophe
AUGER Alexis
BLANCHET Florent
GAZE David</t>
  </si>
  <si>
    <t xml:space="preserve">Remontées Fiches de non-conformité </t>
  </si>
  <si>
    <t xml:space="preserve">Indicateurs </t>
  </si>
  <si>
    <t>Nombre FNC</t>
  </si>
  <si>
    <t>JEAN Roxane</t>
  </si>
  <si>
    <t>Registre FNC</t>
  </si>
  <si>
    <t>TYPE DE NC (ORGANISATIONNEL / TECHNIQUE / DEGRATION…)</t>
  </si>
  <si>
    <t>CAUSES IDENTIFIÉES</t>
  </si>
  <si>
    <t>ACTION CORRECTIVE</t>
  </si>
  <si>
    <t xml:space="preserve">INTERNE / EXTERNE </t>
  </si>
  <si>
    <t>TECHNIQUE</t>
  </si>
  <si>
    <t>RAL2HC</t>
  </si>
  <si>
    <t>Découpe d'une bordure et mise en place sur tampon</t>
  </si>
  <si>
    <t xml:space="preserve">Respect strict du calpinage des bordures sur plan sans modification avec présence du tampon. </t>
  </si>
  <si>
    <t xml:space="preserve">Dépose bordure puis décalage avec prise en compte du tampon. </t>
  </si>
  <si>
    <t xml:space="preserve">Interne </t>
  </si>
  <si>
    <t>RL TU_260106_RAL2HC_BERCHARD - Bordure tampon</t>
  </si>
  <si>
    <t>sur le t423/1275 de la parcelle 306, la manchette a été posé sur le mauvais défaut</t>
  </si>
  <si>
    <t>même défaut à la même distance mais sur deux regards différents</t>
  </si>
  <si>
    <t>nouvelle intervention pour pose d une manchette</t>
  </si>
  <si>
    <t>intervention auprès du personnel pour rappel des enjeux</t>
  </si>
  <si>
    <t>260107_NUC_RAN02A_SCHIFANO - Manchette posée au mauvais endroit</t>
  </si>
  <si>
    <t>Absence / manque  de contrôle</t>
  </si>
  <si>
    <t>Zone 19 : réseau de 15TPC90 dégradé à l'arrière de la station Roger Planchon, à reprendre</t>
  </si>
  <si>
    <t>Ce réseau aurait dû être réalisé sur la même méthodologie qu'une multitubulaire car les 15 fourreaux créent un gros vide en sous-sol et beaucoup de fourreaux se sont écrasé à cause du passage des engins de chanteir au dessus</t>
  </si>
  <si>
    <t>Démolition et reprise d'environ 15ml de résau</t>
  </si>
  <si>
    <t>30/01/226</t>
  </si>
  <si>
    <t>RL GT_260226_RAN63C_REPELLIN - Liste FNC T6</t>
  </si>
  <si>
    <t>Accrochage / Casse réseaux</t>
  </si>
  <si>
    <t>AUTRE</t>
  </si>
  <si>
    <t>Pour le tronçon T398 du DSI 502, la séquence n°6 a été commencée le 04/12/2025 et terminée le 11/12/2025.
Cette tâche a donc été signée le 11/012/2025, tout comme la séquence n°7.
Alors que la séquence n°8 a été réalisée le 04/12/2025, à la suite de la création du regard.</t>
  </si>
  <si>
    <t>Le ramblayage intervient, en pratique, après la création ou aggrandissement du regard. Mais il peu être réalisé avant la fin des séquences de "création ou aggrandissement du regard" et "CT de pose de regard" pour des raisons techniques comme la réalisation des finitions à l'intérieur du regard.</t>
  </si>
  <si>
    <t>Nous proposons comme solution de passer la séquence n°7 en tâche indépendante dans le dsi traditionnel : Réalisation de regard SEOP (EIP). Les séquences n°6; 7 et 8 seront également réalisées de manières simultannées.
De plus, pour les séquences n°6 et 8, les dates de début et de fin seront indiquées dans les cases "observation" si besoin.</t>
  </si>
  <si>
    <t>260112_NUC_RAN02A_BLANC_Séquences décalées</t>
  </si>
  <si>
    <t xml:space="preserve">Externe </t>
  </si>
  <si>
    <t>Erreur humaine</t>
  </si>
  <si>
    <t>Erreur humaine / rigueur</t>
  </si>
  <si>
    <t>Dans le cadre des contrôles labo réalisés en dynaplaque sur la couche de forme de PF Base Vie. Deux points présentent des valeurs inférieures à la tolérance de 50Mpa sur la surface contrôlée. Celles ci donc présentent une non-conformité.</t>
  </si>
  <si>
    <t>Dû au fait que les non-conformités représentent des zones ponctuelles sur la grande surface de la plateforme, nous supposons qu'on a manqué quelques passages de compacteur sur ces zones.</t>
  </si>
  <si>
    <t>Après le passage des pluies, nous recommandons de refaire des passages de compacteur sur
 es deux points détectées. Ensuite on refait appel au  aboratoire afin de revérifier si on a bien atteint la résistance d'au minimum 50MPa</t>
  </si>
  <si>
    <t>260112_AIN_RAP99A_WEHRLIN SAUTERON LAFRINDI - Compactage couche de forme</t>
  </si>
  <si>
    <t>WEHRLIN Simon
LAFRINDI Ghizlane
SAUTERON Jean-Luc</t>
  </si>
  <si>
    <t>Non-respect consignes</t>
  </si>
  <si>
    <t xml:space="preserve">Nous avons sous-traité la pose de potelets et la finition autour de ceux-ci n'était pas conforme d'un point de vu qualité. </t>
  </si>
  <si>
    <t xml:space="preserve">Mauvaise analyse du support existant par le sous-traitant ? Difficile à déterminer car entreprise extérieure. </t>
  </si>
  <si>
    <t xml:space="preserve">Appel du sous-traitant pour reprise de la finition. </t>
  </si>
  <si>
    <t>RL TU_260114_RAL2HC_AIMARD - Potelets</t>
  </si>
  <si>
    <t>3 FNC même sujet : pieds potelets et mâts</t>
  </si>
  <si>
    <t xml:space="preserve">Demander procédures aux sous traitants ? </t>
  </si>
  <si>
    <t>Matériel, outils : Inadéquation / défaut / panne</t>
  </si>
  <si>
    <t>RAFQSE</t>
  </si>
  <si>
    <t>Un des logos des RV est en miroir, on ne peut pas le lire</t>
  </si>
  <si>
    <t>Erreur lors de la réduction du logo</t>
  </si>
  <si>
    <t>Correction de l'erreur sur les panneaux suivants</t>
  </si>
  <si>
    <t>RL GT_260116_RAFQSE_MARQUES - Logos RV</t>
  </si>
  <si>
    <t>Organisation, Planification, Méthodologie</t>
  </si>
  <si>
    <t>RAN61J</t>
  </si>
  <si>
    <t>Durant nos travaux de création de regard sur un collecteur, le chef de chantier sogea à fait une erreur d'implantation qui a
engendré une découpe du collecteur plus importante que prévu</t>
  </si>
  <si>
    <t>Mauvais calcul de dimensionnement</t>
  </si>
  <si>
    <t>Changement de projet avec une adaptation avec un regard plus grand 1200x1200 au lieu de
1000x1000</t>
  </si>
  <si>
    <t>260120_EHTP_RAN61J_NOUVET - Erreur implantation</t>
  </si>
  <si>
    <t>Topographie / Implantation / Plans</t>
  </si>
  <si>
    <t>Dégager les pieds de massifs SLT sur des zones déjà finies et jointées</t>
  </si>
  <si>
    <t>Erreur lors de la pose des potelets</t>
  </si>
  <si>
    <t xml:space="preserve">Changer les pieds de massifs pour les adapter au support. </t>
  </si>
  <si>
    <t>RL GT_260121_RAN63C_BERTHELON - Pieds de massifs</t>
  </si>
  <si>
    <t>Matériaux, Fournitures (défaut, inadéquation, …)</t>
  </si>
  <si>
    <t>Absence de contrôle</t>
  </si>
  <si>
    <t xml:space="preserve">Le chef d'équipe a suivi l'implantation du géomètre a n'a pas contrôlé la pente sur les bordures qui était en contre pente. </t>
  </si>
  <si>
    <t xml:space="preserve">Absence de contrôle du chef. </t>
  </si>
  <si>
    <t>Dépose et repose des bordures</t>
  </si>
  <si>
    <t>Renforcer les contrôles par le chef d'équipe</t>
  </si>
  <si>
    <t>RL TU_260122_RAO1AC_FALCOU - Pente bordures</t>
  </si>
  <si>
    <t>Vérifier les cotes du topo</t>
  </si>
  <si>
    <t>Manque de communication</t>
  </si>
  <si>
    <t xml:space="preserve">Les cheminements en 0/80 réalisés ont été dégradés suite aux interventions du paysagiste (livraison de terre en semi et déplacement en dumper). En cas de pluie, cela génère de la boue rendant les cheminements impraticables. Nous devons donc curer et remettre une nouvelle couche de 0/80. </t>
  </si>
  <si>
    <t xml:space="preserve">Intervention des paysagistes. </t>
  </si>
  <si>
    <t xml:space="preserve">Cure et remise en place de 0/80. </t>
  </si>
  <si>
    <t>Adapter l'activité à la météo</t>
  </si>
  <si>
    <t>RL TU_260122_RAP49C_GUERIN GUILLON - N°2 REX</t>
  </si>
  <si>
    <t>lors de l'entreposage d'une palette d'eau près du réfectoire les fourches ont perforée le module</t>
  </si>
  <si>
    <t>mauvaise appréciation de la distance</t>
  </si>
  <si>
    <t>attendre montant du coût lors de la restitution</t>
  </si>
  <si>
    <t>260128_AIN_RAP99A_SAUTERON - Déterioration module base vie</t>
  </si>
  <si>
    <t>Reprise de 25m de caniveaux CS2 cassés suite aux passage des véhicules avant enrobés définitifs. Caniveaux CS2 posés et GB réalisé ce qui laisse une marche de 6cm restantes pour le tapis en enrobé. Comme nous travaillons en demi chaussée avec alternat, les véhicules et bus circulent sur la GB et abiment par endroit les caniveaux CS2 en "mordant" dessus comme ils dépassent de 6cm.</t>
  </si>
  <si>
    <t>Circulation en alternat avec passage étroit notamment pour les bus</t>
  </si>
  <si>
    <t>identification des caniveaux à remplacer et reprise juste avant les enrobés définitifs</t>
  </si>
  <si>
    <t>260123_LHL_RAP63D_MOREL - Reprise CS2 cassés</t>
  </si>
  <si>
    <t>MOREL Lilian</t>
  </si>
  <si>
    <t>Nous réalisons des tranchées pour le réseau Basse tension. Nous noys occupons en premier de la tranchée et du sablage puis l'entreprise SOBECA vient tirer les cables de basse tension. nous avions bien avancé sur les tranchées et une intervention de SOEBCA était prévue le 19 janvier, cela nous permettait de finir nos tranchées et directement attaquer à remblayer derrière eux. l'entreprise SOBECA a du retardé son intervention de 2 jours à cause de manque de personnel et comme nous avions pris trop d'avance nous avons du nous arrêter 2 jours également.</t>
  </si>
  <si>
    <t>L'entreprise SOBECA n'est pas intervenue au moment o^ù elle devait Le chauffeur de mecalac s'est fait blessé durant le week end</t>
  </si>
  <si>
    <t>Appeler le conducteur de travaux et comprendre pourquoi (conducteur de mecalac blessé).
recaler le plus rapidement possible une date d'intervention et trouver du boulot à notre équipe sur un autre chantier pendant 2 jours.</t>
  </si>
  <si>
    <t>Anticiper au maximum ce type d'aléa car cette situzation s'est souvent produite lors des interventions précédentes. Il faut donc envisager le cas où l'entreprise ne peut pas intervenir en temps et en heure</t>
  </si>
  <si>
    <t>260126_LHL_RAN80D_FAYARD - Arret chantier suite retard cotraitant</t>
  </si>
  <si>
    <t>Demander fil d'eau + tête de bordure</t>
  </si>
  <si>
    <t xml:space="preserve">Lors de la réalisation du réseaux éclairage et vidéo, une chambre de tirage a mal été implantée : celle-ci tombe sur l'emprise de la bordure projet. </t>
  </si>
  <si>
    <t xml:space="preserve">Emprise du futur cheminement piéton non vérifiée avant la pose de la chambre de tirage. </t>
  </si>
  <si>
    <t>Déplacement de la chambre de tirage</t>
  </si>
  <si>
    <t>Vérifier plan et implantation des réseaux par rapport aux voiries et cheminements
Demander au géomètre de fournir un plan d'implantation après son passage. 
Imposer un échange chef/géomètre après le passage du géomètre. 
Systématiser la vérification des tampons pour éviter le croisement avec les bordures</t>
  </si>
  <si>
    <t>RL TU_260126_RAP53C_MONIN - Chambre tirage</t>
  </si>
  <si>
    <t>Erreur implantation</t>
  </si>
  <si>
    <t>Tampon à cheval</t>
  </si>
  <si>
    <t>lors de l'installation d'un support compteur, la vanette d'arrêt n'a pas été pose. nous avons dû ré-intervenir 1 an après</t>
  </si>
  <si>
    <t>oubli</t>
  </si>
  <si>
    <t>Pose d'un robinet</t>
  </si>
  <si>
    <t>260127_EHTP_RAN90J_ANTONIALI - Oubli vanne</t>
  </si>
  <si>
    <t>armoire électrique base vie type triphasé, raccordée en monophasé</t>
  </si>
  <si>
    <t>erreur du locatier lors de l'installation de la base vie</t>
  </si>
  <si>
    <t>déconnexion tout les soirs de l'armoire</t>
  </si>
  <si>
    <t>intervention électricien pour mise en conformité + passage Consuel</t>
  </si>
  <si>
    <t>260127_LHL_RAP91D_DUCROUX - Mauavais branchement base-vie</t>
  </si>
  <si>
    <t>Il s'agit du marché à bon de commande petit travaux.
Nous avons fait un chantier à PAVEZIN qui consistait à réaménager une partie d'une voie sans issue afin de mieux capter les eaux pluviales. Pour cela, nous avons posé 2 ranges de caniveaux grille, 25 ml de bordure et repris les enrobés sur 50ml de long afin de changer le profil en travers afin que les eaux n'aillent plus chez le riverain. Cependant, après 1 mois et de fortes pluies, il a été constaté que le changement de profil en travers n'était pas suffisant et
qu'un caniveau grille n'était pas assez long.</t>
  </si>
  <si>
    <t>Nous voulions garder l'enrobé déjà présent pour refaire les nouveaux enrobés par dessus. Cependant, en voulant faire ca, nous n'étions bloqué par les épaisseurs d'application. Par conséquent, le changement de pente n'était pas assez important pour que l'eau change de coté.</t>
  </si>
  <si>
    <t>Pour le caniveau grille, nous le prolongerons de 30cm
En partie basse, nous prolongerons les bordures pour que l'eau n'aille plus chez le riverain et reste sur la voirie.
l'eau sera donc absorbée par le second caniveau grille</t>
  </si>
  <si>
    <t>260127_LHL_RAP61D_CUSSET - Pente en travers sur enrobés</t>
  </si>
  <si>
    <t>CUSSET Clément</t>
  </si>
  <si>
    <t xml:space="preserve">Fissuration du béton des alvéoles entre les rails du tram sur zone 11 rue paul Verlaine. La circulation des véhicules engins a été basculée sur les voies de tram le temps de finir la zone de rencontre (futur voie voiture). </t>
  </si>
  <si>
    <t xml:space="preserve">Circulation des véhicules le temps de finir la zone de rencontre. </t>
  </si>
  <si>
    <t xml:space="preserve">Réparer les parties abimées et les fissures. </t>
  </si>
  <si>
    <t>RL GT_260128_RAN63C_BERTHELON - Béton alvéoles</t>
  </si>
  <si>
    <t xml:space="preserve">Manque de communication </t>
  </si>
  <si>
    <t>RAO25E</t>
  </si>
  <si>
    <t>En urgence avant l' inauguration de la rue devant le frac j'ai envoyé une équipe mettre un coup de Karcher sur la zone ou notre sous traitant était intervenu pour une reprise de joint de dallage et avait laissé la zone sale. Par manque de
communication le chef de chantier a passé un coup de Karcher sur le joint et l'a dégradé</t>
  </si>
  <si>
    <t>Manque de communication sur la tâche a réaliser</t>
  </si>
  <si>
    <t>Réparation du joint par nos equipes</t>
  </si>
  <si>
    <t>Formaliser la tâche a réaliser et transmission des infos de meilleur qualité et peut être systématiser une visite sur place avec l'équipe qui intervient</t>
  </si>
  <si>
    <t>2026.01.28_RAO25E_POUPEAU_Reprise joint</t>
  </si>
  <si>
    <t>Le chantier de la Rue de Laubize à Romagnat, est un marché subséquent à l’accord cadre. Les travaux ont débuté fin 2025 avec une première phase de réalisation des tranchées pour les réseaux secs. L’entreprise Électrique en charge du passage des gaines nous a sous-traité la prestation de pose de gaines pour les réseaux secs. 
Les travaux ont été réalisés par notre équipe fin 2025, l’équipe terrain et le conducteur travaux ne sont plus dans le secteur aujourd’hui. 
La deuxième phase a démarré fin janvier, avec un nouveau conducteur travaux et une nouvelle équipe terrain. Lors du démarrage, l’entreprise électrique nous a annoncé que Orange n’avait pas réceptionné le génie civil à cause d’absence de finitions :
-PTT NON COUPÉ DANS LES CHAMBRES
-PTT NON AIGUILLÉS
-FONDS ET BUTÉES NON RÉALISÉS</t>
  </si>
  <si>
    <t xml:space="preserve">La première équipe n’avait pas fait les finitions avant de partir du chantier. 	</t>
  </si>
  <si>
    <t xml:space="preserve">Reprise des travaux de génie civil pour réception par Orange (pour lancer la dépose des poteaux.)	</t>
  </si>
  <si>
    <t>Couper les PTT dans les chambres et faire les masques
Aiguiller les PTT
Faire les fonds et butées non réalisés</t>
  </si>
  <si>
    <t>2026.02.25_RAP87E_LOUBEYRE_Non respect des réglementation GC orange</t>
  </si>
  <si>
    <t>LOUBEYRE Anne Sarah</t>
  </si>
  <si>
    <t>lors du déroulage d'un câble un des galets de déroulage était proche d'un tuyau de gaz en croisement.
une fois en tension le câble a fait pression sur le réseaux de gaz sans incidence le suiveur s'en est aperçu et a stoppé le
deroulage</t>
  </si>
  <si>
    <t>manque de recul sur la pratique</t>
  </si>
  <si>
    <t>arrêt du déroulage et déplacement du galet</t>
  </si>
  <si>
    <t>briefing de l'équipe avant le deroulage</t>
  </si>
  <si>
    <t>260129_EHTP_A4J001_GASTON - Déroulage cable à proximité gaz</t>
  </si>
  <si>
    <t>Qualité des enrobés réalisée non satisfaisante</t>
  </si>
  <si>
    <t xml:space="preserve">Camion entamé (donc débaché) refroidi le temps de la pause repas mais utilisé quand même pour le répart. 
Vent. </t>
  </si>
  <si>
    <t>Rabotage du départ et de la fin de la rue + reprise du tapis</t>
  </si>
  <si>
    <t>RL TU_260129_JRAP56C_JEAN VICTOR - Enrobés</t>
  </si>
  <si>
    <t xml:space="preserve">Enrobé froid, finisseur non habituel (redémarrage difficile). </t>
  </si>
  <si>
    <t>Après la mise en provisoire par NGE ES de feux tricolores sécurisant une traversée piétonne devant une ecole maternelle, un bouton poussoir permettant de déclencher le feu pour traverser ne marchait plus. Les piétons ne pouvaient donc plus déclencher le feu pour traverser en toute sécurité</t>
  </si>
  <si>
    <t>Lors de la mise en provisoire des feux, le bouton pourvoir a mal été connecté
entraînant son non fonctionnement</t>
  </si>
  <si>
    <t>Avertissement fait a NGE ES et mise en sécurité de la traversée</t>
  </si>
  <si>
    <t>Recabler le bouton pour qu'il fonctionne de nouveau</t>
  </si>
  <si>
    <t>260130_EHTP_RAP50J_THOMAS - Feu piéton non-fonctionnel</t>
  </si>
  <si>
    <t>Zone 02 : Profil en long de la couche de roulement de la rue du Vinatier non respecté</t>
  </si>
  <si>
    <t>Profil en long "difficile", 1 mise à la cote imprécise</t>
  </si>
  <si>
    <t>Rabotage 30m2, reprofilage et rapplication couche de roulement</t>
  </si>
  <si>
    <t>Environ la moitié des fourreaux de boucles SLT ne sont pas viables (bouché, sous les enorbés ou colmaté)</t>
  </si>
  <si>
    <t>Mauvaise organisation de cette tâche</t>
  </si>
  <si>
    <t>Une équipe fait le tour des boucles et retrouve les fourreau ou en pose u nouveau le cas échéant</t>
  </si>
  <si>
    <t>Assainissement : 5 piquage de grilles sur des conduites existantes ont été réalisés sans utilisation des selles de branchement prévus à cet effet. Ainsi les branchements pénètrent dans la canalisation principale pouvant causer des désordre à l'écoulement normal des effluents.</t>
  </si>
  <si>
    <t>Travaux réalisés selon l'usage habituel. Pour 2 d'entre eux, les assainissements ont été réalisés par des équipes VRD non habitués à ces tâches.</t>
  </si>
  <si>
    <t>Appel à prestataire pour utilisation d'un robot qui va dans la conduite et scie la partie du tuyau qui dépasse et réalise un joint si nécessaire</t>
  </si>
  <si>
    <t>Général : une cinquantaine de bouche à clés eau potable ne sont pas visible ou pas viable après réalisation de nos travaux</t>
  </si>
  <si>
    <t>La responsabilité a été porté sur le groupement malgré le manque d'éléments à ce sujet. Aucun constat n'indique la bonne présence et la fonctionnalités des bouches à clé avant démarrage de nos prestation</t>
  </si>
  <si>
    <t>Remise en état générale</t>
  </si>
  <si>
    <t>Zone 20 : oubli des regards de raccordement des caniveaux de plateforme. Les caniveaux ont été directement connectés au réseau</t>
  </si>
  <si>
    <t>Mauvaise lecture des plans</t>
  </si>
  <si>
    <t>Création des regards sur les canalisation posées</t>
  </si>
  <si>
    <t>Zone 18 : Station Roger Planchon : oubli d'une liaison MANT entre 2 regards. Détecté lorsque la station était terminée</t>
  </si>
  <si>
    <t>Création d'une autre liaison pour compenser</t>
  </si>
  <si>
    <t>Zone 16 : oubli de la connexion fourreau MANT de la station sur environ 50ml</t>
  </si>
  <si>
    <t xml:space="preserve">En cours </t>
  </si>
  <si>
    <t>en cours</t>
  </si>
  <si>
    <t>Nous utilisions une pelle à pneu JCB pour remblayer les tranchées basse tension. Pour accéder au trottoir plus facilementnous avons choisi de passer dans la partie espace vert. Le matériau où circulait la pelle était très mouillée ce qui a fait bouger les bordures. le poids de la pelle a appuyé sur la pelle ce qui a exercé une pression latérale cotre les bordures CR1 Nous avons
procéde de cette façon afin de remblayer de manière plus efficace. Nous n'avions pas anticipé le fait que le terrain était gorgée d'eau et que cela pouvait faire bouger les bordures. Il y avait déjà des bordures abîmées et non alignées à cause des travaux précédents donc cela ne nous a pas inquiété mais au lieu d'en avoir 20m à reprendre il y en a maintenant 50</t>
  </si>
  <si>
    <t>Matériel mal utilisé/ dans de mauvaises conditions</t>
  </si>
  <si>
    <t>Faire le tour et essayé de travailler depuis le trottoir si c'est possible, sinon utilier un
matériel plus adapté type minipelle</t>
  </si>
  <si>
    <t>Anticiper le fait ue le matériel ne s'utilise pas de la même manière elon les conditions
climatiques et la portance du terrain</t>
  </si>
  <si>
    <t xml:space="preserve">260218_LHL_RAN80D_FAYARD - Bordures à reposer </t>
  </si>
  <si>
    <t>En prévision de la réalisation des enrobés de chaussée, une bouche à clé gaz à été mise à la cote niveau fini.
Lors de la réalisation des enrobés, les différentes émergences ont été identifiées. Une bouche à clé gaz à tout de même été
recouverte.</t>
  </si>
  <si>
    <t>Reprise du tapis dans la zone.</t>
  </si>
  <si>
    <t>RL TU_260202_RAP56C_JEAN VICTOR - Oubli BAC</t>
  </si>
  <si>
    <t>Le serviroute qui sort d'entretien est tombé en panne, le lait de chaux ne fonctionnait pas, la rampe était bouchée à 75%</t>
  </si>
  <si>
    <t xml:space="preserve">Réparation du lait de chaux du serviroute mais aucun essai n'a été fait à la sortie de l'atelier. </t>
  </si>
  <si>
    <t xml:space="preserve">Arrêt de chantier pendant 40min pour déboucher le rampant gicleur par gicleur pour un résultat partiel, seul 75% de la rampe fonctionnait. </t>
  </si>
  <si>
    <t>RL GT_260209_RAN63C_MARQUES - Lait de chaux serviroute</t>
  </si>
  <si>
    <t xml:space="preserve">Méthode de travail </t>
  </si>
  <si>
    <t>Chantier à bon de commande : Montée des Roches 42800 Chagnon
L'objectif du chantier était de reprendre une voirie en enrobé sur 180 ml en purgeant uniquement des zones ponctuelles afin
de refaire un tapis neuf par dessus.
Après l'application du tapis final, 3 flaches sur les enrobés sont apparus.
2 à chaque extrémité du chantier avec le raccordement sur la rue existante et 1 au milieu.
En effet, sur l'ensemble du chantier il n'y a que très peu de pente en long et des flaches étaient déjà présents.</t>
  </si>
  <si>
    <t>Même s'il s'agit que de petits flaches difficiles à éviter de chaque ici présent, nous
aurions pu améliorer notre préparation pour diminuer les risques.
L'estimation et la réalisation des travaux se sont faits au cours de période sèche et ensoleillé.
Comme nous nous trouvions sur une voirie existante avec les mêmes niveaux qu'à l'origine, l'écoulement des
eaux n'était pas la première question qui nous venait à l'esprit.
Par conséquent, nous n'avons donc pas contrôlé l'écoulement des eaux en tout point du chantier.</t>
  </si>
  <si>
    <t>Etre plus vigilant lors de la préparation de chantier (CDTX)</t>
  </si>
  <si>
    <t>flache a l'extrémité = sciage d'un petit morceau d'enrobé avec reprise de l'accotement
Flache au milieu = plus de bordures AC1 entre l'accotement et l'enrobé afin que l'eau soit mieux canaliser.
1.5 jour de travaux pour reprise</t>
  </si>
  <si>
    <t>260225_LHL_RAP61D_CUSSET - Flash enrobés</t>
  </si>
  <si>
    <t xml:space="preserve">Bordures collées durant des températures négatives ce qui a affecté l'efficacité du produit. Une entreprise extérieure est venue s'appuyer contre, ce qui a décollé les bordures. </t>
  </si>
  <si>
    <t>Dernier jour du chantier</t>
  </si>
  <si>
    <t xml:space="preserve">Collage des bordures une seconde fois quand nous sommes revenu sur place pour une autre demande du client. </t>
  </si>
  <si>
    <t>RL TU_260211_RAL2HC_AIMARD - Bordures collées</t>
  </si>
  <si>
    <t xml:space="preserve">AUV EHTP </t>
  </si>
  <si>
    <t>Planification</t>
  </si>
  <si>
    <t xml:space="preserve">L’interface entre 2 entreprises différentes qui n’ont pas les même référence. SUEZ parle en diamètre intérieur de canalisation inox et EHTP parle en diamètre de canalisation extérieur en PEHD. L’un est en bride de diamètre 500 alors que l’autre est en bride de diamètre 600. EHTP à réalisé les travaux en même temps que lNGE GC pour les clavetages. Plusieurs mois après Suez à installé sa tuyauterie inox et nous a demandé de la raccorder.
Nous avons alors constaté que notre pièce ne s’adaptait pas à l’inox et que nous avions très peu de place entre la bride inox et la paroie du mur. De plus le démontage de l’installation inox devient obligatoire pour monter nos pièces. Suez a posé la tuyauterie inox et non pas tenu compte de l’axe de notre tuyau. Résultat notre tuyau et la tuyauterie inox sont désaxés de quelques centimètre. Nous n’avons que 50cm pour récupérer ces quelques centimètres et nous ne pouvons pas jouer sur la souplesse du matériaux.
-Le 1er raccordement fuit
-Le 2ème raccordement fuit </t>
  </si>
  <si>
    <t xml:space="preserve">Manque de communication inter-entreprise, 
Le désaxement des canalisations.
Peu de place pour corriger l’installation et l’interface entre 2 entreprises chacune responsable de leurs canalisations et de leur installation. 
Définition des interventions de pose entre le PEHD et l'inox (NGE ou SUEZ),
Pas d’essai immédiat sur les raccordements. Il faut attendre que SUEZ s’en serve pour voir si il y a un problème. </t>
  </si>
  <si>
    <t>Recherche chez d’autres fabricants si un collet bride anti-fluage de diamètre 500 existe sur des PEHD 560,
Étudier si on peut l’adapter au peu de place que l’on dispose car la pose d’un collet bride anti-fluage est composer de 3 pièces : un collet avec un bout long, un joint profilé en EPDM et un manchon élec-tro-soudable pour relier le tuyau au collet,
Pose de l’installation en contrainte sur le collet bride pour récupérer le désaxage.</t>
  </si>
  <si>
    <t>En coupant un bout de collet, en laissant le strict minimum de PEHD dépasser du mur et en démontant l’installation inox. C’est extrêmement juste, mais l’autre solution est de reprendre le PEHD depuis l’extérieur. Il y a très peu de place (1,5m entre 2 bâtiments), 2.50m de profondeur, il faut démolir les clavetages dans les 2 bâtiments, déposer l’installation du 2ème bâtiment pour pouvoir reprendre le tuyau PEHD.</t>
  </si>
  <si>
    <t>2026.01.22_RAK52K-HUET_Raccordement réseau n°5</t>
  </si>
  <si>
    <t xml:space="preserve">HUET Sébastien </t>
  </si>
  <si>
    <t xml:space="preserve">Fournitures / Matériaux </t>
  </si>
  <si>
    <t>La durée d'utiliosation des tronçonneuse électrique est très compliquée à gérer : 
- Découpe de 3 à 4 bordures béton 20x30 = 1 jeux de 2 batteries
- Découpe d'enrobé (épaisseur 13cm) pendant 15min = 2 jeux de 2 batteries</t>
  </si>
  <si>
    <t>Faible capacité des batteries</t>
  </si>
  <si>
    <t>Fournir des moyens et techniques concrets permettant l'utilisation des tronçonneuses électriques</t>
  </si>
  <si>
    <t>RL TU_260216_RAP56C_GRIMAND DUPUY JEAN VICTOR - N°2 Batterie</t>
  </si>
  <si>
    <t>RAP52K</t>
  </si>
  <si>
    <t>Dans le cadre de la restructuration de l'ensemble des réseaux humides, à l'issue des Contrôles Externes commandés par le Client), il s'est avéré que la buse béton 135 A d'Eau Pluviale, posé en axe de voirie présente des défauts d'infiltration suitement en partie supérieure, concentrés dans leur grande majorité (plus de 95%) sur le tronçon EP38-EP35 de AE800 (80ML) . Deux à trois microfissure sont relevées égalent sur les premiers mètres du tronçon
amont suivant EP35-EP33 (50ML). Les défauts n'ont été détectés ni à la réception des livraisons sur site (transport assuré par le Fournisseur, déchargement par l'Entreprise), ni lors de la tâche de pose encadrées par des terrassments de déblais et de remblais
(enrobage). L'anomalie "reconnue par le Fournisseur BONNA" (cf courrier du 20/02/2026) doit approfondir le déroulement des
évènements en amont de la production et présenter les causes profondes de la Non Conformité. Dans ce même temps l'état de NC avec les prioduits fournis doit être formalisé par un courrier reprenant l'ensemble des échages jusqu'à ce jour.</t>
  </si>
  <si>
    <t>Fabrication  : difficulté du fournisseur à identifier les procesus de préfabrication en
usine et les associer aux pièces effectivement livrées sur le site de Cébazat</t>
  </si>
  <si>
    <t>Réunion plénière en présence de tous les intervenants (MOA/MOE, Ctrle Ext., Fournisseur et Entreprise) fixée au 03/03/2026, en attente du CR de la part du MOE.
2/ Modes de Réparation :
- Ponctuelle pour les infiltrations avérées (au nombre de deux à ce stade) et attentiste pour les micro fissures, le phénomène de calcification étant présenté comme un la suite logique et la solution en soi au colmatage des défauts
mineurs constatés
- Globale, de regard à regard; ici deux approches : a) Classique via dépose/repose (fastidieuse car il faut re-créer les
conditions qui permettent ces travaux très encombrants (dévoiements réseaux existants ou nouvellement construits à
proximité, pompage des eaux aujourd'hui collectées en amont, ...) tout en considérant la co-activité avec autres contractants; 
b) par chemisage : il devra pour le moins être structurant pour compenser le doute sur la résistance mécanique des tuyaux micro fissurés; intervention certes à insérer dans le flux des autres interveants qui présente l'avantage d'un encombrement des moyens de mise en oeuvre mineure par rapport à la précédente;
- une combianaison des deux précédents.</t>
  </si>
  <si>
    <t>Faire la preuve que ce tronçon est isolé (circonscrire le périmètre touché -80ML+10ML - au regard des 1050 ML du projet)
Assister et négocier l'implication de l'Entreprise aux travaux de réparation.
Le 13/03/2026 est la date sur laquelle s'est engagée le Fournisseur pour
présenter sa position sur le traitement de l'anomalie.</t>
  </si>
  <si>
    <t>2026.02.16_RAP52K_MARQUIER_Litige buse béton</t>
  </si>
  <si>
    <t xml:space="preserve">MARQUIER Francis </t>
  </si>
  <si>
    <t>Nous avons stationner un engin dans un espace vert à proximité du chantier (hors emprise) ce qui à laisser des traces et ornières. A la suite de ça, la commune nous a demandé de remettre en état et ressemer des graines.</t>
  </si>
  <si>
    <t>Remis en état</t>
  </si>
  <si>
    <t>260217_LHL_RAP63D_MOREL - Dégradation espace vert</t>
  </si>
  <si>
    <t>RAO88J</t>
  </si>
  <si>
    <t>Lors de l'opération de terrassement pour le raccordement de la chaufferie de St Priest, les équipes coiro n'ont pas respectés
le plan d'exécution et surtout le profil en long, la tranchée de 3.5m de large s'est retrouvé 40 à 60 cm trop bas.
Les terres excavées étant polluées, un surcout non prévu est en cours de discussion avec la MOA</t>
  </si>
  <si>
    <t>Mauvaise lecture du plan d'exécution</t>
  </si>
  <si>
    <t>Reprise des zones accessibles</t>
  </si>
  <si>
    <t>Discutions avec MOA</t>
  </si>
  <si>
    <t>260225_EHTP_RAO88J_NOUVET - Mauvaise altimétrie fond de fouille</t>
  </si>
  <si>
    <t>Bordures p1 abîmées par les équipes des espaces verts.</t>
  </si>
  <si>
    <t xml:space="preserve">Non respect du travail des autres. </t>
  </si>
  <si>
    <t xml:space="preserve">Reposer les bordures. </t>
  </si>
  <si>
    <t>RL GT_260220_RAN63C_BERTHELON - Bordures P1</t>
  </si>
  <si>
    <t xml:space="preserve">RAP22K </t>
  </si>
  <si>
    <t xml:space="preserve">La réféction des tranchées AEP de la phase 1 ont été réalisées sur l'été 2025 pendant une période de canicule par l'entreprise SEYCHAUD (03) sur support en grave GNT mise en œuvre par l'atelier de pose de la canalisation. Ces travaux routiers se faisaient à la suite de la validation technique de la canalisation AEP (y compris branchements avant bascule) et permettaient le démarrage de la phase 2 en rendant l'emprise concernée à la circulation. Ces travaux de réféction définitives ont été refusés par le client (SPRIO et EGIS Eau) ainsi que l'exploitant des routes départemental (DTT), Malgré une déformation par vaguelette de faible amplitude, il a été assez vite convenu de l'unique traitement qui pourrait conduire à sa réception par le Donneur d'ordre et l'exploitant serait une reprise intégrale. Des solutions moins destructives tel que le micro rabottage et l'application de revêtement d'enrobés en granulométrie fine n'ont pas été acceptées.  </t>
  </si>
  <si>
    <t xml:space="preserve">Problème de compactage, cylindrage </t>
  </si>
  <si>
    <t xml:space="preserve">Campagne de démolition et mise en œuvre à nouveau du revêtement BBSG 0/10 par les équipes NGE ROUTES. </t>
  </si>
  <si>
    <t xml:space="preserve">Bien s'assurer à la fin des opérations d'obtenir un PV de bon exécution de ces travaux de reprise auprès du Département. </t>
  </si>
  <si>
    <t>2026.02.20_RAP22K_HUET_Refection de tranchée</t>
  </si>
  <si>
    <t>un camion était prévu pour les essais plaque , celui-ci devait être chargé, soit en déblais soit en matériaux d apport.
lors de l appel du labo pour prévenir de son arrivée, le camion chargé en déblais à été envoyé pour décharger à Saint pierre</t>
  </si>
  <si>
    <t xml:space="preserve">Inattention, non prise en compte de l'appel du labo. </t>
  </si>
  <si>
    <t xml:space="preserve">Décaler l'intervention du labo à l'après midi. </t>
  </si>
  <si>
    <t>Rappel des consignes de l'a journée au CC CE.</t>
  </si>
  <si>
    <t>RL TU_260223_RAP53C_MONIN - Camion pour labo</t>
  </si>
  <si>
    <t>Fuite sur réseaux Incendie fonte au pourtour du futur bâtiment.</t>
  </si>
  <si>
    <t>CAUSES :
-Mauvais positionnement du joint d’emboîture lors de la pose
-Décalage du joint dans l’emboîture
-Retrait de la matière dû aux périodes de froid, empêchant le joint d’assurer correctement l’étanchéité</t>
  </si>
  <si>
    <t>Le traitement proposé consiste à couper la section de conduite au niveau de la fuite, de part et
d’autre de celle-ci, puis à mettre en place deux manchons ainsi qu’un tronçon de tuyau
intermédiaire afin de rétablir la continuité et l’étanchéité de la conduite.</t>
  </si>
  <si>
    <t>260223_AIN_RAP99A_WEHRLIN SAUTERON LAFRINDI - Fuite réseau défense incendie</t>
  </si>
  <si>
    <t>Les bordures de la piste cyclable ont une vue de 15cm côté voirie sur le projet. A certains endroits, il y a une vue de 10cm
pour permettre le passage des camions d'entretien du gestionnaire du réseau d'assainissement.
Au moment de la réalisation des enrobés de tapis, la vue n'a pas été respectée</t>
  </si>
  <si>
    <t>Mauvaise communication avec le chef d'appli qui a appliqué les comme de sur le reste
de la voirie</t>
  </si>
  <si>
    <t>Enrobé à reprendre ?</t>
  </si>
  <si>
    <t>260227_EHTP_RAP50J_THOMAS - Non respect vue de bordure</t>
  </si>
  <si>
    <t xml:space="preserve">Nous avons rempli une jardinière jusqu'au niveau fini en mélange terre/pierre au lieu de finir avec 50 cm de terre végétale. </t>
  </si>
  <si>
    <t>Mauvaise communication entre le chef de chantier et le conducteur de travaux
Plan de la CAM pas clair</t>
  </si>
  <si>
    <t xml:space="preserve">Modification du remblai de la jardinière </t>
  </si>
  <si>
    <t xml:space="preserve">Formalisation des consignes par mail </t>
  </si>
  <si>
    <t>2026.02.24_RAP92E_ZARZA_Mauvaise communication remblai jardinière</t>
  </si>
  <si>
    <t>absence de balisage des zones polluées par de la renouée</t>
  </si>
  <si>
    <t>chantier à l'arrêt, pas de passation entre entreprise de deboisage et nous.
à notre arrivée le balisage de la renouée n'était plus en place</t>
  </si>
  <si>
    <t>Pose de piquet et chaînette</t>
  </si>
  <si>
    <t>entretenir le piquetage</t>
  </si>
  <si>
    <t>260225_LHL_RAP91D_DUCROUX - Balisage renouée</t>
  </si>
  <si>
    <t>En descendant dans le regard mettre le laser en place. Le compagnon a trouvé au fond un morceau de renfort du tampon
fonte.
NB. Ce regard est encore en hauteur, le tampon n'a pas été contraint par compactage ou autre</t>
  </si>
  <si>
    <t>défaut de fabrication</t>
  </si>
  <si>
    <t>Aucune, le morceau cassé n'est pas grave en l'état</t>
  </si>
  <si>
    <t>Informer fournisseur en cas de problème ultérieur</t>
  </si>
  <si>
    <t>260228_EHTP_RAP99A_SAUTERON - Tampon fonte cassé</t>
  </si>
  <si>
    <t>Non continuité des armatures</t>
  </si>
  <si>
    <t>RAQ02H</t>
  </si>
  <si>
    <t>En phase d'appel d'offre de l'opération de remise à niveau de l'ouvrage APPR A6-PI 432 d'Ambérieux d'Azergues, une mauvaise analyse des documents marché  (notamment du BPU) a entrainé une mauvaise hypothèse de chiffrage.</t>
  </si>
  <si>
    <t>Il était prévu une continuité d'armatures dans les plots de liernes. Le chiffrage n'a pas tenu compte de cette préconisation</t>
  </si>
  <si>
    <t>Necéssité de mettre en œuvre des coupleurs pour assurer le liaisonnement des  armatures de plots, comme indiqué au BPU</t>
  </si>
  <si>
    <t>Analyse des BPU</t>
  </si>
  <si>
    <t>DAUTHEVILLE Grégoire</t>
  </si>
  <si>
    <t>Zone 7 : le réseau multitubulaire a été réalisé quelques centimètre plus haut que ça cote théorique. Cela gêne la pose des bordure qui arrivent par dessus</t>
  </si>
  <si>
    <t>Très grande difficulté de réalisation à cause de la forte concentration de réseaux existants en service. Apès passage trouvé, mauvais calage de la multi qui s'est levé lors du coulage</t>
  </si>
  <si>
    <t>Démolition et repose d'environ 12 ml de multitubulaire</t>
  </si>
  <si>
    <t>Zone 20 : terrasseme,nts des fosses d'arbres 1m trop bas. Conséquence : volume de déblai plus important et volume de remplai par lot espace vert aussi</t>
  </si>
  <si>
    <t>Non prise en compte de l'important delta entre le TN et le NF par le CDTX malgré l'implantation du géomètre et les consignes du DTX</t>
  </si>
  <si>
    <t>Laissé en l'état</t>
  </si>
  <si>
    <t>Zone T3-Rx : multitubulaire réalisé à un niveau non conforme car non prise en compte du passage sous plateforme de liaison entre T3 et T6.</t>
  </si>
  <si>
    <t>Non indication sur les plans</t>
  </si>
  <si>
    <t>Démolition et reprise de 15ml de multitubulaire</t>
  </si>
  <si>
    <t>Zone 03-04 : Non conformoité de la dalle flottante de la route de Genas :
- oubli d'un tronçon d'environ 30ml de dalle flottante sur un coté, sous la bordure
- Décalage de la multitubulaire d'neviron 10-15cm de la limite GLO entre de Wett et Kimmerliong sur environ 150ml, conforme au plan mais non conforme en dalle flottante
-problèmes de verticalité de la DF ne permettant pas la pose des tapis</t>
  </si>
  <si>
    <t>Non respect de laprocédure de réalisation de multitubulaire en dalle flottante et changement d'équipe au dernier trçon d'où le décalage de 15cm entre de Wett et Kimmerling.</t>
  </si>
  <si>
    <t>Compléments des murets de dalle flottante manquants et piquage + réagréage sur les partie non verticale</t>
  </si>
  <si>
    <t>Zone 19 : oubli des murets de dalles flottante sous bordure dans le virage rue Yvonne et multitubulaire trop large à cet endroit, entre dans le GLO, emêchantla pose des tapis DF</t>
  </si>
  <si>
    <t>Mauvaise lecture du plan</t>
  </si>
  <si>
    <t>Dépose des bordure, réalisation du muret, repose des bordures.
Piquage du béton latéral de la multitubulaire au perfo àmain et réalisation d'un réagréage pour obtenir une surface lisse</t>
  </si>
  <si>
    <t>Zone 17 : nombreux fourreaux bouchés rue Raspail, aux abords de la plateforme</t>
  </si>
  <si>
    <t>Pas de rigueur de la part du chef d'équipe</t>
  </si>
  <si>
    <t>Réalisation de 2 fouilles pour reprise des fourreaux de part et d'autre de la plateforme et reprise de la distribution dans l'oreille Est</t>
  </si>
  <si>
    <t>Zone 08 :Remontées aéro-souterraines non conforme rue Jean Jaurès</t>
  </si>
  <si>
    <t>Réalisation avec peu de rigueur vis-à-vis du plan, décalage de 10 à 30cm et pas de bon sens du chef d'équipe qui n'a pas compris l'objet de ce réseau. Absence de contrôle</t>
  </si>
  <si>
    <t>Démolition béton de trottoir pour reprises des remontées</t>
  </si>
  <si>
    <t>Zone 4 : implantation de fiches d'ancrage de barrière dans la mulltitubulaire</t>
  </si>
  <si>
    <t>Mauvaise initiative du chef d'équipe</t>
  </si>
  <si>
    <t>Remandriange des fourreaux supérieurs de la mult et reprise d'un fourreau qui a été transpercé</t>
  </si>
  <si>
    <t>Zones 01 et 02 : non respect de l'enrobage béton lors de la réalisation de la multitubulaire</t>
  </si>
  <si>
    <t>Reprise en fouille avec mortier de réagrage</t>
  </si>
  <si>
    <t>Zone 19 : implantation de fiches dans la multitubulaire</t>
  </si>
  <si>
    <t>Remandriange des fourreaux supérieurs de la mult</t>
  </si>
  <si>
    <t>Zone 17 : dépose-repose d'environ 30ml de bordures GLO sur muret dalle flottante</t>
  </si>
  <si>
    <t>Mauvaise communication entre le chef d'équipe et le géomètre</t>
  </si>
  <si>
    <t>Dépose - repose 30ml de bordures</t>
  </si>
  <si>
    <t>Zone 13 : pose de l'armoire SLT de Zola trop haute par rapport aux préconisation constructuer et au carnet de détail</t>
  </si>
  <si>
    <t>Inattention</t>
  </si>
  <si>
    <t>Reprise de l'armoire alors que la logette ENEDIS est en service</t>
  </si>
  <si>
    <t>Général : massifs SLT non conforme. Les cotes d'une partie des massifs SLT n'ont pas été respectées. Ils ont été réalisés identique à ceux de l'éclairage : tiges -10cm/NF et béton -20cm/NF au lieu de ce qui est demandé : -6cm/NF / -14cm/NF</t>
  </si>
  <si>
    <t>Réalisation identique sur les chantier précédents, pas de vérification d u carnet de détail</t>
  </si>
  <si>
    <t>Démolition et reprise d'environ 40 massifs</t>
  </si>
  <si>
    <t>RAP16C</t>
  </si>
  <si>
    <t>3 cours d'ecoles (sur 3) réalisées cet été présentent des fissures sur les enrobés clairs.
Apparition des fissures quelques mois après l'application.
fissures fines partant dans toutes les directions (semblable à de la fissuration de retrait sur du béton)</t>
  </si>
  <si>
    <t>A définir, faire une alayse avec LABO</t>
  </si>
  <si>
    <t>Alerte LABO NGE et demandes de REX car c'est une première sur le secteur (enrobés clairs NGE - GME)</t>
  </si>
  <si>
    <t>A définir après analyse</t>
  </si>
  <si>
    <t>RL TU_260226_RAP16C_BERCHARD - Enrobés clairs fissures</t>
  </si>
  <si>
    <t>Zone 08 : réseaux TPC CRITER bloqué sous la chaussée en circulation</t>
  </si>
  <si>
    <t>Mauvaise réalisation de la traversée, bloquage au raccord entre les 2 phases</t>
  </si>
  <si>
    <t>Ouverture d'une fouille et réparation du fourreau</t>
  </si>
  <si>
    <t>Zone 10 : Bouché traversée plateforme EPU bouché par une bouteille d'eau</t>
  </si>
  <si>
    <t>Sabotage</t>
  </si>
  <si>
    <t>Démolition des revêtements, fouille, remblaiement</t>
  </si>
  <si>
    <t>Zone 07 : mauvaise implantation de 20ml de bordures</t>
  </si>
  <si>
    <t xml:space="preserve">Mauvaise lecture du plan </t>
  </si>
  <si>
    <t>Dépose - repose</t>
  </si>
  <si>
    <t>Zone 03 : réalisation du béton sous asphalte 3cm sous son niveau théorique</t>
  </si>
  <si>
    <t>Mauvaise implantatoin du chef d'équipe</t>
  </si>
  <si>
    <t>Réalisation d'un ré-agréage</t>
  </si>
  <si>
    <t>Zone 08 : béton sous asphalte trottoir non conforme</t>
  </si>
  <si>
    <t>Mauvaise exécution et non prise en compte des 3cm d'asphalte pour l'ouverture des portes de seuils</t>
  </si>
  <si>
    <t>Démolition et coulage d'un nouveau béton</t>
  </si>
  <si>
    <t>Zone 07 : fourreaux non sortis d'un massif LAC (présents dans le massifs mais impossible à raccorder)</t>
  </si>
  <si>
    <t>Mauvaise réalisation lors du coulage et absence de remontée d'information suite au coulage</t>
  </si>
  <si>
    <t>2 jours passés à sonder les 4 cotés en l'absence de traçabilité de la FNC lors du coulage puis 2 jours pour passer des fourreaux dans le béton du massif juste sous la semelle du mat</t>
  </si>
  <si>
    <t>Zone 05 : Station Gare de Villeurbanne : reprise de 7ml de bordures et du béton de quai de ferraillé cause erreur de plan</t>
  </si>
  <si>
    <t>Erreur de plan EXE</t>
  </si>
  <si>
    <t>Démolition et repose</t>
  </si>
  <si>
    <t>ORGANISATIONNEL</t>
  </si>
  <si>
    <t>Toutes zones : dépose - repose d'une trentaine de bordures sur l'ensemble du chanteir car les XREF bordures ont été mis à jours mais les plans d'EXE n'ont pas été réédité</t>
  </si>
  <si>
    <t>Mauvaise communication entre PROJ et CDTX</t>
  </si>
  <si>
    <t>Dépose - repose d'environ 30 bordures</t>
  </si>
  <si>
    <t>Zone 11 : pose des pavés non conformes (sens et modèle 15x25 au lieu de 15x15).</t>
  </si>
  <si>
    <t>Mauvaise lecture du plan. Sujet pas claire</t>
  </si>
  <si>
    <t>Dépose - repose d'environ 50m2, non jointés</t>
  </si>
  <si>
    <t>Zone 19 : dépose et repose de 16ml de bordures rue Yvonne car le chef d'équipe a oublié de prendre la vue de la bordure lors du report de l'implantation du géomètre</t>
  </si>
  <si>
    <t>Démolition et reprise</t>
  </si>
  <si>
    <t>Zone 19 : pose de 2 fourreaux TPC90 en traversée de chaussée au lieu de 2 TPC110</t>
  </si>
  <si>
    <t>Inattention du chef d'équipe</t>
  </si>
  <si>
    <t>Acceptation en l'état</t>
  </si>
  <si>
    <t>Zone 1 et 2 : implantation de fiches d'implantation de bordures dans la mulltitubulaire</t>
  </si>
  <si>
    <t>Zone 08 : impossible de retrouver la demi-traversée  SLT carrefour Braille</t>
  </si>
  <si>
    <t>Mauvais suivi de chantier</t>
  </si>
  <si>
    <t>2 jours de sondages + 3 jours de reprise</t>
  </si>
  <si>
    <t>Station Gare de Villeurbanne : 3 fourreaux EPU et 1 fourreau LAC bouchés sous trottoirs et stations</t>
  </si>
  <si>
    <t>Fourreau écrasé ou fourreau trop coudés</t>
  </si>
  <si>
    <t>Réalisation d'une fouille + reprise des fourreaux</t>
  </si>
  <si>
    <t>Zone 10 Nord : 2 fourreaux GRDF bouchés</t>
  </si>
  <si>
    <t>Fourreaux remplis de gravats</t>
  </si>
  <si>
    <t>Zone 17 : rue Perroncel : manque 30cm de longueur de grave bitume contre la plateforme. Mauvaise réalisation de la structure sur cette bande</t>
  </si>
  <si>
    <t>Précipitation à réaliser les enrobés, mauvaise anticipation</t>
  </si>
  <si>
    <t>Démolition des enrobés sur 1m de large et réalisation d'une dalle de transition de1m de large avant applicatoin des couches de roulement</t>
  </si>
  <si>
    <t>Zone 06 : 2 jours de sondages ont été nécessaires avec dépose de bordures pour retrouver les foureaux SLT posé par TSO dans la plateforme</t>
  </si>
  <si>
    <t>Mauvaise coordinisation et mauvaise communication entre les métiers VF et VRD</t>
  </si>
  <si>
    <t>2 jours de sondages</t>
  </si>
  <si>
    <t>Impliquer davantage le métiers VF aux réunions plannings hebdomadaire</t>
  </si>
  <si>
    <t>Zone 10 Nord : pose de BEV et de plots d'ouvertures de niveau en station. A reprend pour pose en suivant le profil en travers, sinon il est impossible de respecter les normes PRM</t>
  </si>
  <si>
    <t>Réalisation par une équipe de GC eu habitué à la VRD. Consigne non donnée.</t>
  </si>
  <si>
    <t>Dépose puis repose</t>
  </si>
  <si>
    <t>Explication à l'équipe de comment tirer les cordeaux lors de la pose de ces éléments</t>
  </si>
  <si>
    <t>Zone 07 : mauvaise implantation d'un regards en tête d'ilot de sortie de Grandclément</t>
  </si>
  <si>
    <t>Implantation par CDTX en direct</t>
  </si>
  <si>
    <t>Dépose et repose à un meilleur emplacement</t>
  </si>
  <si>
    <t>Zone 11 : Reprise de l'ensemble de la SLT de l'oreille SUD EST du carrefour de la rue du 04 Aout. Fourreaux bouchés sous plateforme. Mauvaise distribution des fourreaux dans l'oreille</t>
  </si>
  <si>
    <t>Mauvaise lecture du plan. Fourreaux sous plateforme non bétonnés puis circulés par des engins se retrouvent écrasé</t>
  </si>
  <si>
    <t>Démolition de l'oreille et reprise des réseaux. Réalisation d'une nouvelle traversée dans le béton la plateforme</t>
  </si>
  <si>
    <t>Zone 09 : fourreaux EPU sous plateforme Tram</t>
  </si>
  <si>
    <t>L'équipe qui a réalisé la multituulaire a coupé les fourreaux EPU car ils étaient vide</t>
  </si>
  <si>
    <t>Sondage pour essayer de comprendre 1,5an après. Après conclusion sur la cause  abandon de la traversée et réalisation de 2 raccords sur les trottoirs opposés pour assurer le maillage</t>
  </si>
  <si>
    <t>Zone 07 : mauvaise implantation des massifs SLT : non respect de la cote de 63cm fil d'eau.</t>
  </si>
  <si>
    <t>Mauvaise lecture du plan et non lecture des carnets de détails</t>
  </si>
  <si>
    <t>Démolition et reprise des massifs</t>
  </si>
  <si>
    <t>Zone 06 : réalisation de 3 regards aux mauvaises dimensions</t>
  </si>
  <si>
    <t>Démolition et reprise des regards</t>
  </si>
  <si>
    <t>Zone 11 : 1 fourreau Diam.63 de bouché dans la multitubulaire</t>
  </si>
  <si>
    <t>Inconnue</t>
  </si>
  <si>
    <t>Laisser en l'état</t>
  </si>
  <si>
    <t>Zone 11 : rue du 04 Aout Ouest. Réalisation de la grave bitume en 1 passe de 20cm d'épaisseur. Malgré la mise en route du CCp imposant la réalisation en 2 couches de 10cm et la prévoyance de bidon d'émulsions, le chef d'équipe a décidé de réaliser en 1 passe. 1/2 carrefour Ouest env. 40m2</t>
  </si>
  <si>
    <t>Mauvaise décision du chef d'équipe</t>
  </si>
  <si>
    <t>Rabotage sur 10cm et ré-application d'un couche de GB</t>
  </si>
  <si>
    <t>Zone 11 : angle rue du 04 Aout. Réalisation d'un massif SIGFER le vendredi. Refait le lundi car manque un fourreau dans le massif</t>
  </si>
  <si>
    <t>Mauvaise lecture du plan. Plan petit, privilégier les zooms dans les carrefours</t>
  </si>
  <si>
    <t>Démolition et reprise du massif</t>
  </si>
  <si>
    <t>Zone 10 :Fourreaux SLT bouchés sous plateforme. Mauvaise distribution des fourreaux dans l'oreille de Tolstoï</t>
  </si>
  <si>
    <t>Zone 08 : Fourreau TPC pour alimentation Visulys écrasé au droit de la plateforme</t>
  </si>
  <si>
    <t>Circulation de chantier sur le fourreau avec une charge insuffisante</t>
  </si>
  <si>
    <t>Réalisation d'un nouveau réseau dans la plateforme : Démolition rev^etements, passage sous rails dans le béton de fondation</t>
  </si>
  <si>
    <t>Zone 19 : traversée SLT de la rue Salengro : 2 fourreaux sont écrasés sous la plateforme</t>
  </si>
  <si>
    <t>Réalisation d'un nouveau réseau en traversée dans la plateforme non revêtue, les trottoirs en béton sous aspahlte et la chaussée</t>
  </si>
  <si>
    <t>Zone 12 : Déplacement de 100 ml de bordures lors du coulage du béton sous asphalte</t>
  </si>
  <si>
    <t>Mauvais calage de la bordure et pose de la bordure sur un mauvais matériaux</t>
  </si>
  <si>
    <t>Zone 03-04 : ilots entre plateforme et chaussée non conforme. La réglemntation impose une largeur refuge de 2m. Cette largeur a été vérifiée par l'OQA et nous avons 3 ilots de largeur comprise entre 1m95 et 1m98.</t>
  </si>
  <si>
    <t>L'importance de ce détail n'a pas été estimé correctement par l'encadrement de chantier. Ainsi, les poseur de bordures ajustent les ilots pour obtenir une bonne harmonie visuelle. Toutefois, si ce détail était connu, les largeurs auraient été respecté</t>
  </si>
  <si>
    <t>Démolition 4m de bordures et podo, sciage enrobés et repose conforme</t>
  </si>
  <si>
    <t>Zone 19, Zone 08 : 5 ilots ne sont pas conforme à la réglementation PMR vis-à-vis des dalles podo.</t>
  </si>
  <si>
    <t>Ilots parfois tordus, portant à interprétation de la réglementation</t>
  </si>
  <si>
    <t>Ajout de dalles podo au centre de l'ilot</t>
  </si>
  <si>
    <t>Général : non protection des tampons ajourés des tranchées d'infiltration et non respect du non nettoyage des toupies sur chantier (tout corps d'état). Cela a causé le colmatage du filtre à sable d'une partie des tranchées d'infiltration que nous avons réalisé et de celles existantes</t>
  </si>
  <si>
    <t>Mauvaise appréciation de l'importance de cettte tâche</t>
  </si>
  <si>
    <t>Curage et reprise des filtre à sabke</t>
  </si>
  <si>
    <t>Zone 07 : manque une liaison VID entre MULTI et LAC 390-18</t>
  </si>
  <si>
    <t>Fourreau oublié car les temporalités sont différentes entre la réalisation du massif LAC et la réalisation de la multi et par le fait que les travaux de la place Grandclément ne sont pas gérés par nous même. Non vérification des plans et de ce qui a été réalisé par l'encadrement</t>
  </si>
  <si>
    <t>Dépose des revêtements, fouille et réfection</t>
  </si>
  <si>
    <t>Zone 03-04 : 4 fourreaux SLT sont bloqués au droit de la plateforme tram</t>
  </si>
  <si>
    <t>Ecrasement des fourreaux dû la circulation des engins</t>
  </si>
  <si>
    <t>Fouille + reprise</t>
  </si>
  <si>
    <t>Zone 01 : 1 fourreau TPC longeant la multitubulaire a été oubliée sur la demi-traversée</t>
  </si>
  <si>
    <t>Malgré les consignes précises données par le CCP et le CDTX et le DTX, le chef d'équipe a oublié que ce fourreau était à poser entre les 2 phases du carrefour</t>
  </si>
  <si>
    <t>Fouille + reprise différemmenet</t>
  </si>
  <si>
    <t>Zone 01 : ilots entre plateforme et chaussée non conforme. La réglementation impose une largeur refuge de 2m. Cette largeur a été vérifiée par l'OQA et nous avons 1ilots de largeur comprise entre 1m95 et 1m98.</t>
  </si>
  <si>
    <t>Zone 03 : 1 fourreau VID a été connecté au mauvais mat</t>
  </si>
  <si>
    <t>Mauvaise lecture du plan par le chef d'équipe</t>
  </si>
  <si>
    <t>Zone 18 : 2 fourreaux EPU en traversée de plateforme manquants</t>
  </si>
  <si>
    <t>Réalisation d'une traversée dans le béton de calage de la plateforme</t>
  </si>
  <si>
    <t>Zone 08 : 1 fourreau bouché rue Jean jaurès sous ilot</t>
  </si>
  <si>
    <t>Fourreau formant un angle s'est écrasé</t>
  </si>
  <si>
    <t>Zone 05 :  1 fourreau TPC 90 de liaison CFO - EPU 1170-09 non viable</t>
  </si>
  <si>
    <t>Zone 05 : 1 fourreau TPC 90CFO manquant au raccordement LAC 370-01</t>
  </si>
  <si>
    <t>Zone 21 : Station Gaston Berger : les 2 fourreaux DAT ont été positionné à 30cm de leur position théorique</t>
  </si>
  <si>
    <t>Les foureaux se sont décalé lors du coulage de la station</t>
  </si>
  <si>
    <t>Zone 14 : une liaison EPU à LAC 510-02 manquant</t>
  </si>
  <si>
    <t>Mauvaise lecture du plan par le chef d'équipe OU modification après réalisation</t>
  </si>
  <si>
    <t>Zone 14 : une liaison VID à LAC 510-02 manquant</t>
  </si>
  <si>
    <t>Zone 05 : 1 fourreau GRDF de courant vagabond bloqué rue Charny</t>
  </si>
  <si>
    <t>Ecrasement du fourreau lors de la pose de l'ilot</t>
  </si>
  <si>
    <t>Zone 08 : 1 fourreau TPC longeant la multitubulaire a été oublié sur environ 40 ml</t>
  </si>
  <si>
    <t>Stations : bande d'éveil de vigilance. La pose des BEC se fait selon 2 modèles : modèle A et modèle B. Pour aligner les points podo, il faut poser les 91 dalles par quai selon l'enchainement A-B-A-B-A-B-A-B…etc… Sur 4 stations, une erreur survient dans cette enchainement A-B-A-B-A-A-B-A, entrainant la reprise de longueurs complète de BEV</t>
  </si>
  <si>
    <t>Mauvaise réalisation du compagnon malgré les consignes données. Absence de contrôle de ce point par le CCP et le CDTX</t>
  </si>
  <si>
    <t>Reprise de 12 et 4 ml de BEV sur Saint-Exupéry, 20 et 10ml sur Gaston Berger, 18 sur Kimmerling</t>
  </si>
  <si>
    <t>De nombreuses podotactiles sont dégradées et à remplacer sur l'ensemble du tracé (environ 450 dalles).</t>
  </si>
  <si>
    <t>Plusieurs causes :
 - pose des dalles podo sur un béton de mauvaise qualité
- Circulation des engins de chantiers sur les bandes podo
- dalles podo particulièrement fragiles
- Pose des potelets longtemps après la pose des dalles podo, permettant de sécuriser l'accès
- stationnements des riverains et livraison sur les dalles podo</t>
  </si>
  <si>
    <t>Dépose et repose unitairement des 450 dalles estimées</t>
  </si>
  <si>
    <t>Sur le plan d’exécution, un décalage de point haut (toit) existait entre la bordure côté droit de la chaussée et celle côté gauche.
Cette incohérence n’a été détectée ni lors de l’analyse du plan ni lors de la préparation, entraînant une erreur d’implantation. Problème remonté au service topographie et solutionné
Après implantation conforme au plan, le chef de chantier a choisi de lisser le point haut pour faciliter la pose. Cette décision, combinée à l’erreur initiale du plan, a généré un profil altimétrique incohérent. Une fois les bordures en place, l’erreur était visuellement évidente. La pente transversale au niveau de la place PMR était hors normes, rendant la zone non conforme.</t>
  </si>
  <si>
    <t xml:space="preserve">
Les bordures ont été déposées, puis reposées en recalant le point haut de droite en face de celui de gauche. Cette intervention a rétabli le bon alignement altimétrique, corrigé la pente transversale et supprimé les non-conformités détectées.</t>
  </si>
  <si>
    <t>2026.02.27_RAP52E_DURIF_Nivellement</t>
  </si>
  <si>
    <t xml:space="preserve">DURIF Alexis </t>
  </si>
  <si>
    <t>RAREV1</t>
  </si>
  <si>
    <t xml:space="preserve">Teneur en retombée de poussières qui dépasse largement la moyenne. En effet, 4 jauges ont été placées pour effectuer les mesures. La jauge N3 a été placée sur le lieu de passage de camions et trop près de la végétation. En résultats, les mesures n'ont pas été représentative à la réalité des activités de la plateforme. </t>
  </si>
  <si>
    <t>Mauvais emplacement de la jauge</t>
  </si>
  <si>
    <t xml:space="preserve">Prochain prélèvement programmé, la jauge N3 sera déplacé. </t>
  </si>
  <si>
    <t>RL GT_260302_RAREV1_SMILGINS - Empoussièrement REVAMA</t>
  </si>
  <si>
    <t xml:space="preserve">La raboteuse est passée trop proche de la bordure et a raboté la bordure. </t>
  </si>
  <si>
    <t>Inattention du chauffeur de raboteuse</t>
  </si>
  <si>
    <t>Reprise du bouchardage avec un marteau a boucharder pour fini propre de la bordure</t>
  </si>
  <si>
    <t>RL TU_260302_RAL1EC_AIMARD - Rabotage bordures</t>
  </si>
  <si>
    <t>Le matériau annoncé comme GNT 0/31.5 présentait visuellement un aspect terreux et non con-forme à l’aspect attendu pour une grave non traitée routière. Suspicion immédiate de non conformité, déclenchant des prélèvements pour analyses labo. Les trois analyses réalisées par le laboratoire sur les matériaux fournis par Granulats Vicat mettant en évidence plusieurs points non conformes.  Les paramètres de propreté sont hors critères réglementaires et normatifs :
•	VBS (Valeur au Bleu) : non conforme
•	MB : non conforme
Ces indicateurs révèlent un excès de fines argileuses, incompatible avec une GNT de qualité con-forme. Sur les trois analyses réalisées : 2 analyses sur 3 ne présentent aucune fraction 31,5 mm, pourtant obligatoire pour une GNT 0/31.5. Cela indique un mauvais criblage, un défaut de fabrication, ou une erreur de chargement en carrière.
Les matériaux livrés présentent au minimum une non conformité de propreté, et sont poten-tiellement non conformes à la granulométrie annoncée, ce qui remet en cause leur utilisation pour les couches structurelles. La GNT livrée ne répond donc pas aux spécifications attendues, ni visuellement ni analytiquement.</t>
  </si>
  <si>
    <t>Un mauvais criblage, un défaut de fabrication, ou Erreur de chargement en carrière.</t>
  </si>
  <si>
    <t xml:space="preserve">Essai laboratoire,
Echange avec le commercial de la carrière. </t>
  </si>
  <si>
    <t>2026.03.03_RAP52E_DURIF_GNT</t>
  </si>
  <si>
    <t>Documents Qualité</t>
  </si>
  <si>
    <t>Le chantier de la Rue de Laubize à Romagnat, est un marché subséquent à l’accord cadre. Les travaux ont débuté fin 2025 avec une première phase de réalisation, l’équipe terrain et le conducteur travaux ne sont plus dans le secteur aujourd’hui. 
La deuxième phase a démarré fin janvier, avec un nouveau conducteur travaux et une nouvelle équipe terrain. Avant le démarrage du chantier, le conducteur de travaux a relancé et réimprimer les DICT et le marquage a été fait le jour de la reprise puis maintenu au cours du chantier. 
L’entreprise RENON est intervenue en cours de chantier pour réaliser les colonnes enterrées sur notre emprise travaux (accord cadre avec la CAM) et a retracé les réseaux dans son emprise. Les chefs de chantier après concertation se sont aperçus que leur DICT ENEDIS ne correspondaient pas (cf photos).</t>
  </si>
  <si>
    <t>Le fond de plan lors de l’impression a « glissé » et le calque de réseau n’a pas suivi.</t>
  </si>
  <si>
    <t>Transmission des DICT correctes sur le drive + par mail pour suivi sur chantier. Réimpression avec vérification de la bonne DICT.</t>
  </si>
  <si>
    <t xml:space="preserve">Vérifier avant transmission que les fond de plans n’aient pas glissé. </t>
  </si>
  <si>
    <t>2026.03.06_RAP87E_LOUBEYRE_Erreur impression DICT</t>
  </si>
  <si>
    <t>Après réalisation des enrobés sur un parking, un tampon a été accroché et de l'enrobé est tombé à l'intérieur du regard. Le
fond du regard a dû être nettoyé ensuite pour rétablir le bon écoulement du réseau EP.</t>
  </si>
  <si>
    <t>Nettoyage du regard en fin de chantier. Bien faire remonter ces évènements dès qu'ils arrivent pour être au
courant immédiatement et surtout ne pas oublier de les traiter avant la fin du chantier.</t>
  </si>
  <si>
    <t>25/03/206</t>
  </si>
  <si>
    <t>260311_LHL_RAP63D_MOREL - Nettoyage enrobé regard</t>
  </si>
  <si>
    <t xml:space="preserve">Mauvaise application des enrobés sur une pièce de 10m², bosse prononcée sur l'entrée. </t>
  </si>
  <si>
    <t>Erreur de réglage des enrobés</t>
  </si>
  <si>
    <t xml:space="preserve">Reprise de la pièce. </t>
  </si>
  <si>
    <t>RL TU_260312_RAL1EC_BERCHARD - Reglage enrobés</t>
  </si>
  <si>
    <t xml:space="preserve">Un flash s'est créé au raccord entre la chaussée et la piste cyclable. </t>
  </si>
  <si>
    <t>Enrobés réalisés en plusieurs fois, dont une fois de nuit.
Manque de rigueur dans le suivi des vues de bordures…</t>
  </si>
  <si>
    <t xml:space="preserve">Sciage, reprise du réglage et de l'application des enrobés avant réalisation de la résine. </t>
  </si>
  <si>
    <t>RL GT_260313_RAP67C_HEYRAUD - Flash enrobés</t>
  </si>
  <si>
    <t xml:space="preserve">Le coulage de l'ouvrage d'assainissement (regard grille) ne répond pas aux préconisations de la direction du cycle de l'eau. Nécessité de reprendre la maçonnerie du fond de regard. </t>
  </si>
  <si>
    <t>Manque d'accompagnement de l'équipe qui réalisait cette tâche (qui venait d'arriver sur le chantier).
Chef de chantier principal en AM.</t>
  </si>
  <si>
    <t xml:space="preserve">Reprendre la maçonnerie. </t>
  </si>
  <si>
    <t>RL GT_260313_RAP67C_HEYRAUD - Maçonnerie regard</t>
  </si>
  <si>
    <t xml:space="preserve">Pose de 32ml de bordures P1 en fond de stationnement 10 à 30cm plus bas que niveau du projet. </t>
  </si>
  <si>
    <t>piquet d implantation mis en place suivant EXE ind E. modification de l ind par la suite car nouveau nivellement
Le nouveau plan à été transmis au CC avec explication et zone impactée.
Le CC est reparti sur les même niveaux indiqués sur les piquet (10 cm trop bas) et un piquet avait été certainement bougé car Fe 30 cm trop bas</t>
  </si>
  <si>
    <t>rappel de toujours vérifier les niveau avant réalisation, des point de référence on été placé sur site pour cela.
Rappel de ne pas faire confiance aux piquets si presents depuis plusieurs jour appeler cdx si doute sur l indice du plan.</t>
  </si>
  <si>
    <t>RL TU_260313_RAP53C_MONIN - Bordures stationnement</t>
  </si>
  <si>
    <t>Incompréhension CE et TOPO lors de l'implantation : le topo à implanté un FE bordure avec l axe du regard d éclairage à créer.
Le CE à cru que cela était le centre du regard. 4 regard se sont retrouvés à cheval sur la futur bordure</t>
  </si>
  <si>
    <t xml:space="preserve">Mauvaise communication. </t>
  </si>
  <si>
    <t>élargissement du chemin piéton de 20 cm pour avoir le regard en dehors de la bordure ,
avec validation moe au préalable</t>
  </si>
  <si>
    <t>rappel au topo de ne pas quitter le chantier sans avoir fait le point avec CE rappel au CE de faire le point avec TOPO et noter sur plan les indications</t>
  </si>
  <si>
    <t>RL TU_260313_RAP53C_MONIN - Tampon à cheval bordures</t>
  </si>
  <si>
    <t xml:space="preserve">Des murets en L ont été posés pour réaliser un petit soutènement. L'alignement des murs et la planéité ont été vérifiés mais pas la verticalité. Les murs n'étaient pas de niveau sur le plan vertical. </t>
  </si>
  <si>
    <t xml:space="preserve">Manque d'expérience des équipes sur la pose de ce type d'élément. Pas de vérification du niveau sur le plan vertical. </t>
  </si>
  <si>
    <t xml:space="preserve">Dépose et repose des éléments. </t>
  </si>
  <si>
    <t>RL TU_260313_RAP56C_JEAN VICTOR - Niveau murs</t>
  </si>
  <si>
    <t xml:space="preserve">Un camion des enrobés a traversé la plateforme tram enherbées. Il n'a pas respecté les consgnes qui lui avaient été données. </t>
  </si>
  <si>
    <t xml:space="preserve">Le chauffeur n'a pas respecté les consignes du chef, a suivi les consignes d'une personne du chantier qui n'est pas NGE. </t>
  </si>
  <si>
    <t xml:space="preserve">Rappeler aux chauffeurs d'écouter le chef de chantier. </t>
  </si>
  <si>
    <t>RL GT_260316_RAN67C_MARQUES - Traversée camion pf enherbée</t>
  </si>
  <si>
    <t xml:space="preserve">Dans le cadre du renouvellement de la conduite d’AEP la commune de BANEINS, nous demande un devis pour renouveler deux poteaux d’incendie de DN 100 Bayard 
J’ai demandé un devis à Bayard 1458.57 € le poteau 
Ci-joint le devis </t>
  </si>
  <si>
    <t>SOMEC filiale de SADE paye le poteau d’incendie DN100 Bayard 639.28€</t>
  </si>
  <si>
    <t xml:space="preserve">Pourquoi nous n’avons pas les mêmes accords-cadres que SADE et ses filiales </t>
  </si>
  <si>
    <t>Sollicitation service achat</t>
  </si>
  <si>
    <t>260316_AIN_RAQ28J_GAZE - Prix poteau incendie</t>
  </si>
  <si>
    <t>GAZE David</t>
  </si>
  <si>
    <t>Lors du passage du chauffage par une entreprise extérieure, le remblai du tuyau d'eu n'a pas été réalisé dans les règles de
l'art, pas de gravelette autour du tuyau ce qui a engendré sont deboitement et un affaissement de chaussée</t>
  </si>
  <si>
    <t>Mauvais remblaiement</t>
  </si>
  <si>
    <t>Réparation conduite</t>
  </si>
  <si>
    <t>260324_EHTP_RAP15J_NOUVET - Réparation tuyau EU</t>
  </si>
  <si>
    <t>Lors de l'application des enrobés (implantation par piquet tous les 20m réalisé), l'alignement droit du finisher n'était pas
droit.
Stationnement Compacteur sur enrobé chaud
Tâche d'huile sur enrobé neuf</t>
  </si>
  <si>
    <t>Manque d'encadrement car chef d'application en CP</t>
  </si>
  <si>
    <t>Rencontre avec le client pour sciage éventuel</t>
  </si>
  <si>
    <t>260316_LHL_RAP1PD_DUCROUX - Alignement enrobés</t>
  </si>
  <si>
    <t>le chantier consiste en la création d'une résidence séniors. Nous avons en charge le lot VRD. Les réseaux secs ont été réalisés 
en phase 1 avant les bâtiments.
Une fois les bâtiments montés, une deuxième équipe est intervenue pour finaliser les travaux VRD 
(réglage/bordures/fintions/enrobés). Certaines des chambres télécom ont dû être abaissées car plus hautes que le niveau 
fini. Après vérifications, le nivellement des allées n'a pas changé, les seuils des bâtiments non plus.
Le chef de chantier qui a réalisé les réseaux avait demandé un point topo de référence. A partir de ce point, il a implanté les 
chambres à la lunette de façon à les poser à -5cm du NF.</t>
  </si>
  <si>
    <t>&gt; Erreur d'implantation du service Topo
&gt; Erreur d'implantation du chef de chantier
&gt; Marge de manœuvre de 5cm un peu juste par rapport au niveau fini</t>
  </si>
  <si>
    <t>Reprise des chambres avec 2 OS pendant 3 jours</t>
  </si>
  <si>
    <t>REX de fin de chantier</t>
  </si>
  <si>
    <t>2026.03.17_RAO95E_DE SOUSA_Erreur d'implantation chanmbres télécoms</t>
  </si>
  <si>
    <t xml:space="preserve">DE SOUSA Mickael
MADEBENE Hugo </t>
  </si>
  <si>
    <t>Nous avons en charge le lot VRD. Il avait été convenu avec le MOE en début de chantier que nous réalisions tous les réseaux 
du projet avant le passage des bâtiments. Nous avions convenus de laisser les réseaux en attente à 50 cm de la limite des 
bâtiments (tabourets EP / EU + regards 40x40 pour les réseaux secs). Le lot GO devait ensuite raccorder les réseaux du 
bâtiment à nos attentes. Tous les réseaux ont bien été raccordés par ce lot mis à part les descentes EP qui sont à la charge du 
lot Etanchéité/Couverture. Ce dernier a signalé à la MOE qu'il ne pouvait réaliser les raccordements en l'état car il avait un 
besoin d'un coude en attente pour se raccorder et non d'un tabouret. De plus, certains tabourets n'étaient pas positionnés 
tout à fait à l'aplomb des attentes de la toiture. Il a donc fallu reprendre toutes les descentes EP du projet. La MOA a refusé 
notre demande de prix nouveaux.</t>
  </si>
  <si>
    <t>&gt; Lot étanchéité non présent en réunion de démarrage de chantier 
&gt; Manque de précision dans les pièces marchés et CCTP ( pas d'interférence lot VRD/Etanchéité, notion d'attente EP à laisser par le lot VRD mais sans plus de détail)
&gt; MOE ne fait pas son travail d'OPC (pas de trace écrite dans les CR, manque de précisions...)</t>
  </si>
  <si>
    <t>Reprise des tabourets (1 semaine équipe de 2 + minipelle)</t>
  </si>
  <si>
    <t>2026.03.17_RAO95E_DE SOUSA_Reprise attente EP bâtiment</t>
  </si>
  <si>
    <t xml:space="preserve">Création d'un regard de dimension (intérieure) 80*80 à la place d'un 70*70. reprise de la maçonnerie du regard et de la mise à la côte. 
La FNC s'est reproduite : mise à la côte faire avec un tampon 60*60 à la place d'un 70*70. Reprise à effectuer. </t>
  </si>
  <si>
    <t>Mauvaise lecture de plan et manque de réflexion</t>
  </si>
  <si>
    <t>Reprise des tampons</t>
  </si>
  <si>
    <t>RL GT_260318_RAP67C_HEYRAUD - Mises à la côte chambre mauvaise dim</t>
  </si>
  <si>
    <t>Location d’une remorque chez Loxam
Marc Fernandez nous a ramené une remorque et il y avait un tendeur de cassé (ils ont roulé dessus et ça l'a cassé).</t>
  </si>
  <si>
    <t>Ci-joint le devis des réparations</t>
  </si>
  <si>
    <t>260319_AIN_RAP83A_GAZE - Casse tendeur remorque</t>
  </si>
  <si>
    <t xml:space="preserve">Le chauffeur de la pelle David Hoarau à attraper la bâche avec les dents de son godet 
</t>
  </si>
  <si>
    <t xml:space="preserve"> La bâche n’a pas été tiré au maximum 
</t>
  </si>
  <si>
    <t>Passage à l'atelier</t>
  </si>
  <si>
    <t>260319_AIN_RAP83A_GAZE - Accrochage bache</t>
  </si>
  <si>
    <t>Le niveau fini des enrobés autour d'une station Vélo'v n'est pas bon.
En effet, les enrobés sont trop haut ce qui empêche les usagers d'enclencher les Vélo'v sur la station</t>
  </si>
  <si>
    <t>L'équipe qui a réalisé les enrobés n'avait certainement pas l'information d'ajuster le
niveau fini des enrobés 5 cm environ sous le cache de la borne. La difficulté de compacter les enrobés autour des bornes avec un engin vibrant peut expliquer le niveau trop haut.</t>
  </si>
  <si>
    <t>Condamnation temporaire de la station</t>
  </si>
  <si>
    <t>Reprise des enrobés autour des bornes Vélo'v</t>
  </si>
  <si>
    <t>260324_EHTP_RAP50J_THOMAS - Enrobés station vélos</t>
  </si>
  <si>
    <t xml:space="preserve">Problème à l'implantation des bordures : mauvais alignement des piquets et erreurs de cotes. Cela n'a pas été identifié par l'équipe et la pose de bordure a été réalisée en reproduisant les erreurs. </t>
  </si>
  <si>
    <t>Erreur d'implantation
Erreur non décelée par l'équipe</t>
  </si>
  <si>
    <t>RL TU_260324_RAP56C_GRIMAND JEAN-VICTOR DUPUY - N°5 PTAC</t>
  </si>
  <si>
    <t>lors du terrassement de la tranchée une poutre telecom a été accroché endommageant un pe de fibre optique</t>
  </si>
  <si>
    <t>terrassement a la pelle</t>
  </si>
  <si>
    <t>analyse du pe, sans fil a l'intérieur</t>
  </si>
  <si>
    <t>réparation avec deux raccords</t>
  </si>
  <si>
    <t>260326_EHTP_A4J001_GASTON - Dommage réseau fibre</t>
  </si>
  <si>
    <t xml:space="preserve">Forme de la bouche à clé rond ou exagonale pas au bon endroit. Les personnes qui ont travaillées sur les bouches à clé n'étaient pas les mêmes et ont dû les mélanger. Une équipe de l'eau du grand Lyon était sur place pour réceptionner les bouches à clé et a vu des problèmes. </t>
  </si>
  <si>
    <t xml:space="preserve">Inversion des bouches à clé lors des travaux </t>
  </si>
  <si>
    <t xml:space="preserve">Remettre les bouches à clé à leurs places </t>
  </si>
  <si>
    <t>RL GT_260327_RAN63C_BERTHELON - BaC échangées</t>
  </si>
  <si>
    <t xml:space="preserve">Dans le cadre du marché, nous avions à charge la pose de fourreaux pour le futur réseau ENEDIS alimentant le bâtiment. 
Les réseaux n'ont pas été levés au fur et à mesure de leur pose. L'ensemble des réseaux ont été remblayés et une partie des revêtements définitfs ont été effectués.
Afin de pouvoir mettre en service, ENEDIS demande au maître d'ouvrage de fournir le récolement des fourreaux que nous avons posés. Le maître d'ouvrage nous demande donc de fournir cette partie de DOE. </t>
  </si>
  <si>
    <t>Intervention d'un géomètre expert ayant la certification "détection de réseaux" accompagné d'un géomètre de notre service topo, afin de détecter les câbles à l'intérieur des fourreaux que nous avons posés. 
Levé de ces câbles suite à la détection dans le but de réaliser le plan de récolement</t>
  </si>
  <si>
    <t xml:space="preserve">Faire un levé systèmatique des réseaux au fur et à meure de la pose, avant remblaiement, afin de pouvoir fournir un récolement en classe A à la fin du chantier (obligation légale). </t>
  </si>
  <si>
    <t>2026.03.30_RAO95E_MADEBENE_Absence de levé des réseaux ENEDIS posés</t>
  </si>
  <si>
    <t>RAP1TD</t>
  </si>
  <si>
    <t>Vendredi 27/03, une équipe de 2 OS + 1 chef + 1 camion grue a été programmée pour effectuer le repli du chantier ainsi que
les dernières finitions.
L'objectif de la demi-journée était de :
- Mise en place d'une tampon
- Application de terre végétale en accotement et reprise dans un talus
- Application de 0/31.5 en accotement le long de l'enrobé
- Balayage de l'entrée du chantier
- Repli de la signalisation
L'équipe a terminé à 11h30 au lieu de 12h
Cependant, pour chaque consigne, le travail demandé n'a pas été fait ou bâclé !
- pas de finition dans le tampon, l'ancienne grille et l'herbe encore présent dans le regard + pas de masques
- La terre végétale n'est pas réglée correctement, encore pleins de mottes d'herbes dedans.
- Accotement en 31.5 débordant sur les enrobés neufs
- Balayage à l'entrée du chantier non fait
- il reste encore les barrières de chantiers, cônes et déviations éparpillé de partout
Nous sommes donc contraint de faire revenir une équipe afin de reprendre chaque point.
Soit 2h de boulot, plus le transfert (1h) à 4 personnes</t>
  </si>
  <si>
    <t>manque de rigueurs du chef de chantier</t>
  </si>
  <si>
    <t>programmation d'une seconde intervention finir le travail</t>
  </si>
  <si>
    <t>260331_LHL_RAP1TD_CUSSET - Finitions insuffisantes</t>
  </si>
  <si>
    <t xml:space="preserve">Des dalles podotactiles ont été abîmées et oubliées. </t>
  </si>
  <si>
    <t xml:space="preserve">Ce ne sont pas les mêmes personnes qui ont suivi cette zone de chantier, manque de communication. </t>
  </si>
  <si>
    <t xml:space="preserve">Découper l'asphalte, terrasser et refaire. </t>
  </si>
  <si>
    <t>RL GT_260331_RAN63C_BERTHELON - Dalles podo oubliées</t>
  </si>
  <si>
    <t xml:space="preserve">Mauvaise implantation du géomètre sur le chantier de St Laurent de Mûre suite à la demander d'implantation des FE bordures : 1 mètre devant. Il a implanté le FE derrière les bordures où nous devions arracher l'enrobé. </t>
  </si>
  <si>
    <t>Mauvaise implantation</t>
  </si>
  <si>
    <t>Refaire l'implantation</t>
  </si>
  <si>
    <t>RL TU_260331_RAO1AC_FALCOU - Mauvaise implantation</t>
  </si>
  <si>
    <t xml:space="preserve">Les fiches métalliques isolées qui étaient plantées pour la pose de bordures ont été laissées lors du collage des bétons sous asphalte. </t>
  </si>
  <si>
    <t xml:space="preserve">Couper la fiche et la jeter. </t>
  </si>
  <si>
    <t>RL GT_260407_RAP67C_MARQUES - Fiches oubliées</t>
  </si>
  <si>
    <t>lors de l'application de l'enrobe, le tampon a du riper et ainsi rempli le regard élec d'enrobé à chaud.</t>
  </si>
  <si>
    <t>ne pas fermer les yeux sur ce genre de chose</t>
  </si>
  <si>
    <t>nettoyer le regard et refaire mise à la cote</t>
  </si>
  <si>
    <t>260408_AIN_RAP50J_SALVADORI - Regard rempli enrobés</t>
  </si>
  <si>
    <t xml:space="preserve">L'implantation du géomètre était fausse avec un très gros décalage. </t>
  </si>
  <si>
    <t>Erreur de préparation du géomètre donc erreur d'implantation sur chantier.</t>
  </si>
  <si>
    <t xml:space="preserve">Ne pas tenir compte de l'implantation. </t>
  </si>
  <si>
    <t>Faire une nouvelle implantation correcte</t>
  </si>
  <si>
    <t>RL TU_260413_RAO48C_BERCHARD - Erreur implantation mur 2m</t>
  </si>
  <si>
    <t xml:space="preserve">Il était demandé à l'équipe (2 salariés) de remplacer un mat car celui-ci était endommagé. Il fallait donc retirer les panneaux dessus et les fixer sur le nouveau mât. Un panneau n'a malheureusement pas été fixé correctement (pas droit). </t>
  </si>
  <si>
    <t>Manque de rigueur</t>
  </si>
  <si>
    <t xml:space="preserve">Nouvelle intervention pour refixer correctement le panneau. </t>
  </si>
  <si>
    <t>RL TU_260416_RAL2HC_AIMARD - Panneau stationnement tordu</t>
  </si>
  <si>
    <t>Lors de la réalisation d'une pièce en enrobés, la table du finisher a été vidée sur les enrobés existants réalisés 3 mois
auparavant. Les enrobés chauds ont fait chauffer le support et lorsque la pelle a ramassé le restant d'enrobes, le tapis
existant a été endommagé. (Voir photos en PJ)</t>
  </si>
  <si>
    <t xml:space="preserve">Mauvaise coordination pour faire venir la pelle juste après avoir vidé la table. </t>
  </si>
  <si>
    <t xml:space="preserve">Reprise de la zone endommagée. </t>
  </si>
  <si>
    <t>RL TU_260416_RAP56C_JEAN VICTOR - Enrobés existants endommagés</t>
  </si>
  <si>
    <t xml:space="preserve">Le scellement du tampon a été fait avec un béton de mauvaise qualité. Il a fallu le reprendre avec l'application des enrobés. Par chance il y avait un sac de scellement rapide à la base vie. </t>
  </si>
  <si>
    <t xml:space="preserve">Manque de professionnalisme du maçon qui a fait la mise à la côte. </t>
  </si>
  <si>
    <t xml:space="preserve">Reprise du scellement. </t>
  </si>
  <si>
    <t>RL GT_260422_RAN63C_MARQUES - Mauvais scellement</t>
  </si>
  <si>
    <t>Dans le cadre de la pose des tuyaux SPYREL, une non-conformité au niveau du produit « tube D1600 a été détectée.
En effet le trou d’homme n’est pas vertical, et en tournant le tube d’une bride, le résultat est encore moins satisfaisant.</t>
  </si>
  <si>
    <t>Écart dimensionnel / aspect / caractéristique du produit, Défaut issu du processus de fabrication</t>
  </si>
  <si>
    <t>Acceptation dans l’état.
Etant donné que l’écart est léger, la reprise de la verticalité du trou d’homme sera compensée lors de la mise en oeuvre des réhausses en béton.</t>
  </si>
  <si>
    <t>OUI
L’écart de verticalité du trou d’homme, sera repris avec les réhausses béton d1000</t>
  </si>
  <si>
    <t>260116_AIN_RAP99A_WEHRLIN - Défaut tubes spyrel</t>
  </si>
  <si>
    <t>RAO93C</t>
  </si>
  <si>
    <t xml:space="preserve">Le nouveau réseau installé pour une borne fontaine comportait une fuite. Après recherche, découverte d'un manchon déjà utilisé (vieux et rouillé) sous la BF. En plus le PEHD a été remonté à la verticale, forçant au niveau du manchon, entraînant la fuite. </t>
  </si>
  <si>
    <t xml:space="preserve">Le PE a été posé et en attente plusieurs semaines avant la pose de la BF. L'attente était balisée. 
L'entreprise espaces vert aurait accroché et réparé sans prévenir. </t>
  </si>
  <si>
    <t xml:space="preserve">La fuite n'est pas apparue immédiatement mais lors de la 2e mise en eau (réception travaux). </t>
  </si>
  <si>
    <t xml:space="preserve">Essai pression avant installation de la BF ou autre. </t>
  </si>
  <si>
    <t>RL TU_260424_RAO93C_Fuite borne fontaine</t>
  </si>
  <si>
    <t xml:space="preserve">Lecture/absence de plan </t>
  </si>
  <si>
    <t>Béton sous asphalte trop bas : -5 / -7 au lieu de -3</t>
  </si>
  <si>
    <t>Non respect des plans</t>
  </si>
  <si>
    <t xml:space="preserve">Réagréage du béton ou mortier pour rattraper la hauteur. </t>
  </si>
  <si>
    <t>RL GT_260427_RAN63C_BERTHELON - Béton sous asphalte non conforme</t>
  </si>
  <si>
    <t xml:space="preserve">Une zone de stockage a été mise en place a coté des pavés que nous venons de poser en début d'année. Les camions ont vidé du déblai sur la zone définie en amont. Cependant, le pelleteur avait pour mission de relever les tas dans le but de gagner de la place de stockage. Il a décidé de faire un cordon le long des pavés granit mis en place. Le matériaux s'est retrouvé sur nos pavés, ce qui a eu pour conséquences d'abîmer les bordures neuves. </t>
  </si>
  <si>
    <t xml:space="preserve">Absence de suivi particulier du pelleteur. Transmission orale des consignes. </t>
  </si>
  <si>
    <t xml:space="preserve">Reprise du tas avec un suiveur et un balai. </t>
  </si>
  <si>
    <t xml:space="preserve">Sensibilisation au respect des consignes et se questionner sur le travail à réaliser. </t>
  </si>
  <si>
    <t>RL TU_260430_RAP49C_DENEPOUX - Stock sur les bordures</t>
  </si>
  <si>
    <t>Lors des travaux de la rue Paul Verlaine, les bordures en calcaire ont été tachées par de la laitance provenant du jointoiement des pavés. Un balisage sur plots avait été installé en amont.
Cependant pendant le nettoyage des joints, la laitance a coulé avec la pente naturelle et a atteint les bordures calcaires. Nos équipes ont nettoyé cette laitance mais la laitance qui s’était glissée sous les plots du balisage n’a pas été vue à ce moment là.
Ce n’est qu’en déplaçant le balisage que nous avons découvert cette laitance restait coincée sous les plots.</t>
  </si>
  <si>
    <t>Une proposition de traitement par nettoyage de cette laitance avec un karcher a été réalisé mais cela n'a pas été convaincant. Une deuxième solution de traitement par poncage de la bordure aux endroits où la laitance est présente va être faite.</t>
  </si>
  <si>
    <t>RL GT_260326_RAN63C_REPELLIN - Laitance bordures</t>
  </si>
  <si>
    <t>lors du déroulage du câble un galet d'angle s'est coincé dans la tresse et a détériorer le câble</t>
  </si>
  <si>
    <t>galet d'angle non adapté pour le déroulage d'un câble tressé
manque de personnel qualifié pour cette opération</t>
  </si>
  <si>
    <t>tirage dans l'autre sens et galet sortie de la fouille</t>
  </si>
  <si>
    <t>mettre les effectifs le jour du deroulage</t>
  </si>
  <si>
    <t>260430_EHTP_A4J001_GASTON - Cable déterioré par galet</t>
  </si>
  <si>
    <t>Après la réalisation des enrobés de la voirie, nous sommes intervenus pour dégager et remettre a la cote des bouches a clé.
Procédure : découpe autour de la BAC, démolition des enrobés, mise en place de gravelette sous la BAC, mise a la cote puis
réfection autour en ciment noir (scellflash). Une fois le béton autour de la BAC "sec", nous avons enlever le balisage et laissé les voitures rouler dessus. Une semaine après nous avons constaté que le scellement autour de 13 bouches a clé c'était affaissé</t>
  </si>
  <si>
    <t>Le ciment noir n'a certainement pas été laissé sécher assez longtemps avant de rouvrir
la circulation dessus. Mauvais dosage en eau et donc béton trop liquide (demande plus de temps de séchage). La gravelette mis en oeuvre sous les BAC a peut-être bougé légèrement, combiné a la forte circulation de la route (passage des bus et camions), ce qui a provoqué les affaissements. Le fait de ne pas avoir réalisé des découpes propres (carré, traits droits a la découpeuse) autour des BAC a peutêtre contribué également a leur affaissement</t>
  </si>
  <si>
    <t>Constatations</t>
  </si>
  <si>
    <t>Reprise des scellements</t>
  </si>
  <si>
    <t>260428_EHTP_RAP50J_THOMAS - Affaissement autour BAC</t>
  </si>
  <si>
    <t xml:space="preserve">Dans le cadre du renouvellement de la conduite d’AEP la commune de BANEINS. Nous avons posé 1380ml de fonte DN 150 C64 de chez PONT A MOUSSON. Nous avons testé un nouveau joint de tête qui assure l’étanchéité de l’emboitement </t>
  </si>
  <si>
    <t xml:space="preserve">Une fois que le joint est mis dans la tête de la collerette on vient mettre le tuyau male 
On vient mettre l’embout de la pompe dans la petite titine qui est sur le joint et on monte en pression (2 à 3 coups de pompe)
Si la pression tient c’est que c’est bon (3 secondes) </t>
  </si>
  <si>
    <t xml:space="preserve">Prix de la Pompe 25€ </t>
  </si>
  <si>
    <t>260423_AIN_RAQ28J_GAZE - Joint tuyau de tête PAM</t>
  </si>
  <si>
    <t>MULTIPLES TECHNIQUE</t>
  </si>
  <si>
    <t>RAP1HA</t>
  </si>
  <si>
    <t>Dans le cadre du marché à bon de commande pour le SDIS de l’ain, nous devions réaliser la réfection d’enrobé et la reprise de bordure.
Le dévers de la reprise d’enrobé ne suit pas le prolongement du dé-vers existant, créant ainsi un écoulement de l’eau plus long avant de rejoindre la grille. Pas de flashe constaté mais une stagnation de sable (provenant des joint émulsion / sable)</t>
  </si>
  <si>
    <t>Non prise en compte du dévers existant lors de l’implantation des bordures
Utilisation de sable calcaire au lieu de sillice pour les joints émulsion
Trop de sable
Pas de RDV avec le controleur de travaux sur site pour connaitre ses attentes</t>
  </si>
  <si>
    <t>Balayage du sable exédentaire</t>
  </si>
  <si>
    <t>260423_AIN_RAP1HA_WEHRLIN_Pente enrobés</t>
  </si>
  <si>
    <t>Plan d'actions</t>
  </si>
  <si>
    <t>CHANTIER OU SITE CONCERNÉ</t>
  </si>
  <si>
    <t>ORIGINE DE L'ACTION</t>
  </si>
  <si>
    <t>THEMATIQUE (Q / S / E)</t>
  </si>
  <si>
    <t>CONSTAT</t>
  </si>
  <si>
    <t>ACTION DEFINIE</t>
  </si>
  <si>
    <t>PILOTE</t>
  </si>
  <si>
    <t>ECHEANCE DE L'ACTION</t>
  </si>
  <si>
    <t>ALERTE</t>
  </si>
  <si>
    <t>STATUT DE LA REALISATION DE L'ACTION</t>
  </si>
  <si>
    <t>RA</t>
  </si>
  <si>
    <t>Budget 2024</t>
  </si>
  <si>
    <t>SSE</t>
  </si>
  <si>
    <t>Obtention Certification MASE 2024</t>
  </si>
  <si>
    <t>DRA QSE</t>
  </si>
  <si>
    <t>Effectué</t>
  </si>
  <si>
    <t>RAN96D</t>
  </si>
  <si>
    <t>1/4 d'heure</t>
  </si>
  <si>
    <t>Sa</t>
  </si>
  <si>
    <t>Possibilité d'avoir une fontaine à eau pour avoir de l'eau fraîche car les bidons de 5L encombre les frigos.</t>
  </si>
  <si>
    <t>DUCOTTET</t>
  </si>
  <si>
    <t>COPIL MASE</t>
  </si>
  <si>
    <t>S</t>
  </si>
  <si>
    <t>Mettre des objectifs de sécurité lors des entretiens ( Ouvriers ,CE,CC) PA…</t>
  </si>
  <si>
    <t>DRA DR CS</t>
  </si>
  <si>
    <t xml:space="preserve">Bilan SSE </t>
  </si>
  <si>
    <t>Mettre en place un suivi du % d’intérim sur personnel de chantier (CC/CE/CNRO)</t>
  </si>
  <si>
    <t>Maxime/Justine</t>
  </si>
  <si>
    <t>Avoir un taux de fréquence &lt; 9,5 tout personnel confondu</t>
  </si>
  <si>
    <t>Tous</t>
  </si>
  <si>
    <t xml:space="preserve">Augmentation du nombre de 1/4 d'heure animé par le CDTX : 1/ trimestre </t>
  </si>
  <si>
    <t>Etablir une liste de 1/4 pour 2025</t>
  </si>
  <si>
    <t>DRA/QSE</t>
  </si>
  <si>
    <t xml:space="preserve"> Formation des CDTX &amp; technicienne QSE à l’utilisation des FNC</t>
  </si>
  <si>
    <t>JRE</t>
  </si>
  <si>
    <t>Mise en place de l’objectif : pas de chantier sans FNC</t>
  </si>
  <si>
    <t>Intégration service méthodes dans réunion de passation</t>
  </si>
  <si>
    <t>Embauche de conducteur travaux expérimenté</t>
  </si>
  <si>
    <t>DRA DR</t>
  </si>
  <si>
    <t>Check List de préparation de chantier pour Conducteur de Travaux &amp; Chef de Secteur</t>
  </si>
  <si>
    <t xml:space="preserve">Mise en place de visite croisée 1 par mois </t>
  </si>
  <si>
    <t xml:space="preserve">REX : Partage de l’information avec mise à disposition sur Share point
accessible aux CDTX </t>
  </si>
  <si>
    <t>Service méthode</t>
  </si>
  <si>
    <t>REX :  Modification de la trame pour intégration d’un chapitre sécurité &amp; 
environnement</t>
  </si>
  <si>
    <t>STOP and GO entre 10H &amp; 11H pour casser la routine et procéder au rangement</t>
  </si>
  <si>
    <t>CDTX/chef de chantier</t>
  </si>
  <si>
    <t>Poursuive sur 2025 utilisation de CHATBOT</t>
  </si>
  <si>
    <t xml:space="preserve">Prévoir 1/4 d'heure sur biodiversité et protection de la nature </t>
  </si>
  <si>
    <t>Olivier D</t>
  </si>
  <si>
    <t>Identifier produits concernés par les disosyanates</t>
  </si>
  <si>
    <t>QSE/DRA</t>
  </si>
  <si>
    <t>Définir des objectifs pour les embauches 2025</t>
  </si>
  <si>
    <t>Avoir du personnel avec le passeport PASI</t>
  </si>
  <si>
    <t>Justine Maxime</t>
  </si>
  <si>
    <t>Mise en place de tuteur / parrain</t>
  </si>
  <si>
    <t>Chef de chantier</t>
  </si>
  <si>
    <t>Réalisé plan d'investissement du materiel 2025</t>
  </si>
  <si>
    <t>DRA/DA</t>
  </si>
  <si>
    <t>Poursuivre la réalisation de tableau FDS</t>
  </si>
  <si>
    <t>Plan de formation 2025</t>
  </si>
  <si>
    <t xml:space="preserve">Justine </t>
  </si>
  <si>
    <t xml:space="preserve">Consulter la liste des entreprises MASE lors de la recherche sous traitans </t>
  </si>
  <si>
    <t>Quentin</t>
  </si>
  <si>
    <t>PSST 
2025 / 2028</t>
  </si>
  <si>
    <t>Concevoir un nouveau support d’accueil QSE</t>
  </si>
  <si>
    <t>F. CHASSAGNOL</t>
  </si>
  <si>
    <t>QS</t>
  </si>
  <si>
    <t xml:space="preserve"> Fournir des casques bleus pour les salariés ayant peu d’ancienneté</t>
  </si>
  <si>
    <t>D. BICHON</t>
  </si>
  <si>
    <t>Communiquer sur le rôle du parrainage</t>
  </si>
  <si>
    <t xml:space="preserve">Système </t>
  </si>
  <si>
    <t>Réaliser un point de passage Prévention avec le service RH à 3 mois</t>
  </si>
  <si>
    <t>À faire</t>
  </si>
  <si>
    <t xml:space="preserve">QS </t>
  </si>
  <si>
    <t>Créer un espace de partage des REX</t>
  </si>
  <si>
    <t xml:space="preserve">Partager les thèmes des REX rédigés dans la newsletter </t>
  </si>
  <si>
    <t xml:space="preserve">Exploiter les évaluations du client par rapport à la prévention </t>
  </si>
  <si>
    <t>Animation d’atelier sécurité lors de la journée QSSE sur les 5 PM</t>
  </si>
  <si>
    <t>Formation des animateurs de ¼ d'H</t>
  </si>
  <si>
    <t>Sensibilisation des managers aux attentes d’une visite + visites croisées + exemplarité (EPI)</t>
  </si>
  <si>
    <t>Formation coachs éveil musculaire</t>
  </si>
  <si>
    <t>Organisation de 1 réunion DOP</t>
  </si>
  <si>
    <t>Organisation des réunions mensuelles service QSE RA</t>
  </si>
  <si>
    <t>Visites croisées des QSE avec les régions voisines (SVV, LP, PACA, BFC) 1/an/QSE</t>
  </si>
  <si>
    <t>En cours</t>
  </si>
  <si>
    <t>Achat de découpeuses avec système antirebond</t>
  </si>
  <si>
    <t>B. LEBON</t>
  </si>
  <si>
    <t xml:space="preserve">Formation des utilisateurs de la découpeuse </t>
  </si>
  <si>
    <t>Communication EPI</t>
  </si>
  <si>
    <t>Sanction non-port EPI</t>
  </si>
  <si>
    <t>Le DA doit se rendre sur chantier à la suite d’un AT</t>
  </si>
  <si>
    <t>Pas d'échéance mais présent dans les 24H</t>
  </si>
  <si>
    <t>Analyse avec encadrement jusqu’à DA + QSE + Invitation DR</t>
  </si>
  <si>
    <t>Pas d'échéance mais analyse sous 7 J</t>
  </si>
  <si>
    <t>Présentation en réunion mensuelle par DA</t>
  </si>
  <si>
    <t>S. BETTON</t>
  </si>
  <si>
    <t>Pas d'échéance mais réunion en 1 mois</t>
  </si>
  <si>
    <t>Exercice accident</t>
  </si>
  <si>
    <t>Transmettre la FDS de l'huile hydraulique aux équipes</t>
  </si>
  <si>
    <t>Audit</t>
  </si>
  <si>
    <t>Absence d’accueil de chantier formel pour l’intervenant de l’entreprise Flexiloc (mécanicien chargé de la réparation du flexible de la pelle).</t>
  </si>
  <si>
    <t>TOURNIER</t>
  </si>
  <si>
    <t xml:space="preserve">Le suivi des accessoires de levage présente des non-conformités (la manille de levage 4T ne présente pas de référence d’identification) / contrôle des accessoires de levage : câble de levage type RD ne possède pas de PV de vérification. </t>
  </si>
  <si>
    <t>BOURRUST</t>
  </si>
  <si>
    <t xml:space="preserve">les données d’entrée du bilan SSE incomplètes : absence d’information sur les modifications réglementaires applicables à l’entreprise constatées au cours de l’année. 
l’absence d’historique des indicateurs (tendance, évolution).  </t>
  </si>
  <si>
    <t>Q</t>
  </si>
  <si>
    <t xml:space="preserve">Les dysfonctionnements identifiés lors de l’audit interne de novembre 2022 ne sont pas tous intégrés dans le plan d’action pour assurer leur traitement. </t>
  </si>
  <si>
    <t xml:space="preserve">Absence de contrôle des installations électriques à l’agence d’Oyonnax depuis avril 2022. Ce contrôle n’est pas identifié dans l’inventaire des contrôles de l’agence.  </t>
  </si>
  <si>
    <t xml:space="preserve">Absence de plan de prévention rédigé pour les interventions dites « dangereuses » au titre de l’arrêté du 19 mars 1993 et/ou supérieures à 400h.  </t>
  </si>
  <si>
    <t>Feuille de route 2025</t>
  </si>
  <si>
    <t>E</t>
  </si>
  <si>
    <t>Diffuser affiche environnement A 3</t>
  </si>
  <si>
    <t>O. DEQUICK</t>
  </si>
  <si>
    <t xml:space="preserve">Collège des Allingues </t>
  </si>
  <si>
    <t xml:space="preserve">Audit MASE Interne </t>
  </si>
  <si>
    <t xml:space="preserve">MAJ Tableau des VM avec remplissage des manquants et prise RDV pour celles bientôt expiré </t>
  </si>
  <si>
    <t>M.OSSEDAT</t>
  </si>
  <si>
    <t xml:space="preserve">Réunion exploitation </t>
  </si>
  <si>
    <t xml:space="preserve">Déployer MRS Exploitant avec une présentation pour l'ensemble des CDTX. </t>
  </si>
  <si>
    <t xml:space="preserve">B. JANISSET </t>
  </si>
  <si>
    <t xml:space="preserve">Améliorer les passations études/travaux en </t>
  </si>
  <si>
    <t xml:space="preserve">Définir lors des passations études / travaux les qualifications visées et commencer à compléter les attestations travaux </t>
  </si>
  <si>
    <t>B. JANISSET 
B. GRIVILLERS</t>
  </si>
  <si>
    <t xml:space="preserve">Faire une sensibilisation sur la qualité de remplissage d'une attestation travaux. </t>
  </si>
  <si>
    <t>A. PETIT
F.CHASSAGNOL</t>
  </si>
  <si>
    <t>Auv</t>
  </si>
  <si>
    <t>Commande de lève plaques magnétiques = Routurou B, Dufour T, Grangeversanne B, Rollet L, Deschamps X, Bouillet K, Renard A.</t>
  </si>
  <si>
    <t>QSE Auv</t>
  </si>
  <si>
    <t>30/02/2025</t>
  </si>
  <si>
    <t>Stock d'élingues textiles au magasin de la Plateforme de Cournon</t>
  </si>
  <si>
    <t>Moules à regards 600-1000 ronds et carrés</t>
  </si>
  <si>
    <t>Outils de coupe sécurisés</t>
  </si>
  <si>
    <t>Bouchons moulés = Renard A, Rollet L</t>
  </si>
  <si>
    <t>Amélioration des accueils chantier avec Digicar</t>
  </si>
  <si>
    <t>Mise en place d'audit sur les sites fixes</t>
  </si>
  <si>
    <t>Contrôle et audit des sites fixes (plateforme de Cournon, agence PDC…)</t>
  </si>
  <si>
    <t>SA</t>
  </si>
  <si>
    <t>Réaliser un 1/4 d'heure sur les gestes et posture aux postes administratifs</t>
  </si>
  <si>
    <t>Atteindre 100 % de réalisation des entretiens individuels</t>
  </si>
  <si>
    <t>Mettre des objectifs QSSE dans chaque entretien</t>
  </si>
  <si>
    <t>Remplir le tableau de objectifs QSSE</t>
  </si>
  <si>
    <t xml:space="preserve">Grégoire/Vincent </t>
  </si>
  <si>
    <t>Rechercher Alternant pour rentré 2025 en conduite de travaux/chef de chantier</t>
  </si>
  <si>
    <t>Embauche de 10 personnes sur l'année 2025</t>
  </si>
  <si>
    <t>Rencontre agence d'interim Juillet 2025</t>
  </si>
  <si>
    <t>Fabien/Maxime</t>
  </si>
  <si>
    <t>Embauche d'un directeur de travaux Auvergne</t>
  </si>
  <si>
    <t>PBA</t>
  </si>
  <si>
    <t>Embauche d'un directeur de travaux GC hydraulique et grand projets</t>
  </si>
  <si>
    <t>Embauche de 10 maçons/Coffreurs</t>
  </si>
  <si>
    <t xml:space="preserve">Embauche d'un ou deux chefs de chantier </t>
  </si>
  <si>
    <t>Organiser les VGP sur février 2025</t>
  </si>
  <si>
    <t>Fabien</t>
  </si>
  <si>
    <t>Organiser un point de passage pour container (Trier apparaux)</t>
  </si>
  <si>
    <t>CDTX/CC</t>
  </si>
  <si>
    <t>Programmer vérification matériel dépôt</t>
  </si>
  <si>
    <t xml:space="preserve">Faire une liste de tous le matériel présent sur le nouveau dépôt </t>
  </si>
  <si>
    <t>Henrique</t>
  </si>
  <si>
    <t>Compléter le DU pour nouvelle zone Veyre</t>
  </si>
  <si>
    <t>Fabien/Benoit/
Henrique</t>
  </si>
  <si>
    <t xml:space="preserve">Mise en service de la nouvelle plate-forme </t>
  </si>
  <si>
    <t>Utilisé KIZEO pour relever le PASD</t>
  </si>
  <si>
    <t>Faire remonter les PASD lors de la reunion du Vendredi matin</t>
  </si>
  <si>
    <t>Programmer intervention HILTI sur tous les chantiers</t>
  </si>
  <si>
    <t>Fabien/Micka</t>
  </si>
  <si>
    <t xml:space="preserve">Maintenir le TF/TG à 0 </t>
  </si>
  <si>
    <t>Envoyer un 1/4 d'heure /mois</t>
  </si>
  <si>
    <t xml:space="preserve">Mettre en place le challenge 5 premiére minutes/ remonté de presque accidents </t>
  </si>
  <si>
    <t>Benoit</t>
  </si>
  <si>
    <t xml:space="preserve">Faire un point sur la capacité à animer un éveil musculaire et voir si besoin de formation pour les chefs de chantiers </t>
  </si>
  <si>
    <t xml:space="preserve">Réalisé test situation d'urgence 2 au bureau et 2 sur chantiers </t>
  </si>
  <si>
    <t>Réalisé test situation environnementale 2 sur chantiers</t>
  </si>
  <si>
    <t xml:space="preserve">Testés 25% des salariés (drogue et alcool) </t>
  </si>
  <si>
    <t>Programmer journée QSE 2025</t>
  </si>
  <si>
    <t>Fabien/Florian</t>
  </si>
  <si>
    <t>Intégrer un atelier 5 premiére minutes à la journée QSE</t>
  </si>
  <si>
    <t xml:space="preserve">Mise à jour du PASE </t>
  </si>
  <si>
    <t>DRA/Fabien</t>
  </si>
  <si>
    <t>Mettre en place tableau suivi objectif éveil musculaire</t>
  </si>
  <si>
    <t>31/02/2025</t>
  </si>
  <si>
    <t>Réaliser 1/4H pour expliquer l’intérêt au personnel des FNC</t>
  </si>
  <si>
    <t>Formation des CDTX à l’intérêt et utilisation des FNC</t>
  </si>
  <si>
    <t>Avoir 50 FNC en 2025, soit entre 4 à 5 par mois</t>
  </si>
  <si>
    <t>Organiser un groupe de Travail  des FNC en Octobre/Novembre</t>
  </si>
  <si>
    <t>Fabien / GDA / MVI</t>
  </si>
  <si>
    <t>Réalisé les REX cités au COPIL</t>
  </si>
  <si>
    <t>Réaliser FDS simplifié</t>
  </si>
  <si>
    <t>Suppression des bouteilles plastiques sur chantier</t>
  </si>
  <si>
    <t>Mise en place de fontaine à eau sur chantier de plus de 3 mois</t>
  </si>
  <si>
    <t>RAALYR</t>
  </si>
  <si>
    <t>Planning</t>
  </si>
  <si>
    <t>Suite à l'essai concluant des lisses de signalisation entre cones. Recherches de prix interessant et achat de 50 lisses</t>
  </si>
  <si>
    <t xml:space="preserve">Réaliser un 1/4 heure sécurité sur la sûreté des chantiers suite à des vols (véhicule, matériels, matériaux…) et des attitudes à risques (laisser les outils, portefeuilles, ordinateurs dans les véhicules à la vue de tous). Faire remonter les coûts liés à ces vols. </t>
  </si>
  <si>
    <t>BERLIAT
CHASSAGNOL</t>
  </si>
  <si>
    <t>BHNS</t>
  </si>
  <si>
    <t>Prévoir un rangement propre des panneau de signalisation à la base vie principale du BHNS avec des racks de stockage (achat-location-fait sur mesure).</t>
  </si>
  <si>
    <t>CHASSAGNOL</t>
  </si>
  <si>
    <t>Utilisation d'une remorque ou de rampes pour le dépacement de la signalisation lors des chantiers mobiles de NGE ROUTES.</t>
  </si>
  <si>
    <t>CHASSAGNOL
DURIF</t>
  </si>
  <si>
    <t xml:space="preserve">Création de fiche de prise de site lors de coactivité sur des travaux de réseaux pour limiter les dégats liés à l'écrasement des fourreaux. </t>
  </si>
  <si>
    <t>CHASSAGNOL
CDTX</t>
  </si>
  <si>
    <t>Analyse AT</t>
  </si>
  <si>
    <t>Réaliser un support de sensibilisation sur la gestion de la coactivité et les STOP/GO</t>
  </si>
  <si>
    <t>RAL14C</t>
  </si>
  <si>
    <t>Commander un casque avec visiere afin de mieux se protéger lors du nettoyage du serviroute</t>
  </si>
  <si>
    <t>Rédaction d'un 1/4h sur l'élingage</t>
  </si>
  <si>
    <t xml:space="preserve">BERLIAT </t>
  </si>
  <si>
    <t>Cana est</t>
  </si>
  <si>
    <t>Reunion d'exploitation</t>
  </si>
  <si>
    <t>Rensibiliser l'ensemble des collaborateurs aux éveils musculaires</t>
  </si>
  <si>
    <t>Préfa des dômes:
Mise en place du Document Unique</t>
  </si>
  <si>
    <t>Fabien/DA</t>
  </si>
  <si>
    <t>Préfa des dômes:
PIC à jour - Affichage - Plan de circulation / Stockage</t>
  </si>
  <si>
    <t>Benoit / Fabien</t>
  </si>
  <si>
    <t>Préfa des dômes:
Plan de prévention pour intervenants extérieurs</t>
  </si>
  <si>
    <t>Préfa des dômes:
Contact SDIS pour localisation activité</t>
  </si>
  <si>
    <t>Préfa des dômes:
Mise en place d'un défibrilateur</t>
  </si>
  <si>
    <t>Préfa des dômes:
Mise en place d'étiquettes avec poids sur préfa</t>
  </si>
  <si>
    <t>Prestataires :
Rappel règles à respecter sur chantiers NGE GC / courrier de la direction QSSE</t>
  </si>
  <si>
    <t>Fabien / DA</t>
  </si>
  <si>
    <t>1/4 heure pour gants &amp; lunettes</t>
  </si>
  <si>
    <t>Prévoir mesure de compensation pour les ST non MASE</t>
  </si>
  <si>
    <t>DA / BRA</t>
  </si>
  <si>
    <t>Echafaudage:
Etat du personnel formé NGE GC et Intérim</t>
  </si>
  <si>
    <t>Fabien / Maxime / Justine</t>
  </si>
  <si>
    <t>Echafaudage:
Process à mettre en place pour échafaudage fixe et roulant</t>
  </si>
  <si>
    <t>REX - Bilan de fin de chantier (manque exploitation informations recueillies lors des réunions hebdomadaires pour renseigner les aspects SSE)</t>
  </si>
  <si>
    <t>Fabien / CS</t>
  </si>
  <si>
    <t>Formaliser une check list à la fin de la période de préparation</t>
  </si>
  <si>
    <t xml:space="preserve">DHOL (protocole de livraison) similaire pour l'ensemble des chantiers </t>
  </si>
  <si>
    <t>TP Lyaudet</t>
  </si>
  <si>
    <t>Marché départemental lot 9 &amp; 10</t>
  </si>
  <si>
    <t>Presqu'Accident</t>
  </si>
  <si>
    <t xml:space="preserve">Prévoir une procédure d'exécution pour des travaux sur parois </t>
  </si>
  <si>
    <t>Service qse Auvergne</t>
  </si>
  <si>
    <t xml:space="preserve">Mettre à jour le DU </t>
  </si>
  <si>
    <t>Mettre à jour le PPSPS du chantier T6N</t>
  </si>
  <si>
    <t>PERILLAT</t>
  </si>
  <si>
    <t>Mettre à jour les fiches de tâche</t>
  </si>
  <si>
    <t>RAL + Cana</t>
  </si>
  <si>
    <t>RAFGRE</t>
  </si>
  <si>
    <t>Voir avec le service RH pour accélerer la délivrance des courrier de rappel aux règles/sanctionns</t>
  </si>
  <si>
    <t>BOURRUST 
DUCOTTET</t>
  </si>
  <si>
    <t>Communiquer les RV et obligation de CACES aux agences de locatiers. Les inclures dans les contrats</t>
  </si>
  <si>
    <t>BOURRUST 
DUCOTTET
LEBON</t>
  </si>
  <si>
    <t>Programmer des formations sur chantier EHTP avec TOMYAN</t>
  </si>
  <si>
    <t>QSSE</t>
  </si>
  <si>
    <t>Programmer un point avec le COPIL pour relecture du livret de remontées d'informations</t>
  </si>
  <si>
    <t>DINDAULT</t>
  </si>
  <si>
    <t>Diffuser une trame de checklist avec inclusion du Go/NoGo à l'exploitation</t>
  </si>
  <si>
    <t>BOURRUST
DUCOTTET</t>
  </si>
  <si>
    <t>Programmer des sessions de formation découpeuse sur le chantier T6</t>
  </si>
  <si>
    <t>Rédiger un 1/4 d'h rappelant les différentes remontées d'informations et leur interet</t>
  </si>
  <si>
    <t>Rédiger un 1/4 d'h traitant du sujet EPI cat. 3</t>
  </si>
  <si>
    <t>Formaliser un rappel des objectifs à la cellule nucléaire</t>
  </si>
  <si>
    <t>Définir des critères QSSE pour la sélection des sous traitants</t>
  </si>
  <si>
    <t>Création d'une évaluation fournisseurs simplifiée pour les CC-CE</t>
  </si>
  <si>
    <t>LEBON</t>
  </si>
  <si>
    <t>La Chapelette</t>
  </si>
  <si>
    <t>Quart d'heure</t>
  </si>
  <si>
    <t xml:space="preserve">Augmenter le forfait internet de Julien CHAPON car les 2GO ne suffisent pas a utiliser les outils et applications nécessaires au quotidien. Notamment KIZEO. </t>
  </si>
  <si>
    <t>MORIZON</t>
  </si>
  <si>
    <t>Mettre trame PPSPS sur MRS exploitant</t>
  </si>
  <si>
    <t>RAM17D</t>
  </si>
  <si>
    <t xml:space="preserve">Fourir de la crème solaire aux équipes de RONZE </t>
  </si>
  <si>
    <t>Annulé</t>
  </si>
  <si>
    <t>Faire la liste des intérimaires à ré accueillir sur RL</t>
  </si>
  <si>
    <t>Utilisation d’une pelle rail route. Ne pas se servir d’une mini pelle à chenille en équilibre sur les rails</t>
  </si>
  <si>
    <t>REPELLIN</t>
  </si>
  <si>
    <t>Communication du flash info AT. Ouvrir l’emplacement plus large pour changer le caniveau et appliquer le Stop &amp; Go quand lorsque ça ne fonctionne pas</t>
  </si>
  <si>
    <t>Communiquer sur l’utilité d’une barre à mine. Guidage à l’aide de corde ou de pince à talon</t>
  </si>
  <si>
    <t>Communiquer la fiche de bonne pratique sur la
manutention réalisée à la suite de l’AT nucléaire Z.
EZOUKAREN</t>
  </si>
  <si>
    <t>Exercice incendie</t>
  </si>
  <si>
    <t xml:space="preserve">Transmettre la procédure en cas d’incendie et le retour de l’exercice aux salariés (avec consignes de sortie). </t>
  </si>
  <si>
    <t xml:space="preserve">Former des guide-files / serre-files. </t>
  </si>
  <si>
    <t xml:space="preserve">Récupérer toutes les clés des déclencheurs manuels. </t>
  </si>
  <si>
    <t>BOUKHOUBZA</t>
  </si>
  <si>
    <t xml:space="preserve">Rajouter BAES (lumières issues de secours) au-dessus de la porte 6 (côté GUINTOLI). </t>
  </si>
  <si>
    <t xml:space="preserve">Déplacer le déclencheur manuel non visible côté sortie GUINTOLI. </t>
  </si>
  <si>
    <t xml:space="preserve">Se renseigner pour faire retentir l’alarme dès l’appui sur le déclencheur. Si impossible, communiquer sur ce laps de temps aux salariés. </t>
  </si>
  <si>
    <t xml:space="preserve">Mettre un registre de sécurité à l’accueil NGE FONDATIONS et le mettre à jour avec l’exercice de ce jour. </t>
  </si>
  <si>
    <t xml:space="preserve">Rangement des fourgons de l’équipe -déposer au dépôt ce qui n’est pas utile pour la journée 
- Jeter ce qui est HS (disques périmés, bouteilles vides, emballages…) 
- identifier ce qui est utile au quotidien et les lieux de stockage définis avec des étiquettes 
- mettre les panneaux, cônes de signalisation sur la remorque prévue à cet effet </t>
  </si>
  <si>
    <t>LOURENCO</t>
  </si>
  <si>
    <t xml:space="preserve">Contrôler le rangement de fourgons lors des visites QSE du mois d’août </t>
  </si>
  <si>
    <t>MUNOS
DUCOTTET</t>
  </si>
  <si>
    <t xml:space="preserve">Etiquettes à ajouter sur les casiers de rangement pour indiquer les outils à ranger. </t>
  </si>
  <si>
    <t>Passer sur la bascule pour vérifier le poids du fourgon.</t>
  </si>
  <si>
    <t>RAP29J</t>
  </si>
  <si>
    <t>Communiquer un flash AT pour interdire la pratique ayant causée l'AT</t>
  </si>
  <si>
    <t>Rediger un theme de 1/4 d'heure sur : L'importance d'un homme-trafic dans l'équipe et la gestuelle</t>
  </si>
  <si>
    <t>Rediger un theme de 1/4 d'heure sur : Comment mieux gérer l'eau potable pour la réalisation de travaux</t>
  </si>
  <si>
    <t>DEQUICK</t>
  </si>
  <si>
    <t>Envoyer un 1/4 d'heure sur l'utilisation du téléphone sur chantier</t>
  </si>
  <si>
    <t>Bilan SSE</t>
  </si>
  <si>
    <t>Inviter la référente intérimaires au prochain COPIL</t>
  </si>
  <si>
    <t xml:space="preserve">Mettre en place une alerte à communiquer au cdtx en cas de demande d’un intérimaire mal noté. </t>
  </si>
  <si>
    <t>Justine GAURAT</t>
  </si>
  <si>
    <t>Mettre les liens des REX réalisés sur la newsletter de la région</t>
  </si>
  <si>
    <t>Mettre en place plus d’actions prévention en novembre</t>
  </si>
  <si>
    <t>Rédiger les ¼ d’heure avec moins de texte et plus de photo, surtout dans les ¼ d’h environnement</t>
  </si>
  <si>
    <t>QS-E</t>
  </si>
  <si>
    <t xml:space="preserve">Prévoir une sensibilisation sur l’appel des secours </t>
  </si>
  <si>
    <t>Prévoir des tests de situation d’urgence sur les écrasements (manutention manuelle)</t>
  </si>
  <si>
    <t>Prévoir plus de tests de situation d’urgence environnement ciblées</t>
  </si>
  <si>
    <t>Chargé environnement</t>
  </si>
  <si>
    <t>Avoir un suivi et des relances pour les accueils intérimaires par Justine</t>
  </si>
  <si>
    <t>Cibler des campagnes d’objectifs de visites et actions QSE sur les mois avec une récurrence de baisse de visites</t>
  </si>
  <si>
    <t>Direction et QSE</t>
  </si>
  <si>
    <t>Faire un retour aux locatiers sur le besoin de VGP ? Sur la qualité des engins loués ?</t>
  </si>
  <si>
    <t>Achat</t>
  </si>
  <si>
    <t xml:space="preserve">Sensibilisation / formation levage ? </t>
  </si>
  <si>
    <t>Service RH</t>
  </si>
  <si>
    <t>Ajouter les affichages en cas d’AT dans la checklist démarrage chantier</t>
  </si>
  <si>
    <t>Exploitation</t>
  </si>
  <si>
    <t>Faire un suivi des trousses par personnes et par date</t>
  </si>
  <si>
    <t>A définir</t>
  </si>
  <si>
    <t>Vérifier les ¼ d’heure lors des visites de chantier</t>
  </si>
  <si>
    <t>Encadrants</t>
  </si>
  <si>
    <t>Acheter des grattoirs à bottes ?</t>
  </si>
  <si>
    <t>Chefs de chantier</t>
  </si>
  <si>
    <t>Utiliser le HUB QSE pour mettre à jour les affichages obligatoires</t>
  </si>
  <si>
    <t>Réaliser un ¼ d’h sur le levage et les états des élingues</t>
  </si>
  <si>
    <t>Réaliser un support avec la liste des EPI cat.3 et équipements d’interventions spécifiques dont nous disposons + les personnes formées sur des activités spécifiques</t>
  </si>
  <si>
    <t>Mise à disposition d’un tableau par Justine pour récupérer  l’historique des intérims et leurs notes</t>
  </si>
  <si>
    <t>Etudier la faisabilité d’emploi d’un logiciel tiers pour la gestion du matériel (keepcontrol ?)</t>
  </si>
  <si>
    <t>Faire des consultations pour trouver des FRS et ST différents pour les notes « très insatisfaisantes » ou &lt;2 en QSE</t>
  </si>
  <si>
    <t>Faire des sujets règlementaires des points de vigilance prioritaires lors des visites.</t>
  </si>
  <si>
    <t>Faire un plan de classement des dossiers sur le HUB</t>
  </si>
  <si>
    <t xml:space="preserve">Réaliser un 1/4 d'heure sur les risques routiers </t>
  </si>
  <si>
    <t>Réaliser un 1/4 d'heure sur les constats de livraison du matériel</t>
  </si>
  <si>
    <t>En cas de non-respect des consignes, réaliser un aléa fournisseur ou formaliser sous forme de courrier</t>
  </si>
  <si>
    <t>MOREL</t>
  </si>
  <si>
    <t xml:space="preserve">Transmettre la fiche de tâche : pose de bordures. </t>
  </si>
  <si>
    <t xml:space="preserve">Demande d'attacher les envois de formulaires KIZEO au conducteur de travaux affecté au code chantier (au lieu de rattacher les CC aux CDTX). </t>
  </si>
  <si>
    <t>CORNILLE</t>
  </si>
  <si>
    <t xml:space="preserve">A tester sur l'Ondaine pour Check list et PITCH. Début des travaux courant janvier. </t>
  </si>
  <si>
    <t>Simplifier les accueils chantier en créant une base de données pour vérifier les habilitations internes NGE. Retour terrain (J. CHAPON)</t>
  </si>
  <si>
    <t>MERIEN</t>
  </si>
  <si>
    <t xml:space="preserve">Réaliser un REX sur l'utilisation du disque de découpe d'enrobés en embout de pelle. </t>
  </si>
  <si>
    <t>Réaliser un quart d'heure sur le levage et l'élingage</t>
  </si>
  <si>
    <t>Rappel sur les consignes de gestion des riveraisn et d'alternat à la prise de poste suivante</t>
  </si>
  <si>
    <t>Participer à la reunion à venir organisée par le SPS pour appronfondir l'analyse avec le commerce riverain</t>
  </si>
  <si>
    <t>Réaliser un support sur les bonnes pratiques pour mise en œuvre d'un alternat</t>
  </si>
  <si>
    <t>RAM1JA</t>
  </si>
  <si>
    <t>Réaliser un support de sensibilisation sur le risque cardiovasculaire suite à un AT en lien</t>
  </si>
  <si>
    <t>RAP61F</t>
  </si>
  <si>
    <t>Sensibilisation de l’ensemble des chauffeurs PL sur l'AT</t>
  </si>
  <si>
    <t>Diffusion d’un flash AT (RMM, groupe ?)</t>
  </si>
  <si>
    <t>Intégrer l’interdiction de mettre le doigt dans consigne particulière grue</t>
  </si>
  <si>
    <t>Rechercher s’il existe d’autre système d’attache pour les bennes preneuses</t>
  </si>
  <si>
    <t>L. GARCIA</t>
  </si>
  <si>
    <t>Positionner un autocollant sur la benne, risque de coincement/pincement</t>
  </si>
  <si>
    <t>Budget 2026</t>
  </si>
  <si>
    <t>Manque de partage de remontées d'info</t>
  </si>
  <si>
    <t>Réaliser et communiquer un livret des remontées d’info</t>
  </si>
  <si>
    <t>BICHON</t>
  </si>
  <si>
    <t>Fait</t>
  </si>
  <si>
    <t>A Faire</t>
  </si>
  <si>
    <t>AT Tronçonneuse bois</t>
  </si>
  <si>
    <t>Encadrer l’utilisation de la tronçonneuse à chaîne bois</t>
  </si>
  <si>
    <t>Evaluation risque chimique incomplète</t>
  </si>
  <si>
    <t>Communiquer nos produits chimiques pour intégration dans SEIRICH</t>
  </si>
  <si>
    <t>Besoin d'échange entre QSE</t>
  </si>
  <si>
    <t>Organisation des réunions bimestrielle service QSE RA</t>
  </si>
  <si>
    <t>DUERP</t>
  </si>
  <si>
    <t>Mettre à jour le DUERP</t>
  </si>
  <si>
    <t>Système</t>
  </si>
  <si>
    <t>Metter à jour le PASE</t>
  </si>
  <si>
    <t>Programmer les test SU</t>
  </si>
  <si>
    <t>Dprev</t>
  </si>
  <si>
    <t>Lancement de la campagne ambition prévention, diffusion des questionnaires à l'ensemble du personnel</t>
  </si>
  <si>
    <t>Réaliser des reunions de lancement d'année avec l'encadrement. Afin de faire : un bilan des objectifs, un rappel des objectifs et obligations…</t>
  </si>
  <si>
    <t>Réaliser une sensibilisation auprès de tous les collaborateurs sur les risques liés aux addictions</t>
  </si>
  <si>
    <t>Réaliser la sensibilisation annuelle auprès de tous les collaborateurs sur le risque routier qui est majeur pour nos activités</t>
  </si>
  <si>
    <t>Distribution des paquetages HV à tous le personnel succeptible d'aller sur terrain afin de limiter le risque heurt engin piéton qui est majeur lors de nos activités</t>
  </si>
  <si>
    <t>Programmer les tests addictions</t>
  </si>
  <si>
    <t>Programmer les 1/4d'h vidéos</t>
  </si>
  <si>
    <t>Politique 2026</t>
  </si>
  <si>
    <t>Programmer la cmapagne de mesure silice</t>
  </si>
  <si>
    <t>Veille réglementaire</t>
  </si>
  <si>
    <t>Evolution des mesures à prendre en cas de fortes chaleurs (continuité 2025)</t>
  </si>
  <si>
    <t xml:space="preserve">Achat de glacière
Achat EPI rafraichisants
Ajout de climatisation dans les roulottes
</t>
  </si>
  <si>
    <t>Visite QSSE</t>
  </si>
  <si>
    <t>Stockage instables, palettes empilées</t>
  </si>
  <si>
    <t>Stabiliser les stockage du chantier</t>
  </si>
  <si>
    <t>HEYRAUD</t>
  </si>
  <si>
    <t>Elingues textiles abimées</t>
  </si>
  <si>
    <t xml:space="preserve">Remplacer les élingues </t>
  </si>
  <si>
    <t>Des salariés ne portent pas les lunettes de protection
Des salariés ne portent pas de gants lors des tâches manuelles (découpe)</t>
  </si>
  <si>
    <t>Proposer et faire essayer des modèles de lunettes de protection différents</t>
  </si>
  <si>
    <t>Faire un rappel en 1/4 d'heure sécurité sur les remarques de la visite</t>
  </si>
  <si>
    <t>Utilisateur non formé qui utilise la découpeuse thermique</t>
  </si>
  <si>
    <t>Interdire l'usage de la découpeuse aux personnes non formées et faire la demande pour les besoins au service QSE</t>
  </si>
  <si>
    <t>HPG - Eraflures multiples</t>
  </si>
  <si>
    <t>Pas d'analyse de risque réalisée pour cette opération</t>
  </si>
  <si>
    <t>Réalisation d'une analyse des risques simplifiées pour la réalisation des 5PM avec possibilité de faire signer les prestataires</t>
  </si>
  <si>
    <t>En test</t>
  </si>
  <si>
    <t>Pas de mode opératoire ou
consigne sur le déchargement</t>
  </si>
  <si>
    <t>Rédiger systématiquement un DHOL sur toutes nos opérations.</t>
  </si>
  <si>
    <t>Réalisation d’une analyse de risque
simplifiée pour réalisation des 5PM
avec possibilité de faire signer les
prestataires.</t>
  </si>
  <si>
    <t>Demander l’arrêté permanent pour
les travaux dit « Urgent ».</t>
  </si>
  <si>
    <t xml:space="preserve">DE MACEDO </t>
  </si>
  <si>
    <t xml:space="preserve">Fait </t>
  </si>
  <si>
    <t>Identifier un chef de manoeuvre sur
les opérations d’élingage (support
5PM ou système de reconnaissance)</t>
  </si>
  <si>
    <t xml:space="preserve">Se renseigner auprès de la juriste
pour la distinction entre prestation et
sous traitance et le présenter à l'ensemble de l'exploitation </t>
  </si>
  <si>
    <t>POUPEAU</t>
  </si>
  <si>
    <t>Instaurer un contrôle systématique
après chaque borne posée
(enfoncement + ancrage)</t>
  </si>
  <si>
    <t>HAMON</t>
  </si>
  <si>
    <t>Éviter le franchissement de fossés :
Rappeler les consignes de sécurité
liées aux déplacements à pied
(talus, fossés)</t>
  </si>
  <si>
    <t xml:space="preserve">Quart heure sécurité avec le service TOPO et échange sur les divers sujet </t>
  </si>
  <si>
    <t>Former Antoine GAGNE : SST
Identifier les personnes non formées
de la cellule topo.</t>
  </si>
  <si>
    <t>GAURAT</t>
  </si>
  <si>
    <t>Casse de réseaux de gaz</t>
  </si>
  <si>
    <t>Marquage-piquetage trop souvent non tenu en place</t>
  </si>
  <si>
    <t>Mise en place de potence pour l'implantation des bordures</t>
  </si>
  <si>
    <t xml:space="preserve">CHASSAGNOL </t>
  </si>
  <si>
    <t>31/04/2026</t>
  </si>
  <si>
    <t>Mise en oeuvre d’une aspiratrice pour le
dégagement des réseaux</t>
  </si>
  <si>
    <t>RIBEIRO</t>
  </si>
  <si>
    <t>Manque élément de secours</t>
  </si>
  <si>
    <t>Mettre en place un extincteur pour le local de la base vie.</t>
  </si>
  <si>
    <t>MONIN</t>
  </si>
  <si>
    <t>Affichage reglementaire non à jour</t>
  </si>
  <si>
    <t>Afficher et mettre à jour l’affichage réglementaire.</t>
  </si>
  <si>
    <t>Pas d'intimité dans le vestiaire</t>
  </si>
  <si>
    <t>Créer une zone d’intimité pour vestiaire (par un jeu de pare vue ?) + condamner et fermer urinaire donnant dans la pièce de réfectoire.</t>
  </si>
  <si>
    <t>Manque notions d’excellence opérationnelle dans le tableau des 5 1eres minutes.
Besoin d’évoquer les rendements, le REX des jours précédents et les objectifs du jour.</t>
  </si>
  <si>
    <t>Voir pour présenter le planning journalier aux équipes en fixant les objectifs à tenir, ainsi que les moyens.</t>
  </si>
  <si>
    <t>Manque de connaissances sur la maîtrise des secours</t>
  </si>
  <si>
    <t>Nécessité de connaître l’emplacement du défibrillateur le plus proche. Se renseigner et l’indiquer lors des 5 1eres minutes.</t>
  </si>
  <si>
    <t>Manque de communication des 1/4 d'heure</t>
  </si>
  <si>
    <t>Faire remonter des éléments du terrain lors des animations de 1/4 h QSSE</t>
  </si>
  <si>
    <t>Stationnement des engins non adapté</t>
  </si>
  <si>
    <t>Éviter le stationnement des engins et la mise en place des plots de clôture sur les cheminements d’accès dédiés aux riverains.</t>
  </si>
  <si>
    <t>Manque de rangement</t>
  </si>
  <si>
    <t>Malgré le fait que le quartier présente des risques en terme de vols, il serait bien d’amener sur site les containers des chefs pour y ranger à minima les fournitures (hors matériel électroportatif et thermique) : type sacs de
mortier, tampons fonte, …., afin de délester les fourgons.
NB : les containers du lot « espaces verts » ne semblent pas vandalisés.</t>
  </si>
  <si>
    <t>Rangement du fourgon à réaliser sans délai</t>
  </si>
  <si>
    <t>Evacuer ou ranger soigneusement les candélabres</t>
  </si>
  <si>
    <t>Évacuer les nombreux déchets de chantier et fournitures déposées (avec constat pour métrés).</t>
  </si>
  <si>
    <t xml:space="preserve">Forte production de déchets. </t>
  </si>
  <si>
    <t>La base vie se prête à l’utilisation de bouteilles d’eau de grands contenants (bonbonnes) avec gourdes métalliques individuelles.</t>
  </si>
  <si>
    <t>Perte de temps et redondance de tâches</t>
  </si>
  <si>
    <t>Trouver un produit à mettre en place en lieu et place des janolenes et Heras
pour que cela soit moins coûteux, plus rapide et aussi efficace.</t>
  </si>
  <si>
    <t xml:space="preserve">Manque de fluidité dans le passage des consignes </t>
  </si>
  <si>
    <t>Afficher dans base vie du chef de chantier des plannings et plans plus condensés pour fixer objectifs de rendement à court terme.</t>
  </si>
  <si>
    <t>Manque de rentabilité et déplacement / manutention inutile</t>
  </si>
  <si>
    <t>Démolition des grandes zones d’enrobés à la pelle mécanique (qui plus est : sous dimensionnée) + camions pour transport.
La solution (aussi bien en terme de sécurité que d’excellence opérationnelle) aurait été de raboter les matériaux et de les laisser sur place pour un réemploi.
Préparer en amont les interventions en prenant en compte l’impact des risques, les rendements et les déboursés des tâches à réaliser.</t>
  </si>
  <si>
    <t>Faire intervenir la RDST pour échanger sur les FNC / REX.</t>
  </si>
  <si>
    <t>Rappel des RV via flash info</t>
  </si>
  <si>
    <t>AT CONDE : Rappel des RV via flash info</t>
  </si>
  <si>
    <t>Rappel des gestes de communication via un ¼ d’h</t>
  </si>
  <si>
    <t>AT CONDE : Rappel des gestes de communication via un ¼ d’h</t>
  </si>
  <si>
    <t xml:space="preserve">Mettre en place des BIP de recule sur les mini engins. </t>
  </si>
  <si>
    <t xml:space="preserve">AT CONDE : Mettre en place des BIP de recule sur les mini engins. </t>
  </si>
  <si>
    <t xml:space="preserve">Essayer un autre scotch : toilé gris </t>
  </si>
  <si>
    <t xml:space="preserve">AT CONDE : Essayer un autre scotch : toilé gris </t>
  </si>
  <si>
    <t>DENEPOUX</t>
  </si>
  <si>
    <t>REVAMA St Pierre</t>
  </si>
  <si>
    <t>ICPE</t>
  </si>
  <si>
    <t>Suivi poussiere</t>
  </si>
  <si>
    <t>suivant 2 eme et 3eme suivi, actions à mettre en place</t>
  </si>
  <si>
    <t>VGP du cylindre qui semble perimée depuis qq jours</t>
  </si>
  <si>
    <t>Si VGP perimée ne pas utiliser le cylindre avant remplacement ou VGP
Si VGP a jour impromé le rapport et demander a kiloutou d’apposer une
etiquette</t>
  </si>
  <si>
    <t>Malgré le faut que la majorité du chantier se deroule dans le fossé et coté terrain il est important de signaler le
chantier coté route</t>
  </si>
  <si>
    <t>Placer du balisage (cocotte) coté route pour signaler la présence du chantier</t>
  </si>
  <si>
    <t>JACINTO</t>
  </si>
  <si>
    <t>Les EPI sont portés hormis les lunettes de protection</t>
  </si>
  <si>
    <t>Faire respecter le port des lunettes.</t>
  </si>
  <si>
    <t>Evan Charvin n’est paw accueilli sur ce chantier.</t>
  </si>
  <si>
    <t>Realiser l’accueil d’Evan Charvin</t>
  </si>
  <si>
    <t>Les risques et moyen de prevention ne sont pas detailés.</t>
  </si>
  <si>
    <t>Completer les risques et moyens de prevention</t>
  </si>
  <si>
    <t xml:space="preserve">Casse réseau de gaz </t>
  </si>
  <si>
    <t>Casse à deux reprises d'un branchement gaz</t>
  </si>
  <si>
    <t xml:space="preserve">Formation de l'ensemble des équipes VRD à la rue du marquage </t>
  </si>
  <si>
    <t>Rappeler par le biais de la fiche
information : Tenir la bordure avec
une distance de sécurité (largeur
d'une main) de la zone à frapper.</t>
  </si>
  <si>
    <t>Rappeler l’importance du réglage
du lit de pose lors des visites sécurité
encadrants.</t>
  </si>
  <si>
    <t>Intstaller des support à big bag sur les containers pour le tri des flux de déchets.</t>
  </si>
  <si>
    <t>Manque mesure de VLEP Silice</t>
  </si>
  <si>
    <t>Réaliser une campagne de mesurage sur l'activité Cana</t>
  </si>
  <si>
    <t xml:space="preserve">Vérifier la présence de  locaux dédiés à l'allaitement dans son établissement </t>
  </si>
  <si>
    <t>Carnet du PAP n'est pas à jour</t>
  </si>
  <si>
    <t>Mettre à jour le carnet</t>
  </si>
  <si>
    <t>Frigo et base vie sales</t>
  </si>
  <si>
    <t>Nettoyer le frigo et la base vie</t>
  </si>
  <si>
    <t>VALOT</t>
  </si>
  <si>
    <t>Affichages non a jour</t>
  </si>
  <si>
    <t>Mettre à jour les affichages</t>
  </si>
  <si>
    <t>CUSSET</t>
  </si>
  <si>
    <t>Manque de connaissance de l'équipe sur le lieu de stockage de la trousse de secours, extincteur et kit
antipollution.</t>
  </si>
  <si>
    <t>Donner les informations à l'équipe sur les lieux des moyens de secours.</t>
  </si>
  <si>
    <t>Baliser les départs électriques des clôtures.</t>
  </si>
  <si>
    <t>Marquage HTA incomplet</t>
  </si>
  <si>
    <t>Renforcer le marquage de la hta.</t>
  </si>
  <si>
    <t>VGP de la pelle affichée mais sans rapport.</t>
  </si>
  <si>
    <t>Recuprer le rapport de VGP.</t>
  </si>
  <si>
    <t>Pas d'AE et de PC</t>
  </si>
  <si>
    <t>Penser à réaliser pour tous les chantiers AE et PC de façon simple (format Excel) mais pratique.</t>
  </si>
  <si>
    <t>A faire</t>
  </si>
  <si>
    <t>Audit interne MASE EHTP</t>
  </si>
  <si>
    <t>Affichage obligatoire de l'accueil St-Priest plus à jour</t>
  </si>
  <si>
    <t>Mettre à jour l'affichage obligatoire</t>
  </si>
  <si>
    <t>Aucun test de situation d'urgence environnemental n'a été réalisé en 2025</t>
  </si>
  <si>
    <t>Prévoir et réaliser test SU Env. pour l'agence Cana Est</t>
  </si>
  <si>
    <t>Aucune visite env. sur l'agence Cana est en 2025</t>
  </si>
  <si>
    <t>Prévoir et réaliser des visites env. sur les chantiers de l'agence cana est</t>
  </si>
  <si>
    <t>Les indicateurs ne sont pas tous centralisés au même endroit</t>
  </si>
  <si>
    <t>Réaliser un fichier unique pour suivre trimestriellement les objectifs de la politique</t>
  </si>
  <si>
    <t>T. BOURRUST</t>
  </si>
  <si>
    <t>Nous n'avons pas accès à l'ensemble des controles reglementaires du site de St-Priest</t>
  </si>
  <si>
    <t>Obtenir les accès au tableau des controles réglementaires du site de St-Priest</t>
  </si>
  <si>
    <t>Les points SSE ne sont pas abordés avec les sous-traitants, que ce soit avant l’intervention (Questionnaire SSE) ou après (évaluation SSE).</t>
  </si>
  <si>
    <t>Envoyer courrier d'enquete SSE au sous traitants définis et définir les mesures compensatoires dans le PASE</t>
  </si>
  <si>
    <t>QSE/Achat</t>
  </si>
  <si>
    <t>Les besoins intérimairs ne sont pas toujours formalisés</t>
  </si>
  <si>
    <t>Systématiser l'utilisation de la fche demande intérim ou créer une trame mail équivalente</t>
  </si>
  <si>
    <t>La veille reglementaire n'est pas toujours incluse dans le plan d'action</t>
  </si>
  <si>
    <t>Ajouter des actions liées à la veille reglementaire (canicule, silice…)</t>
  </si>
  <si>
    <t>Faire intervenir le service matériel de
Pont du Château systématiquement
en cas de panne : Interdiction
formelle des dépannages par les
équipes chantier²</t>
  </si>
  <si>
    <t>Rédaction d'une note de service</t>
  </si>
  <si>
    <t xml:space="preserve">BAYARD </t>
  </si>
  <si>
    <t>1/4h spécifique « Batterie engins » et
d’une procédure claire à intégrer
dans nos PPSPS : Intervention
mécanique</t>
  </si>
  <si>
    <t>Rappeler l’importance du bon port
des EPI</t>
  </si>
  <si>
    <t xml:space="preserve">1/4h Equipement de protection individuel </t>
  </si>
  <si>
    <t>St-Priest</t>
  </si>
  <si>
    <t>Réalisation d'un exercice incendie</t>
  </si>
  <si>
    <t>Editer le compte rendu de l'exercice incendie</t>
  </si>
  <si>
    <t>Place de stationnement vélo non conforme (pas assez)</t>
  </si>
  <si>
    <t>Faire remonter, mais surtout expliquer pourquoi le besoin est limité</t>
  </si>
  <si>
    <t>NC prélèvement eau du puit</t>
  </si>
  <si>
    <t>Valider l'action avec exploitation</t>
  </si>
  <si>
    <t xml:space="preserve">Très peu de dossier chantier conforme : absence Plan de contrôle, PITCH, planning, check list </t>
  </si>
  <si>
    <t>Rappel sur les documents obligatoire à disposer sur les opérations.</t>
  </si>
  <si>
    <t>L’affichage obligatoire est a actualiser</t>
  </si>
  <si>
    <t>Actualiser l’affichage obligatoire (cse, cssct, sst)</t>
  </si>
  <si>
    <t>SAUTERON</t>
  </si>
  <si>
    <t>Des poubelles sont pleines dans le bureau</t>
  </si>
  <si>
    <t>Evacuer ou faire evacuer les poubelles du bureau</t>
  </si>
  <si>
    <t>Les 5PM sont realisées chaque jour par le chef de chantier. Les explications sont completes.
La notion de performance/productivité meriterai d’etre plus mise en avant.</t>
  </si>
  <si>
    <t>Completer la partie performance/rendement afin d’objectiver la journee et
de pouvoir suivre notre avancement</t>
  </si>
  <si>
    <t>CUILLERAT</t>
  </si>
  <si>
    <t>Les 1/4 d’h du mois doivent etre imprimés pour animation</t>
  </si>
  <si>
    <t>Imprimer et faire animer les 1/4 d’h</t>
  </si>
  <si>
    <t>Remonter les 1/4 d’h via kizeo ou photo au QSE</t>
  </si>
  <si>
    <t>LAFRINDI</t>
  </si>
  <si>
    <t>Un seul collaborateur ne portait pas de pantalon HV.</t>
  </si>
  <si>
    <t>Faire respecter le port du pantalon HV a S. DEMEILLERS</t>
  </si>
  <si>
    <t>WEHRLIN</t>
  </si>
  <si>
    <t>Une sortie PL est ammenagée pour eviter de depasser sur la RN. Il manque juste qq panneaux (travailleurs et
sortie PL)</t>
  </si>
  <si>
    <t>Disposer les panneaux necessaires en amont du chantier coté parking.</t>
  </si>
  <si>
    <t>Des regards/chambres sont cassés car des PL/engins roulent dessus. Des cones doivent etre collés dessus pour
rendre visible (cf reunion HSE du jour)</t>
  </si>
  <si>
    <t>Faire coller des cones sur les regards.</t>
  </si>
  <si>
    <t>S. DEMEILLERS a ses AC et AIPR. Il a passé le caces A l’annee derniere et n’a pas cette categorie sur son AC</t>
  </si>
  <si>
    <t>Realiser une AC a S. DEMEILLERS et lui imprimer ses Caces</t>
  </si>
  <si>
    <t>Une pince a regard n’a pas ete verifiée, il faut rester vigilant au materiel stocké au depot.</t>
  </si>
  <si>
    <t>Mettre de coté la pince a regard et la faire conteoler au plus vite.</t>
  </si>
  <si>
    <t>La tronçonneuse thermique ne peut etre utilisée car la bouille de J. CUILLERAT est HS</t>
  </si>
  <si>
    <t>Faire reparer ou changer la bouille de J. CUILLERAT</t>
  </si>
  <si>
    <t>Une pile de palette est présente au niveau du stock, elle est bien trop haute et presente un risque en cas
d’effondrement</t>
  </si>
  <si>
    <t>Faire reorganiser les palettes au stock</t>
  </si>
  <si>
    <t>Coupe branche present sur le chantier, similaire a une tronconneuse a bois.</t>
  </si>
  <si>
    <t>Se renseigner si l’utilisation de ce dispositif est autorisée</t>
  </si>
  <si>
    <t>Les 1/4 d’h sont imprimés il ne manque plus qu’a les animer avant la fin du mois, sans oublier la remontée
d’informations</t>
  </si>
  <si>
    <t>Animer les 1/4 d’h avant la fin du mois</t>
  </si>
  <si>
    <t>CHAPON</t>
  </si>
  <si>
    <t>Aucun extincteurs n’est present a la base vie</t>
  </si>
  <si>
    <t>Fournir extincteurs (vu avec GC)</t>
  </si>
  <si>
    <t>Le rapport de VGP est manquant dans la pelle 9491.</t>
  </si>
  <si>
    <t>Fournir rapport VGP de la pelle 9491</t>
  </si>
  <si>
    <t>GARCIA</t>
  </si>
  <si>
    <t>Plusieurs sangles ne sont plus bonnes dans le container</t>
  </si>
  <si>
    <t>Jeter les sangles abimées.</t>
  </si>
  <si>
    <t>Des dechets dangeureux doivent etre evacués. Voir pour caisse palette ou evacuation a l’agence.</t>
  </si>
  <si>
    <t>Voir pour retraitement dechets dangeureux/bidons souillés</t>
  </si>
  <si>
    <t>DUCROUX</t>
  </si>
  <si>
    <t>Le chef n’est pas accueilli.</t>
  </si>
  <si>
    <t>Accueillir le CC</t>
  </si>
  <si>
    <t>Les EPI sont tous portés sauf les lunettes.</t>
  </si>
  <si>
    <t>Faire respecter le port des lunettes</t>
  </si>
  <si>
    <t>COUTURIER</t>
  </si>
  <si>
    <t>Affichage en cas d’accident absent.</t>
  </si>
  <si>
    <t>Completer un affichage en cas d’accident. Ou mettre a minima l’adresse du chantier sur les 5PM</t>
  </si>
  <si>
    <t>Une trousse de secours est perimée dans le container.</t>
  </si>
  <si>
    <t>Fournir une nouvelle trousse de secours</t>
  </si>
  <si>
    <t>Le chantier n’est pas signalé devant l’emprise privée. A minima un travailleur et sortie de camions doivent etre
presents</t>
  </si>
  <si>
    <t>Mettre de la signalisation a l’entree du chantier</t>
  </si>
  <si>
    <t>Manque rapport VGP dans pelle 200H399.</t>
  </si>
  <si>
    <t>Transmettre VGP de la pelle 200H399</t>
  </si>
  <si>
    <t>Elingue abimées presentes dans le container</t>
  </si>
  <si>
    <t>Jeter et remplacer les elingues abimées</t>
  </si>
  <si>
    <t>Les chauffeurs ont bien leur CACES, le locatier n’a pas d’AC</t>
  </si>
  <si>
    <t>Demander autorisation de conduite du locatier</t>
  </si>
  <si>
    <t>Risque de chute de plain-pieds</t>
  </si>
  <si>
    <t>Réorganiser et mettre au propre la zone de stationnement et la zone de stockage</t>
  </si>
  <si>
    <t>Non respect du port des EPI</t>
  </si>
  <si>
    <t xml:space="preserve">Faire un rappel sur le port des chaussures de sécurité au salarié lors de son entretien de retour. </t>
  </si>
  <si>
    <t>MUNOS</t>
  </si>
  <si>
    <t xml:space="preserve">Constat de manque de rangement et d'organisation dans les fourgons et sur le chantier. </t>
  </si>
  <si>
    <t>AT DE MORANT  : Ranger le fourgon, s’imposer 30min tous les vendredis</t>
  </si>
  <si>
    <t>LHOMME</t>
  </si>
  <si>
    <t>Marche haute de 50cm dans le fourgon</t>
  </si>
  <si>
    <t>AT DE MORANT  : Rajouter une poignée pour s’aider à descendre</t>
  </si>
  <si>
    <t>BACCON</t>
  </si>
  <si>
    <t>AT DE MORANT  : Rajouter une marche pliable</t>
  </si>
  <si>
    <t>Pas assez de tests depistage réalisés en 2025</t>
  </si>
  <si>
    <t>Réaliser un premier test en 2026</t>
  </si>
  <si>
    <t>BOURUST</t>
  </si>
  <si>
    <t>La roulotte de A. AUGER n’a pas d’affichage et pas la nouvelle version des 5 PM.</t>
  </si>
  <si>
    <t>Fournir affichage et 5PM a A. AUGER</t>
  </si>
  <si>
    <t>La meuleuse d’angle est utilisée sans la poignée. Cette derniere est un element obligatoire de sécurité avec le
carter</t>
  </si>
  <si>
    <t>Utiliser la meuleuse avec la poignée obligatoirement</t>
  </si>
  <si>
    <t>AUGER</t>
  </si>
  <si>
    <t>Des manilles/apparaux de levage ont des scellés 2025 et ne doivent plus etre utilisés.</t>
  </si>
  <si>
    <t>Faire du tri au niveau des apparaux de levages et des sangles. Faire verifier
ou mettre de coté ce qui doit l’etre.</t>
  </si>
  <si>
    <t>COLMARD</t>
  </si>
  <si>
    <t>Un cutter est present dans une roulotte.</t>
  </si>
  <si>
    <t>Bannir l’usage est presence sur chantier de cutter sans lame retractable</t>
  </si>
  <si>
    <t>Analyses FNC</t>
  </si>
  <si>
    <t>Nombreuses FNC dues à l'implantation</t>
  </si>
  <si>
    <t xml:space="preserve">Organiser un point avec les géomètres pour définir les exigences de l'exploitation et noter leurs besoins. </t>
  </si>
  <si>
    <t>Nombreuses FNC liées au mode opératoire et absence de vérifications</t>
  </si>
  <si>
    <t>Récupérer les modes opératoires des autres régions en VRD</t>
  </si>
  <si>
    <t xml:space="preserve">Sujet soulevé lors de la réunion : problème de qualité des calages de bordures. </t>
  </si>
  <si>
    <t xml:space="preserve">Rédiger une procédure sur la pose de bordures et en particulier le calage. Présenter la procédure aux équipes. </t>
  </si>
  <si>
    <t>Nombreuses FNC concernant des tampons sur les bordures</t>
  </si>
  <si>
    <t xml:space="preserve">Rédiger une procédure sur la mise en place des tampons et en particulier lors de l'implantation des tampons, implanter les bordures. Présenter la procédure aux équipes. </t>
  </si>
  <si>
    <t>3 FNC dues à l'intervention des sous-traitants</t>
  </si>
  <si>
    <t xml:space="preserve">Imposer aux sous-traitants de nous transmettre leurs procédures et les vérifier avant démarrage. </t>
  </si>
  <si>
    <t xml:space="preserve">Accident de travail en manutentionnant une grille 70*70. </t>
  </si>
  <si>
    <t xml:space="preserve">AT COCHET : Faire tester un outil adapté pour manutentionner les grilles. En fournir une fois l'outil validé par l'équipe et communiquer sur la pratique. </t>
  </si>
  <si>
    <t>Place de stationnement : ombriere et PV</t>
  </si>
  <si>
    <t>modification texte loi, projet repoussé sine die</t>
  </si>
  <si>
    <t xml:space="preserve">Salarié non formé à l’utilisation de la meuleuse </t>
  </si>
  <si>
    <t>Former le salarié à la formation « outil de coupe »</t>
  </si>
  <si>
    <t>Salarié non formé à l’utilisation de la meuleuse</t>
  </si>
  <si>
    <t xml:space="preserve">Former tous les salariés concernés à la formation « outils de coupe » </t>
  </si>
  <si>
    <t>Manque de connaissance des risques liés à l’utilisation de la meuleuse</t>
  </si>
  <si>
    <t>Organiser une sensibilisation à l’utilisation de cette meuleuse avec Hilti</t>
  </si>
  <si>
    <t>Outil non adapté pour cette tâche</t>
  </si>
  <si>
    <t>Rechercher un outil adapté pour les découpes en arrondi</t>
  </si>
  <si>
    <t>Absence de mode opératoire</t>
  </si>
  <si>
    <t xml:space="preserve">Réaliser un mode opératoire pour cette tâche. </t>
  </si>
  <si>
    <t>Absence de formation à la manutention.</t>
  </si>
  <si>
    <t>Prévoir la formation PRAP pour Loris.</t>
  </si>
  <si>
    <t>Salarié non accueilli.</t>
  </si>
  <si>
    <t>Accueillir Loris sur le chantier et en tant qu’embauché.</t>
  </si>
  <si>
    <t>JEAN-VICTOR
DUCOTTET</t>
  </si>
  <si>
    <t xml:space="preserve">L’équipe a uniquement un petit lève plaque, non adapté pour les grilles et plus gros tampons. </t>
  </si>
  <si>
    <t xml:space="preserve">Fournir un outil d’aide à la manutention pour les grilles et tampon : en proposer plusieurs à l’équipe pour un choix. </t>
  </si>
  <si>
    <t>Bottes remplies de cailloux</t>
  </si>
  <si>
    <t>Réflexion à poursuivre sur l’interdiction du port de bottes sur chantier NGE ES.</t>
  </si>
  <si>
    <t>A. PICQUE</t>
  </si>
  <si>
    <t>Pantalon qui tombe</t>
  </si>
  <si>
    <t xml:space="preserve">Achat d’une cotte pour M. FERNANDEZ </t>
  </si>
  <si>
    <t>Intervention non planifiée</t>
  </si>
  <si>
    <t>Définir un seuil (80m ?) au-delà duquel le déroulage doit être réalisé par les équipes NGE ES</t>
  </si>
  <si>
    <t>LAUNAY
GASTON</t>
  </si>
  <si>
    <t>Absence de materiel adapté</t>
  </si>
  <si>
    <t>Rendre systématique l’utilisation de matériel de déroulage de câble adapté : Galets, chaussette, treuil</t>
  </si>
  <si>
    <t xml:space="preserve">AT M. FERNANDEZ </t>
  </si>
  <si>
    <t>Communiquer sur l’accident via flash</t>
  </si>
  <si>
    <t>Le salarié ne portait pas de gants lors de son AT</t>
  </si>
  <si>
    <t>Sanctionner le non-port des gants</t>
  </si>
  <si>
    <t>BONNET</t>
  </si>
  <si>
    <t>Publication d'un support sur les différents types de gants</t>
  </si>
  <si>
    <t>Le fourgon est inadapté pour la qté de materiel transporté</t>
  </si>
  <si>
    <t>Accélerer le renouvellement du fourgon du CC vers un fourgon plus grand</t>
  </si>
  <si>
    <t>Panneaux solaires du T6 non utilisés</t>
  </si>
  <si>
    <t>Définir la prochaine utilisation des panneaux solaires du T6.</t>
  </si>
  <si>
    <t>PEYRICAL</t>
  </si>
  <si>
    <t xml:space="preserve">Nombre de bilan de fin de chantier insuffisant. </t>
  </si>
  <si>
    <t>Faire les bilans de fin de chantier des chantiers des dernières années (T6, CNR, VL4 Dardilly, Jonage. 
Albigny, FRL)</t>
  </si>
  <si>
    <t>Fortes chaleurs dernières années, plusieurs demandes de clim sur les chantiers</t>
  </si>
  <si>
    <t>Commander des climatisations. Améliorer le système d'évacuation par rapport à Clermont</t>
  </si>
  <si>
    <t xml:space="preserve">Encore des bouteilles plastiques sur les chantiers. </t>
  </si>
  <si>
    <t xml:space="preserve">Essayer filtrabio. </t>
  </si>
  <si>
    <t xml:space="preserve">Annulé </t>
  </si>
  <si>
    <t xml:space="preserve">Difficulté à proposer un PAPA pour les AT entorse de cheville. </t>
  </si>
  <si>
    <t xml:space="preserve">Faire une trame PAPA pour trier les BL à la compta. </t>
  </si>
  <si>
    <t xml:space="preserve">Parking pour la journée sécurité très cher. </t>
  </si>
  <si>
    <t xml:space="preserve">Organiser la gestion des véhicules pour la journée QSE </t>
  </si>
  <si>
    <t xml:space="preserve">Certaines équipes ont encore des pulvérisateurs manuels. </t>
  </si>
  <si>
    <t xml:space="preserve">Règles floues concernant les intempéries. </t>
  </si>
  <si>
    <t>KRUCZEK</t>
  </si>
  <si>
    <t xml:space="preserve">Avoir une sacoche pour que chaque collaborateur puisse mettre leur mètre et le nécessaire pour travailler. </t>
  </si>
  <si>
    <t xml:space="preserve">Stockage des plots de barrières heras souvent précaire. </t>
  </si>
  <si>
    <t xml:space="preserve">Faire le point sur les besoins et acheter des racks pour essayer (consultation KROMM). </t>
  </si>
  <si>
    <t xml:space="preserve">Les bennes de déchets se font remplir par les riverains et sont soumises aux intempéries. </t>
  </si>
  <si>
    <t xml:space="preserve">Difficultés à gérer les recharges de batteries sur chantier. </t>
  </si>
  <si>
    <t xml:space="preserve">Avoir une batterie intégrée aux fourgons avec alternateur. Commande de 2nd batterie lors des achats de nouveaux fourgons. </t>
  </si>
  <si>
    <t xml:space="preserve">Les fourgons de location n'ont aucun rangement ce qui mène à des risques de chute. </t>
  </si>
  <si>
    <t>CHUPIN</t>
  </si>
  <si>
    <t xml:space="preserve">Jamais testé les outils légers vu dans le livret REX. </t>
  </si>
  <si>
    <t xml:space="preserve">Organiser un test d'outillage léger en achetant la même pelle que sur LHL. </t>
  </si>
  <si>
    <t>Tests Alcool et Stupéfiants</t>
  </si>
  <si>
    <t>ALCOOL</t>
  </si>
  <si>
    <t>STUPÉFIANTS</t>
  </si>
  <si>
    <t>NOM DU PRÉVENTEUR</t>
  </si>
  <si>
    <t>NOMBRE DE TESTS NEGATIFS</t>
  </si>
  <si>
    <t>NOMBRE DE TESTS POSITIFS</t>
  </si>
  <si>
    <t>POSITIF : ALCOOL / THC / COCAINE / OPIACÉS...</t>
  </si>
  <si>
    <t>COMMENTAIRE</t>
  </si>
  <si>
    <t>Détail NOMS et ACTIONS</t>
  </si>
  <si>
    <t>DUCOTTET Chloé</t>
  </si>
  <si>
    <t xml:space="preserve">1 Intérimaire est parti du chantier au moment des tests car il avait mal au ventre. </t>
  </si>
  <si>
    <t>Fin de contrat demandée à la boîte d'intérim car comportement suspect.</t>
  </si>
  <si>
    <t>MECA</t>
  </si>
  <si>
    <t>2CMEAR</t>
  </si>
  <si>
    <t>BICHON DAVID</t>
  </si>
  <si>
    <t xml:space="preserve">R. MAGRANER : Accompagnement par le service matériel GC. </t>
  </si>
  <si>
    <t>THC/AMPHETAMINES - COCAÏNE</t>
  </si>
  <si>
    <t>1 positif THC/Amphétamine
1 positif Cocaïne</t>
  </si>
  <si>
    <t>K. OUSSENI : positif THC validé à la contre-expertise, amphétamines non validé. 
E. RONQUETTE : positif cocaïne</t>
  </si>
  <si>
    <t>ALCOOL / THC</t>
  </si>
  <si>
    <t xml:space="preserve">1 Salarié positif alcoolémie : 0,34mg/L air expiré.
1 Salarié positif THC (confirmation du laboratoire). </t>
  </si>
  <si>
    <t>G. TURPIN : positif alcool. Licenciement. 
T. FUGIER : positif THC. Accompagnement avec médecin du travail pour addiction. Arrêt de travail (19/03 - 04/05).</t>
  </si>
  <si>
    <t>Non respect RV</t>
  </si>
  <si>
    <t>NOM PRENOM DU PERSONNEL</t>
  </si>
  <si>
    <t>STATUT DU PERSONNEL</t>
  </si>
  <si>
    <t>RV CONCERNÉE</t>
  </si>
  <si>
    <t>ACTION</t>
  </si>
  <si>
    <t>REALISEE (OUI / NON)</t>
  </si>
  <si>
    <t>Le…</t>
  </si>
  <si>
    <t>REMARQUE</t>
  </si>
  <si>
    <t>Y. CONDE MAMADOU</t>
  </si>
  <si>
    <t>Ceinture</t>
  </si>
  <si>
    <t xml:space="preserve">A réchauffer du scotch derrière une minipelle. Celle-ci a reculé et l'a blessé à la jambe. </t>
  </si>
  <si>
    <t xml:space="preserve">Sortie des effectifs de l'intérimaire. </t>
  </si>
  <si>
    <t>P. MUNOS</t>
  </si>
  <si>
    <t>Black listé des intérimaires</t>
  </si>
  <si>
    <t>18/02/206</t>
  </si>
  <si>
    <t>M. CHOUNI</t>
  </si>
  <si>
    <t>CDI</t>
  </si>
  <si>
    <t>Hauteur</t>
  </si>
  <si>
    <t>Utilisation de la nacelle devant le dépôt sans harnais de travail en hauteur</t>
  </si>
  <si>
    <t>V. LAUNAY</t>
  </si>
  <si>
    <t xml:space="preserve">E. WANDJI FALEU NZEMOU </t>
  </si>
  <si>
    <t>Non port de la ceinture de sécurité dans le sambron.
Absence d'autorisation de conduite et de CACES.
Acter un rappel des consignes.</t>
  </si>
  <si>
    <t>Entretien avec Eddy WANDJI
Courrier d'avertissement pour le chef d'équipe : Ludovic GUERIN.</t>
  </si>
  <si>
    <t>EN COURS</t>
  </si>
  <si>
    <t xml:space="preserve">Entretien avec le salarié
Courrier d'avertissement en cours de rédaction. </t>
  </si>
  <si>
    <t>Non respect EPI</t>
  </si>
  <si>
    <t>CDD (alt)</t>
  </si>
  <si>
    <t>Gants</t>
  </si>
  <si>
    <t>Courrier d'avertissement</t>
  </si>
  <si>
    <t>F. BONNET</t>
  </si>
  <si>
    <t>Arrêt de chantier</t>
  </si>
  <si>
    <t xml:space="preserve">GRAPHIQUE CHEF DE CHANTIER / CHEF D'EQUIPE </t>
  </si>
  <si>
    <t xml:space="preserve">Graphique Encadrants </t>
  </si>
  <si>
    <t>Le logiciel AROSE n'existe plus. Seul une extraction excel non dynamique existe</t>
  </si>
  <si>
    <t>Mise en place d'un tableur excel permettant une cotation aisée du DUERP. Avec un tron commun</t>
  </si>
  <si>
    <t>Lors de la mise en œuvre et réglage des couches de forme en GNT 0/80 des plateformes 5c, 5d, 5e et 5f avec un bull non asservie et un mobile GPS pour contrôle des nivellements, nous avons constaté lors des réceptions que celles-ci étaient en parties hors tolérances en alti-métries et planimétries.</t>
  </si>
  <si>
    <t>RAO41E</t>
  </si>
  <si>
    <t>Implantation des bords physique des plateformes réalisés.
Non réalisation d’une petite planche d’essai pour caler la hau-teur de mise en œuvre avant compactage et recoupe.
Non anticipation du chef de chantier pour réaliser une pré im-plantation au GPS sur les zones spécifiques des plateformes (voi-rie-bâtiment) et grandes largeurs.
Contrôle de l’encadrement après recoupe trop léger
Aucune vérification réalisé au cours de l’exécution par le service topographique</t>
  </si>
  <si>
    <t>Reprise des réglages de couche de forme avec pelle asservie GPS + contrôle et levé topographique chaque fin de journée.</t>
  </si>
  <si>
    <t>Contrôle et levé topographique chaque fin de journée.</t>
  </si>
  <si>
    <t>Le guide au sol du finisseur dépasse latéralement, se situant à proximité immédiate des roues de camions et des zones de circulation des opérateurs. Il présente un risque d'entrave, de chute ou de heurt pour les personnes au sol, notamment en cas d'inattention.</t>
  </si>
  <si>
    <t>2026-04-30_NGEROUTES_RAM07E_MAUPOU_Entrave guide finisseur</t>
  </si>
  <si>
    <t>Lors de la phase de décapage et terrassement de la piste d'accès au chantier, une petit regard préfabriqué 40x40 en béton se trouvait au milieu.
N'étant pas raccordé on l'arrache et il cachait une ancienne cuve à fioule enterrée remplie d'eau. Donc balisage et attente de la procédure à suivre.</t>
  </si>
  <si>
    <t>RAQ46E</t>
  </si>
  <si>
    <t>2026-05-13_RAQ46E_Découverte ancienne cuve à fioul</t>
  </si>
  <si>
    <t xml:space="preserve">Vidange de la cuve avec l'accord du SBA dans leur réseau d'assainissement directement raccordé à un séparateur d'hydrocarbure. 
Destruction de la cuve par un organisme agréé. </t>
  </si>
  <si>
    <t>Le soir en partant du chantier et en montant dans le camion, j'ai décalé les affaires (pc,glaciere) situées sur le siège conducteur sur le siège passager.
La télécommande de la benne se trouvant dessous ça a actionné le levage de la benne et elle s'est vidée sur
place (environ 2brouettes de gravillons)
Pas le temps de réagir sur le moment
Personne autour du camion, seulement moi
Le moteur du camion etait éteint, il n'y avait pas le contact. Il n'y a pas d'emplacement prédéfini pour la télécommande cest pourquoi je la mets sur le siège passager plutôt qu'elle traîne par terre derrière le siège conducteur au risque de l'endommager.</t>
  </si>
  <si>
    <t>2026-04-24_GUI_RAK52E_DUFOUR_Actionnement benne 3t5</t>
  </si>
  <si>
    <t xml:space="preserve">CHASSAGNOL / GRANGIER </t>
  </si>
  <si>
    <t>1 salarié positif alcoolémie &gt; 0,5mg/L air expiré.
1 salarié positif alcoolémie :  0,33mg/L air expiré.</t>
  </si>
  <si>
    <t>NERON L : Positif au-delà de la limite, Maintien au poste au niveau du pont bascule avec 
surveillance, réalisation d’un nouveau test en fin de 
journée. En attendent de décision
J.DIAS: Erreur d'interprétation au moment du contrôle, maintien au poste et défaut de procèdure suite à l'erreur.</t>
  </si>
  <si>
    <t>EZZEMRANI ABDERRAHMANE</t>
  </si>
  <si>
    <t>Lors d’une opération de nettoyage et de vérification des tampons de regards après des travaux d’enrobé, le tampon rond en fonte, dépourvu de charnière a roulé puis est retombé sur la cheville gauche du salarié.</t>
  </si>
  <si>
    <t>Hématome Cheville gauche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</si>
</sst>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6" formatCode="#,##0\ &quot;€&quot;;[Red]\-#,##0\ &quot;€&quot;"/>
    <numFmt numFmtId="7" formatCode="#,##0.00\ &quot;€&quot;;\-#,##0.00\ &quot;€&quot;"/>
    <numFmt numFmtId="44" formatCode="_-* #,##0.00\ &quot;€&quot;_-;\-* #,##0.00\ &quot;€&quot;_-;_-* &quot;-&quot;??\ &quot;€&quot;_-;_-@_-"/>
    <numFmt numFmtId="43" formatCode="_-* #,##0.00_-;\-* #,##0.00_-;_-* &quot;-&quot;??_-;_-@_-"/>
    <numFmt numFmtId="164" formatCode="0.0%"/>
    <numFmt numFmtId="165" formatCode="#,##0_ ;\-#,##0\ "/>
    <numFmt numFmtId="166" formatCode="[$-40C]d\-mmm;@"/>
    <numFmt numFmtId="167" formatCode="#,##0.00\ _€"/>
    <numFmt numFmtId="168" formatCode="#,##0.00\ &quot;€&quot;"/>
    <numFmt numFmtId="169" formatCode="_-* #,##0_-;\-* #,##0_-;_-* &quot;-&quot;??_-;_-@_-"/>
  </numFmts>
  <fonts count="48" x14ac:knownFonts="1">
    <font>
      <sz val="11"/>
      <color theme="1"/>
      <name val="Calibri"/>
      <family val="2"/>
      <scheme val="minor"/>
    </font>
    <font>
      <sz val="9"/>
      <color theme="0"/>
      <name val="Century Gothic"/>
      <family val="2"/>
    </font>
    <font>
      <b/>
      <sz val="12"/>
      <color theme="0"/>
      <name val="Century Gothic"/>
      <family val="2"/>
    </font>
    <font>
      <b/>
      <sz val="9"/>
      <color theme="0"/>
      <name val="Century Gothic"/>
      <family val="2"/>
    </font>
    <font>
      <sz val="11"/>
      <color theme="1"/>
      <name val="Calibri"/>
      <family val="2"/>
      <scheme val="minor"/>
    </font>
    <font>
      <b/>
      <sz val="11"/>
      <color theme="1"/>
      <name val="Calibri"/>
      <family val="2"/>
      <scheme val="minor"/>
    </font>
    <font>
      <sz val="11"/>
      <name val="Calibri"/>
      <family val="2"/>
      <scheme val="minor"/>
    </font>
    <font>
      <b/>
      <sz val="11"/>
      <color theme="1"/>
      <name val="Century Gothic"/>
      <family val="2"/>
    </font>
    <font>
      <b/>
      <sz val="11"/>
      <color rgb="FFFF0000"/>
      <name val="Century Gothic"/>
      <family val="2"/>
    </font>
    <font>
      <b/>
      <sz val="10"/>
      <color theme="1"/>
      <name val="Century Gothic"/>
      <family val="2"/>
    </font>
    <font>
      <b/>
      <sz val="16"/>
      <color theme="0"/>
      <name val="Century Gothic"/>
      <family val="2"/>
    </font>
    <font>
      <sz val="11"/>
      <color theme="0"/>
      <name val="Calibri"/>
      <family val="2"/>
      <scheme val="minor"/>
    </font>
    <font>
      <sz val="9"/>
      <color rgb="FF002C77"/>
      <name val="Century Gothic"/>
      <family val="2"/>
    </font>
    <font>
      <sz val="11"/>
      <color rgb="FF002C77"/>
      <name val="Calibri"/>
      <family val="2"/>
      <scheme val="minor"/>
    </font>
    <font>
      <b/>
      <sz val="11"/>
      <color theme="0"/>
      <name val="Century Gothic"/>
      <family val="2"/>
    </font>
    <font>
      <sz val="18"/>
      <color theme="3"/>
      <name val="Calibri Light"/>
      <family val="2"/>
      <scheme val="major"/>
    </font>
    <font>
      <b/>
      <sz val="15"/>
      <color theme="3"/>
      <name val="Calibri"/>
      <family val="2"/>
      <scheme val="minor"/>
    </font>
    <font>
      <b/>
      <sz val="22"/>
      <color theme="3"/>
      <name val="Century Gothic"/>
      <family val="2"/>
    </font>
    <font>
      <sz val="14"/>
      <name val="Century Gothic"/>
      <family val="2"/>
    </font>
    <font>
      <sz val="10"/>
      <name val="Century Gothic"/>
      <family val="2"/>
    </font>
    <font>
      <sz val="11"/>
      <color theme="1"/>
      <name val="Century Gothic"/>
      <family val="2"/>
    </font>
    <font>
      <sz val="12"/>
      <color theme="1"/>
      <name val="Century Gothic"/>
      <family val="2"/>
    </font>
    <font>
      <sz val="11"/>
      <name val="Century Gothic"/>
      <family val="2"/>
    </font>
    <font>
      <sz val="16"/>
      <name val="Century Gothic"/>
      <family val="2"/>
    </font>
    <font>
      <sz val="10"/>
      <color theme="0"/>
      <name val="Century Gothic"/>
      <family val="2"/>
    </font>
    <font>
      <b/>
      <sz val="12"/>
      <color rgb="FF3F3F3F"/>
      <name val="Century Gothic"/>
      <family val="2"/>
    </font>
    <font>
      <sz val="12"/>
      <name val="Century Gothic"/>
      <family val="2"/>
    </font>
    <font>
      <b/>
      <sz val="22"/>
      <color theme="0"/>
      <name val="Century Gothic"/>
      <family val="2"/>
    </font>
    <font>
      <b/>
      <sz val="11"/>
      <color rgb="FF002C77"/>
      <name val="Calibri"/>
      <family val="2"/>
      <scheme val="minor"/>
    </font>
    <font>
      <b/>
      <sz val="8"/>
      <color theme="0"/>
      <name val="Calibri"/>
      <family val="2"/>
      <scheme val="minor"/>
    </font>
    <font>
      <b/>
      <sz val="8"/>
      <name val="Calibri"/>
      <family val="2"/>
      <scheme val="minor"/>
    </font>
    <font>
      <b/>
      <sz val="11"/>
      <name val="Calibri"/>
      <family val="2"/>
      <scheme val="minor"/>
    </font>
    <font>
      <sz val="8"/>
      <color theme="1"/>
      <name val="Calibri"/>
      <family val="2"/>
      <scheme val="minor"/>
    </font>
    <font>
      <b/>
      <sz val="24"/>
      <color rgb="FF002C77"/>
      <name val="Century Gothic"/>
      <family val="2"/>
    </font>
    <font>
      <b/>
      <sz val="14"/>
      <color rgb="FFFFFF00"/>
      <name val="Calibri"/>
      <family val="2"/>
      <scheme val="minor"/>
    </font>
    <font>
      <sz val="8"/>
      <name val="Calibri"/>
      <family val="2"/>
      <scheme val="minor"/>
    </font>
    <font>
      <b/>
      <sz val="11"/>
      <color theme="0"/>
      <name val="Calibri"/>
      <family val="2"/>
      <scheme val="minor"/>
    </font>
    <font>
      <b/>
      <sz val="14"/>
      <color rgb="FF3F3F3F"/>
      <name val="Calibri"/>
      <family val="2"/>
      <scheme val="minor"/>
    </font>
    <font>
      <sz val="14"/>
      <color theme="3"/>
      <name val="Calibri Light"/>
      <family val="2"/>
      <scheme val="major"/>
    </font>
    <font>
      <u/>
      <sz val="11"/>
      <color theme="10"/>
      <name val="Calibri"/>
      <family val="2"/>
      <scheme val="minor"/>
    </font>
    <font>
      <b/>
      <sz val="14"/>
      <color theme="1"/>
      <name val="Calibri"/>
      <family val="2"/>
      <scheme val="minor"/>
    </font>
    <font>
      <sz val="10"/>
      <color rgb="FF002C77"/>
      <name val="Century Gothic"/>
      <family val="2"/>
    </font>
    <font>
      <sz val="10"/>
      <color theme="1"/>
      <name val="Century Gothic"/>
      <family val="2"/>
    </font>
    <font>
      <sz val="11"/>
      <color theme="0"/>
      <name val="Century Gothic"/>
      <family val="2"/>
    </font>
    <font>
      <sz val="24"/>
      <color rgb="FF002060"/>
      <name val="Century Gothic"/>
      <family val="2"/>
    </font>
    <font>
      <sz val="9"/>
      <color rgb="FF002060"/>
      <name val="Century Gothic"/>
      <family val="2"/>
    </font>
    <font>
      <b/>
      <sz val="9"/>
      <color theme="1"/>
      <name val="Century Gothic"/>
      <family val="2"/>
    </font>
    <font>
      <b/>
      <sz val="9"/>
      <color rgb="FF002C77"/>
      <name val="Century Gothic"/>
      <family val="2"/>
    </font>
  </fonts>
  <fills count="30">
    <fill>
      <patternFill patternType="none"/>
    </fill>
    <fill>
      <patternFill patternType="gray125"/>
    </fill>
    <fill>
      <patternFill patternType="solid">
        <fgColor rgb="FF002060"/>
        <bgColor indexed="64"/>
      </patternFill>
    </fill>
    <fill>
      <patternFill patternType="solid">
        <fgColor rgb="FFFFC000"/>
        <bgColor indexed="64"/>
      </patternFill>
    </fill>
    <fill>
      <patternFill patternType="solid">
        <fgColor rgb="FF002C77"/>
        <bgColor indexed="64"/>
      </patternFill>
    </fill>
    <fill>
      <patternFill patternType="solid">
        <fgColor rgb="FFFF9900"/>
        <bgColor indexed="64"/>
      </patternFill>
    </fill>
    <fill>
      <patternFill patternType="solid">
        <fgColor rgb="FFF94607"/>
        <bgColor indexed="64"/>
      </patternFill>
    </fill>
    <fill>
      <patternFill patternType="solid">
        <fgColor rgb="FFA20067"/>
        <bgColor indexed="64"/>
      </patternFill>
    </fill>
    <fill>
      <patternFill patternType="solid">
        <fgColor theme="0" tint="-0.14999847407452621"/>
        <bgColor indexed="64"/>
      </patternFill>
    </fill>
    <fill>
      <patternFill patternType="solid">
        <fgColor rgb="FFDEDEDE"/>
        <bgColor indexed="64"/>
      </patternFill>
    </fill>
    <fill>
      <patternFill patternType="solid">
        <fgColor theme="0"/>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indexed="65"/>
        <bgColor indexed="64"/>
      </patternFill>
    </fill>
    <fill>
      <patternFill patternType="solid">
        <fgColor theme="8" tint="0.39997558519241921"/>
        <bgColor indexed="64"/>
      </patternFill>
    </fill>
    <fill>
      <patternFill patternType="solid">
        <fgColor rgb="FFFF0078"/>
        <bgColor indexed="64"/>
      </patternFill>
    </fill>
    <fill>
      <patternFill patternType="solid">
        <fgColor theme="0" tint="-0.34998626667073579"/>
        <bgColor indexed="64"/>
      </patternFill>
    </fill>
    <fill>
      <patternFill patternType="solid">
        <fgColor rgb="FFFBC5E6"/>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rgb="FFE3E1FF"/>
        <bgColor indexed="64"/>
      </patternFill>
    </fill>
    <fill>
      <patternFill patternType="solid">
        <fgColor rgb="FFFDC2AD"/>
        <bgColor indexed="64"/>
      </patternFill>
    </fill>
    <fill>
      <patternFill patternType="solid">
        <fgColor rgb="FFFFEBCD"/>
        <bgColor indexed="64"/>
      </patternFill>
    </fill>
    <fill>
      <patternFill patternType="solid">
        <fgColor rgb="FFFFD9EB"/>
        <bgColor indexed="64"/>
      </patternFill>
    </fill>
    <fill>
      <patternFill patternType="solid">
        <fgColor rgb="FF92D050"/>
        <bgColor indexed="64"/>
      </patternFill>
    </fill>
    <fill>
      <patternFill patternType="solid">
        <fgColor rgb="FF01DDB3"/>
        <bgColor indexed="64"/>
      </patternFill>
    </fill>
    <fill>
      <patternFill patternType="solid">
        <fgColor rgb="FFC00000"/>
        <bgColor indexed="64"/>
      </patternFill>
    </fill>
    <fill>
      <patternFill patternType="solid">
        <fgColor rgb="FF666633"/>
        <bgColor indexed="64"/>
      </patternFill>
    </fill>
    <fill>
      <patternFill patternType="solid">
        <fgColor rgb="FFFFFF00"/>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left>
      <right/>
      <top/>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thin">
        <color theme="0" tint="-0.34998626667073579"/>
      </right>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style="medium">
        <color theme="0" tint="-0.249977111117893"/>
      </left>
      <right style="medium">
        <color theme="0" tint="-0.249977111117893"/>
      </right>
      <top style="thin">
        <color theme="0" tint="-0.34998626667073579"/>
      </top>
      <bottom style="thin">
        <color theme="0" tint="-0.34998626667073579"/>
      </bottom>
      <diagonal/>
    </border>
    <border>
      <left style="medium">
        <color theme="0" tint="-0.249977111117893"/>
      </left>
      <right style="medium">
        <color theme="0" tint="-0.249977111117893"/>
      </right>
      <top style="thin">
        <color theme="0" tint="-0.34998626667073579"/>
      </top>
      <bottom style="medium">
        <color theme="0" tint="-0.249977111117893"/>
      </bottom>
      <diagonal/>
    </border>
    <border>
      <left style="medium">
        <color theme="0" tint="-0.34998626667073579"/>
      </left>
      <right/>
      <top style="medium">
        <color theme="0" tint="-0.34998626667073579"/>
      </top>
      <bottom/>
      <diagonal/>
    </border>
    <border>
      <left style="medium">
        <color theme="0" tint="-0.34998626667073579"/>
      </left>
      <right style="medium">
        <color theme="0" tint="-0.34998626667073579"/>
      </right>
      <top/>
      <bottom style="thin">
        <color theme="0" tint="-0.34998626667073579"/>
      </bottom>
      <diagonal/>
    </border>
    <border>
      <left style="medium">
        <color theme="0" tint="-0.249977111117893"/>
      </left>
      <right style="medium">
        <color theme="0" tint="-0.249977111117893"/>
      </right>
      <top/>
      <bottom style="thin">
        <color theme="0" tint="-0.34998626667073579"/>
      </bottom>
      <diagonal/>
    </border>
    <border>
      <left style="medium">
        <color theme="0" tint="-0.249977111117893"/>
      </left>
      <right/>
      <top/>
      <bottom style="thin">
        <color theme="0" tint="-0.34998626667073579"/>
      </bottom>
      <diagonal/>
    </border>
    <border>
      <left style="thin">
        <color theme="0" tint="-0.249977111117893"/>
      </left>
      <right style="thin">
        <color theme="0" tint="-0.249977111117893"/>
      </right>
      <top style="thin">
        <color theme="0" tint="-0.249977111117893"/>
      </top>
      <bottom/>
      <diagonal/>
    </border>
    <border>
      <left/>
      <right/>
      <top/>
      <bottom style="thick">
        <color theme="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top style="thin">
        <color theme="0" tint="-0.34998626667073579"/>
      </top>
      <bottom style="medium">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thin">
        <color theme="0" tint="-0.34998626667073579"/>
      </left>
      <right/>
      <top style="medium">
        <color theme="0" tint="-0.34998626667073579"/>
      </top>
      <bottom style="medium">
        <color theme="0" tint="-0.34998626667073579"/>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style="medium">
        <color theme="0" tint="-0.34998626667073579"/>
      </left>
      <right style="medium">
        <color theme="0" tint="-0.34998626667073579"/>
      </right>
      <top/>
      <bottom/>
      <diagonal/>
    </border>
    <border>
      <left style="medium">
        <color theme="0"/>
      </left>
      <right style="thin">
        <color theme="0"/>
      </right>
      <top/>
      <bottom/>
      <diagonal/>
    </border>
    <border>
      <left style="thin">
        <color theme="0"/>
      </left>
      <right/>
      <top/>
      <bottom/>
      <diagonal/>
    </border>
    <border>
      <left/>
      <right/>
      <top style="medium">
        <color theme="0" tint="-0.34998626667073579"/>
      </top>
      <bottom style="medium">
        <color theme="0" tint="-0.34998626667073579"/>
      </bottom>
      <diagonal/>
    </border>
    <border>
      <left/>
      <right/>
      <top/>
      <bottom style="medium">
        <color theme="0" tint="-0.34998626667073579"/>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thin">
        <color theme="0" tint="-0.34998626667073579"/>
      </right>
      <top style="medium">
        <color theme="0" tint="-0.34998626667073579"/>
      </top>
      <bottom style="medium">
        <color theme="0" tint="-0.34998626667073579"/>
      </bottom>
      <diagonal/>
    </border>
    <border>
      <left/>
      <right style="medium">
        <color theme="0" tint="-0.249977111117893"/>
      </right>
      <top/>
      <bottom style="thin">
        <color theme="0" tint="-0.34998626667073579"/>
      </bottom>
      <diagonal/>
    </border>
    <border>
      <left/>
      <right style="medium">
        <color theme="0" tint="-0.249977111117893"/>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style="medium">
        <color indexed="64"/>
      </left>
      <right/>
      <top/>
      <bottom style="medium">
        <color theme="0" tint="-0.34998626667073579"/>
      </bottom>
      <diagonal/>
    </border>
    <border>
      <left style="thin">
        <color rgb="FF003399"/>
      </left>
      <right/>
      <top/>
      <bottom/>
      <diagonal/>
    </border>
    <border>
      <left/>
      <right style="thin">
        <color theme="0" tint="-0.34998626667073579"/>
      </right>
      <top/>
      <bottom style="medium">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style="medium">
        <color theme="0" tint="-0.34998626667073579"/>
      </right>
      <top/>
      <bottom style="medium">
        <color theme="0" tint="-0.34998626667073579"/>
      </bottom>
      <diagonal/>
    </border>
    <border>
      <left style="medium">
        <color theme="0" tint="-0.249977111117893"/>
      </left>
      <right style="medium">
        <color theme="0" tint="-0.34998626667073579"/>
      </right>
      <top style="medium">
        <color theme="0" tint="-0.34998626667073579"/>
      </top>
      <bottom style="thin">
        <color theme="0" tint="-0.249977111117893"/>
      </bottom>
      <diagonal/>
    </border>
    <border>
      <left style="medium">
        <color theme="0" tint="-0.34998626667073579"/>
      </left>
      <right/>
      <top/>
      <bottom style="thin">
        <color theme="0" tint="-0.34998626667073579"/>
      </bottom>
      <diagonal/>
    </border>
    <border>
      <left style="medium">
        <color theme="0" tint="-0.249977111117893"/>
      </left>
      <right style="medium">
        <color theme="0" tint="-0.34998626667073579"/>
      </right>
      <top style="thin">
        <color theme="0" tint="-0.249977111117893"/>
      </top>
      <bottom style="thin">
        <color theme="0" tint="-0.249977111117893"/>
      </bottom>
      <diagonal/>
    </border>
    <border>
      <left style="medium">
        <color theme="0" tint="-0.249977111117893"/>
      </left>
      <right style="medium">
        <color theme="0" tint="-0.34998626667073579"/>
      </right>
      <top style="thin">
        <color theme="0" tint="-0.249977111117893"/>
      </top>
      <bottom style="medium">
        <color theme="0" tint="-0.34998626667073579"/>
      </bottom>
      <diagonal/>
    </border>
    <border>
      <left style="medium">
        <color theme="0" tint="-0.34998626667073579"/>
      </left>
      <right style="medium">
        <color theme="0" tint="-0.249977111117893"/>
      </right>
      <top style="medium">
        <color theme="0" tint="-0.34998626667073579"/>
      </top>
      <bottom style="thin">
        <color theme="0" tint="-0.34998626667073579"/>
      </bottom>
      <diagonal/>
    </border>
    <border>
      <left style="medium">
        <color theme="0" tint="-0.249977111117893"/>
      </left>
      <right style="medium">
        <color theme="0" tint="-0.249977111117893"/>
      </right>
      <top style="medium">
        <color theme="0" tint="-0.34998626667073579"/>
      </top>
      <bottom style="thin">
        <color theme="0" tint="-0.34998626667073579"/>
      </bottom>
      <diagonal/>
    </border>
    <border>
      <left style="medium">
        <color theme="0" tint="-0.249977111117893"/>
      </left>
      <right style="medium">
        <color theme="0" tint="-0.34998626667073579"/>
      </right>
      <top style="medium">
        <color theme="0" tint="-0.34998626667073579"/>
      </top>
      <bottom style="thin">
        <color theme="0" tint="-0.34998626667073579"/>
      </bottom>
      <diagonal/>
    </border>
    <border>
      <left style="medium">
        <color theme="0" tint="-0.34998626667073579"/>
      </left>
      <right style="medium">
        <color theme="0" tint="-0.249977111117893"/>
      </right>
      <top style="thin">
        <color theme="0" tint="-0.34998626667073579"/>
      </top>
      <bottom style="thin">
        <color theme="0" tint="-0.34998626667073579"/>
      </bottom>
      <diagonal/>
    </border>
    <border>
      <left style="medium">
        <color theme="0" tint="-0.249977111117893"/>
      </left>
      <right style="medium">
        <color theme="0" tint="-0.34998626667073579"/>
      </right>
      <top/>
      <bottom style="thin">
        <color theme="0" tint="-0.34998626667073579"/>
      </bottom>
      <diagonal/>
    </border>
    <border>
      <left style="medium">
        <color theme="0" tint="-0.34998626667073579"/>
      </left>
      <right style="medium">
        <color theme="0" tint="-0.249977111117893"/>
      </right>
      <top style="thin">
        <color theme="0" tint="-0.34998626667073579"/>
      </top>
      <bottom style="medium">
        <color theme="0" tint="-0.34998626667073579"/>
      </bottom>
      <diagonal/>
    </border>
    <border>
      <left style="medium">
        <color theme="0" tint="-0.249977111117893"/>
      </left>
      <right style="medium">
        <color theme="0" tint="-0.249977111117893"/>
      </right>
      <top style="thin">
        <color theme="0" tint="-0.34998626667073579"/>
      </top>
      <bottom style="medium">
        <color theme="0" tint="-0.34998626667073579"/>
      </bottom>
      <diagonal/>
    </border>
    <border>
      <left style="medium">
        <color theme="0" tint="-0.249977111117893"/>
      </left>
      <right style="medium">
        <color theme="0" tint="-0.34998626667073579"/>
      </right>
      <top/>
      <bottom style="medium">
        <color theme="0" tint="-0.34998626667073579"/>
      </bottom>
      <diagonal/>
    </border>
    <border>
      <left style="medium">
        <color theme="0"/>
      </left>
      <right style="thin">
        <color theme="0"/>
      </right>
      <top style="medium">
        <color theme="0" tint="-0.34998626667073579"/>
      </top>
      <bottom/>
      <diagonal/>
    </border>
    <border>
      <left style="thin">
        <color theme="0"/>
      </left>
      <right/>
      <top style="medium">
        <color theme="0" tint="-0.34998626667073579"/>
      </top>
      <bottom/>
      <diagonal/>
    </border>
    <border>
      <left style="thin">
        <color theme="0"/>
      </left>
      <right style="medium">
        <color theme="0" tint="-0.34998626667073579"/>
      </right>
      <top style="medium">
        <color theme="0" tint="-0.34998626667073579"/>
      </top>
      <bottom/>
      <diagonal/>
    </border>
    <border>
      <left/>
      <right style="thin">
        <color theme="0" tint="-0.34998626667073579"/>
      </right>
      <top style="thin">
        <color theme="0" tint="-0.34998626667073579"/>
      </top>
      <bottom style="medium">
        <color theme="0" tint="-0.34998626667073579"/>
      </bottom>
      <diagonal/>
    </border>
    <border>
      <left style="thin">
        <color theme="6"/>
      </left>
      <right/>
      <top style="thin">
        <color indexed="64"/>
      </top>
      <bottom/>
      <diagonal/>
    </border>
    <border>
      <left style="thin">
        <color theme="0" tint="-0.34998626667073579"/>
      </left>
      <right/>
      <top style="thin">
        <color indexed="64"/>
      </top>
      <bottom/>
      <diagonal/>
    </border>
    <border>
      <left/>
      <right style="thin">
        <color theme="0"/>
      </right>
      <top/>
      <bottom/>
      <diagonal/>
    </border>
    <border>
      <left/>
      <right/>
      <top style="medium">
        <color theme="0" tint="-0.34998626667073579"/>
      </top>
      <bottom style="thin">
        <color theme="0" tint="-0.34998626667073579"/>
      </bottom>
      <diagonal/>
    </border>
    <border>
      <left style="medium">
        <color theme="0" tint="-0.249977111117893"/>
      </left>
      <right style="medium">
        <color theme="0" tint="-0.34998626667073579"/>
      </right>
      <top/>
      <bottom style="thin">
        <color theme="0" tint="-0.249977111117893"/>
      </bottom>
      <diagonal/>
    </border>
    <border>
      <left style="medium">
        <color theme="0" tint="-0.249977111117893"/>
      </left>
      <right/>
      <top/>
      <bottom style="medium">
        <color theme="0" tint="-0.34998626667073579"/>
      </bottom>
      <diagonal/>
    </border>
    <border>
      <left/>
      <right style="medium">
        <color theme="0" tint="-0.249977111117893"/>
      </right>
      <top style="thin">
        <color theme="0" tint="-0.34998626667073579"/>
      </top>
      <bottom style="medium">
        <color theme="0" tint="-0.34998626667073579"/>
      </bottom>
      <diagonal/>
    </border>
    <border>
      <left/>
      <right style="thick">
        <color rgb="FFFF0078"/>
      </right>
      <top style="medium">
        <color theme="0" tint="-0.34998626667073579"/>
      </top>
      <bottom style="medium">
        <color theme="0" tint="-0.34998626667073579"/>
      </bottom>
      <diagonal/>
    </border>
    <border>
      <left style="thin">
        <color theme="0" tint="-0.34998626667073579"/>
      </left>
      <right style="thick">
        <color rgb="FFFF0078"/>
      </right>
      <top style="medium">
        <color theme="0" tint="-0.34998626667073579"/>
      </top>
      <bottom style="medium">
        <color theme="0" tint="-0.34998626667073579"/>
      </bottom>
      <diagonal/>
    </border>
    <border>
      <left style="medium">
        <color theme="0" tint="-0.249977111117893"/>
      </left>
      <right style="thick">
        <color rgb="FFFF0078"/>
      </right>
      <top/>
      <bottom style="thin">
        <color theme="0" tint="-0.249977111117893"/>
      </bottom>
      <diagonal/>
    </border>
    <border>
      <left style="medium">
        <color theme="0" tint="-0.249977111117893"/>
      </left>
      <right style="thick">
        <color rgb="FFFF0078"/>
      </right>
      <top style="thin">
        <color theme="0" tint="-0.249977111117893"/>
      </top>
      <bottom style="thin">
        <color theme="0" tint="-0.249977111117893"/>
      </bottom>
      <diagonal/>
    </border>
    <border>
      <left style="medium">
        <color theme="0" tint="-0.249977111117893"/>
      </left>
      <right style="thick">
        <color rgb="FFFF0078"/>
      </right>
      <top style="thin">
        <color theme="0" tint="-0.249977111117893"/>
      </top>
      <bottom style="medium">
        <color theme="0" tint="-0.34998626667073579"/>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34998626667073579"/>
      </left>
      <right/>
      <top style="medium">
        <color theme="0" tint="-0.34998626667073579"/>
      </top>
      <bottom style="medium">
        <color theme="0" tint="-0.499984740745262"/>
      </bottom>
      <diagonal/>
    </border>
    <border>
      <left/>
      <right/>
      <top style="medium">
        <color theme="0" tint="-0.34998626667073579"/>
      </top>
      <bottom style="medium">
        <color theme="0" tint="-0.499984740745262"/>
      </bottom>
      <diagonal/>
    </border>
    <border>
      <left style="thin">
        <color theme="0" tint="-0.34998626667073579"/>
      </left>
      <right style="thin">
        <color theme="0" tint="-0.34998626667073579"/>
      </right>
      <top/>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theme="0" tint="-0.34998626667073579"/>
      </right>
      <top/>
      <bottom style="medium">
        <color rgb="FFBFBFBF"/>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20">
    <xf numFmtId="0" fontId="0" fillId="0" borderId="0"/>
    <xf numFmtId="9" fontId="4" fillId="0" borderId="0" applyFont="0" applyFill="0" applyBorder="0" applyAlignment="0" applyProtection="0"/>
    <xf numFmtId="0" fontId="6" fillId="0" borderId="0"/>
    <xf numFmtId="43" fontId="4" fillId="0" borderId="0" applyFont="0" applyFill="0" applyBorder="0" applyAlignment="0" applyProtection="0"/>
    <xf numFmtId="44" fontId="4" fillId="0" borderId="0" applyFont="0" applyFill="0" applyBorder="0" applyAlignment="0" applyProtection="0"/>
    <xf numFmtId="0" fontId="15" fillId="0" borderId="0" applyNumberFormat="0" applyFill="0" applyBorder="0" applyAlignment="0" applyProtection="0"/>
    <xf numFmtId="0" fontId="16" fillId="0" borderId="39" applyNumberFormat="0" applyFill="0" applyAlignment="0" applyProtection="0"/>
    <xf numFmtId="165" fontId="6" fillId="0" borderId="0" applyFont="0" applyFill="0" applyBorder="0" applyAlignment="0" applyProtection="0"/>
    <xf numFmtId="7" fontId="6" fillId="0" borderId="0" applyFont="0" applyFill="0" applyBorder="0" applyAlignment="0" applyProtection="0"/>
    <xf numFmtId="0" fontId="38" fillId="12" borderId="0" applyNumberFormat="0" applyBorder="0" applyProtection="0">
      <alignment horizontal="left" vertical="center" wrapText="1" indent="1"/>
    </xf>
    <xf numFmtId="0" fontId="36" fillId="20" borderId="0" applyNumberFormat="0" applyProtection="0">
      <alignment horizontal="left" vertical="center" wrapText="1" indent="1"/>
    </xf>
    <xf numFmtId="0" fontId="38" fillId="12" borderId="0" applyNumberFormat="0" applyBorder="0" applyProtection="0">
      <alignment horizontal="left" vertical="center" wrapText="1" indent="1"/>
    </xf>
    <xf numFmtId="0" fontId="36" fillId="20" borderId="0" applyNumberFormat="0" applyProtection="0">
      <alignment horizontal="left" vertical="center" wrapText="1" indent="1"/>
    </xf>
    <xf numFmtId="7" fontId="6" fillId="0" borderId="0" applyFont="0" applyFill="0" applyBorder="0" applyAlignment="0" applyProtection="0"/>
    <xf numFmtId="9" fontId="6" fillId="0" borderId="0" applyFont="0" applyFill="0" applyBorder="0" applyAlignment="0" applyProtection="0"/>
    <xf numFmtId="0" fontId="39" fillId="0" borderId="0" applyNumberFormat="0" applyFill="0" applyBorder="0" applyAlignment="0" applyProtection="0"/>
    <xf numFmtId="43" fontId="4" fillId="0" borderId="0" applyFont="0" applyFill="0" applyBorder="0" applyAlignment="0" applyProtection="0"/>
    <xf numFmtId="7" fontId="6" fillId="0" borderId="0" applyFont="0" applyFill="0" applyBorder="0" applyAlignment="0" applyProtection="0"/>
    <xf numFmtId="7" fontId="6" fillId="0" borderId="0" applyFont="0" applyFill="0" applyBorder="0" applyAlignment="0" applyProtection="0"/>
    <xf numFmtId="44" fontId="4" fillId="0" borderId="0" applyFont="0" applyFill="0" applyBorder="0" applyAlignment="0" applyProtection="0"/>
  </cellStyleXfs>
  <cellXfs count="546">
    <xf numFmtId="0" fontId="0" fillId="0" borderId="0" xfId="0"/>
    <xf numFmtId="0" fontId="2" fillId="3" borderId="5" xfId="0" applyFont="1" applyFill="1" applyBorder="1" applyAlignment="1">
      <alignment horizontal="center" vertical="center"/>
    </xf>
    <xf numFmtId="0" fontId="0" fillId="0" borderId="0" xfId="0" applyAlignment="1">
      <alignment horizontal="center" vertical="center"/>
    </xf>
    <xf numFmtId="10" fontId="0" fillId="0" borderId="0" xfId="0" applyNumberFormat="1"/>
    <xf numFmtId="0" fontId="3" fillId="2" borderId="10" xfId="0" applyFont="1" applyFill="1" applyBorder="1" applyAlignment="1">
      <alignment horizontal="center" vertical="center" wrapText="1"/>
    </xf>
    <xf numFmtId="0" fontId="13" fillId="0" borderId="0" xfId="0" applyFont="1"/>
    <xf numFmtId="0" fontId="13" fillId="8" borderId="0" xfId="0" applyFont="1" applyFill="1"/>
    <xf numFmtId="0" fontId="12" fillId="0" borderId="2" xfId="0" applyFont="1" applyBorder="1" applyAlignment="1">
      <alignment horizontal="left" vertical="center"/>
    </xf>
    <xf numFmtId="0" fontId="12" fillId="0" borderId="19" xfId="0" applyFont="1" applyBorder="1" applyAlignment="1">
      <alignment horizontal="center" vertical="center"/>
    </xf>
    <xf numFmtId="0" fontId="12" fillId="0" borderId="3" xfId="0" applyFont="1" applyBorder="1" applyAlignment="1">
      <alignment horizontal="left" vertical="center"/>
    </xf>
    <xf numFmtId="9" fontId="13" fillId="0" borderId="0" xfId="1" applyFont="1"/>
    <xf numFmtId="0" fontId="12" fillId="0" borderId="0" xfId="0" applyFont="1" applyAlignment="1">
      <alignment horizontal="center" vertical="center"/>
    </xf>
    <xf numFmtId="0" fontId="11" fillId="0" borderId="0" xfId="0" applyFont="1"/>
    <xf numFmtId="0" fontId="13" fillId="9" borderId="0" xfId="0" applyFont="1" applyFill="1"/>
    <xf numFmtId="0" fontId="12" fillId="9" borderId="3" xfId="0" applyFont="1" applyFill="1" applyBorder="1" applyAlignment="1">
      <alignment horizontal="left" vertical="center"/>
    </xf>
    <xf numFmtId="0" fontId="12" fillId="9" borderId="2" xfId="0" applyFont="1" applyFill="1" applyBorder="1" applyAlignment="1">
      <alignment horizontal="left" vertical="center"/>
    </xf>
    <xf numFmtId="0" fontId="12" fillId="9" borderId="6" xfId="0" applyFont="1" applyFill="1" applyBorder="1" applyAlignment="1">
      <alignment horizontal="left" vertical="center"/>
    </xf>
    <xf numFmtId="0" fontId="12" fillId="9" borderId="4" xfId="0" applyFont="1" applyFill="1" applyBorder="1" applyAlignment="1">
      <alignment horizontal="left" vertical="center"/>
    </xf>
    <xf numFmtId="0" fontId="1" fillId="4" borderId="12" xfId="0" applyFont="1" applyFill="1" applyBorder="1" applyAlignment="1">
      <alignment horizontal="center" vertical="center" wrapText="1"/>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8" fillId="0" borderId="27" xfId="0" applyFont="1" applyBorder="1" applyAlignment="1">
      <alignment horizontal="center" vertical="center"/>
    </xf>
    <xf numFmtId="0" fontId="7" fillId="0" borderId="27" xfId="0" applyFont="1" applyBorder="1" applyAlignment="1">
      <alignment horizontal="center" vertical="center"/>
    </xf>
    <xf numFmtId="0" fontId="2" fillId="7" borderId="28" xfId="0" applyFont="1" applyFill="1" applyBorder="1" applyAlignment="1">
      <alignment horizontal="center" vertical="center"/>
    </xf>
    <xf numFmtId="14" fontId="0" fillId="0" borderId="9" xfId="0" applyNumberFormat="1"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12" fillId="0" borderId="16" xfId="0" applyFont="1" applyBorder="1" applyAlignment="1">
      <alignment horizontal="center" vertical="center"/>
    </xf>
    <xf numFmtId="0" fontId="12" fillId="8" borderId="16" xfId="0" applyFont="1" applyFill="1" applyBorder="1" applyAlignment="1">
      <alignment horizontal="center" vertical="center"/>
    </xf>
    <xf numFmtId="9" fontId="12" fillId="0" borderId="19" xfId="1" applyFont="1" applyBorder="1" applyAlignment="1">
      <alignment horizontal="center" vertical="center"/>
    </xf>
    <xf numFmtId="0" fontId="0" fillId="10" borderId="0" xfId="0" applyFill="1"/>
    <xf numFmtId="0" fontId="1" fillId="4" borderId="29" xfId="0" applyFont="1" applyFill="1" applyBorder="1" applyAlignment="1">
      <alignment horizontal="center" vertical="center" wrapText="1"/>
    </xf>
    <xf numFmtId="0" fontId="12" fillId="0" borderId="30" xfId="0" applyFont="1" applyBorder="1" applyAlignment="1">
      <alignment horizontal="center" vertical="center"/>
    </xf>
    <xf numFmtId="0" fontId="12" fillId="0" borderId="32"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10" borderId="11" xfId="0" applyFont="1" applyFill="1" applyBorder="1" applyAlignment="1">
      <alignment horizontal="center" vertical="center"/>
    </xf>
    <xf numFmtId="9" fontId="12" fillId="0" borderId="33" xfId="1" applyFont="1" applyBorder="1" applyAlignment="1">
      <alignment horizontal="center" vertical="center"/>
    </xf>
    <xf numFmtId="9" fontId="12" fillId="0" borderId="32" xfId="1" applyFont="1" applyBorder="1" applyAlignment="1">
      <alignment horizontal="center" vertical="center"/>
    </xf>
    <xf numFmtId="9" fontId="12" fillId="0" borderId="0" xfId="1" applyFont="1" applyBorder="1" applyAlignment="1">
      <alignment horizontal="center" vertical="center"/>
    </xf>
    <xf numFmtId="0" fontId="5" fillId="0" borderId="18" xfId="0" applyFont="1" applyBorder="1" applyAlignment="1">
      <alignment horizontal="center" vertical="center"/>
    </xf>
    <xf numFmtId="0" fontId="17" fillId="0" borderId="0" xfId="5" applyFont="1" applyBorder="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2" fillId="0" borderId="0" xfId="0" applyFont="1" applyAlignment="1">
      <alignment horizontal="center" vertical="center" wrapText="1"/>
    </xf>
    <xf numFmtId="9" fontId="23" fillId="15" borderId="0" xfId="1" applyFont="1" applyFill="1" applyAlignment="1">
      <alignment horizontal="center" vertical="center"/>
    </xf>
    <xf numFmtId="9" fontId="23" fillId="15" borderId="1" xfId="1" applyFont="1" applyFill="1" applyBorder="1" applyAlignment="1">
      <alignment horizontal="center" vertical="center"/>
    </xf>
    <xf numFmtId="9" fontId="23" fillId="15" borderId="7" xfId="1" applyFont="1" applyFill="1" applyBorder="1" applyAlignment="1">
      <alignment horizontal="center" vertical="center"/>
    </xf>
    <xf numFmtId="9" fontId="23" fillId="15" borderId="0" xfId="1" applyFont="1" applyFill="1" applyBorder="1" applyAlignment="1">
      <alignment horizontal="center" vertical="center"/>
    </xf>
    <xf numFmtId="0" fontId="20" fillId="0" borderId="9" xfId="0" applyFont="1" applyBorder="1" applyAlignment="1">
      <alignment horizontal="center" vertical="center"/>
    </xf>
    <xf numFmtId="0" fontId="22" fillId="0" borderId="9" xfId="0" applyFont="1" applyBorder="1" applyAlignment="1">
      <alignment horizontal="center" vertical="center"/>
    </xf>
    <xf numFmtId="0" fontId="22" fillId="0" borderId="9" xfId="0" applyFont="1" applyBorder="1" applyAlignment="1">
      <alignment horizontal="center" vertical="center" wrapText="1"/>
    </xf>
    <xf numFmtId="0" fontId="22" fillId="0" borderId="42" xfId="0" applyFont="1" applyBorder="1" applyAlignment="1">
      <alignment horizontal="center" vertical="center"/>
    </xf>
    <xf numFmtId="0" fontId="20" fillId="0" borderId="42" xfId="0" applyFont="1" applyBorder="1" applyAlignment="1">
      <alignment horizontal="center" vertical="center"/>
    </xf>
    <xf numFmtId="0" fontId="26" fillId="0" borderId="0" xfId="0" applyFont="1" applyAlignment="1">
      <alignment horizontal="center" vertical="center" wrapText="1"/>
    </xf>
    <xf numFmtId="0" fontId="20" fillId="14" borderId="47" xfId="0" applyFont="1" applyFill="1" applyBorder="1" applyAlignment="1">
      <alignment horizontal="center" vertical="center"/>
    </xf>
    <xf numFmtId="0" fontId="20" fillId="0" borderId="47" xfId="0" applyFont="1" applyBorder="1" applyAlignment="1">
      <alignment horizontal="center" vertical="center"/>
    </xf>
    <xf numFmtId="0" fontId="20" fillId="0" borderId="19" xfId="0" applyFont="1" applyBorder="1" applyAlignment="1">
      <alignment horizontal="center" vertical="center"/>
    </xf>
    <xf numFmtId="0" fontId="20" fillId="0" borderId="49" xfId="0" applyFont="1" applyBorder="1" applyAlignment="1">
      <alignment horizontal="center" vertical="center"/>
    </xf>
    <xf numFmtId="0" fontId="22" fillId="0" borderId="19" xfId="0" applyFont="1" applyBorder="1" applyAlignment="1">
      <alignment horizontal="center" vertical="center" wrapText="1"/>
    </xf>
    <xf numFmtId="0" fontId="22" fillId="0" borderId="19" xfId="0" applyFont="1" applyBorder="1" applyAlignment="1">
      <alignment horizontal="center" vertical="center"/>
    </xf>
    <xf numFmtId="0" fontId="22" fillId="0" borderId="49" xfId="0" applyFont="1" applyBorder="1" applyAlignment="1">
      <alignment horizontal="center" vertical="center"/>
    </xf>
    <xf numFmtId="0" fontId="22" fillId="0" borderId="50" xfId="0" applyFont="1" applyBorder="1" applyAlignment="1">
      <alignment horizontal="center" vertical="center"/>
    </xf>
    <xf numFmtId="0" fontId="22" fillId="0" borderId="51" xfId="0" applyFont="1" applyBorder="1" applyAlignment="1">
      <alignment horizontal="center" vertical="center"/>
    </xf>
    <xf numFmtId="0" fontId="22" fillId="0" borderId="20" xfId="0" applyFont="1" applyBorder="1" applyAlignment="1">
      <alignment horizontal="center" vertical="center"/>
    </xf>
    <xf numFmtId="0" fontId="22" fillId="0" borderId="52" xfId="0" applyFont="1" applyBorder="1" applyAlignment="1">
      <alignment horizontal="center" vertical="center"/>
    </xf>
    <xf numFmtId="0" fontId="20" fillId="0" borderId="50" xfId="0" applyFont="1" applyBorder="1" applyAlignment="1">
      <alignment horizontal="center" vertical="center"/>
    </xf>
    <xf numFmtId="0" fontId="20" fillId="0" borderId="49" xfId="0" applyFont="1" applyBorder="1" applyAlignment="1">
      <alignment horizontal="center" vertical="center" wrapText="1"/>
    </xf>
    <xf numFmtId="0" fontId="22" fillId="0" borderId="49" xfId="0" applyFont="1" applyBorder="1" applyAlignment="1">
      <alignment horizontal="center" vertical="center" wrapText="1"/>
    </xf>
    <xf numFmtId="0" fontId="20" fillId="0" borderId="20" xfId="0" applyFont="1" applyBorder="1" applyAlignment="1">
      <alignment horizontal="center" vertical="center"/>
    </xf>
    <xf numFmtId="0" fontId="2" fillId="0" borderId="46" xfId="6" applyNumberFormat="1" applyFont="1" applyBorder="1" applyAlignment="1">
      <alignment horizontal="center" vertical="center" textRotation="90" wrapText="1"/>
    </xf>
    <xf numFmtId="0" fontId="20" fillId="0" borderId="30" xfId="0" applyFont="1" applyBorder="1" applyAlignment="1">
      <alignment horizontal="center" vertical="center"/>
    </xf>
    <xf numFmtId="0" fontId="20" fillId="0" borderId="40" xfId="0" applyFont="1" applyBorder="1" applyAlignment="1">
      <alignment horizontal="center" vertical="center"/>
    </xf>
    <xf numFmtId="0" fontId="20" fillId="0" borderId="41" xfId="0" applyFont="1" applyBorder="1" applyAlignment="1">
      <alignment horizontal="center" vertical="center"/>
    </xf>
    <xf numFmtId="0" fontId="22" fillId="0" borderId="40" xfId="0" applyFont="1" applyBorder="1" applyAlignment="1">
      <alignment horizontal="center" vertical="center"/>
    </xf>
    <xf numFmtId="0" fontId="22" fillId="0" borderId="53" xfId="0" applyFont="1" applyBorder="1" applyAlignment="1">
      <alignment horizontal="center" vertical="center"/>
    </xf>
    <xf numFmtId="0" fontId="22" fillId="0" borderId="30" xfId="0" applyFont="1" applyBorder="1" applyAlignment="1">
      <alignment horizontal="center" vertical="center"/>
    </xf>
    <xf numFmtId="0" fontId="20" fillId="0" borderId="53" xfId="0" applyFont="1" applyBorder="1" applyAlignment="1">
      <alignment horizontal="center" vertical="center" wrapText="1"/>
    </xf>
    <xf numFmtId="0" fontId="2" fillId="4" borderId="25" xfId="6" applyFont="1" applyFill="1" applyBorder="1" applyAlignment="1">
      <alignment horizontal="center" vertical="center" wrapText="1"/>
    </xf>
    <xf numFmtId="0" fontId="2" fillId="4" borderId="26" xfId="6" applyFont="1" applyFill="1" applyBorder="1" applyAlignment="1">
      <alignment horizontal="center" vertical="center" wrapText="1"/>
    </xf>
    <xf numFmtId="0" fontId="2" fillId="16" borderId="26" xfId="0" applyFont="1" applyFill="1" applyBorder="1" applyAlignment="1">
      <alignment horizontal="center" vertical="center" wrapText="1"/>
    </xf>
    <xf numFmtId="0" fontId="2" fillId="16" borderId="54" xfId="0" applyFont="1" applyFill="1" applyBorder="1" applyAlignment="1">
      <alignment horizontal="center" vertical="center" wrapText="1"/>
    </xf>
    <xf numFmtId="0" fontId="25" fillId="13" borderId="25" xfId="0" applyFont="1" applyFill="1" applyBorder="1" applyAlignment="1">
      <alignment horizontal="center" vertical="center" wrapText="1"/>
    </xf>
    <xf numFmtId="0" fontId="25" fillId="13" borderId="26" xfId="0" applyFont="1" applyFill="1" applyBorder="1" applyAlignment="1">
      <alignment horizontal="center" vertical="center" wrapText="1"/>
    </xf>
    <xf numFmtId="0" fontId="25" fillId="13" borderId="27" xfId="0" applyFont="1" applyFill="1" applyBorder="1" applyAlignment="1">
      <alignment horizontal="center" vertical="center" wrapText="1"/>
    </xf>
    <xf numFmtId="0" fontId="22" fillId="0" borderId="47" xfId="0" applyFont="1" applyBorder="1" applyAlignment="1">
      <alignment horizontal="center" vertical="center"/>
    </xf>
    <xf numFmtId="0" fontId="22" fillId="0" borderId="45" xfId="0" applyFont="1" applyBorder="1" applyAlignment="1">
      <alignment horizontal="center" vertical="center"/>
    </xf>
    <xf numFmtId="0" fontId="12" fillId="10" borderId="0" xfId="0" applyFont="1" applyFill="1" applyAlignment="1">
      <alignment horizontal="center" vertical="center"/>
    </xf>
    <xf numFmtId="0" fontId="12" fillId="0" borderId="55" xfId="0" applyFont="1" applyBorder="1" applyAlignment="1">
      <alignment horizontal="center" vertical="center"/>
    </xf>
    <xf numFmtId="0" fontId="12" fillId="0" borderId="46" xfId="0" applyFont="1" applyBorder="1" applyAlignment="1">
      <alignment horizontal="center" vertical="center"/>
    </xf>
    <xf numFmtId="0" fontId="12" fillId="10" borderId="16" xfId="0" applyFont="1" applyFill="1" applyBorder="1" applyAlignment="1">
      <alignment horizontal="center" vertical="center"/>
    </xf>
    <xf numFmtId="0" fontId="2" fillId="5" borderId="28" xfId="0" applyFont="1" applyFill="1" applyBorder="1" applyAlignment="1">
      <alignment horizontal="center" vertical="center"/>
    </xf>
    <xf numFmtId="0" fontId="12" fillId="10" borderId="13" xfId="0" applyFont="1" applyFill="1" applyBorder="1" applyAlignment="1">
      <alignment horizontal="center" vertical="center"/>
    </xf>
    <xf numFmtId="0" fontId="12" fillId="0" borderId="13" xfId="0" applyFont="1" applyBorder="1" applyAlignment="1">
      <alignment horizontal="center" vertical="center"/>
    </xf>
    <xf numFmtId="0" fontId="12" fillId="10" borderId="57" xfId="0" applyFont="1" applyFill="1" applyBorder="1" applyAlignment="1">
      <alignment horizontal="center" vertical="center"/>
    </xf>
    <xf numFmtId="0" fontId="12" fillId="10" borderId="28" xfId="0" applyFont="1" applyFill="1" applyBorder="1" applyAlignment="1">
      <alignment horizontal="center" vertical="center"/>
    </xf>
    <xf numFmtId="0" fontId="12" fillId="0" borderId="57" xfId="0" applyFont="1" applyBorder="1" applyAlignment="1">
      <alignment horizontal="center" vertical="center"/>
    </xf>
    <xf numFmtId="0" fontId="12" fillId="0" borderId="28" xfId="0" applyFont="1" applyBorder="1" applyAlignment="1">
      <alignment horizontal="center" vertical="center"/>
    </xf>
    <xf numFmtId="0" fontId="1" fillId="2" borderId="57" xfId="0" applyFont="1" applyFill="1" applyBorder="1" applyAlignment="1">
      <alignment horizontal="center" vertical="center" wrapText="1"/>
    </xf>
    <xf numFmtId="0" fontId="12" fillId="0" borderId="56" xfId="0" applyFont="1" applyBorder="1" applyAlignment="1">
      <alignment horizontal="center" vertical="center"/>
    </xf>
    <xf numFmtId="0" fontId="12" fillId="0" borderId="12" xfId="0" applyFont="1" applyBorder="1" applyAlignment="1">
      <alignment horizontal="center" vertical="center"/>
    </xf>
    <xf numFmtId="0" fontId="12" fillId="11" borderId="13" xfId="0" applyFont="1" applyFill="1" applyBorder="1" applyAlignment="1">
      <alignment horizontal="center" vertical="center"/>
    </xf>
    <xf numFmtId="0" fontId="12" fillId="0" borderId="14" xfId="0" applyFont="1" applyBorder="1" applyAlignment="1">
      <alignment horizontal="center" vertical="center"/>
    </xf>
    <xf numFmtId="0" fontId="5" fillId="0" borderId="20" xfId="0" applyFont="1" applyBorder="1" applyAlignment="1">
      <alignment vertical="center"/>
    </xf>
    <xf numFmtId="0" fontId="0" fillId="0" borderId="0" xfId="0" applyAlignment="1">
      <alignment vertical="center"/>
    </xf>
    <xf numFmtId="0" fontId="12" fillId="0" borderId="61" xfId="0" applyFont="1" applyBorder="1" applyAlignment="1">
      <alignment horizontal="center" vertical="center"/>
    </xf>
    <xf numFmtId="0" fontId="1" fillId="2" borderId="34" xfId="0" applyFont="1" applyFill="1" applyBorder="1" applyAlignment="1">
      <alignment horizontal="center" vertical="center" wrapText="1"/>
    </xf>
    <xf numFmtId="0" fontId="12" fillId="10" borderId="55" xfId="0" applyFont="1" applyFill="1" applyBorder="1" applyAlignment="1">
      <alignment horizontal="center" vertical="center"/>
    </xf>
    <xf numFmtId="166" fontId="24" fillId="4" borderId="9" xfId="0" applyNumberFormat="1" applyFont="1" applyFill="1" applyBorder="1" applyAlignment="1">
      <alignment vertical="top" textRotation="90"/>
    </xf>
    <xf numFmtId="0" fontId="0" fillId="17" borderId="9" xfId="0" applyFill="1" applyBorder="1" applyAlignment="1">
      <alignment horizontal="center" vertical="center"/>
    </xf>
    <xf numFmtId="0" fontId="0" fillId="10" borderId="0" xfId="0" applyFill="1" applyAlignment="1">
      <alignment horizontal="center" vertical="center"/>
    </xf>
    <xf numFmtId="0" fontId="11" fillId="10" borderId="0" xfId="0" applyFont="1" applyFill="1" applyAlignment="1">
      <alignment horizontal="center" vertical="center"/>
    </xf>
    <xf numFmtId="0" fontId="13" fillId="10" borderId="0" xfId="0" applyFont="1" applyFill="1" applyAlignment="1">
      <alignment horizontal="center" vertical="center"/>
    </xf>
    <xf numFmtId="0" fontId="28" fillId="10" borderId="0" xfId="0" applyFont="1" applyFill="1" applyAlignment="1">
      <alignment horizontal="center" vertical="center"/>
    </xf>
    <xf numFmtId="9" fontId="29" fillId="10" borderId="0" xfId="1" applyFont="1" applyFill="1" applyBorder="1" applyAlignment="1">
      <alignment horizontal="center" vertical="center"/>
    </xf>
    <xf numFmtId="9" fontId="30" fillId="10" borderId="0" xfId="1" applyFont="1" applyFill="1" applyBorder="1" applyAlignment="1">
      <alignment horizontal="center" vertical="center"/>
    </xf>
    <xf numFmtId="9" fontId="32" fillId="10" borderId="0" xfId="1" applyFont="1" applyFill="1" applyBorder="1" applyAlignment="1">
      <alignment horizontal="center" vertical="center"/>
    </xf>
    <xf numFmtId="0" fontId="12" fillId="10" borderId="50" xfId="0" applyFont="1" applyFill="1" applyBorder="1" applyAlignment="1">
      <alignment horizontal="center" vertical="center"/>
    </xf>
    <xf numFmtId="0" fontId="12" fillId="10" borderId="14" xfId="0" applyFont="1" applyFill="1" applyBorder="1" applyAlignment="1">
      <alignment horizontal="center" vertical="center"/>
    </xf>
    <xf numFmtId="166" fontId="24" fillId="10" borderId="0" xfId="0" applyNumberFormat="1" applyFont="1" applyFill="1" applyAlignment="1">
      <alignment vertical="top" textRotation="90"/>
    </xf>
    <xf numFmtId="0" fontId="0" fillId="0" borderId="25" xfId="0" applyBorder="1" applyAlignment="1">
      <alignment horizontal="center" vertical="center"/>
    </xf>
    <xf numFmtId="0" fontId="0" fillId="0" borderId="27" xfId="0" applyBorder="1" applyAlignment="1">
      <alignment horizontal="center" vertical="center" wrapText="1"/>
    </xf>
    <xf numFmtId="0" fontId="0" fillId="0" borderId="63" xfId="0" applyBorder="1"/>
    <xf numFmtId="0" fontId="0" fillId="0" borderId="34" xfId="0" applyBorder="1"/>
    <xf numFmtId="0" fontId="0" fillId="0" borderId="62" xfId="0" applyBorder="1"/>
    <xf numFmtId="166" fontId="24" fillId="4" borderId="19" xfId="0" applyNumberFormat="1" applyFont="1" applyFill="1" applyBorder="1" applyAlignment="1">
      <alignment vertical="top" textRotation="90"/>
    </xf>
    <xf numFmtId="166" fontId="24" fillId="4" borderId="49" xfId="0" applyNumberFormat="1" applyFont="1" applyFill="1" applyBorder="1" applyAlignment="1">
      <alignment vertical="top" textRotation="90"/>
    </xf>
    <xf numFmtId="0" fontId="0" fillId="17" borderId="19" xfId="0" applyFill="1" applyBorder="1" applyAlignment="1">
      <alignment horizontal="center" vertical="center"/>
    </xf>
    <xf numFmtId="0" fontId="0" fillId="0" borderId="49" xfId="0" applyBorder="1" applyAlignment="1">
      <alignment horizontal="center" vertical="center"/>
    </xf>
    <xf numFmtId="0" fontId="0" fillId="17" borderId="50" xfId="0" applyFill="1" applyBorder="1" applyAlignment="1">
      <alignment horizontal="center" vertical="center"/>
    </xf>
    <xf numFmtId="0" fontId="0" fillId="17" borderId="51" xfId="0" applyFill="1" applyBorder="1" applyAlignment="1">
      <alignment horizontal="center" vertical="center"/>
    </xf>
    <xf numFmtId="0" fontId="0" fillId="0" borderId="51" xfId="0" applyBorder="1" applyAlignment="1">
      <alignment horizontal="center" vertical="center"/>
    </xf>
    <xf numFmtId="0" fontId="0" fillId="0" borderId="20" xfId="0" applyBorder="1" applyAlignment="1">
      <alignment horizontal="center" vertical="center"/>
    </xf>
    <xf numFmtId="0" fontId="0" fillId="0" borderId="60" xfId="0" applyBorder="1" applyAlignment="1">
      <alignment horizontal="center" vertical="center" wrapText="1"/>
    </xf>
    <xf numFmtId="0" fontId="12" fillId="10" borderId="31" xfId="0" applyFont="1" applyFill="1" applyBorder="1" applyAlignment="1">
      <alignment horizontal="center" vertical="center"/>
    </xf>
    <xf numFmtId="0" fontId="1" fillId="4" borderId="65" xfId="0" applyFont="1" applyFill="1" applyBorder="1" applyAlignment="1">
      <alignment horizontal="center" vertical="center" wrapText="1"/>
    </xf>
    <xf numFmtId="0" fontId="0" fillId="0" borderId="22" xfId="0" applyBorder="1" applyAlignment="1">
      <alignment horizontal="center" vertical="center" wrapText="1"/>
    </xf>
    <xf numFmtId="164" fontId="12" fillId="0" borderId="30" xfId="0" applyNumberFormat="1" applyFont="1" applyBorder="1" applyAlignment="1">
      <alignment horizontal="center" vertical="center"/>
    </xf>
    <xf numFmtId="0" fontId="1" fillId="4" borderId="57" xfId="0" applyFont="1" applyFill="1" applyBorder="1" applyAlignment="1">
      <alignment horizontal="center" vertical="center" wrapText="1"/>
    </xf>
    <xf numFmtId="14" fontId="1" fillId="4" borderId="0" xfId="0" applyNumberFormat="1" applyFont="1" applyFill="1" applyAlignment="1">
      <alignment horizontal="center" vertical="center" wrapText="1"/>
    </xf>
    <xf numFmtId="0" fontId="1" fillId="4" borderId="58" xfId="0" applyFont="1" applyFill="1" applyBorder="1" applyAlignment="1">
      <alignment horizontal="center" vertical="center" wrapText="1"/>
    </xf>
    <xf numFmtId="0" fontId="1" fillId="4" borderId="59" xfId="0" applyFont="1" applyFill="1" applyBorder="1" applyAlignment="1">
      <alignment horizontal="center" vertical="center" wrapText="1"/>
    </xf>
    <xf numFmtId="0" fontId="0" fillId="9" borderId="0" xfId="0" applyFill="1"/>
    <xf numFmtId="0" fontId="12" fillId="0" borderId="35" xfId="0" applyFont="1" applyBorder="1" applyAlignment="1">
      <alignment horizontal="center" vertical="center"/>
    </xf>
    <xf numFmtId="0" fontId="12" fillId="0" borderId="66" xfId="0" applyFont="1" applyBorder="1" applyAlignment="1">
      <alignment horizontal="center" vertical="center"/>
    </xf>
    <xf numFmtId="0" fontId="12" fillId="0" borderId="67" xfId="0" applyFont="1" applyBorder="1" applyAlignment="1">
      <alignment horizontal="center" vertical="center"/>
    </xf>
    <xf numFmtId="0" fontId="1" fillId="4" borderId="24" xfId="0" applyFont="1" applyFill="1" applyBorder="1" applyAlignment="1">
      <alignment horizontal="center" vertical="center" wrapText="1"/>
    </xf>
    <xf numFmtId="0" fontId="1" fillId="4" borderId="65" xfId="0" applyFont="1" applyFill="1" applyBorder="1" applyAlignment="1">
      <alignment horizontal="center" vertical="center"/>
    </xf>
    <xf numFmtId="0" fontId="1" fillId="4" borderId="25" xfId="0" applyFont="1" applyFill="1" applyBorder="1" applyAlignment="1">
      <alignment horizontal="center" vertical="center" wrapText="1"/>
    </xf>
    <xf numFmtId="9" fontId="13" fillId="0" borderId="0" xfId="1" applyFont="1" applyAlignment="1">
      <alignment horizontal="center"/>
    </xf>
    <xf numFmtId="0" fontId="13" fillId="0" borderId="0" xfId="0" applyFont="1" applyAlignment="1">
      <alignment horizontal="center"/>
    </xf>
    <xf numFmtId="0" fontId="0" fillId="7" borderId="0" xfId="0" applyFill="1"/>
    <xf numFmtId="0" fontId="2" fillId="7" borderId="0" xfId="0" applyFont="1" applyFill="1" applyAlignment="1">
      <alignment horizontal="center" vertical="center"/>
    </xf>
    <xf numFmtId="0" fontId="2" fillId="7" borderId="38" xfId="0" applyFont="1" applyFill="1" applyBorder="1" applyAlignment="1">
      <alignment horizontal="center" vertical="center"/>
    </xf>
    <xf numFmtId="14" fontId="2" fillId="7" borderId="38" xfId="0" applyNumberFormat="1" applyFont="1" applyFill="1" applyBorder="1" applyAlignment="1">
      <alignment horizontal="center" vertical="center"/>
    </xf>
    <xf numFmtId="0" fontId="2" fillId="7" borderId="8" xfId="0" applyFont="1" applyFill="1" applyBorder="1" applyAlignment="1">
      <alignment horizontal="center"/>
    </xf>
    <xf numFmtId="0" fontId="2" fillId="16" borderId="0" xfId="0" applyFont="1" applyFill="1" applyAlignment="1">
      <alignment horizontal="center" vertical="center"/>
    </xf>
    <xf numFmtId="0" fontId="2" fillId="16" borderId="21" xfId="0" applyFont="1" applyFill="1" applyBorder="1" applyAlignment="1">
      <alignment horizontal="center" vertical="center"/>
    </xf>
    <xf numFmtId="14" fontId="2" fillId="16" borderId="24" xfId="0" applyNumberFormat="1" applyFont="1" applyFill="1" applyBorder="1" applyAlignment="1">
      <alignment horizontal="center" vertical="center"/>
    </xf>
    <xf numFmtId="0" fontId="2" fillId="16" borderId="60" xfId="0" applyFont="1" applyFill="1" applyBorder="1" applyAlignment="1">
      <alignment horizontal="center" vertical="center" wrapText="1"/>
    </xf>
    <xf numFmtId="0" fontId="2" fillId="16" borderId="60" xfId="0" applyFont="1" applyFill="1" applyBorder="1" applyAlignment="1">
      <alignment vertical="center" wrapText="1"/>
    </xf>
    <xf numFmtId="0" fontId="2" fillId="16" borderId="22" xfId="0" applyFont="1" applyFill="1" applyBorder="1" applyAlignment="1">
      <alignment vertical="center" wrapText="1"/>
    </xf>
    <xf numFmtId="0" fontId="0" fillId="16" borderId="0" xfId="0" applyFill="1"/>
    <xf numFmtId="0" fontId="14" fillId="16" borderId="9" xfId="0" applyFont="1" applyFill="1" applyBorder="1" applyAlignment="1">
      <alignment horizontal="center" vertical="center"/>
    </xf>
    <xf numFmtId="0" fontId="1" fillId="4" borderId="28" xfId="0" applyFont="1" applyFill="1" applyBorder="1" applyAlignment="1">
      <alignment horizontal="center" vertical="center" wrapText="1"/>
    </xf>
    <xf numFmtId="0" fontId="1" fillId="4" borderId="71" xfId="0" applyFont="1" applyFill="1" applyBorder="1" applyAlignment="1">
      <alignment horizontal="center" vertical="center"/>
    </xf>
    <xf numFmtId="0" fontId="1" fillId="4" borderId="72" xfId="0" applyFont="1" applyFill="1" applyBorder="1" applyAlignment="1">
      <alignment horizontal="center" vertical="center" wrapText="1"/>
    </xf>
    <xf numFmtId="0" fontId="1" fillId="4" borderId="71" xfId="0" applyFont="1" applyFill="1" applyBorder="1" applyAlignment="1">
      <alignment horizontal="center" vertical="center" wrapText="1"/>
    </xf>
    <xf numFmtId="0" fontId="1" fillId="4" borderId="73" xfId="0" applyFont="1" applyFill="1" applyBorder="1" applyAlignment="1">
      <alignment horizontal="center" vertical="center" wrapText="1"/>
    </xf>
    <xf numFmtId="0" fontId="2" fillId="3" borderId="25" xfId="0" applyFont="1" applyFill="1" applyBorder="1" applyAlignment="1">
      <alignment horizontal="center" vertical="center"/>
    </xf>
    <xf numFmtId="0" fontId="2" fillId="3" borderId="26" xfId="0" applyFont="1" applyFill="1" applyBorder="1" applyAlignment="1">
      <alignment horizontal="center" vertical="center"/>
    </xf>
    <xf numFmtId="14" fontId="2" fillId="3" borderId="26" xfId="0" applyNumberFormat="1" applyFont="1" applyFill="1" applyBorder="1" applyAlignment="1">
      <alignment horizontal="center" vertical="center"/>
    </xf>
    <xf numFmtId="0" fontId="2" fillId="3" borderId="26" xfId="0" applyFont="1" applyFill="1" applyBorder="1" applyAlignment="1">
      <alignment horizontal="center"/>
    </xf>
    <xf numFmtId="0" fontId="12" fillId="0" borderId="15" xfId="0" applyFont="1" applyBorder="1" applyAlignment="1">
      <alignment horizontal="center" vertical="center"/>
    </xf>
    <xf numFmtId="0" fontId="12" fillId="0" borderId="74" xfId="0" applyFont="1" applyBorder="1" applyAlignment="1">
      <alignment horizontal="center" vertical="center"/>
    </xf>
    <xf numFmtId="0" fontId="12" fillId="0" borderId="75" xfId="0" applyFont="1" applyBorder="1" applyAlignment="1">
      <alignment horizontal="center" vertical="center"/>
    </xf>
    <xf numFmtId="0" fontId="12" fillId="0" borderId="76" xfId="0" applyFont="1" applyBorder="1" applyAlignment="1">
      <alignment horizontal="center" vertical="center"/>
    </xf>
    <xf numFmtId="0" fontId="12" fillId="0" borderId="77" xfId="0" applyFont="1" applyBorder="1" applyAlignment="1">
      <alignment horizontal="center" vertical="center"/>
    </xf>
    <xf numFmtId="9" fontId="12" fillId="0" borderId="36" xfId="1" applyFont="1" applyBorder="1" applyAlignment="1">
      <alignment horizontal="center" vertical="center"/>
    </xf>
    <xf numFmtId="0" fontId="12" fillId="0" borderId="78" xfId="0" applyFont="1" applyBorder="1" applyAlignment="1">
      <alignment horizontal="center" vertical="center"/>
    </xf>
    <xf numFmtId="0" fontId="12" fillId="0" borderId="79" xfId="0" applyFont="1" applyBorder="1" applyAlignment="1">
      <alignment horizontal="center" vertical="center"/>
    </xf>
    <xf numFmtId="0" fontId="12" fillId="0" borderId="80" xfId="0" applyFont="1" applyBorder="1" applyAlignment="1">
      <alignment horizontal="center" vertical="center"/>
    </xf>
    <xf numFmtId="0" fontId="12" fillId="0" borderId="81" xfId="0" applyFont="1" applyBorder="1" applyAlignment="1">
      <alignment horizontal="center" vertical="center"/>
    </xf>
    <xf numFmtId="0" fontId="12" fillId="0" borderId="82" xfId="0" applyFont="1" applyBorder="1" applyAlignment="1">
      <alignment horizontal="center" vertical="center"/>
    </xf>
    <xf numFmtId="0" fontId="12" fillId="0" borderId="83" xfId="0" applyFont="1" applyBorder="1" applyAlignment="1">
      <alignment horizontal="center" vertical="center"/>
    </xf>
    <xf numFmtId="0" fontId="12" fillId="0" borderId="84" xfId="0" applyFont="1" applyBorder="1" applyAlignment="1">
      <alignment horizontal="center" vertical="center"/>
    </xf>
    <xf numFmtId="0" fontId="12" fillId="0" borderId="85" xfId="0" applyFont="1" applyBorder="1" applyAlignment="1">
      <alignment horizontal="center" vertical="center"/>
    </xf>
    <xf numFmtId="0" fontId="34" fillId="4" borderId="0" xfId="0" applyFont="1" applyFill="1"/>
    <xf numFmtId="0" fontId="0" fillId="4" borderId="0" xfId="0" applyFill="1"/>
    <xf numFmtId="9" fontId="13" fillId="0" borderId="0" xfId="1" applyFont="1" applyFill="1"/>
    <xf numFmtId="0" fontId="37" fillId="19" borderId="92" xfId="0" applyFont="1" applyFill="1" applyBorder="1" applyAlignment="1">
      <alignment horizontal="center" vertical="center" textRotation="90" wrapText="1"/>
    </xf>
    <xf numFmtId="0" fontId="40" fillId="18" borderId="91" xfId="2" applyFont="1" applyFill="1" applyBorder="1" applyAlignment="1">
      <alignment horizontal="center" vertical="center" wrapText="1"/>
    </xf>
    <xf numFmtId="0" fontId="1" fillId="4" borderId="34" xfId="0" applyFont="1" applyFill="1" applyBorder="1" applyAlignment="1">
      <alignment horizontal="center" vertical="center" wrapText="1"/>
    </xf>
    <xf numFmtId="0" fontId="40" fillId="18" borderId="90" xfId="2" applyFont="1" applyFill="1" applyBorder="1" applyAlignment="1">
      <alignment horizontal="center" vertical="center" wrapText="1"/>
    </xf>
    <xf numFmtId="14" fontId="1" fillId="4" borderId="24" xfId="0" applyNumberFormat="1" applyFont="1" applyFill="1" applyBorder="1" applyAlignment="1">
      <alignment horizontal="center" vertical="center" wrapText="1"/>
    </xf>
    <xf numFmtId="14" fontId="1" fillId="4" borderId="21" xfId="0" applyNumberFormat="1" applyFont="1" applyFill="1" applyBorder="1" applyAlignment="1">
      <alignment horizontal="center" vertical="center" wrapText="1"/>
    </xf>
    <xf numFmtId="9" fontId="12" fillId="0" borderId="11" xfId="1" applyFont="1" applyBorder="1" applyAlignment="1">
      <alignment horizontal="center" vertical="center"/>
    </xf>
    <xf numFmtId="14" fontId="1" fillId="4" borderId="29" xfId="0" applyNumberFormat="1" applyFont="1" applyFill="1" applyBorder="1" applyAlignment="1">
      <alignment horizontal="center" vertical="center" wrapText="1"/>
    </xf>
    <xf numFmtId="0" fontId="39" fillId="16" borderId="0" xfId="15" applyFill="1" applyAlignment="1">
      <alignment horizontal="center" vertical="center"/>
    </xf>
    <xf numFmtId="14" fontId="20" fillId="21" borderId="30" xfId="0" applyNumberFormat="1" applyFont="1" applyFill="1" applyBorder="1" applyAlignment="1">
      <alignment horizontal="center" vertical="center" wrapText="1"/>
    </xf>
    <xf numFmtId="0" fontId="20" fillId="21" borderId="40" xfId="0" applyFont="1" applyFill="1" applyBorder="1" applyAlignment="1">
      <alignment horizontal="center" vertical="center" wrapText="1"/>
    </xf>
    <xf numFmtId="0" fontId="21" fillId="21" borderId="40" xfId="0" applyFont="1" applyFill="1" applyBorder="1" applyAlignment="1">
      <alignment horizontal="center" vertical="center" wrapText="1"/>
    </xf>
    <xf numFmtId="0" fontId="20" fillId="21" borderId="40" xfId="0" applyFont="1" applyFill="1" applyBorder="1" applyAlignment="1">
      <alignment horizontal="justify" vertical="center" wrapText="1"/>
    </xf>
    <xf numFmtId="14" fontId="21" fillId="21" borderId="40" xfId="0" applyNumberFormat="1" applyFont="1" applyFill="1" applyBorder="1" applyAlignment="1">
      <alignment horizontal="center" vertical="center" wrapText="1"/>
    </xf>
    <xf numFmtId="0" fontId="20" fillId="21" borderId="41" xfId="0" applyFont="1" applyFill="1" applyBorder="1" applyAlignment="1">
      <alignment horizontal="center" vertical="center" wrapText="1"/>
    </xf>
    <xf numFmtId="14" fontId="20" fillId="21" borderId="19" xfId="0" applyNumberFormat="1" applyFont="1" applyFill="1" applyBorder="1" applyAlignment="1">
      <alignment horizontal="center" vertical="center" wrapText="1"/>
    </xf>
    <xf numFmtId="0" fontId="20" fillId="21" borderId="9" xfId="0" applyFont="1" applyFill="1" applyBorder="1" applyAlignment="1">
      <alignment horizontal="center" vertical="center" wrapText="1"/>
    </xf>
    <xf numFmtId="0" fontId="21" fillId="21" borderId="9" xfId="0" applyFont="1" applyFill="1" applyBorder="1" applyAlignment="1">
      <alignment horizontal="center" vertical="center" wrapText="1"/>
    </xf>
    <xf numFmtId="0" fontId="20" fillId="21" borderId="9" xfId="0" applyFont="1" applyFill="1" applyBorder="1" applyAlignment="1">
      <alignment horizontal="justify" vertical="center" wrapText="1"/>
    </xf>
    <xf numFmtId="14" fontId="21" fillId="21" borderId="9" xfId="0" applyNumberFormat="1" applyFont="1" applyFill="1" applyBorder="1" applyAlignment="1">
      <alignment horizontal="center" vertical="center" wrapText="1"/>
    </xf>
    <xf numFmtId="0" fontId="20" fillId="21" borderId="42" xfId="0" applyFont="1" applyFill="1" applyBorder="1" applyAlignment="1">
      <alignment horizontal="center" vertical="center" wrapText="1"/>
    </xf>
    <xf numFmtId="14" fontId="20" fillId="21" borderId="23" xfId="0" applyNumberFormat="1" applyFont="1" applyFill="1" applyBorder="1" applyAlignment="1">
      <alignment horizontal="center" vertical="center" wrapText="1"/>
    </xf>
    <xf numFmtId="0" fontId="20" fillId="21" borderId="43" xfId="0" applyFont="1" applyFill="1" applyBorder="1" applyAlignment="1">
      <alignment horizontal="center" vertical="center" wrapText="1"/>
    </xf>
    <xf numFmtId="0" fontId="21" fillId="21" borderId="43" xfId="0" applyFont="1" applyFill="1" applyBorder="1" applyAlignment="1">
      <alignment horizontal="center" vertical="center" wrapText="1"/>
    </xf>
    <xf numFmtId="0" fontId="20" fillId="21" borderId="43" xfId="0" applyFont="1" applyFill="1" applyBorder="1" applyAlignment="1">
      <alignment horizontal="justify" vertical="center" wrapText="1"/>
    </xf>
    <xf numFmtId="0" fontId="20" fillId="21" borderId="44" xfId="0" applyFont="1" applyFill="1" applyBorder="1" applyAlignment="1">
      <alignment horizontal="center" vertical="center" wrapText="1"/>
    </xf>
    <xf numFmtId="14" fontId="20" fillId="22" borderId="17" xfId="0" applyNumberFormat="1" applyFont="1" applyFill="1" applyBorder="1" applyAlignment="1">
      <alignment horizontal="center" vertical="center" wrapText="1"/>
    </xf>
    <xf numFmtId="0" fontId="20" fillId="22" borderId="48" xfId="0" applyFont="1" applyFill="1" applyBorder="1" applyAlignment="1">
      <alignment horizontal="center" vertical="center" wrapText="1"/>
    </xf>
    <xf numFmtId="0" fontId="21" fillId="22" borderId="48" xfId="0" applyFont="1" applyFill="1" applyBorder="1" applyAlignment="1">
      <alignment horizontal="center" vertical="center" wrapText="1"/>
    </xf>
    <xf numFmtId="43" fontId="20" fillId="22" borderId="48" xfId="3" applyFont="1" applyFill="1" applyBorder="1" applyAlignment="1">
      <alignment horizontal="center" vertical="center" wrapText="1"/>
    </xf>
    <xf numFmtId="43" fontId="20" fillId="22" borderId="48" xfId="3" applyFont="1" applyFill="1" applyBorder="1" applyAlignment="1">
      <alignment horizontal="center" vertical="center"/>
    </xf>
    <xf numFmtId="43" fontId="20" fillId="22" borderId="18" xfId="3" applyFont="1" applyFill="1" applyBorder="1" applyAlignment="1">
      <alignment horizontal="center" vertical="center"/>
    </xf>
    <xf numFmtId="14" fontId="20" fillId="22" borderId="19" xfId="0" applyNumberFormat="1" applyFont="1" applyFill="1" applyBorder="1" applyAlignment="1">
      <alignment horizontal="center" vertical="center" wrapText="1"/>
    </xf>
    <xf numFmtId="0" fontId="20" fillId="22" borderId="9" xfId="0" applyFont="1" applyFill="1" applyBorder="1" applyAlignment="1">
      <alignment horizontal="center" vertical="center" wrapText="1"/>
    </xf>
    <xf numFmtId="0" fontId="21" fillId="22" borderId="9" xfId="0" applyFont="1" applyFill="1" applyBorder="1" applyAlignment="1">
      <alignment horizontal="center" vertical="center" wrapText="1"/>
    </xf>
    <xf numFmtId="14" fontId="20" fillId="22" borderId="9" xfId="0" applyNumberFormat="1" applyFont="1" applyFill="1" applyBorder="1" applyAlignment="1">
      <alignment horizontal="center" vertical="center"/>
    </xf>
    <xf numFmtId="43" fontId="20" fillId="22" borderId="9" xfId="3" applyFont="1" applyFill="1" applyBorder="1" applyAlignment="1">
      <alignment horizontal="center" vertical="center" wrapText="1"/>
    </xf>
    <xf numFmtId="43" fontId="20" fillId="22" borderId="9" xfId="3" applyFont="1" applyFill="1" applyBorder="1" applyAlignment="1">
      <alignment horizontal="center" vertical="center"/>
    </xf>
    <xf numFmtId="43" fontId="20" fillId="22" borderId="49" xfId="3" applyFont="1" applyFill="1" applyBorder="1" applyAlignment="1">
      <alignment horizontal="center" vertical="center"/>
    </xf>
    <xf numFmtId="14" fontId="20" fillId="22" borderId="50" xfId="0" applyNumberFormat="1" applyFont="1" applyFill="1" applyBorder="1" applyAlignment="1">
      <alignment horizontal="center" vertical="center" wrapText="1"/>
    </xf>
    <xf numFmtId="0" fontId="20" fillId="22" borderId="51" xfId="0" applyFont="1" applyFill="1" applyBorder="1" applyAlignment="1">
      <alignment horizontal="center" vertical="center" wrapText="1"/>
    </xf>
    <xf numFmtId="0" fontId="21" fillId="22" borderId="51" xfId="0" applyFont="1" applyFill="1" applyBorder="1" applyAlignment="1">
      <alignment horizontal="center" vertical="center" wrapText="1"/>
    </xf>
    <xf numFmtId="14" fontId="20" fillId="22" borderId="51" xfId="0" applyNumberFormat="1" applyFont="1" applyFill="1" applyBorder="1" applyAlignment="1">
      <alignment horizontal="center" vertical="center"/>
    </xf>
    <xf numFmtId="43" fontId="20" fillId="22" borderId="51" xfId="3" applyFont="1" applyFill="1" applyBorder="1" applyAlignment="1">
      <alignment horizontal="center" vertical="center" wrapText="1"/>
    </xf>
    <xf numFmtId="43" fontId="20" fillId="22" borderId="51" xfId="3" applyFont="1" applyFill="1" applyBorder="1" applyAlignment="1">
      <alignment horizontal="center" vertical="center"/>
    </xf>
    <xf numFmtId="43" fontId="20" fillId="22" borderId="20" xfId="3" applyFont="1" applyFill="1" applyBorder="1" applyAlignment="1">
      <alignment horizontal="center" vertical="center"/>
    </xf>
    <xf numFmtId="14" fontId="20" fillId="23" borderId="17" xfId="0" applyNumberFormat="1" applyFont="1" applyFill="1" applyBorder="1" applyAlignment="1">
      <alignment horizontal="center" vertical="center" wrapText="1"/>
    </xf>
    <xf numFmtId="0" fontId="20" fillId="23" borderId="48" xfId="0" applyFont="1" applyFill="1" applyBorder="1" applyAlignment="1">
      <alignment horizontal="center" vertical="center" wrapText="1"/>
    </xf>
    <xf numFmtId="0" fontId="21" fillId="23" borderId="48" xfId="0" applyFont="1" applyFill="1" applyBorder="1" applyAlignment="1">
      <alignment horizontal="center" vertical="center" wrapText="1"/>
    </xf>
    <xf numFmtId="14" fontId="20" fillId="23" borderId="48" xfId="0" applyNumberFormat="1" applyFont="1" applyFill="1" applyBorder="1" applyAlignment="1">
      <alignment horizontal="center" vertical="center" wrapText="1"/>
    </xf>
    <xf numFmtId="43" fontId="20" fillId="23" borderId="48" xfId="3" applyFont="1" applyFill="1" applyBorder="1" applyAlignment="1">
      <alignment horizontal="center" vertical="center" wrapText="1"/>
    </xf>
    <xf numFmtId="43" fontId="20" fillId="23" borderId="48" xfId="3" applyFont="1" applyFill="1" applyBorder="1" applyAlignment="1">
      <alignment horizontal="center" vertical="center"/>
    </xf>
    <xf numFmtId="43" fontId="20" fillId="23" borderId="18" xfId="3" applyFont="1" applyFill="1" applyBorder="1" applyAlignment="1">
      <alignment horizontal="center" vertical="center" wrapText="1"/>
    </xf>
    <xf numFmtId="14" fontId="20" fillId="23" borderId="19" xfId="0" applyNumberFormat="1" applyFont="1" applyFill="1" applyBorder="1" applyAlignment="1">
      <alignment horizontal="center" vertical="center" wrapText="1"/>
    </xf>
    <xf numFmtId="0" fontId="20" fillId="23" borderId="9" xfId="0" applyFont="1" applyFill="1" applyBorder="1" applyAlignment="1">
      <alignment horizontal="center" vertical="center" wrapText="1"/>
    </xf>
    <xf numFmtId="0" fontId="21" fillId="23" borderId="9" xfId="0" applyFont="1" applyFill="1" applyBorder="1" applyAlignment="1">
      <alignment horizontal="center" vertical="center" wrapText="1"/>
    </xf>
    <xf numFmtId="14" fontId="20" fillId="23" borderId="9" xfId="0" applyNumberFormat="1" applyFont="1" applyFill="1" applyBorder="1" applyAlignment="1">
      <alignment horizontal="center" vertical="center" wrapText="1"/>
    </xf>
    <xf numFmtId="43" fontId="20" fillId="23" borderId="9" xfId="3" applyFont="1" applyFill="1" applyBorder="1" applyAlignment="1">
      <alignment horizontal="center" vertical="center" wrapText="1"/>
    </xf>
    <xf numFmtId="43" fontId="20" fillId="23" borderId="9" xfId="3" applyFont="1" applyFill="1" applyBorder="1" applyAlignment="1">
      <alignment horizontal="center" vertical="center"/>
    </xf>
    <xf numFmtId="43" fontId="20" fillId="23" borderId="49" xfId="3" applyFont="1" applyFill="1" applyBorder="1" applyAlignment="1">
      <alignment horizontal="center" vertical="center" wrapText="1"/>
    </xf>
    <xf numFmtId="43" fontId="22" fillId="23" borderId="9" xfId="3" applyFont="1" applyFill="1" applyBorder="1" applyAlignment="1">
      <alignment horizontal="center" vertical="center" wrapText="1"/>
    </xf>
    <xf numFmtId="43" fontId="22" fillId="23" borderId="9" xfId="3" applyFont="1" applyFill="1" applyBorder="1" applyAlignment="1">
      <alignment horizontal="center" vertical="center"/>
    </xf>
    <xf numFmtId="43" fontId="20" fillId="23" borderId="9" xfId="3" applyFont="1" applyFill="1" applyBorder="1" applyAlignment="1">
      <alignment horizontal="left" vertical="center" wrapText="1"/>
    </xf>
    <xf numFmtId="43" fontId="22" fillId="23" borderId="9" xfId="3" applyFont="1" applyFill="1" applyBorder="1" applyAlignment="1">
      <alignment horizontal="left" vertical="top" wrapText="1"/>
    </xf>
    <xf numFmtId="44" fontId="22" fillId="23" borderId="9" xfId="4" applyFont="1" applyFill="1" applyBorder="1" applyAlignment="1">
      <alignment horizontal="center" vertical="center"/>
    </xf>
    <xf numFmtId="165" fontId="20" fillId="23" borderId="9" xfId="7" applyFont="1" applyFill="1" applyBorder="1" applyAlignment="1">
      <alignment horizontal="center" vertical="center"/>
    </xf>
    <xf numFmtId="49" fontId="20" fillId="23" borderId="9" xfId="7" applyNumberFormat="1" applyFont="1" applyFill="1" applyBorder="1" applyAlignment="1">
      <alignment horizontal="center" vertical="center" wrapText="1"/>
    </xf>
    <xf numFmtId="14" fontId="20" fillId="23" borderId="50" xfId="0" applyNumberFormat="1" applyFont="1" applyFill="1" applyBorder="1" applyAlignment="1">
      <alignment horizontal="center" vertical="center" wrapText="1"/>
    </xf>
    <xf numFmtId="0" fontId="20" fillId="23" borderId="51" xfId="0" applyFont="1" applyFill="1" applyBorder="1" applyAlignment="1">
      <alignment horizontal="center" vertical="center" wrapText="1"/>
    </xf>
    <xf numFmtId="0" fontId="21" fillId="23" borderId="51" xfId="0" applyFont="1" applyFill="1" applyBorder="1" applyAlignment="1">
      <alignment horizontal="center" vertical="center" wrapText="1"/>
    </xf>
    <xf numFmtId="14" fontId="20" fillId="23" borderId="51" xfId="0" applyNumberFormat="1" applyFont="1" applyFill="1" applyBorder="1" applyAlignment="1">
      <alignment horizontal="center" vertical="center" wrapText="1"/>
    </xf>
    <xf numFmtId="43" fontId="22" fillId="23" borderId="51" xfId="3" applyFont="1" applyFill="1" applyBorder="1" applyAlignment="1">
      <alignment horizontal="center" vertical="center" wrapText="1"/>
    </xf>
    <xf numFmtId="165" fontId="20" fillId="23" borderId="51" xfId="7" applyFont="1" applyFill="1" applyBorder="1" applyAlignment="1">
      <alignment horizontal="center" vertical="center"/>
    </xf>
    <xf numFmtId="49" fontId="20" fillId="23" borderId="51" xfId="7" applyNumberFormat="1" applyFont="1" applyFill="1" applyBorder="1" applyAlignment="1">
      <alignment horizontal="center" vertical="center" wrapText="1"/>
    </xf>
    <xf numFmtId="43" fontId="20" fillId="23" borderId="51" xfId="3" applyFont="1" applyFill="1" applyBorder="1" applyAlignment="1">
      <alignment horizontal="center" vertical="center" wrapText="1"/>
    </xf>
    <xf numFmtId="43" fontId="20" fillId="23" borderId="20" xfId="3" applyFont="1" applyFill="1" applyBorder="1" applyAlignment="1">
      <alignment horizontal="center" vertical="center" wrapText="1"/>
    </xf>
    <xf numFmtId="14" fontId="20" fillId="24" borderId="17" xfId="0" applyNumberFormat="1" applyFont="1" applyFill="1" applyBorder="1" applyAlignment="1">
      <alignment horizontal="center" vertical="center" wrapText="1"/>
    </xf>
    <xf numFmtId="0" fontId="20" fillId="24" borderId="48" xfId="0" applyFont="1" applyFill="1" applyBorder="1" applyAlignment="1">
      <alignment horizontal="center" vertical="center" wrapText="1"/>
    </xf>
    <xf numFmtId="0" fontId="21" fillId="24" borderId="48" xfId="0" applyFont="1" applyFill="1" applyBorder="1" applyAlignment="1">
      <alignment horizontal="center" vertical="center" wrapText="1"/>
    </xf>
    <xf numFmtId="14" fontId="20" fillId="24" borderId="48" xfId="0" applyNumberFormat="1" applyFont="1" applyFill="1" applyBorder="1" applyAlignment="1">
      <alignment horizontal="center" vertical="center"/>
    </xf>
    <xf numFmtId="43" fontId="22" fillId="24" borderId="48" xfId="3" applyFont="1" applyFill="1" applyBorder="1" applyAlignment="1">
      <alignment horizontal="center" vertical="center" wrapText="1"/>
    </xf>
    <xf numFmtId="43" fontId="22" fillId="24" borderId="48" xfId="3" applyFont="1" applyFill="1" applyBorder="1" applyAlignment="1">
      <alignment horizontal="center" vertical="center"/>
    </xf>
    <xf numFmtId="43" fontId="20" fillId="24" borderId="48" xfId="3" applyFont="1" applyFill="1" applyBorder="1" applyAlignment="1">
      <alignment horizontal="center" vertical="center" wrapText="1"/>
    </xf>
    <xf numFmtId="43" fontId="20" fillId="24" borderId="18" xfId="3" applyFont="1" applyFill="1" applyBorder="1" applyAlignment="1">
      <alignment horizontal="center" vertical="center" wrapText="1"/>
    </xf>
    <xf numFmtId="14" fontId="20" fillId="24" borderId="19" xfId="0" applyNumberFormat="1" applyFont="1" applyFill="1" applyBorder="1" applyAlignment="1">
      <alignment horizontal="center" vertical="center" wrapText="1"/>
    </xf>
    <xf numFmtId="0" fontId="20" fillId="24" borderId="9" xfId="0" applyFont="1" applyFill="1" applyBorder="1" applyAlignment="1">
      <alignment horizontal="center" vertical="center" wrapText="1"/>
    </xf>
    <xf numFmtId="0" fontId="21" fillId="24" borderId="9" xfId="0" applyFont="1" applyFill="1" applyBorder="1" applyAlignment="1">
      <alignment horizontal="center" vertical="center" wrapText="1"/>
    </xf>
    <xf numFmtId="14" fontId="20" fillId="24" borderId="9" xfId="0" applyNumberFormat="1" applyFont="1" applyFill="1" applyBorder="1" applyAlignment="1">
      <alignment horizontal="center" vertical="center"/>
    </xf>
    <xf numFmtId="43" fontId="22" fillId="24" borderId="9" xfId="3" applyFont="1" applyFill="1" applyBorder="1" applyAlignment="1">
      <alignment horizontal="center" vertical="center" wrapText="1"/>
    </xf>
    <xf numFmtId="43" fontId="22" fillId="24" borderId="9" xfId="3" applyFont="1" applyFill="1" applyBorder="1" applyAlignment="1">
      <alignment horizontal="center" vertical="center"/>
    </xf>
    <xf numFmtId="43" fontId="20" fillId="24" borderId="9" xfId="3" applyFont="1" applyFill="1" applyBorder="1" applyAlignment="1">
      <alignment horizontal="center" vertical="center" wrapText="1"/>
    </xf>
    <xf numFmtId="43" fontId="20" fillId="24" borderId="49" xfId="3" applyFont="1" applyFill="1" applyBorder="1" applyAlignment="1">
      <alignment horizontal="center" vertical="center" wrapText="1"/>
    </xf>
    <xf numFmtId="14" fontId="22" fillId="24" borderId="19" xfId="0" applyNumberFormat="1" applyFont="1" applyFill="1" applyBorder="1" applyAlignment="1">
      <alignment horizontal="center" vertical="center"/>
    </xf>
    <xf numFmtId="0" fontId="22" fillId="24" borderId="9" xfId="0" applyFont="1" applyFill="1" applyBorder="1" applyAlignment="1">
      <alignment horizontal="center" vertical="center"/>
    </xf>
    <xf numFmtId="14" fontId="22" fillId="24" borderId="9" xfId="0" applyNumberFormat="1" applyFont="1" applyFill="1" applyBorder="1" applyAlignment="1">
      <alignment horizontal="center" vertical="center"/>
    </xf>
    <xf numFmtId="44" fontId="22" fillId="24" borderId="9" xfId="4" applyFont="1" applyFill="1" applyBorder="1" applyAlignment="1">
      <alignment horizontal="center" vertical="center"/>
    </xf>
    <xf numFmtId="43" fontId="20" fillId="24" borderId="9" xfId="3" applyFont="1" applyFill="1" applyBorder="1" applyAlignment="1">
      <alignment horizontal="center" vertical="center"/>
    </xf>
    <xf numFmtId="14" fontId="22" fillId="24" borderId="9" xfId="0" applyNumberFormat="1" applyFont="1" applyFill="1" applyBorder="1" applyAlignment="1">
      <alignment horizontal="center" vertical="center" wrapText="1"/>
    </xf>
    <xf numFmtId="43" fontId="22" fillId="24" borderId="49" xfId="3" applyFont="1" applyFill="1" applyBorder="1" applyAlignment="1">
      <alignment horizontal="center" vertical="center"/>
    </xf>
    <xf numFmtId="44" fontId="20" fillId="24" borderId="9" xfId="4" applyFont="1" applyFill="1" applyBorder="1" applyAlignment="1">
      <alignment horizontal="center" vertical="center"/>
    </xf>
    <xf numFmtId="14" fontId="20" fillId="24" borderId="9" xfId="0" applyNumberFormat="1" applyFont="1" applyFill="1" applyBorder="1" applyAlignment="1">
      <alignment horizontal="center" vertical="center" wrapText="1"/>
    </xf>
    <xf numFmtId="43" fontId="20" fillId="24" borderId="49" xfId="3" applyFont="1" applyFill="1" applyBorder="1" applyAlignment="1">
      <alignment horizontal="center" vertical="center"/>
    </xf>
    <xf numFmtId="14" fontId="20" fillId="24" borderId="50" xfId="0" applyNumberFormat="1" applyFont="1" applyFill="1" applyBorder="1" applyAlignment="1">
      <alignment horizontal="center" vertical="center" wrapText="1"/>
    </xf>
    <xf numFmtId="0" fontId="20" fillId="24" borderId="51" xfId="0" applyFont="1" applyFill="1" applyBorder="1" applyAlignment="1">
      <alignment horizontal="center" vertical="center" wrapText="1"/>
    </xf>
    <xf numFmtId="43" fontId="22" fillId="24" borderId="51" xfId="3" applyFont="1" applyFill="1" applyBorder="1" applyAlignment="1">
      <alignment horizontal="center" vertical="center"/>
    </xf>
    <xf numFmtId="14" fontId="22" fillId="24" borderId="51" xfId="0" applyNumberFormat="1" applyFont="1" applyFill="1" applyBorder="1" applyAlignment="1">
      <alignment horizontal="center" vertical="center" wrapText="1"/>
    </xf>
    <xf numFmtId="43" fontId="22" fillId="24" borderId="51" xfId="3" applyFont="1" applyFill="1" applyBorder="1" applyAlignment="1">
      <alignment horizontal="center" vertical="center" wrapText="1"/>
    </xf>
    <xf numFmtId="44" fontId="22" fillId="24" borderId="51" xfId="4" applyFont="1" applyFill="1" applyBorder="1" applyAlignment="1">
      <alignment horizontal="center" vertical="center"/>
    </xf>
    <xf numFmtId="43" fontId="22" fillId="24" borderId="20" xfId="3" applyFont="1" applyFill="1" applyBorder="1" applyAlignment="1">
      <alignment horizontal="center" vertical="center"/>
    </xf>
    <xf numFmtId="14" fontId="1" fillId="4" borderId="34" xfId="0" applyNumberFormat="1" applyFont="1" applyFill="1" applyBorder="1" applyAlignment="1">
      <alignment horizontal="center" vertical="center" wrapText="1"/>
    </xf>
    <xf numFmtId="0" fontId="12" fillId="0" borderId="35" xfId="0" applyFont="1" applyBorder="1" applyAlignment="1">
      <alignment horizontal="center" vertical="center" wrapText="1"/>
    </xf>
    <xf numFmtId="0" fontId="12" fillId="0" borderId="13" xfId="0" applyFont="1" applyBorder="1" applyAlignment="1">
      <alignment horizontal="center" vertical="center" wrapText="1"/>
    </xf>
    <xf numFmtId="0" fontId="12" fillId="10" borderId="13" xfId="0" applyFont="1" applyFill="1" applyBorder="1" applyAlignment="1">
      <alignment horizontal="center" vertical="center" wrapText="1"/>
    </xf>
    <xf numFmtId="0" fontId="12" fillId="0" borderId="57" xfId="0" applyFont="1" applyBorder="1" applyAlignment="1">
      <alignment horizontal="center" vertical="center" wrapText="1"/>
    </xf>
    <xf numFmtId="0" fontId="12" fillId="0" borderId="28" xfId="0" applyFont="1" applyBorder="1" applyAlignment="1">
      <alignment horizontal="center" vertical="center" wrapText="1"/>
    </xf>
    <xf numFmtId="0" fontId="13" fillId="0" borderId="0" xfId="0" applyFont="1" applyAlignment="1">
      <alignment wrapText="1"/>
    </xf>
    <xf numFmtId="0" fontId="1" fillId="4" borderId="21" xfId="0" applyFont="1" applyFill="1" applyBorder="1" applyAlignment="1">
      <alignment horizontal="center" vertical="center" wrapText="1"/>
    </xf>
    <xf numFmtId="0" fontId="2" fillId="16" borderId="0" xfId="0" applyFont="1" applyFill="1" applyAlignment="1">
      <alignment horizontal="center" vertical="center" wrapText="1"/>
    </xf>
    <xf numFmtId="0" fontId="2" fillId="16" borderId="21" xfId="0" applyFont="1" applyFill="1" applyBorder="1" applyAlignment="1">
      <alignment horizontal="center" vertical="center" wrapText="1"/>
    </xf>
    <xf numFmtId="14" fontId="2" fillId="16" borderId="24" xfId="0" applyNumberFormat="1" applyFont="1" applyFill="1" applyBorder="1" applyAlignment="1">
      <alignment horizontal="center" vertical="center" wrapText="1"/>
    </xf>
    <xf numFmtId="0" fontId="11" fillId="0" borderId="0" xfId="0" applyFont="1" applyAlignment="1">
      <alignment wrapText="1"/>
    </xf>
    <xf numFmtId="14" fontId="12" fillId="10" borderId="13" xfId="0" applyNumberFormat="1"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13" fillId="0" borderId="0" xfId="0" applyFont="1" applyAlignment="1">
      <alignment horizontal="center" vertical="center" wrapText="1"/>
    </xf>
    <xf numFmtId="0" fontId="12" fillId="0" borderId="16" xfId="0" applyFont="1" applyBorder="1" applyAlignment="1">
      <alignment horizontal="center" vertical="center" wrapText="1"/>
    </xf>
    <xf numFmtId="0" fontId="13" fillId="8" borderId="0" xfId="0" applyFont="1" applyFill="1" applyAlignment="1">
      <alignment wrapText="1"/>
    </xf>
    <xf numFmtId="0" fontId="12" fillId="10" borderId="57" xfId="0" applyFont="1" applyFill="1" applyBorder="1" applyAlignment="1">
      <alignment horizontal="center" vertical="center" wrapText="1"/>
    </xf>
    <xf numFmtId="0" fontId="12" fillId="0" borderId="55" xfId="0" applyFont="1" applyBorder="1" applyAlignment="1">
      <alignment horizontal="center" vertical="center" wrapText="1"/>
    </xf>
    <xf numFmtId="0" fontId="12" fillId="10" borderId="28" xfId="0" applyFont="1" applyFill="1" applyBorder="1" applyAlignment="1">
      <alignment horizontal="center" vertical="center" wrapText="1"/>
    </xf>
    <xf numFmtId="0" fontId="12" fillId="0" borderId="56" xfId="0" applyFont="1" applyBorder="1" applyAlignment="1">
      <alignment horizontal="center" vertical="center" wrapText="1"/>
    </xf>
    <xf numFmtId="49" fontId="1" fillId="4" borderId="24" xfId="0" applyNumberFormat="1" applyFont="1" applyFill="1" applyBorder="1" applyAlignment="1">
      <alignment horizontal="center" vertical="center" wrapText="1"/>
    </xf>
    <xf numFmtId="49" fontId="12" fillId="0" borderId="13" xfId="0" applyNumberFormat="1" applyFont="1" applyBorder="1" applyAlignment="1">
      <alignment horizontal="center" vertical="center" wrapText="1"/>
    </xf>
    <xf numFmtId="0" fontId="2" fillId="25" borderId="0" xfId="0" applyFont="1" applyFill="1" applyAlignment="1">
      <alignment horizontal="center" vertical="center" wrapText="1"/>
    </xf>
    <xf numFmtId="0" fontId="2" fillId="25" borderId="21" xfId="0" applyFont="1" applyFill="1" applyBorder="1" applyAlignment="1">
      <alignment horizontal="center" vertical="center" wrapText="1"/>
    </xf>
    <xf numFmtId="14" fontId="2" fillId="25" borderId="24" xfId="0" applyNumberFormat="1" applyFont="1" applyFill="1" applyBorder="1" applyAlignment="1">
      <alignment horizontal="center" vertical="center" wrapText="1"/>
    </xf>
    <xf numFmtId="49" fontId="12" fillId="0" borderId="35" xfId="0" applyNumberFormat="1" applyFont="1" applyBorder="1" applyAlignment="1">
      <alignment horizontal="center" vertical="center" wrapText="1"/>
    </xf>
    <xf numFmtId="49" fontId="12" fillId="10" borderId="13" xfId="0" applyNumberFormat="1" applyFont="1" applyFill="1" applyBorder="1" applyAlignment="1">
      <alignment horizontal="center" vertical="center" wrapText="1"/>
    </xf>
    <xf numFmtId="49" fontId="12" fillId="0" borderId="57" xfId="0" applyNumberFormat="1" applyFont="1" applyBorder="1" applyAlignment="1">
      <alignment horizontal="center" vertical="center" wrapText="1"/>
    </xf>
    <xf numFmtId="49" fontId="12" fillId="0" borderId="28" xfId="0" applyNumberFormat="1" applyFont="1" applyBorder="1" applyAlignment="1">
      <alignment horizontal="center" vertical="center" wrapText="1"/>
    </xf>
    <xf numFmtId="49" fontId="13" fillId="0" borderId="0" xfId="0" applyNumberFormat="1" applyFont="1" applyAlignment="1">
      <alignment wrapText="1"/>
    </xf>
    <xf numFmtId="0" fontId="2" fillId="26" borderId="0" xfId="0" applyFont="1" applyFill="1" applyAlignment="1">
      <alignment horizontal="center" vertical="center" wrapText="1"/>
    </xf>
    <xf numFmtId="0" fontId="2" fillId="26" borderId="21" xfId="0" applyFont="1" applyFill="1" applyBorder="1" applyAlignment="1">
      <alignment horizontal="center" vertical="center" wrapText="1"/>
    </xf>
    <xf numFmtId="14" fontId="2" fillId="26" borderId="24" xfId="0" applyNumberFormat="1" applyFont="1" applyFill="1" applyBorder="1" applyAlignment="1">
      <alignment horizontal="center" vertical="center" wrapText="1"/>
    </xf>
    <xf numFmtId="14" fontId="12" fillId="0" borderId="13" xfId="0" applyNumberFormat="1" applyFont="1" applyBorder="1" applyAlignment="1">
      <alignment horizontal="center" vertical="center" wrapText="1"/>
    </xf>
    <xf numFmtId="0" fontId="2" fillId="3" borderId="0" xfId="0" applyFont="1" applyFill="1" applyAlignment="1">
      <alignment horizontal="center" vertical="center" wrapText="1"/>
    </xf>
    <xf numFmtId="0" fontId="2" fillId="3" borderId="21" xfId="0" applyFont="1" applyFill="1" applyBorder="1" applyAlignment="1">
      <alignment horizontal="center" vertical="center" wrapText="1"/>
    </xf>
    <xf numFmtId="14" fontId="2" fillId="3" borderId="24" xfId="0" applyNumberFormat="1" applyFont="1" applyFill="1" applyBorder="1" applyAlignment="1">
      <alignment horizontal="center" vertical="center" wrapText="1"/>
    </xf>
    <xf numFmtId="14" fontId="2" fillId="3" borderId="21" xfId="0" applyNumberFormat="1" applyFont="1" applyFill="1" applyBorder="1" applyAlignment="1">
      <alignment horizontal="center" vertical="center" wrapText="1"/>
    </xf>
    <xf numFmtId="14" fontId="12" fillId="0" borderId="35" xfId="0" applyNumberFormat="1" applyFont="1" applyBorder="1" applyAlignment="1">
      <alignment horizontal="center" vertical="center" wrapText="1"/>
    </xf>
    <xf numFmtId="167" fontId="1" fillId="4" borderId="24" xfId="0" applyNumberFormat="1" applyFont="1" applyFill="1" applyBorder="1" applyAlignment="1">
      <alignment horizontal="center" vertical="center" wrapText="1"/>
    </xf>
    <xf numFmtId="167" fontId="12" fillId="0" borderId="35" xfId="0" applyNumberFormat="1" applyFont="1" applyBorder="1" applyAlignment="1">
      <alignment horizontal="center" vertical="center" wrapText="1"/>
    </xf>
    <xf numFmtId="167" fontId="12" fillId="0" borderId="13" xfId="0" applyNumberFormat="1" applyFont="1" applyBorder="1" applyAlignment="1">
      <alignment horizontal="center" vertical="center" wrapText="1"/>
    </xf>
    <xf numFmtId="167" fontId="12" fillId="0" borderId="57" xfId="0" applyNumberFormat="1" applyFont="1" applyBorder="1" applyAlignment="1">
      <alignment horizontal="center" vertical="center" wrapText="1"/>
    </xf>
    <xf numFmtId="167" fontId="12" fillId="0" borderId="28" xfId="0" applyNumberFormat="1" applyFont="1" applyBorder="1" applyAlignment="1">
      <alignment horizontal="center" vertical="center" wrapText="1"/>
    </xf>
    <xf numFmtId="167" fontId="13" fillId="0" borderId="0" xfId="0" applyNumberFormat="1" applyFont="1" applyAlignment="1">
      <alignment wrapText="1"/>
    </xf>
    <xf numFmtId="0" fontId="1" fillId="4" borderId="56" xfId="0" applyFont="1" applyFill="1" applyBorder="1" applyAlignment="1">
      <alignment horizontal="center" vertical="center" wrapText="1"/>
    </xf>
    <xf numFmtId="0" fontId="1" fillId="4" borderId="98" xfId="0" applyFont="1" applyFill="1" applyBorder="1" applyAlignment="1">
      <alignment horizontal="center" vertical="center" wrapText="1"/>
    </xf>
    <xf numFmtId="0" fontId="12" fillId="0" borderId="99" xfId="0" applyFont="1" applyBorder="1" applyAlignment="1">
      <alignment horizontal="center" vertical="center"/>
    </xf>
    <xf numFmtId="0" fontId="12" fillId="0" borderId="100" xfId="0" applyFont="1" applyBorder="1" applyAlignment="1">
      <alignment horizontal="center" vertical="center"/>
    </xf>
    <xf numFmtId="0" fontId="12" fillId="0" borderId="101" xfId="0" applyFont="1" applyBorder="1" applyAlignment="1">
      <alignment horizontal="center" vertical="center"/>
    </xf>
    <xf numFmtId="1" fontId="12" fillId="0" borderId="30" xfId="0" applyNumberFormat="1" applyFont="1" applyBorder="1" applyAlignment="1">
      <alignment horizontal="center" vertical="center"/>
    </xf>
    <xf numFmtId="0" fontId="41" fillId="0" borderId="35" xfId="0" applyFont="1" applyBorder="1" applyAlignment="1">
      <alignment horizontal="center" vertical="center" wrapText="1"/>
    </xf>
    <xf numFmtId="0" fontId="41" fillId="0" borderId="13" xfId="0" applyFont="1" applyBorder="1" applyAlignment="1">
      <alignment horizontal="center" vertical="center" wrapText="1"/>
    </xf>
    <xf numFmtId="0" fontId="41" fillId="10" borderId="13" xfId="0" applyFont="1" applyFill="1" applyBorder="1" applyAlignment="1">
      <alignment horizontal="center" vertical="center" wrapText="1"/>
    </xf>
    <xf numFmtId="0" fontId="41" fillId="0" borderId="57" xfId="0" applyFont="1" applyBorder="1" applyAlignment="1">
      <alignment horizontal="center" vertical="center" wrapText="1"/>
    </xf>
    <xf numFmtId="0" fontId="41" fillId="0" borderId="28" xfId="0" applyFont="1" applyBorder="1" applyAlignment="1">
      <alignment horizontal="center" vertical="center" wrapText="1"/>
    </xf>
    <xf numFmtId="0" fontId="13" fillId="0" borderId="0" xfId="0" applyFont="1" applyAlignment="1">
      <alignment horizontal="center" wrapText="1"/>
    </xf>
    <xf numFmtId="14" fontId="41" fillId="10" borderId="13" xfId="0" applyNumberFormat="1" applyFont="1" applyFill="1" applyBorder="1" applyAlignment="1">
      <alignment horizontal="center" vertical="center" wrapText="1"/>
    </xf>
    <xf numFmtId="0" fontId="41" fillId="10" borderId="16" xfId="0" applyFont="1" applyFill="1" applyBorder="1" applyAlignment="1">
      <alignment horizontal="center" vertical="center" wrapText="1"/>
    </xf>
    <xf numFmtId="0" fontId="41" fillId="0" borderId="16" xfId="0" applyFont="1" applyBorder="1" applyAlignment="1">
      <alignment horizontal="center" vertical="center" wrapText="1"/>
    </xf>
    <xf numFmtId="14" fontId="41" fillId="0" borderId="13" xfId="0" applyNumberFormat="1" applyFont="1" applyBorder="1" applyAlignment="1">
      <alignment horizontal="center" vertical="center" wrapText="1"/>
    </xf>
    <xf numFmtId="0" fontId="41" fillId="10" borderId="57" xfId="0" applyFont="1" applyFill="1" applyBorder="1" applyAlignment="1">
      <alignment horizontal="center" vertical="center" wrapText="1"/>
    </xf>
    <xf numFmtId="0" fontId="41" fillId="0" borderId="55" xfId="0" applyFont="1" applyBorder="1" applyAlignment="1">
      <alignment horizontal="center" vertical="center" wrapText="1"/>
    </xf>
    <xf numFmtId="0" fontId="41" fillId="10" borderId="28" xfId="0" applyFont="1" applyFill="1" applyBorder="1" applyAlignment="1">
      <alignment horizontal="center" vertical="center" wrapText="1"/>
    </xf>
    <xf numFmtId="0" fontId="41" fillId="0" borderId="56" xfId="0" applyFont="1" applyBorder="1" applyAlignment="1">
      <alignment horizontal="center" vertical="center" wrapText="1"/>
    </xf>
    <xf numFmtId="0" fontId="14" fillId="0" borderId="102" xfId="0" applyFont="1" applyBorder="1" applyAlignment="1">
      <alignment horizontal="center" vertical="center" wrapText="1"/>
    </xf>
    <xf numFmtId="14" fontId="14" fillId="0" borderId="102" xfId="0" applyNumberFormat="1" applyFont="1" applyBorder="1" applyAlignment="1">
      <alignment horizontal="center" vertical="center" wrapText="1"/>
    </xf>
    <xf numFmtId="14" fontId="14" fillId="0" borderId="103" xfId="0" applyNumberFormat="1" applyFont="1" applyBorder="1" applyAlignment="1">
      <alignment horizontal="center" vertical="center" wrapText="1"/>
    </xf>
    <xf numFmtId="0" fontId="14" fillId="0" borderId="104" xfId="0" applyFont="1" applyBorder="1" applyAlignment="1">
      <alignment horizontal="center" vertical="center" wrapText="1"/>
    </xf>
    <xf numFmtId="0" fontId="12" fillId="0" borderId="75" xfId="0" applyFont="1" applyBorder="1" applyAlignment="1">
      <alignment horizontal="center" vertical="center" wrapText="1"/>
    </xf>
    <xf numFmtId="0" fontId="1" fillId="4" borderId="105" xfId="0" applyFont="1" applyFill="1" applyBorder="1" applyAlignment="1">
      <alignment horizontal="center" vertical="center" wrapText="1"/>
    </xf>
    <xf numFmtId="14" fontId="1" fillId="4" borderId="105" xfId="0" applyNumberFormat="1" applyFont="1" applyFill="1" applyBorder="1" applyAlignment="1">
      <alignment horizontal="center" vertical="center" wrapText="1"/>
    </xf>
    <xf numFmtId="167" fontId="1" fillId="4" borderId="105" xfId="0" applyNumberFormat="1" applyFont="1" applyFill="1" applyBorder="1" applyAlignment="1">
      <alignment horizontal="center" vertical="center" wrapText="1"/>
    </xf>
    <xf numFmtId="14" fontId="1" fillId="27" borderId="105" xfId="0" applyNumberFormat="1" applyFont="1" applyFill="1" applyBorder="1" applyAlignment="1">
      <alignment horizontal="center" vertical="center" wrapText="1"/>
    </xf>
    <xf numFmtId="14" fontId="1" fillId="28" borderId="105"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34" xfId="0" applyFont="1" applyFill="1" applyBorder="1" applyAlignment="1">
      <alignment horizontal="center" vertical="center" wrapText="1"/>
    </xf>
    <xf numFmtId="14" fontId="2" fillId="2" borderId="29" xfId="0" applyNumberFormat="1" applyFont="1" applyFill="1" applyBorder="1" applyAlignment="1">
      <alignment horizontal="center" vertical="center" wrapText="1"/>
    </xf>
    <xf numFmtId="14" fontId="2" fillId="2" borderId="34" xfId="0" applyNumberFormat="1" applyFont="1" applyFill="1" applyBorder="1" applyAlignment="1">
      <alignment horizontal="center" vertical="center" wrapText="1"/>
    </xf>
    <xf numFmtId="0" fontId="12" fillId="0" borderId="13" xfId="0" applyFont="1" applyBorder="1" applyAlignment="1">
      <alignment horizontal="left" vertical="center" wrapText="1"/>
    </xf>
    <xf numFmtId="0" fontId="12" fillId="0" borderId="35" xfId="0" applyFont="1" applyBorder="1" applyAlignment="1">
      <alignment horizontal="left" vertical="center" wrapText="1"/>
    </xf>
    <xf numFmtId="0" fontId="11" fillId="10" borderId="0" xfId="0" applyFont="1" applyFill="1" applyAlignment="1">
      <alignment wrapText="1"/>
    </xf>
    <xf numFmtId="0" fontId="13" fillId="10" borderId="0" xfId="0" applyFont="1" applyFill="1" applyAlignment="1">
      <alignment wrapText="1"/>
    </xf>
    <xf numFmtId="0" fontId="41" fillId="0" borderId="0" xfId="0" applyFont="1" applyAlignment="1">
      <alignment horizontal="center" vertical="center" wrapText="1"/>
    </xf>
    <xf numFmtId="0" fontId="42" fillId="0" borderId="13" xfId="0" applyFont="1" applyBorder="1" applyAlignment="1">
      <alignment horizontal="center" vertical="center"/>
    </xf>
    <xf numFmtId="0" fontId="42" fillId="0" borderId="13" xfId="0" applyFont="1" applyBorder="1" applyAlignment="1">
      <alignment horizontal="center" vertical="center" wrapText="1"/>
    </xf>
    <xf numFmtId="6" fontId="12" fillId="0" borderId="13" xfId="0" applyNumberFormat="1" applyFont="1" applyBorder="1" applyAlignment="1">
      <alignment horizontal="center" vertical="center" wrapText="1"/>
    </xf>
    <xf numFmtId="14" fontId="41" fillId="10" borderId="57" xfId="0" applyNumberFormat="1" applyFont="1" applyFill="1" applyBorder="1" applyAlignment="1">
      <alignment horizontal="center" vertical="center" wrapText="1"/>
    </xf>
    <xf numFmtId="0" fontId="10" fillId="26" borderId="60" xfId="0" applyFont="1" applyFill="1" applyBorder="1" applyAlignment="1">
      <alignment horizontal="center" vertical="center" wrapText="1"/>
    </xf>
    <xf numFmtId="0" fontId="2" fillId="16" borderId="62" xfId="0" applyFont="1" applyFill="1" applyBorder="1" applyAlignment="1">
      <alignment vertical="center" wrapText="1"/>
    </xf>
    <xf numFmtId="0" fontId="2" fillId="16" borderId="63" xfId="0" applyFont="1" applyFill="1" applyBorder="1" applyAlignment="1">
      <alignment vertical="center" wrapText="1"/>
    </xf>
    <xf numFmtId="0" fontId="1" fillId="4" borderId="86" xfId="0" applyFont="1" applyFill="1" applyBorder="1" applyAlignment="1">
      <alignment horizontal="center" vertical="center" wrapText="1"/>
    </xf>
    <xf numFmtId="0" fontId="1" fillId="4" borderId="87" xfId="0" applyFont="1" applyFill="1" applyBorder="1" applyAlignment="1">
      <alignment horizontal="center" vertical="center" wrapText="1"/>
    </xf>
    <xf numFmtId="0" fontId="1" fillId="4" borderId="88" xfId="0" applyFont="1" applyFill="1" applyBorder="1" applyAlignment="1">
      <alignment horizontal="center" vertical="center" wrapText="1"/>
    </xf>
    <xf numFmtId="9" fontId="12" fillId="0" borderId="13" xfId="1" applyFont="1" applyBorder="1" applyAlignment="1">
      <alignment horizontal="center" vertical="center"/>
    </xf>
    <xf numFmtId="0" fontId="12" fillId="10" borderId="89" xfId="0" applyFont="1" applyFill="1" applyBorder="1" applyAlignment="1">
      <alignment horizontal="center" vertical="center"/>
    </xf>
    <xf numFmtId="9" fontId="12" fillId="0" borderId="14" xfId="1" applyFont="1" applyBorder="1" applyAlignment="1">
      <alignment horizontal="center" vertical="center"/>
    </xf>
    <xf numFmtId="14" fontId="1" fillId="6" borderId="24" xfId="0" applyNumberFormat="1" applyFont="1" applyFill="1" applyBorder="1" applyAlignment="1">
      <alignment horizontal="center" vertical="center" textRotation="90" wrapText="1"/>
    </xf>
    <xf numFmtId="0" fontId="1" fillId="4" borderId="27" xfId="0" applyFont="1" applyFill="1" applyBorder="1" applyAlignment="1">
      <alignment horizontal="center" vertical="center" wrapText="1"/>
    </xf>
    <xf numFmtId="0" fontId="12" fillId="0" borderId="94" xfId="0" applyFont="1" applyBorder="1" applyAlignment="1">
      <alignment horizontal="center" vertical="center"/>
    </xf>
    <xf numFmtId="0" fontId="12" fillId="0" borderId="96" xfId="0" applyFont="1" applyBorder="1" applyAlignment="1">
      <alignment horizontal="center" vertical="center"/>
    </xf>
    <xf numFmtId="0" fontId="12" fillId="0" borderId="95" xfId="0" applyFont="1" applyBorder="1" applyAlignment="1">
      <alignment horizontal="center" vertical="center"/>
    </xf>
    <xf numFmtId="0" fontId="10" fillId="26" borderId="60" xfId="0" applyFont="1" applyFill="1" applyBorder="1" applyAlignment="1">
      <alignment vertical="center" wrapText="1"/>
    </xf>
    <xf numFmtId="0" fontId="10" fillId="26" borderId="22" xfId="0" applyFont="1" applyFill="1" applyBorder="1" applyAlignment="1">
      <alignment vertical="center" wrapText="1"/>
    </xf>
    <xf numFmtId="0" fontId="2" fillId="26" borderId="60" xfId="0" applyFont="1" applyFill="1" applyBorder="1" applyAlignment="1">
      <alignment vertical="center" wrapText="1"/>
    </xf>
    <xf numFmtId="14" fontId="20" fillId="22" borderId="48" xfId="0" applyNumberFormat="1" applyFont="1" applyFill="1" applyBorder="1" applyAlignment="1">
      <alignment horizontal="center" vertical="center" wrapText="1"/>
    </xf>
    <xf numFmtId="14" fontId="20" fillId="22" borderId="48" xfId="3" applyNumberFormat="1" applyFont="1" applyFill="1" applyBorder="1" applyAlignment="1">
      <alignment horizontal="center" vertical="center" wrapText="1"/>
    </xf>
    <xf numFmtId="43" fontId="20" fillId="22" borderId="48" xfId="3" applyFont="1" applyFill="1" applyBorder="1" applyAlignment="1">
      <alignment horizontal="left" vertical="center" wrapText="1"/>
    </xf>
    <xf numFmtId="43" fontId="21" fillId="22" borderId="48" xfId="3" applyFont="1" applyFill="1" applyBorder="1" applyAlignment="1">
      <alignment horizontal="center" vertical="center"/>
    </xf>
    <xf numFmtId="0" fontId="21" fillId="22" borderId="48" xfId="3" applyNumberFormat="1" applyFont="1" applyFill="1" applyBorder="1" applyAlignment="1">
      <alignment horizontal="center" vertical="center"/>
    </xf>
    <xf numFmtId="14" fontId="43" fillId="7" borderId="24" xfId="0" applyNumberFormat="1" applyFont="1" applyFill="1" applyBorder="1" applyAlignment="1">
      <alignment horizontal="center" vertical="center" textRotation="90" wrapText="1"/>
    </xf>
    <xf numFmtId="0" fontId="44" fillId="0" borderId="0" xfId="0" applyFont="1"/>
    <xf numFmtId="0" fontId="45" fillId="0" borderId="55" xfId="0" applyFont="1" applyBorder="1" applyAlignment="1">
      <alignment horizontal="center" vertical="center"/>
    </xf>
    <xf numFmtId="14" fontId="41" fillId="0" borderId="57" xfId="0" applyNumberFormat="1" applyFont="1" applyBorder="1" applyAlignment="1">
      <alignment horizontal="center" vertical="center" wrapText="1"/>
    </xf>
    <xf numFmtId="0" fontId="0" fillId="0" borderId="108" xfId="0" applyBorder="1" applyAlignment="1">
      <alignment horizontal="center" vertical="center"/>
    </xf>
    <xf numFmtId="14" fontId="12" fillId="0" borderId="57" xfId="0" applyNumberFormat="1" applyFont="1" applyBorder="1" applyAlignment="1">
      <alignment horizontal="center" vertical="center" wrapText="1"/>
    </xf>
    <xf numFmtId="14" fontId="12" fillId="10" borderId="57" xfId="0" applyNumberFormat="1" applyFont="1" applyFill="1" applyBorder="1" applyAlignment="1">
      <alignment horizontal="center" vertical="center" wrapText="1"/>
    </xf>
    <xf numFmtId="14" fontId="46" fillId="10" borderId="57" xfId="0" applyNumberFormat="1" applyFont="1" applyFill="1" applyBorder="1" applyAlignment="1">
      <alignment horizontal="center" vertical="center" wrapText="1"/>
    </xf>
    <xf numFmtId="0" fontId="46" fillId="10" borderId="57" xfId="0" applyFont="1" applyFill="1" applyBorder="1" applyAlignment="1">
      <alignment horizontal="center" vertical="center" wrapText="1"/>
    </xf>
    <xf numFmtId="0" fontId="46" fillId="0" borderId="55" xfId="0" applyFont="1" applyBorder="1" applyAlignment="1">
      <alignment horizontal="center" vertical="center" wrapText="1"/>
    </xf>
    <xf numFmtId="0" fontId="46" fillId="0" borderId="57" xfId="0" applyFont="1" applyBorder="1" applyAlignment="1">
      <alignment horizontal="center" vertical="center" wrapText="1"/>
    </xf>
    <xf numFmtId="167" fontId="46" fillId="0" borderId="57" xfId="0" applyNumberFormat="1" applyFont="1" applyBorder="1" applyAlignment="1">
      <alignment horizontal="center" vertical="center" wrapText="1"/>
    </xf>
    <xf numFmtId="14" fontId="46" fillId="0" borderId="57" xfId="0" applyNumberFormat="1" applyFont="1" applyBorder="1" applyAlignment="1">
      <alignment horizontal="center" vertical="center" wrapText="1"/>
    </xf>
    <xf numFmtId="14" fontId="21" fillId="21" borderId="43" xfId="0" applyNumberFormat="1" applyFont="1" applyFill="1" applyBorder="1" applyAlignment="1">
      <alignment horizontal="center" vertical="center" wrapText="1"/>
    </xf>
    <xf numFmtId="0" fontId="22" fillId="0" borderId="11" xfId="0" applyFont="1" applyBorder="1" applyAlignment="1">
      <alignment horizontal="center" vertical="center"/>
    </xf>
    <xf numFmtId="43" fontId="22" fillId="21" borderId="9" xfId="3" applyFont="1" applyFill="1" applyBorder="1" applyAlignment="1">
      <alignment horizontal="center" vertical="center"/>
    </xf>
    <xf numFmtId="14" fontId="22" fillId="21" borderId="9" xfId="3" applyNumberFormat="1" applyFont="1" applyFill="1" applyBorder="1" applyAlignment="1">
      <alignment horizontal="center" vertical="center"/>
    </xf>
    <xf numFmtId="0" fontId="22" fillId="21" borderId="9" xfId="0" applyFont="1" applyFill="1" applyBorder="1" applyAlignment="1">
      <alignment horizontal="center" vertical="center" wrapText="1"/>
    </xf>
    <xf numFmtId="43" fontId="22" fillId="21" borderId="9" xfId="3" applyFont="1" applyFill="1" applyBorder="1" applyAlignment="1">
      <alignment horizontal="center" vertical="center" wrapText="1"/>
    </xf>
    <xf numFmtId="0" fontId="37" fillId="19" borderId="0" xfId="0" applyFont="1" applyFill="1" applyAlignment="1">
      <alignment horizontal="center" vertical="center" textRotation="90" wrapText="1"/>
    </xf>
    <xf numFmtId="0" fontId="41" fillId="0" borderId="75" xfId="0" applyFont="1" applyBorder="1" applyAlignment="1">
      <alignment horizontal="center" vertical="center" wrapText="1"/>
    </xf>
    <xf numFmtId="14" fontId="47" fillId="10" borderId="13" xfId="0" applyNumberFormat="1" applyFont="1" applyFill="1" applyBorder="1" applyAlignment="1">
      <alignment horizontal="center" vertical="center" wrapText="1"/>
    </xf>
    <xf numFmtId="0" fontId="47" fillId="10" borderId="13" xfId="0" applyFont="1" applyFill="1" applyBorder="1" applyAlignment="1">
      <alignment horizontal="center" vertical="center" wrapText="1"/>
    </xf>
    <xf numFmtId="0" fontId="47" fillId="10" borderId="16" xfId="0" applyFont="1" applyFill="1" applyBorder="1" applyAlignment="1">
      <alignment horizontal="center" vertical="center" wrapText="1"/>
    </xf>
    <xf numFmtId="0" fontId="47" fillId="0" borderId="13" xfId="0" applyFont="1" applyBorder="1" applyAlignment="1">
      <alignment horizontal="center" vertical="center" wrapText="1"/>
    </xf>
    <xf numFmtId="167" fontId="47" fillId="0" borderId="13" xfId="0" applyNumberFormat="1" applyFont="1" applyBorder="1" applyAlignment="1">
      <alignment horizontal="center" vertical="center" wrapText="1"/>
    </xf>
    <xf numFmtId="14" fontId="47" fillId="0" borderId="13" xfId="0" applyNumberFormat="1" applyFont="1" applyBorder="1" applyAlignment="1">
      <alignment horizontal="center" vertical="center" wrapText="1"/>
    </xf>
    <xf numFmtId="0" fontId="28" fillId="0" borderId="0" xfId="0" applyFont="1" applyAlignment="1">
      <alignment wrapText="1"/>
    </xf>
    <xf numFmtId="14" fontId="13" fillId="0" borderId="57" xfId="0" applyNumberFormat="1" applyFont="1" applyBorder="1" applyAlignment="1">
      <alignment horizontal="center" vertical="center" wrapText="1"/>
    </xf>
    <xf numFmtId="0" fontId="13" fillId="0" borderId="57" xfId="0" applyFont="1" applyBorder="1" applyAlignment="1">
      <alignment horizontal="center" vertical="center" wrapText="1"/>
    </xf>
    <xf numFmtId="0" fontId="13" fillId="0" borderId="55" xfId="0" applyFont="1" applyBorder="1" applyAlignment="1">
      <alignment horizontal="center" vertical="center" wrapText="1"/>
    </xf>
    <xf numFmtId="14" fontId="13" fillId="0" borderId="0" xfId="0" applyNumberFormat="1" applyFont="1" applyAlignment="1">
      <alignment horizontal="center" vertical="center" wrapText="1"/>
    </xf>
    <xf numFmtId="0" fontId="13" fillId="0" borderId="64" xfId="0" applyFont="1" applyBorder="1" applyAlignment="1">
      <alignment horizontal="center" vertical="center" wrapText="1"/>
    </xf>
    <xf numFmtId="43" fontId="20" fillId="22" borderId="9" xfId="3" applyFont="1" applyFill="1" applyBorder="1" applyAlignment="1">
      <alignment horizontal="left" vertical="center" wrapText="1"/>
    </xf>
    <xf numFmtId="167" fontId="13" fillId="0" borderId="57" xfId="0" applyNumberFormat="1" applyFont="1" applyBorder="1" applyAlignment="1">
      <alignment horizontal="center" vertical="center" wrapText="1"/>
    </xf>
    <xf numFmtId="0" fontId="11" fillId="0" borderId="0" xfId="0" applyFont="1" applyAlignment="1">
      <alignment horizontal="center" vertical="center" wrapText="1"/>
    </xf>
    <xf numFmtId="167" fontId="13" fillId="0" borderId="0" xfId="0" applyNumberFormat="1" applyFont="1" applyAlignment="1">
      <alignment horizontal="center" vertical="center" wrapText="1"/>
    </xf>
    <xf numFmtId="0" fontId="0" fillId="0" borderId="57" xfId="0" applyBorder="1"/>
    <xf numFmtId="0" fontId="13" fillId="0" borderId="109" xfId="0" applyFont="1" applyBorder="1" applyAlignment="1">
      <alignment horizontal="center" vertical="center" wrapText="1"/>
    </xf>
    <xf numFmtId="0" fontId="14" fillId="16" borderId="9" xfId="0" applyFont="1" applyFill="1" applyBorder="1" applyAlignment="1">
      <alignment horizontal="center" vertical="center" wrapText="1"/>
    </xf>
    <xf numFmtId="0" fontId="0" fillId="0" borderId="0" xfId="0" applyAlignment="1">
      <alignment horizontal="center" vertical="center" wrapText="1"/>
    </xf>
    <xf numFmtId="14" fontId="0" fillId="0" borderId="9" xfId="0" applyNumberFormat="1" applyBorder="1" applyAlignment="1">
      <alignment horizontal="center" vertical="center" wrapText="1"/>
    </xf>
    <xf numFmtId="0" fontId="2" fillId="7" borderId="21" xfId="0" applyFont="1" applyFill="1" applyBorder="1" applyAlignment="1">
      <alignment horizontal="center" vertical="center" wrapText="1"/>
    </xf>
    <xf numFmtId="0" fontId="2" fillId="7" borderId="0" xfId="0" applyFont="1" applyFill="1" applyAlignment="1">
      <alignment horizontal="center" vertical="center" wrapText="1"/>
    </xf>
    <xf numFmtId="14" fontId="2" fillId="7" borderId="24" xfId="0" applyNumberFormat="1" applyFont="1" applyFill="1" applyBorder="1" applyAlignment="1">
      <alignment horizontal="center" vertical="center" wrapText="1"/>
    </xf>
    <xf numFmtId="14" fontId="2" fillId="7" borderId="21" xfId="0" applyNumberFormat="1" applyFont="1" applyFill="1" applyBorder="1" applyAlignment="1">
      <alignment horizontal="center" vertical="center" wrapText="1"/>
    </xf>
    <xf numFmtId="0" fontId="13" fillId="0" borderId="110" xfId="0" applyFont="1" applyBorder="1" applyAlignment="1">
      <alignment horizontal="center" vertical="center" wrapText="1"/>
    </xf>
    <xf numFmtId="0" fontId="12" fillId="29" borderId="57" xfId="0" applyFont="1" applyFill="1" applyBorder="1" applyAlignment="1">
      <alignment horizontal="center" vertical="center" wrapText="1"/>
    </xf>
    <xf numFmtId="0" fontId="41" fillId="10" borderId="75" xfId="0" applyFont="1" applyFill="1" applyBorder="1" applyAlignment="1">
      <alignment horizontal="center" vertical="center" wrapText="1"/>
    </xf>
    <xf numFmtId="167" fontId="12" fillId="29" borderId="57" xfId="0" applyNumberFormat="1" applyFont="1" applyFill="1" applyBorder="1" applyAlignment="1">
      <alignment horizontal="center" vertical="center" wrapText="1"/>
    </xf>
    <xf numFmtId="14" fontId="12" fillId="0" borderId="28" xfId="0" applyNumberFormat="1" applyFont="1" applyBorder="1" applyAlignment="1">
      <alignment horizontal="center" vertical="center" wrapText="1"/>
    </xf>
    <xf numFmtId="14" fontId="13" fillId="0" borderId="0" xfId="0" applyNumberFormat="1" applyFont="1" applyAlignment="1">
      <alignment wrapText="1"/>
    </xf>
    <xf numFmtId="0" fontId="1" fillId="4" borderId="13" xfId="0" applyFont="1" applyFill="1" applyBorder="1" applyAlignment="1">
      <alignment horizontal="center" vertical="center" wrapText="1"/>
    </xf>
    <xf numFmtId="0" fontId="1" fillId="4" borderId="16" xfId="0" applyFont="1" applyFill="1" applyBorder="1" applyAlignment="1">
      <alignment horizontal="center" vertical="center" wrapText="1"/>
    </xf>
    <xf numFmtId="14" fontId="1" fillId="4" borderId="13" xfId="0" applyNumberFormat="1" applyFont="1" applyFill="1" applyBorder="1" applyAlignment="1">
      <alignment horizontal="center" vertical="center" wrapText="1"/>
    </xf>
    <xf numFmtId="14" fontId="1" fillId="4" borderId="57" xfId="0" applyNumberFormat="1" applyFont="1" applyFill="1" applyBorder="1" applyAlignment="1">
      <alignment horizontal="center" vertical="center" wrapText="1"/>
    </xf>
    <xf numFmtId="167" fontId="1" fillId="4" borderId="57" xfId="0" applyNumberFormat="1" applyFont="1" applyFill="1" applyBorder="1" applyAlignment="1">
      <alignment horizontal="center" vertical="center" wrapText="1"/>
    </xf>
    <xf numFmtId="168" fontId="12" fillId="0" borderId="35" xfId="0" applyNumberFormat="1" applyFont="1" applyBorder="1" applyAlignment="1">
      <alignment horizontal="center" vertical="center" wrapText="1"/>
    </xf>
    <xf numFmtId="168" fontId="12" fillId="0" borderId="13" xfId="0" applyNumberFormat="1" applyFont="1" applyBorder="1" applyAlignment="1">
      <alignment horizontal="center" vertical="center" wrapText="1"/>
    </xf>
    <xf numFmtId="168" fontId="12" fillId="10" borderId="13" xfId="0" applyNumberFormat="1" applyFont="1" applyFill="1" applyBorder="1" applyAlignment="1">
      <alignment horizontal="center" vertical="center" wrapText="1"/>
    </xf>
    <xf numFmtId="168" fontId="12" fillId="0" borderId="57" xfId="0" applyNumberFormat="1" applyFont="1" applyBorder="1" applyAlignment="1">
      <alignment horizontal="center" vertical="center" wrapText="1"/>
    </xf>
    <xf numFmtId="168" fontId="12" fillId="0" borderId="28" xfId="0" applyNumberFormat="1" applyFont="1" applyBorder="1" applyAlignment="1">
      <alignment horizontal="center" vertical="center" wrapText="1"/>
    </xf>
    <xf numFmtId="168" fontId="13" fillId="0" borderId="0" xfId="0" applyNumberFormat="1" applyFont="1" applyAlignment="1">
      <alignment wrapText="1"/>
    </xf>
    <xf numFmtId="0" fontId="41" fillId="0" borderId="0" xfId="0" applyFont="1" applyAlignment="1">
      <alignment wrapText="1"/>
    </xf>
    <xf numFmtId="0" fontId="41" fillId="0" borderId="109" xfId="0" applyFont="1" applyBorder="1" applyAlignment="1">
      <alignment vertical="center" wrapText="1"/>
    </xf>
    <xf numFmtId="14" fontId="20" fillId="22" borderId="9" xfId="3" applyNumberFormat="1" applyFont="1" applyFill="1" applyBorder="1" applyAlignment="1">
      <alignment horizontal="center" vertical="center" wrapText="1"/>
    </xf>
    <xf numFmtId="0" fontId="13" fillId="0" borderId="111" xfId="0" applyFont="1" applyBorder="1" applyAlignment="1">
      <alignment horizontal="center" vertical="center" wrapText="1"/>
    </xf>
    <xf numFmtId="0" fontId="13" fillId="0" borderId="112" xfId="0" applyFont="1" applyBorder="1" applyAlignment="1">
      <alignment horizontal="center" vertical="center" wrapText="1"/>
    </xf>
    <xf numFmtId="0" fontId="0" fillId="0" borderId="111" xfId="0" applyBorder="1" applyAlignment="1">
      <alignment horizontal="center" vertical="center"/>
    </xf>
    <xf numFmtId="0" fontId="0" fillId="0" borderId="113" xfId="0" applyBorder="1" applyAlignment="1">
      <alignment horizontal="center" vertical="center"/>
    </xf>
    <xf numFmtId="0" fontId="0" fillId="0" borderId="112" xfId="0" applyBorder="1" applyAlignment="1">
      <alignment horizontal="center" vertical="center"/>
    </xf>
    <xf numFmtId="164" fontId="0" fillId="10" borderId="0" xfId="0" applyNumberFormat="1" applyFill="1"/>
    <xf numFmtId="0" fontId="0" fillId="0" borderId="43" xfId="0" applyBorder="1" applyAlignment="1">
      <alignment horizontal="center" vertical="center"/>
    </xf>
    <xf numFmtId="0" fontId="0" fillId="0" borderId="40" xfId="0" applyBorder="1" applyAlignment="1">
      <alignment horizontal="center" vertical="center"/>
    </xf>
    <xf numFmtId="0" fontId="0" fillId="10" borderId="0" xfId="0" applyFill="1" applyAlignment="1">
      <alignment horizontal="right"/>
    </xf>
    <xf numFmtId="43" fontId="0" fillId="10" borderId="0" xfId="3" applyFont="1" applyFill="1"/>
    <xf numFmtId="169" fontId="0" fillId="10" borderId="0" xfId="3" applyNumberFormat="1" applyFont="1" applyFill="1"/>
    <xf numFmtId="0" fontId="2" fillId="16" borderId="60" xfId="0" applyFont="1" applyFill="1" applyBorder="1" applyAlignment="1">
      <alignment horizontal="center" vertical="center" wrapText="1"/>
    </xf>
    <xf numFmtId="0" fontId="27" fillId="6" borderId="70" xfId="5" applyFont="1" applyFill="1" applyBorder="1" applyAlignment="1">
      <alignment horizontal="center" vertical="center" wrapText="1"/>
    </xf>
    <xf numFmtId="0" fontId="27" fillId="6" borderId="0" xfId="5" applyFont="1" applyFill="1" applyBorder="1" applyAlignment="1">
      <alignment horizontal="center" vertical="center" wrapText="1"/>
    </xf>
    <xf numFmtId="0" fontId="2" fillId="16" borderId="22" xfId="0" applyFont="1" applyFill="1" applyBorder="1" applyAlignment="1">
      <alignment horizontal="center" vertical="center" wrapText="1"/>
    </xf>
    <xf numFmtId="0" fontId="2" fillId="16" borderId="62" xfId="0" applyFont="1" applyFill="1" applyBorder="1" applyAlignment="1">
      <alignment horizontal="center" vertical="center" wrapText="1"/>
    </xf>
    <xf numFmtId="0" fontId="1" fillId="4" borderId="61"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4" borderId="60"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1" fillId="4" borderId="54" xfId="0" applyFont="1" applyFill="1" applyBorder="1" applyAlignment="1">
      <alignment horizontal="center" vertical="center" wrapText="1"/>
    </xf>
    <xf numFmtId="0" fontId="1" fillId="4" borderId="65" xfId="0" applyFont="1" applyFill="1" applyBorder="1" applyAlignment="1">
      <alignment horizontal="center" vertical="center" wrapText="1"/>
    </xf>
    <xf numFmtId="0" fontId="1" fillId="4" borderId="21" xfId="0" applyFont="1" applyFill="1" applyBorder="1" applyAlignment="1">
      <alignment horizontal="center" vertical="center"/>
    </xf>
    <xf numFmtId="0" fontId="1" fillId="4" borderId="60" xfId="0" applyFont="1" applyFill="1" applyBorder="1" applyAlignment="1">
      <alignment horizontal="center" vertical="center"/>
    </xf>
    <xf numFmtId="0" fontId="1" fillId="4" borderId="22" xfId="0" applyFont="1" applyFill="1" applyBorder="1" applyAlignment="1">
      <alignment horizontal="center" vertical="center"/>
    </xf>
    <xf numFmtId="0" fontId="13" fillId="10" borderId="0" xfId="0" applyFont="1" applyFill="1" applyAlignment="1">
      <alignment horizontal="center" vertical="center"/>
    </xf>
    <xf numFmtId="0" fontId="0" fillId="0" borderId="15" xfId="0" applyBorder="1" applyAlignment="1">
      <alignment horizontal="center"/>
    </xf>
    <xf numFmtId="0" fontId="0" fillId="0" borderId="93" xfId="0" applyBorder="1" applyAlignment="1">
      <alignment horizontal="center"/>
    </xf>
    <xf numFmtId="9" fontId="31" fillId="10" borderId="0" xfId="1" applyFont="1" applyFill="1" applyBorder="1" applyAlignment="1">
      <alignment horizontal="center" vertical="center"/>
    </xf>
    <xf numFmtId="0" fontId="10" fillId="16" borderId="21" xfId="0" applyFont="1" applyFill="1" applyBorder="1" applyAlignment="1">
      <alignment horizontal="center" vertical="center" wrapText="1"/>
    </xf>
    <xf numFmtId="0" fontId="10" fillId="16" borderId="60" xfId="0" applyFont="1" applyFill="1" applyBorder="1" applyAlignment="1">
      <alignment horizontal="center" vertical="center" wrapText="1"/>
    </xf>
    <xf numFmtId="0" fontId="10" fillId="16" borderId="22"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7" borderId="97" xfId="0" applyFont="1" applyFill="1" applyBorder="1" applyAlignment="1">
      <alignment horizontal="center" vertical="center" wrapText="1"/>
    </xf>
    <xf numFmtId="0" fontId="2" fillId="7" borderId="69" xfId="0" applyFont="1" applyFill="1" applyBorder="1" applyAlignment="1">
      <alignment horizontal="center" vertical="center"/>
    </xf>
    <xf numFmtId="0" fontId="2" fillId="7" borderId="61" xfId="0" applyFont="1" applyFill="1" applyBorder="1" applyAlignment="1">
      <alignment horizontal="center" vertical="center"/>
    </xf>
    <xf numFmtId="0" fontId="2" fillId="7" borderId="60" xfId="0" applyFont="1" applyFill="1" applyBorder="1" applyAlignment="1">
      <alignment horizontal="center" vertical="center"/>
    </xf>
    <xf numFmtId="0" fontId="2" fillId="7" borderId="34" xfId="0" applyFont="1" applyFill="1" applyBorder="1" applyAlignment="1">
      <alignment horizontal="center" vertical="center" wrapText="1"/>
    </xf>
    <xf numFmtId="0" fontId="2" fillId="7" borderId="63" xfId="0" applyFont="1" applyFill="1" applyBorder="1" applyAlignment="1">
      <alignment horizontal="center" vertical="center" wrapText="1"/>
    </xf>
    <xf numFmtId="0" fontId="10" fillId="25" borderId="21" xfId="0" applyFont="1" applyFill="1" applyBorder="1" applyAlignment="1">
      <alignment horizontal="center" vertical="center" wrapText="1"/>
    </xf>
    <xf numFmtId="0" fontId="10" fillId="25" borderId="60" xfId="0" applyFont="1" applyFill="1" applyBorder="1" applyAlignment="1">
      <alignment horizontal="center" vertical="center" wrapText="1"/>
    </xf>
    <xf numFmtId="0" fontId="10" fillId="26" borderId="21" xfId="0" applyFont="1" applyFill="1" applyBorder="1" applyAlignment="1">
      <alignment horizontal="center" vertical="center" wrapText="1"/>
    </xf>
    <xf numFmtId="0" fontId="10" fillId="26" borderId="60" xfId="0" applyFont="1" applyFill="1" applyBorder="1" applyAlignment="1">
      <alignment horizontal="center" vertical="center" wrapText="1"/>
    </xf>
    <xf numFmtId="0" fontId="10" fillId="26" borderId="22"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 borderId="27" xfId="0" applyFont="1" applyFill="1" applyBorder="1" applyAlignment="1">
      <alignment horizontal="center" vertical="center" wrapText="1"/>
    </xf>
    <xf numFmtId="0" fontId="10" fillId="3" borderId="26" xfId="0" applyFont="1" applyFill="1" applyBorder="1" applyAlignment="1">
      <alignment horizontal="center" vertical="center"/>
    </xf>
    <xf numFmtId="0" fontId="10" fillId="3" borderId="21" xfId="0" applyFont="1" applyFill="1" applyBorder="1" applyAlignment="1">
      <alignment horizontal="center" vertical="center" wrapText="1"/>
    </xf>
    <xf numFmtId="0" fontId="10" fillId="3" borderId="60"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60"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62" xfId="0" applyFont="1" applyFill="1" applyBorder="1" applyAlignment="1">
      <alignment horizontal="center" vertical="center" wrapText="1"/>
    </xf>
    <xf numFmtId="0" fontId="14" fillId="27" borderId="105" xfId="0" applyFont="1" applyFill="1" applyBorder="1" applyAlignment="1">
      <alignment horizontal="center" vertical="center" wrapText="1"/>
    </xf>
    <xf numFmtId="0" fontId="14" fillId="28" borderId="105" xfId="0" applyFont="1" applyFill="1" applyBorder="1" applyAlignment="1">
      <alignment horizontal="center" vertical="center" wrapText="1"/>
    </xf>
    <xf numFmtId="14" fontId="10" fillId="2" borderId="106" xfId="0" applyNumberFormat="1" applyFont="1" applyFill="1" applyBorder="1" applyAlignment="1">
      <alignment horizontal="center" vertical="center" wrapText="1"/>
    </xf>
    <xf numFmtId="14" fontId="10" fillId="2" borderId="107" xfId="0" applyNumberFormat="1" applyFont="1" applyFill="1" applyBorder="1" applyAlignment="1">
      <alignment horizontal="center" vertical="center" wrapText="1"/>
    </xf>
    <xf numFmtId="0" fontId="10" fillId="2" borderId="106" xfId="0" applyFont="1" applyFill="1" applyBorder="1" applyAlignment="1">
      <alignment horizontal="center" vertical="center" wrapText="1"/>
    </xf>
    <xf numFmtId="0" fontId="10" fillId="2" borderId="107" xfId="0" applyFont="1" applyFill="1" applyBorder="1" applyAlignment="1">
      <alignment horizontal="center" vertical="center" wrapText="1"/>
    </xf>
    <xf numFmtId="0" fontId="33" fillId="10" borderId="34" xfId="0" applyFont="1" applyFill="1" applyBorder="1" applyAlignment="1">
      <alignment horizontal="center" vertical="center"/>
    </xf>
    <xf numFmtId="0" fontId="33" fillId="10" borderId="62" xfId="0" applyFont="1" applyFill="1" applyBorder="1" applyAlignment="1">
      <alignment horizontal="center" vertical="center"/>
    </xf>
    <xf numFmtId="0" fontId="33" fillId="10" borderId="63" xfId="0" applyFont="1" applyFill="1" applyBorder="1" applyAlignment="1">
      <alignment horizontal="center" vertical="center"/>
    </xf>
    <xf numFmtId="0" fontId="33" fillId="10" borderId="55" xfId="0" applyFont="1" applyFill="1" applyBorder="1" applyAlignment="1">
      <alignment horizontal="center" vertical="center"/>
    </xf>
    <xf numFmtId="0" fontId="33" fillId="10" borderId="0" xfId="0" applyFont="1" applyFill="1" applyAlignment="1">
      <alignment horizontal="center" vertical="center"/>
    </xf>
    <xf numFmtId="0" fontId="33" fillId="10" borderId="64" xfId="0" applyFont="1" applyFill="1" applyBorder="1" applyAlignment="1">
      <alignment horizontal="center" vertical="center"/>
    </xf>
    <xf numFmtId="0" fontId="33" fillId="10" borderId="56" xfId="0" applyFont="1" applyFill="1" applyBorder="1" applyAlignment="1">
      <alignment horizontal="center" vertical="center"/>
    </xf>
    <xf numFmtId="0" fontId="33" fillId="10" borderId="61" xfId="0" applyFont="1" applyFill="1" applyBorder="1" applyAlignment="1">
      <alignment horizontal="center" vertical="center"/>
    </xf>
    <xf numFmtId="0" fontId="33" fillId="10" borderId="68" xfId="0" applyFont="1" applyFill="1" applyBorder="1" applyAlignment="1">
      <alignment horizontal="center" vertical="center"/>
    </xf>
  </cellXfs>
  <cellStyles count="20">
    <cellStyle name="Lien hypertexte" xfId="15" builtinId="8"/>
    <cellStyle name="Milliers" xfId="3" builtinId="3"/>
    <cellStyle name="Milliers 2" xfId="7" xr:uid="{830DF84C-C5F3-4E7A-BAEB-697E7E318E44}"/>
    <cellStyle name="Milliers 3" xfId="16" xr:uid="{28249761-0120-4CED-AE74-BEB038F03584}"/>
    <cellStyle name="Monétaire" xfId="4" builtinId="4"/>
    <cellStyle name="Monétaire 2" xfId="13" xr:uid="{D1BB12D7-A324-4DD4-86C9-9C4C84E1666C}"/>
    <cellStyle name="Monétaire 2 2" xfId="17" xr:uid="{0DDBF45F-DBA8-4423-B87D-6DB1CCE026B2}"/>
    <cellStyle name="Monétaire 3" xfId="8" xr:uid="{A5F6E12F-329F-4C83-AFE5-BEC9454201CB}"/>
    <cellStyle name="Monétaire 3 2" xfId="18" xr:uid="{C89C0D59-ADD2-4923-B32F-92491D8DD4C2}"/>
    <cellStyle name="Monétaire 4" xfId="19" xr:uid="{30D4ED86-8E10-4669-9B1B-B731C73BB52E}"/>
    <cellStyle name="Normal" xfId="0" builtinId="0"/>
    <cellStyle name="Normal 2" xfId="2" xr:uid="{00000000-0005-0000-0000-000001000000}"/>
    <cellStyle name="Pourcentage" xfId="1" builtinId="5"/>
    <cellStyle name="Pourcentage 2" xfId="14" xr:uid="{A086E5FA-9335-41DE-BA0E-08A7EDD8C29E}"/>
    <cellStyle name="Titre" xfId="5" builtinId="15"/>
    <cellStyle name="Titre 2" xfId="11" xr:uid="{7C8FB4D1-30AB-4914-A442-A0DE8FE754EA}"/>
    <cellStyle name="Titre 3" xfId="9" xr:uid="{EC01BA4A-2916-4141-B4F2-42174D57F984}"/>
    <cellStyle name="Titre 1" xfId="6" builtinId="16"/>
    <cellStyle name="Titre 1 2" xfId="12" xr:uid="{CE635579-9E17-4A11-8F8B-9415E971735C}"/>
    <cellStyle name="Titre 1 3" xfId="10" xr:uid="{DE9DE65F-528B-4FBC-8502-24EBB30028E3}"/>
  </cellStyles>
  <dxfs count="188">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rgb="FFFBC5E6"/>
        </patternFill>
      </fill>
    </dxf>
    <dxf>
      <font>
        <color theme="0"/>
      </font>
      <fill>
        <patternFill>
          <bgColor theme="1"/>
        </patternFill>
      </fill>
    </dxf>
    <dxf>
      <font>
        <color theme="0"/>
      </font>
      <fill>
        <patternFill>
          <bgColor theme="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rgb="FFFBC5E6"/>
        </patternFill>
      </fill>
    </dxf>
    <dxf>
      <font>
        <color theme="0"/>
      </font>
      <fill>
        <patternFill>
          <bgColor theme="1"/>
        </patternFill>
      </fill>
    </dxf>
    <dxf>
      <font>
        <color theme="0"/>
      </font>
      <fill>
        <patternFill>
          <bgColor theme="1"/>
        </patternFill>
      </fill>
    </dxf>
    <dxf>
      <font>
        <color rgb="FF002C77"/>
      </font>
      <fill>
        <patternFill>
          <bgColor rgb="FFFBC5E6"/>
        </patternFill>
      </fill>
    </dxf>
    <dxf>
      <font>
        <color theme="0"/>
      </font>
      <fill>
        <patternFill>
          <bgColor theme="1"/>
        </patternFill>
      </fill>
    </dxf>
    <dxf>
      <font>
        <color theme="0"/>
      </font>
      <fill>
        <patternFill>
          <bgColor theme="1"/>
        </patternFill>
      </fill>
    </dxf>
    <dxf>
      <font>
        <b/>
        <i val="0"/>
        <color theme="0"/>
      </font>
      <fill>
        <patternFill>
          <bgColor rgb="FFF94607"/>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rgb="FFFBC5E6"/>
        </patternFill>
      </fill>
    </dxf>
    <dxf>
      <font>
        <color rgb="FF002C77"/>
      </font>
      <fill>
        <patternFill>
          <bgColor theme="0" tint="-0.14996795556505021"/>
        </patternFill>
      </fill>
    </dxf>
    <dxf>
      <font>
        <color rgb="FF002C77"/>
      </font>
      <fill>
        <patternFill>
          <bgColor rgb="FFFBC5E6"/>
        </patternFill>
      </fill>
    </dxf>
    <dxf>
      <font>
        <color rgb="FF002C77"/>
      </font>
      <fill>
        <patternFill>
          <bgColor theme="0" tint="-0.14996795556505021"/>
        </patternFill>
      </fill>
    </dxf>
    <dxf>
      <font>
        <color rgb="FF002C77"/>
      </font>
      <fill>
        <patternFill>
          <bgColor rgb="FFFBC5E6"/>
        </patternFill>
      </fill>
    </dxf>
    <dxf>
      <fill>
        <patternFill>
          <bgColor theme="0" tint="-0.499984740745262"/>
        </patternFill>
      </fill>
    </dxf>
    <dxf>
      <font>
        <color rgb="FF002C77"/>
      </font>
      <fill>
        <patternFill>
          <fgColor theme="0" tint="-0.14996795556505021"/>
          <bgColor theme="0" tint="-0.14996795556505021"/>
        </patternFill>
      </fill>
    </dxf>
    <dxf>
      <fill>
        <patternFill>
          <bgColor theme="0" tint="-0.499984740745262"/>
        </patternFill>
      </fill>
    </dxf>
    <dxf>
      <font>
        <color rgb="FF002C77"/>
      </font>
      <fill>
        <patternFill>
          <fgColor theme="0" tint="-0.14996795556505021"/>
          <bgColor theme="0" tint="-0.14996795556505021"/>
        </patternFill>
      </fill>
    </dxf>
    <dxf>
      <font>
        <color rgb="FF002C77"/>
      </font>
      <fill>
        <patternFill>
          <bgColor rgb="FFFBC5E6"/>
        </patternFill>
      </fill>
    </dxf>
    <dxf>
      <fill>
        <patternFill>
          <bgColor theme="0" tint="-0.499984740745262"/>
        </patternFill>
      </fill>
    </dxf>
    <dxf>
      <font>
        <b/>
        <i val="0"/>
        <color auto="1"/>
      </font>
      <fill>
        <patternFill>
          <bgColor theme="9" tint="0.79998168889431442"/>
        </patternFill>
      </fill>
    </dxf>
    <dxf>
      <font>
        <b/>
        <i val="0"/>
        <color auto="1"/>
      </font>
      <fill>
        <patternFill>
          <bgColor theme="9" tint="0.79998168889431442"/>
        </patternFill>
      </fill>
    </dxf>
    <dxf>
      <font>
        <b/>
        <i val="0"/>
        <color auto="1"/>
      </font>
      <fill>
        <patternFill>
          <bgColor theme="9" tint="0.79998168889431442"/>
        </patternFill>
      </fill>
    </dxf>
    <dxf>
      <font>
        <color rgb="FF002C77"/>
      </font>
      <fill>
        <patternFill>
          <bgColor theme="0" tint="-0.14996795556505021"/>
        </patternFill>
      </fill>
    </dxf>
    <dxf>
      <fill>
        <patternFill>
          <bgColor theme="0" tint="-0.499984740745262"/>
        </patternFill>
      </fill>
    </dxf>
    <dxf>
      <font>
        <color rgb="FF002C77"/>
      </font>
      <fill>
        <patternFill>
          <bgColor rgb="FFFBC5E6"/>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ill>
        <patternFill>
          <bgColor theme="0" tint="-0.499984740745262"/>
        </patternFill>
      </fill>
    </dxf>
    <dxf>
      <fill>
        <patternFill>
          <bgColor theme="0" tint="-0.499984740745262"/>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ill>
        <patternFill>
          <bgColor theme="0" tint="-0.499984740745262"/>
        </patternFill>
      </fill>
    </dxf>
    <dxf>
      <font>
        <color rgb="FF002C77"/>
      </font>
      <fill>
        <patternFill>
          <bgColor rgb="FFFBC5E6"/>
        </patternFill>
      </fill>
    </dxf>
    <dxf>
      <font>
        <color rgb="FF002C77"/>
      </font>
      <fill>
        <patternFill>
          <bgColor rgb="FFFBC5E6"/>
        </patternFill>
      </fill>
    </dxf>
    <dxf>
      <fill>
        <patternFill>
          <bgColor theme="0" tint="-0.499984740745262"/>
        </patternFill>
      </fill>
    </dxf>
    <dxf>
      <fill>
        <patternFill>
          <bgColor theme="0" tint="-0.499984740745262"/>
        </patternFill>
      </fill>
    </dxf>
    <dxf>
      <font>
        <color rgb="FF002C77"/>
      </font>
      <fill>
        <patternFill>
          <bgColor rgb="FFFBC5E6"/>
        </patternFill>
      </fill>
    </dxf>
    <dxf>
      <font>
        <color rgb="FF002C77"/>
      </font>
      <fill>
        <patternFill>
          <bgColor rgb="FFFBC5E6"/>
        </patternFill>
      </fill>
    </dxf>
    <dxf>
      <fill>
        <patternFill>
          <bgColor theme="0" tint="-0.499984740745262"/>
        </patternFill>
      </fill>
    </dxf>
    <dxf>
      <fill>
        <patternFill>
          <bgColor theme="0" tint="-0.499984740745262"/>
        </patternFill>
      </fill>
    </dxf>
    <dxf>
      <font>
        <color rgb="FF002C77"/>
      </font>
      <fill>
        <patternFill>
          <bgColor rgb="FFFBC5E6"/>
        </patternFill>
      </fill>
    </dxf>
    <dxf>
      <font>
        <color rgb="FF002C77"/>
      </font>
      <fill>
        <patternFill>
          <fgColor theme="0" tint="-0.14996795556505021"/>
          <bgColor theme="0" tint="-0.14996795556505021"/>
        </patternFill>
      </fill>
    </dxf>
    <dxf>
      <fill>
        <patternFill>
          <bgColor theme="0" tint="-0.499984740745262"/>
        </patternFill>
      </fill>
    </dxf>
    <dxf>
      <fill>
        <patternFill>
          <bgColor theme="0" tint="-0.499984740745262"/>
        </patternFill>
      </fill>
    </dxf>
    <dxf>
      <font>
        <color rgb="FF002C77"/>
      </font>
      <fill>
        <patternFill>
          <fgColor theme="0" tint="-0.14996795556505021"/>
          <bgColor theme="0" tint="-0.14996795556505021"/>
        </patternFill>
      </fill>
    </dxf>
    <dxf>
      <font>
        <color rgb="FF002C77"/>
      </font>
      <fill>
        <patternFill>
          <bgColor rgb="FFFBC5E6"/>
        </patternFill>
      </fill>
    </dxf>
    <dxf>
      <fill>
        <patternFill>
          <bgColor theme="0" tint="-0.499984740745262"/>
        </patternFill>
      </fill>
    </dxf>
    <dxf>
      <font>
        <b/>
        <i val="0"/>
        <color auto="1"/>
      </font>
      <fill>
        <patternFill>
          <bgColor theme="9" tint="0.79998168889431442"/>
        </patternFill>
      </fill>
    </dxf>
    <dxf>
      <font>
        <b/>
        <i val="0"/>
        <color auto="1"/>
      </font>
      <fill>
        <patternFill>
          <bgColor theme="9" tint="0.79998168889431442"/>
        </patternFill>
      </fill>
    </dxf>
    <dxf>
      <font>
        <color rgb="FF002C77"/>
      </font>
      <fill>
        <patternFill>
          <bgColor theme="0" tint="-0.14996795556505021"/>
        </patternFill>
      </fill>
    </dxf>
    <dxf>
      <font>
        <color rgb="FF002C77"/>
      </font>
      <fill>
        <patternFill>
          <bgColor theme="0" tint="-0.14996795556505021"/>
        </patternFill>
      </fill>
    </dxf>
    <dxf>
      <font>
        <color rgb="FF002C77"/>
      </font>
      <fill>
        <patternFill>
          <bgColor rgb="FFFBC5E6"/>
        </patternFill>
      </fill>
    </dxf>
    <dxf>
      <font>
        <color rgb="FF002C77"/>
      </font>
      <fill>
        <patternFill>
          <bgColor theme="0" tint="-0.14996795556505021"/>
        </patternFill>
      </fill>
    </dxf>
    <dxf>
      <font>
        <color rgb="FF002C77"/>
      </font>
      <fill>
        <patternFill>
          <bgColor rgb="FFFBC5E6"/>
        </patternFill>
      </fill>
    </dxf>
    <dxf>
      <font>
        <color rgb="FF002C77"/>
      </font>
      <fill>
        <patternFill>
          <bgColor theme="0" tint="-0.14996795556505021"/>
        </patternFill>
      </fill>
    </dxf>
    <dxf>
      <font>
        <b/>
        <i val="0"/>
        <color rgb="FFFF0000"/>
      </font>
    </dxf>
    <dxf>
      <font>
        <b/>
        <i val="0"/>
        <color rgb="FF00B050"/>
      </font>
    </dxf>
    <dxf>
      <font>
        <b/>
        <i val="0"/>
        <color rgb="FFFF0000"/>
      </font>
    </dxf>
    <dxf>
      <font>
        <b/>
        <i val="0"/>
        <color rgb="FF00B050"/>
      </font>
    </dxf>
    <dxf>
      <font>
        <color rgb="FF006100"/>
      </font>
      <fill>
        <patternFill>
          <bgColor rgb="FFC6EFCE"/>
        </patternFill>
      </fill>
    </dxf>
    <dxf>
      <fill>
        <patternFill>
          <bgColor rgb="FFFFC000"/>
        </patternFill>
      </fill>
    </dxf>
    <dxf>
      <font>
        <color rgb="FF9C0006"/>
      </font>
      <fill>
        <patternFill>
          <bgColor rgb="FFFFC7CE"/>
        </patternFill>
      </fill>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numFmt numFmtId="167" formatCode="#,##0.00\ _€"/>
      <alignment horizontal="center" vertical="center" textRotation="0" wrapText="1" indent="0" justifyLastLine="0" shrinkToFit="0" readingOrder="0"/>
      <border outline="0">
        <left style="medium">
          <color theme="0" tint="-0.34998626667073579"/>
        </left>
        <right style="medium">
          <color theme="0" tint="-0.34998626667073579"/>
        </right>
      </border>
    </dxf>
    <dxf>
      <font>
        <b val="0"/>
        <i val="0"/>
        <strike val="0"/>
        <condense val="0"/>
        <extend val="0"/>
        <outline val="0"/>
        <shadow val="0"/>
        <u val="none"/>
        <vertAlign val="baseline"/>
        <sz val="11"/>
        <color rgb="FF002C77"/>
        <name val="Calibri"/>
        <family val="2"/>
        <scheme val="minor"/>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border outline="0">
        <right style="medium">
          <color theme="0" tint="-0.34998626667073579"/>
        </right>
      </border>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2C77"/>
        <name val="Calibri"/>
        <family val="2"/>
        <scheme val="minor"/>
      </font>
      <numFmt numFmtId="19" formatCode="dd/mm/yyyy"/>
      <alignment horizontal="center" vertical="center" textRotation="0" wrapText="1" indent="0" justifyLastLine="0" shrinkToFit="0" readingOrder="0"/>
    </dxf>
    <dxf>
      <border outline="0">
        <top style="medium">
          <color theme="0" tint="-0.499984740745262"/>
        </top>
      </border>
    </dxf>
    <dxf>
      <font>
        <b val="0"/>
        <i val="0"/>
        <strike val="0"/>
        <condense val="0"/>
        <extend val="0"/>
        <outline val="0"/>
        <shadow val="0"/>
        <u val="none"/>
        <vertAlign val="baseline"/>
        <sz val="11"/>
        <color rgb="FF002C77"/>
        <name val="Calibri"/>
        <family val="2"/>
        <scheme val="minor"/>
      </font>
      <numFmt numFmtId="0" formatCode="General"/>
      <alignment horizontal="center" vertical="center" textRotation="0" wrapText="1" indent="0" justifyLastLine="0" shrinkToFit="0" readingOrder="0"/>
    </dxf>
    <dxf>
      <border outline="0">
        <bottom style="medium">
          <color theme="0" tint="-0.499984740745262"/>
        </bottom>
      </border>
    </dxf>
    <dxf>
      <font>
        <b val="0"/>
        <i val="0"/>
        <strike val="0"/>
        <condense val="0"/>
        <extend val="0"/>
        <outline val="0"/>
        <shadow val="0"/>
        <u val="none"/>
        <vertAlign val="baseline"/>
        <sz val="9"/>
        <color theme="0"/>
        <name val="Century Gothic"/>
        <family val="2"/>
        <scheme val="none"/>
      </font>
      <numFmt numFmtId="19" formatCode="dd/mm/yyyy"/>
      <fill>
        <patternFill patternType="solid">
          <fgColor indexed="64"/>
          <bgColor rgb="FF002C77"/>
        </patternFill>
      </fill>
      <alignment horizontal="center" vertical="center" textRotation="0" wrapText="1" indent="0" justifyLastLine="0" shrinkToFit="0" readingOrder="0"/>
      <border diagonalUp="0" diagonalDown="0" outline="0">
        <left style="medium">
          <color theme="0" tint="-0.499984740745262"/>
        </left>
        <right style="medium">
          <color theme="0" tint="-0.499984740745262"/>
        </right>
        <top/>
        <bottom/>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medium">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numFmt numFmtId="0" formatCode="General"/>
      <alignment horizontal="center" vertical="center" textRotation="0" wrapText="0" indent="0" justifyLastLine="0" shrinkToFit="0" readingOrder="0"/>
      <border diagonalUp="0" diagonalDown="0">
        <left style="medium">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numFmt numFmtId="0" formatCode="General"/>
      <alignment horizontal="center" vertical="center" textRotation="0" wrapText="0" indent="0" justifyLastLine="0" shrinkToFit="0" readingOrder="0"/>
      <border diagonalUp="0" diagonalDown="0">
        <left style="thin">
          <color theme="0" tint="-0.34998626667073579"/>
        </left>
        <right style="medium">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Century Gothic"/>
        <family val="2"/>
        <scheme val="none"/>
      </font>
      <alignment horizontal="center" vertical="center" textRotation="0" indent="0" justifyLastLine="0" shrinkToFit="0" readingOrder="0"/>
      <border diagonalUp="0" diagonalDown="0">
        <left style="medium">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medium">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medium">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rgb="FFEAC4EE"/>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rgb="FFEAC4EE"/>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numFmt numFmtId="0" formatCode="Genera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rgb="FFEAC4EE"/>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name val="Century Gothic"/>
        <family val="2"/>
        <scheme val="none"/>
      </font>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rgb="FFEAC4EE"/>
        </patternFill>
      </fill>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12"/>
        <color theme="1"/>
        <name val="Calibri"/>
        <scheme val="minor"/>
      </font>
      <numFmt numFmtId="19" formatCode="dd/mm/yyyy"/>
      <fill>
        <patternFill patternType="solid">
          <fgColor indexed="64"/>
          <bgColor theme="8" tint="0.59999389629810485"/>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u val="none"/>
        <vertAlign val="baseline"/>
        <sz val="11"/>
        <color auto="1"/>
        <name val="Century Gothic"/>
        <family val="2"/>
        <scheme val="none"/>
      </font>
      <alignment horizontal="center"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top style="thin">
          <color theme="0" tint="-0.34998626667073579"/>
        </top>
      </border>
    </dxf>
    <dxf>
      <font>
        <b val="0"/>
        <i val="0"/>
        <strike val="0"/>
        <condense val="0"/>
        <extend val="0"/>
        <outline val="0"/>
        <shadow val="0"/>
        <u val="none"/>
        <vertAlign val="baseline"/>
        <sz val="12"/>
        <color theme="1"/>
        <name val="Calibri"/>
        <scheme val="minor"/>
      </font>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1"/>
        <color auto="1"/>
        <name val="Century Gothic"/>
        <family val="2"/>
        <scheme val="none"/>
      </font>
      <numFmt numFmtId="0" formatCode="General"/>
      <alignment horizontal="center" vertical="center" textRotation="0" wrapText="0" indent="0" justifyLastLine="0" shrinkToFit="0" readingOrder="0"/>
    </dxf>
    <dxf>
      <border>
        <bottom style="thin">
          <color theme="0" tint="-0.34998626667073579"/>
        </bottom>
      </border>
    </dxf>
    <dxf>
      <font>
        <strike val="0"/>
        <outline val="0"/>
        <shadow val="0"/>
        <u val="none"/>
        <vertAlign val="baseline"/>
        <sz val="12"/>
        <name val="Century Gothic"/>
        <family val="2"/>
        <scheme val="none"/>
      </font>
      <numFmt numFmtId="0" formatCode="General"/>
      <alignment horizontal="center" vertical="center" wrapText="1" indent="0" justifyLastLine="0" shrinkToFit="0" readingOrder="0"/>
      <border diagonalUp="0" diagonalDown="0" outline="0">
        <left style="thin">
          <color theme="0" tint="-0.34998626667073579"/>
        </left>
        <right style="thin">
          <color theme="0" tint="-0.34998626667073579"/>
        </right>
        <top/>
        <bottom/>
      </border>
    </dxf>
    <dxf>
      <fill>
        <patternFill>
          <bgColor rgb="FFB17ED8"/>
        </patternFill>
      </fill>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auto="1"/>
      </font>
      <fill>
        <patternFill patternType="solid">
          <fgColor theme="4"/>
          <bgColor theme="4"/>
        </patternFill>
      </fill>
      <border>
        <top style="thick">
          <color theme="0"/>
        </top>
      </border>
    </dxf>
    <dxf>
      <font>
        <b/>
        <i val="0"/>
        <color theme="0"/>
      </font>
      <fill>
        <patternFill patternType="solid">
          <fgColor theme="4"/>
          <bgColor theme="4" tint="-0.499984740745262"/>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auto="1"/>
      </font>
      <fill>
        <patternFill patternType="solid">
          <fgColor theme="4"/>
          <bgColor theme="4"/>
        </patternFill>
      </fill>
      <border>
        <top style="thick">
          <color theme="0"/>
        </top>
      </border>
    </dxf>
    <dxf>
      <font>
        <b/>
        <i val="0"/>
        <color theme="0"/>
      </font>
      <fill>
        <patternFill patternType="solid">
          <fgColor theme="4"/>
          <bgColor theme="4" tint="-0.499984740745262"/>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s>
  <tableStyles count="3" defaultTableStyle="TableStyleMedium2" defaultPivotStyle="PivotStyleLight16">
    <tableStyle name="InventoryTable" pivot="0" count="7" xr9:uid="{1E47EA16-9646-45D7-8D3E-C1FE23646A18}">
      <tableStyleElement type="wholeTable" dxfId="187"/>
      <tableStyleElement type="headerRow" dxfId="186"/>
      <tableStyleElement type="totalRow" dxfId="185"/>
      <tableStyleElement type="firstColumn" dxfId="184"/>
      <tableStyleElement type="lastColumn" dxfId="183"/>
      <tableStyleElement type="firstRowStripe" dxfId="182"/>
      <tableStyleElement type="firstColumnStripe" dxfId="181"/>
    </tableStyle>
    <tableStyle name="InventoryTable 2" pivot="0" count="7" xr9:uid="{59801819-7540-4517-BD54-4C681246F259}">
      <tableStyleElement type="wholeTable" dxfId="180"/>
      <tableStyleElement type="headerRow" dxfId="179"/>
      <tableStyleElement type="totalRow" dxfId="178"/>
      <tableStyleElement type="firstColumn" dxfId="177"/>
      <tableStyleElement type="lastColumn" dxfId="176"/>
      <tableStyleElement type="firstRowStripe" dxfId="175"/>
      <tableStyleElement type="firstColumnStripe" dxfId="174"/>
    </tableStyle>
    <tableStyle name="Style de tableau 1" pivot="0" count="1" xr9:uid="{610CDB7C-BE72-411C-90FF-0AEA9C714A55}">
      <tableStyleElement type="wholeTable" dxfId="173"/>
    </tableStyle>
  </tableStyles>
  <colors>
    <mruColors>
      <color rgb="FFA20067"/>
      <color rgb="FFED7D31"/>
      <color rgb="FFFF0078"/>
      <color rgb="FFFF9999"/>
      <color rgb="FFF94607"/>
      <color rgb="FFFF9900"/>
      <color rgb="FF01DDB3"/>
      <color rgb="FF666633"/>
      <color rgb="FFFFD9EB"/>
      <color rgb="FFFFE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fr-FR" b="1">
                <a:latin typeface="Century Gothic" panose="020B0502020202020204" pitchFamily="34" charset="0"/>
              </a:rPr>
              <a:t>1/4</a:t>
            </a:r>
            <a:r>
              <a:rPr lang="fr-FR" b="1" baseline="0">
                <a:latin typeface="Century Gothic" panose="020B0502020202020204" pitchFamily="34" charset="0"/>
              </a:rPr>
              <a:t> d'heure QSSE 2026</a:t>
            </a:r>
            <a:endParaRPr lang="fr-FR" b="1">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fr-FR"/>
        </a:p>
      </c:txPr>
    </c:title>
    <c:autoTitleDeleted val="0"/>
    <c:plotArea>
      <c:layout/>
      <c:barChart>
        <c:barDir val="col"/>
        <c:grouping val="clustered"/>
        <c:varyColors val="0"/>
        <c:ser>
          <c:idx val="0"/>
          <c:order val="0"/>
          <c:tx>
            <c:strRef>
              <c:f>'Quart heure CC - CE'!$Q$2</c:f>
              <c:strCache>
                <c:ptCount val="1"/>
                <c:pt idx="0">
                  <c:v>Nbr de 1/4 heure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CE'!$D$3:$D$114</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'Quart heure CC - CE'!$Q$3:$Q$114</c:f>
              <c:numCache>
                <c:formatCode>General</c:formatCode>
                <c:ptCount val="24"/>
                <c:pt idx="0">
                  <c:v>8</c:v>
                </c:pt>
                <c:pt idx="1">
                  <c:v>2</c:v>
                </c:pt>
                <c:pt idx="2">
                  <c:v>3</c:v>
                </c:pt>
                <c:pt idx="3">
                  <c:v>7</c:v>
                </c:pt>
                <c:pt idx="4">
                  <c:v>7</c:v>
                </c:pt>
                <c:pt idx="5">
                  <c:v>8</c:v>
                </c:pt>
                <c:pt idx="6">
                  <c:v>8</c:v>
                </c:pt>
                <c:pt idx="7">
                  <c:v>4</c:v>
                </c:pt>
                <c:pt idx="8">
                  <c:v>6</c:v>
                </c:pt>
                <c:pt idx="9">
                  <c:v>4</c:v>
                </c:pt>
                <c:pt idx="10">
                  <c:v>5</c:v>
                </c:pt>
                <c:pt idx="11">
                  <c:v>0</c:v>
                </c:pt>
                <c:pt idx="12">
                  <c:v>1</c:v>
                </c:pt>
                <c:pt idx="13">
                  <c:v>9</c:v>
                </c:pt>
                <c:pt idx="14">
                  <c:v>7</c:v>
                </c:pt>
                <c:pt idx="15">
                  <c:v>5</c:v>
                </c:pt>
                <c:pt idx="16">
                  <c:v>3</c:v>
                </c:pt>
                <c:pt idx="17">
                  <c:v>4</c:v>
                </c:pt>
                <c:pt idx="18">
                  <c:v>8</c:v>
                </c:pt>
                <c:pt idx="19">
                  <c:v>2</c:v>
                </c:pt>
                <c:pt idx="20">
                  <c:v>1</c:v>
                </c:pt>
                <c:pt idx="21">
                  <c:v>7</c:v>
                </c:pt>
                <c:pt idx="22">
                  <c:v>3</c:v>
                </c:pt>
                <c:pt idx="23">
                  <c:v>7</c:v>
                </c:pt>
              </c:numCache>
            </c:numRef>
          </c:val>
          <c:extLst>
            <c:ext xmlns:c16="http://schemas.microsoft.com/office/drawing/2014/chart" uri="{C3380CC4-5D6E-409C-BE32-E72D297353CC}">
              <c16:uniqueId val="{00000000-42E6-4099-895A-1D381AE47A6E}"/>
            </c:ext>
          </c:extLst>
        </c:ser>
        <c:dLbls>
          <c:showLegendKey val="0"/>
          <c:showVal val="0"/>
          <c:showCatName val="0"/>
          <c:showSerName val="0"/>
          <c:showPercent val="0"/>
          <c:showBubbleSize val="0"/>
        </c:dLbls>
        <c:gapWidth val="150"/>
        <c:axId val="1050407535"/>
        <c:axId val="1457069231"/>
      </c:barChart>
      <c:lineChart>
        <c:grouping val="standard"/>
        <c:varyColors val="0"/>
        <c:ser>
          <c:idx val="1"/>
          <c:order val="1"/>
          <c:tx>
            <c:strRef>
              <c:f>'Quart heure CC - CE'!$R$2</c:f>
              <c:strCache>
                <c:ptCount val="1"/>
                <c:pt idx="0">
                  <c:v>Objectif Année </c:v>
                </c:pt>
              </c:strCache>
            </c:strRef>
          </c:tx>
          <c:spPr>
            <a:ln w="28575" cap="rnd">
              <a:solidFill>
                <a:schemeClr val="accent2"/>
              </a:solidFill>
              <a:round/>
            </a:ln>
            <a:effectLst/>
          </c:spPr>
          <c:marker>
            <c:symbol val="square"/>
            <c:size val="5"/>
            <c:spPr>
              <a:solidFill>
                <a:srgbClr val="FF0078"/>
              </a:solidFill>
              <a:ln w="9525">
                <a:solidFill>
                  <a:srgbClr val="FF007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CE'!$C$3:$C$114</c:f>
              <c:strCache>
                <c:ptCount val="24"/>
                <c:pt idx="0">
                  <c:v>CHEF D'EQUIPE</c:v>
                </c:pt>
                <c:pt idx="1">
                  <c:v>CHEF D'EQUIPE</c:v>
                </c:pt>
                <c:pt idx="2">
                  <c:v>CHEF DE CHANTIER</c:v>
                </c:pt>
                <c:pt idx="3">
                  <c:v>CHEF DE CHANTIER</c:v>
                </c:pt>
                <c:pt idx="4">
                  <c:v>ASS. CHEF DE CHANTIER</c:v>
                </c:pt>
                <c:pt idx="5">
                  <c:v>CHEF DE CHANTIER</c:v>
                </c:pt>
                <c:pt idx="6">
                  <c:v>CHEF DE CHANTIER</c:v>
                </c:pt>
                <c:pt idx="7">
                  <c:v>CHEF DE CHANTIER</c:v>
                </c:pt>
                <c:pt idx="8">
                  <c:v>CHEF D'EQUIPE</c:v>
                </c:pt>
                <c:pt idx="9">
                  <c:v>CHEF DE CHANTIER</c:v>
                </c:pt>
                <c:pt idx="10">
                  <c:v>CHEF D'EQUIPE</c:v>
                </c:pt>
                <c:pt idx="11">
                  <c:v>CHEF D'EQUIPE</c:v>
                </c:pt>
                <c:pt idx="12">
                  <c:v>CHEF DE CHANTIER </c:v>
                </c:pt>
                <c:pt idx="13">
                  <c:v>ASS. CHEF DE CHANTIER</c:v>
                </c:pt>
                <c:pt idx="14">
                  <c:v>CHEF D'EQUIPE</c:v>
                </c:pt>
                <c:pt idx="15">
                  <c:v>CHEF D'EQUIPE</c:v>
                </c:pt>
                <c:pt idx="16">
                  <c:v>CHEF D'EQUIPE</c:v>
                </c:pt>
                <c:pt idx="17">
                  <c:v>CHEF D'EQUIPE</c:v>
                </c:pt>
                <c:pt idx="18">
                  <c:v>ASS. CHEF DE CHANTIER</c:v>
                </c:pt>
                <c:pt idx="19">
                  <c:v>CHEF D'EQUIPE</c:v>
                </c:pt>
                <c:pt idx="20">
                  <c:v>CHEF D'EQUIPE</c:v>
                </c:pt>
                <c:pt idx="21">
                  <c:v>CHEF DE CHANTIER</c:v>
                </c:pt>
                <c:pt idx="22">
                  <c:v>ASS. CHEF DE CHANTIER</c:v>
                </c:pt>
                <c:pt idx="23">
                  <c:v>CHEF D'EQUIPE</c:v>
                </c:pt>
              </c:strCache>
            </c:strRef>
          </c:cat>
          <c:val>
            <c:numRef>
              <c:f>'Quart heure CC - CE'!$R$3:$R$114</c:f>
              <c:numCache>
                <c:formatCode>General</c:formatCode>
                <c:ptCount val="24"/>
                <c:pt idx="0">
                  <c:v>24</c:v>
                </c:pt>
                <c:pt idx="1">
                  <c:v>18</c:v>
                </c:pt>
                <c:pt idx="2">
                  <c:v>24</c:v>
                </c:pt>
                <c:pt idx="3">
                  <c:v>24</c:v>
                </c:pt>
                <c:pt idx="4">
                  <c:v>24</c:v>
                </c:pt>
                <c:pt idx="5">
                  <c:v>24</c:v>
                </c:pt>
                <c:pt idx="6">
                  <c:v>24</c:v>
                </c:pt>
                <c:pt idx="7">
                  <c:v>24</c:v>
                </c:pt>
                <c:pt idx="8">
                  <c:v>22</c:v>
                </c:pt>
                <c:pt idx="9">
                  <c:v>24</c:v>
                </c:pt>
                <c:pt idx="10">
                  <c:v>24</c:v>
                </c:pt>
                <c:pt idx="11">
                  <c:v>16</c:v>
                </c:pt>
                <c:pt idx="12">
                  <c:v>22</c:v>
                </c:pt>
                <c:pt idx="13">
                  <c:v>24</c:v>
                </c:pt>
                <c:pt idx="14">
                  <c:v>24</c:v>
                </c:pt>
                <c:pt idx="15">
                  <c:v>24</c:v>
                </c:pt>
                <c:pt idx="16">
                  <c:v>24</c:v>
                </c:pt>
                <c:pt idx="17">
                  <c:v>24</c:v>
                </c:pt>
                <c:pt idx="18">
                  <c:v>24</c:v>
                </c:pt>
                <c:pt idx="19">
                  <c:v>24</c:v>
                </c:pt>
                <c:pt idx="20">
                  <c:v>20</c:v>
                </c:pt>
                <c:pt idx="21">
                  <c:v>24</c:v>
                </c:pt>
                <c:pt idx="22">
                  <c:v>22</c:v>
                </c:pt>
                <c:pt idx="23">
                  <c:v>24</c:v>
                </c:pt>
              </c:numCache>
            </c:numRef>
          </c:val>
          <c:smooth val="0"/>
          <c:extLst>
            <c:ext xmlns:c16="http://schemas.microsoft.com/office/drawing/2014/chart" uri="{C3380CC4-5D6E-409C-BE32-E72D297353CC}">
              <c16:uniqueId val="{00000001-42E6-4099-895A-1D381AE47A6E}"/>
            </c:ext>
          </c:extLst>
        </c:ser>
        <c:dLbls>
          <c:showLegendKey val="0"/>
          <c:showVal val="0"/>
          <c:showCatName val="0"/>
          <c:showSerName val="0"/>
          <c:showPercent val="0"/>
          <c:showBubbleSize val="0"/>
        </c:dLbls>
        <c:marker val="1"/>
        <c:smooth val="0"/>
        <c:axId val="1050407535"/>
        <c:axId val="1457069231"/>
      </c:lineChart>
      <c:catAx>
        <c:axId val="10504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crossAx val="1457069231"/>
        <c:crosses val="autoZero"/>
        <c:auto val="1"/>
        <c:lblAlgn val="ctr"/>
        <c:lblOffset val="100"/>
        <c:noMultiLvlLbl val="0"/>
      </c:catAx>
      <c:valAx>
        <c:axId val="14570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040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fr-FR" b="1">
                <a:latin typeface="Century Gothic" panose="020B0502020202020204" pitchFamily="34" charset="0"/>
              </a:rPr>
              <a:t>5PM</a:t>
            </a:r>
            <a:r>
              <a:rPr lang="fr-FR" b="1" baseline="0">
                <a:latin typeface="Century Gothic" panose="020B0502020202020204" pitchFamily="34" charset="0"/>
              </a:rPr>
              <a:t> - Avril </a:t>
            </a:r>
            <a:endParaRPr lang="fr-FR" b="1">
              <a:latin typeface="Century Gothic" panose="020B0502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fr-FR"/>
        </a:p>
      </c:txPr>
    </c:title>
    <c:autoTitleDeleted val="0"/>
    <c:plotArea>
      <c:layout/>
      <c:barChart>
        <c:barDir val="col"/>
        <c:grouping val="clustered"/>
        <c:varyColors val="0"/>
        <c:ser>
          <c:idx val="0"/>
          <c:order val="0"/>
          <c:tx>
            <c:strRef>
              <c:f>'5 PM '!$NP$2</c:f>
              <c:strCache>
                <c:ptCount val="1"/>
                <c:pt idx="0">
                  <c:v>5PM </c:v>
                </c:pt>
              </c:strCache>
            </c:strRef>
          </c:tx>
          <c:spPr>
            <a:solidFill>
              <a:schemeClr val="accent1"/>
            </a:solidFill>
            <a:ln>
              <a:noFill/>
            </a:ln>
            <a:effectLst/>
          </c:spPr>
          <c:invertIfNegative val="0"/>
          <c:cat>
            <c:strRef>
              <c:f>'5 PM '!$D$3:$D$115</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 </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'5 PM '!$NP$3:$NP$115</c:f>
              <c:numCache>
                <c:formatCode>General</c:formatCode>
                <c:ptCount val="24"/>
                <c:pt idx="0">
                  <c:v>15</c:v>
                </c:pt>
                <c:pt idx="1">
                  <c:v>2</c:v>
                </c:pt>
                <c:pt idx="2">
                  <c:v>0</c:v>
                </c:pt>
                <c:pt idx="3">
                  <c:v>15</c:v>
                </c:pt>
                <c:pt idx="4">
                  <c:v>10</c:v>
                </c:pt>
                <c:pt idx="5">
                  <c:v>12</c:v>
                </c:pt>
                <c:pt idx="6">
                  <c:v>10</c:v>
                </c:pt>
                <c:pt idx="7">
                  <c:v>9</c:v>
                </c:pt>
                <c:pt idx="8">
                  <c:v>15</c:v>
                </c:pt>
                <c:pt idx="9">
                  <c:v>0</c:v>
                </c:pt>
                <c:pt idx="10">
                  <c:v>0</c:v>
                </c:pt>
                <c:pt idx="11">
                  <c:v>0</c:v>
                </c:pt>
                <c:pt idx="12">
                  <c:v>0</c:v>
                </c:pt>
                <c:pt idx="13">
                  <c:v>14</c:v>
                </c:pt>
                <c:pt idx="14">
                  <c:v>9</c:v>
                </c:pt>
                <c:pt idx="15">
                  <c:v>18</c:v>
                </c:pt>
                <c:pt idx="16">
                  <c:v>9</c:v>
                </c:pt>
                <c:pt idx="17">
                  <c:v>11</c:v>
                </c:pt>
                <c:pt idx="18">
                  <c:v>4</c:v>
                </c:pt>
                <c:pt idx="19">
                  <c:v>0</c:v>
                </c:pt>
                <c:pt idx="20">
                  <c:v>0</c:v>
                </c:pt>
                <c:pt idx="21">
                  <c:v>19</c:v>
                </c:pt>
                <c:pt idx="22">
                  <c:v>9</c:v>
                </c:pt>
                <c:pt idx="23">
                  <c:v>7</c:v>
                </c:pt>
              </c:numCache>
            </c:numRef>
          </c:val>
          <c:extLst>
            <c:ext xmlns:c16="http://schemas.microsoft.com/office/drawing/2014/chart" uri="{C3380CC4-5D6E-409C-BE32-E72D297353CC}">
              <c16:uniqueId val="{00000000-6E0D-49EB-9117-599491DDAA72}"/>
            </c:ext>
          </c:extLst>
        </c:ser>
        <c:dLbls>
          <c:showLegendKey val="0"/>
          <c:showVal val="0"/>
          <c:showCatName val="0"/>
          <c:showSerName val="0"/>
          <c:showPercent val="0"/>
          <c:showBubbleSize val="0"/>
        </c:dLbls>
        <c:gapWidth val="150"/>
        <c:axId val="1050407535"/>
        <c:axId val="1457069231"/>
      </c:barChart>
      <c:lineChart>
        <c:grouping val="standard"/>
        <c:varyColors val="0"/>
        <c:ser>
          <c:idx val="1"/>
          <c:order val="1"/>
          <c:tx>
            <c:strRef>
              <c:f>'5 PM '!$NQ$2</c:f>
              <c:strCache>
                <c:ptCount val="1"/>
                <c:pt idx="0">
                  <c:v>NB Jours travaillés </c:v>
                </c:pt>
              </c:strCache>
            </c:strRef>
          </c:tx>
          <c:spPr>
            <a:ln w="28575" cap="rnd">
              <a:solidFill>
                <a:schemeClr val="accent2"/>
              </a:solidFill>
              <a:round/>
            </a:ln>
            <a:effectLst/>
          </c:spPr>
          <c:marker>
            <c:symbol val="square"/>
            <c:size val="5"/>
            <c:spPr>
              <a:solidFill>
                <a:srgbClr val="FF0078"/>
              </a:solidFill>
              <a:ln w="9525">
                <a:solidFill>
                  <a:srgbClr val="FF0078"/>
                </a:solidFill>
              </a:ln>
              <a:effectLst/>
            </c:spPr>
          </c:marker>
          <c:cat>
            <c:strRef>
              <c:f>'5 PM '!$D$3:$D$115</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 </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'5 PM '!$NQ$3:$NQ$115</c:f>
              <c:numCache>
                <c:formatCode>0</c:formatCode>
                <c:ptCount val="24"/>
                <c:pt idx="0">
                  <c:v>17</c:v>
                </c:pt>
                <c:pt idx="1">
                  <c:v>4</c:v>
                </c:pt>
                <c:pt idx="2">
                  <c:v>21</c:v>
                </c:pt>
                <c:pt idx="3">
                  <c:v>17</c:v>
                </c:pt>
                <c:pt idx="4">
                  <c:v>12</c:v>
                </c:pt>
                <c:pt idx="5">
                  <c:v>12</c:v>
                </c:pt>
                <c:pt idx="6">
                  <c:v>17</c:v>
                </c:pt>
                <c:pt idx="7">
                  <c:v>16</c:v>
                </c:pt>
                <c:pt idx="8">
                  <c:v>17</c:v>
                </c:pt>
                <c:pt idx="9">
                  <c:v>19</c:v>
                </c:pt>
                <c:pt idx="10">
                  <c:v>21</c:v>
                </c:pt>
                <c:pt idx="11">
                  <c:v>0</c:v>
                </c:pt>
                <c:pt idx="12">
                  <c:v>0</c:v>
                </c:pt>
                <c:pt idx="13">
                  <c:v>15</c:v>
                </c:pt>
                <c:pt idx="14">
                  <c:v>17</c:v>
                </c:pt>
                <c:pt idx="15">
                  <c:v>19</c:v>
                </c:pt>
                <c:pt idx="16">
                  <c:v>16</c:v>
                </c:pt>
                <c:pt idx="17">
                  <c:v>16</c:v>
                </c:pt>
                <c:pt idx="18">
                  <c:v>7</c:v>
                </c:pt>
                <c:pt idx="19">
                  <c:v>12</c:v>
                </c:pt>
                <c:pt idx="20">
                  <c:v>1</c:v>
                </c:pt>
                <c:pt idx="21">
                  <c:v>21</c:v>
                </c:pt>
                <c:pt idx="22">
                  <c:v>21</c:v>
                </c:pt>
                <c:pt idx="23">
                  <c:v>16</c:v>
                </c:pt>
              </c:numCache>
            </c:numRef>
          </c:val>
          <c:smooth val="0"/>
          <c:extLst>
            <c:ext xmlns:c16="http://schemas.microsoft.com/office/drawing/2014/chart" uri="{C3380CC4-5D6E-409C-BE32-E72D297353CC}">
              <c16:uniqueId val="{00000001-6E0D-49EB-9117-599491DDAA72}"/>
            </c:ext>
          </c:extLst>
        </c:ser>
        <c:dLbls>
          <c:showLegendKey val="0"/>
          <c:showVal val="0"/>
          <c:showCatName val="0"/>
          <c:showSerName val="0"/>
          <c:showPercent val="0"/>
          <c:showBubbleSize val="0"/>
        </c:dLbls>
        <c:marker val="1"/>
        <c:smooth val="0"/>
        <c:axId val="1050407535"/>
        <c:axId val="1457069231"/>
      </c:lineChart>
      <c:catAx>
        <c:axId val="10504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crossAx val="1457069231"/>
        <c:crosses val="autoZero"/>
        <c:auto val="1"/>
        <c:lblAlgn val="ctr"/>
        <c:lblOffset val="100"/>
        <c:noMultiLvlLbl val="0"/>
      </c:catAx>
      <c:valAx>
        <c:axId val="14570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040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fr-FR" b="1">
                <a:latin typeface="Century Gothic" panose="020B0502020202020204" pitchFamily="34" charset="0"/>
              </a:rPr>
              <a:t>Nombre de remontées d'informations </a:t>
            </a:r>
          </a:p>
        </c:rich>
      </c:tx>
      <c:layout>
        <c:manualLayout>
          <c:xMode val="edge"/>
          <c:yMode val="edge"/>
          <c:x val="0.45272461273214998"/>
          <c:y val="1.44704114268395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fr-FR"/>
        </a:p>
      </c:txPr>
    </c:title>
    <c:autoTitleDeleted val="0"/>
    <c:plotArea>
      <c:layout/>
      <c:barChart>
        <c:barDir val="col"/>
        <c:grouping val="clustered"/>
        <c:varyColors val="0"/>
        <c:ser>
          <c:idx val="0"/>
          <c:order val="0"/>
          <c:tx>
            <c:strRef>
              <c:f>'Remontées d''infos'!$R$2</c:f>
              <c:strCache>
                <c:ptCount val="1"/>
                <c:pt idx="0">
                  <c:v>Nbr Fiches d'événements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'Remontées d''infos'!$E$3:$E$109</c:f>
              <c:strCache>
                <c:ptCount val="107"/>
                <c:pt idx="0">
                  <c:v>ANDRIETTI Silvio</c:v>
                </c:pt>
                <c:pt idx="1">
                  <c:v>AUCLAIR Alexandre</c:v>
                </c:pt>
                <c:pt idx="2">
                  <c:v>AUGER Alexis</c:v>
                </c:pt>
                <c:pt idx="3">
                  <c:v>AUGUSTO Francisco</c:v>
                </c:pt>
                <c:pt idx="4">
                  <c:v>BELLONI Lorenzo</c:v>
                </c:pt>
                <c:pt idx="5">
                  <c:v>BERAUD Maxence</c:v>
                </c:pt>
                <c:pt idx="6">
                  <c:v>BERTHE Gregorie</c:v>
                </c:pt>
                <c:pt idx="7">
                  <c:v>BERTHELON Jordan </c:v>
                </c:pt>
                <c:pt idx="8">
                  <c:v>BERTHET Vincent</c:v>
                </c:pt>
                <c:pt idx="9">
                  <c:v>BIR Haci</c:v>
                </c:pt>
                <c:pt idx="10">
                  <c:v>COLMARD Jean-Christophe</c:v>
                </c:pt>
                <c:pt idx="11">
                  <c:v>BOUILLET  Kévin </c:v>
                </c:pt>
                <c:pt idx="12">
                  <c:v>BOURGEOIS  Philippe </c:v>
                </c:pt>
                <c:pt idx="13">
                  <c:v>CAILLE Thierry</c:v>
                </c:pt>
                <c:pt idx="14">
                  <c:v>CALDEMAISON Eric</c:v>
                </c:pt>
                <c:pt idx="15">
                  <c:v>CARDOSO DE ANDRADE André Manuel</c:v>
                </c:pt>
                <c:pt idx="16">
                  <c:v>CELLE  Louis </c:v>
                </c:pt>
                <c:pt idx="17">
                  <c:v>CHADEYRAS  Gilles</c:v>
                </c:pt>
                <c:pt idx="18">
                  <c:v>CHAFFRAIX Loïc</c:v>
                </c:pt>
                <c:pt idx="19">
                  <c:v>CHALVIN Barthélémy</c:v>
                </c:pt>
                <c:pt idx="20">
                  <c:v>CHAPON Julien </c:v>
                </c:pt>
                <c:pt idx="21">
                  <c:v>BOHARD Thierry</c:v>
                </c:pt>
                <c:pt idx="22">
                  <c:v>CHARAVIT Pascal</c:v>
                </c:pt>
                <c:pt idx="23">
                  <c:v>CHUPIN Yannick</c:v>
                </c:pt>
                <c:pt idx="24">
                  <c:v>CLAPISSON Baptiste</c:v>
                </c:pt>
                <c:pt idx="25">
                  <c:v>COLLIGNON Vincent</c:v>
                </c:pt>
                <c:pt idx="26">
                  <c:v>SALINGUE Julien</c:v>
                </c:pt>
                <c:pt idx="27">
                  <c:v>CORNIER Fabrice</c:v>
                </c:pt>
                <c:pt idx="28">
                  <c:v>COUTURIER Flavien</c:v>
                </c:pt>
                <c:pt idx="29">
                  <c:v>CUILLERAT Jordan </c:v>
                </c:pt>
                <c:pt idx="30">
                  <c:v>CUILLERON Cédric</c:v>
                </c:pt>
                <c:pt idx="31">
                  <c:v>DA COSTA LEAO Jorge Daniel</c:v>
                </c:pt>
                <c:pt idx="32">
                  <c:v>DA COSTA TURICAS Luis Nelson</c:v>
                </c:pt>
                <c:pt idx="33">
                  <c:v>DA CUNHA  Yoann</c:v>
                </c:pt>
                <c:pt idx="34">
                  <c:v>CRETTON Olivier</c:v>
                </c:pt>
                <c:pt idx="35">
                  <c:v>DA ROCHA Paulo</c:v>
                </c:pt>
                <c:pt idx="36">
                  <c:v>DA SILVA  Tony</c:v>
                </c:pt>
                <c:pt idx="37">
                  <c:v>DE ARAUJO Paulo</c:v>
                </c:pt>
                <c:pt idx="38">
                  <c:v>DE BARROS Ugo</c:v>
                </c:pt>
                <c:pt idx="39">
                  <c:v>DE JESUS DIAS Alfredo</c:v>
                </c:pt>
                <c:pt idx="40">
                  <c:v>DE JESUS DIAS Joao Carlos</c:v>
                </c:pt>
                <c:pt idx="41">
                  <c:v>DE OLIVEIRA G. Jorge</c:v>
                </c:pt>
                <c:pt idx="42">
                  <c:v>DE SAINT-JEAN Arnaud</c:v>
                </c:pt>
                <c:pt idx="43">
                  <c:v>DEFRANCE Damien</c:v>
                </c:pt>
                <c:pt idx="44">
                  <c:v>DIAS  José</c:v>
                </c:pt>
                <c:pt idx="45">
                  <c:v>DORLEANS Jérôme</c:v>
                </c:pt>
                <c:pt idx="46">
                  <c:v>DOS PRAZERES José</c:v>
                </c:pt>
                <c:pt idx="47">
                  <c:v>DUFOUR Thomas</c:v>
                </c:pt>
                <c:pt idx="48">
                  <c:v>DIMBERTON Benjamin</c:v>
                </c:pt>
                <c:pt idx="49">
                  <c:v>DUPUY Jordan</c:v>
                </c:pt>
                <c:pt idx="50">
                  <c:v>ELKEBAILI  Mohamed</c:v>
                </c:pt>
                <c:pt idx="51">
                  <c:v>FAURE Romain</c:v>
                </c:pt>
                <c:pt idx="52">
                  <c:v>FAVIER Nicolas</c:v>
                </c:pt>
                <c:pt idx="53">
                  <c:v>FERNANDEZ Luc</c:v>
                </c:pt>
                <c:pt idx="54">
                  <c:v>SALVADORI Fabien</c:v>
                </c:pt>
                <c:pt idx="55">
                  <c:v>FESSAGUET Adrien</c:v>
                </c:pt>
                <c:pt idx="56">
                  <c:v>GRANDEMANGE Lionel</c:v>
                </c:pt>
                <c:pt idx="57">
                  <c:v>GRANGEVERSANNE  Brice </c:v>
                </c:pt>
                <c:pt idx="58">
                  <c:v>GREDZIAK Marc</c:v>
                </c:pt>
                <c:pt idx="59">
                  <c:v>GALLIEN David</c:v>
                </c:pt>
                <c:pt idx="60">
                  <c:v>GRIMAND Adrien</c:v>
                </c:pt>
                <c:pt idx="61">
                  <c:v>GUERIN Ludovic</c:v>
                </c:pt>
                <c:pt idx="62">
                  <c:v>GUINOT  Nicolas </c:v>
                </c:pt>
                <c:pt idx="63">
                  <c:v>ITIER Milan </c:v>
                </c:pt>
                <c:pt idx="64">
                  <c:v>JACINTO Frédéric</c:v>
                </c:pt>
                <c:pt idx="65">
                  <c:v>JACQUOT  Xavier</c:v>
                </c:pt>
                <c:pt idx="66">
                  <c:v>JAKUPOVIC Elvis</c:v>
                </c:pt>
                <c:pt idx="67">
                  <c:v>JARRET Mickaël</c:v>
                </c:pt>
                <c:pt idx="68">
                  <c:v>JAUBERT Benjamin </c:v>
                </c:pt>
                <c:pt idx="69">
                  <c:v>KARAKAYA Eray</c:v>
                </c:pt>
                <c:pt idx="70">
                  <c:v>LAFARGE Olivier</c:v>
                </c:pt>
                <c:pt idx="71">
                  <c:v>LAGENESTE Yoann</c:v>
                </c:pt>
                <c:pt idx="72">
                  <c:v>LHOMME Jonathan</c:v>
                </c:pt>
                <c:pt idx="73">
                  <c:v>LOKMANE Mohamed</c:v>
                </c:pt>
                <c:pt idx="74">
                  <c:v>LOURENCO Tony</c:v>
                </c:pt>
                <c:pt idx="75">
                  <c:v>LUCAS NEVES Manuel Edgar</c:v>
                </c:pt>
                <c:pt idx="76">
                  <c:v>MACIAS Julien</c:v>
                </c:pt>
                <c:pt idx="77">
                  <c:v>MAUPOU Ambre</c:v>
                </c:pt>
                <c:pt idx="78">
                  <c:v>MAURIN Julien </c:v>
                </c:pt>
                <c:pt idx="79">
                  <c:v>MENDES Eduardo</c:v>
                </c:pt>
                <c:pt idx="80">
                  <c:v>MERLINO Loïc</c:v>
                </c:pt>
                <c:pt idx="81">
                  <c:v>MORA Stan</c:v>
                </c:pt>
                <c:pt idx="82">
                  <c:v>OLIVEIRA  DA CUNHA Sergio</c:v>
                </c:pt>
                <c:pt idx="83">
                  <c:v>PEREIRA  Antoine</c:v>
                </c:pt>
                <c:pt idx="84">
                  <c:v>PEREIRA  Antoine</c:v>
                </c:pt>
                <c:pt idx="85">
                  <c:v>PERRY Pierre</c:v>
                </c:pt>
                <c:pt idx="86">
                  <c:v>PITA VIERA Manuel</c:v>
                </c:pt>
                <c:pt idx="87">
                  <c:v>SATRE Stéphane</c:v>
                </c:pt>
                <c:pt idx="88">
                  <c:v>PRAT Claire</c:v>
                </c:pt>
                <c:pt idx="89">
                  <c:v>RENARD  Alexandre </c:v>
                </c:pt>
                <c:pt idx="90">
                  <c:v>RIBEIRO  Alexandre</c:v>
                </c:pt>
                <c:pt idx="91">
                  <c:v>RIBIERE Julien </c:v>
                </c:pt>
                <c:pt idx="92">
                  <c:v>ROLLET Léo</c:v>
                </c:pt>
                <c:pt idx="93">
                  <c:v>RONQUETTE Evan</c:v>
                </c:pt>
                <c:pt idx="94">
                  <c:v>RONZE Alexandre</c:v>
                </c:pt>
                <c:pt idx="95">
                  <c:v>ROUTUROU Baptiste </c:v>
                </c:pt>
                <c:pt idx="96">
                  <c:v>BLANCHET Florent</c:v>
                </c:pt>
                <c:pt idx="97">
                  <c:v>FERNANDEZ Marc</c:v>
                </c:pt>
                <c:pt idx="98">
                  <c:v>SANTOS CRUZ Carlos</c:v>
                </c:pt>
                <c:pt idx="99">
                  <c:v>PONCET Pascal</c:v>
                </c:pt>
                <c:pt idx="100">
                  <c:v>SOARES PEREIRA José Orlando</c:v>
                </c:pt>
                <c:pt idx="101">
                  <c:v>TOUZEL Denis</c:v>
                </c:pt>
                <c:pt idx="102">
                  <c:v>VALOT Baptiste</c:v>
                </c:pt>
                <c:pt idx="103">
                  <c:v>VIAL Benjamin </c:v>
                </c:pt>
                <c:pt idx="104">
                  <c:v>VIOLAS Guillaume</c:v>
                </c:pt>
                <c:pt idx="105">
                  <c:v>VOULPE Daniil </c:v>
                </c:pt>
                <c:pt idx="106">
                  <c:v>WUILLEME Thierry</c:v>
                </c:pt>
              </c:strCache>
            </c:strRef>
          </c:cat>
          <c:val>
            <c:numRef>
              <c:f>'Remontées d''infos'!$R$3:$R$110</c:f>
              <c:numCache>
                <c:formatCode>General</c:formatCode>
                <c:ptCount val="108"/>
                <c:pt idx="0">
                  <c:v>3</c:v>
                </c:pt>
                <c:pt idx="1">
                  <c:v>0</c:v>
                </c:pt>
                <c:pt idx="2">
                  <c:v>4</c:v>
                </c:pt>
                <c:pt idx="3">
                  <c:v>2</c:v>
                </c:pt>
                <c:pt idx="4">
                  <c:v>0</c:v>
                </c:pt>
                <c:pt idx="5">
                  <c:v>8</c:v>
                </c:pt>
                <c:pt idx="6">
                  <c:v>0</c:v>
                </c:pt>
                <c:pt idx="7">
                  <c:v>10</c:v>
                </c:pt>
                <c:pt idx="8">
                  <c:v>0</c:v>
                </c:pt>
                <c:pt idx="9">
                  <c:v>0</c:v>
                </c:pt>
                <c:pt idx="10">
                  <c:v>5</c:v>
                </c:pt>
                <c:pt idx="11">
                  <c:v>4</c:v>
                </c:pt>
                <c:pt idx="12">
                  <c:v>0</c:v>
                </c:pt>
                <c:pt idx="13">
                  <c:v>1</c:v>
                </c:pt>
                <c:pt idx="14">
                  <c:v>0</c:v>
                </c:pt>
                <c:pt idx="15">
                  <c:v>0</c:v>
                </c:pt>
                <c:pt idx="16">
                  <c:v>1</c:v>
                </c:pt>
                <c:pt idx="17">
                  <c:v>0</c:v>
                </c:pt>
                <c:pt idx="18">
                  <c:v>4</c:v>
                </c:pt>
                <c:pt idx="19">
                  <c:v>2</c:v>
                </c:pt>
                <c:pt idx="20">
                  <c:v>4</c:v>
                </c:pt>
                <c:pt idx="22">
                  <c:v>0</c:v>
                </c:pt>
                <c:pt idx="23">
                  <c:v>8</c:v>
                </c:pt>
                <c:pt idx="24">
                  <c:v>1</c:v>
                </c:pt>
                <c:pt idx="25">
                  <c:v>3</c:v>
                </c:pt>
                <c:pt idx="26">
                  <c:v>4</c:v>
                </c:pt>
                <c:pt idx="27">
                  <c:v>4</c:v>
                </c:pt>
                <c:pt idx="28">
                  <c:v>6</c:v>
                </c:pt>
                <c:pt idx="29">
                  <c:v>5</c:v>
                </c:pt>
                <c:pt idx="30">
                  <c:v>0</c:v>
                </c:pt>
                <c:pt idx="31">
                  <c:v>0</c:v>
                </c:pt>
                <c:pt idx="32">
                  <c:v>0</c:v>
                </c:pt>
                <c:pt idx="33">
                  <c:v>2</c:v>
                </c:pt>
                <c:pt idx="34">
                  <c:v>13</c:v>
                </c:pt>
                <c:pt idx="35">
                  <c:v>13</c:v>
                </c:pt>
                <c:pt idx="36">
                  <c:v>3</c:v>
                </c:pt>
                <c:pt idx="37">
                  <c:v>5</c:v>
                </c:pt>
                <c:pt idx="38">
                  <c:v>0</c:v>
                </c:pt>
                <c:pt idx="39">
                  <c:v>3</c:v>
                </c:pt>
                <c:pt idx="40">
                  <c:v>3</c:v>
                </c:pt>
                <c:pt idx="41">
                  <c:v>3</c:v>
                </c:pt>
                <c:pt idx="42">
                  <c:v>1</c:v>
                </c:pt>
                <c:pt idx="43">
                  <c:v>1</c:v>
                </c:pt>
                <c:pt idx="44">
                  <c:v>2</c:v>
                </c:pt>
                <c:pt idx="45">
                  <c:v>0</c:v>
                </c:pt>
                <c:pt idx="46">
                  <c:v>6</c:v>
                </c:pt>
                <c:pt idx="47">
                  <c:v>6</c:v>
                </c:pt>
                <c:pt idx="48">
                  <c:v>1</c:v>
                </c:pt>
                <c:pt idx="49">
                  <c:v>9</c:v>
                </c:pt>
                <c:pt idx="50">
                  <c:v>0</c:v>
                </c:pt>
                <c:pt idx="51">
                  <c:v>0</c:v>
                </c:pt>
                <c:pt idx="52">
                  <c:v>0</c:v>
                </c:pt>
                <c:pt idx="53">
                  <c:v>0</c:v>
                </c:pt>
                <c:pt idx="54">
                  <c:v>6</c:v>
                </c:pt>
                <c:pt idx="55">
                  <c:v>5</c:v>
                </c:pt>
                <c:pt idx="56">
                  <c:v>12</c:v>
                </c:pt>
                <c:pt idx="57">
                  <c:v>0</c:v>
                </c:pt>
                <c:pt idx="58">
                  <c:v>2</c:v>
                </c:pt>
                <c:pt idx="60">
                  <c:v>10</c:v>
                </c:pt>
                <c:pt idx="61">
                  <c:v>4</c:v>
                </c:pt>
                <c:pt idx="62">
                  <c:v>0</c:v>
                </c:pt>
                <c:pt idx="63">
                  <c:v>2</c:v>
                </c:pt>
                <c:pt idx="64">
                  <c:v>2</c:v>
                </c:pt>
                <c:pt idx="65">
                  <c:v>4</c:v>
                </c:pt>
                <c:pt idx="66">
                  <c:v>0</c:v>
                </c:pt>
                <c:pt idx="67">
                  <c:v>4</c:v>
                </c:pt>
                <c:pt idx="68">
                  <c:v>1</c:v>
                </c:pt>
                <c:pt idx="69">
                  <c:v>0</c:v>
                </c:pt>
                <c:pt idx="70">
                  <c:v>0</c:v>
                </c:pt>
                <c:pt idx="71">
                  <c:v>0</c:v>
                </c:pt>
                <c:pt idx="72">
                  <c:v>4</c:v>
                </c:pt>
                <c:pt idx="73">
                  <c:v>0</c:v>
                </c:pt>
                <c:pt idx="74">
                  <c:v>4</c:v>
                </c:pt>
                <c:pt idx="75">
                  <c:v>0</c:v>
                </c:pt>
                <c:pt idx="76">
                  <c:v>3</c:v>
                </c:pt>
                <c:pt idx="77">
                  <c:v>3</c:v>
                </c:pt>
                <c:pt idx="78">
                  <c:v>0</c:v>
                </c:pt>
                <c:pt idx="79">
                  <c:v>3</c:v>
                </c:pt>
                <c:pt idx="80">
                  <c:v>2</c:v>
                </c:pt>
                <c:pt idx="81">
                  <c:v>0</c:v>
                </c:pt>
                <c:pt idx="82">
                  <c:v>11</c:v>
                </c:pt>
                <c:pt idx="83">
                  <c:v>3</c:v>
                </c:pt>
                <c:pt idx="84">
                  <c:v>0</c:v>
                </c:pt>
                <c:pt idx="85">
                  <c:v>0</c:v>
                </c:pt>
                <c:pt idx="86">
                  <c:v>0</c:v>
                </c:pt>
                <c:pt idx="87">
                  <c:v>1</c:v>
                </c:pt>
                <c:pt idx="88">
                  <c:v>15</c:v>
                </c:pt>
                <c:pt idx="89">
                  <c:v>1</c:v>
                </c:pt>
                <c:pt idx="90">
                  <c:v>3</c:v>
                </c:pt>
                <c:pt idx="91">
                  <c:v>0</c:v>
                </c:pt>
                <c:pt idx="92">
                  <c:v>0</c:v>
                </c:pt>
                <c:pt idx="93">
                  <c:v>3</c:v>
                </c:pt>
                <c:pt idx="94">
                  <c:v>4</c:v>
                </c:pt>
                <c:pt idx="95">
                  <c:v>2</c:v>
                </c:pt>
                <c:pt idx="96">
                  <c:v>6</c:v>
                </c:pt>
                <c:pt idx="97">
                  <c:v>0</c:v>
                </c:pt>
                <c:pt idx="98">
                  <c:v>4</c:v>
                </c:pt>
                <c:pt idx="99">
                  <c:v>3</c:v>
                </c:pt>
                <c:pt idx="100">
                  <c:v>0</c:v>
                </c:pt>
                <c:pt idx="101">
                  <c:v>4</c:v>
                </c:pt>
                <c:pt idx="102">
                  <c:v>8</c:v>
                </c:pt>
                <c:pt idx="103">
                  <c:v>6</c:v>
                </c:pt>
                <c:pt idx="104">
                  <c:v>0</c:v>
                </c:pt>
                <c:pt idx="105">
                  <c:v>0</c:v>
                </c:pt>
                <c:pt idx="106">
                  <c:v>0</c:v>
                </c:pt>
                <c:pt idx="107">
                  <c:v>7</c:v>
                </c:pt>
              </c:numCache>
            </c:numRef>
          </c:val>
          <c:extLst>
            <c:ext xmlns:c16="http://schemas.microsoft.com/office/drawing/2014/chart" uri="{C3380CC4-5D6E-409C-BE32-E72D297353CC}">
              <c16:uniqueId val="{00000000-AB66-4E13-837D-12B117D9D7F9}"/>
            </c:ext>
          </c:extLst>
        </c:ser>
        <c:dLbls>
          <c:showLegendKey val="0"/>
          <c:showVal val="0"/>
          <c:showCatName val="0"/>
          <c:showSerName val="0"/>
          <c:showPercent val="0"/>
          <c:showBubbleSize val="0"/>
        </c:dLbls>
        <c:gapWidth val="150"/>
        <c:axId val="1050407535"/>
        <c:axId val="1457069231"/>
      </c:barChart>
      <c:lineChart>
        <c:grouping val="standard"/>
        <c:varyColors val="0"/>
        <c:ser>
          <c:idx val="1"/>
          <c:order val="1"/>
          <c:tx>
            <c:strRef>
              <c:f>'Remontées d''infos'!$S$2</c:f>
              <c:strCache>
                <c:ptCount val="1"/>
                <c:pt idx="0">
                  <c:v>Objectif Année </c:v>
                </c:pt>
              </c:strCache>
            </c:strRef>
          </c:tx>
          <c:spPr>
            <a:ln w="28575" cap="rnd">
              <a:solidFill>
                <a:schemeClr val="accent2"/>
              </a:solidFill>
              <a:round/>
            </a:ln>
            <a:effectLst/>
          </c:spPr>
          <c:marker>
            <c:symbol val="square"/>
            <c:size val="5"/>
            <c:spPr>
              <a:solidFill>
                <a:srgbClr val="F94607"/>
              </a:solidFill>
              <a:ln w="9525">
                <a:solidFill>
                  <a:srgbClr val="F94607"/>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CE'!$C$3:$C$114</c:f>
              <c:strCache>
                <c:ptCount val="24"/>
                <c:pt idx="0">
                  <c:v>CHEF D'EQUIPE</c:v>
                </c:pt>
                <c:pt idx="1">
                  <c:v>CHEF D'EQUIPE</c:v>
                </c:pt>
                <c:pt idx="2">
                  <c:v>CHEF DE CHANTIER</c:v>
                </c:pt>
                <c:pt idx="3">
                  <c:v>CHEF DE CHANTIER</c:v>
                </c:pt>
                <c:pt idx="4">
                  <c:v>ASS. CHEF DE CHANTIER</c:v>
                </c:pt>
                <c:pt idx="5">
                  <c:v>CHEF DE CHANTIER</c:v>
                </c:pt>
                <c:pt idx="6">
                  <c:v>CHEF DE CHANTIER</c:v>
                </c:pt>
                <c:pt idx="7">
                  <c:v>CHEF DE CHANTIER</c:v>
                </c:pt>
                <c:pt idx="8">
                  <c:v>CHEF D'EQUIPE</c:v>
                </c:pt>
                <c:pt idx="9">
                  <c:v>CHEF DE CHANTIER</c:v>
                </c:pt>
                <c:pt idx="10">
                  <c:v>CHEF D'EQUIPE</c:v>
                </c:pt>
                <c:pt idx="11">
                  <c:v>CHEF D'EQUIPE</c:v>
                </c:pt>
                <c:pt idx="12">
                  <c:v>CHEF DE CHANTIER </c:v>
                </c:pt>
                <c:pt idx="13">
                  <c:v>ASS. CHEF DE CHANTIER</c:v>
                </c:pt>
                <c:pt idx="14">
                  <c:v>CHEF D'EQUIPE</c:v>
                </c:pt>
                <c:pt idx="15">
                  <c:v>CHEF D'EQUIPE</c:v>
                </c:pt>
                <c:pt idx="16">
                  <c:v>CHEF D'EQUIPE</c:v>
                </c:pt>
                <c:pt idx="17">
                  <c:v>CHEF D'EQUIPE</c:v>
                </c:pt>
                <c:pt idx="18">
                  <c:v>ASS. CHEF DE CHANTIER</c:v>
                </c:pt>
                <c:pt idx="19">
                  <c:v>CHEF D'EQUIPE</c:v>
                </c:pt>
                <c:pt idx="20">
                  <c:v>CHEF D'EQUIPE</c:v>
                </c:pt>
                <c:pt idx="21">
                  <c:v>CHEF DE CHANTIER</c:v>
                </c:pt>
                <c:pt idx="22">
                  <c:v>ASS. CHEF DE CHANTIER</c:v>
                </c:pt>
                <c:pt idx="23">
                  <c:v>CHEF D'EQUIPE</c:v>
                </c:pt>
              </c:strCache>
            </c:strRef>
          </c:cat>
          <c:val>
            <c:numRef>
              <c:f>'Remontées d''infos'!$S$3:$S$110</c:f>
              <c:numCache>
                <c:formatCode>General</c:formatCode>
                <c:ptCount val="108"/>
                <c:pt idx="0">
                  <c:v>11</c:v>
                </c:pt>
                <c:pt idx="1">
                  <c:v>9</c:v>
                </c:pt>
                <c:pt idx="2">
                  <c:v>12</c:v>
                </c:pt>
                <c:pt idx="3">
                  <c:v>11</c:v>
                </c:pt>
                <c:pt idx="4">
                  <c:v>12</c:v>
                </c:pt>
                <c:pt idx="5">
                  <c:v>12</c:v>
                </c:pt>
                <c:pt idx="6">
                  <c:v>12</c:v>
                </c:pt>
                <c:pt idx="7">
                  <c:v>12</c:v>
                </c:pt>
                <c:pt idx="8">
                  <c:v>12</c:v>
                </c:pt>
                <c:pt idx="9">
                  <c:v>12</c:v>
                </c:pt>
                <c:pt idx="10">
                  <c:v>12</c:v>
                </c:pt>
                <c:pt idx="11">
                  <c:v>12</c:v>
                </c:pt>
                <c:pt idx="12">
                  <c:v>9</c:v>
                </c:pt>
                <c:pt idx="13">
                  <c:v>12</c:v>
                </c:pt>
                <c:pt idx="14">
                  <c:v>12</c:v>
                </c:pt>
                <c:pt idx="15">
                  <c:v>12</c:v>
                </c:pt>
                <c:pt idx="16">
                  <c:v>12</c:v>
                </c:pt>
                <c:pt idx="17">
                  <c:v>12</c:v>
                </c:pt>
                <c:pt idx="18">
                  <c:v>12</c:v>
                </c:pt>
                <c:pt idx="19">
                  <c:v>12</c:v>
                </c:pt>
                <c:pt idx="20">
                  <c:v>12</c:v>
                </c:pt>
                <c:pt idx="21">
                  <c:v>12</c:v>
                </c:pt>
                <c:pt idx="22">
                  <c:v>12</c:v>
                </c:pt>
                <c:pt idx="23">
                  <c:v>12</c:v>
                </c:pt>
                <c:pt idx="24">
                  <c:v>12</c:v>
                </c:pt>
                <c:pt idx="25">
                  <c:v>11</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pt idx="48">
                  <c:v>11</c:v>
                </c:pt>
                <c:pt idx="49">
                  <c:v>12</c:v>
                </c:pt>
                <c:pt idx="50">
                  <c:v>12</c:v>
                </c:pt>
                <c:pt idx="51">
                  <c:v>12</c:v>
                </c:pt>
                <c:pt idx="52">
                  <c:v>12</c:v>
                </c:pt>
                <c:pt idx="53">
                  <c:v>12</c:v>
                </c:pt>
                <c:pt idx="54">
                  <c:v>12</c:v>
                </c:pt>
                <c:pt idx="55">
                  <c:v>12</c:v>
                </c:pt>
                <c:pt idx="56">
                  <c:v>12</c:v>
                </c:pt>
                <c:pt idx="57">
                  <c:v>9</c:v>
                </c:pt>
                <c:pt idx="58">
                  <c:v>12</c:v>
                </c:pt>
                <c:pt idx="60">
                  <c:v>12</c:v>
                </c:pt>
                <c:pt idx="61">
                  <c:v>12</c:v>
                </c:pt>
                <c:pt idx="62">
                  <c:v>11</c:v>
                </c:pt>
                <c:pt idx="63">
                  <c:v>12</c:v>
                </c:pt>
                <c:pt idx="64">
                  <c:v>12</c:v>
                </c:pt>
                <c:pt idx="65">
                  <c:v>10</c:v>
                </c:pt>
                <c:pt idx="66">
                  <c:v>12</c:v>
                </c:pt>
                <c:pt idx="67">
                  <c:v>12</c:v>
                </c:pt>
                <c:pt idx="68">
                  <c:v>11</c:v>
                </c:pt>
                <c:pt idx="69">
                  <c:v>9</c:v>
                </c:pt>
                <c:pt idx="70">
                  <c:v>12</c:v>
                </c:pt>
                <c:pt idx="71">
                  <c:v>12</c:v>
                </c:pt>
                <c:pt idx="72">
                  <c:v>12</c:v>
                </c:pt>
                <c:pt idx="73">
                  <c:v>12</c:v>
                </c:pt>
                <c:pt idx="74">
                  <c:v>12</c:v>
                </c:pt>
                <c:pt idx="75">
                  <c:v>12</c:v>
                </c:pt>
                <c:pt idx="76">
                  <c:v>12</c:v>
                </c:pt>
                <c:pt idx="77">
                  <c:v>12</c:v>
                </c:pt>
                <c:pt idx="78">
                  <c:v>12</c:v>
                </c:pt>
                <c:pt idx="79">
                  <c:v>11</c:v>
                </c:pt>
                <c:pt idx="80">
                  <c:v>12</c:v>
                </c:pt>
                <c:pt idx="81">
                  <c:v>12</c:v>
                </c:pt>
                <c:pt idx="82">
                  <c:v>12</c:v>
                </c:pt>
                <c:pt idx="83">
                  <c:v>12</c:v>
                </c:pt>
                <c:pt idx="84">
                  <c:v>12</c:v>
                </c:pt>
                <c:pt idx="85">
                  <c:v>12</c:v>
                </c:pt>
                <c:pt idx="86">
                  <c:v>12</c:v>
                </c:pt>
                <c:pt idx="87">
                  <c:v>12</c:v>
                </c:pt>
                <c:pt idx="88">
                  <c:v>12</c:v>
                </c:pt>
                <c:pt idx="89">
                  <c:v>12</c:v>
                </c:pt>
                <c:pt idx="90">
                  <c:v>12</c:v>
                </c:pt>
                <c:pt idx="91">
                  <c:v>12</c:v>
                </c:pt>
                <c:pt idx="92">
                  <c:v>11</c:v>
                </c:pt>
                <c:pt idx="93">
                  <c:v>12</c:v>
                </c:pt>
                <c:pt idx="94">
                  <c:v>12</c:v>
                </c:pt>
                <c:pt idx="95">
                  <c:v>12</c:v>
                </c:pt>
                <c:pt idx="96">
                  <c:v>12</c:v>
                </c:pt>
                <c:pt idx="97">
                  <c:v>12</c:v>
                </c:pt>
                <c:pt idx="98">
                  <c:v>12</c:v>
                </c:pt>
                <c:pt idx="99">
                  <c:v>12</c:v>
                </c:pt>
                <c:pt idx="100">
                  <c:v>12</c:v>
                </c:pt>
                <c:pt idx="101">
                  <c:v>12</c:v>
                </c:pt>
                <c:pt idx="102">
                  <c:v>12</c:v>
                </c:pt>
                <c:pt idx="103">
                  <c:v>12</c:v>
                </c:pt>
                <c:pt idx="104">
                  <c:v>12</c:v>
                </c:pt>
                <c:pt idx="105">
                  <c:v>12</c:v>
                </c:pt>
                <c:pt idx="106">
                  <c:v>12</c:v>
                </c:pt>
                <c:pt idx="107">
                  <c:v>12</c:v>
                </c:pt>
              </c:numCache>
            </c:numRef>
          </c:val>
          <c:smooth val="0"/>
          <c:extLst>
            <c:ext xmlns:c16="http://schemas.microsoft.com/office/drawing/2014/chart" uri="{C3380CC4-5D6E-409C-BE32-E72D297353CC}">
              <c16:uniqueId val="{00000001-AB66-4E13-837D-12B117D9D7F9}"/>
            </c:ext>
          </c:extLst>
        </c:ser>
        <c:dLbls>
          <c:showLegendKey val="0"/>
          <c:showVal val="0"/>
          <c:showCatName val="0"/>
          <c:showSerName val="0"/>
          <c:showPercent val="0"/>
          <c:showBubbleSize val="0"/>
        </c:dLbls>
        <c:marker val="1"/>
        <c:smooth val="0"/>
        <c:axId val="1050407535"/>
        <c:axId val="1457069231"/>
      </c:lineChart>
      <c:catAx>
        <c:axId val="105040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crossAx val="1457069231"/>
        <c:crosses val="autoZero"/>
        <c:auto val="1"/>
        <c:lblAlgn val="ctr"/>
        <c:lblOffset val="100"/>
        <c:noMultiLvlLbl val="0"/>
      </c:catAx>
      <c:valAx>
        <c:axId val="145706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040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Gothic" panose="020B0502020202020204" pitchFamily="34" charset="0"/>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Suivi des statistiques</a:t>
            </a:r>
            <a:r>
              <a:rPr lang="fr-FR" baseline="0"/>
              <a:t> des chefs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stacked"/>
        <c:varyColors val="0"/>
        <c:ser>
          <c:idx val="0"/>
          <c:order val="0"/>
          <c:tx>
            <c:strRef>
              <c:f>'Quart heure CC - CE'!$S$2</c:f>
              <c:strCache>
                <c:ptCount val="1"/>
                <c:pt idx="0">
                  <c:v>1/4h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CE'!$D$3:$D$114</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'Quart heure CC - CE'!$S$3:$S$114</c:f>
              <c:numCache>
                <c:formatCode>0%</c:formatCode>
                <c:ptCount val="24"/>
                <c:pt idx="0">
                  <c:v>0.33333333333333331</c:v>
                </c:pt>
                <c:pt idx="1">
                  <c:v>0.1111111111111111</c:v>
                </c:pt>
                <c:pt idx="2">
                  <c:v>0.125</c:v>
                </c:pt>
                <c:pt idx="3">
                  <c:v>0.29166666666666669</c:v>
                </c:pt>
                <c:pt idx="4">
                  <c:v>0.29166666666666669</c:v>
                </c:pt>
                <c:pt idx="5">
                  <c:v>0.33333333333333331</c:v>
                </c:pt>
                <c:pt idx="6">
                  <c:v>0.33333333333333331</c:v>
                </c:pt>
                <c:pt idx="7">
                  <c:v>0.16666666666666666</c:v>
                </c:pt>
                <c:pt idx="8">
                  <c:v>0.27272727272727271</c:v>
                </c:pt>
                <c:pt idx="9">
                  <c:v>0.16666666666666666</c:v>
                </c:pt>
                <c:pt idx="10">
                  <c:v>0.20833333333333334</c:v>
                </c:pt>
                <c:pt idx="11">
                  <c:v>0</c:v>
                </c:pt>
                <c:pt idx="12">
                  <c:v>4.5454545454545456E-2</c:v>
                </c:pt>
                <c:pt idx="13">
                  <c:v>0.375</c:v>
                </c:pt>
                <c:pt idx="14">
                  <c:v>0.29166666666666669</c:v>
                </c:pt>
                <c:pt idx="15">
                  <c:v>0.20833333333333334</c:v>
                </c:pt>
                <c:pt idx="16">
                  <c:v>0.125</c:v>
                </c:pt>
                <c:pt idx="17">
                  <c:v>0.16666666666666666</c:v>
                </c:pt>
                <c:pt idx="18">
                  <c:v>0.33333333333333331</c:v>
                </c:pt>
                <c:pt idx="19">
                  <c:v>8.3333333333333329E-2</c:v>
                </c:pt>
                <c:pt idx="20">
                  <c:v>0.05</c:v>
                </c:pt>
                <c:pt idx="21">
                  <c:v>0.29166666666666669</c:v>
                </c:pt>
                <c:pt idx="22">
                  <c:v>0.13636363636363635</c:v>
                </c:pt>
                <c:pt idx="23">
                  <c:v>0.29166666666666669</c:v>
                </c:pt>
              </c:numCache>
            </c:numRef>
          </c:val>
          <c:extLst>
            <c:ext xmlns:c16="http://schemas.microsoft.com/office/drawing/2014/chart" uri="{C3380CC4-5D6E-409C-BE32-E72D297353CC}">
              <c16:uniqueId val="{00000000-3C2D-4F1A-B431-F46CAB572A23}"/>
            </c:ext>
          </c:extLst>
        </c:ser>
        <c:ser>
          <c:idx val="1"/>
          <c:order val="1"/>
          <c:tx>
            <c:strRef>
              <c:f>'Remontées d''infos'!$T$2</c:f>
              <c:strCache>
                <c:ptCount val="1"/>
                <c:pt idx="0">
                  <c:v>Remontées d'informations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CE'!$D$3:$D$114</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'Remontées d''infos'!$T$3:$T$110</c:f>
              <c:numCache>
                <c:formatCode>0%</c:formatCode>
                <c:ptCount val="108"/>
                <c:pt idx="0">
                  <c:v>0.27272727272727271</c:v>
                </c:pt>
                <c:pt idx="1">
                  <c:v>0</c:v>
                </c:pt>
                <c:pt idx="2">
                  <c:v>0.33333333333333331</c:v>
                </c:pt>
                <c:pt idx="3">
                  <c:v>0.18181818181818182</c:v>
                </c:pt>
                <c:pt idx="4">
                  <c:v>0</c:v>
                </c:pt>
                <c:pt idx="5">
                  <c:v>0.66666666666666663</c:v>
                </c:pt>
                <c:pt idx="6">
                  <c:v>0</c:v>
                </c:pt>
                <c:pt idx="7">
                  <c:v>0.83333333333333337</c:v>
                </c:pt>
                <c:pt idx="8">
                  <c:v>0</c:v>
                </c:pt>
                <c:pt idx="9">
                  <c:v>0</c:v>
                </c:pt>
                <c:pt idx="10">
                  <c:v>0.41666666666666669</c:v>
                </c:pt>
                <c:pt idx="11">
                  <c:v>0.33333333333333331</c:v>
                </c:pt>
                <c:pt idx="12">
                  <c:v>0</c:v>
                </c:pt>
                <c:pt idx="13">
                  <c:v>8.3333333333333329E-2</c:v>
                </c:pt>
                <c:pt idx="14">
                  <c:v>0</c:v>
                </c:pt>
                <c:pt idx="15">
                  <c:v>0</c:v>
                </c:pt>
                <c:pt idx="16">
                  <c:v>8.3333333333333329E-2</c:v>
                </c:pt>
                <c:pt idx="17">
                  <c:v>0</c:v>
                </c:pt>
                <c:pt idx="18">
                  <c:v>0.33333333333333331</c:v>
                </c:pt>
                <c:pt idx="19">
                  <c:v>0.16666666666666666</c:v>
                </c:pt>
                <c:pt idx="20">
                  <c:v>0.33333333333333331</c:v>
                </c:pt>
                <c:pt idx="22">
                  <c:v>0</c:v>
                </c:pt>
                <c:pt idx="23">
                  <c:v>0.66666666666666663</c:v>
                </c:pt>
                <c:pt idx="24">
                  <c:v>8.3333333333333329E-2</c:v>
                </c:pt>
                <c:pt idx="25">
                  <c:v>0.27272727272727271</c:v>
                </c:pt>
                <c:pt idx="26">
                  <c:v>0.33333333333333331</c:v>
                </c:pt>
                <c:pt idx="27">
                  <c:v>0.33333333333333331</c:v>
                </c:pt>
                <c:pt idx="28">
                  <c:v>0.5</c:v>
                </c:pt>
                <c:pt idx="29">
                  <c:v>0.41666666666666669</c:v>
                </c:pt>
                <c:pt idx="30">
                  <c:v>0</c:v>
                </c:pt>
                <c:pt idx="31">
                  <c:v>0</c:v>
                </c:pt>
                <c:pt idx="32">
                  <c:v>0</c:v>
                </c:pt>
                <c:pt idx="33">
                  <c:v>0.16666666666666666</c:v>
                </c:pt>
                <c:pt idx="34">
                  <c:v>1.0833333333333333</c:v>
                </c:pt>
                <c:pt idx="35">
                  <c:v>1.0833333333333333</c:v>
                </c:pt>
                <c:pt idx="36">
                  <c:v>0.25</c:v>
                </c:pt>
                <c:pt idx="37">
                  <c:v>0.41666666666666669</c:v>
                </c:pt>
                <c:pt idx="38">
                  <c:v>0</c:v>
                </c:pt>
                <c:pt idx="39">
                  <c:v>0.25</c:v>
                </c:pt>
                <c:pt idx="40">
                  <c:v>0.25</c:v>
                </c:pt>
                <c:pt idx="41">
                  <c:v>0.25</c:v>
                </c:pt>
                <c:pt idx="42">
                  <c:v>8.3333333333333329E-2</c:v>
                </c:pt>
                <c:pt idx="43">
                  <c:v>8.3333333333333329E-2</c:v>
                </c:pt>
                <c:pt idx="44">
                  <c:v>0.16666666666666666</c:v>
                </c:pt>
                <c:pt idx="45">
                  <c:v>0</c:v>
                </c:pt>
                <c:pt idx="46">
                  <c:v>0.5</c:v>
                </c:pt>
                <c:pt idx="47">
                  <c:v>0.5</c:v>
                </c:pt>
                <c:pt idx="48">
                  <c:v>9.0909090909090912E-2</c:v>
                </c:pt>
                <c:pt idx="49">
                  <c:v>0.75</c:v>
                </c:pt>
                <c:pt idx="50">
                  <c:v>0</c:v>
                </c:pt>
                <c:pt idx="51">
                  <c:v>0</c:v>
                </c:pt>
                <c:pt idx="52">
                  <c:v>0</c:v>
                </c:pt>
                <c:pt idx="53">
                  <c:v>0</c:v>
                </c:pt>
                <c:pt idx="54">
                  <c:v>0.5</c:v>
                </c:pt>
                <c:pt idx="55">
                  <c:v>0.41666666666666669</c:v>
                </c:pt>
                <c:pt idx="56">
                  <c:v>1</c:v>
                </c:pt>
                <c:pt idx="57">
                  <c:v>0</c:v>
                </c:pt>
                <c:pt idx="58">
                  <c:v>0.16666666666666666</c:v>
                </c:pt>
                <c:pt idx="60">
                  <c:v>0.83333333333333337</c:v>
                </c:pt>
                <c:pt idx="61">
                  <c:v>0.33333333333333331</c:v>
                </c:pt>
                <c:pt idx="62">
                  <c:v>0</c:v>
                </c:pt>
                <c:pt idx="63">
                  <c:v>0.16666666666666666</c:v>
                </c:pt>
                <c:pt idx="64">
                  <c:v>0.16666666666666666</c:v>
                </c:pt>
                <c:pt idx="65">
                  <c:v>0.4</c:v>
                </c:pt>
                <c:pt idx="66">
                  <c:v>0</c:v>
                </c:pt>
                <c:pt idx="67">
                  <c:v>0.33333333333333331</c:v>
                </c:pt>
                <c:pt idx="68">
                  <c:v>9.0909090909090912E-2</c:v>
                </c:pt>
                <c:pt idx="69">
                  <c:v>0</c:v>
                </c:pt>
                <c:pt idx="70">
                  <c:v>0</c:v>
                </c:pt>
                <c:pt idx="71">
                  <c:v>0</c:v>
                </c:pt>
                <c:pt idx="72">
                  <c:v>0.33333333333333331</c:v>
                </c:pt>
                <c:pt idx="73">
                  <c:v>0</c:v>
                </c:pt>
                <c:pt idx="74">
                  <c:v>0.33333333333333331</c:v>
                </c:pt>
                <c:pt idx="75">
                  <c:v>0</c:v>
                </c:pt>
                <c:pt idx="76">
                  <c:v>0.25</c:v>
                </c:pt>
                <c:pt idx="77">
                  <c:v>0.25</c:v>
                </c:pt>
                <c:pt idx="78">
                  <c:v>0</c:v>
                </c:pt>
                <c:pt idx="79">
                  <c:v>0.27272727272727271</c:v>
                </c:pt>
                <c:pt idx="80">
                  <c:v>0.16666666666666666</c:v>
                </c:pt>
                <c:pt idx="81">
                  <c:v>0</c:v>
                </c:pt>
                <c:pt idx="82">
                  <c:v>0.91666666666666663</c:v>
                </c:pt>
                <c:pt idx="83">
                  <c:v>0.25</c:v>
                </c:pt>
                <c:pt idx="84">
                  <c:v>0</c:v>
                </c:pt>
                <c:pt idx="85">
                  <c:v>0</c:v>
                </c:pt>
                <c:pt idx="86">
                  <c:v>0</c:v>
                </c:pt>
                <c:pt idx="87">
                  <c:v>8.3333333333333329E-2</c:v>
                </c:pt>
                <c:pt idx="88">
                  <c:v>1.25</c:v>
                </c:pt>
                <c:pt idx="89">
                  <c:v>8.3333333333333329E-2</c:v>
                </c:pt>
                <c:pt idx="90">
                  <c:v>0.25</c:v>
                </c:pt>
                <c:pt idx="91">
                  <c:v>0</c:v>
                </c:pt>
                <c:pt idx="92">
                  <c:v>0</c:v>
                </c:pt>
                <c:pt idx="93">
                  <c:v>0.25</c:v>
                </c:pt>
                <c:pt idx="94">
                  <c:v>0.33333333333333331</c:v>
                </c:pt>
                <c:pt idx="95">
                  <c:v>0.16666666666666666</c:v>
                </c:pt>
                <c:pt idx="96">
                  <c:v>0.5</c:v>
                </c:pt>
                <c:pt idx="97">
                  <c:v>0</c:v>
                </c:pt>
                <c:pt idx="98">
                  <c:v>0.33333333333333331</c:v>
                </c:pt>
                <c:pt idx="99">
                  <c:v>0.25</c:v>
                </c:pt>
                <c:pt idx="100">
                  <c:v>0</c:v>
                </c:pt>
                <c:pt idx="101">
                  <c:v>0.33333333333333331</c:v>
                </c:pt>
                <c:pt idx="102">
                  <c:v>0.66666666666666663</c:v>
                </c:pt>
                <c:pt idx="103">
                  <c:v>0.5</c:v>
                </c:pt>
                <c:pt idx="104">
                  <c:v>0</c:v>
                </c:pt>
                <c:pt idx="105">
                  <c:v>0</c:v>
                </c:pt>
                <c:pt idx="106">
                  <c:v>0</c:v>
                </c:pt>
                <c:pt idx="107">
                  <c:v>0.58333333333333337</c:v>
                </c:pt>
              </c:numCache>
            </c:numRef>
          </c:val>
          <c:extLst>
            <c:ext xmlns:c16="http://schemas.microsoft.com/office/drawing/2014/chart" uri="{C3380CC4-5D6E-409C-BE32-E72D297353CC}">
              <c16:uniqueId val="{00000001-3C2D-4F1A-B431-F46CAB572A23}"/>
            </c:ext>
          </c:extLst>
        </c:ser>
        <c:ser>
          <c:idx val="2"/>
          <c:order val="2"/>
          <c:tx>
            <c:strRef>
              <c:f>'5 PM '!$OS$2</c:f>
              <c:strCache>
                <c:ptCount val="1"/>
                <c:pt idx="0">
                  <c:v>5PM</c:v>
                </c:pt>
              </c:strCache>
            </c:strRef>
          </c:tx>
          <c:spPr>
            <a:solidFill>
              <a:schemeClr val="accent3"/>
            </a:solidFill>
            <a:ln>
              <a:noFill/>
            </a:ln>
            <a:effectLst/>
          </c:spPr>
          <c:invertIfNegative val="0"/>
          <c:cat>
            <c:strRef>
              <c:f>'Quart heure CC - CE'!$D$3:$D$114</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'5 PM '!$OS$3:$OS$115</c:f>
              <c:numCache>
                <c:formatCode>0.0%</c:formatCode>
                <c:ptCount val="24"/>
                <c:pt idx="0">
                  <c:v>0.31838565022421522</c:v>
                </c:pt>
                <c:pt idx="1">
                  <c:v>7.1428571428571425E-2</c:v>
                </c:pt>
                <c:pt idx="2">
                  <c:v>0</c:v>
                </c:pt>
                <c:pt idx="3">
                  <c:v>0.29004329004329005</c:v>
                </c:pt>
                <c:pt idx="4">
                  <c:v>0.26940639269406391</c:v>
                </c:pt>
                <c:pt idx="5">
                  <c:v>0.2930232558139535</c:v>
                </c:pt>
                <c:pt idx="6">
                  <c:v>0.16216216216216217</c:v>
                </c:pt>
                <c:pt idx="7">
                  <c:v>0.20434782608695654</c:v>
                </c:pt>
                <c:pt idx="8">
                  <c:v>0.30493273542600896</c:v>
                </c:pt>
                <c:pt idx="9">
                  <c:v>4.4052863436123352E-3</c:v>
                </c:pt>
                <c:pt idx="10">
                  <c:v>0</c:v>
                </c:pt>
                <c:pt idx="11">
                  <c:v>0</c:v>
                </c:pt>
                <c:pt idx="12">
                  <c:v>7.3863636363636367E-2</c:v>
                </c:pt>
                <c:pt idx="13">
                  <c:v>0.27312775330396477</c:v>
                </c:pt>
                <c:pt idx="14">
                  <c:v>0.21304347826086956</c:v>
                </c:pt>
                <c:pt idx="15">
                  <c:v>0.23557692307692307</c:v>
                </c:pt>
                <c:pt idx="16">
                  <c:v>0.10212765957446808</c:v>
                </c:pt>
                <c:pt idx="17">
                  <c:v>0.15948275862068967</c:v>
                </c:pt>
                <c:pt idx="18">
                  <c:v>0.2119815668202765</c:v>
                </c:pt>
                <c:pt idx="19">
                  <c:v>5.3097345132743362E-2</c:v>
                </c:pt>
                <c:pt idx="20">
                  <c:v>0.10404624277456648</c:v>
                </c:pt>
                <c:pt idx="21">
                  <c:v>0.30131004366812225</c:v>
                </c:pt>
                <c:pt idx="22">
                  <c:v>0.17050691244239632</c:v>
                </c:pt>
                <c:pt idx="23">
                  <c:v>0.22272727272727272</c:v>
                </c:pt>
              </c:numCache>
            </c:numRef>
          </c:val>
          <c:extLst>
            <c:ext xmlns:c16="http://schemas.microsoft.com/office/drawing/2014/chart" uri="{C3380CC4-5D6E-409C-BE32-E72D297353CC}">
              <c16:uniqueId val="{00000002-3C2D-4F1A-B431-F46CAB572A23}"/>
            </c:ext>
          </c:extLst>
        </c:ser>
        <c:ser>
          <c:idx val="3"/>
          <c:order val="3"/>
          <c:tx>
            <c:strRef>
              <c:f>'Eveil Musculaire '!$OS$2</c:f>
              <c:strCache>
                <c:ptCount val="1"/>
                <c:pt idx="0">
                  <c:v>Eveil musculaire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'Quart heure CC - CE'!$D$3:$D$114</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'Eveil Musculaire '!$OS$3:$OS$105</c:f>
              <c:numCache>
                <c:formatCode>0.0%</c:formatCode>
                <c:ptCount val="24"/>
                <c:pt idx="0">
                  <c:v>0.32</c:v>
                </c:pt>
                <c:pt idx="1">
                  <c:v>5.2356020942408377E-2</c:v>
                </c:pt>
                <c:pt idx="2">
                  <c:v>0</c:v>
                </c:pt>
                <c:pt idx="3">
                  <c:v>0.25847457627118642</c:v>
                </c:pt>
                <c:pt idx="4">
                  <c:v>8.3333333333333332E-3</c:v>
                </c:pt>
                <c:pt idx="5">
                  <c:v>0.28761061946902655</c:v>
                </c:pt>
                <c:pt idx="6">
                  <c:v>0.15111111111111111</c:v>
                </c:pt>
                <c:pt idx="7">
                  <c:v>0.18723404255319148</c:v>
                </c:pt>
                <c:pt idx="8">
                  <c:v>0.28448275862068967</c:v>
                </c:pt>
                <c:pt idx="9">
                  <c:v>0</c:v>
                </c:pt>
                <c:pt idx="10">
                  <c:v>0</c:v>
                </c:pt>
                <c:pt idx="11">
                  <c:v>0</c:v>
                </c:pt>
                <c:pt idx="12">
                  <c:v>6.6298342541436461E-2</c:v>
                </c:pt>
                <c:pt idx="13">
                  <c:v>0.13983050847457626</c:v>
                </c:pt>
                <c:pt idx="14">
                  <c:v>0.14166666666666666</c:v>
                </c:pt>
                <c:pt idx="15">
                  <c:v>0.21524663677130046</c:v>
                </c:pt>
                <c:pt idx="16">
                  <c:v>8.085106382978724E-2</c:v>
                </c:pt>
                <c:pt idx="17">
                  <c:v>6.8965517241379309E-2</c:v>
                </c:pt>
                <c:pt idx="18">
                  <c:v>0.20434782608695654</c:v>
                </c:pt>
                <c:pt idx="19">
                  <c:v>0</c:v>
                </c:pt>
                <c:pt idx="20">
                  <c:v>9.0452261306532666E-2</c:v>
                </c:pt>
                <c:pt idx="21">
                  <c:v>0.25321888412017168</c:v>
                </c:pt>
                <c:pt idx="22">
                  <c:v>0.16444444444444445</c:v>
                </c:pt>
                <c:pt idx="23">
                  <c:v>0.21645021645021645</c:v>
                </c:pt>
              </c:numCache>
            </c:numRef>
          </c:val>
          <c:extLst>
            <c:ext xmlns:c16="http://schemas.microsoft.com/office/drawing/2014/chart" uri="{C3380CC4-5D6E-409C-BE32-E72D297353CC}">
              <c16:uniqueId val="{00000003-3C2D-4F1A-B431-F46CAB572A23}"/>
            </c:ext>
          </c:extLst>
        </c:ser>
        <c:dLbls>
          <c:showLegendKey val="0"/>
          <c:showVal val="0"/>
          <c:showCatName val="0"/>
          <c:showSerName val="0"/>
          <c:showPercent val="0"/>
          <c:showBubbleSize val="0"/>
        </c:dLbls>
        <c:gapWidth val="150"/>
        <c:overlap val="100"/>
        <c:axId val="128347263"/>
        <c:axId val="128344383"/>
      </c:barChart>
      <c:catAx>
        <c:axId val="128347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344383"/>
        <c:crosses val="autoZero"/>
        <c:auto val="1"/>
        <c:lblAlgn val="ctr"/>
        <c:lblOffset val="100"/>
        <c:noMultiLvlLbl val="0"/>
      </c:catAx>
      <c:valAx>
        <c:axId val="12834438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34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Visite QSSE Encadrant</a:t>
            </a:r>
            <a:r>
              <a:rPr lang="fr-FR" baseline="0"/>
              <a:t>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6.756324588298232E-2"/>
          <c:y val="1.519075787374337E-2"/>
          <c:w val="0.93006100535848091"/>
          <c:h val="0.73760512255594923"/>
        </c:manualLayout>
      </c:layout>
      <c:barChart>
        <c:barDir val="col"/>
        <c:grouping val="clustered"/>
        <c:varyColors val="0"/>
        <c:ser>
          <c:idx val="0"/>
          <c:order val="0"/>
          <c:tx>
            <c:strRef>
              <c:f>'Visites QSSE - 5PM_Eveils'!$R$2</c:f>
              <c:strCache>
                <c:ptCount val="1"/>
                <c:pt idx="0">
                  <c:v>Nombre visite QSSE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fr-F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'Visites QSSE - 5PM_Eveils'!$E$3:$E$77</c:f>
              <c:strCache>
                <c:ptCount val="7"/>
                <c:pt idx="0">
                  <c:v>ANTONIALI Clara</c:v>
                </c:pt>
                <c:pt idx="1">
                  <c:v>DINET Nicolas</c:v>
                </c:pt>
                <c:pt idx="2">
                  <c:v>DOS SANTOS Manuel</c:v>
                </c:pt>
                <c:pt idx="3">
                  <c:v>GASTON Jean-Baptiste</c:v>
                </c:pt>
                <c:pt idx="4">
                  <c:v>NOUVET Fabien</c:v>
                </c:pt>
                <c:pt idx="5">
                  <c:v>SAUTERON Jean-Luc</c:v>
                </c:pt>
                <c:pt idx="6">
                  <c:v>THOMAS Romain</c:v>
                </c:pt>
              </c:strCache>
            </c:strRef>
          </c:cat>
          <c:val>
            <c:numRef>
              <c:f>'Visites QSSE - 5PM_Eveils'!$R$3:$R$77</c:f>
              <c:numCache>
                <c:formatCode>General</c:formatCode>
                <c:ptCount val="7"/>
                <c:pt idx="0">
                  <c:v>4</c:v>
                </c:pt>
                <c:pt idx="1">
                  <c:v>4</c:v>
                </c:pt>
                <c:pt idx="2">
                  <c:v>5</c:v>
                </c:pt>
                <c:pt idx="3">
                  <c:v>4</c:v>
                </c:pt>
                <c:pt idx="4">
                  <c:v>6</c:v>
                </c:pt>
                <c:pt idx="5">
                  <c:v>4</c:v>
                </c:pt>
                <c:pt idx="6">
                  <c:v>4</c:v>
                </c:pt>
              </c:numCache>
            </c:numRef>
          </c:val>
          <c:extLst>
            <c:ext xmlns:c16="http://schemas.microsoft.com/office/drawing/2014/chart" uri="{C3380CC4-5D6E-409C-BE32-E72D297353CC}">
              <c16:uniqueId val="{00000000-3034-4FFD-838A-77FE4F093C32}"/>
            </c:ext>
          </c:extLst>
        </c:ser>
        <c:dLbls>
          <c:showLegendKey val="0"/>
          <c:showVal val="0"/>
          <c:showCatName val="0"/>
          <c:showSerName val="0"/>
          <c:showPercent val="0"/>
          <c:showBubbleSize val="0"/>
        </c:dLbls>
        <c:gapWidth val="219"/>
        <c:overlap val="-27"/>
        <c:axId val="1096216192"/>
        <c:axId val="1096219072"/>
      </c:barChart>
      <c:lineChart>
        <c:grouping val="standard"/>
        <c:varyColors val="0"/>
        <c:ser>
          <c:idx val="1"/>
          <c:order val="1"/>
          <c:tx>
            <c:strRef>
              <c:f>'Visites QSSE - 5PM_Eveils'!$S$2</c:f>
              <c:strCache>
                <c:ptCount val="1"/>
                <c:pt idx="0">
                  <c:v>Objectifs </c:v>
                </c:pt>
              </c:strCache>
            </c:strRef>
          </c:tx>
          <c:spPr>
            <a:ln w="28575" cap="rnd">
              <a:solidFill>
                <a:schemeClr val="accent2"/>
              </a:solidFill>
              <a:round/>
            </a:ln>
            <a:effectLst/>
          </c:spPr>
          <c:marker>
            <c:symbol val="square"/>
            <c:size val="5"/>
            <c:spPr>
              <a:solidFill>
                <a:srgbClr val="FF0078"/>
              </a:solidFill>
              <a:ln w="9525">
                <a:solidFill>
                  <a:srgbClr val="FF007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'Visites QSSE - 5PM_Eveils'!$E$3:$E$77</c:f>
              <c:strCache>
                <c:ptCount val="7"/>
                <c:pt idx="0">
                  <c:v>ANTONIALI Clara</c:v>
                </c:pt>
                <c:pt idx="1">
                  <c:v>DINET Nicolas</c:v>
                </c:pt>
                <c:pt idx="2">
                  <c:v>DOS SANTOS Manuel</c:v>
                </c:pt>
                <c:pt idx="3">
                  <c:v>GASTON Jean-Baptiste</c:v>
                </c:pt>
                <c:pt idx="4">
                  <c:v>NOUVET Fabien</c:v>
                </c:pt>
                <c:pt idx="5">
                  <c:v>SAUTERON Jean-Luc</c:v>
                </c:pt>
                <c:pt idx="6">
                  <c:v>THOMAS Romain</c:v>
                </c:pt>
              </c:strCache>
            </c:strRef>
          </c:cat>
          <c:val>
            <c:numRef>
              <c:f>'Visites QSSE - 5PM_Eveils'!$S$3:$S$77</c:f>
              <c:numCache>
                <c:formatCode>General</c:formatCode>
                <c:ptCount val="7"/>
                <c:pt idx="0">
                  <c:v>12</c:v>
                </c:pt>
                <c:pt idx="1">
                  <c:v>12</c:v>
                </c:pt>
                <c:pt idx="2">
                  <c:v>12</c:v>
                </c:pt>
                <c:pt idx="3">
                  <c:v>12</c:v>
                </c:pt>
                <c:pt idx="4">
                  <c:v>12</c:v>
                </c:pt>
                <c:pt idx="5">
                  <c:v>12</c:v>
                </c:pt>
                <c:pt idx="6">
                  <c:v>12</c:v>
                </c:pt>
              </c:numCache>
            </c:numRef>
          </c:val>
          <c:smooth val="0"/>
          <c:extLst>
            <c:ext xmlns:c16="http://schemas.microsoft.com/office/drawing/2014/chart" uri="{C3380CC4-5D6E-409C-BE32-E72D297353CC}">
              <c16:uniqueId val="{00000001-3034-4FFD-838A-77FE4F093C32}"/>
            </c:ext>
          </c:extLst>
        </c:ser>
        <c:dLbls>
          <c:showLegendKey val="0"/>
          <c:showVal val="0"/>
          <c:showCatName val="0"/>
          <c:showSerName val="0"/>
          <c:showPercent val="0"/>
          <c:showBubbleSize val="0"/>
        </c:dLbls>
        <c:marker val="1"/>
        <c:smooth val="0"/>
        <c:axId val="1096216192"/>
        <c:axId val="1096219072"/>
      </c:lineChart>
      <c:catAx>
        <c:axId val="109621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9072"/>
        <c:crosses val="autoZero"/>
        <c:auto val="1"/>
        <c:lblAlgn val="ctr"/>
        <c:lblOffset val="100"/>
        <c:noMultiLvlLbl val="0"/>
      </c:catAx>
      <c:valAx>
        <c:axId val="10962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Remontées</a:t>
            </a:r>
            <a:r>
              <a:rPr lang="fr-FR" baseline="0"/>
              <a:t> fiches de non conformité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6.756324588298232E-2"/>
          <c:y val="1.519075787374337E-2"/>
          <c:w val="0.93006100535848091"/>
          <c:h val="0.73760512255594923"/>
        </c:manualLayout>
      </c:layout>
      <c:barChart>
        <c:barDir val="col"/>
        <c:grouping val="clustered"/>
        <c:varyColors val="0"/>
        <c:ser>
          <c:idx val="0"/>
          <c:order val="0"/>
          <c:tx>
            <c:strRef>
              <c:f>'FNC '!$Q$2</c:f>
              <c:strCache>
                <c:ptCount val="1"/>
                <c:pt idx="0">
                  <c:v>Nombre FNC</c:v>
                </c:pt>
              </c:strCache>
            </c:strRef>
          </c:tx>
          <c:spPr>
            <a:solidFill>
              <a:schemeClr val="accent1"/>
            </a:solidFill>
            <a:ln>
              <a:noFill/>
            </a:ln>
            <a:effectLst/>
          </c:spPr>
          <c:invertIfNegative val="0"/>
          <c:cat>
            <c:strRef>
              <c:f>'FNC '!$D$3:$D$71</c:f>
              <c:strCache>
                <c:ptCount val="69"/>
                <c:pt idx="0">
                  <c:v>AIMARD Léo</c:v>
                </c:pt>
                <c:pt idx="1">
                  <c:v>ANTONIALI Clara</c:v>
                </c:pt>
                <c:pt idx="2">
                  <c:v>AUGER Anthony</c:v>
                </c:pt>
                <c:pt idx="3">
                  <c:v>BACOT Vincent</c:v>
                </c:pt>
                <c:pt idx="4">
                  <c:v>BARRE Pierric</c:v>
                </c:pt>
                <c:pt idx="5">
                  <c:v>BEIGNON Romain</c:v>
                </c:pt>
                <c:pt idx="6">
                  <c:v>BERCHARD Yannick</c:v>
                </c:pt>
                <c:pt idx="7">
                  <c:v>BLANC Cédric</c:v>
                </c:pt>
                <c:pt idx="8">
                  <c:v>CHABRIER Stéphane</c:v>
                </c:pt>
                <c:pt idx="9">
                  <c:v>CLARET Sébastien </c:v>
                </c:pt>
                <c:pt idx="10">
                  <c:v>COURNIL Valentin</c:v>
                </c:pt>
                <c:pt idx="11">
                  <c:v>CUSSET Clément </c:v>
                </c:pt>
                <c:pt idx="12">
                  <c:v>DAUTHEVILLE  Grégoire </c:v>
                </c:pt>
                <c:pt idx="13">
                  <c:v>DE LA ROCHE Bertrand </c:v>
                </c:pt>
                <c:pt idx="14">
                  <c:v>DE MACEDO  Maxime</c:v>
                </c:pt>
                <c:pt idx="15">
                  <c:v>DE SOUSA Mickaël</c:v>
                </c:pt>
                <c:pt idx="16">
                  <c:v>DENEPOUX Romain</c:v>
                </c:pt>
                <c:pt idx="17">
                  <c:v>DINET Nicolas</c:v>
                </c:pt>
                <c:pt idx="18">
                  <c:v>DOS SANTOS Manuel</c:v>
                </c:pt>
                <c:pt idx="19">
                  <c:v>DUCROIX Angèle</c:v>
                </c:pt>
                <c:pt idx="20">
                  <c:v>DUCROUX Fabien</c:v>
                </c:pt>
                <c:pt idx="21">
                  <c:v>DURIF  Alexis </c:v>
                </c:pt>
                <c:pt idx="22">
                  <c:v>FALCOU Yoann</c:v>
                </c:pt>
                <c:pt idx="23">
                  <c:v>FAYARD Guillaume</c:v>
                </c:pt>
                <c:pt idx="24">
                  <c:v>FOURCADE Nathan</c:v>
                </c:pt>
                <c:pt idx="25">
                  <c:v>GANIERE Nicolas</c:v>
                </c:pt>
                <c:pt idx="26">
                  <c:v>GARCIA Sabrina</c:v>
                </c:pt>
                <c:pt idx="27">
                  <c:v>GARNIER Loïc</c:v>
                </c:pt>
                <c:pt idx="28">
                  <c:v>GASTON Jean-Baptiste</c:v>
                </c:pt>
                <c:pt idx="29">
                  <c:v>GAZE David </c:v>
                </c:pt>
                <c:pt idx="30">
                  <c:v>GINDRE Albéric</c:v>
                </c:pt>
                <c:pt idx="31">
                  <c:v>GIRAUD Antoine</c:v>
                </c:pt>
                <c:pt idx="32">
                  <c:v>GRAND Lucas</c:v>
                </c:pt>
                <c:pt idx="33">
                  <c:v>GUILLON Théo</c:v>
                </c:pt>
                <c:pt idx="34">
                  <c:v>HEYRAUD  Baptiste</c:v>
                </c:pt>
                <c:pt idx="35">
                  <c:v>HUET  Sébastien</c:v>
                </c:pt>
                <c:pt idx="36">
                  <c:v>JANISSET Benjamin </c:v>
                </c:pt>
                <c:pt idx="37">
                  <c:v>JEAN Roxane</c:v>
                </c:pt>
                <c:pt idx="38">
                  <c:v>JEAN-VICTOR Emma</c:v>
                </c:pt>
                <c:pt idx="39">
                  <c:v>LAFRINDI Ghizlane</c:v>
                </c:pt>
                <c:pt idx="40">
                  <c:v>LEFRANC Paul</c:v>
                </c:pt>
                <c:pt idx="41">
                  <c:v>LOPES David </c:v>
                </c:pt>
                <c:pt idx="42">
                  <c:v>LOUBEYRE  Anne Sarah</c:v>
                </c:pt>
                <c:pt idx="43">
                  <c:v>MADEBENE Hugo</c:v>
                </c:pt>
                <c:pt idx="44">
                  <c:v>MAGNIN  Cédric</c:v>
                </c:pt>
                <c:pt idx="45">
                  <c:v>MALEYRAT  Philippe </c:v>
                </c:pt>
                <c:pt idx="46">
                  <c:v>MARQUES Daniel</c:v>
                </c:pt>
                <c:pt idx="47">
                  <c:v>MARQUIER  Francis </c:v>
                </c:pt>
                <c:pt idx="48">
                  <c:v>MAUCHET Richard</c:v>
                </c:pt>
                <c:pt idx="49">
                  <c:v>MEHATS Maude</c:v>
                </c:pt>
                <c:pt idx="50">
                  <c:v>MONIN Adrien</c:v>
                </c:pt>
                <c:pt idx="51">
                  <c:v>MOREL Lilian </c:v>
                </c:pt>
                <c:pt idx="52">
                  <c:v>MUNOS Philippe</c:v>
                </c:pt>
                <c:pt idx="53">
                  <c:v>NOUVET Fabien</c:v>
                </c:pt>
                <c:pt idx="54">
                  <c:v>PERRY Yvan</c:v>
                </c:pt>
                <c:pt idx="55">
                  <c:v>PEYRICAL Julien</c:v>
                </c:pt>
                <c:pt idx="56">
                  <c:v>POUPEAU Joël</c:v>
                </c:pt>
                <c:pt idx="57">
                  <c:v>RATHIER Benoît</c:v>
                </c:pt>
                <c:pt idx="58">
                  <c:v>REPELLIN Vincent</c:v>
                </c:pt>
                <c:pt idx="59">
                  <c:v>REVIRON DE NARDI Julie</c:v>
                </c:pt>
                <c:pt idx="60">
                  <c:v>RICHARD Kévin</c:v>
                </c:pt>
                <c:pt idx="61">
                  <c:v>SAUTERON Jean-Luc</c:v>
                </c:pt>
                <c:pt idx="62">
                  <c:v>SCHIFANO Céline</c:v>
                </c:pt>
                <c:pt idx="63">
                  <c:v>SEPCHAT  Nicolas</c:v>
                </c:pt>
                <c:pt idx="64">
                  <c:v>SMILGINS Vitalijs</c:v>
                </c:pt>
                <c:pt idx="65">
                  <c:v>THOMAS Romain</c:v>
                </c:pt>
                <c:pt idx="66">
                  <c:v>VIRAT Mickael</c:v>
                </c:pt>
                <c:pt idx="67">
                  <c:v>WEHRLIN Simon</c:v>
                </c:pt>
                <c:pt idx="68">
                  <c:v>ZARZA Anthony</c:v>
                </c:pt>
              </c:strCache>
            </c:strRef>
          </c:cat>
          <c:val>
            <c:numRef>
              <c:f>'FNC '!$Q$3:$Q$71</c:f>
              <c:numCache>
                <c:formatCode>General</c:formatCode>
                <c:ptCount val="69"/>
                <c:pt idx="0">
                  <c:v>4</c:v>
                </c:pt>
                <c:pt idx="1">
                  <c:v>1</c:v>
                </c:pt>
                <c:pt idx="2">
                  <c:v>0</c:v>
                </c:pt>
                <c:pt idx="3">
                  <c:v>0</c:v>
                </c:pt>
                <c:pt idx="4">
                  <c:v>0</c:v>
                </c:pt>
                <c:pt idx="5">
                  <c:v>0</c:v>
                </c:pt>
                <c:pt idx="6">
                  <c:v>4</c:v>
                </c:pt>
                <c:pt idx="7">
                  <c:v>1</c:v>
                </c:pt>
                <c:pt idx="8">
                  <c:v>0</c:v>
                </c:pt>
                <c:pt idx="9">
                  <c:v>0</c:v>
                </c:pt>
                <c:pt idx="10">
                  <c:v>0</c:v>
                </c:pt>
                <c:pt idx="11">
                  <c:v>3</c:v>
                </c:pt>
                <c:pt idx="12">
                  <c:v>0</c:v>
                </c:pt>
                <c:pt idx="13">
                  <c:v>0</c:v>
                </c:pt>
                <c:pt idx="14">
                  <c:v>0</c:v>
                </c:pt>
                <c:pt idx="15">
                  <c:v>3</c:v>
                </c:pt>
                <c:pt idx="16">
                  <c:v>2</c:v>
                </c:pt>
                <c:pt idx="17">
                  <c:v>0</c:v>
                </c:pt>
                <c:pt idx="18">
                  <c:v>0</c:v>
                </c:pt>
                <c:pt idx="19">
                  <c:v>0</c:v>
                </c:pt>
                <c:pt idx="20">
                  <c:v>3</c:v>
                </c:pt>
                <c:pt idx="21">
                  <c:v>3</c:v>
                </c:pt>
                <c:pt idx="22">
                  <c:v>2</c:v>
                </c:pt>
                <c:pt idx="23">
                  <c:v>2</c:v>
                </c:pt>
                <c:pt idx="24">
                  <c:v>0</c:v>
                </c:pt>
                <c:pt idx="25">
                  <c:v>0</c:v>
                </c:pt>
                <c:pt idx="26">
                  <c:v>0</c:v>
                </c:pt>
                <c:pt idx="27">
                  <c:v>0</c:v>
                </c:pt>
                <c:pt idx="28">
                  <c:v>3</c:v>
                </c:pt>
                <c:pt idx="29">
                  <c:v>4</c:v>
                </c:pt>
                <c:pt idx="30">
                  <c:v>0</c:v>
                </c:pt>
                <c:pt idx="31">
                  <c:v>0</c:v>
                </c:pt>
                <c:pt idx="32">
                  <c:v>0</c:v>
                </c:pt>
                <c:pt idx="33">
                  <c:v>1</c:v>
                </c:pt>
                <c:pt idx="34">
                  <c:v>4</c:v>
                </c:pt>
                <c:pt idx="35">
                  <c:v>1</c:v>
                </c:pt>
                <c:pt idx="36">
                  <c:v>0</c:v>
                </c:pt>
                <c:pt idx="37">
                  <c:v>0</c:v>
                </c:pt>
                <c:pt idx="38">
                  <c:v>5</c:v>
                </c:pt>
                <c:pt idx="39">
                  <c:v>2</c:v>
                </c:pt>
                <c:pt idx="40">
                  <c:v>0</c:v>
                </c:pt>
                <c:pt idx="41">
                  <c:v>0</c:v>
                </c:pt>
                <c:pt idx="42">
                  <c:v>2</c:v>
                </c:pt>
                <c:pt idx="43">
                  <c:v>2</c:v>
                </c:pt>
                <c:pt idx="44">
                  <c:v>1</c:v>
                </c:pt>
                <c:pt idx="45">
                  <c:v>0</c:v>
                </c:pt>
                <c:pt idx="46">
                  <c:v>5</c:v>
                </c:pt>
                <c:pt idx="47">
                  <c:v>2</c:v>
                </c:pt>
                <c:pt idx="48">
                  <c:v>0</c:v>
                </c:pt>
                <c:pt idx="49">
                  <c:v>0</c:v>
                </c:pt>
                <c:pt idx="50">
                  <c:v>5</c:v>
                </c:pt>
                <c:pt idx="51">
                  <c:v>3</c:v>
                </c:pt>
                <c:pt idx="52">
                  <c:v>0</c:v>
                </c:pt>
                <c:pt idx="53">
                  <c:v>3</c:v>
                </c:pt>
                <c:pt idx="54">
                  <c:v>0</c:v>
                </c:pt>
                <c:pt idx="55">
                  <c:v>0</c:v>
                </c:pt>
                <c:pt idx="56">
                  <c:v>3</c:v>
                </c:pt>
                <c:pt idx="57">
                  <c:v>0</c:v>
                </c:pt>
                <c:pt idx="58">
                  <c:v>72</c:v>
                </c:pt>
                <c:pt idx="59">
                  <c:v>0</c:v>
                </c:pt>
                <c:pt idx="60">
                  <c:v>0</c:v>
                </c:pt>
                <c:pt idx="61">
                  <c:v>4</c:v>
                </c:pt>
                <c:pt idx="62">
                  <c:v>1</c:v>
                </c:pt>
                <c:pt idx="63">
                  <c:v>0</c:v>
                </c:pt>
                <c:pt idx="64">
                  <c:v>0</c:v>
                </c:pt>
                <c:pt idx="65">
                  <c:v>4</c:v>
                </c:pt>
                <c:pt idx="66">
                  <c:v>0</c:v>
                </c:pt>
                <c:pt idx="67">
                  <c:v>4</c:v>
                </c:pt>
                <c:pt idx="68">
                  <c:v>1</c:v>
                </c:pt>
              </c:numCache>
            </c:numRef>
          </c:val>
          <c:extLst>
            <c:ext xmlns:c16="http://schemas.microsoft.com/office/drawing/2014/chart" uri="{C3380CC4-5D6E-409C-BE32-E72D297353CC}">
              <c16:uniqueId val="{00000000-32F3-40C7-98EE-995B169C4BE1}"/>
            </c:ext>
          </c:extLst>
        </c:ser>
        <c:dLbls>
          <c:showLegendKey val="0"/>
          <c:showVal val="0"/>
          <c:showCatName val="0"/>
          <c:showSerName val="0"/>
          <c:showPercent val="0"/>
          <c:showBubbleSize val="0"/>
        </c:dLbls>
        <c:gapWidth val="219"/>
        <c:overlap val="-27"/>
        <c:axId val="1096216192"/>
        <c:axId val="1096219072"/>
      </c:barChart>
      <c:lineChart>
        <c:grouping val="standard"/>
        <c:varyColors val="0"/>
        <c:ser>
          <c:idx val="1"/>
          <c:order val="1"/>
          <c:tx>
            <c:strRef>
              <c:f>'FNC '!$R$2</c:f>
              <c:strCache>
                <c:ptCount val="1"/>
                <c:pt idx="0">
                  <c:v>Objectifs </c:v>
                </c:pt>
              </c:strCache>
            </c:strRef>
          </c:tx>
          <c:spPr>
            <a:ln w="28575" cap="rnd">
              <a:solidFill>
                <a:schemeClr val="accent2"/>
              </a:solidFill>
              <a:round/>
            </a:ln>
            <a:effectLst/>
          </c:spPr>
          <c:marker>
            <c:symbol val="square"/>
            <c:size val="5"/>
            <c:spPr>
              <a:solidFill>
                <a:srgbClr val="F94607"/>
              </a:solidFill>
              <a:ln w="9525">
                <a:solidFill>
                  <a:srgbClr val="F94607"/>
                </a:solidFill>
              </a:ln>
              <a:effectLst/>
            </c:spPr>
          </c:marker>
          <c:cat>
            <c:strRef>
              <c:f>'FNC '!$D$3:$D$71</c:f>
              <c:strCache>
                <c:ptCount val="69"/>
                <c:pt idx="0">
                  <c:v>AIMARD Léo</c:v>
                </c:pt>
                <c:pt idx="1">
                  <c:v>ANTONIALI Clara</c:v>
                </c:pt>
                <c:pt idx="2">
                  <c:v>AUGER Anthony</c:v>
                </c:pt>
                <c:pt idx="3">
                  <c:v>BACOT Vincent</c:v>
                </c:pt>
                <c:pt idx="4">
                  <c:v>BARRE Pierric</c:v>
                </c:pt>
                <c:pt idx="5">
                  <c:v>BEIGNON Romain</c:v>
                </c:pt>
                <c:pt idx="6">
                  <c:v>BERCHARD Yannick</c:v>
                </c:pt>
                <c:pt idx="7">
                  <c:v>BLANC Cédric</c:v>
                </c:pt>
                <c:pt idx="8">
                  <c:v>CHABRIER Stéphane</c:v>
                </c:pt>
                <c:pt idx="9">
                  <c:v>CLARET Sébastien </c:v>
                </c:pt>
                <c:pt idx="10">
                  <c:v>COURNIL Valentin</c:v>
                </c:pt>
                <c:pt idx="11">
                  <c:v>CUSSET Clément </c:v>
                </c:pt>
                <c:pt idx="12">
                  <c:v>DAUTHEVILLE  Grégoire </c:v>
                </c:pt>
                <c:pt idx="13">
                  <c:v>DE LA ROCHE Bertrand </c:v>
                </c:pt>
                <c:pt idx="14">
                  <c:v>DE MACEDO  Maxime</c:v>
                </c:pt>
                <c:pt idx="15">
                  <c:v>DE SOUSA Mickaël</c:v>
                </c:pt>
                <c:pt idx="16">
                  <c:v>DENEPOUX Romain</c:v>
                </c:pt>
                <c:pt idx="17">
                  <c:v>DINET Nicolas</c:v>
                </c:pt>
                <c:pt idx="18">
                  <c:v>DOS SANTOS Manuel</c:v>
                </c:pt>
                <c:pt idx="19">
                  <c:v>DUCROIX Angèle</c:v>
                </c:pt>
                <c:pt idx="20">
                  <c:v>DUCROUX Fabien</c:v>
                </c:pt>
                <c:pt idx="21">
                  <c:v>DURIF  Alexis </c:v>
                </c:pt>
                <c:pt idx="22">
                  <c:v>FALCOU Yoann</c:v>
                </c:pt>
                <c:pt idx="23">
                  <c:v>FAYARD Guillaume</c:v>
                </c:pt>
                <c:pt idx="24">
                  <c:v>FOURCADE Nathan</c:v>
                </c:pt>
                <c:pt idx="25">
                  <c:v>GANIERE Nicolas</c:v>
                </c:pt>
                <c:pt idx="26">
                  <c:v>GARCIA Sabrina</c:v>
                </c:pt>
                <c:pt idx="27">
                  <c:v>GARNIER Loïc</c:v>
                </c:pt>
                <c:pt idx="28">
                  <c:v>GASTON Jean-Baptiste</c:v>
                </c:pt>
                <c:pt idx="29">
                  <c:v>GAZE David </c:v>
                </c:pt>
                <c:pt idx="30">
                  <c:v>GINDRE Albéric</c:v>
                </c:pt>
                <c:pt idx="31">
                  <c:v>GIRAUD Antoine</c:v>
                </c:pt>
                <c:pt idx="32">
                  <c:v>GRAND Lucas</c:v>
                </c:pt>
                <c:pt idx="33">
                  <c:v>GUILLON Théo</c:v>
                </c:pt>
                <c:pt idx="34">
                  <c:v>HEYRAUD  Baptiste</c:v>
                </c:pt>
                <c:pt idx="35">
                  <c:v>HUET  Sébastien</c:v>
                </c:pt>
                <c:pt idx="36">
                  <c:v>JANISSET Benjamin </c:v>
                </c:pt>
                <c:pt idx="37">
                  <c:v>JEAN Roxane</c:v>
                </c:pt>
                <c:pt idx="38">
                  <c:v>JEAN-VICTOR Emma</c:v>
                </c:pt>
                <c:pt idx="39">
                  <c:v>LAFRINDI Ghizlane</c:v>
                </c:pt>
                <c:pt idx="40">
                  <c:v>LEFRANC Paul</c:v>
                </c:pt>
                <c:pt idx="41">
                  <c:v>LOPES David </c:v>
                </c:pt>
                <c:pt idx="42">
                  <c:v>LOUBEYRE  Anne Sarah</c:v>
                </c:pt>
                <c:pt idx="43">
                  <c:v>MADEBENE Hugo</c:v>
                </c:pt>
                <c:pt idx="44">
                  <c:v>MAGNIN  Cédric</c:v>
                </c:pt>
                <c:pt idx="45">
                  <c:v>MALEYRAT  Philippe </c:v>
                </c:pt>
                <c:pt idx="46">
                  <c:v>MARQUES Daniel</c:v>
                </c:pt>
                <c:pt idx="47">
                  <c:v>MARQUIER  Francis </c:v>
                </c:pt>
                <c:pt idx="48">
                  <c:v>MAUCHET Richard</c:v>
                </c:pt>
                <c:pt idx="49">
                  <c:v>MEHATS Maude</c:v>
                </c:pt>
                <c:pt idx="50">
                  <c:v>MONIN Adrien</c:v>
                </c:pt>
                <c:pt idx="51">
                  <c:v>MOREL Lilian </c:v>
                </c:pt>
                <c:pt idx="52">
                  <c:v>MUNOS Philippe</c:v>
                </c:pt>
                <c:pt idx="53">
                  <c:v>NOUVET Fabien</c:v>
                </c:pt>
                <c:pt idx="54">
                  <c:v>PERRY Yvan</c:v>
                </c:pt>
                <c:pt idx="55">
                  <c:v>PEYRICAL Julien</c:v>
                </c:pt>
                <c:pt idx="56">
                  <c:v>POUPEAU Joël</c:v>
                </c:pt>
                <c:pt idx="57">
                  <c:v>RATHIER Benoît</c:v>
                </c:pt>
                <c:pt idx="58">
                  <c:v>REPELLIN Vincent</c:v>
                </c:pt>
                <c:pt idx="59">
                  <c:v>REVIRON DE NARDI Julie</c:v>
                </c:pt>
                <c:pt idx="60">
                  <c:v>RICHARD Kévin</c:v>
                </c:pt>
                <c:pt idx="61">
                  <c:v>SAUTERON Jean-Luc</c:v>
                </c:pt>
                <c:pt idx="62">
                  <c:v>SCHIFANO Céline</c:v>
                </c:pt>
                <c:pt idx="63">
                  <c:v>SEPCHAT  Nicolas</c:v>
                </c:pt>
                <c:pt idx="64">
                  <c:v>SMILGINS Vitalijs</c:v>
                </c:pt>
                <c:pt idx="65">
                  <c:v>THOMAS Romain</c:v>
                </c:pt>
                <c:pt idx="66">
                  <c:v>VIRAT Mickael</c:v>
                </c:pt>
                <c:pt idx="67">
                  <c:v>WEHRLIN Simon</c:v>
                </c:pt>
                <c:pt idx="68">
                  <c:v>ZARZA Anthony</c:v>
                </c:pt>
              </c:strCache>
            </c:strRef>
          </c:cat>
          <c:val>
            <c:numRef>
              <c:f>'FNC '!$R$3:$R$71</c:f>
              <c:numCache>
                <c:formatCode>General</c:formatCode>
                <c:ptCount val="69"/>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pt idx="48">
                  <c:v>12</c:v>
                </c:pt>
                <c:pt idx="49">
                  <c:v>12</c:v>
                </c:pt>
                <c:pt idx="50">
                  <c:v>12</c:v>
                </c:pt>
                <c:pt idx="51">
                  <c:v>12</c:v>
                </c:pt>
                <c:pt idx="52">
                  <c:v>0</c:v>
                </c:pt>
                <c:pt idx="53">
                  <c:v>12</c:v>
                </c:pt>
                <c:pt idx="54">
                  <c:v>12</c:v>
                </c:pt>
                <c:pt idx="55">
                  <c:v>0</c:v>
                </c:pt>
                <c:pt idx="56">
                  <c:v>12</c:v>
                </c:pt>
                <c:pt idx="57">
                  <c:v>12</c:v>
                </c:pt>
                <c:pt idx="58">
                  <c:v>12</c:v>
                </c:pt>
                <c:pt idx="59">
                  <c:v>12</c:v>
                </c:pt>
                <c:pt idx="60">
                  <c:v>12</c:v>
                </c:pt>
                <c:pt idx="61">
                  <c:v>12</c:v>
                </c:pt>
                <c:pt idx="62">
                  <c:v>12</c:v>
                </c:pt>
                <c:pt idx="63">
                  <c:v>12</c:v>
                </c:pt>
                <c:pt idx="64">
                  <c:v>12</c:v>
                </c:pt>
                <c:pt idx="65">
                  <c:v>12</c:v>
                </c:pt>
                <c:pt idx="66">
                  <c:v>12</c:v>
                </c:pt>
                <c:pt idx="67">
                  <c:v>12</c:v>
                </c:pt>
                <c:pt idx="68">
                  <c:v>12</c:v>
                </c:pt>
              </c:numCache>
            </c:numRef>
          </c:val>
          <c:smooth val="0"/>
          <c:extLst>
            <c:ext xmlns:c16="http://schemas.microsoft.com/office/drawing/2014/chart" uri="{C3380CC4-5D6E-409C-BE32-E72D297353CC}">
              <c16:uniqueId val="{00000001-32F3-40C7-98EE-995B169C4BE1}"/>
            </c:ext>
          </c:extLst>
        </c:ser>
        <c:dLbls>
          <c:showLegendKey val="0"/>
          <c:showVal val="0"/>
          <c:showCatName val="0"/>
          <c:showSerName val="0"/>
          <c:showPercent val="0"/>
          <c:showBubbleSize val="0"/>
        </c:dLbls>
        <c:marker val="1"/>
        <c:smooth val="0"/>
        <c:axId val="1096216192"/>
        <c:axId val="1096219072"/>
      </c:lineChart>
      <c:catAx>
        <c:axId val="109621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9072"/>
        <c:crosses val="autoZero"/>
        <c:auto val="1"/>
        <c:lblAlgn val="ctr"/>
        <c:lblOffset val="100"/>
        <c:noMultiLvlLbl val="0"/>
      </c:catAx>
      <c:valAx>
        <c:axId val="10962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Animation Encadrants :</a:t>
            </a:r>
            <a:r>
              <a:rPr lang="fr-FR" baseline="0"/>
              <a:t> 5PM/Eveil Musculaire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6.756324588298232E-2"/>
          <c:y val="1.519075787374337E-2"/>
          <c:w val="0.93006100535848091"/>
          <c:h val="0.73760512255594923"/>
        </c:manualLayout>
      </c:layout>
      <c:barChart>
        <c:barDir val="col"/>
        <c:grouping val="clustered"/>
        <c:varyColors val="0"/>
        <c:ser>
          <c:idx val="0"/>
          <c:order val="0"/>
          <c:tx>
            <c:strRef>
              <c:f>'Visites QSSE - 5PM_Eveils'!$AF$2</c:f>
              <c:strCache>
                <c:ptCount val="1"/>
                <c:pt idx="0">
                  <c:v>Nombre ANIMATION 5PM / EVEIL MUSCULAIRE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'Visites QSSE - 5PM_Eveils'!$E$3:$E$77</c:f>
              <c:strCache>
                <c:ptCount val="7"/>
                <c:pt idx="0">
                  <c:v>ANTONIALI Clara</c:v>
                </c:pt>
                <c:pt idx="1">
                  <c:v>DINET Nicolas</c:v>
                </c:pt>
                <c:pt idx="2">
                  <c:v>DOS SANTOS Manuel</c:v>
                </c:pt>
                <c:pt idx="3">
                  <c:v>GASTON Jean-Baptiste</c:v>
                </c:pt>
                <c:pt idx="4">
                  <c:v>NOUVET Fabien</c:v>
                </c:pt>
                <c:pt idx="5">
                  <c:v>SAUTERON Jean-Luc</c:v>
                </c:pt>
                <c:pt idx="6">
                  <c:v>THOMAS Romain</c:v>
                </c:pt>
              </c:strCache>
            </c:strRef>
          </c:cat>
          <c:val>
            <c:numRef>
              <c:f>'Visites QSSE - 5PM_Eveils'!$AF$3:$AF$77</c:f>
              <c:numCache>
                <c:formatCode>General</c:formatCode>
                <c:ptCount val="7"/>
                <c:pt idx="0">
                  <c:v>2</c:v>
                </c:pt>
                <c:pt idx="1">
                  <c:v>0</c:v>
                </c:pt>
                <c:pt idx="2">
                  <c:v>1</c:v>
                </c:pt>
                <c:pt idx="3">
                  <c:v>1</c:v>
                </c:pt>
                <c:pt idx="4">
                  <c:v>1</c:v>
                </c:pt>
                <c:pt idx="5">
                  <c:v>0</c:v>
                </c:pt>
                <c:pt idx="6">
                  <c:v>1</c:v>
                </c:pt>
              </c:numCache>
            </c:numRef>
          </c:val>
          <c:extLst>
            <c:ext xmlns:c16="http://schemas.microsoft.com/office/drawing/2014/chart" uri="{C3380CC4-5D6E-409C-BE32-E72D297353CC}">
              <c16:uniqueId val="{00000000-CFA3-4720-B045-09A77C1271B1}"/>
            </c:ext>
          </c:extLst>
        </c:ser>
        <c:dLbls>
          <c:showLegendKey val="0"/>
          <c:showVal val="0"/>
          <c:showCatName val="0"/>
          <c:showSerName val="0"/>
          <c:showPercent val="0"/>
          <c:showBubbleSize val="0"/>
        </c:dLbls>
        <c:gapWidth val="219"/>
        <c:overlap val="-27"/>
        <c:axId val="1096216192"/>
        <c:axId val="1096219072"/>
      </c:barChart>
      <c:lineChart>
        <c:grouping val="standard"/>
        <c:varyColors val="0"/>
        <c:ser>
          <c:idx val="1"/>
          <c:order val="1"/>
          <c:tx>
            <c:strRef>
              <c:f>'Visites QSSE - 5PM_Eveils'!$AG$2</c:f>
              <c:strCache>
                <c:ptCount val="1"/>
                <c:pt idx="0">
                  <c:v>Objectifs </c:v>
                </c:pt>
              </c:strCache>
            </c:strRef>
          </c:tx>
          <c:spPr>
            <a:ln w="28575" cap="rnd">
              <a:solidFill>
                <a:schemeClr val="accent2"/>
              </a:solidFill>
              <a:round/>
            </a:ln>
            <a:effectLst/>
          </c:spPr>
          <c:marker>
            <c:symbol val="square"/>
            <c:size val="5"/>
            <c:spPr>
              <a:solidFill>
                <a:srgbClr val="FF0078"/>
              </a:solidFill>
              <a:ln w="9525">
                <a:solidFill>
                  <a:srgbClr val="FF007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'Visites QSSE - 5PM_Eveils'!$E$3:$E$77</c:f>
              <c:strCache>
                <c:ptCount val="7"/>
                <c:pt idx="0">
                  <c:v>ANTONIALI Clara</c:v>
                </c:pt>
                <c:pt idx="1">
                  <c:v>DINET Nicolas</c:v>
                </c:pt>
                <c:pt idx="2">
                  <c:v>DOS SANTOS Manuel</c:v>
                </c:pt>
                <c:pt idx="3">
                  <c:v>GASTON Jean-Baptiste</c:v>
                </c:pt>
                <c:pt idx="4">
                  <c:v>NOUVET Fabien</c:v>
                </c:pt>
                <c:pt idx="5">
                  <c:v>SAUTERON Jean-Luc</c:v>
                </c:pt>
                <c:pt idx="6">
                  <c:v>THOMAS Romain</c:v>
                </c:pt>
              </c:strCache>
            </c:strRef>
          </c:cat>
          <c:val>
            <c:numRef>
              <c:f>'Visites QSSE - 5PM_Eveils'!$AG$3:$AG$77</c:f>
              <c:numCache>
                <c:formatCode>General</c:formatCode>
                <c:ptCount val="7"/>
                <c:pt idx="0">
                  <c:v>12</c:v>
                </c:pt>
                <c:pt idx="1">
                  <c:v>12</c:v>
                </c:pt>
                <c:pt idx="2">
                  <c:v>12</c:v>
                </c:pt>
                <c:pt idx="3">
                  <c:v>12</c:v>
                </c:pt>
                <c:pt idx="4">
                  <c:v>12</c:v>
                </c:pt>
                <c:pt idx="5">
                  <c:v>12</c:v>
                </c:pt>
                <c:pt idx="6">
                  <c:v>12</c:v>
                </c:pt>
              </c:numCache>
            </c:numRef>
          </c:val>
          <c:smooth val="0"/>
          <c:extLst>
            <c:ext xmlns:c16="http://schemas.microsoft.com/office/drawing/2014/chart" uri="{C3380CC4-5D6E-409C-BE32-E72D297353CC}">
              <c16:uniqueId val="{00000001-CFA3-4720-B045-09A77C1271B1}"/>
            </c:ext>
          </c:extLst>
        </c:ser>
        <c:dLbls>
          <c:showLegendKey val="0"/>
          <c:showVal val="0"/>
          <c:showCatName val="0"/>
          <c:showSerName val="0"/>
          <c:showPercent val="0"/>
          <c:showBubbleSize val="0"/>
        </c:dLbls>
        <c:marker val="1"/>
        <c:smooth val="0"/>
        <c:axId val="1096216192"/>
        <c:axId val="1096219072"/>
      </c:lineChart>
      <c:catAx>
        <c:axId val="109621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9072"/>
        <c:crosses val="autoZero"/>
        <c:auto val="1"/>
        <c:lblAlgn val="ctr"/>
        <c:lblOffset val="100"/>
        <c:noMultiLvlLbl val="0"/>
      </c:catAx>
      <c:valAx>
        <c:axId val="109621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621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1" i="0" u="none" strike="noStrike" kern="1200" spc="0" baseline="0">
                <a:solidFill>
                  <a:sysClr val="windowText" lastClr="000000">
                    <a:lumMod val="65000"/>
                    <a:lumOff val="35000"/>
                  </a:sysClr>
                </a:solidFill>
                <a:latin typeface="Century Gothic" panose="020B0502020202020204" pitchFamily="34" charset="0"/>
              </a:rPr>
              <a:t>Eveil Musculaire - Avril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1"/>
          <c:tx>
            <c:strRef>
              <c:f>'Eveil Musculaire '!$NP$2</c:f>
              <c:strCache>
                <c:ptCount val="1"/>
                <c:pt idx="0">
                  <c:v>Eveil </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3-3277-434C-9C3F-671BE96DDC0A}"/>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030A-4CBF-B96F-04C6F07E876B}"/>
              </c:ext>
            </c:extLst>
          </c:dPt>
          <c:cat>
            <c:strRef>
              <c:f>'Eveil Musculaire '!$D$3:$D$105</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'Eveil Musculaire '!$NP$3:$NP$105</c:f>
              <c:numCache>
                <c:formatCode>General</c:formatCode>
                <c:ptCount val="24"/>
                <c:pt idx="0">
                  <c:v>15</c:v>
                </c:pt>
                <c:pt idx="1">
                  <c:v>1</c:v>
                </c:pt>
                <c:pt idx="2">
                  <c:v>0</c:v>
                </c:pt>
                <c:pt idx="3">
                  <c:v>12</c:v>
                </c:pt>
                <c:pt idx="4">
                  <c:v>1</c:v>
                </c:pt>
                <c:pt idx="5">
                  <c:v>12</c:v>
                </c:pt>
                <c:pt idx="6">
                  <c:v>8</c:v>
                </c:pt>
                <c:pt idx="7">
                  <c:v>8</c:v>
                </c:pt>
                <c:pt idx="8">
                  <c:v>15</c:v>
                </c:pt>
                <c:pt idx="9">
                  <c:v>0</c:v>
                </c:pt>
                <c:pt idx="10">
                  <c:v>0</c:v>
                </c:pt>
                <c:pt idx="11">
                  <c:v>0</c:v>
                </c:pt>
                <c:pt idx="12">
                  <c:v>0</c:v>
                </c:pt>
                <c:pt idx="13">
                  <c:v>8</c:v>
                </c:pt>
                <c:pt idx="14">
                  <c:v>8</c:v>
                </c:pt>
                <c:pt idx="15">
                  <c:v>18</c:v>
                </c:pt>
                <c:pt idx="16">
                  <c:v>8</c:v>
                </c:pt>
                <c:pt idx="17">
                  <c:v>11</c:v>
                </c:pt>
                <c:pt idx="18">
                  <c:v>4</c:v>
                </c:pt>
                <c:pt idx="19">
                  <c:v>0</c:v>
                </c:pt>
                <c:pt idx="20">
                  <c:v>0</c:v>
                </c:pt>
                <c:pt idx="21">
                  <c:v>17</c:v>
                </c:pt>
                <c:pt idx="22">
                  <c:v>9</c:v>
                </c:pt>
                <c:pt idx="23">
                  <c:v>7</c:v>
                </c:pt>
              </c:numCache>
            </c:numRef>
          </c:val>
          <c:extLst>
            <c:ext xmlns:c16="http://schemas.microsoft.com/office/drawing/2014/chart" uri="{C3380CC4-5D6E-409C-BE32-E72D297353CC}">
              <c16:uniqueId val="{00000007-63EC-4161-A8DD-AFED265B7095}"/>
            </c:ext>
          </c:extLst>
        </c:ser>
        <c:dLbls>
          <c:showLegendKey val="0"/>
          <c:showVal val="0"/>
          <c:showCatName val="0"/>
          <c:showSerName val="0"/>
          <c:showPercent val="0"/>
          <c:showBubbleSize val="0"/>
        </c:dLbls>
        <c:gapWidth val="219"/>
        <c:axId val="1985410336"/>
        <c:axId val="1985411776"/>
      </c:barChart>
      <c:lineChart>
        <c:grouping val="standard"/>
        <c:varyColors val="0"/>
        <c:ser>
          <c:idx val="0"/>
          <c:order val="0"/>
          <c:tx>
            <c:strRef>
              <c:f>'Eveil Musculaire '!$NQ$2</c:f>
              <c:strCache>
                <c:ptCount val="1"/>
                <c:pt idx="0">
                  <c:v>NB Jours travaillés </c:v>
                </c:pt>
              </c:strCache>
            </c:strRef>
          </c:tx>
          <c:spPr>
            <a:ln w="28575" cap="rnd">
              <a:solidFill>
                <a:srgbClr val="ED7D31"/>
              </a:solidFill>
              <a:round/>
            </a:ln>
            <a:effectLst/>
          </c:spPr>
          <c:marker>
            <c:symbol val="square"/>
            <c:size val="5"/>
            <c:spPr>
              <a:solidFill>
                <a:srgbClr val="FF0078"/>
              </a:solidFill>
              <a:ln w="9525">
                <a:solidFill>
                  <a:srgbClr val="FF007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'Eveil Musculaire '!$D$3:$D$105</c:f>
              <c:strCache>
                <c:ptCount val="24"/>
                <c:pt idx="0">
                  <c:v>BOUILLET  Kévin </c:v>
                </c:pt>
                <c:pt idx="1">
                  <c:v>BOURGEOIS  Philippe </c:v>
                </c:pt>
                <c:pt idx="2">
                  <c:v>CELLE  Louis </c:v>
                </c:pt>
                <c:pt idx="3">
                  <c:v>CHADEYRAS  Gilles</c:v>
                </c:pt>
                <c:pt idx="4">
                  <c:v>CHAFFRAIX Loïc</c:v>
                </c:pt>
                <c:pt idx="5">
                  <c:v>DA CUNHA  Yoann</c:v>
                </c:pt>
                <c:pt idx="6">
                  <c:v>DA SILVA  Tony</c:v>
                </c:pt>
                <c:pt idx="7">
                  <c:v>DIAS  José</c:v>
                </c:pt>
                <c:pt idx="8">
                  <c:v>DUFOUR Thomas</c:v>
                </c:pt>
                <c:pt idx="9">
                  <c:v>ELKEBAILI  Mohamed</c:v>
                </c:pt>
                <c:pt idx="10">
                  <c:v>FAURE Romain</c:v>
                </c:pt>
                <c:pt idx="11">
                  <c:v>GRANGEVERSANNE  Brice </c:v>
                </c:pt>
                <c:pt idx="12">
                  <c:v>GUINOT  Nicolas </c:v>
                </c:pt>
                <c:pt idx="13">
                  <c:v>ITIER Milan </c:v>
                </c:pt>
                <c:pt idx="14">
                  <c:v>JACINTO Frédéric</c:v>
                </c:pt>
                <c:pt idx="15">
                  <c:v>JAUBERT Benjamin </c:v>
                </c:pt>
                <c:pt idx="16">
                  <c:v>MARTIN  Lucas</c:v>
                </c:pt>
                <c:pt idx="17">
                  <c:v>MAUPOU Ambre</c:v>
                </c:pt>
                <c:pt idx="18">
                  <c:v>PEREIRA  Antoine</c:v>
                </c:pt>
                <c:pt idx="19">
                  <c:v>PERRY Pierre</c:v>
                </c:pt>
                <c:pt idx="20">
                  <c:v>RENARD  Alexandre </c:v>
                </c:pt>
                <c:pt idx="21">
                  <c:v>RIBEIRO  Alexandre</c:v>
                </c:pt>
                <c:pt idx="22">
                  <c:v>ROLLET Léo</c:v>
                </c:pt>
                <c:pt idx="23">
                  <c:v>ROUTUROU Baptiste </c:v>
                </c:pt>
              </c:strCache>
            </c:strRef>
          </c:cat>
          <c:val>
            <c:numRef>
              <c:f>'Eveil Musculaire '!$NQ$3:$NQ$105</c:f>
              <c:numCache>
                <c:formatCode>General</c:formatCode>
                <c:ptCount val="24"/>
                <c:pt idx="0">
                  <c:v>17</c:v>
                </c:pt>
                <c:pt idx="1">
                  <c:v>16</c:v>
                </c:pt>
                <c:pt idx="2">
                  <c:v>21</c:v>
                </c:pt>
                <c:pt idx="3">
                  <c:v>21</c:v>
                </c:pt>
                <c:pt idx="4">
                  <c:v>21</c:v>
                </c:pt>
                <c:pt idx="5">
                  <c:v>21</c:v>
                </c:pt>
                <c:pt idx="6">
                  <c:v>16</c:v>
                </c:pt>
                <c:pt idx="7">
                  <c:v>16</c:v>
                </c:pt>
                <c:pt idx="8">
                  <c:v>21</c:v>
                </c:pt>
                <c:pt idx="9">
                  <c:v>21</c:v>
                </c:pt>
                <c:pt idx="10">
                  <c:v>21</c:v>
                </c:pt>
                <c:pt idx="11">
                  <c:v>0</c:v>
                </c:pt>
                <c:pt idx="12">
                  <c:v>0</c:v>
                </c:pt>
                <c:pt idx="13">
                  <c:v>19</c:v>
                </c:pt>
                <c:pt idx="14">
                  <c:v>21</c:v>
                </c:pt>
                <c:pt idx="15">
                  <c:v>19</c:v>
                </c:pt>
                <c:pt idx="16">
                  <c:v>16</c:v>
                </c:pt>
                <c:pt idx="17">
                  <c:v>16</c:v>
                </c:pt>
                <c:pt idx="18">
                  <c:v>13</c:v>
                </c:pt>
                <c:pt idx="19">
                  <c:v>16</c:v>
                </c:pt>
                <c:pt idx="20">
                  <c:v>21</c:v>
                </c:pt>
                <c:pt idx="21">
                  <c:v>21</c:v>
                </c:pt>
                <c:pt idx="22">
                  <c:v>21</c:v>
                </c:pt>
                <c:pt idx="23">
                  <c:v>21</c:v>
                </c:pt>
              </c:numCache>
            </c:numRef>
          </c:val>
          <c:smooth val="0"/>
          <c:extLst>
            <c:ext xmlns:c16="http://schemas.microsoft.com/office/drawing/2014/chart" uri="{C3380CC4-5D6E-409C-BE32-E72D297353CC}">
              <c16:uniqueId val="{00000006-63EC-4161-A8DD-AFED265B7095}"/>
            </c:ext>
          </c:extLst>
        </c:ser>
        <c:dLbls>
          <c:showLegendKey val="0"/>
          <c:showVal val="0"/>
          <c:showCatName val="0"/>
          <c:showSerName val="0"/>
          <c:showPercent val="0"/>
          <c:showBubbleSize val="0"/>
        </c:dLbls>
        <c:marker val="1"/>
        <c:smooth val="0"/>
        <c:axId val="1985410336"/>
        <c:axId val="1985411776"/>
      </c:lineChart>
      <c:catAx>
        <c:axId val="19854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5411776"/>
        <c:crosses val="autoZero"/>
        <c:auto val="1"/>
        <c:lblAlgn val="ctr"/>
        <c:lblOffset val="100"/>
        <c:noMultiLvlLbl val="0"/>
      </c:catAx>
      <c:valAx>
        <c:axId val="198541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541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Quart heure Encadrant'!A1"/><Relationship Id="rId13" Type="http://schemas.openxmlformats.org/officeDocument/2006/relationships/hyperlink" Target="#'Casses r&#233;seaux'!A1"/><Relationship Id="rId18" Type="http://schemas.openxmlformats.org/officeDocument/2006/relationships/hyperlink" Target="#'Plan d''actions'!A1"/><Relationship Id="rId3" Type="http://schemas.openxmlformats.org/officeDocument/2006/relationships/hyperlink" Target="#'Quart heure CC - CE'!A1"/><Relationship Id="rId7" Type="http://schemas.openxmlformats.org/officeDocument/2006/relationships/hyperlink" Target="#Graphiques!A1"/><Relationship Id="rId12" Type="http://schemas.openxmlformats.org/officeDocument/2006/relationships/hyperlink" Target="#'Registre FAE'!A1"/><Relationship Id="rId17" Type="http://schemas.openxmlformats.org/officeDocument/2006/relationships/hyperlink" Target="#'Non-respect RV'!A1"/><Relationship Id="rId2" Type="http://schemas.openxmlformats.org/officeDocument/2006/relationships/hyperlink" Target="#'Registe AT '!A1"/><Relationship Id="rId16" Type="http://schemas.openxmlformats.org/officeDocument/2006/relationships/hyperlink" Target="#'Tests Alcool et Stup'!A1"/><Relationship Id="rId20" Type="http://schemas.openxmlformats.org/officeDocument/2006/relationships/hyperlink" Target="#'Arr&#234;t de chantier'!A1"/><Relationship Id="rId1" Type="http://schemas.openxmlformats.org/officeDocument/2006/relationships/image" Target="../media/image1.png"/><Relationship Id="rId6" Type="http://schemas.openxmlformats.org/officeDocument/2006/relationships/hyperlink" Target="#'Remont&#233;es d''infos'!A1"/><Relationship Id="rId11" Type="http://schemas.openxmlformats.org/officeDocument/2006/relationships/hyperlink" Target="#'Registre FNC'!A1"/><Relationship Id="rId5" Type="http://schemas.openxmlformats.org/officeDocument/2006/relationships/hyperlink" Target="#'Eveil Musculaire '!A1"/><Relationship Id="rId15" Type="http://schemas.openxmlformats.org/officeDocument/2006/relationships/hyperlink" Target="#'FNC '!A1"/><Relationship Id="rId10" Type="http://schemas.openxmlformats.org/officeDocument/2006/relationships/hyperlink" Target="#'Visites QSSE - 5PM_Eveils'!A1"/><Relationship Id="rId19" Type="http://schemas.openxmlformats.org/officeDocument/2006/relationships/hyperlink" Target="#'Non-respect EPI'!A1"/><Relationship Id="rId4" Type="http://schemas.openxmlformats.org/officeDocument/2006/relationships/hyperlink" Target="#'5 PM '!A1"/><Relationship Id="rId9" Type="http://schemas.openxmlformats.org/officeDocument/2006/relationships/hyperlink" Target="#'Registre PASD'!A1"/><Relationship Id="rId14" Type="http://schemas.openxmlformats.org/officeDocument/2006/relationships/hyperlink" Target="#'Registre BP'!A1"/></Relationships>
</file>

<file path=xl/drawings/_rels/drawing2.xml.rels><?xml version="1.0" encoding="UTF-8" standalone="yes"?>
<Relationships xmlns="http://schemas.openxmlformats.org/package/2006/relationships"><Relationship Id="rId3" Type="http://schemas.openxmlformats.org/officeDocument/2006/relationships/hyperlink" Target="#Sommaire!A1"/><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4.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5.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6.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7.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8.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9.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1.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4.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5.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6.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7.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8.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19.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20.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Sommaire!A1"/></Relationships>
</file>

<file path=xl/drawings/_rels/drawing2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hyperlink" Target="#Sommair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8.xml"/><Relationship Id="rId5" Type="http://schemas.openxmlformats.org/officeDocument/2006/relationships/chart" Target="../charts/chart5.xml"/><Relationship Id="rId10"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1</xdr:row>
      <xdr:rowOff>15240</xdr:rowOff>
    </xdr:from>
    <xdr:to>
      <xdr:col>1</xdr:col>
      <xdr:colOff>685800</xdr:colOff>
      <xdr:row>4</xdr:row>
      <xdr:rowOff>15240</xdr:rowOff>
    </xdr:to>
    <xdr:pic>
      <xdr:nvPicPr>
        <xdr:cNvPr id="2" name="Image 1">
          <a:extLst>
            <a:ext uri="{FF2B5EF4-FFF2-40B4-BE49-F238E27FC236}">
              <a16:creationId xmlns:a16="http://schemas.microsoft.com/office/drawing/2014/main" id="{F3545B54-002A-4DC2-92E6-B5FCD96BD9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196215"/>
          <a:ext cx="1228725" cy="590550"/>
        </a:xfrm>
        <a:prstGeom prst="rect">
          <a:avLst/>
        </a:prstGeom>
      </xdr:spPr>
    </xdr:pic>
    <xdr:clientData/>
  </xdr:twoCellAnchor>
  <xdr:twoCellAnchor>
    <xdr:from>
      <xdr:col>2</xdr:col>
      <xdr:colOff>126093</xdr:colOff>
      <xdr:row>0</xdr:row>
      <xdr:rowOff>98878</xdr:rowOff>
    </xdr:from>
    <xdr:to>
      <xdr:col>13</xdr:col>
      <xdr:colOff>163286</xdr:colOff>
      <xdr:row>4</xdr:row>
      <xdr:rowOff>149678</xdr:rowOff>
    </xdr:to>
    <xdr:sp macro="" textlink="">
      <xdr:nvSpPr>
        <xdr:cNvPr id="3" name="Rectangle : coins arrondis 2">
          <a:extLst>
            <a:ext uri="{FF2B5EF4-FFF2-40B4-BE49-F238E27FC236}">
              <a16:creationId xmlns:a16="http://schemas.microsoft.com/office/drawing/2014/main" id="{15191DFC-9A5B-42CC-B8AE-91A76324ACFE}"/>
            </a:ext>
          </a:extLst>
        </xdr:cNvPr>
        <xdr:cNvSpPr/>
      </xdr:nvSpPr>
      <xdr:spPr>
        <a:xfrm>
          <a:off x="1677307" y="98878"/>
          <a:ext cx="8568872" cy="867229"/>
        </a:xfrm>
        <a:prstGeom prst="roundRect">
          <a:avLst/>
        </a:prstGeom>
        <a:solidFill>
          <a:srgbClr val="002C77"/>
        </a:solid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3200" b="1">
              <a:solidFill>
                <a:schemeClr val="lt1"/>
              </a:solidFill>
              <a:effectLst/>
              <a:latin typeface="+mn-lt"/>
              <a:ea typeface="+mn-ea"/>
              <a:cs typeface="+mn-cs"/>
            </a:rPr>
            <a:t>SUIVI DES INDICATEURS QSE </a:t>
          </a:r>
          <a:endParaRPr lang="fr-FR" sz="3200">
            <a:effectLst/>
          </a:endParaRPr>
        </a:p>
      </xdr:txBody>
    </xdr:sp>
    <xdr:clientData/>
  </xdr:twoCellAnchor>
  <xdr:twoCellAnchor>
    <xdr:from>
      <xdr:col>2</xdr:col>
      <xdr:colOff>261076</xdr:colOff>
      <xdr:row>5</xdr:row>
      <xdr:rowOff>122527</xdr:rowOff>
    </xdr:from>
    <xdr:to>
      <xdr:col>5</xdr:col>
      <xdr:colOff>477883</xdr:colOff>
      <xdr:row>10</xdr:row>
      <xdr:rowOff>8227</xdr:rowOff>
    </xdr:to>
    <xdr:sp macro="" textlink="">
      <xdr:nvSpPr>
        <xdr:cNvPr id="270" name="Rectangle : coins arrondis 3">
          <a:hlinkClick xmlns:r="http://schemas.openxmlformats.org/officeDocument/2006/relationships" r:id="rId2"/>
          <a:extLst>
            <a:ext uri="{FF2B5EF4-FFF2-40B4-BE49-F238E27FC236}">
              <a16:creationId xmlns:a16="http://schemas.microsoft.com/office/drawing/2014/main" id="{01283293-AB75-4270-8AC6-1AAC3477F09C}"/>
            </a:ext>
          </a:extLst>
        </xdr:cNvPr>
        <xdr:cNvSpPr/>
      </xdr:nvSpPr>
      <xdr:spPr>
        <a:xfrm>
          <a:off x="1801641" y="1124723"/>
          <a:ext cx="2527655" cy="838200"/>
        </a:xfrm>
        <a:prstGeom prst="roundRect">
          <a:avLst/>
        </a:prstGeom>
        <a:solidFill>
          <a:srgbClr val="F94607"/>
        </a:solidFill>
        <a:ln>
          <a:solidFill>
            <a:srgbClr val="FF007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chemeClr val="bg1"/>
              </a:solidFill>
              <a:latin typeface="Century Gothic" panose="020B0502020202020204" pitchFamily="34" charset="0"/>
            </a:rPr>
            <a:t>REGISTRE AT</a:t>
          </a:r>
        </a:p>
      </xdr:txBody>
    </xdr:sp>
    <xdr:clientData/>
  </xdr:twoCellAnchor>
  <xdr:twoCellAnchor>
    <xdr:from>
      <xdr:col>6</xdr:col>
      <xdr:colOff>3901</xdr:colOff>
      <xdr:row>5</xdr:row>
      <xdr:rowOff>122527</xdr:rowOff>
    </xdr:from>
    <xdr:to>
      <xdr:col>9</xdr:col>
      <xdr:colOff>226151</xdr:colOff>
      <xdr:row>10</xdr:row>
      <xdr:rowOff>8227</xdr:rowOff>
    </xdr:to>
    <xdr:sp macro="" textlink="">
      <xdr:nvSpPr>
        <xdr:cNvPr id="258" name="Rectangle : coins arrondis 4">
          <a:hlinkClick xmlns:r="http://schemas.openxmlformats.org/officeDocument/2006/relationships" r:id="rId3"/>
          <a:extLst>
            <a:ext uri="{FF2B5EF4-FFF2-40B4-BE49-F238E27FC236}">
              <a16:creationId xmlns:a16="http://schemas.microsoft.com/office/drawing/2014/main" id="{41336910-261F-4850-BF93-A13F2211788A}"/>
            </a:ext>
          </a:extLst>
        </xdr:cNvPr>
        <xdr:cNvSpPr/>
      </xdr:nvSpPr>
      <xdr:spPr>
        <a:xfrm>
          <a:off x="4625597" y="1124723"/>
          <a:ext cx="2533097" cy="838200"/>
        </a:xfrm>
        <a:prstGeom prst="roundRect">
          <a:avLst/>
        </a:prstGeom>
        <a:solidFill>
          <a:srgbClr val="FF0078"/>
        </a:solidFill>
        <a:ln>
          <a:solidFill>
            <a:srgbClr val="FF007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chemeClr val="bg1"/>
              </a:solidFill>
              <a:latin typeface="Century Gothic" panose="020B0502020202020204" pitchFamily="34" charset="0"/>
            </a:rPr>
            <a:t>QUART HEURE</a:t>
          </a:r>
          <a:r>
            <a:rPr lang="fr-FR" sz="1800" b="1" baseline="0">
              <a:solidFill>
                <a:schemeClr val="bg1"/>
              </a:solidFill>
              <a:latin typeface="Century Gothic" panose="020B0502020202020204" pitchFamily="34" charset="0"/>
            </a:rPr>
            <a:t> CC/CE </a:t>
          </a:r>
          <a:endParaRPr lang="fr-FR" sz="1800" b="1">
            <a:solidFill>
              <a:schemeClr val="bg1"/>
            </a:solidFill>
            <a:latin typeface="Century Gothic" panose="020B0502020202020204" pitchFamily="34" charset="0"/>
          </a:endParaRPr>
        </a:p>
      </xdr:txBody>
    </xdr:sp>
    <xdr:clientData/>
  </xdr:twoCellAnchor>
  <xdr:twoCellAnchor>
    <xdr:from>
      <xdr:col>2</xdr:col>
      <xdr:colOff>254726</xdr:colOff>
      <xdr:row>11</xdr:row>
      <xdr:rowOff>68664</xdr:rowOff>
    </xdr:from>
    <xdr:to>
      <xdr:col>5</xdr:col>
      <xdr:colOff>482963</xdr:colOff>
      <xdr:row>15</xdr:row>
      <xdr:rowOff>146769</xdr:rowOff>
    </xdr:to>
    <xdr:sp macro="" textlink="">
      <xdr:nvSpPr>
        <xdr:cNvPr id="269" name="Rectangle : coins arrondis 5">
          <a:hlinkClick xmlns:r="http://schemas.openxmlformats.org/officeDocument/2006/relationships" r:id="rId4"/>
          <a:extLst>
            <a:ext uri="{FF2B5EF4-FFF2-40B4-BE49-F238E27FC236}">
              <a16:creationId xmlns:a16="http://schemas.microsoft.com/office/drawing/2014/main" id="{658C4A04-41CB-4B0B-A315-84B5214D7153}"/>
            </a:ext>
          </a:extLst>
        </xdr:cNvPr>
        <xdr:cNvSpPr/>
      </xdr:nvSpPr>
      <xdr:spPr>
        <a:xfrm>
          <a:off x="1795291" y="2213860"/>
          <a:ext cx="2539085" cy="840105"/>
        </a:xfrm>
        <a:prstGeom prst="roundRect">
          <a:avLst/>
        </a:prstGeom>
        <a:solidFill>
          <a:srgbClr val="FF999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lt1"/>
              </a:solidFill>
              <a:effectLst/>
              <a:latin typeface="Century Gothic" panose="020B0502020202020204" pitchFamily="34" charset="0"/>
              <a:ea typeface="+mn-ea"/>
              <a:cs typeface="+mn-cs"/>
            </a:rPr>
            <a:t>5 PREMIERES MINUTES</a:t>
          </a:r>
        </a:p>
      </xdr:txBody>
    </xdr:sp>
    <xdr:clientData/>
  </xdr:twoCellAnchor>
  <xdr:twoCellAnchor>
    <xdr:from>
      <xdr:col>6</xdr:col>
      <xdr:colOff>17871</xdr:colOff>
      <xdr:row>11</xdr:row>
      <xdr:rowOff>72446</xdr:rowOff>
    </xdr:from>
    <xdr:to>
      <xdr:col>9</xdr:col>
      <xdr:colOff>230596</xdr:colOff>
      <xdr:row>15</xdr:row>
      <xdr:rowOff>148646</xdr:rowOff>
    </xdr:to>
    <xdr:sp macro="" textlink="">
      <xdr:nvSpPr>
        <xdr:cNvPr id="268" name="Rectangle : coins arrondis 6">
          <a:hlinkClick xmlns:r="http://schemas.openxmlformats.org/officeDocument/2006/relationships" r:id="rId5"/>
          <a:extLst>
            <a:ext uri="{FF2B5EF4-FFF2-40B4-BE49-F238E27FC236}">
              <a16:creationId xmlns:a16="http://schemas.microsoft.com/office/drawing/2014/main" id="{D26690D4-205E-4B19-8A45-12EBC0804463}"/>
            </a:ext>
          </a:extLst>
        </xdr:cNvPr>
        <xdr:cNvSpPr/>
      </xdr:nvSpPr>
      <xdr:spPr>
        <a:xfrm>
          <a:off x="4639567" y="2217642"/>
          <a:ext cx="2523572" cy="838200"/>
        </a:xfrm>
        <a:prstGeom prst="roundRect">
          <a:avLst/>
        </a:prstGeom>
        <a:solidFill>
          <a:srgbClr val="FF999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lt1"/>
              </a:solidFill>
              <a:effectLst/>
              <a:latin typeface="Century Gothic" panose="020B0502020202020204" pitchFamily="34" charset="0"/>
              <a:ea typeface="+mn-ea"/>
              <a:cs typeface="+mn-cs"/>
            </a:rPr>
            <a:t>EVEIL MUSCULAIRE</a:t>
          </a:r>
        </a:p>
      </xdr:txBody>
    </xdr:sp>
    <xdr:clientData/>
  </xdr:twoCellAnchor>
  <xdr:twoCellAnchor>
    <xdr:from>
      <xdr:col>9</xdr:col>
      <xdr:colOff>547098</xdr:colOff>
      <xdr:row>11</xdr:row>
      <xdr:rowOff>67366</xdr:rowOff>
    </xdr:from>
    <xdr:to>
      <xdr:col>13</xdr:col>
      <xdr:colOff>2875</xdr:colOff>
      <xdr:row>15</xdr:row>
      <xdr:rowOff>147376</xdr:rowOff>
    </xdr:to>
    <xdr:sp macro="" textlink="">
      <xdr:nvSpPr>
        <xdr:cNvPr id="267" name="Rectangle : coins arrondis 7">
          <a:hlinkClick xmlns:r="http://schemas.openxmlformats.org/officeDocument/2006/relationships" r:id="rId6"/>
          <a:extLst>
            <a:ext uri="{FF2B5EF4-FFF2-40B4-BE49-F238E27FC236}">
              <a16:creationId xmlns:a16="http://schemas.microsoft.com/office/drawing/2014/main" id="{6FD29A85-4EC3-4378-90A3-2F4FD9E515D9}"/>
            </a:ext>
          </a:extLst>
        </xdr:cNvPr>
        <xdr:cNvSpPr/>
      </xdr:nvSpPr>
      <xdr:spPr>
        <a:xfrm>
          <a:off x="7479641" y="2212562"/>
          <a:ext cx="2536908" cy="842010"/>
        </a:xfrm>
        <a:prstGeom prst="roundRect">
          <a:avLst/>
        </a:prstGeom>
        <a:solidFill>
          <a:srgbClr val="FF9999"/>
        </a:solidFill>
        <a:ln>
          <a:solidFill>
            <a:srgbClr val="FF99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chemeClr val="lt1"/>
              </a:solidFill>
              <a:effectLst/>
              <a:latin typeface="Century Gothic" panose="020B0502020202020204" pitchFamily="34" charset="0"/>
              <a:ea typeface="+mn-ea"/>
              <a:cs typeface="+mn-cs"/>
            </a:rPr>
            <a:t>REMONTEES INFORMATIONS</a:t>
          </a:r>
          <a:endParaRPr lang="fr-FR" sz="3200">
            <a:effectLst/>
            <a:latin typeface="Century Gothic" panose="020B0502020202020204" pitchFamily="34" charset="0"/>
          </a:endParaRPr>
        </a:p>
      </xdr:txBody>
    </xdr:sp>
    <xdr:clientData/>
  </xdr:twoCellAnchor>
  <xdr:twoCellAnchor>
    <xdr:from>
      <xdr:col>9</xdr:col>
      <xdr:colOff>583293</xdr:colOff>
      <xdr:row>40</xdr:row>
      <xdr:rowOff>84649</xdr:rowOff>
    </xdr:from>
    <xdr:to>
      <xdr:col>13</xdr:col>
      <xdr:colOff>22316</xdr:colOff>
      <xdr:row>44</xdr:row>
      <xdr:rowOff>181804</xdr:rowOff>
    </xdr:to>
    <xdr:sp macro="" textlink="">
      <xdr:nvSpPr>
        <xdr:cNvPr id="266" name="Rectangle : coins arrondis 11">
          <a:hlinkClick xmlns:r="http://schemas.openxmlformats.org/officeDocument/2006/relationships" r:id="rId7"/>
          <a:extLst>
            <a:ext uri="{FF2B5EF4-FFF2-40B4-BE49-F238E27FC236}">
              <a16:creationId xmlns:a16="http://schemas.microsoft.com/office/drawing/2014/main" id="{CB90D6FF-8826-4B76-81EF-6DF9F23AC910}"/>
            </a:ext>
          </a:extLst>
        </xdr:cNvPr>
        <xdr:cNvSpPr/>
      </xdr:nvSpPr>
      <xdr:spPr>
        <a:xfrm>
          <a:off x="7515836" y="7754345"/>
          <a:ext cx="2520154" cy="85915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800" b="1">
              <a:solidFill>
                <a:srgbClr val="002C77"/>
              </a:solidFill>
              <a:effectLst/>
              <a:latin typeface="Century Gothic" panose="020B0502020202020204" pitchFamily="34" charset="0"/>
              <a:ea typeface="+mn-ea"/>
              <a:cs typeface="+mn-cs"/>
            </a:rPr>
            <a:t>GRAPHIQUES</a:t>
          </a:r>
        </a:p>
      </xdr:txBody>
    </xdr:sp>
    <xdr:clientData/>
  </xdr:twoCellAnchor>
  <xdr:twoCellAnchor>
    <xdr:from>
      <xdr:col>9</xdr:col>
      <xdr:colOff>549003</xdr:colOff>
      <xdr:row>5</xdr:row>
      <xdr:rowOff>119875</xdr:rowOff>
    </xdr:from>
    <xdr:to>
      <xdr:col>12</xdr:col>
      <xdr:colOff>767443</xdr:colOff>
      <xdr:row>10</xdr:row>
      <xdr:rowOff>5575</xdr:rowOff>
    </xdr:to>
    <xdr:sp macro="" textlink="">
      <xdr:nvSpPr>
        <xdr:cNvPr id="271" name="Rectangle : coins arrondis 8">
          <a:hlinkClick xmlns:r="http://schemas.openxmlformats.org/officeDocument/2006/relationships" r:id="rId8"/>
          <a:extLst>
            <a:ext uri="{FF2B5EF4-FFF2-40B4-BE49-F238E27FC236}">
              <a16:creationId xmlns:a16="http://schemas.microsoft.com/office/drawing/2014/main" id="{C7F48ED6-2A7F-47FB-A370-F5E287F44EE1}"/>
            </a:ext>
          </a:extLst>
        </xdr:cNvPr>
        <xdr:cNvSpPr/>
      </xdr:nvSpPr>
      <xdr:spPr>
        <a:xfrm>
          <a:off x="7481546" y="1122071"/>
          <a:ext cx="2529288" cy="838200"/>
        </a:xfrm>
        <a:prstGeom prst="roundRect">
          <a:avLst/>
        </a:prstGeom>
        <a:solidFill>
          <a:srgbClr val="FF0078"/>
        </a:solidFill>
        <a:ln>
          <a:solidFill>
            <a:srgbClr val="FF007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800" b="1">
              <a:solidFill>
                <a:schemeClr val="bg1"/>
              </a:solidFill>
              <a:latin typeface="Century Gothic" panose="020B0502020202020204" pitchFamily="34" charset="0"/>
            </a:rPr>
            <a:t>QUART HEURE ENCADANTS</a:t>
          </a:r>
        </a:p>
      </xdr:txBody>
    </xdr:sp>
    <xdr:clientData/>
  </xdr:twoCellAnchor>
  <xdr:twoCellAnchor>
    <xdr:from>
      <xdr:col>2</xdr:col>
      <xdr:colOff>293461</xdr:colOff>
      <xdr:row>17</xdr:row>
      <xdr:rowOff>27501</xdr:rowOff>
    </xdr:from>
    <xdr:to>
      <xdr:col>5</xdr:col>
      <xdr:colOff>481693</xdr:colOff>
      <xdr:row>21</xdr:row>
      <xdr:rowOff>111321</xdr:rowOff>
    </xdr:to>
    <xdr:sp macro="" textlink="">
      <xdr:nvSpPr>
        <xdr:cNvPr id="264" name="Rectangle : coins arrondis 9">
          <a:hlinkClick xmlns:r="http://schemas.openxmlformats.org/officeDocument/2006/relationships" r:id="rId9"/>
          <a:extLst>
            <a:ext uri="{FF2B5EF4-FFF2-40B4-BE49-F238E27FC236}">
              <a16:creationId xmlns:a16="http://schemas.microsoft.com/office/drawing/2014/main" id="{15043872-69F7-443D-9EA3-A3284FC2D65D}"/>
            </a:ext>
          </a:extLst>
        </xdr:cNvPr>
        <xdr:cNvSpPr/>
      </xdr:nvSpPr>
      <xdr:spPr>
        <a:xfrm>
          <a:off x="1834026" y="3315697"/>
          <a:ext cx="2499080" cy="845820"/>
        </a:xfrm>
        <a:prstGeom prst="roundRect">
          <a:avLst/>
        </a:prstGeom>
        <a:solidFill>
          <a:srgbClr val="ED7D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rgbClr val="002C77"/>
              </a:solidFill>
              <a:effectLst/>
              <a:latin typeface="Century Gothic" panose="020B0502020202020204" pitchFamily="34" charset="0"/>
              <a:ea typeface="+mn-ea"/>
              <a:cs typeface="+mn-cs"/>
            </a:rPr>
            <a:t>REGISTRE PA/SD</a:t>
          </a:r>
        </a:p>
      </xdr:txBody>
    </xdr:sp>
    <xdr:clientData/>
  </xdr:twoCellAnchor>
  <xdr:twoCellAnchor>
    <xdr:from>
      <xdr:col>6</xdr:col>
      <xdr:colOff>27396</xdr:colOff>
      <xdr:row>17</xdr:row>
      <xdr:rowOff>19190</xdr:rowOff>
    </xdr:from>
    <xdr:to>
      <xdr:col>9</xdr:col>
      <xdr:colOff>232501</xdr:colOff>
      <xdr:row>21</xdr:row>
      <xdr:rowOff>116345</xdr:rowOff>
    </xdr:to>
    <xdr:sp macro="" textlink="">
      <xdr:nvSpPr>
        <xdr:cNvPr id="265" name="Rectangle : coins arrondis 19">
          <a:hlinkClick xmlns:r="http://schemas.openxmlformats.org/officeDocument/2006/relationships" r:id="rId10"/>
          <a:extLst>
            <a:ext uri="{FF2B5EF4-FFF2-40B4-BE49-F238E27FC236}">
              <a16:creationId xmlns:a16="http://schemas.microsoft.com/office/drawing/2014/main" id="{6B14B022-5AD5-4137-B7EB-328813773AA8}"/>
            </a:ext>
          </a:extLst>
        </xdr:cNvPr>
        <xdr:cNvSpPr/>
      </xdr:nvSpPr>
      <xdr:spPr>
        <a:xfrm>
          <a:off x="4649092" y="3307386"/>
          <a:ext cx="2515952" cy="859155"/>
        </a:xfrm>
        <a:prstGeom prst="roundRect">
          <a:avLst/>
        </a:prstGeom>
        <a:solidFill>
          <a:srgbClr val="9933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bg1"/>
              </a:solidFill>
              <a:effectLst/>
              <a:latin typeface="Century Gothic" panose="020B0502020202020204" pitchFamily="34" charset="0"/>
              <a:ea typeface="+mn-ea"/>
              <a:cs typeface="+mn-cs"/>
            </a:rPr>
            <a:t>VISITE QSSE 5PM</a:t>
          </a:r>
          <a:r>
            <a:rPr lang="fr-FR" sz="1800" b="1" baseline="0">
              <a:solidFill>
                <a:schemeClr val="bg1"/>
              </a:solidFill>
              <a:effectLst/>
              <a:latin typeface="Century Gothic" panose="020B0502020202020204" pitchFamily="34" charset="0"/>
              <a:ea typeface="+mn-ea"/>
              <a:cs typeface="+mn-cs"/>
            </a:rPr>
            <a:t> / EVEILS </a:t>
          </a:r>
          <a:endParaRPr lang="fr-FR" sz="1800" b="1">
            <a:solidFill>
              <a:schemeClr val="bg1"/>
            </a:solidFill>
            <a:effectLst/>
            <a:latin typeface="Century Gothic" panose="020B0502020202020204" pitchFamily="34" charset="0"/>
            <a:ea typeface="+mn-ea"/>
            <a:cs typeface="+mn-cs"/>
          </a:endParaRPr>
        </a:p>
      </xdr:txBody>
    </xdr:sp>
    <xdr:clientData/>
  </xdr:twoCellAnchor>
  <xdr:twoCellAnchor>
    <xdr:from>
      <xdr:col>8</xdr:col>
      <xdr:colOff>726</xdr:colOff>
      <xdr:row>28</xdr:row>
      <xdr:rowOff>162560</xdr:rowOff>
    </xdr:from>
    <xdr:to>
      <xdr:col>11</xdr:col>
      <xdr:colOff>211545</xdr:colOff>
      <xdr:row>33</xdr:row>
      <xdr:rowOff>53975</xdr:rowOff>
    </xdr:to>
    <xdr:sp macro="" textlink="">
      <xdr:nvSpPr>
        <xdr:cNvPr id="263" name="Rectangle : coins arrondis 20">
          <a:hlinkClick xmlns:r="http://schemas.openxmlformats.org/officeDocument/2006/relationships" r:id="rId11"/>
          <a:extLst>
            <a:ext uri="{FF2B5EF4-FFF2-40B4-BE49-F238E27FC236}">
              <a16:creationId xmlns:a16="http://schemas.microsoft.com/office/drawing/2014/main" id="{B435A527-27CE-48AF-86FC-DB281907DDF4}"/>
            </a:ext>
          </a:extLst>
        </xdr:cNvPr>
        <xdr:cNvSpPr/>
      </xdr:nvSpPr>
      <xdr:spPr>
        <a:xfrm>
          <a:off x="6205583" y="5550989"/>
          <a:ext cx="2537641" cy="843915"/>
        </a:xfrm>
        <a:prstGeom prst="roundRect">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800" b="1">
              <a:solidFill>
                <a:srgbClr val="002C77"/>
              </a:solidFill>
              <a:effectLst/>
              <a:latin typeface="Century Gothic" panose="020B0502020202020204" pitchFamily="34" charset="0"/>
              <a:ea typeface="+mn-ea"/>
              <a:cs typeface="+mn-cs"/>
            </a:rPr>
            <a:t>REGISTRE FNC</a:t>
          </a:r>
        </a:p>
      </xdr:txBody>
    </xdr:sp>
    <xdr:clientData/>
  </xdr:twoCellAnchor>
  <xdr:twoCellAnchor>
    <xdr:from>
      <xdr:col>8</xdr:col>
      <xdr:colOff>10886</xdr:colOff>
      <xdr:row>22</xdr:row>
      <xdr:rowOff>178658</xdr:rowOff>
    </xdr:from>
    <xdr:to>
      <xdr:col>11</xdr:col>
      <xdr:colOff>219800</xdr:colOff>
      <xdr:row>27</xdr:row>
      <xdr:rowOff>91107</xdr:rowOff>
    </xdr:to>
    <xdr:sp macro="" textlink="">
      <xdr:nvSpPr>
        <xdr:cNvPr id="260" name="Rectangle : coins arrondis 10">
          <a:hlinkClick xmlns:r="http://schemas.openxmlformats.org/officeDocument/2006/relationships" r:id="rId12"/>
          <a:extLst>
            <a:ext uri="{FF2B5EF4-FFF2-40B4-BE49-F238E27FC236}">
              <a16:creationId xmlns:a16="http://schemas.microsoft.com/office/drawing/2014/main" id="{E6E33EDD-AF51-47B5-ABC0-516F6199C131}"/>
            </a:ext>
          </a:extLst>
        </xdr:cNvPr>
        <xdr:cNvSpPr/>
      </xdr:nvSpPr>
      <xdr:spPr>
        <a:xfrm>
          <a:off x="6173147" y="4419354"/>
          <a:ext cx="2519762" cy="864949"/>
        </a:xfrm>
        <a:prstGeom prst="roundRect">
          <a:avLst/>
        </a:prstGeom>
        <a:solidFill>
          <a:srgbClr val="01DDB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rgbClr val="002C77"/>
              </a:solidFill>
              <a:effectLst/>
              <a:latin typeface="Century Gothic" panose="020B0502020202020204" pitchFamily="34" charset="0"/>
              <a:ea typeface="+mn-ea"/>
              <a:cs typeface="+mn-cs"/>
            </a:rPr>
            <a:t>REGISTRE</a:t>
          </a:r>
          <a:r>
            <a:rPr lang="fr-FR" sz="1800" b="1" baseline="0">
              <a:solidFill>
                <a:srgbClr val="002C77"/>
              </a:solidFill>
              <a:effectLst/>
              <a:latin typeface="Century Gothic" panose="020B0502020202020204" pitchFamily="34" charset="0"/>
              <a:ea typeface="+mn-ea"/>
              <a:cs typeface="+mn-cs"/>
            </a:rPr>
            <a:t> FAE</a:t>
          </a:r>
          <a:endParaRPr lang="fr-FR" sz="1800" b="1">
            <a:solidFill>
              <a:srgbClr val="002C77"/>
            </a:solidFill>
            <a:effectLst/>
            <a:latin typeface="Century Gothic" panose="020B0502020202020204" pitchFamily="34" charset="0"/>
            <a:ea typeface="+mn-ea"/>
            <a:cs typeface="+mn-cs"/>
          </a:endParaRPr>
        </a:p>
      </xdr:txBody>
    </xdr:sp>
    <xdr:clientData/>
  </xdr:twoCellAnchor>
  <xdr:twoCellAnchor>
    <xdr:from>
      <xdr:col>4</xdr:col>
      <xdr:colOff>231865</xdr:colOff>
      <xdr:row>22</xdr:row>
      <xdr:rowOff>178659</xdr:rowOff>
    </xdr:from>
    <xdr:to>
      <xdr:col>7</xdr:col>
      <xdr:colOff>460103</xdr:colOff>
      <xdr:row>27</xdr:row>
      <xdr:rowOff>94839</xdr:rowOff>
    </xdr:to>
    <xdr:sp macro="" textlink="">
      <xdr:nvSpPr>
        <xdr:cNvPr id="259" name="Rectangle : coins arrondis 13">
          <a:hlinkClick xmlns:r="http://schemas.openxmlformats.org/officeDocument/2006/relationships" r:id="rId13"/>
          <a:extLst>
            <a:ext uri="{FF2B5EF4-FFF2-40B4-BE49-F238E27FC236}">
              <a16:creationId xmlns:a16="http://schemas.microsoft.com/office/drawing/2014/main" id="{7576F010-C4EA-4864-A3B9-2DDFC5032E56}"/>
            </a:ext>
          </a:extLst>
        </xdr:cNvPr>
        <xdr:cNvSpPr/>
      </xdr:nvSpPr>
      <xdr:spPr>
        <a:xfrm>
          <a:off x="3312995" y="4419355"/>
          <a:ext cx="2539086" cy="868680"/>
        </a:xfrm>
        <a:prstGeom prst="roundRect">
          <a:avLst/>
        </a:prstGeom>
        <a:solidFill>
          <a:srgbClr val="01DDB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rgbClr val="002C77"/>
              </a:solidFill>
              <a:effectLst/>
              <a:latin typeface="Century Gothic" panose="020B0502020202020204" pitchFamily="34" charset="0"/>
              <a:ea typeface="+mn-ea"/>
              <a:cs typeface="+mn-cs"/>
            </a:rPr>
            <a:t>CASSES RESEAUX</a:t>
          </a:r>
        </a:p>
      </xdr:txBody>
    </xdr:sp>
    <xdr:clientData/>
  </xdr:twoCellAnchor>
  <xdr:twoCellAnchor>
    <xdr:from>
      <xdr:col>9</xdr:col>
      <xdr:colOff>544558</xdr:colOff>
      <xdr:row>17</xdr:row>
      <xdr:rowOff>33795</xdr:rowOff>
    </xdr:from>
    <xdr:to>
      <xdr:col>12</xdr:col>
      <xdr:colOff>764903</xdr:colOff>
      <xdr:row>21</xdr:row>
      <xdr:rowOff>109995</xdr:rowOff>
    </xdr:to>
    <xdr:sp macro="" textlink="">
      <xdr:nvSpPr>
        <xdr:cNvPr id="261" name="Rectangle : coins arrondis 14">
          <a:hlinkClick xmlns:r="http://schemas.openxmlformats.org/officeDocument/2006/relationships" r:id="rId14"/>
          <a:extLst>
            <a:ext uri="{FF2B5EF4-FFF2-40B4-BE49-F238E27FC236}">
              <a16:creationId xmlns:a16="http://schemas.microsoft.com/office/drawing/2014/main" id="{B0E9F692-56C2-4AD8-889B-2B1BA1B7679F}"/>
            </a:ext>
          </a:extLst>
        </xdr:cNvPr>
        <xdr:cNvSpPr/>
      </xdr:nvSpPr>
      <xdr:spPr>
        <a:xfrm>
          <a:off x="7477101" y="3321991"/>
          <a:ext cx="2531193" cy="83820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rgbClr val="002C77"/>
              </a:solidFill>
              <a:effectLst/>
              <a:latin typeface="Century Gothic" panose="020B0502020202020204" pitchFamily="34" charset="0"/>
              <a:ea typeface="+mn-ea"/>
              <a:cs typeface="+mn-cs"/>
            </a:rPr>
            <a:t>REGISTRE BONNES</a:t>
          </a:r>
          <a:r>
            <a:rPr lang="fr-FR" sz="1800" b="1" baseline="0">
              <a:solidFill>
                <a:srgbClr val="002C77"/>
              </a:solidFill>
              <a:effectLst/>
              <a:latin typeface="Century Gothic" panose="020B0502020202020204" pitchFamily="34" charset="0"/>
              <a:ea typeface="+mn-ea"/>
              <a:cs typeface="+mn-cs"/>
            </a:rPr>
            <a:t> PRATIQUES</a:t>
          </a:r>
          <a:r>
            <a:rPr lang="fr-FR" sz="1800" b="1">
              <a:solidFill>
                <a:srgbClr val="002C77"/>
              </a:solidFill>
              <a:effectLst/>
              <a:latin typeface="Century Gothic" panose="020B0502020202020204" pitchFamily="34" charset="0"/>
              <a:ea typeface="+mn-ea"/>
              <a:cs typeface="+mn-cs"/>
            </a:rPr>
            <a:t> </a:t>
          </a:r>
        </a:p>
      </xdr:txBody>
    </xdr:sp>
    <xdr:clientData/>
  </xdr:twoCellAnchor>
  <xdr:twoCellAnchor>
    <xdr:from>
      <xdr:col>4</xdr:col>
      <xdr:colOff>260440</xdr:colOff>
      <xdr:row>28</xdr:row>
      <xdr:rowOff>159441</xdr:rowOff>
    </xdr:from>
    <xdr:to>
      <xdr:col>7</xdr:col>
      <xdr:colOff>456293</xdr:colOff>
      <xdr:row>33</xdr:row>
      <xdr:rowOff>57978</xdr:rowOff>
    </xdr:to>
    <xdr:sp macro="" textlink="">
      <xdr:nvSpPr>
        <xdr:cNvPr id="262" name="Rectangle : coins arrondis 15">
          <a:hlinkClick xmlns:r="http://schemas.openxmlformats.org/officeDocument/2006/relationships" r:id="rId15"/>
          <a:extLst>
            <a:ext uri="{FF2B5EF4-FFF2-40B4-BE49-F238E27FC236}">
              <a16:creationId xmlns:a16="http://schemas.microsoft.com/office/drawing/2014/main" id="{23CC6A4E-64FE-45EC-9BFB-0FD01C8D88CF}"/>
            </a:ext>
          </a:extLst>
        </xdr:cNvPr>
        <xdr:cNvSpPr/>
      </xdr:nvSpPr>
      <xdr:spPr>
        <a:xfrm>
          <a:off x="3341570" y="5543137"/>
          <a:ext cx="2506701" cy="851037"/>
        </a:xfrm>
        <a:prstGeom prst="roundRect">
          <a:avLst/>
        </a:prstGeom>
        <a:solidFill>
          <a:srgbClr val="FFC00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rgbClr val="002C77"/>
              </a:solidFill>
              <a:effectLst/>
              <a:latin typeface="Century Gothic" panose="020B0502020202020204" pitchFamily="34" charset="0"/>
              <a:ea typeface="+mn-ea"/>
              <a:cs typeface="+mn-cs"/>
            </a:rPr>
            <a:t>REMONTEES FNC</a:t>
          </a:r>
        </a:p>
      </xdr:txBody>
    </xdr:sp>
    <xdr:clientData/>
  </xdr:twoCellAnchor>
  <xdr:twoCellAnchor>
    <xdr:from>
      <xdr:col>6</xdr:col>
      <xdr:colOff>19776</xdr:colOff>
      <xdr:row>34</xdr:row>
      <xdr:rowOff>131913</xdr:rowOff>
    </xdr:from>
    <xdr:to>
      <xdr:col>9</xdr:col>
      <xdr:colOff>230596</xdr:colOff>
      <xdr:row>39</xdr:row>
      <xdr:rowOff>23328</xdr:rowOff>
    </xdr:to>
    <xdr:sp macro="" textlink="">
      <xdr:nvSpPr>
        <xdr:cNvPr id="4" name="Rectangle : coins arrondis 20">
          <a:hlinkClick xmlns:r="http://schemas.openxmlformats.org/officeDocument/2006/relationships" r:id="rId16"/>
          <a:extLst>
            <a:ext uri="{FF2B5EF4-FFF2-40B4-BE49-F238E27FC236}">
              <a16:creationId xmlns:a16="http://schemas.microsoft.com/office/drawing/2014/main" id="{7F607648-9CBC-4374-828F-854E05B75DDA}"/>
            </a:ext>
          </a:extLst>
        </xdr:cNvPr>
        <xdr:cNvSpPr/>
      </xdr:nvSpPr>
      <xdr:spPr>
        <a:xfrm>
          <a:off x="4641472" y="6658609"/>
          <a:ext cx="2521667" cy="843915"/>
        </a:xfrm>
        <a:prstGeom prst="roundRect">
          <a:avLst/>
        </a:prstGeom>
        <a:solidFill>
          <a:srgbClr val="A200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fr-FR" sz="1800" b="1">
              <a:solidFill>
                <a:schemeClr val="bg1"/>
              </a:solidFill>
              <a:effectLst/>
              <a:latin typeface="Century Gothic" panose="020B0502020202020204" pitchFamily="34" charset="0"/>
              <a:ea typeface="+mn-ea"/>
              <a:cs typeface="+mn-cs"/>
            </a:rPr>
            <a:t>TESTS ALCOOLS</a:t>
          </a:r>
          <a:r>
            <a:rPr lang="fr-FR" sz="1800" b="1" baseline="0">
              <a:solidFill>
                <a:schemeClr val="bg1"/>
              </a:solidFill>
              <a:effectLst/>
              <a:latin typeface="Century Gothic" panose="020B0502020202020204" pitchFamily="34" charset="0"/>
              <a:ea typeface="+mn-ea"/>
              <a:cs typeface="+mn-cs"/>
            </a:rPr>
            <a:t> / DROGUES</a:t>
          </a:r>
          <a:endParaRPr lang="fr-FR" sz="1800" b="1">
            <a:solidFill>
              <a:schemeClr val="bg1"/>
            </a:solidFill>
            <a:effectLst/>
            <a:latin typeface="Century Gothic" panose="020B0502020202020204" pitchFamily="34" charset="0"/>
            <a:ea typeface="+mn-ea"/>
            <a:cs typeface="+mn-cs"/>
          </a:endParaRPr>
        </a:p>
      </xdr:txBody>
    </xdr:sp>
    <xdr:clientData/>
  </xdr:twoCellAnchor>
  <xdr:twoCellAnchor>
    <xdr:from>
      <xdr:col>9</xdr:col>
      <xdr:colOff>547733</xdr:colOff>
      <xdr:row>34</xdr:row>
      <xdr:rowOff>129429</xdr:rowOff>
    </xdr:from>
    <xdr:to>
      <xdr:col>12</xdr:col>
      <xdr:colOff>758553</xdr:colOff>
      <xdr:row>39</xdr:row>
      <xdr:rowOff>20844</xdr:rowOff>
    </xdr:to>
    <xdr:sp macro="" textlink="">
      <xdr:nvSpPr>
        <xdr:cNvPr id="5" name="Rectangle : coins arrondis 20">
          <a:hlinkClick xmlns:r="http://schemas.openxmlformats.org/officeDocument/2006/relationships" r:id="rId17"/>
          <a:extLst>
            <a:ext uri="{FF2B5EF4-FFF2-40B4-BE49-F238E27FC236}">
              <a16:creationId xmlns:a16="http://schemas.microsoft.com/office/drawing/2014/main" id="{1B3271C7-B199-4E40-92AA-2287DE2840CD}"/>
            </a:ext>
          </a:extLst>
        </xdr:cNvPr>
        <xdr:cNvSpPr/>
      </xdr:nvSpPr>
      <xdr:spPr>
        <a:xfrm>
          <a:off x="7480276" y="6656125"/>
          <a:ext cx="2521668" cy="843915"/>
        </a:xfrm>
        <a:prstGeom prst="roundRect">
          <a:avLst/>
        </a:prstGeom>
        <a:solidFill>
          <a:srgbClr val="A200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bg1"/>
              </a:solidFill>
              <a:effectLst/>
              <a:latin typeface="Century Gothic" panose="020B0502020202020204" pitchFamily="34" charset="0"/>
              <a:ea typeface="+mn-ea"/>
              <a:cs typeface="+mn-cs"/>
            </a:rPr>
            <a:t>NON RESPECT</a:t>
          </a:r>
          <a:r>
            <a:rPr lang="fr-FR" sz="1800" b="1" baseline="0">
              <a:solidFill>
                <a:schemeClr val="bg1"/>
              </a:solidFill>
              <a:effectLst/>
              <a:latin typeface="Century Gothic" panose="020B0502020202020204" pitchFamily="34" charset="0"/>
              <a:ea typeface="+mn-ea"/>
              <a:cs typeface="+mn-cs"/>
            </a:rPr>
            <a:t> RV </a:t>
          </a:r>
          <a:endParaRPr lang="fr-FR" sz="1800" b="1">
            <a:solidFill>
              <a:schemeClr val="bg1"/>
            </a:solidFill>
            <a:effectLst/>
            <a:latin typeface="Century Gothic" panose="020B0502020202020204" pitchFamily="34" charset="0"/>
            <a:ea typeface="+mn-ea"/>
            <a:cs typeface="+mn-cs"/>
          </a:endParaRPr>
        </a:p>
      </xdr:txBody>
    </xdr:sp>
    <xdr:clientData/>
  </xdr:twoCellAnchor>
  <xdr:twoCellAnchor>
    <xdr:from>
      <xdr:col>2</xdr:col>
      <xdr:colOff>257901</xdr:colOff>
      <xdr:row>34</xdr:row>
      <xdr:rowOff>133155</xdr:rowOff>
    </xdr:from>
    <xdr:to>
      <xdr:col>5</xdr:col>
      <xdr:colOff>472803</xdr:colOff>
      <xdr:row>39</xdr:row>
      <xdr:rowOff>24570</xdr:rowOff>
    </xdr:to>
    <xdr:sp macro="" textlink="">
      <xdr:nvSpPr>
        <xdr:cNvPr id="6" name="Rectangle : coins arrondis 20">
          <a:hlinkClick xmlns:r="http://schemas.openxmlformats.org/officeDocument/2006/relationships" r:id="rId18"/>
          <a:extLst>
            <a:ext uri="{FF2B5EF4-FFF2-40B4-BE49-F238E27FC236}">
              <a16:creationId xmlns:a16="http://schemas.microsoft.com/office/drawing/2014/main" id="{13C0B9F5-03E1-4C53-BF5F-2F182249DA4B}"/>
            </a:ext>
          </a:extLst>
        </xdr:cNvPr>
        <xdr:cNvSpPr/>
      </xdr:nvSpPr>
      <xdr:spPr>
        <a:xfrm>
          <a:off x="1798466" y="6659851"/>
          <a:ext cx="2525750" cy="843915"/>
        </a:xfrm>
        <a:prstGeom prst="roundRect">
          <a:avLst/>
        </a:prstGeom>
        <a:solidFill>
          <a:srgbClr val="A200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bg1"/>
              </a:solidFill>
              <a:effectLst/>
              <a:latin typeface="Century Gothic" panose="020B0502020202020204" pitchFamily="34" charset="0"/>
              <a:ea typeface="+mn-ea"/>
              <a:cs typeface="+mn-cs"/>
            </a:rPr>
            <a:t>PLANS D'ACTIONS</a:t>
          </a:r>
        </a:p>
      </xdr:txBody>
    </xdr:sp>
    <xdr:clientData/>
  </xdr:twoCellAnchor>
  <xdr:twoCellAnchor>
    <xdr:from>
      <xdr:col>2</xdr:col>
      <xdr:colOff>257901</xdr:colOff>
      <xdr:row>40</xdr:row>
      <xdr:rowOff>82632</xdr:rowOff>
    </xdr:from>
    <xdr:to>
      <xdr:col>5</xdr:col>
      <xdr:colOff>472803</xdr:colOff>
      <xdr:row>44</xdr:row>
      <xdr:rowOff>164547</xdr:rowOff>
    </xdr:to>
    <xdr:sp macro="" textlink="">
      <xdr:nvSpPr>
        <xdr:cNvPr id="8" name="Rectangle : coins arrondis 20">
          <a:hlinkClick xmlns:r="http://schemas.openxmlformats.org/officeDocument/2006/relationships" r:id="rId19"/>
          <a:extLst>
            <a:ext uri="{FF2B5EF4-FFF2-40B4-BE49-F238E27FC236}">
              <a16:creationId xmlns:a16="http://schemas.microsoft.com/office/drawing/2014/main" id="{0AFD96F0-9271-4B0A-BA71-6EA8882B10FA}"/>
            </a:ext>
          </a:extLst>
        </xdr:cNvPr>
        <xdr:cNvSpPr/>
      </xdr:nvSpPr>
      <xdr:spPr>
        <a:xfrm>
          <a:off x="1798466" y="7752328"/>
          <a:ext cx="2525750" cy="843915"/>
        </a:xfrm>
        <a:prstGeom prst="roundRect">
          <a:avLst/>
        </a:prstGeom>
        <a:solidFill>
          <a:srgbClr val="A200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bg1"/>
              </a:solidFill>
              <a:effectLst/>
              <a:latin typeface="Century Gothic" panose="020B0502020202020204" pitchFamily="34" charset="0"/>
              <a:ea typeface="+mn-ea"/>
              <a:cs typeface="+mn-cs"/>
            </a:rPr>
            <a:t>NON RESPECT</a:t>
          </a:r>
          <a:r>
            <a:rPr lang="fr-FR" sz="1800" b="1" baseline="0">
              <a:solidFill>
                <a:schemeClr val="bg1"/>
              </a:solidFill>
              <a:effectLst/>
              <a:latin typeface="Century Gothic" panose="020B0502020202020204" pitchFamily="34" charset="0"/>
              <a:ea typeface="+mn-ea"/>
              <a:cs typeface="+mn-cs"/>
            </a:rPr>
            <a:t> EPI </a:t>
          </a:r>
          <a:endParaRPr lang="fr-FR" sz="1800" b="1">
            <a:solidFill>
              <a:schemeClr val="bg1"/>
            </a:solidFill>
            <a:effectLst/>
            <a:latin typeface="Century Gothic" panose="020B0502020202020204" pitchFamily="34" charset="0"/>
            <a:ea typeface="+mn-ea"/>
            <a:cs typeface="+mn-cs"/>
          </a:endParaRPr>
        </a:p>
      </xdr:txBody>
    </xdr:sp>
    <xdr:clientData/>
  </xdr:twoCellAnchor>
  <xdr:twoCellAnchor>
    <xdr:from>
      <xdr:col>6</xdr:col>
      <xdr:colOff>67401</xdr:colOff>
      <xdr:row>40</xdr:row>
      <xdr:rowOff>80148</xdr:rowOff>
    </xdr:from>
    <xdr:to>
      <xdr:col>9</xdr:col>
      <xdr:colOff>278221</xdr:colOff>
      <xdr:row>44</xdr:row>
      <xdr:rowOff>162063</xdr:rowOff>
    </xdr:to>
    <xdr:sp macro="" textlink="">
      <xdr:nvSpPr>
        <xdr:cNvPr id="9" name="Rectangle : coins arrondis 20">
          <a:hlinkClick xmlns:r="http://schemas.openxmlformats.org/officeDocument/2006/relationships" r:id="rId20"/>
          <a:extLst>
            <a:ext uri="{FF2B5EF4-FFF2-40B4-BE49-F238E27FC236}">
              <a16:creationId xmlns:a16="http://schemas.microsoft.com/office/drawing/2014/main" id="{0F1A9D4C-AB40-4505-B202-C34DCF02C852}"/>
            </a:ext>
          </a:extLst>
        </xdr:cNvPr>
        <xdr:cNvSpPr/>
      </xdr:nvSpPr>
      <xdr:spPr>
        <a:xfrm>
          <a:off x="4689097" y="7749844"/>
          <a:ext cx="2521667" cy="843915"/>
        </a:xfrm>
        <a:prstGeom prst="roundRect">
          <a:avLst/>
        </a:prstGeom>
        <a:solidFill>
          <a:srgbClr val="A2006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fr-FR" sz="1800" b="1">
              <a:solidFill>
                <a:schemeClr val="bg1"/>
              </a:solidFill>
              <a:effectLst/>
              <a:latin typeface="Century Gothic" panose="020B0502020202020204" pitchFamily="34" charset="0"/>
              <a:ea typeface="+mn-ea"/>
              <a:cs typeface="+mn-cs"/>
            </a:rPr>
            <a:t>ARRÊT CHANTIER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295750</xdr:colOff>
      <xdr:row>75</xdr:row>
      <xdr:rowOff>0</xdr:rowOff>
    </xdr:from>
    <xdr:to>
      <xdr:col>8</xdr:col>
      <xdr:colOff>3332</xdr:colOff>
      <xdr:row>108</xdr:row>
      <xdr:rowOff>0</xdr:rowOff>
    </xdr:to>
    <xdr:grpSp>
      <xdr:nvGrpSpPr>
        <xdr:cNvPr id="2" name="Groupe 2">
          <a:extLst>
            <a:ext uri="{FF2B5EF4-FFF2-40B4-BE49-F238E27FC236}">
              <a16:creationId xmlns:a16="http://schemas.microsoft.com/office/drawing/2014/main" id="{B9BB10AB-3D59-4F9C-9B36-FB7A8C77AF87}"/>
            </a:ext>
          </a:extLst>
        </xdr:cNvPr>
        <xdr:cNvGrpSpPr/>
      </xdr:nvGrpSpPr>
      <xdr:grpSpPr>
        <a:xfrm>
          <a:off x="295750" y="36385500"/>
          <a:ext cx="8339613" cy="12573000"/>
          <a:chOff x="16487147" y="2043735"/>
          <a:chExt cx="4139403" cy="4732621"/>
        </a:xfrm>
      </xdr:grpSpPr>
      <xdr:grpSp>
        <xdr:nvGrpSpPr>
          <xdr:cNvPr id="3" name="Groupe 1">
            <a:extLst>
              <a:ext uri="{FF2B5EF4-FFF2-40B4-BE49-F238E27FC236}">
                <a16:creationId xmlns:a16="http://schemas.microsoft.com/office/drawing/2014/main" id="{5ADF804A-CF10-4B52-69B8-7617C076DB26}"/>
              </a:ext>
            </a:extLst>
          </xdr:cNvPr>
          <xdr:cNvGrpSpPr/>
        </xdr:nvGrpSpPr>
        <xdr:grpSpPr>
          <a:xfrm>
            <a:off x="16487147" y="2043735"/>
            <a:ext cx="4139403" cy="4732621"/>
            <a:chOff x="24117676" y="1273630"/>
            <a:chExt cx="4278498" cy="6598920"/>
          </a:xfrm>
        </xdr:grpSpPr>
        <xdr:grpSp>
          <xdr:nvGrpSpPr>
            <xdr:cNvPr id="7" name="Groupe 24">
              <a:extLst>
                <a:ext uri="{FF2B5EF4-FFF2-40B4-BE49-F238E27FC236}">
                  <a16:creationId xmlns:a16="http://schemas.microsoft.com/office/drawing/2014/main" id="{77F95B03-853F-C734-9209-50DAEE3AEE64}"/>
                </a:ext>
              </a:extLst>
            </xdr:cNvPr>
            <xdr:cNvGrpSpPr/>
          </xdr:nvGrpSpPr>
          <xdr:grpSpPr>
            <a:xfrm>
              <a:off x="24117676" y="1273630"/>
              <a:ext cx="4278498" cy="6598920"/>
              <a:chOff x="3920708" y="1342469"/>
              <a:chExt cx="2386219" cy="2087951"/>
            </a:xfrm>
          </xdr:grpSpPr>
          <xdr:pic>
            <xdr:nvPicPr>
              <xdr:cNvPr id="9" name="Image 27">
                <a:extLst>
                  <a:ext uri="{FF2B5EF4-FFF2-40B4-BE49-F238E27FC236}">
                    <a16:creationId xmlns:a16="http://schemas.microsoft.com/office/drawing/2014/main" id="{DE199B65-CA11-5C55-9FC3-34003E71A102}"/>
                  </a:ext>
                </a:extLst>
              </xdr:cNvPr>
              <xdr:cNvPicPr>
                <a:picLocks noChangeAspect="1"/>
              </xdr:cNvPicPr>
            </xdr:nvPicPr>
            <xdr:blipFill>
              <a:blip xmlns:r="http://schemas.openxmlformats.org/officeDocument/2006/relationships" r:embed="rId1"/>
              <a:stretch>
                <a:fillRect/>
              </a:stretch>
            </xdr:blipFill>
            <xdr:spPr>
              <a:xfrm>
                <a:off x="4802386" y="1586764"/>
                <a:ext cx="1083581" cy="1843656"/>
              </a:xfrm>
              <a:prstGeom prst="rect">
                <a:avLst/>
              </a:prstGeom>
            </xdr:spPr>
          </xdr:pic>
          <xdr:sp macro="" textlink="">
            <xdr:nvSpPr>
              <xdr:cNvPr id="10" name="ZoneTexte 5">
                <a:extLst>
                  <a:ext uri="{FF2B5EF4-FFF2-40B4-BE49-F238E27FC236}">
                    <a16:creationId xmlns:a16="http://schemas.microsoft.com/office/drawing/2014/main" id="{EDA24494-E1F2-76B0-86B9-3A1ED0259CAC}"/>
                  </a:ext>
                </a:extLst>
              </xdr:cNvPr>
              <xdr:cNvSpPr txBox="1"/>
            </xdr:nvSpPr>
            <xdr:spPr>
              <a:xfrm>
                <a:off x="3920708" y="1342469"/>
                <a:ext cx="2270825" cy="57465"/>
              </a:xfrm>
              <a:prstGeom prst="rect">
                <a:avLst/>
              </a:prstGeom>
              <a:solidFill>
                <a:srgbClr val="FF9900"/>
              </a:solid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600" b="1" i="1" u="none" strike="noStrike" kern="1200" cap="none" spc="0" normalizeH="0" baseline="0" noProof="0">
                    <a:ln>
                      <a:noFill/>
                    </a:ln>
                    <a:solidFill>
                      <a:srgbClr val="003571"/>
                    </a:solidFill>
                    <a:effectLst/>
                    <a:uLnTx/>
                    <a:uFillTx/>
                    <a:latin typeface="Century Gothic" panose="020B0502020202020204" pitchFamily="34" charset="0"/>
                  </a:rPr>
                  <a:t>SIEGE DES LÉSIONS : 2023</a:t>
                </a:r>
              </a:p>
            </xdr:txBody>
          </xdr:sp>
          <xdr:sp macro="" textlink="">
            <xdr:nvSpPr>
              <xdr:cNvPr id="11" name="ZoneTexte 11">
                <a:extLst>
                  <a:ext uri="{FF2B5EF4-FFF2-40B4-BE49-F238E27FC236}">
                    <a16:creationId xmlns:a16="http://schemas.microsoft.com/office/drawing/2014/main" id="{8D9A5B5F-40B2-A37C-50F4-7D8C3D05A235}"/>
                  </a:ext>
                </a:extLst>
              </xdr:cNvPr>
              <xdr:cNvSpPr txBox="1"/>
            </xdr:nvSpPr>
            <xdr:spPr>
              <a:xfrm>
                <a:off x="4468556" y="1801751"/>
                <a:ext cx="676716"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Yeux : </a:t>
                </a:r>
                <a:r>
                  <a:rPr kumimoji="0" lang="fr-FR" sz="1400" b="1" i="0" u="none" strike="noStrike" kern="1200" cap="none" spc="0" normalizeH="0" baseline="0" noProof="0">
                    <a:ln>
                      <a:noFill/>
                    </a:ln>
                    <a:solidFill>
                      <a:srgbClr val="00B050"/>
                    </a:solidFill>
                    <a:effectLst/>
                    <a:uLnTx/>
                    <a:uFillTx/>
                    <a:latin typeface="Century Gothic" panose="020B0502020202020204" pitchFamily="34" charset="0"/>
                  </a:rPr>
                  <a:t>0%</a:t>
                </a:r>
              </a:p>
            </xdr:txBody>
          </xdr:sp>
          <xdr:sp macro="" textlink="">
            <xdr:nvSpPr>
              <xdr:cNvPr id="12" name="ZoneTexte 15">
                <a:extLst>
                  <a:ext uri="{FF2B5EF4-FFF2-40B4-BE49-F238E27FC236}">
                    <a16:creationId xmlns:a16="http://schemas.microsoft.com/office/drawing/2014/main" id="{9F716EB1-BD60-135B-5A10-023BC14B25C1}"/>
                  </a:ext>
                </a:extLst>
              </xdr:cNvPr>
              <xdr:cNvSpPr txBox="1"/>
            </xdr:nvSpPr>
            <xdr:spPr>
              <a:xfrm>
                <a:off x="5403751" y="2416402"/>
                <a:ext cx="903176"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Mains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14%</a:t>
                </a:r>
              </a:p>
            </xdr:txBody>
          </xdr:sp>
          <xdr:sp macro="" textlink="">
            <xdr:nvSpPr>
              <xdr:cNvPr id="13" name="ZoneTexte 21">
                <a:extLst>
                  <a:ext uri="{FF2B5EF4-FFF2-40B4-BE49-F238E27FC236}">
                    <a16:creationId xmlns:a16="http://schemas.microsoft.com/office/drawing/2014/main" id="{824B9070-A5FB-74B0-DB38-EC12EB4166A9}"/>
                  </a:ext>
                </a:extLst>
              </xdr:cNvPr>
              <xdr:cNvSpPr txBox="1"/>
            </xdr:nvSpPr>
            <xdr:spPr>
              <a:xfrm>
                <a:off x="5391214" y="3222270"/>
                <a:ext cx="854164" cy="52205"/>
              </a:xfrm>
              <a:prstGeom prst="rect">
                <a:avLst/>
              </a:prstGeom>
              <a:noFill/>
            </xdr:spPr>
            <xdr:txBody>
              <a:bodyPr wrap="square" rtlCol="0">
                <a:sp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Pieds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32%</a:t>
                </a:r>
              </a:p>
            </xdr:txBody>
          </xdr:sp>
        </xdr:grpSp>
        <xdr:sp macro="" textlink="">
          <xdr:nvSpPr>
            <xdr:cNvPr id="8" name="ZoneTexte 7">
              <a:extLst>
                <a:ext uri="{FF2B5EF4-FFF2-40B4-BE49-F238E27FC236}">
                  <a16:creationId xmlns:a16="http://schemas.microsoft.com/office/drawing/2014/main" id="{78C03383-75FD-1A06-C488-71282D27AA99}"/>
                </a:ext>
              </a:extLst>
            </xdr:cNvPr>
            <xdr:cNvSpPr txBox="1"/>
          </xdr:nvSpPr>
          <xdr:spPr>
            <a:xfrm>
              <a:off x="25318896" y="4347819"/>
              <a:ext cx="1113289" cy="439522"/>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Dos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5%</a:t>
              </a:r>
            </a:p>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400" b="1" i="0" u="none" strike="noStrike" kern="1200" cap="none" spc="0" normalizeH="0" baseline="0" noProof="0">
                <a:ln>
                  <a:noFill/>
                </a:ln>
                <a:solidFill>
                  <a:srgbClr val="FF0000"/>
                </a:solidFill>
                <a:effectLst/>
                <a:uLnTx/>
                <a:uFillTx/>
                <a:latin typeface="Century Gothic" panose="020B050202020202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ea typeface="+mn-ea"/>
                  <a:cs typeface="+mn-cs"/>
                </a:rPr>
                <a:t>Bassin : </a:t>
              </a:r>
              <a:r>
                <a:rPr kumimoji="0" lang="fr-FR" sz="1400" b="1" i="0" u="none" strike="noStrike" kern="1200" cap="none" spc="0" normalizeH="0" baseline="0" noProof="0">
                  <a:ln>
                    <a:noFill/>
                  </a:ln>
                  <a:solidFill>
                    <a:srgbClr val="00B050"/>
                  </a:solidFill>
                  <a:effectLst/>
                  <a:uLnTx/>
                  <a:uFillTx/>
                  <a:latin typeface="Century Gothic" panose="020B0502020202020204" pitchFamily="34" charset="0"/>
                  <a:ea typeface="+mn-ea"/>
                  <a:cs typeface="+mn-cs"/>
                </a:rPr>
                <a:t>0%</a:t>
              </a:r>
            </a:p>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fr-FR" sz="1400" b="1" i="0" u="none" strike="noStrike" kern="1200" cap="none" spc="0" normalizeH="0" baseline="0" noProof="0">
                <a:ln>
                  <a:noFill/>
                </a:ln>
                <a:solidFill>
                  <a:srgbClr val="FF0000"/>
                </a:solidFill>
                <a:effectLst/>
                <a:uLnTx/>
                <a:uFillTx/>
                <a:latin typeface="Century Gothic" panose="020B0502020202020204" pitchFamily="34" charset="0"/>
              </a:endParaRPr>
            </a:p>
          </xdr:txBody>
        </xdr:sp>
      </xdr:grpSp>
      <xdr:sp macro="" textlink="">
        <xdr:nvSpPr>
          <xdr:cNvPr id="4" name="ZoneTexte 3">
            <a:extLst>
              <a:ext uri="{FF2B5EF4-FFF2-40B4-BE49-F238E27FC236}">
                <a16:creationId xmlns:a16="http://schemas.microsoft.com/office/drawing/2014/main" id="{9A5C98D4-DD05-A146-17F3-511338652590}"/>
              </a:ext>
            </a:extLst>
          </xdr:cNvPr>
          <xdr:cNvSpPr txBox="1"/>
        </xdr:nvSpPr>
        <xdr:spPr>
          <a:xfrm>
            <a:off x="18868393" y="3799058"/>
            <a:ext cx="1597652" cy="395460"/>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Bras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18 %</a:t>
            </a:r>
          </a:p>
        </xdr:txBody>
      </xdr:sp>
      <xdr:sp macro="" textlink="">
        <xdr:nvSpPr>
          <xdr:cNvPr id="5" name="ZoneTexte 11">
            <a:extLst>
              <a:ext uri="{FF2B5EF4-FFF2-40B4-BE49-F238E27FC236}">
                <a16:creationId xmlns:a16="http://schemas.microsoft.com/office/drawing/2014/main" id="{AAA3D3C7-95BA-4A9B-2442-FCF40B97FD8C}"/>
              </a:ext>
            </a:extLst>
          </xdr:cNvPr>
          <xdr:cNvSpPr txBox="1"/>
        </xdr:nvSpPr>
        <xdr:spPr>
          <a:xfrm>
            <a:off x="18990859" y="2792128"/>
            <a:ext cx="1197061" cy="320384"/>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Tête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9%</a:t>
            </a:r>
          </a:p>
        </xdr:txBody>
      </xdr:sp>
      <xdr:sp macro="" textlink="">
        <xdr:nvSpPr>
          <xdr:cNvPr id="6" name="ZoneTexte 21">
            <a:extLst>
              <a:ext uri="{FF2B5EF4-FFF2-40B4-BE49-F238E27FC236}">
                <a16:creationId xmlns:a16="http://schemas.microsoft.com/office/drawing/2014/main" id="{243E017B-61DC-CFBE-E967-598A37CF2F7A}"/>
              </a:ext>
            </a:extLst>
          </xdr:cNvPr>
          <xdr:cNvSpPr txBox="1"/>
        </xdr:nvSpPr>
        <xdr:spPr>
          <a:xfrm>
            <a:off x="17266994" y="5630067"/>
            <a:ext cx="1510953" cy="320384"/>
          </a:xfrm>
          <a:prstGeom prst="rect">
            <a:avLst/>
          </a:prstGeom>
          <a:noFill/>
        </xdr:spPr>
        <xdr:txBody>
          <a:bodyPr wrap="square" rtlCol="0">
            <a:noAutofit/>
          </a:bodyPr>
          <a:lstStyle>
            <a:defPPr>
              <a:defRPr lang="fr-FR"/>
            </a:defPPr>
            <a:lvl1pPr marL="0" algn="l" defTabSz="914400" rtl="0" eaLnBrk="1" latinLnBrk="0" hangingPunct="1">
              <a:defRPr sz="1800" kern="1200">
                <a:solidFill>
                  <a:sysClr val="windowText" lastClr="000000"/>
                </a:solidFill>
                <a:latin typeface="Calibri" panose="020F0502020204030204"/>
              </a:defRPr>
            </a:lvl1pPr>
            <a:lvl2pPr marL="457200" algn="l" defTabSz="914400" rtl="0" eaLnBrk="1" latinLnBrk="0" hangingPunct="1">
              <a:defRPr sz="1800" kern="1200">
                <a:solidFill>
                  <a:sysClr val="windowText" lastClr="000000"/>
                </a:solidFill>
                <a:latin typeface="Calibri" panose="020F0502020204030204"/>
              </a:defRPr>
            </a:lvl2pPr>
            <a:lvl3pPr marL="914400" algn="l" defTabSz="914400" rtl="0" eaLnBrk="1" latinLnBrk="0" hangingPunct="1">
              <a:defRPr sz="1800" kern="1200">
                <a:solidFill>
                  <a:sysClr val="windowText" lastClr="000000"/>
                </a:solidFill>
                <a:latin typeface="Calibri" panose="020F0502020204030204"/>
              </a:defRPr>
            </a:lvl3pPr>
            <a:lvl4pPr marL="1371600" algn="l" defTabSz="914400" rtl="0" eaLnBrk="1" latinLnBrk="0" hangingPunct="1">
              <a:defRPr sz="1800" kern="1200">
                <a:solidFill>
                  <a:sysClr val="windowText" lastClr="000000"/>
                </a:solidFill>
                <a:latin typeface="Calibri" panose="020F0502020204030204"/>
              </a:defRPr>
            </a:lvl4pPr>
            <a:lvl5pPr marL="1828800" algn="l" defTabSz="914400" rtl="0" eaLnBrk="1" latinLnBrk="0" hangingPunct="1">
              <a:defRPr sz="1800" kern="1200">
                <a:solidFill>
                  <a:sysClr val="windowText" lastClr="000000"/>
                </a:solidFill>
                <a:latin typeface="Calibri" panose="020F0502020204030204"/>
              </a:defRPr>
            </a:lvl5pPr>
            <a:lvl6pPr marL="2286000" algn="l" defTabSz="914400" rtl="0" eaLnBrk="1" latinLnBrk="0" hangingPunct="1">
              <a:defRPr sz="1800" kern="1200">
                <a:solidFill>
                  <a:sysClr val="windowText" lastClr="000000"/>
                </a:solidFill>
                <a:latin typeface="Calibri" panose="020F0502020204030204"/>
              </a:defRPr>
            </a:lvl6pPr>
            <a:lvl7pPr marL="2743200" algn="l" defTabSz="914400" rtl="0" eaLnBrk="1" latinLnBrk="0" hangingPunct="1">
              <a:defRPr sz="1800" kern="1200">
                <a:solidFill>
                  <a:sysClr val="windowText" lastClr="000000"/>
                </a:solidFill>
                <a:latin typeface="Calibri" panose="020F0502020204030204"/>
              </a:defRPr>
            </a:lvl7pPr>
            <a:lvl8pPr marL="3200400" algn="l" defTabSz="914400" rtl="0" eaLnBrk="1" latinLnBrk="0" hangingPunct="1">
              <a:defRPr sz="1800" kern="1200">
                <a:solidFill>
                  <a:sysClr val="windowText" lastClr="000000"/>
                </a:solidFill>
                <a:latin typeface="Calibri" panose="020F0502020204030204"/>
              </a:defRPr>
            </a:lvl8pPr>
            <a:lvl9pPr marL="3657600" algn="l" defTabSz="914400" rtl="0" eaLnBrk="1" latinLnBrk="0" hangingPunct="1">
              <a:defRPr sz="1800" kern="1200">
                <a:solidFill>
                  <a:sysClr val="windowText" lastClr="000000"/>
                </a:solidFill>
                <a:latin typeface="Calibri" panose="020F0502020204030204"/>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fr-FR" sz="1400" b="1" i="0" u="none" strike="noStrike" kern="1200" cap="none" spc="0" normalizeH="0" baseline="0" noProof="0">
                <a:ln>
                  <a:noFill/>
                </a:ln>
                <a:solidFill>
                  <a:srgbClr val="003571"/>
                </a:solidFill>
                <a:effectLst/>
                <a:uLnTx/>
                <a:uFillTx/>
                <a:latin typeface="Century Gothic" panose="020B0502020202020204" pitchFamily="34" charset="0"/>
              </a:rPr>
              <a:t>Genoux : </a:t>
            </a:r>
            <a:r>
              <a:rPr kumimoji="0" lang="fr-FR" sz="1400" b="1" i="0" u="none" strike="noStrike" kern="1200" cap="none" spc="0" normalizeH="0" baseline="0" noProof="0">
                <a:ln>
                  <a:noFill/>
                </a:ln>
                <a:solidFill>
                  <a:srgbClr val="FF0000"/>
                </a:solidFill>
                <a:effectLst/>
                <a:uLnTx/>
                <a:uFillTx/>
                <a:latin typeface="Century Gothic" panose="020B0502020202020204" pitchFamily="34" charset="0"/>
              </a:rPr>
              <a:t>18%</a:t>
            </a:r>
          </a:p>
        </xdr:txBody>
      </xdr:sp>
    </xdr:grpSp>
    <xdr:clientData/>
  </xdr:twoCellAnchor>
  <xdr:twoCellAnchor editAs="oneCell">
    <xdr:from>
      <xdr:col>31</xdr:col>
      <xdr:colOff>68405</xdr:colOff>
      <xdr:row>7</xdr:row>
      <xdr:rowOff>416720</xdr:rowOff>
    </xdr:from>
    <xdr:to>
      <xdr:col>41</xdr:col>
      <xdr:colOff>80777</xdr:colOff>
      <xdr:row>22</xdr:row>
      <xdr:rowOff>358202</xdr:rowOff>
    </xdr:to>
    <xdr:pic>
      <xdr:nvPicPr>
        <xdr:cNvPr id="21" name="Image 1">
          <a:extLst>
            <a:ext uri="{FF2B5EF4-FFF2-40B4-BE49-F238E27FC236}">
              <a16:creationId xmlns:a16="http://schemas.microsoft.com/office/drawing/2014/main" id="{E071E2BA-F2FE-4A0A-86E2-3FDC045DD435}"/>
            </a:ext>
            <a:ext uri="{147F2762-F138-4A5C-976F-8EAC2B608ADB}">
              <a16:predDERef xmlns:a16="http://schemas.microsoft.com/office/drawing/2014/main" pred="{4B141441-0827-380C-4414-17BEFF5E7427}"/>
            </a:ext>
          </a:extLst>
        </xdr:cNvPr>
        <xdr:cNvPicPr>
          <a:picLocks noChangeAspect="1"/>
        </xdr:cNvPicPr>
      </xdr:nvPicPr>
      <xdr:blipFill>
        <a:blip xmlns:r="http://schemas.openxmlformats.org/officeDocument/2006/relationships" r:embed="rId2"/>
        <a:stretch>
          <a:fillRect/>
        </a:stretch>
      </xdr:blipFill>
      <xdr:spPr>
        <a:xfrm>
          <a:off x="38073155" y="4929189"/>
          <a:ext cx="9823122" cy="8049638"/>
        </a:xfrm>
        <a:prstGeom prst="rect">
          <a:avLst/>
        </a:prstGeom>
      </xdr:spPr>
    </xdr:pic>
    <xdr:clientData/>
  </xdr:twoCellAnchor>
  <xdr:twoCellAnchor editAs="oneCell">
    <xdr:from>
      <xdr:col>0</xdr:col>
      <xdr:colOff>136072</xdr:colOff>
      <xdr:row>0</xdr:row>
      <xdr:rowOff>110762</xdr:rowOff>
    </xdr:from>
    <xdr:to>
      <xdr:col>1</xdr:col>
      <xdr:colOff>376726</xdr:colOff>
      <xdr:row>0</xdr:row>
      <xdr:rowOff>643499</xdr:rowOff>
    </xdr:to>
    <xdr:pic>
      <xdr:nvPicPr>
        <xdr:cNvPr id="16" name="Graphique 15" descr="Travail à domicile avec un remplissage uni">
          <a:hlinkClick xmlns:r="http://schemas.openxmlformats.org/officeDocument/2006/relationships" r:id="rId3"/>
          <a:extLst>
            <a:ext uri="{FF2B5EF4-FFF2-40B4-BE49-F238E27FC236}">
              <a16:creationId xmlns:a16="http://schemas.microsoft.com/office/drawing/2014/main" id="{A80EAB46-C87C-45C0-85C5-DE4DCD7DA4A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6072" y="110762"/>
          <a:ext cx="528581" cy="5073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144790</xdr:colOff>
      <xdr:row>0</xdr:row>
      <xdr:rowOff>154845</xdr:rowOff>
    </xdr:from>
    <xdr:to>
      <xdr:col>0</xdr:col>
      <xdr:colOff>682896</xdr:colOff>
      <xdr:row>0</xdr:row>
      <xdr:rowOff>679327</xdr:rowOff>
    </xdr:to>
    <xdr:pic>
      <xdr:nvPicPr>
        <xdr:cNvPr id="3" name="Graphique 2" descr="Travail à domicile avec un remplissage uni">
          <a:hlinkClick xmlns:r="http://schemas.openxmlformats.org/officeDocument/2006/relationships" r:id="rId1"/>
          <a:extLst>
            <a:ext uri="{FF2B5EF4-FFF2-40B4-BE49-F238E27FC236}">
              <a16:creationId xmlns:a16="http://schemas.microsoft.com/office/drawing/2014/main" id="{6643F64E-0878-9463-57E2-31F47ADF933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90" y="154845"/>
          <a:ext cx="524771" cy="520672"/>
        </a:xfrm>
        <a:prstGeom prst="rect">
          <a:avLst/>
        </a:prstGeom>
      </xdr:spPr>
    </xdr:pic>
    <xdr:clientData/>
  </xdr:twoCellAnchor>
  <xdr:twoCellAnchor>
    <xdr:from>
      <xdr:col>19</xdr:col>
      <xdr:colOff>68036</xdr:colOff>
      <xdr:row>0</xdr:row>
      <xdr:rowOff>40821</xdr:rowOff>
    </xdr:from>
    <xdr:to>
      <xdr:col>20</xdr:col>
      <xdr:colOff>733285</xdr:colOff>
      <xdr:row>1</xdr:row>
      <xdr:rowOff>625928</xdr:rowOff>
    </xdr:to>
    <xdr:sp macro="" textlink="">
      <xdr:nvSpPr>
        <xdr:cNvPr id="4" name="ZoneTexte 2">
          <a:extLst>
            <a:ext uri="{FF2B5EF4-FFF2-40B4-BE49-F238E27FC236}">
              <a16:creationId xmlns:a16="http://schemas.microsoft.com/office/drawing/2014/main" id="{538B1982-C46E-4A30-9C75-5BB5E86D8462}"/>
            </a:ext>
          </a:extLst>
        </xdr:cNvPr>
        <xdr:cNvSpPr txBox="1"/>
      </xdr:nvSpPr>
      <xdr:spPr>
        <a:xfrm>
          <a:off x="17349107" y="40821"/>
          <a:ext cx="1427249"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1" u="sng"/>
            <a:t>Légende : </a:t>
          </a:r>
        </a:p>
        <a:p>
          <a:r>
            <a:rPr lang="fr-FR" sz="1050" b="1" i="0" u="none" strike="noStrike">
              <a:solidFill>
                <a:schemeClr val="dk1"/>
              </a:solidFill>
              <a:effectLst/>
              <a:latin typeface="+mn-lt"/>
              <a:ea typeface="+mn-ea"/>
              <a:cs typeface="+mn-cs"/>
            </a:rPr>
            <a:t>I</a:t>
          </a:r>
          <a:r>
            <a:rPr lang="fr-FR" sz="1050">
              <a:effectLst/>
            </a:rPr>
            <a:t> </a:t>
          </a:r>
          <a:r>
            <a:rPr lang="fr-FR" sz="1050" b="0" i="0" u="none" strike="noStrike">
              <a:solidFill>
                <a:schemeClr val="dk1"/>
              </a:solidFill>
              <a:effectLst/>
              <a:latin typeface="+mn-lt"/>
              <a:ea typeface="+mn-ea"/>
              <a:cs typeface="+mn-cs"/>
            </a:rPr>
            <a:t>Intempérie</a:t>
          </a:r>
          <a:r>
            <a:rPr lang="fr-FR" sz="1050">
              <a:effectLst/>
            </a:rPr>
            <a:t> </a:t>
          </a:r>
        </a:p>
        <a:p>
          <a:r>
            <a:rPr lang="fr-FR" sz="1050" b="1" i="0" u="none" strike="noStrike">
              <a:solidFill>
                <a:schemeClr val="dk1"/>
              </a:solidFill>
              <a:effectLst/>
              <a:latin typeface="+mn-lt"/>
              <a:ea typeface="+mn-ea"/>
              <a:cs typeface="+mn-cs"/>
            </a:rPr>
            <a:t>F</a:t>
          </a:r>
          <a:r>
            <a:rPr lang="fr-FR" sz="1050">
              <a:effectLst/>
            </a:rPr>
            <a:t> </a:t>
          </a:r>
          <a:r>
            <a:rPr lang="fr-FR" sz="1050" b="0" i="0" u="none" strike="noStrike">
              <a:solidFill>
                <a:schemeClr val="dk1"/>
              </a:solidFill>
              <a:effectLst/>
              <a:latin typeface="+mn-lt"/>
              <a:ea typeface="+mn-ea"/>
              <a:cs typeface="+mn-cs"/>
            </a:rPr>
            <a:t>Formation</a:t>
          </a:r>
          <a:r>
            <a:rPr lang="fr-FR" sz="1050">
              <a:effectLst/>
            </a:rPr>
            <a:t> </a:t>
          </a:r>
        </a:p>
        <a:p>
          <a:r>
            <a:rPr lang="fr-FR" sz="1050" b="1" i="0" u="none" strike="noStrike">
              <a:solidFill>
                <a:schemeClr val="dk1"/>
              </a:solidFill>
              <a:effectLst/>
              <a:latin typeface="+mn-lt"/>
              <a:ea typeface="+mn-ea"/>
              <a:cs typeface="+mn-cs"/>
            </a:rPr>
            <a:t>CP</a:t>
          </a:r>
          <a:r>
            <a:rPr lang="fr-FR" sz="1050">
              <a:effectLst/>
            </a:rPr>
            <a:t> </a:t>
          </a:r>
          <a:r>
            <a:rPr lang="fr-FR" sz="1050" b="0" i="0" u="none" strike="noStrike">
              <a:solidFill>
                <a:schemeClr val="dk1"/>
              </a:solidFill>
              <a:effectLst/>
              <a:latin typeface="+mn-lt"/>
              <a:ea typeface="+mn-ea"/>
              <a:cs typeface="+mn-cs"/>
            </a:rPr>
            <a:t>Congés</a:t>
          </a:r>
          <a:r>
            <a:rPr lang="fr-FR" sz="1050">
              <a:effectLst/>
            </a:rPr>
            <a:t> </a:t>
          </a:r>
        </a:p>
        <a:p>
          <a:r>
            <a:rPr lang="fr-FR" sz="1050" b="1" i="0" u="none" strike="noStrike">
              <a:solidFill>
                <a:schemeClr val="dk1"/>
              </a:solidFill>
              <a:effectLst/>
              <a:latin typeface="+mn-lt"/>
              <a:ea typeface="+mn-ea"/>
              <a:cs typeface="+mn-cs"/>
            </a:rPr>
            <a:t>R</a:t>
          </a:r>
          <a:r>
            <a:rPr lang="fr-FR" sz="1050">
              <a:effectLst/>
            </a:rPr>
            <a:t> </a:t>
          </a:r>
          <a:r>
            <a:rPr lang="fr-FR" sz="1050" b="0" i="0" u="none" strike="noStrike">
              <a:solidFill>
                <a:schemeClr val="dk1"/>
              </a:solidFill>
              <a:effectLst/>
              <a:latin typeface="+mn-lt"/>
              <a:ea typeface="+mn-ea"/>
              <a:cs typeface="+mn-cs"/>
            </a:rPr>
            <a:t>RTT</a:t>
          </a:r>
          <a:r>
            <a:rPr lang="fr-FR" sz="1050">
              <a:effectLst/>
            </a:rPr>
            <a:t> </a:t>
          </a:r>
        </a:p>
        <a:p>
          <a:r>
            <a:rPr lang="fr-FR" sz="1050" b="1" i="0" u="none" strike="noStrike">
              <a:solidFill>
                <a:schemeClr val="dk1"/>
              </a:solidFill>
              <a:effectLst/>
              <a:latin typeface="+mn-lt"/>
              <a:ea typeface="+mn-ea"/>
              <a:cs typeface="+mn-cs"/>
            </a:rPr>
            <a:t>P</a:t>
          </a:r>
          <a:r>
            <a:rPr lang="fr-FR" sz="1050">
              <a:effectLst/>
            </a:rPr>
            <a:t> </a:t>
          </a:r>
          <a:r>
            <a:rPr lang="fr-FR" sz="1050" b="0" i="0" u="none" strike="noStrike">
              <a:solidFill>
                <a:schemeClr val="dk1"/>
              </a:solidFill>
              <a:effectLst/>
              <a:latin typeface="+mn-lt"/>
              <a:ea typeface="+mn-ea"/>
              <a:cs typeface="+mn-cs"/>
            </a:rPr>
            <a:t>Préparation</a:t>
          </a:r>
          <a:r>
            <a:rPr lang="fr-FR" sz="1050">
              <a:effectLst/>
            </a:rPr>
            <a:t> </a:t>
          </a:r>
        </a:p>
        <a:p>
          <a:r>
            <a:rPr lang="fr-FR" sz="1050" b="1" i="0" u="none" strike="noStrike">
              <a:solidFill>
                <a:schemeClr val="dk1"/>
              </a:solidFill>
              <a:effectLst/>
              <a:latin typeface="+mn-lt"/>
              <a:ea typeface="+mn-ea"/>
              <a:cs typeface="+mn-cs"/>
            </a:rPr>
            <a:t>AC</a:t>
          </a:r>
          <a:r>
            <a:rPr lang="fr-FR" sz="1050">
              <a:effectLst/>
            </a:rPr>
            <a:t> </a:t>
          </a:r>
          <a:r>
            <a:rPr lang="fr-FR" sz="1050" b="0" i="0" u="none" strike="noStrike">
              <a:solidFill>
                <a:schemeClr val="dk1"/>
              </a:solidFill>
              <a:effectLst/>
              <a:latin typeface="+mn-lt"/>
              <a:ea typeface="+mn-ea"/>
              <a:cs typeface="+mn-cs"/>
            </a:rPr>
            <a:t>Arrêt chantier</a:t>
          </a:r>
          <a:r>
            <a:rPr lang="fr-FR" sz="1050">
              <a:effectLst/>
            </a:rPr>
            <a:t> </a:t>
          </a:r>
        </a:p>
        <a:p>
          <a:r>
            <a:rPr lang="fr-FR" sz="1050" b="1">
              <a:effectLst/>
            </a:rPr>
            <a:t>AM</a:t>
          </a:r>
          <a:r>
            <a:rPr lang="fr-FR" sz="1050" baseline="0">
              <a:effectLst/>
            </a:rPr>
            <a:t> : Arrêt Maladie </a:t>
          </a:r>
          <a:endParaRPr lang="fr-FR" sz="105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112059</xdr:colOff>
      <xdr:row>0</xdr:row>
      <xdr:rowOff>33618</xdr:rowOff>
    </xdr:from>
    <xdr:to>
      <xdr:col>0</xdr:col>
      <xdr:colOff>644450</xdr:colOff>
      <xdr:row>0</xdr:row>
      <xdr:rowOff>565720</xdr:rowOff>
    </xdr:to>
    <xdr:pic>
      <xdr:nvPicPr>
        <xdr:cNvPr id="2" name="Graphique 1" descr="Travail à domicile avec un remplissage uni">
          <a:hlinkClick xmlns:r="http://schemas.openxmlformats.org/officeDocument/2006/relationships" r:id="rId1"/>
          <a:extLst>
            <a:ext uri="{FF2B5EF4-FFF2-40B4-BE49-F238E27FC236}">
              <a16:creationId xmlns:a16="http://schemas.microsoft.com/office/drawing/2014/main" id="{BC4F0C7D-B667-4C36-AD39-E3449E51E50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2059" y="31713"/>
          <a:ext cx="522866" cy="5206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0</xdr:col>
      <xdr:colOff>642881</xdr:colOff>
      <xdr:row>0</xdr:row>
      <xdr:rowOff>568297</xdr:rowOff>
    </xdr:to>
    <xdr:pic>
      <xdr:nvPicPr>
        <xdr:cNvPr id="2" name="Graphique 1" descr="Travail à domicile avec un remplissage uni">
          <a:hlinkClick xmlns:r="http://schemas.openxmlformats.org/officeDocument/2006/relationships" r:id="rId1"/>
          <a:extLst>
            <a:ext uri="{FF2B5EF4-FFF2-40B4-BE49-F238E27FC236}">
              <a16:creationId xmlns:a16="http://schemas.microsoft.com/office/drawing/2014/main" id="{A944831B-B92F-4C4B-8F52-12D6EC08E42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775" y="47625"/>
          <a:ext cx="520961" cy="5168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91062</xdr:colOff>
      <xdr:row>0</xdr:row>
      <xdr:rowOff>231827</xdr:rowOff>
    </xdr:from>
    <xdr:to>
      <xdr:col>0</xdr:col>
      <xdr:colOff>720985</xdr:colOff>
      <xdr:row>0</xdr:row>
      <xdr:rowOff>873094</xdr:rowOff>
    </xdr:to>
    <xdr:pic>
      <xdr:nvPicPr>
        <xdr:cNvPr id="31" name="Graphique 1" descr="Travail à domicile avec un remplissage uni">
          <a:hlinkClick xmlns:r="http://schemas.openxmlformats.org/officeDocument/2006/relationships" r:id="rId1"/>
          <a:extLst>
            <a:ext uri="{FF2B5EF4-FFF2-40B4-BE49-F238E27FC236}">
              <a16:creationId xmlns:a16="http://schemas.microsoft.com/office/drawing/2014/main" id="{BCC46B9F-D917-479C-B650-4D584DC158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062" y="231827"/>
          <a:ext cx="629923" cy="618407"/>
        </a:xfrm>
        <a:prstGeom prst="rect">
          <a:avLst/>
        </a:prstGeom>
      </xdr:spPr>
    </xdr:pic>
    <xdr:clientData/>
  </xdr:twoCellAnchor>
  <xdr:twoCellAnchor>
    <xdr:from>
      <xdr:col>4</xdr:col>
      <xdr:colOff>79580</xdr:colOff>
      <xdr:row>0</xdr:row>
      <xdr:rowOff>55553</xdr:rowOff>
    </xdr:from>
    <xdr:to>
      <xdr:col>8</xdr:col>
      <xdr:colOff>294912</xdr:colOff>
      <xdr:row>0</xdr:row>
      <xdr:rowOff>1040130</xdr:rowOff>
    </xdr:to>
    <xdr:sp macro="" textlink="">
      <xdr:nvSpPr>
        <xdr:cNvPr id="38" name="ZoneTexte 2">
          <a:extLst>
            <a:ext uri="{FF2B5EF4-FFF2-40B4-BE49-F238E27FC236}">
              <a16:creationId xmlns:a16="http://schemas.microsoft.com/office/drawing/2014/main" id="{1152F227-13A8-4852-BB97-8C6749885D68}"/>
            </a:ext>
          </a:extLst>
        </xdr:cNvPr>
        <xdr:cNvSpPr txBox="1"/>
      </xdr:nvSpPr>
      <xdr:spPr>
        <a:xfrm>
          <a:off x="5946980" y="55553"/>
          <a:ext cx="1463107"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36</xdr:col>
      <xdr:colOff>33618</xdr:colOff>
      <xdr:row>0</xdr:row>
      <xdr:rowOff>22412</xdr:rowOff>
    </xdr:from>
    <xdr:to>
      <xdr:col>41</xdr:col>
      <xdr:colOff>4102</xdr:colOff>
      <xdr:row>0</xdr:row>
      <xdr:rowOff>1006989</xdr:rowOff>
    </xdr:to>
    <xdr:sp macro="" textlink="">
      <xdr:nvSpPr>
        <xdr:cNvPr id="2" name="ZoneTexte 2">
          <a:extLst>
            <a:ext uri="{FF2B5EF4-FFF2-40B4-BE49-F238E27FC236}">
              <a16:creationId xmlns:a16="http://schemas.microsoft.com/office/drawing/2014/main" id="{46A9A7E2-8A11-44E1-B3D9-5994D2B69A03}"/>
            </a:ext>
          </a:extLst>
        </xdr:cNvPr>
        <xdr:cNvSpPr txBox="1"/>
      </xdr:nvSpPr>
      <xdr:spPr>
        <a:xfrm>
          <a:off x="15116736" y="22412"/>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63</xdr:col>
      <xdr:colOff>33618</xdr:colOff>
      <xdr:row>0</xdr:row>
      <xdr:rowOff>44823</xdr:rowOff>
    </xdr:from>
    <xdr:to>
      <xdr:col>68</xdr:col>
      <xdr:colOff>4101</xdr:colOff>
      <xdr:row>0</xdr:row>
      <xdr:rowOff>1029400</xdr:rowOff>
    </xdr:to>
    <xdr:sp macro="" textlink="">
      <xdr:nvSpPr>
        <xdr:cNvPr id="14" name="ZoneTexte 2">
          <a:extLst>
            <a:ext uri="{FF2B5EF4-FFF2-40B4-BE49-F238E27FC236}">
              <a16:creationId xmlns:a16="http://schemas.microsoft.com/office/drawing/2014/main" id="{85DA6EB0-64A1-46E6-8BDA-B43CCBC5C111}"/>
            </a:ext>
          </a:extLst>
        </xdr:cNvPr>
        <xdr:cNvSpPr txBox="1"/>
      </xdr:nvSpPr>
      <xdr:spPr>
        <a:xfrm>
          <a:off x="22983265" y="44823"/>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94</xdr:col>
      <xdr:colOff>280147</xdr:colOff>
      <xdr:row>0</xdr:row>
      <xdr:rowOff>22412</xdr:rowOff>
    </xdr:from>
    <xdr:to>
      <xdr:col>99</xdr:col>
      <xdr:colOff>250630</xdr:colOff>
      <xdr:row>0</xdr:row>
      <xdr:rowOff>1006989</xdr:rowOff>
    </xdr:to>
    <xdr:sp macro="" textlink="">
      <xdr:nvSpPr>
        <xdr:cNvPr id="4" name="ZoneTexte 2">
          <a:extLst>
            <a:ext uri="{FF2B5EF4-FFF2-40B4-BE49-F238E27FC236}">
              <a16:creationId xmlns:a16="http://schemas.microsoft.com/office/drawing/2014/main" id="{ED440BEF-4DB7-4819-83F0-72EEFB3CE29D}"/>
            </a:ext>
          </a:extLst>
        </xdr:cNvPr>
        <xdr:cNvSpPr txBox="1"/>
      </xdr:nvSpPr>
      <xdr:spPr>
        <a:xfrm>
          <a:off x="32261735" y="22412"/>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126</xdr:col>
      <xdr:colOff>22412</xdr:colOff>
      <xdr:row>0</xdr:row>
      <xdr:rowOff>33618</xdr:rowOff>
    </xdr:from>
    <xdr:to>
      <xdr:col>130</xdr:col>
      <xdr:colOff>284248</xdr:colOff>
      <xdr:row>0</xdr:row>
      <xdr:rowOff>1018195</xdr:rowOff>
    </xdr:to>
    <xdr:sp macro="" textlink="">
      <xdr:nvSpPr>
        <xdr:cNvPr id="5" name="ZoneTexte 2">
          <a:extLst>
            <a:ext uri="{FF2B5EF4-FFF2-40B4-BE49-F238E27FC236}">
              <a16:creationId xmlns:a16="http://schemas.microsoft.com/office/drawing/2014/main" id="{D2E03C55-031D-47C5-8891-0C3A2C27D67D}"/>
            </a:ext>
          </a:extLst>
        </xdr:cNvPr>
        <xdr:cNvSpPr txBox="1"/>
      </xdr:nvSpPr>
      <xdr:spPr>
        <a:xfrm>
          <a:off x="41327294" y="33618"/>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156</xdr:col>
      <xdr:colOff>0</xdr:colOff>
      <xdr:row>0</xdr:row>
      <xdr:rowOff>33618</xdr:rowOff>
    </xdr:from>
    <xdr:to>
      <xdr:col>160</xdr:col>
      <xdr:colOff>261837</xdr:colOff>
      <xdr:row>0</xdr:row>
      <xdr:rowOff>1018195</xdr:rowOff>
    </xdr:to>
    <xdr:sp macro="" textlink="">
      <xdr:nvSpPr>
        <xdr:cNvPr id="6" name="ZoneTexte 2">
          <a:extLst>
            <a:ext uri="{FF2B5EF4-FFF2-40B4-BE49-F238E27FC236}">
              <a16:creationId xmlns:a16="http://schemas.microsoft.com/office/drawing/2014/main" id="{F20B100F-4FF1-42A5-B255-2A1D124C41D8}"/>
            </a:ext>
          </a:extLst>
        </xdr:cNvPr>
        <xdr:cNvSpPr txBox="1"/>
      </xdr:nvSpPr>
      <xdr:spPr>
        <a:xfrm>
          <a:off x="50045471" y="33618"/>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186</xdr:col>
      <xdr:colOff>22412</xdr:colOff>
      <xdr:row>0</xdr:row>
      <xdr:rowOff>33618</xdr:rowOff>
    </xdr:from>
    <xdr:to>
      <xdr:col>190</xdr:col>
      <xdr:colOff>284248</xdr:colOff>
      <xdr:row>0</xdr:row>
      <xdr:rowOff>1018195</xdr:rowOff>
    </xdr:to>
    <xdr:sp macro="" textlink="">
      <xdr:nvSpPr>
        <xdr:cNvPr id="7" name="ZoneTexte 2">
          <a:extLst>
            <a:ext uri="{FF2B5EF4-FFF2-40B4-BE49-F238E27FC236}">
              <a16:creationId xmlns:a16="http://schemas.microsoft.com/office/drawing/2014/main" id="{3B04CDFB-3A6B-4B27-BBAC-E85A9D19EBA6}"/>
            </a:ext>
          </a:extLst>
        </xdr:cNvPr>
        <xdr:cNvSpPr txBox="1"/>
      </xdr:nvSpPr>
      <xdr:spPr>
        <a:xfrm>
          <a:off x="58808471" y="33618"/>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217</xdr:col>
      <xdr:colOff>44823</xdr:colOff>
      <xdr:row>0</xdr:row>
      <xdr:rowOff>33617</xdr:rowOff>
    </xdr:from>
    <xdr:to>
      <xdr:col>222</xdr:col>
      <xdr:colOff>15306</xdr:colOff>
      <xdr:row>0</xdr:row>
      <xdr:rowOff>1018194</xdr:rowOff>
    </xdr:to>
    <xdr:sp macro="" textlink="">
      <xdr:nvSpPr>
        <xdr:cNvPr id="8" name="ZoneTexte 2">
          <a:extLst>
            <a:ext uri="{FF2B5EF4-FFF2-40B4-BE49-F238E27FC236}">
              <a16:creationId xmlns:a16="http://schemas.microsoft.com/office/drawing/2014/main" id="{FA1A0031-D1FB-40AF-9DB0-3A6449DFB12D}"/>
            </a:ext>
          </a:extLst>
        </xdr:cNvPr>
        <xdr:cNvSpPr txBox="1"/>
      </xdr:nvSpPr>
      <xdr:spPr>
        <a:xfrm>
          <a:off x="67862823" y="33617"/>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248</xdr:col>
      <xdr:colOff>123265</xdr:colOff>
      <xdr:row>0</xdr:row>
      <xdr:rowOff>44823</xdr:rowOff>
    </xdr:from>
    <xdr:to>
      <xdr:col>253</xdr:col>
      <xdr:colOff>93748</xdr:colOff>
      <xdr:row>0</xdr:row>
      <xdr:rowOff>1029400</xdr:rowOff>
    </xdr:to>
    <xdr:sp macro="" textlink="">
      <xdr:nvSpPr>
        <xdr:cNvPr id="9" name="ZoneTexte 2">
          <a:extLst>
            <a:ext uri="{FF2B5EF4-FFF2-40B4-BE49-F238E27FC236}">
              <a16:creationId xmlns:a16="http://schemas.microsoft.com/office/drawing/2014/main" id="{071B033E-8E36-4F4A-ADD8-8700812EE1E1}"/>
            </a:ext>
          </a:extLst>
        </xdr:cNvPr>
        <xdr:cNvSpPr txBox="1"/>
      </xdr:nvSpPr>
      <xdr:spPr>
        <a:xfrm>
          <a:off x="76973206" y="44823"/>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278</xdr:col>
      <xdr:colOff>67236</xdr:colOff>
      <xdr:row>0</xdr:row>
      <xdr:rowOff>33617</xdr:rowOff>
    </xdr:from>
    <xdr:to>
      <xdr:col>283</xdr:col>
      <xdr:colOff>37719</xdr:colOff>
      <xdr:row>0</xdr:row>
      <xdr:rowOff>1018194</xdr:rowOff>
    </xdr:to>
    <xdr:sp macro="" textlink="">
      <xdr:nvSpPr>
        <xdr:cNvPr id="10" name="ZoneTexte 2">
          <a:extLst>
            <a:ext uri="{FF2B5EF4-FFF2-40B4-BE49-F238E27FC236}">
              <a16:creationId xmlns:a16="http://schemas.microsoft.com/office/drawing/2014/main" id="{BBDE6CA4-7156-4BD9-9FC6-2075EFAAB058}"/>
            </a:ext>
          </a:extLst>
        </xdr:cNvPr>
        <xdr:cNvSpPr txBox="1"/>
      </xdr:nvSpPr>
      <xdr:spPr>
        <a:xfrm>
          <a:off x="85657765" y="33617"/>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310</xdr:col>
      <xdr:colOff>0</xdr:colOff>
      <xdr:row>0</xdr:row>
      <xdr:rowOff>33618</xdr:rowOff>
    </xdr:from>
    <xdr:to>
      <xdr:col>314</xdr:col>
      <xdr:colOff>261837</xdr:colOff>
      <xdr:row>0</xdr:row>
      <xdr:rowOff>1018195</xdr:rowOff>
    </xdr:to>
    <xdr:sp macro="" textlink="">
      <xdr:nvSpPr>
        <xdr:cNvPr id="11" name="ZoneTexte 2">
          <a:extLst>
            <a:ext uri="{FF2B5EF4-FFF2-40B4-BE49-F238E27FC236}">
              <a16:creationId xmlns:a16="http://schemas.microsoft.com/office/drawing/2014/main" id="{CED4152A-C266-4E43-AC99-5CE98E243ABB}"/>
            </a:ext>
          </a:extLst>
        </xdr:cNvPr>
        <xdr:cNvSpPr txBox="1"/>
      </xdr:nvSpPr>
      <xdr:spPr>
        <a:xfrm>
          <a:off x="94913824" y="33618"/>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twoCellAnchor>
    <xdr:from>
      <xdr:col>339</xdr:col>
      <xdr:colOff>78441</xdr:colOff>
      <xdr:row>0</xdr:row>
      <xdr:rowOff>33617</xdr:rowOff>
    </xdr:from>
    <xdr:to>
      <xdr:col>344</xdr:col>
      <xdr:colOff>48924</xdr:colOff>
      <xdr:row>0</xdr:row>
      <xdr:rowOff>1018194</xdr:rowOff>
    </xdr:to>
    <xdr:sp macro="" textlink="">
      <xdr:nvSpPr>
        <xdr:cNvPr id="12" name="ZoneTexte 2">
          <a:extLst>
            <a:ext uri="{FF2B5EF4-FFF2-40B4-BE49-F238E27FC236}">
              <a16:creationId xmlns:a16="http://schemas.microsoft.com/office/drawing/2014/main" id="{80AA4F7E-E9CB-4A17-8E2B-99A8EAD7A19B}"/>
            </a:ext>
          </a:extLst>
        </xdr:cNvPr>
        <xdr:cNvSpPr txBox="1"/>
      </xdr:nvSpPr>
      <xdr:spPr>
        <a:xfrm>
          <a:off x="103441500" y="33617"/>
          <a:ext cx="1427248" cy="98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00" b="1" u="sng"/>
            <a:t>Légende : </a:t>
          </a:r>
        </a:p>
        <a:p>
          <a:r>
            <a:rPr lang="fr-FR" sz="700" b="1" i="0" u="none" strike="noStrike">
              <a:solidFill>
                <a:schemeClr val="dk1"/>
              </a:solidFill>
              <a:effectLst/>
              <a:latin typeface="+mn-lt"/>
              <a:ea typeface="+mn-ea"/>
              <a:cs typeface="+mn-cs"/>
            </a:rPr>
            <a:t>I</a:t>
          </a:r>
          <a:r>
            <a:rPr lang="fr-FR" sz="700">
              <a:effectLst/>
            </a:rPr>
            <a:t> </a:t>
          </a:r>
          <a:r>
            <a:rPr lang="fr-FR" sz="700" b="0" i="0" u="none" strike="noStrike">
              <a:solidFill>
                <a:schemeClr val="dk1"/>
              </a:solidFill>
              <a:effectLst/>
              <a:latin typeface="+mn-lt"/>
              <a:ea typeface="+mn-ea"/>
              <a:cs typeface="+mn-cs"/>
            </a:rPr>
            <a:t>Intempérie</a:t>
          </a:r>
          <a:r>
            <a:rPr lang="fr-FR" sz="700">
              <a:effectLst/>
            </a:rPr>
            <a:t> </a:t>
          </a:r>
        </a:p>
        <a:p>
          <a:r>
            <a:rPr lang="fr-FR" sz="700" b="1" i="0" u="none" strike="noStrike">
              <a:solidFill>
                <a:schemeClr val="dk1"/>
              </a:solidFill>
              <a:effectLst/>
              <a:latin typeface="+mn-lt"/>
              <a:ea typeface="+mn-ea"/>
              <a:cs typeface="+mn-cs"/>
            </a:rPr>
            <a:t>F</a:t>
          </a:r>
          <a:r>
            <a:rPr lang="fr-FR" sz="700">
              <a:effectLst/>
            </a:rPr>
            <a:t> </a:t>
          </a:r>
          <a:r>
            <a:rPr lang="fr-FR" sz="700" b="0" i="0" u="none" strike="noStrike">
              <a:solidFill>
                <a:schemeClr val="dk1"/>
              </a:solidFill>
              <a:effectLst/>
              <a:latin typeface="+mn-lt"/>
              <a:ea typeface="+mn-ea"/>
              <a:cs typeface="+mn-cs"/>
            </a:rPr>
            <a:t>Formation</a:t>
          </a:r>
          <a:r>
            <a:rPr lang="fr-FR" sz="700">
              <a:effectLst/>
            </a:rPr>
            <a:t> </a:t>
          </a:r>
        </a:p>
        <a:p>
          <a:r>
            <a:rPr lang="fr-FR" sz="700" b="1" i="0" u="none" strike="noStrike">
              <a:solidFill>
                <a:schemeClr val="dk1"/>
              </a:solidFill>
              <a:effectLst/>
              <a:latin typeface="+mn-lt"/>
              <a:ea typeface="+mn-ea"/>
              <a:cs typeface="+mn-cs"/>
            </a:rPr>
            <a:t>CP</a:t>
          </a:r>
          <a:r>
            <a:rPr lang="fr-FR" sz="700">
              <a:effectLst/>
            </a:rPr>
            <a:t> </a:t>
          </a:r>
          <a:r>
            <a:rPr lang="fr-FR" sz="700" b="0" i="0" u="none" strike="noStrike">
              <a:solidFill>
                <a:schemeClr val="dk1"/>
              </a:solidFill>
              <a:effectLst/>
              <a:latin typeface="+mn-lt"/>
              <a:ea typeface="+mn-ea"/>
              <a:cs typeface="+mn-cs"/>
            </a:rPr>
            <a:t>Congés</a:t>
          </a:r>
          <a:r>
            <a:rPr lang="fr-FR" sz="700">
              <a:effectLst/>
            </a:rPr>
            <a:t> </a:t>
          </a:r>
        </a:p>
        <a:p>
          <a:r>
            <a:rPr lang="fr-FR" sz="700" b="1" i="0" u="none" strike="noStrike">
              <a:solidFill>
                <a:schemeClr val="dk1"/>
              </a:solidFill>
              <a:effectLst/>
              <a:latin typeface="+mn-lt"/>
              <a:ea typeface="+mn-ea"/>
              <a:cs typeface="+mn-cs"/>
            </a:rPr>
            <a:t>R</a:t>
          </a:r>
          <a:r>
            <a:rPr lang="fr-FR" sz="700">
              <a:effectLst/>
            </a:rPr>
            <a:t> </a:t>
          </a:r>
          <a:r>
            <a:rPr lang="fr-FR" sz="700" b="0" i="0" u="none" strike="noStrike">
              <a:solidFill>
                <a:schemeClr val="dk1"/>
              </a:solidFill>
              <a:effectLst/>
              <a:latin typeface="+mn-lt"/>
              <a:ea typeface="+mn-ea"/>
              <a:cs typeface="+mn-cs"/>
            </a:rPr>
            <a:t>RTT</a:t>
          </a:r>
          <a:r>
            <a:rPr lang="fr-FR" sz="700">
              <a:effectLst/>
            </a:rPr>
            <a:t> </a:t>
          </a:r>
        </a:p>
        <a:p>
          <a:r>
            <a:rPr lang="fr-FR" sz="700" b="1" i="0" u="none" strike="noStrike">
              <a:solidFill>
                <a:schemeClr val="dk1"/>
              </a:solidFill>
              <a:effectLst/>
              <a:latin typeface="+mn-lt"/>
              <a:ea typeface="+mn-ea"/>
              <a:cs typeface="+mn-cs"/>
            </a:rPr>
            <a:t>P</a:t>
          </a:r>
          <a:r>
            <a:rPr lang="fr-FR" sz="700">
              <a:effectLst/>
            </a:rPr>
            <a:t> </a:t>
          </a:r>
          <a:r>
            <a:rPr lang="fr-FR" sz="700" b="0" i="0" u="none" strike="noStrike">
              <a:solidFill>
                <a:schemeClr val="dk1"/>
              </a:solidFill>
              <a:effectLst/>
              <a:latin typeface="+mn-lt"/>
              <a:ea typeface="+mn-ea"/>
              <a:cs typeface="+mn-cs"/>
            </a:rPr>
            <a:t>Préparation</a:t>
          </a:r>
          <a:r>
            <a:rPr lang="fr-FR" sz="700">
              <a:effectLst/>
            </a:rPr>
            <a:t> </a:t>
          </a:r>
        </a:p>
        <a:p>
          <a:r>
            <a:rPr lang="fr-FR" sz="700" b="1" i="0" u="none" strike="noStrike">
              <a:solidFill>
                <a:schemeClr val="dk1"/>
              </a:solidFill>
              <a:effectLst/>
              <a:latin typeface="+mn-lt"/>
              <a:ea typeface="+mn-ea"/>
              <a:cs typeface="+mn-cs"/>
            </a:rPr>
            <a:t>AC</a:t>
          </a:r>
          <a:r>
            <a:rPr lang="fr-FR" sz="700">
              <a:effectLst/>
            </a:rPr>
            <a:t> </a:t>
          </a:r>
          <a:r>
            <a:rPr lang="fr-FR" sz="700" b="0" i="0" u="none" strike="noStrike">
              <a:solidFill>
                <a:schemeClr val="dk1"/>
              </a:solidFill>
              <a:effectLst/>
              <a:latin typeface="+mn-lt"/>
              <a:ea typeface="+mn-ea"/>
              <a:cs typeface="+mn-cs"/>
            </a:rPr>
            <a:t>Arrêt chantier</a:t>
          </a:r>
          <a:r>
            <a:rPr lang="fr-FR" sz="700">
              <a:effectLst/>
            </a:rPr>
            <a:t> </a:t>
          </a:r>
        </a:p>
        <a:p>
          <a:r>
            <a:rPr lang="fr-FR" sz="700" b="1">
              <a:effectLst/>
            </a:rPr>
            <a:t>AM</a:t>
          </a:r>
          <a:r>
            <a:rPr lang="fr-FR" sz="700" baseline="0">
              <a:effectLst/>
            </a:rPr>
            <a:t> : Arrêt Maladie </a:t>
          </a:r>
          <a:endParaRPr lang="fr-FR" sz="7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134736</xdr:colOff>
      <xdr:row>0</xdr:row>
      <xdr:rowOff>24938</xdr:rowOff>
    </xdr:from>
    <xdr:to>
      <xdr:col>0</xdr:col>
      <xdr:colOff>644267</xdr:colOff>
      <xdr:row>0</xdr:row>
      <xdr:rowOff>568470</xdr:rowOff>
    </xdr:to>
    <xdr:pic>
      <xdr:nvPicPr>
        <xdr:cNvPr id="3" name="Graphique 2" descr="Travail à domicile avec un remplissage uni">
          <a:hlinkClick xmlns:r="http://schemas.openxmlformats.org/officeDocument/2006/relationships" r:id="rId1"/>
          <a:extLst>
            <a:ext uri="{FF2B5EF4-FFF2-40B4-BE49-F238E27FC236}">
              <a16:creationId xmlns:a16="http://schemas.microsoft.com/office/drawing/2014/main" id="{130494D9-2646-4BA9-8030-36045B34A1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4736" y="24938"/>
          <a:ext cx="509531" cy="5149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168087</xdr:colOff>
      <xdr:row>0</xdr:row>
      <xdr:rowOff>33618</xdr:rowOff>
    </xdr:from>
    <xdr:to>
      <xdr:col>1</xdr:col>
      <xdr:colOff>679523</xdr:colOff>
      <xdr:row>0</xdr:row>
      <xdr:rowOff>565720</xdr:rowOff>
    </xdr:to>
    <xdr:pic>
      <xdr:nvPicPr>
        <xdr:cNvPr id="2" name="Graphique 1" descr="Travail à domicile avec un remplissage uni">
          <a:hlinkClick xmlns:r="http://schemas.openxmlformats.org/officeDocument/2006/relationships" r:id="rId1"/>
          <a:extLst>
            <a:ext uri="{FF2B5EF4-FFF2-40B4-BE49-F238E27FC236}">
              <a16:creationId xmlns:a16="http://schemas.microsoft.com/office/drawing/2014/main" id="{986E3CA2-AE00-4157-B89B-7A922074D3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63705" y="33618"/>
          <a:ext cx="513341" cy="5168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682886</xdr:colOff>
      <xdr:row>0</xdr:row>
      <xdr:rowOff>570202</xdr:rowOff>
    </xdr:to>
    <xdr:pic>
      <xdr:nvPicPr>
        <xdr:cNvPr id="3" name="Graphique 3" descr="Travail à domicile avec un remplissage uni">
          <a:hlinkClick xmlns:r="http://schemas.openxmlformats.org/officeDocument/2006/relationships" r:id="rId1"/>
          <a:extLst>
            <a:ext uri="{FF2B5EF4-FFF2-40B4-BE49-F238E27FC236}">
              <a16:creationId xmlns:a16="http://schemas.microsoft.com/office/drawing/2014/main" id="{FF8FE378-296E-4A3C-9325-CC2CC8C35D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05721" cy="520672"/>
        </a:xfrm>
        <a:prstGeom prst="rect">
          <a:avLst/>
        </a:prstGeom>
      </xdr:spPr>
    </xdr:pic>
    <xdr:clientData/>
  </xdr:twoCellAnchor>
  <xdr:twoCellAnchor editAs="oneCell">
    <xdr:from>
      <xdr:col>32</xdr:col>
      <xdr:colOff>318406</xdr:colOff>
      <xdr:row>105</xdr:row>
      <xdr:rowOff>695202</xdr:rowOff>
    </xdr:from>
    <xdr:to>
      <xdr:col>44</xdr:col>
      <xdr:colOff>75418</xdr:colOff>
      <xdr:row>111</xdr:row>
      <xdr:rowOff>381814</xdr:rowOff>
    </xdr:to>
    <xdr:pic>
      <xdr:nvPicPr>
        <xdr:cNvPr id="5" name="Image 1">
          <a:extLst>
            <a:ext uri="{FF2B5EF4-FFF2-40B4-BE49-F238E27FC236}">
              <a16:creationId xmlns:a16="http://schemas.microsoft.com/office/drawing/2014/main" id="{DAA5F442-2D15-421F-BB8B-3C60BCB0526F}"/>
            </a:ext>
          </a:extLst>
        </xdr:cNvPr>
        <xdr:cNvPicPr>
          <a:picLocks noChangeAspect="1"/>
        </xdr:cNvPicPr>
      </xdr:nvPicPr>
      <xdr:blipFill>
        <a:blip xmlns:r="http://schemas.openxmlformats.org/officeDocument/2006/relationships" r:embed="rId4"/>
        <a:stretch>
          <a:fillRect/>
        </a:stretch>
      </xdr:blipFill>
      <xdr:spPr>
        <a:xfrm>
          <a:off x="35261549" y="113329688"/>
          <a:ext cx="9292898" cy="4698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122464</xdr:colOff>
      <xdr:row>0</xdr:row>
      <xdr:rowOff>40821</xdr:rowOff>
    </xdr:from>
    <xdr:to>
      <xdr:col>1</xdr:col>
      <xdr:colOff>639615</xdr:colOff>
      <xdr:row>0</xdr:row>
      <xdr:rowOff>563398</xdr:rowOff>
    </xdr:to>
    <xdr:pic>
      <xdr:nvPicPr>
        <xdr:cNvPr id="2" name="Graphique 1" descr="Travail à domicile avec un remplissage uni">
          <a:hlinkClick xmlns:r="http://schemas.openxmlformats.org/officeDocument/2006/relationships" r:id="rId1"/>
          <a:extLst>
            <a:ext uri="{FF2B5EF4-FFF2-40B4-BE49-F238E27FC236}">
              <a16:creationId xmlns:a16="http://schemas.microsoft.com/office/drawing/2014/main" id="{B6388DAE-5DC8-4644-AF7C-993273872F5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11678" y="40821"/>
          <a:ext cx="520961" cy="5168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682886</xdr:colOff>
      <xdr:row>0</xdr:row>
      <xdr:rowOff>570202</xdr:rowOff>
    </xdr:to>
    <xdr:pic>
      <xdr:nvPicPr>
        <xdr:cNvPr id="3" name="Graphique 3" descr="Travail à domicile avec un remplissage uni">
          <a:hlinkClick xmlns:r="http://schemas.openxmlformats.org/officeDocument/2006/relationships" r:id="rId1"/>
          <a:extLst>
            <a:ext uri="{FF2B5EF4-FFF2-40B4-BE49-F238E27FC236}">
              <a16:creationId xmlns:a16="http://schemas.microsoft.com/office/drawing/2014/main" id="{912F0DE9-E167-47E6-87BC-380AF24FB8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682886</xdr:colOff>
      <xdr:row>0</xdr:row>
      <xdr:rowOff>570202</xdr:rowOff>
    </xdr:to>
    <xdr:pic>
      <xdr:nvPicPr>
        <xdr:cNvPr id="3" name="Graphique 3" descr="Travail à domicile avec un remplissage uni">
          <a:hlinkClick xmlns:r="http://schemas.openxmlformats.org/officeDocument/2006/relationships" r:id="rId1"/>
          <a:extLst>
            <a:ext uri="{FF2B5EF4-FFF2-40B4-BE49-F238E27FC236}">
              <a16:creationId xmlns:a16="http://schemas.microsoft.com/office/drawing/2014/main" id="{EA4547E3-4D2F-4A02-ABB9-78CB11BAC53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667646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B280A718-D317-4FFE-B178-335C6BB64A8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152400</xdr:colOff>
      <xdr:row>0</xdr:row>
      <xdr:rowOff>38100</xdr:rowOff>
    </xdr:from>
    <xdr:to>
      <xdr:col>0</xdr:col>
      <xdr:colOff>682886</xdr:colOff>
      <xdr:row>0</xdr:row>
      <xdr:rowOff>568297</xdr:rowOff>
    </xdr:to>
    <xdr:pic>
      <xdr:nvPicPr>
        <xdr:cNvPr id="2" name="Graphique 1" descr="Travail à domicile avec un remplissage uni">
          <a:hlinkClick xmlns:r="http://schemas.openxmlformats.org/officeDocument/2006/relationships" r:id="rId1"/>
          <a:extLst>
            <a:ext uri="{FF2B5EF4-FFF2-40B4-BE49-F238E27FC236}">
              <a16:creationId xmlns:a16="http://schemas.microsoft.com/office/drawing/2014/main" id="{B84DDD50-6863-424F-83CC-B58BD8AD8F7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0" y="38100"/>
          <a:ext cx="520961" cy="5168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682886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9E6C754B-4C96-4445-916E-53CF74ED8F3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68037</xdr:colOff>
      <xdr:row>0</xdr:row>
      <xdr:rowOff>49530</xdr:rowOff>
    </xdr:from>
    <xdr:to>
      <xdr:col>0</xdr:col>
      <xdr:colOff>682887</xdr:colOff>
      <xdr:row>0</xdr:row>
      <xdr:rowOff>667839</xdr:rowOff>
    </xdr:to>
    <xdr:pic>
      <xdr:nvPicPr>
        <xdr:cNvPr id="7" name="Graphique 3" descr="Travail à domicile avec un remplissage uni">
          <a:hlinkClick xmlns:r="http://schemas.openxmlformats.org/officeDocument/2006/relationships" r:id="rId1"/>
          <a:extLst>
            <a:ext uri="{FF2B5EF4-FFF2-40B4-BE49-F238E27FC236}">
              <a16:creationId xmlns:a16="http://schemas.microsoft.com/office/drawing/2014/main" id="{779C185B-EB0C-49ED-A305-5F1878CBE0C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37" y="49530"/>
          <a:ext cx="614850" cy="60361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667646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681C7784-D7B2-4C70-BA16-DDFF29F1840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675266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07341A00-65EC-43D3-8010-783B706EDF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667646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0CE3F29A-98D4-4258-A9D7-0A48587B47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154305</xdr:colOff>
      <xdr:row>0</xdr:row>
      <xdr:rowOff>49530</xdr:rowOff>
    </xdr:from>
    <xdr:to>
      <xdr:col>0</xdr:col>
      <xdr:colOff>667646</xdr:colOff>
      <xdr:row>0</xdr:row>
      <xdr:rowOff>570202</xdr:rowOff>
    </xdr:to>
    <xdr:pic>
      <xdr:nvPicPr>
        <xdr:cNvPr id="2" name="Graphique 3" descr="Travail à domicile avec un remplissage uni">
          <a:hlinkClick xmlns:r="http://schemas.openxmlformats.org/officeDocument/2006/relationships" r:id="rId1"/>
          <a:extLst>
            <a:ext uri="{FF2B5EF4-FFF2-40B4-BE49-F238E27FC236}">
              <a16:creationId xmlns:a16="http://schemas.microsoft.com/office/drawing/2014/main" id="{BCD3F084-5C5C-41A6-B955-4DEDD37D9C2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305" y="49530"/>
          <a:ext cx="513341" cy="52067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477339</xdr:colOff>
      <xdr:row>7</xdr:row>
      <xdr:rowOff>57150</xdr:rowOff>
    </xdr:from>
    <xdr:to>
      <xdr:col>23</xdr:col>
      <xdr:colOff>619124</xdr:colOff>
      <xdr:row>31</xdr:row>
      <xdr:rowOff>95250</xdr:rowOff>
    </xdr:to>
    <xdr:graphicFrame macro="">
      <xdr:nvGraphicFramePr>
        <xdr:cNvPr id="6" name="Graphique 5">
          <a:extLst>
            <a:ext uri="{FF2B5EF4-FFF2-40B4-BE49-F238E27FC236}">
              <a16:creationId xmlns:a16="http://schemas.microsoft.com/office/drawing/2014/main" id="{1987266D-E096-448A-88D8-89DB6E1D9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715584</xdr:colOff>
      <xdr:row>33</xdr:row>
      <xdr:rowOff>134888</xdr:rowOff>
    </xdr:from>
    <xdr:to>
      <xdr:col>23</xdr:col>
      <xdr:colOff>721179</xdr:colOff>
      <xdr:row>56</xdr:row>
      <xdr:rowOff>0</xdr:rowOff>
    </xdr:to>
    <xdr:graphicFrame macro="">
      <xdr:nvGraphicFramePr>
        <xdr:cNvPr id="13" name="Graphique 2">
          <a:extLst>
            <a:ext uri="{FF2B5EF4-FFF2-40B4-BE49-F238E27FC236}">
              <a16:creationId xmlns:a16="http://schemas.microsoft.com/office/drawing/2014/main" id="{E316B752-955D-4669-9945-78DA8561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712470</xdr:colOff>
      <xdr:row>85</xdr:row>
      <xdr:rowOff>129540</xdr:rowOff>
    </xdr:from>
    <xdr:to>
      <xdr:col>23</xdr:col>
      <xdr:colOff>739588</xdr:colOff>
      <xdr:row>108</xdr:row>
      <xdr:rowOff>156882</xdr:rowOff>
    </xdr:to>
    <xdr:graphicFrame macro="">
      <xdr:nvGraphicFramePr>
        <xdr:cNvPr id="5" name="Graphique 4">
          <a:extLst>
            <a:ext uri="{FF2B5EF4-FFF2-40B4-BE49-F238E27FC236}">
              <a16:creationId xmlns:a16="http://schemas.microsoft.com/office/drawing/2014/main" id="{DFC142BD-CBCB-456F-9378-2D6219A2E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111</xdr:row>
      <xdr:rowOff>173081</xdr:rowOff>
    </xdr:from>
    <xdr:to>
      <xdr:col>21</xdr:col>
      <xdr:colOff>585107</xdr:colOff>
      <xdr:row>173</xdr:row>
      <xdr:rowOff>40821</xdr:rowOff>
    </xdr:to>
    <xdr:graphicFrame macro="">
      <xdr:nvGraphicFramePr>
        <xdr:cNvPr id="7" name="Graphique 6">
          <a:extLst>
            <a:ext uri="{FF2B5EF4-FFF2-40B4-BE49-F238E27FC236}">
              <a16:creationId xmlns:a16="http://schemas.microsoft.com/office/drawing/2014/main" id="{9C5B69F8-3424-4DF4-B7C1-FFD41AE47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46335</xdr:colOff>
      <xdr:row>7</xdr:row>
      <xdr:rowOff>92633</xdr:rowOff>
    </xdr:from>
    <xdr:to>
      <xdr:col>52</xdr:col>
      <xdr:colOff>535473</xdr:colOff>
      <xdr:row>37</xdr:row>
      <xdr:rowOff>103654</xdr:rowOff>
    </xdr:to>
    <xdr:graphicFrame macro="">
      <xdr:nvGraphicFramePr>
        <xdr:cNvPr id="8" name="Graphique 1">
          <a:extLst>
            <a:ext uri="{FF2B5EF4-FFF2-40B4-BE49-F238E27FC236}">
              <a16:creationId xmlns:a16="http://schemas.microsoft.com/office/drawing/2014/main" id="{AF89CAB3-AAEC-4EE0-BC55-7DE9BFFED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95249</xdr:colOff>
      <xdr:row>38</xdr:row>
      <xdr:rowOff>47625</xdr:rowOff>
    </xdr:from>
    <xdr:to>
      <xdr:col>52</xdr:col>
      <xdr:colOff>580577</xdr:colOff>
      <xdr:row>68</xdr:row>
      <xdr:rowOff>54836</xdr:rowOff>
    </xdr:to>
    <xdr:graphicFrame macro="">
      <xdr:nvGraphicFramePr>
        <xdr:cNvPr id="2" name="Graphique 1">
          <a:extLst>
            <a:ext uri="{FF2B5EF4-FFF2-40B4-BE49-F238E27FC236}">
              <a16:creationId xmlns:a16="http://schemas.microsoft.com/office/drawing/2014/main" id="{584B704B-9D56-4FA6-B067-573133073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298219</xdr:colOff>
      <xdr:row>1</xdr:row>
      <xdr:rowOff>-1</xdr:rowOff>
    </xdr:from>
    <xdr:to>
      <xdr:col>1</xdr:col>
      <xdr:colOff>178897</xdr:colOff>
      <xdr:row>4</xdr:row>
      <xdr:rowOff>102184</xdr:rowOff>
    </xdr:to>
    <xdr:pic>
      <xdr:nvPicPr>
        <xdr:cNvPr id="14" name="Graphique 3" descr="Travail à domicile avec un remplissage uni">
          <a:hlinkClick xmlns:r="http://schemas.openxmlformats.org/officeDocument/2006/relationships" r:id="rId7"/>
          <a:extLst>
            <a:ext uri="{FF2B5EF4-FFF2-40B4-BE49-F238E27FC236}">
              <a16:creationId xmlns:a16="http://schemas.microsoft.com/office/drawing/2014/main" id="{8CBB5EB1-351A-4DCF-B8C0-DCB1F5D37EA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8219" y="173181"/>
          <a:ext cx="638868" cy="643205"/>
        </a:xfrm>
        <a:prstGeom prst="rect">
          <a:avLst/>
        </a:prstGeom>
      </xdr:spPr>
    </xdr:pic>
    <xdr:clientData/>
  </xdr:twoCellAnchor>
  <xdr:twoCellAnchor>
    <xdr:from>
      <xdr:col>25</xdr:col>
      <xdr:colOff>0</xdr:colOff>
      <xdr:row>70</xdr:row>
      <xdr:rowOff>0</xdr:rowOff>
    </xdr:from>
    <xdr:to>
      <xdr:col>52</xdr:col>
      <xdr:colOff>623455</xdr:colOff>
      <xdr:row>100</xdr:row>
      <xdr:rowOff>11021</xdr:rowOff>
    </xdr:to>
    <xdr:graphicFrame macro="">
      <xdr:nvGraphicFramePr>
        <xdr:cNvPr id="10" name="Graphique 1">
          <a:extLst>
            <a:ext uri="{FF2B5EF4-FFF2-40B4-BE49-F238E27FC236}">
              <a16:creationId xmlns:a16="http://schemas.microsoft.com/office/drawing/2014/main" id="{614C8ADD-65B7-4B78-8ACD-4A59AA775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13608</xdr:colOff>
      <xdr:row>56</xdr:row>
      <xdr:rowOff>155864</xdr:rowOff>
    </xdr:from>
    <xdr:to>
      <xdr:col>23</xdr:col>
      <xdr:colOff>693964</xdr:colOff>
      <xdr:row>84</xdr:row>
      <xdr:rowOff>121227</xdr:rowOff>
    </xdr:to>
    <xdr:graphicFrame macro="">
      <xdr:nvGraphicFramePr>
        <xdr:cNvPr id="9" name="Graphique 8">
          <a:extLst>
            <a:ext uri="{FF2B5EF4-FFF2-40B4-BE49-F238E27FC236}">
              <a16:creationId xmlns:a16="http://schemas.microsoft.com/office/drawing/2014/main" id="{1B788199-AF4C-C93F-88B9-C113B911B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ONUTTO Clément" id="{23D5510D-3AD6-459C-8E25-A7833FE365A9}" userId="S::cbonutto@nge.fr::94e6ca48-5f30-4099-ad11-9d3c54d9ce97" providerId="AD"/>
  <person displayName="BOURRUST Titouan" id="{05FAF43D-47AA-425F-977F-C20D5EDE49F0}" userId="S::tbourrust@nge.fr::09087bb9-a825-436b-993d-84ab448e0f21" providerId="AD"/>
  <person displayName="CHASSAGNOL Florian" id="{0DA91BA1-5296-4967-99E3-FD10C10B97C2}" userId="S::fchassagnol@nge.fr::95b7bce5-e210-4c41-bbaf-5b26a6ab35b1" providerId="AD"/>
  <person displayName="DUCOTTET Chloé" id="{2A913FCC-D2E3-4A37-9918-6AD119257AAC}" userId="S::cducottet@sagesrail.fr::f48431b3-17d8-44fb-92cd-8ebbc0b13c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F745C-10BA-4255-89FC-C7AD8CFA5C10}" name="ListeInventaire6" displayName="ListeInventaire6" ref="A2:AD52" totalsRowShown="0" headerRowDxfId="172" dataDxfId="170" totalsRowDxfId="168" headerRowBorderDxfId="171" tableBorderDxfId="169" totalsRowBorderDxfId="167" dataCellStyle="Normal">
  <autoFilter ref="A2:AD52" xr:uid="{D7CF745C-10BA-4255-89FC-C7AD8CFA5C10}"/>
  <sortState xmlns:xlrd2="http://schemas.microsoft.com/office/spreadsheetml/2017/richdata2" ref="A3:AD52">
    <sortCondition ref="B2:B52"/>
  </sortState>
  <tableColumns count="30">
    <tableColumn id="9" xr3:uid="{B096D70A-239D-4DFF-BA56-65B535D4D351}" name="Trimestre" dataDxfId="166" dataCellStyle="Normal"/>
    <tableColumn id="8" xr3:uid="{6959593F-9633-42B4-9779-D55A89EBF00A}" name="Date" dataDxfId="165" totalsRowDxfId="164" dataCellStyle="Normal"/>
    <tableColumn id="13" xr3:uid="{43E2B711-BE53-4F38-982E-58E8DA1C59EC}" name="Nom et Prénom" dataDxfId="163" totalsRowDxfId="162"/>
    <tableColumn id="12" xr3:uid="{C2F3EE8E-A6A5-4402-B107-6BCC4B194490}" name="Statut" dataDxfId="161" totalsRowDxfId="160"/>
    <tableColumn id="11" xr3:uid="{7C3A7005-0BBE-44EE-9F24-D7D338C2F06F}" name="Société" dataDxfId="159" totalsRowDxfId="158"/>
    <tableColumn id="10" xr3:uid="{EDB4E0C5-D774-4CDC-9448-5FD92E8267A4}" name="Chantier" dataDxfId="157" totalsRowDxfId="156"/>
    <tableColumn id="6" xr3:uid="{0D987AD4-67EB-49CE-90B2-2B34B896CB05}" name="Agence" dataDxfId="155" totalsRowDxfId="154" dataCellStyle="Milliers"/>
    <tableColumn id="1" xr3:uid="{FED2F976-314C-45E8-804D-FA55EE84EE7C}" name="Type d'Accident (AT ou Trajet)" dataDxfId="153" totalsRowDxfId="152" dataCellStyle="Milliers"/>
    <tableColumn id="14" xr3:uid="{F6F5C593-8064-44D5-8E72-90E8B7CE2768}" name="Lésion" dataDxfId="151" totalsRowDxfId="150"/>
    <tableColumn id="2" xr3:uid="{B9AD090C-94F7-4BA9-9F98-83F68005BAA9}" name="Circonstances de l'accident" dataDxfId="149" totalsRowDxfId="148" dataCellStyle="Milliers"/>
    <tableColumn id="17" xr3:uid="{4C33896C-02D8-48E6-92C8-6EA742807CF7}" name="HPG" dataDxfId="147" totalsRowDxfId="146" dataCellStyle="Milliers"/>
    <tableColumn id="7" xr3:uid="{BE6EDFB7-ADCA-4908-A69E-6CADE049E086}" name="Arrêt " dataDxfId="145" totalsRowDxfId="144"/>
    <tableColumn id="15" xr3:uid="{6183D02D-928C-49EA-8AEE-358B6D0B98F6}" name="Date début arrêt" dataDxfId="143" totalsRowDxfId="142"/>
    <tableColumn id="4" xr3:uid="{3063FC56-1123-4090-9119-DFE17767FEA8}" name="Dates de dernier jour d'arrêt" dataDxfId="141" totalsRowDxfId="140" dataCellStyle="Milliers"/>
    <tableColumn id="3" xr3:uid="{78950804-C30E-4C0F-8B28-1F2375F4EAB5}" name="Nombre de jours" dataDxfId="139" totalsRowDxfId="138" dataCellStyle="Milliers"/>
    <tableColumn id="18" xr3:uid="{AB3C426D-6064-4F4D-9B5A-57DBDD589D7A}" name="Poste adapté" dataDxfId="137" totalsRowDxfId="136" dataCellStyle="Monétaire"/>
    <tableColumn id="5" xr3:uid="{7D2ED0A2-AE34-4D0D-A548-6D9A32F8B7B1}" name="Entretien de retour" dataDxfId="135" totalsRowDxfId="134" dataCellStyle="Milliers"/>
    <tableColumn id="29" xr3:uid="{4560492A-A46E-4B8D-B0D8-CBF34A0F1628}" name="DA sur chantier dans les 24h" dataDxfId="133" totalsRowDxfId="132" dataCellStyle="Milliers"/>
    <tableColumn id="28" xr3:uid="{FE363A94-C06D-45D5-B76F-905F3F49546B}" name="Analyse avec encadrement sous 7J" dataDxfId="131" totalsRowDxfId="130" dataCellStyle="Milliers"/>
    <tableColumn id="16" xr3:uid="{F3B7F2BD-6CEE-4711-8C7D-CC31131A4B53}" name="Réserves" dataDxfId="129" totalsRowDxfId="128" dataCellStyle="Normal"/>
    <tableColumn id="30" xr3:uid="{FBF1E966-9EFF-47F4-AF0C-972F295537B7}" name="Délai de communication au QSE (en heure)" dataDxfId="127" totalsRowDxfId="126"/>
    <tableColumn id="19" xr3:uid="{B415A6C5-6961-4763-B857-3E97D9757956}" name="DAT agence intérim" dataDxfId="125" totalsRowDxfId="124" dataCellStyle="Normal"/>
    <tableColumn id="27" xr3:uid="{B699EC7A-E2CA-456C-B9FE-49CBE34E2936}" name="CONCERNE UNE REGLE VITALE (oui ou non)" dataDxfId="123" totalsRowDxfId="122"/>
    <tableColumn id="20" xr3:uid="{26A8D481-679C-46C6-823C-F8D41D9FCCBB}" name="Gravité Réelle" dataDxfId="121" totalsRowDxfId="120" dataCellStyle="Normal"/>
    <tableColumn id="21" xr3:uid="{CEBEA5DC-94C7-470C-B4C1-E079C7885785}" name="Fréquence" dataDxfId="119" totalsRowDxfId="118" dataCellStyle="Normal"/>
    <tableColumn id="22" xr3:uid="{99248ED6-D83D-40F7-82CA-2A2E4B06EA57}" name="Répétitions " dataDxfId="117" totalsRowDxfId="116" dataCellStyle="Normal"/>
    <tableColumn id="23" xr3:uid="{7AE385EA-4265-445D-A75D-CA378438ABD6}" name="Gravité potentielle" dataDxfId="115" totalsRowDxfId="114" dataCellStyle="Normal"/>
    <tableColumn id="24" xr3:uid="{9EE8D02E-4E22-4D7B-A2C1-C51EEECDAEBF}" name="TOTAL" dataDxfId="113" totalsRowDxfId="112" dataCellStyle="Normal">
      <calculatedColumnFormula>+SUM(ListeInventaire6[[#This Row],[Gravité Réelle]:[Gravité potentielle]])</calculatedColumnFormula>
    </tableColumn>
    <tableColumn id="25" xr3:uid="{09364A83-BB84-44A9-BFA5-F48098FC68B0}" name="Faire une analyse détaillée" dataDxfId="111" totalsRowDxfId="110" dataCellStyle="Normal"/>
    <tableColumn id="26" xr3:uid="{E69EDF00-C6A5-4666-8DBC-C35039A35ECC}" name="ANALYSE" dataDxfId="109" totalsRowDxfId="108" dataCellStyle="Normal"/>
  </tableColumns>
  <tableStyleInfo name="TableStyleLight10" showFirstColumn="0" showLastColumn="0" showRowStripes="1" showColumnStripes="0"/>
  <extLst>
    <ext xmlns:x14="http://schemas.microsoft.com/office/spreadsheetml/2009/9/main" uri="{504A1905-F514-4f6f-8877-14C23A59335A}">
      <x14:table altTextSummary="Entrez l’ID d’inventaire, le nom, la description, le prix unitaire, la quantité en stock, le seuil de réapprovisionnement, le temps avant réapprovisionnement en jours, la quantité à réapprovisionner et indiquez, par oui ou par non, si l’article est ou non encore disponi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F49EB4-7AEC-4983-BD13-176B0A542B27}" name="Tableau2" displayName="Tableau2" ref="A2:K378" totalsRowShown="0" headerRowDxfId="107" dataDxfId="105" headerRowBorderDxfId="106" tableBorderDxfId="104">
  <autoFilter ref="A2:K378" xr:uid="{36F49EB4-7AEC-4983-BD13-176B0A542B27}"/>
  <sortState xmlns:xlrd2="http://schemas.microsoft.com/office/spreadsheetml/2017/richdata2" ref="A118:K377">
    <sortCondition ref="A2:A377"/>
  </sortState>
  <tableColumns count="11">
    <tableColumn id="1" xr3:uid="{59ADFF49-399A-4125-AAE0-9EF75BEFB2D8}" name="DATE " dataDxfId="103"/>
    <tableColumn id="2" xr3:uid="{8BE78436-EC9B-4E7E-AC5B-5E4065FBE929}" name="AGENCE " dataDxfId="102"/>
    <tableColumn id="3" xr3:uid="{BF95FA5A-8D2C-4D6E-8607-74F2671638FC}" name="CHANTIER OU SITE CONCERNÉ" dataDxfId="101"/>
    <tableColumn id="4" xr3:uid="{2713499F-CE23-495F-9972-3A8C56BE3893}" name="ORIGINE DE L'ACTION" dataDxfId="100"/>
    <tableColumn id="5" xr3:uid="{DF62AC73-1C21-4CFC-A1BF-D24FE558A82B}" name="THEMATIQUE (Q / S / E)" dataDxfId="99"/>
    <tableColumn id="6" xr3:uid="{8CF11B07-B78E-44D2-A466-EE522406FD8A}" name="CONSTAT" dataDxfId="98"/>
    <tableColumn id="7" xr3:uid="{E2C30941-377D-43D8-B489-D829AE62B791}" name="ACTION DEFINIE" dataDxfId="97"/>
    <tableColumn id="8" xr3:uid="{D7B59006-474A-4C3D-BBB8-8EA5995759C8}" name="PILOTE" dataDxfId="96"/>
    <tableColumn id="9" xr3:uid="{9A5C28AB-896B-4D6D-A866-2250387C0652}" name="ECHEANCE DE L'ACTION" dataDxfId="95"/>
    <tableColumn id="10" xr3:uid="{2061D067-6F68-4723-96CB-27F81B79B984}" name="ALERTE" dataDxfId="94"/>
    <tableColumn id="11" xr3:uid="{5C675818-96AC-4A68-AE1A-E5CC624F34ED}" name="STATUT DE LA REALISATION DE L'ACTION" dataDxfId="93"/>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5" dT="2026-02-04T16:35:16.91" personId="{2A913FCC-D2E3-4A37-9918-6AD119257AAC}" id="{F8827322-657A-46AF-9605-D2EE25E9764B}">
    <text>P. MUNOS</text>
  </threadedComment>
  <threadedComment ref="S5" dT="2026-02-04T16:35:34.75" personId="{2A913FCC-D2E3-4A37-9918-6AD119257AAC}" id="{16BAE3B4-DDEE-4F5A-8052-E829CE20DEC2}">
    <text>04/02/2026
MUNOS
DUCOTTET
PERRRET
GUERIN</text>
  </threadedComment>
  <threadedComment ref="R6" dT="2026-03-18T10:47:02.74" personId="{0DA91BA1-5296-4967-99E3-FD10C10B97C2}" id="{7FFD97B7-9841-4CC1-A0F8-58F88E077F05}">
    <text>B. JANISSET</text>
  </threadedComment>
  <threadedComment ref="Q7" dT="2026-03-31T08:44:47.31" personId="{2A913FCC-D2E3-4A37-9918-6AD119257AAC}" id="{4290EA11-F33E-4DDA-A85B-0293546C5EE0}">
    <text>24/03/2026</text>
  </threadedComment>
  <threadedComment ref="R7" dT="2026-03-16T09:50:13.99" personId="{2A913FCC-D2E3-4A37-9918-6AD119257AAC}" id="{8F3D3329-E9DD-4C7C-AAD2-37A0F617D83D}">
    <text>P. MUNOS</text>
  </threadedComment>
  <threadedComment ref="S7" dT="2026-03-16T09:50:48.95" personId="{2A913FCC-D2E3-4A37-9918-6AD119257AAC}" id="{7B8CFFCA-3261-41C2-A9FD-991F8CD75110}">
    <text>11/03/2026
MUNOS
CHALVIN
PERRET
DENEPOUX
DUCOTTET</text>
  </threadedComment>
  <threadedComment ref="R8" dT="2026-03-18T10:53:54.67" personId="{0DA91BA1-5296-4967-99E3-FD10C10B97C2}" id="{938C7F9F-DA9C-4D66-9644-A1BDB5C66B35}">
    <text>PERRY. P</text>
  </threadedComment>
  <threadedComment ref="S8" dT="2026-03-26T12:44:56.21" personId="{0DA91BA1-5296-4967-99E3-FD10C10B97C2}" id="{69949479-8B87-4E51-94E2-898D5ED66C03}">
    <text xml:space="preserve">23/03/2026 :
PERRY. Y
SEPCHAT. N 
BAYARD. P </text>
  </threadedComment>
  <threadedComment ref="R9" dT="2026-03-16T09:50:13.99" personId="{2A913FCC-D2E3-4A37-9918-6AD119257AAC}" id="{2697CC56-9B9F-4FE1-B762-187EB01ABB27}">
    <text>P. MUNOS</text>
  </threadedComment>
  <threadedComment ref="S9" dT="2026-03-16T09:50:48.95" personId="{2A913FCC-D2E3-4A37-9918-6AD119257AAC}" id="{3851248A-D48B-4B34-A528-061251EFDB64}">
    <text>24/03/2026
MUNOS
DUCOTTET
DA SILVA B.
LHOMME
HASSAN</text>
  </threadedComment>
  <threadedComment ref="R10" dT="2026-03-24T16:06:52.00" personId="{0DA91BA1-5296-4967-99E3-FD10C10B97C2}" id="{2E59BE89-2053-4E74-9846-245E0A1A2CE8}">
    <text>Joêl POUPEAU</text>
  </threadedComment>
  <threadedComment ref="R14" dT="2026-04-16T07:48:31.06" personId="{2A913FCC-D2E3-4A37-9918-6AD119257AAC}" id="{90BFDD7B-BE22-4ABA-8BFA-62CE65CE76E2}">
    <text>P. MUNOS</text>
  </threadedComment>
  <threadedComment ref="S14" dT="2026-04-16T07:51:50.49" personId="{2A913FCC-D2E3-4A37-9918-6AD119257AAC}" id="{FB94E3C8-AD0F-46F2-AE01-5A774052223C}">
    <text>03/04/2026
COCHET
GRIMAND
MUNOS
JEAN-VICTOR
DUCOTTET</text>
  </threadedComment>
  <threadedComment ref="R15" dT="2026-04-16T07:48:39.74" personId="{2A913FCC-D2E3-4A37-9918-6AD119257AAC}" id="{8373BE0C-B392-4990-B6E1-AA675B55633D}">
    <text>J. PEYRICAL</text>
  </threadedComment>
  <threadedComment ref="S15" dT="2026-04-16T07:50:56.78" personId="{2A913FCC-D2E3-4A37-9918-6AD119257AAC}" id="{EC54357C-B5C2-4560-9746-EFBF8C52D3B9}">
    <text>07/04/2026
HEYRAUD
PEYRICAL
CRETTON
COSTA
DUCOTTET</text>
  </threadedComment>
  <threadedComment ref="L18" dT="2026-04-28T11:55:13.92" personId="{2A913FCC-D2E3-4A37-9918-6AD119257AAC}" id="{F52EBD4E-CBEC-4B88-9570-29F4966643DF}">
    <text>Absent le jour de l’accident</text>
  </threadedComment>
</ThreadedComments>
</file>

<file path=xl/threadedComments/threadedComment2.xml><?xml version="1.0" encoding="utf-8"?>
<ThreadedComments xmlns="http://schemas.microsoft.com/office/spreadsheetml/2018/threadedcomments" xmlns:x="http://schemas.openxmlformats.org/spreadsheetml/2006/main">
  <threadedComment ref="I5" dT="2026-05-11T14:00:37.46" personId="{05FAF43D-47AA-425F-977F-C20D5EDE49F0}" id="{18EA4144-5B26-496C-ACF7-C0284C25F775}">
    <text xml:space="preserve">Morsure/piqures
</text>
  </threadedComment>
  <threadedComment ref="E10" dT="2026-01-30T08:03:22.17" personId="{2A913FCC-D2E3-4A37-9918-6AD119257AAC}" id="{5DCB6439-2938-4154-926A-94EA47E44AE2}">
    <text>260121 - Politique
260128 - REX</text>
  </threadedComment>
  <threadedComment ref="F17" dT="2026-03-16T06:46:36.15" personId="{2A913FCC-D2E3-4A37-9918-6AD119257AAC}" id="{77F82055-2CD8-4D5F-A83F-550594C3B526}">
    <text>03/02/26 - Politique</text>
  </threadedComment>
  <threadedComment ref="E26" dT="2026-02-02T09:02:02.67" personId="{05FAF43D-47AA-425F-977F-C20D5EDE49F0}" id="{764145DB-4AFD-4C94-ABF6-40C29B863ECC}">
    <text>N°1 Politique
Lettre M. CHAMPION
Politique protection intérets
RI DP2D</text>
  </threadedComment>
  <threadedComment ref="E28" dT="2026-02-02T09:03:47.11" personId="{05FAF43D-47AA-425F-977F-C20D5EDE49F0}" id="{0520FBB4-6363-4838-AEC9-6C4A6EE2F67B}">
    <text xml:space="preserve">N°1 Politique
RI DP2D
</text>
  </threadedComment>
  <threadedComment ref="H28" dT="2026-04-13T06:19:42.02" personId="{23D5510D-3AD6-459C-8E25-A7833FE365A9}" id="{F4538F9C-67F1-45FC-B6A3-EC34E55702BC}">
    <text>Paquetage 2027/port des EPI (10/04/2026)</text>
  </threadedComment>
  <threadedComment ref="H28" dT="2026-04-20T05:41:45.29" personId="{23D5510D-3AD6-459C-8E25-A7833FE365A9}" id="{A9511852-AD46-444D-989D-1898F345CDDE}" parentId="{F4538F9C-67F1-45FC-B6A3-EC34E55702BC}">
    <text>Notes interne NGE (17/04/2026)</text>
  </threadedComment>
  <threadedComment ref="H28" dT="2026-04-29T05:53:29.00" personId="{23D5510D-3AD6-459C-8E25-A7833FE365A9}" id="{53428A46-9F38-413C-A813-5DE41D53F90E}" parentId="{F4538F9C-67F1-45FC-B6A3-EC34E55702BC}">
    <text>Marquage piquetage (24/04/2026)</text>
  </threadedComment>
  <threadedComment ref="H30" dT="2026-04-14T17:17:02.07" personId="{05FAF43D-47AA-425F-977F-C20D5EDE49F0}" id="{E3A3CC3B-F06C-4035-9011-B3AA83A4FBD1}">
    <text>N°3 Stockage</text>
  </threadedComment>
  <threadedComment ref="F37" dT="2026-02-13T10:14:14.28" personId="{2A913FCC-D2E3-4A37-9918-6AD119257AAC}" id="{BEB1400E-A9C6-4B6B-9D23-090A0C7BB8D5}">
    <text>260212 - ENV Déchets
260212 - N°2 Batterie</text>
  </threadedComment>
  <threadedComment ref="E44" dT="2026-01-30T06:58:43.04" personId="{2A913FCC-D2E3-4A37-9918-6AD119257AAC}" id="{3C58F7E6-2CC9-43A9-9120-005D7692A218}">
    <text>260120 - REX
260120 - Politique</text>
  </threadedComment>
  <threadedComment ref="F44" dT="2026-02-13T08:23:15.21" personId="{2A913FCC-D2E3-4A37-9918-6AD119257AAC}" id="{1C563511-E7AD-4C54-ADCB-64BAB161545B}">
    <text>260211 - Accueil annuel
260216 - Batterie
260216 - Stockage</text>
  </threadedComment>
  <threadedComment ref="G44" dT="2026-04-10T06:36:43.13" personId="{2A913FCC-D2E3-4A37-9918-6AD119257AAC}" id="{5134A323-F376-4A6A-8E27-39F45F808787}">
    <text>260319 - Alternat</text>
  </threadedComment>
  <threadedComment ref="F45" dT="2026-03-16T06:46:55.81" personId="{2A913FCC-D2E3-4A37-9918-6AD119257AAC}" id="{0FAFB301-9EC2-4BA5-AF4C-D189446A7C4A}">
    <text>03/02/26 - Politique</text>
  </threadedComment>
  <threadedComment ref="H45" dT="2026-04-29T14:48:37.39" personId="{2A913FCC-D2E3-4A37-9918-6AD119257AAC}" id="{6635737B-C5B1-43A3-A540-24A4EF1787F1}">
    <text>20/04/2026 Notes internes
24/04/2026 Réseaux</text>
  </threadedComment>
  <threadedComment ref="F47" dT="2026-03-16T06:47:04.78" personId="{2A913FCC-D2E3-4A37-9918-6AD119257AAC}" id="{8A864C91-BDF7-48B0-B075-FA9BC8397D53}">
    <text>03/02/26 - Politique</text>
  </threadedComment>
  <threadedComment ref="E83" dT="2026-01-30T13:47:10.01" personId="{2A913FCC-D2E3-4A37-9918-6AD119257AAC}" id="{DD050317-7D4E-4592-90D7-54BBB631A0A4}">
    <text>27/01/2026 - EPI</text>
  </threadedComment>
  <threadedComment ref="E84" dT="2026-02-02T09:03:31.47" personId="{05FAF43D-47AA-425F-977F-C20D5EDE49F0}" id="{C1C5415F-1577-4459-9FAA-922AA6BF08F2}">
    <text>N°1 Politique
RI DP2D</text>
  </threadedComment>
  <threadedComment ref="H84" dT="2026-04-29T05:54:22.25" personId="{23D5510D-3AD6-459C-8E25-A7833FE365A9}" id="{54ECB10B-9F1A-421D-A141-C573B1863621}">
    <text>Marquage piquetage (24/04/2026)</text>
  </threadedComment>
  <threadedComment ref="H85" dT="2026-04-29T14:48:47.80" personId="{2A913FCC-D2E3-4A37-9918-6AD119257AAC}" id="{93D6A6F2-EB86-47D7-8EA6-4467EDAF3522}">
    <text>20/04/2026 Notes internes
24/04/2026 Réseaux</text>
  </threadedComment>
  <threadedComment ref="E86" dT="2026-02-02T09:03:39.09" personId="{05FAF43D-47AA-425F-977F-C20D5EDE49F0}" id="{4A13D24D-F5DE-4DE2-8DDF-2B2F62545D8E}">
    <text xml:space="preserve">N°1 Politique
RI DP2D
</text>
  </threadedComment>
  <threadedComment ref="H86" dT="2026-04-20T05:41:07.23" personId="{23D5510D-3AD6-459C-8E25-A7833FE365A9}" id="{152CD725-4999-4DEE-840A-CB18162BD69A}">
    <text>Notes interne NGE</text>
  </threadedComment>
  <threadedComment ref="H86" dT="2026-04-29T05:54:50.15" personId="{23D5510D-3AD6-459C-8E25-A7833FE365A9}" id="{7CC3160C-33D1-4A9F-A5A5-86E62E2A19DF}" parentId="{152CD725-4999-4DEE-840A-CB18162BD69A}">
    <text>Marquage piquetage (24/04/2026)</text>
  </threadedComment>
  <threadedComment ref="E98" dT="2026-02-02T09:01:58.35" personId="{05FAF43D-47AA-425F-977F-C20D5EDE49F0}" id="{025E2365-9232-4293-87AE-B6C1EAED814D}">
    <text>N°1 Politique
Lettre M. CHAMPION
Politique protection intérêts
RI DP2D</text>
  </threadedComment>
  <threadedComment ref="G98" dT="2026-03-19T14:35:46.91" personId="{05FAF43D-47AA-425F-977F-C20D5EDE49F0}" id="{DEE99C14-B7A0-4C89-8B2B-C9F905EB7721}">
    <text>N°1 Politique
N°3 Energies</text>
  </threadedComment>
  <threadedComment ref="F101" dT="2026-03-16T06:47:47.14" personId="{2A913FCC-D2E3-4A37-9918-6AD119257AAC}" id="{ED45F9CD-B3B9-465D-B37B-66AA02312C7E}">
    <text>03/02/26 - Politique</text>
  </threadedComment>
  <threadedComment ref="H105" dT="2026-04-23T07:13:06.23" personId="{2A913FCC-D2E3-4A37-9918-6AD119257AAC}" id="{9CAF630F-553E-4950-93A5-F736565E8686}">
    <text>260422 - FLASH 9AT</text>
  </threadedComment>
  <threadedComment ref="E108" dT="2026-01-30T13:48:07.30" personId="{2A913FCC-D2E3-4A37-9918-6AD119257AAC}" id="{5CFEBE51-61C0-4804-BE44-60E32BF1BA89}">
    <text>27/01/2026 - EPI</text>
  </threadedComment>
  <threadedComment ref="G110" dT="2026-03-16T06:49:48.43" personId="{2A913FCC-D2E3-4A37-9918-6AD119257AAC}" id="{E37C43B5-9984-48AC-A83B-D9451B4A231E}">
    <text xml:space="preserve">13/03/26 - Déversement
09/03/26 - Produits chimiques
17/03/26 - Nettoyage zones travail
24/03/26 - Signalisation
</text>
  </threadedComment>
  <threadedComment ref="E112" dT="2026-02-02T09:02:21.93" personId="{05FAF43D-47AA-425F-977F-C20D5EDE49F0}" id="{5570EDA0-84F2-478C-9B8D-A367BB8DDE94}">
    <text>Lettre M. CHAMPION
Politique protection intérets
RI DP2D</text>
  </threadedComment>
</ThreadedComments>
</file>

<file path=xl/threadedComments/threadedComment3.xml><?xml version="1.0" encoding="utf-8"?>
<ThreadedComments xmlns="http://schemas.microsoft.com/office/spreadsheetml/2018/threadedcomments" xmlns:x="http://schemas.openxmlformats.org/spreadsheetml/2006/main">
  <threadedComment ref="V11" dT="2026-03-12T08:31:40.55" personId="{2A913FCC-D2E3-4A37-9918-6AD119257AAC}" id="{17816138-EF88-4A6E-B172-252F42739201}">
    <text>Photo eveil 12/03/26
Photo eveil 30/03/26</text>
  </threadedComment>
  <threadedComment ref="W56" dT="2026-04-13T07:45:40.10" personId="{2A913FCC-D2E3-4A37-9918-6AD119257AAC}" id="{58CE7428-D797-4A21-9E0E-EAA636914BE5}">
    <text>Photo éveil 08/04/26</text>
  </threadedComment>
  <threadedComment ref="T57" dT="2026-02-05T07:11:37.17" personId="{2A913FCC-D2E3-4A37-9918-6AD119257AAC}" id="{FB83772E-851A-4D43-B3F7-A4757AD67B1C}">
    <text>05/02/2026 - COUTURIER</text>
  </threadedComment>
</ThreadedComments>
</file>

<file path=xl/threadedComments/threadedComment4.xml><?xml version="1.0" encoding="utf-8"?>
<ThreadedComments xmlns="http://schemas.microsoft.com/office/spreadsheetml/2018/threadedcomments" xmlns:x="http://schemas.openxmlformats.org/spreadsheetml/2006/main">
  <threadedComment ref="G37" dT="2026-04-14T07:44:01.64" personId="{2A913FCC-D2E3-4A37-9918-6AD119257AAC}" id="{A68E026B-3464-4139-8FF2-8FF9A0C89628}">
    <text>+ 1 FAE</text>
  </threadedComment>
  <threadedComment ref="H37" dT="2026-04-14T08:42:30.47" personId="{2A913FCC-D2E3-4A37-9918-6AD119257AAC}" id="{E7A05D36-01EF-457B-B4C3-1F049DBF5F11}">
    <text>Casse réseau</text>
  </threadedComment>
</ThreadedComments>
</file>

<file path=xl/threadedComments/threadedComment5.xml><?xml version="1.0" encoding="utf-8"?>
<ThreadedComments xmlns="http://schemas.microsoft.com/office/spreadsheetml/2018/threadedcomments" xmlns:x="http://schemas.openxmlformats.org/spreadsheetml/2006/main">
  <threadedComment ref="I21" dT="2026-01-30T15:17:30.13" personId="{2A913FCC-D2E3-4A37-9918-6AD119257AAC}" id="{5A63C564-893F-437F-8505-81A0F7369DE0}">
    <text xml:space="preserve">1 semaine de préparation pour enlever les alvéoles et préparer. Repose des alvéoles par SOL CONFLUENCE. </text>
  </threadedComment>
  <threadedComment ref="I66" dT="2026-04-02T07:57:06.95" personId="{2A913FCC-D2E3-4A37-9918-6AD119257AAC}" id="{51454765-A0B5-4A59-AD0E-5C05F56BAA4E}">
    <text>A définir, entre 0 et 50k€</text>
  </threadedComment>
  <threadedComment ref="I80" dT="2026-01-30T15:25:46.11" personId="{2A913FCC-D2E3-4A37-9918-6AD119257AAC}" id="{725C5E22-1659-40E2-B67C-0E9B3F555B3C}">
    <text>En attente selon la surface à reprendre</text>
  </threadedComment>
</ThreadedComments>
</file>

<file path=xl/threadedComments/threadedComment6.xml><?xml version="1.0" encoding="utf-8"?>
<ThreadedComments xmlns="http://schemas.microsoft.com/office/spreadsheetml/2018/threadedcomments" xmlns:x="http://schemas.openxmlformats.org/spreadsheetml/2006/main">
  <threadedComment ref="K365" dT="2026-04-30T13:49:41.67" personId="{2A913FCC-D2E3-4A37-9918-6AD119257AAC}" id="{7839005A-08AD-4DFB-B4F5-AD03A4D7E305}">
    <text xml:space="preserve">Proposition du fournisseur peu intéressante.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0.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4.x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5.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6.bin"/><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E067B-9444-4458-9588-14D21467E0ED}">
  <dimension ref="M3:S28"/>
  <sheetViews>
    <sheetView zoomScaleNormal="100" workbookViewId="0">
      <selection activeCell="S38" sqref="S38"/>
    </sheetView>
  </sheetViews>
  <sheetFormatPr baseColWidth="10" defaultColWidth="11.5703125" defaultRowHeight="15" x14ac:dyDescent="0.25"/>
  <cols>
    <col min="1" max="16384" width="11.5703125" style="189"/>
  </cols>
  <sheetData>
    <row r="3" spans="13:13" ht="18.75" x14ac:dyDescent="0.3">
      <c r="M3" s="188"/>
    </row>
    <row r="8" spans="13:13" ht="15" customHeight="1" x14ac:dyDescent="0.25"/>
    <row r="28" spans="19:19" x14ac:dyDescent="0.25">
      <c r="S28" s="189"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4D24-111D-4732-9086-C9E8AFCFCA66}">
  <sheetPr>
    <tabColor rgb="FFF94607"/>
  </sheetPr>
  <dimension ref="A1:AH99"/>
  <sheetViews>
    <sheetView topLeftCell="A12" zoomScale="80" zoomScaleNormal="80" workbookViewId="0">
      <selection activeCell="G21" sqref="G21"/>
    </sheetView>
  </sheetViews>
  <sheetFormatPr baseColWidth="10" defaultColWidth="10" defaultRowHeight="30" customHeight="1" outlineLevelRow="1" x14ac:dyDescent="0.25"/>
  <cols>
    <col min="1" max="1" width="4.42578125" style="43" customWidth="1"/>
    <col min="2" max="2" width="18.42578125" style="43" customWidth="1"/>
    <col min="3" max="3" width="19.5703125" style="43" bestFit="1" customWidth="1"/>
    <col min="4" max="4" width="15.42578125" style="43" bestFit="1" customWidth="1"/>
    <col min="5" max="5" width="16.7109375" style="43" bestFit="1" customWidth="1"/>
    <col min="6" max="6" width="13.42578125" style="43" customWidth="1"/>
    <col min="7" max="7" width="14.7109375" style="43" customWidth="1"/>
    <col min="8" max="8" width="26.7109375" style="43" customWidth="1"/>
    <col min="9" max="9" width="24.42578125" style="45" customWidth="1"/>
    <col min="10" max="10" width="68.7109375" style="43" customWidth="1"/>
    <col min="11" max="11" width="18.28515625" style="43" customWidth="1"/>
    <col min="12" max="12" width="10" style="43"/>
    <col min="13" max="14" width="17.42578125" style="43" customWidth="1"/>
    <col min="15" max="15" width="16.5703125" style="43" customWidth="1"/>
    <col min="16" max="16" width="14.5703125" style="43" customWidth="1"/>
    <col min="17" max="19" width="13.42578125" style="43" customWidth="1"/>
    <col min="20" max="20" width="16.28515625" style="43" customWidth="1"/>
    <col min="21" max="21" width="40.42578125" style="43" customWidth="1"/>
    <col min="22" max="22" width="13.28515625" style="43" customWidth="1"/>
    <col min="23" max="23" width="39.85546875" style="43" customWidth="1"/>
    <col min="24" max="27" width="17.5703125" style="43" customWidth="1"/>
    <col min="28" max="28" width="12.7109375" style="43" customWidth="1"/>
    <col min="29" max="29" width="18.5703125" style="43" customWidth="1"/>
    <col min="30" max="30" width="29" style="43" customWidth="1"/>
    <col min="31" max="31" width="10" style="43"/>
    <col min="32" max="32" width="28.7109375" style="43" customWidth="1"/>
    <col min="33" max="33" width="3" style="43" customWidth="1"/>
    <col min="34" max="34" width="26.42578125" style="43" customWidth="1"/>
    <col min="35" max="35" width="3" style="43" customWidth="1"/>
    <col min="36" max="36" width="26.42578125" style="43" customWidth="1"/>
    <col min="37" max="37" width="3" style="43" customWidth="1"/>
    <col min="38" max="38" width="26.42578125" style="43" customWidth="1"/>
    <col min="39" max="16384" width="10" style="43"/>
  </cols>
  <sheetData>
    <row r="1" spans="1:30" s="42" customFormat="1" ht="57" customHeight="1" thickBot="1" x14ac:dyDescent="0.3">
      <c r="A1" s="489" t="s">
        <v>1</v>
      </c>
      <c r="B1" s="490"/>
      <c r="C1" s="490"/>
      <c r="D1" s="490"/>
      <c r="E1" s="490"/>
      <c r="F1" s="490"/>
      <c r="G1" s="490"/>
      <c r="H1" s="490"/>
      <c r="I1" s="490"/>
      <c r="J1" s="490"/>
      <c r="K1" s="490"/>
      <c r="L1" s="490"/>
      <c r="M1" s="490"/>
      <c r="N1" s="490"/>
      <c r="O1" s="490"/>
      <c r="P1" s="490"/>
      <c r="Q1" s="490"/>
      <c r="R1" s="490"/>
      <c r="S1" s="490"/>
      <c r="T1" s="41"/>
      <c r="U1" s="41"/>
    </row>
    <row r="2" spans="1:30" s="55" customFormat="1" ht="60.75" thickBot="1" x14ac:dyDescent="0.3">
      <c r="A2" s="71" t="s">
        <v>2</v>
      </c>
      <c r="B2" s="79" t="s">
        <v>3</v>
      </c>
      <c r="C2" s="80" t="s">
        <v>4</v>
      </c>
      <c r="D2" s="80" t="s">
        <v>5</v>
      </c>
      <c r="E2" s="80" t="s">
        <v>6</v>
      </c>
      <c r="F2" s="80" t="s">
        <v>7</v>
      </c>
      <c r="G2" s="80" t="s">
        <v>8</v>
      </c>
      <c r="H2" s="80" t="s">
        <v>9</v>
      </c>
      <c r="I2" s="80" t="s">
        <v>10</v>
      </c>
      <c r="J2" s="80" t="s">
        <v>11</v>
      </c>
      <c r="K2" s="80" t="s">
        <v>12</v>
      </c>
      <c r="L2" s="80" t="s">
        <v>13</v>
      </c>
      <c r="M2" s="80" t="s">
        <v>14</v>
      </c>
      <c r="N2" s="80" t="s">
        <v>15</v>
      </c>
      <c r="O2" s="80" t="s">
        <v>16</v>
      </c>
      <c r="P2" s="80" t="s">
        <v>17</v>
      </c>
      <c r="Q2" s="80" t="s">
        <v>18</v>
      </c>
      <c r="R2" s="80" t="s">
        <v>19</v>
      </c>
      <c r="S2" s="80" t="s">
        <v>20</v>
      </c>
      <c r="T2" s="81" t="s">
        <v>21</v>
      </c>
      <c r="U2" s="81" t="s">
        <v>22</v>
      </c>
      <c r="V2" s="82" t="s">
        <v>23</v>
      </c>
      <c r="W2" s="83" t="s">
        <v>24</v>
      </c>
      <c r="X2" s="84" t="s">
        <v>25</v>
      </c>
      <c r="Y2" s="84" t="s">
        <v>26</v>
      </c>
      <c r="Z2" s="84" t="s">
        <v>27</v>
      </c>
      <c r="AA2" s="84" t="s">
        <v>28</v>
      </c>
      <c r="AB2" s="85" t="s">
        <v>29</v>
      </c>
      <c r="AC2" s="83" t="s">
        <v>30</v>
      </c>
      <c r="AD2" s="85" t="s">
        <v>31</v>
      </c>
    </row>
    <row r="3" spans="1:30" s="44" customFormat="1" ht="40.35" customHeight="1" x14ac:dyDescent="0.25">
      <c r="A3" s="56">
        <v>1</v>
      </c>
      <c r="B3" s="200">
        <v>45678</v>
      </c>
      <c r="C3" s="201" t="s">
        <v>32</v>
      </c>
      <c r="D3" s="201" t="s">
        <v>33</v>
      </c>
      <c r="E3" s="201" t="s">
        <v>34</v>
      </c>
      <c r="F3" s="201" t="s">
        <v>35</v>
      </c>
      <c r="G3" s="201" t="s">
        <v>36</v>
      </c>
      <c r="H3" s="202" t="s">
        <v>37</v>
      </c>
      <c r="I3" s="201" t="s">
        <v>38</v>
      </c>
      <c r="J3" s="203" t="s">
        <v>39</v>
      </c>
      <c r="K3" s="202" t="s">
        <v>40</v>
      </c>
      <c r="L3" s="202" t="s">
        <v>41</v>
      </c>
      <c r="M3" s="204">
        <v>46044</v>
      </c>
      <c r="N3" s="204">
        <v>46056</v>
      </c>
      <c r="O3" s="202">
        <v>13</v>
      </c>
      <c r="P3" s="201" t="s">
        <v>42</v>
      </c>
      <c r="Q3" s="201" t="s">
        <v>40</v>
      </c>
      <c r="R3" s="201" t="s">
        <v>41</v>
      </c>
      <c r="S3" s="205" t="s">
        <v>41</v>
      </c>
      <c r="T3" s="72" t="s">
        <v>41</v>
      </c>
      <c r="U3" s="73"/>
      <c r="V3" s="74"/>
      <c r="W3" s="72" t="s">
        <v>40</v>
      </c>
      <c r="X3" s="75">
        <v>30</v>
      </c>
      <c r="Y3" s="75">
        <v>30</v>
      </c>
      <c r="Z3" s="75">
        <v>30</v>
      </c>
      <c r="AA3" s="75">
        <v>30</v>
      </c>
      <c r="AB3" s="76">
        <f>SUM(ListeInventaire6[[#This Row],[Gravité Réelle]:[Gravité potentielle]])</f>
        <v>120</v>
      </c>
      <c r="AC3" s="77" t="s">
        <v>41</v>
      </c>
      <c r="AD3" s="78"/>
    </row>
    <row r="4" spans="1:30" s="44" customFormat="1" ht="40.35" customHeight="1" x14ac:dyDescent="0.25">
      <c r="A4" s="56">
        <v>1</v>
      </c>
      <c r="B4" s="206">
        <v>46029</v>
      </c>
      <c r="C4" s="207" t="s">
        <v>43</v>
      </c>
      <c r="D4" s="207" t="s">
        <v>44</v>
      </c>
      <c r="E4" s="207" t="s">
        <v>45</v>
      </c>
      <c r="F4" s="207" t="s">
        <v>46</v>
      </c>
      <c r="G4" s="207" t="s">
        <v>47</v>
      </c>
      <c r="H4" s="208" t="s">
        <v>48</v>
      </c>
      <c r="I4" s="207" t="s">
        <v>49</v>
      </c>
      <c r="J4" s="209" t="s">
        <v>50</v>
      </c>
      <c r="K4" s="208" t="s">
        <v>41</v>
      </c>
      <c r="L4" s="208" t="s">
        <v>41</v>
      </c>
      <c r="M4" s="210">
        <v>46031</v>
      </c>
      <c r="N4" s="210">
        <v>46031</v>
      </c>
      <c r="O4" s="208">
        <v>1</v>
      </c>
      <c r="P4" s="207" t="s">
        <v>40</v>
      </c>
      <c r="Q4" s="207" t="s">
        <v>40</v>
      </c>
      <c r="R4" s="207"/>
      <c r="S4" s="211" t="s">
        <v>40</v>
      </c>
      <c r="T4" s="58"/>
      <c r="U4" s="50"/>
      <c r="V4" s="54"/>
      <c r="W4" s="58" t="s">
        <v>40</v>
      </c>
      <c r="X4" s="51">
        <v>30</v>
      </c>
      <c r="Y4" s="51">
        <v>20</v>
      </c>
      <c r="Z4" s="51">
        <v>30</v>
      </c>
      <c r="AA4" s="51">
        <v>50</v>
      </c>
      <c r="AB4" s="62">
        <f>SUM(ListeInventaire6[[#This Row],[Gravité Réelle]:[Gravité potentielle]])</f>
        <v>130</v>
      </c>
      <c r="AC4" s="61" t="s">
        <v>40</v>
      </c>
      <c r="AD4" s="68"/>
    </row>
    <row r="5" spans="1:30" s="44" customFormat="1" ht="69.75" customHeight="1" x14ac:dyDescent="0.25">
      <c r="A5" s="56">
        <v>1</v>
      </c>
      <c r="B5" s="206">
        <v>46045</v>
      </c>
      <c r="C5" s="207" t="s">
        <v>51</v>
      </c>
      <c r="D5" s="207" t="s">
        <v>52</v>
      </c>
      <c r="E5" s="207" t="s">
        <v>34</v>
      </c>
      <c r="F5" s="207" t="s">
        <v>53</v>
      </c>
      <c r="G5" s="207" t="s">
        <v>54</v>
      </c>
      <c r="H5" s="208" t="s">
        <v>37</v>
      </c>
      <c r="I5" s="207" t="s">
        <v>55</v>
      </c>
      <c r="J5" s="209" t="s">
        <v>56</v>
      </c>
      <c r="K5" s="208" t="s">
        <v>41</v>
      </c>
      <c r="L5" s="208" t="s">
        <v>40</v>
      </c>
      <c r="M5" s="208" t="s">
        <v>57</v>
      </c>
      <c r="N5" s="208" t="s">
        <v>57</v>
      </c>
      <c r="O5" s="208" t="s">
        <v>57</v>
      </c>
      <c r="P5" s="207" t="s">
        <v>40</v>
      </c>
      <c r="Q5" s="207" t="s">
        <v>40</v>
      </c>
      <c r="R5" s="207" t="s">
        <v>41</v>
      </c>
      <c r="S5" s="211" t="s">
        <v>41</v>
      </c>
      <c r="T5" s="58" t="s">
        <v>40</v>
      </c>
      <c r="U5" s="50">
        <v>1</v>
      </c>
      <c r="V5" s="54" t="s">
        <v>41</v>
      </c>
      <c r="W5" s="58" t="s">
        <v>41</v>
      </c>
      <c r="X5" s="51">
        <v>30</v>
      </c>
      <c r="Y5" s="51">
        <v>10</v>
      </c>
      <c r="Z5" s="51">
        <v>0</v>
      </c>
      <c r="AA5" s="51">
        <v>50</v>
      </c>
      <c r="AB5" s="62">
        <f>SUM(ListeInventaire6[[#This Row],[Gravité Réelle]:[Gravité potentielle]])</f>
        <v>90</v>
      </c>
      <c r="AC5" s="61" t="s">
        <v>41</v>
      </c>
      <c r="AD5" s="68" t="s">
        <v>58</v>
      </c>
    </row>
    <row r="6" spans="1:30" s="44" customFormat="1" ht="40.35" customHeight="1" x14ac:dyDescent="0.25">
      <c r="A6" s="56">
        <v>1</v>
      </c>
      <c r="B6" s="206">
        <v>46070</v>
      </c>
      <c r="C6" s="207" t="s">
        <v>59</v>
      </c>
      <c r="D6" s="207" t="s">
        <v>44</v>
      </c>
      <c r="E6" s="207" t="s">
        <v>34</v>
      </c>
      <c r="F6" s="207" t="s">
        <v>60</v>
      </c>
      <c r="G6" s="207" t="s">
        <v>36</v>
      </c>
      <c r="H6" s="208" t="s">
        <v>37</v>
      </c>
      <c r="I6" s="207" t="s">
        <v>61</v>
      </c>
      <c r="J6" s="209" t="s">
        <v>62</v>
      </c>
      <c r="K6" s="208" t="s">
        <v>40</v>
      </c>
      <c r="L6" s="208" t="s">
        <v>41</v>
      </c>
      <c r="M6" s="210">
        <v>46071</v>
      </c>
      <c r="N6" s="210">
        <v>46075</v>
      </c>
      <c r="O6" s="208">
        <v>5</v>
      </c>
      <c r="P6" s="207" t="s">
        <v>42</v>
      </c>
      <c r="Q6" s="207" t="s">
        <v>41</v>
      </c>
      <c r="R6" s="207" t="s">
        <v>41</v>
      </c>
      <c r="S6" s="211" t="s">
        <v>41</v>
      </c>
      <c r="T6" s="58" t="s">
        <v>40</v>
      </c>
      <c r="U6" s="50"/>
      <c r="V6" s="54"/>
      <c r="W6" s="58" t="s">
        <v>40</v>
      </c>
      <c r="X6" s="51">
        <v>30</v>
      </c>
      <c r="Y6" s="51">
        <v>20</v>
      </c>
      <c r="Z6" s="51">
        <v>30</v>
      </c>
      <c r="AA6" s="51">
        <v>30</v>
      </c>
      <c r="AB6" s="62">
        <f>SUM(ListeInventaire6[[#This Row],[Gravité Réelle]:[Gravité potentielle]])</f>
        <v>110</v>
      </c>
      <c r="AC6" s="61"/>
      <c r="AD6" s="62"/>
    </row>
    <row r="7" spans="1:30" s="44" customFormat="1" ht="49.5" x14ac:dyDescent="0.25">
      <c r="A7" s="56">
        <v>1</v>
      </c>
      <c r="B7" s="206">
        <v>46090</v>
      </c>
      <c r="C7" s="207" t="s">
        <v>63</v>
      </c>
      <c r="D7" s="207" t="s">
        <v>44</v>
      </c>
      <c r="E7" s="207" t="s">
        <v>34</v>
      </c>
      <c r="F7" s="207" t="s">
        <v>53</v>
      </c>
      <c r="G7" s="207" t="s">
        <v>54</v>
      </c>
      <c r="H7" s="208" t="s">
        <v>37</v>
      </c>
      <c r="I7" s="207" t="s">
        <v>64</v>
      </c>
      <c r="J7" s="209" t="s">
        <v>65</v>
      </c>
      <c r="K7" s="208" t="s">
        <v>40</v>
      </c>
      <c r="L7" s="208" t="s">
        <v>41</v>
      </c>
      <c r="M7" s="210">
        <v>46091</v>
      </c>
      <c r="N7" s="210">
        <v>46094</v>
      </c>
      <c r="O7" s="208">
        <v>4</v>
      </c>
      <c r="P7" s="207" t="s">
        <v>40</v>
      </c>
      <c r="Q7" s="207" t="s">
        <v>41</v>
      </c>
      <c r="R7" s="207" t="s">
        <v>41</v>
      </c>
      <c r="S7" s="211" t="s">
        <v>41</v>
      </c>
      <c r="T7" s="58" t="s">
        <v>40</v>
      </c>
      <c r="U7" s="50">
        <v>20</v>
      </c>
      <c r="V7" s="54"/>
      <c r="W7" s="58" t="s">
        <v>40</v>
      </c>
      <c r="X7" s="51">
        <v>30</v>
      </c>
      <c r="Y7" s="51">
        <v>30</v>
      </c>
      <c r="Z7" s="51">
        <v>0</v>
      </c>
      <c r="AA7" s="51">
        <v>30</v>
      </c>
      <c r="AB7" s="62">
        <f>SUM(ListeInventaire6[[#This Row],[Gravité Réelle]:[Gravité potentielle]])</f>
        <v>90</v>
      </c>
      <c r="AC7" s="61" t="s">
        <v>41</v>
      </c>
      <c r="AD7" s="68" t="s">
        <v>66</v>
      </c>
    </row>
    <row r="8" spans="1:30" s="44" customFormat="1" ht="49.5" x14ac:dyDescent="0.25">
      <c r="A8" s="56">
        <v>1</v>
      </c>
      <c r="B8" s="206">
        <v>46097</v>
      </c>
      <c r="C8" s="207" t="s">
        <v>67</v>
      </c>
      <c r="D8" s="207" t="s">
        <v>68</v>
      </c>
      <c r="E8" s="207" t="s">
        <v>69</v>
      </c>
      <c r="F8" s="207" t="s">
        <v>70</v>
      </c>
      <c r="G8" s="207" t="s">
        <v>71</v>
      </c>
      <c r="H8" s="208" t="s">
        <v>72</v>
      </c>
      <c r="I8" s="207" t="s">
        <v>73</v>
      </c>
      <c r="J8" s="209" t="s">
        <v>74</v>
      </c>
      <c r="K8" s="208" t="s">
        <v>41</v>
      </c>
      <c r="L8" s="208" t="s">
        <v>40</v>
      </c>
      <c r="M8" s="208" t="s">
        <v>57</v>
      </c>
      <c r="N8" s="208" t="s">
        <v>57</v>
      </c>
      <c r="O8" s="208" t="s">
        <v>57</v>
      </c>
      <c r="P8" s="207" t="s">
        <v>40</v>
      </c>
      <c r="Q8" s="207"/>
      <c r="R8" s="207" t="s">
        <v>41</v>
      </c>
      <c r="S8" s="207" t="s">
        <v>75</v>
      </c>
      <c r="T8" s="58" t="s">
        <v>40</v>
      </c>
      <c r="U8" s="50">
        <v>1</v>
      </c>
      <c r="V8" s="54"/>
      <c r="W8" s="58" t="s">
        <v>40</v>
      </c>
      <c r="X8" s="51">
        <v>10</v>
      </c>
      <c r="Y8" s="51">
        <v>10</v>
      </c>
      <c r="Z8" s="51">
        <v>0</v>
      </c>
      <c r="AA8" s="51">
        <v>40</v>
      </c>
      <c r="AB8" s="62">
        <f>SUM(ListeInventaire6[[#This Row],[Gravité Réelle]:[Gravité potentielle]])</f>
        <v>60</v>
      </c>
      <c r="AC8" s="77" t="s">
        <v>41</v>
      </c>
      <c r="AD8" s="68"/>
    </row>
    <row r="9" spans="1:30" s="44" customFormat="1" ht="40.35" customHeight="1" x14ac:dyDescent="0.25">
      <c r="A9" s="57">
        <v>1</v>
      </c>
      <c r="B9" s="206">
        <v>46098</v>
      </c>
      <c r="C9" s="207" t="s">
        <v>76</v>
      </c>
      <c r="D9" s="207" t="s">
        <v>68</v>
      </c>
      <c r="E9" s="207" t="s">
        <v>45</v>
      </c>
      <c r="F9" s="207" t="s">
        <v>77</v>
      </c>
      <c r="G9" s="207" t="s">
        <v>54</v>
      </c>
      <c r="H9" s="208" t="s">
        <v>72</v>
      </c>
      <c r="I9" s="207" t="s">
        <v>78</v>
      </c>
      <c r="J9" s="209" t="s">
        <v>79</v>
      </c>
      <c r="K9" s="208" t="s">
        <v>40</v>
      </c>
      <c r="L9" s="208" t="s">
        <v>41</v>
      </c>
      <c r="M9" s="210">
        <v>46099</v>
      </c>
      <c r="N9" s="210">
        <v>46105</v>
      </c>
      <c r="O9" s="208">
        <v>7</v>
      </c>
      <c r="P9" s="207" t="s">
        <v>42</v>
      </c>
      <c r="Q9" s="207" t="s">
        <v>41</v>
      </c>
      <c r="R9" s="207" t="s">
        <v>41</v>
      </c>
      <c r="S9" s="211" t="s">
        <v>41</v>
      </c>
      <c r="T9" s="58" t="s">
        <v>40</v>
      </c>
      <c r="U9" s="50">
        <v>1</v>
      </c>
      <c r="V9" s="54"/>
      <c r="W9" s="58" t="s">
        <v>40</v>
      </c>
      <c r="X9" s="51">
        <v>30</v>
      </c>
      <c r="Y9" s="51">
        <v>30</v>
      </c>
      <c r="Z9" s="51">
        <v>10</v>
      </c>
      <c r="AA9" s="51">
        <v>30</v>
      </c>
      <c r="AB9" s="62">
        <f>SUM(ListeInventaire6[[#This Row],[Gravité Réelle]:[Gravité potentielle]])</f>
        <v>100</v>
      </c>
      <c r="AC9" s="77" t="s">
        <v>41</v>
      </c>
      <c r="AD9" s="68" t="s">
        <v>80</v>
      </c>
    </row>
    <row r="10" spans="1:30" s="44" customFormat="1" ht="40.35" customHeight="1" x14ac:dyDescent="0.25">
      <c r="A10" s="57">
        <v>1</v>
      </c>
      <c r="B10" s="206">
        <v>46104</v>
      </c>
      <c r="C10" s="207" t="s">
        <v>81</v>
      </c>
      <c r="D10" s="207" t="s">
        <v>68</v>
      </c>
      <c r="E10" s="207" t="s">
        <v>82</v>
      </c>
      <c r="F10" s="207" t="s">
        <v>83</v>
      </c>
      <c r="G10" s="207" t="s">
        <v>36</v>
      </c>
      <c r="H10" s="208" t="s">
        <v>37</v>
      </c>
      <c r="I10" s="207" t="s">
        <v>84</v>
      </c>
      <c r="J10" s="209" t="s">
        <v>85</v>
      </c>
      <c r="K10" s="208" t="s">
        <v>40</v>
      </c>
      <c r="L10" s="208" t="s">
        <v>41</v>
      </c>
      <c r="M10" s="210">
        <v>46105</v>
      </c>
      <c r="N10" s="210">
        <v>46136</v>
      </c>
      <c r="O10" s="208">
        <v>32</v>
      </c>
      <c r="P10" s="207" t="s">
        <v>40</v>
      </c>
      <c r="Q10" s="207"/>
      <c r="R10" s="207" t="s">
        <v>75</v>
      </c>
      <c r="S10" s="211"/>
      <c r="T10" s="58"/>
      <c r="U10" s="50">
        <v>8</v>
      </c>
      <c r="V10" s="54"/>
      <c r="W10" s="58" t="s">
        <v>40</v>
      </c>
      <c r="X10" s="51">
        <v>30</v>
      </c>
      <c r="Y10" s="51">
        <v>10</v>
      </c>
      <c r="Z10" s="51">
        <v>20</v>
      </c>
      <c r="AA10" s="51">
        <v>20</v>
      </c>
      <c r="AB10" s="62">
        <f>SUM(ListeInventaire6[[#This Row],[Gravité Réelle]:[Gravité potentielle]])</f>
        <v>80</v>
      </c>
      <c r="AC10" s="61" t="s">
        <v>41</v>
      </c>
      <c r="AD10" s="68"/>
    </row>
    <row r="11" spans="1:30" s="44" customFormat="1" ht="40.35" customHeight="1" x14ac:dyDescent="0.25">
      <c r="A11" s="57">
        <v>1</v>
      </c>
      <c r="B11" s="427">
        <v>46105</v>
      </c>
      <c r="C11" s="426" t="s">
        <v>86</v>
      </c>
      <c r="D11" s="426" t="s">
        <v>44</v>
      </c>
      <c r="E11" s="426" t="s">
        <v>87</v>
      </c>
      <c r="F11" s="426" t="s">
        <v>88</v>
      </c>
      <c r="G11" s="426" t="s">
        <v>36</v>
      </c>
      <c r="H11" s="426" t="s">
        <v>72</v>
      </c>
      <c r="I11" s="428" t="s">
        <v>89</v>
      </c>
      <c r="J11" s="429" t="s">
        <v>90</v>
      </c>
      <c r="K11" s="208" t="s">
        <v>40</v>
      </c>
      <c r="L11" s="208" t="s">
        <v>41</v>
      </c>
      <c r="M11" s="210">
        <v>46107</v>
      </c>
      <c r="N11" s="210">
        <v>46112</v>
      </c>
      <c r="O11" s="208">
        <v>6</v>
      </c>
      <c r="P11" s="207" t="s">
        <v>40</v>
      </c>
      <c r="Q11" s="207" t="s">
        <v>41</v>
      </c>
      <c r="R11" s="207" t="s">
        <v>40</v>
      </c>
      <c r="S11" s="211" t="s">
        <v>75</v>
      </c>
      <c r="T11" s="61" t="s">
        <v>40</v>
      </c>
      <c r="U11" s="51">
        <v>36</v>
      </c>
      <c r="V11" s="62"/>
      <c r="W11" s="58" t="s">
        <v>40</v>
      </c>
      <c r="X11" s="51">
        <v>30</v>
      </c>
      <c r="Y11" s="51">
        <v>20</v>
      </c>
      <c r="Z11" s="51">
        <v>20</v>
      </c>
      <c r="AA11" s="51">
        <v>30</v>
      </c>
      <c r="AB11" s="62">
        <f>+SUM(ListeInventaire6[[#This Row],[Gravité Réelle]:[Gravité potentielle]])</f>
        <v>100</v>
      </c>
      <c r="AC11" s="61" t="s">
        <v>41</v>
      </c>
      <c r="AD11" s="69" t="s">
        <v>91</v>
      </c>
    </row>
    <row r="12" spans="1:30" s="44" customFormat="1" ht="77.25" customHeight="1" x14ac:dyDescent="0.25">
      <c r="A12" s="425">
        <v>1</v>
      </c>
      <c r="B12" s="427">
        <v>46108</v>
      </c>
      <c r="C12" s="426" t="s">
        <v>92</v>
      </c>
      <c r="D12" s="426" t="s">
        <v>44</v>
      </c>
      <c r="E12" s="426" t="s">
        <v>34</v>
      </c>
      <c r="F12" s="426" t="s">
        <v>93</v>
      </c>
      <c r="G12" s="426" t="s">
        <v>94</v>
      </c>
      <c r="H12" s="426" t="s">
        <v>37</v>
      </c>
      <c r="I12" s="428" t="s">
        <v>95</v>
      </c>
      <c r="J12" s="429" t="s">
        <v>96</v>
      </c>
      <c r="K12" s="426" t="s">
        <v>40</v>
      </c>
      <c r="L12" s="426" t="s">
        <v>40</v>
      </c>
      <c r="M12" s="208" t="s">
        <v>57</v>
      </c>
      <c r="N12" s="208" t="s">
        <v>57</v>
      </c>
      <c r="O12" s="208" t="s">
        <v>57</v>
      </c>
      <c r="P12" s="426" t="s">
        <v>41</v>
      </c>
      <c r="Q12" s="426" t="s">
        <v>40</v>
      </c>
      <c r="R12" s="426" t="s">
        <v>40</v>
      </c>
      <c r="S12" s="426" t="s">
        <v>41</v>
      </c>
      <c r="T12" s="61" t="s">
        <v>40</v>
      </c>
      <c r="U12" s="51" t="s">
        <v>97</v>
      </c>
      <c r="V12" s="62"/>
      <c r="W12" s="58" t="s">
        <v>40</v>
      </c>
      <c r="X12" s="51">
        <v>50</v>
      </c>
      <c r="Y12" s="51">
        <v>20</v>
      </c>
      <c r="Z12" s="51">
        <v>0</v>
      </c>
      <c r="AA12" s="51">
        <v>40</v>
      </c>
      <c r="AB12" s="62">
        <f>+SUM(ListeInventaire6[[#This Row],[Gravité Réelle]:[Gravité potentielle]])</f>
        <v>110</v>
      </c>
      <c r="AC12" s="61" t="s">
        <v>41</v>
      </c>
      <c r="AD12" s="62"/>
    </row>
    <row r="13" spans="1:30" s="44" customFormat="1" ht="40.35" customHeight="1" thickBot="1" x14ac:dyDescent="0.3">
      <c r="A13" s="57">
        <v>1</v>
      </c>
      <c r="B13" s="212">
        <v>46112</v>
      </c>
      <c r="C13" s="213" t="s">
        <v>98</v>
      </c>
      <c r="D13" s="213" t="s">
        <v>44</v>
      </c>
      <c r="E13" s="213" t="s">
        <v>34</v>
      </c>
      <c r="F13" s="213" t="s">
        <v>99</v>
      </c>
      <c r="G13" s="213" t="s">
        <v>100</v>
      </c>
      <c r="H13" s="214" t="s">
        <v>37</v>
      </c>
      <c r="I13" s="213" t="s">
        <v>101</v>
      </c>
      <c r="J13" s="215" t="s">
        <v>102</v>
      </c>
      <c r="K13" s="214" t="s">
        <v>40</v>
      </c>
      <c r="L13" s="214" t="s">
        <v>41</v>
      </c>
      <c r="M13" s="424">
        <v>46113</v>
      </c>
      <c r="N13" s="424">
        <v>46118</v>
      </c>
      <c r="O13" s="214">
        <v>6</v>
      </c>
      <c r="P13" s="213" t="s">
        <v>40</v>
      </c>
      <c r="Q13" s="213" t="s">
        <v>41</v>
      </c>
      <c r="R13" s="213" t="s">
        <v>41</v>
      </c>
      <c r="S13" s="216" t="s">
        <v>41</v>
      </c>
      <c r="T13" s="58" t="s">
        <v>40</v>
      </c>
      <c r="U13" s="50">
        <v>3</v>
      </c>
      <c r="V13" s="54"/>
      <c r="W13" s="58" t="s">
        <v>40</v>
      </c>
      <c r="X13" s="51">
        <v>30</v>
      </c>
      <c r="Y13" s="51">
        <v>20</v>
      </c>
      <c r="Z13" s="51">
        <v>10</v>
      </c>
      <c r="AA13" s="51">
        <v>30</v>
      </c>
      <c r="AB13" s="62">
        <f>SUM(ListeInventaire6[[#This Row],[Gravité Réelle]:[Gravité potentielle]])</f>
        <v>90</v>
      </c>
      <c r="AC13" s="61" t="s">
        <v>41</v>
      </c>
      <c r="AD13" s="68"/>
    </row>
    <row r="14" spans="1:30" s="44" customFormat="1" ht="40.35" customHeight="1" outlineLevel="1" x14ac:dyDescent="0.25">
      <c r="A14" s="57">
        <v>2</v>
      </c>
      <c r="B14" s="217">
        <v>46114</v>
      </c>
      <c r="C14" s="218" t="s">
        <v>103</v>
      </c>
      <c r="D14" s="218" t="s">
        <v>44</v>
      </c>
      <c r="E14" s="218" t="s">
        <v>34</v>
      </c>
      <c r="F14" s="218" t="s">
        <v>104</v>
      </c>
      <c r="G14" s="218" t="s">
        <v>54</v>
      </c>
      <c r="H14" s="219" t="s">
        <v>37</v>
      </c>
      <c r="I14" s="406" t="s">
        <v>105</v>
      </c>
      <c r="J14" s="408" t="s">
        <v>106</v>
      </c>
      <c r="K14" s="220" t="s">
        <v>40</v>
      </c>
      <c r="L14" s="409" t="s">
        <v>40</v>
      </c>
      <c r="M14" s="407" t="s">
        <v>57</v>
      </c>
      <c r="N14" s="407" t="s">
        <v>57</v>
      </c>
      <c r="O14" s="410" t="s">
        <v>57</v>
      </c>
      <c r="P14" s="221" t="s">
        <v>41</v>
      </c>
      <c r="Q14" s="221" t="s">
        <v>40</v>
      </c>
      <c r="R14" s="221" t="s">
        <v>41</v>
      </c>
      <c r="S14" s="222" t="s">
        <v>41</v>
      </c>
      <c r="T14" s="60" t="s">
        <v>40</v>
      </c>
      <c r="U14" s="52">
        <v>1</v>
      </c>
      <c r="V14" s="54"/>
      <c r="W14" s="58" t="s">
        <v>40</v>
      </c>
      <c r="X14" s="51">
        <v>30</v>
      </c>
      <c r="Y14" s="51">
        <v>10</v>
      </c>
      <c r="Z14" s="51">
        <v>10</v>
      </c>
      <c r="AA14" s="51">
        <v>40</v>
      </c>
      <c r="AB14" s="62">
        <f>SUM(ListeInventaire6[[#This Row],[Gravité Réelle]:[Gravité potentielle]])</f>
        <v>90</v>
      </c>
      <c r="AC14" s="61" t="s">
        <v>41</v>
      </c>
      <c r="AD14" s="62"/>
    </row>
    <row r="15" spans="1:30" s="44" customFormat="1" ht="40.35" customHeight="1" outlineLevel="1" x14ac:dyDescent="0.25">
      <c r="A15" s="57">
        <v>2</v>
      </c>
      <c r="B15" s="223">
        <v>46115</v>
      </c>
      <c r="C15" s="224" t="s">
        <v>107</v>
      </c>
      <c r="D15" s="224" t="s">
        <v>44</v>
      </c>
      <c r="E15" s="224" t="s">
        <v>34</v>
      </c>
      <c r="F15" s="224" t="s">
        <v>108</v>
      </c>
      <c r="G15" s="224" t="s">
        <v>109</v>
      </c>
      <c r="H15" s="225" t="s">
        <v>37</v>
      </c>
      <c r="I15" s="226" t="s">
        <v>110</v>
      </c>
      <c r="J15" s="444" t="s">
        <v>111</v>
      </c>
      <c r="K15" s="227" t="s">
        <v>41</v>
      </c>
      <c r="L15" s="228" t="s">
        <v>40</v>
      </c>
      <c r="M15" s="227" t="s">
        <v>57</v>
      </c>
      <c r="N15" s="227" t="s">
        <v>57</v>
      </c>
      <c r="O15" s="228" t="s">
        <v>57</v>
      </c>
      <c r="P15" s="228" t="s">
        <v>40</v>
      </c>
      <c r="Q15" s="228" t="s">
        <v>40</v>
      </c>
      <c r="R15" s="228" t="s">
        <v>41</v>
      </c>
      <c r="S15" s="229" t="s">
        <v>41</v>
      </c>
      <c r="T15" s="60" t="s">
        <v>40</v>
      </c>
      <c r="U15" s="52">
        <v>1</v>
      </c>
      <c r="V15" s="54"/>
      <c r="W15" s="58" t="s">
        <v>40</v>
      </c>
      <c r="X15" s="51">
        <v>50</v>
      </c>
      <c r="Y15" s="51">
        <v>20</v>
      </c>
      <c r="Z15" s="51">
        <v>10</v>
      </c>
      <c r="AA15" s="51">
        <v>50</v>
      </c>
      <c r="AB15" s="62">
        <f>SUM(ListeInventaire6[[#This Row],[Gravité Réelle]:[Gravité potentielle]])</f>
        <v>130</v>
      </c>
      <c r="AC15" s="61" t="s">
        <v>41</v>
      </c>
      <c r="AD15" s="62"/>
    </row>
    <row r="16" spans="1:30" s="44" customFormat="1" ht="40.35" customHeight="1" outlineLevel="1" x14ac:dyDescent="0.25">
      <c r="A16" s="57">
        <v>2</v>
      </c>
      <c r="B16" s="223">
        <v>46122</v>
      </c>
      <c r="C16" s="224" t="s">
        <v>2414</v>
      </c>
      <c r="D16" s="224" t="s">
        <v>44</v>
      </c>
      <c r="E16" s="224" t="s">
        <v>230</v>
      </c>
      <c r="F16" s="224" t="s">
        <v>624</v>
      </c>
      <c r="G16" s="224" t="s">
        <v>36</v>
      </c>
      <c r="H16" s="225" t="s">
        <v>37</v>
      </c>
      <c r="I16" s="226" t="s">
        <v>2416</v>
      </c>
      <c r="J16" s="227" t="s">
        <v>2415</v>
      </c>
      <c r="K16" s="227" t="s">
        <v>40</v>
      </c>
      <c r="L16" s="228" t="s">
        <v>40</v>
      </c>
      <c r="M16" s="227" t="s">
        <v>57</v>
      </c>
      <c r="N16" s="227" t="s">
        <v>57</v>
      </c>
      <c r="O16" s="228" t="s">
        <v>57</v>
      </c>
      <c r="P16" s="228" t="s">
        <v>41</v>
      </c>
      <c r="Q16" s="228" t="s">
        <v>40</v>
      </c>
      <c r="R16" s="228" t="s">
        <v>41</v>
      </c>
      <c r="S16" s="229" t="s">
        <v>41</v>
      </c>
      <c r="T16" s="60" t="s">
        <v>40</v>
      </c>
      <c r="U16" s="52">
        <v>2</v>
      </c>
      <c r="V16" s="54"/>
      <c r="W16" s="58" t="s">
        <v>40</v>
      </c>
      <c r="X16" s="51">
        <v>30</v>
      </c>
      <c r="Y16" s="51">
        <v>20</v>
      </c>
      <c r="Z16" s="51">
        <v>20</v>
      </c>
      <c r="AA16" s="51">
        <v>20</v>
      </c>
      <c r="AB16" s="62">
        <f>SUM(ListeInventaire6[[#This Row],[Gravité Réelle]:[Gravité potentielle]])</f>
        <v>90</v>
      </c>
      <c r="AC16" s="61" t="s">
        <v>41</v>
      </c>
      <c r="AD16" s="62"/>
    </row>
    <row r="17" spans="1:34" s="44" customFormat="1" ht="40.35" customHeight="1" outlineLevel="1" x14ac:dyDescent="0.25">
      <c r="A17" s="57">
        <v>2</v>
      </c>
      <c r="B17" s="223">
        <v>46127</v>
      </c>
      <c r="C17" s="224" t="s">
        <v>112</v>
      </c>
      <c r="D17" s="224" t="s">
        <v>44</v>
      </c>
      <c r="E17" s="224" t="s">
        <v>87</v>
      </c>
      <c r="F17" s="224" t="s">
        <v>113</v>
      </c>
      <c r="G17" s="224" t="s">
        <v>36</v>
      </c>
      <c r="H17" s="225" t="s">
        <v>114</v>
      </c>
      <c r="I17" s="226" t="s">
        <v>115</v>
      </c>
      <c r="J17" s="227" t="s">
        <v>116</v>
      </c>
      <c r="K17" s="227" t="s">
        <v>40</v>
      </c>
      <c r="L17" s="228" t="s">
        <v>41</v>
      </c>
      <c r="M17" s="476">
        <v>46128</v>
      </c>
      <c r="N17" s="476">
        <v>46138</v>
      </c>
      <c r="O17" s="228"/>
      <c r="P17" s="228" t="s">
        <v>40</v>
      </c>
      <c r="Q17" s="228"/>
      <c r="R17" s="228"/>
      <c r="S17" s="229"/>
      <c r="T17" s="60"/>
      <c r="U17" s="52"/>
      <c r="V17" s="54"/>
      <c r="W17" s="58"/>
      <c r="X17" s="51"/>
      <c r="Y17" s="51"/>
      <c r="Z17" s="51"/>
      <c r="AA17" s="51"/>
      <c r="AB17" s="62">
        <f>SUM(ListeInventaire6[[#This Row],[Gravité Réelle]:[Gravité potentielle]])</f>
        <v>0</v>
      </c>
      <c r="AC17" s="61" t="s">
        <v>41</v>
      </c>
      <c r="AD17" s="62"/>
    </row>
    <row r="18" spans="1:34" s="44" customFormat="1" ht="40.35" customHeight="1" outlineLevel="1" x14ac:dyDescent="0.25">
      <c r="A18" s="57">
        <v>2</v>
      </c>
      <c r="B18" s="223">
        <v>46139</v>
      </c>
      <c r="C18" s="224" t="s">
        <v>117</v>
      </c>
      <c r="D18" s="224" t="s">
        <v>44</v>
      </c>
      <c r="E18" s="224" t="s">
        <v>34</v>
      </c>
      <c r="F18" s="224" t="s">
        <v>108</v>
      </c>
      <c r="G18" s="224" t="s">
        <v>109</v>
      </c>
      <c r="H18" s="225" t="s">
        <v>48</v>
      </c>
      <c r="I18" s="226" t="s">
        <v>118</v>
      </c>
      <c r="J18" s="227" t="s">
        <v>119</v>
      </c>
      <c r="K18" s="227" t="s">
        <v>40</v>
      </c>
      <c r="L18" s="228" t="s">
        <v>40</v>
      </c>
      <c r="M18" s="227" t="s">
        <v>57</v>
      </c>
      <c r="N18" s="227" t="s">
        <v>57</v>
      </c>
      <c r="O18" s="228" t="s">
        <v>57</v>
      </c>
      <c r="P18" s="228" t="s">
        <v>40</v>
      </c>
      <c r="Q18" s="228" t="s">
        <v>40</v>
      </c>
      <c r="R18" s="228" t="s">
        <v>40</v>
      </c>
      <c r="S18" s="229" t="s">
        <v>40</v>
      </c>
      <c r="T18" s="60" t="s">
        <v>40</v>
      </c>
      <c r="U18" s="52">
        <v>2</v>
      </c>
      <c r="V18" s="54"/>
      <c r="W18" s="58" t="s">
        <v>40</v>
      </c>
      <c r="X18" s="51">
        <v>30</v>
      </c>
      <c r="Y18" s="51">
        <v>20</v>
      </c>
      <c r="Z18" s="51">
        <v>20</v>
      </c>
      <c r="AA18" s="51">
        <v>40</v>
      </c>
      <c r="AB18" s="62">
        <f>SUM(ListeInventaire6[[#This Row],[Gravité Réelle]:[Gravité potentielle]])</f>
        <v>110</v>
      </c>
      <c r="AC18" s="61" t="s">
        <v>41</v>
      </c>
      <c r="AD18" s="62"/>
    </row>
    <row r="19" spans="1:34" s="44" customFormat="1" ht="40.35" customHeight="1" outlineLevel="1" x14ac:dyDescent="0.25">
      <c r="A19" s="57">
        <v>2</v>
      </c>
      <c r="B19" s="223"/>
      <c r="C19" s="224"/>
      <c r="D19" s="224"/>
      <c r="E19" s="224"/>
      <c r="F19" s="224"/>
      <c r="G19" s="224"/>
      <c r="H19" s="225"/>
      <c r="I19" s="226"/>
      <c r="J19" s="227"/>
      <c r="K19" s="227"/>
      <c r="L19" s="228"/>
      <c r="M19" s="227"/>
      <c r="N19" s="227"/>
      <c r="O19" s="228"/>
      <c r="P19" s="228"/>
      <c r="Q19" s="228"/>
      <c r="R19" s="228"/>
      <c r="S19" s="229"/>
      <c r="T19" s="60"/>
      <c r="U19" s="52"/>
      <c r="V19" s="54"/>
      <c r="W19" s="58"/>
      <c r="X19" s="51"/>
      <c r="Y19" s="51"/>
      <c r="Z19" s="51"/>
      <c r="AA19" s="51"/>
      <c r="AB19" s="62">
        <f>SUM(ListeInventaire6[[#This Row],[Gravité Réelle]:[Gravité potentielle]])</f>
        <v>0</v>
      </c>
      <c r="AC19" s="61"/>
      <c r="AD19" s="62"/>
    </row>
    <row r="20" spans="1:34" s="44" customFormat="1" ht="40.35" customHeight="1" outlineLevel="1" x14ac:dyDescent="0.25">
      <c r="A20" s="57">
        <v>2</v>
      </c>
      <c r="B20" s="223"/>
      <c r="C20" s="224"/>
      <c r="D20" s="224"/>
      <c r="E20" s="224"/>
      <c r="F20" s="224"/>
      <c r="G20" s="224"/>
      <c r="H20" s="225"/>
      <c r="I20" s="226"/>
      <c r="J20" s="227"/>
      <c r="K20" s="227"/>
      <c r="L20" s="228"/>
      <c r="M20" s="227"/>
      <c r="N20" s="227"/>
      <c r="O20" s="228"/>
      <c r="P20" s="228"/>
      <c r="Q20" s="228"/>
      <c r="R20" s="228"/>
      <c r="S20" s="229"/>
      <c r="T20" s="60"/>
      <c r="U20" s="52"/>
      <c r="V20" s="54"/>
      <c r="W20" s="58"/>
      <c r="X20" s="51"/>
      <c r="Y20" s="51"/>
      <c r="Z20" s="51"/>
      <c r="AA20" s="51"/>
      <c r="AB20" s="62">
        <f>SUM(ListeInventaire6[[#This Row],[Gravité Réelle]:[Gravité potentielle]])</f>
        <v>0</v>
      </c>
      <c r="AC20" s="61"/>
      <c r="AD20" s="62"/>
    </row>
    <row r="21" spans="1:34" s="44" customFormat="1" ht="40.35" customHeight="1" outlineLevel="1" x14ac:dyDescent="0.25">
      <c r="A21" s="57">
        <v>2</v>
      </c>
      <c r="B21" s="223"/>
      <c r="C21" s="224"/>
      <c r="D21" s="224"/>
      <c r="E21" s="224"/>
      <c r="F21" s="224"/>
      <c r="G21" s="224"/>
      <c r="H21" s="225"/>
      <c r="I21" s="226"/>
      <c r="J21" s="227"/>
      <c r="K21" s="227"/>
      <c r="L21" s="228"/>
      <c r="M21" s="227"/>
      <c r="N21" s="227"/>
      <c r="O21" s="228"/>
      <c r="P21" s="228"/>
      <c r="Q21" s="228"/>
      <c r="R21" s="228"/>
      <c r="S21" s="229"/>
      <c r="T21" s="60"/>
      <c r="U21" s="52"/>
      <c r="V21" s="54"/>
      <c r="W21" s="58"/>
      <c r="X21" s="51"/>
      <c r="Y21" s="51"/>
      <c r="Z21" s="51"/>
      <c r="AA21" s="51"/>
      <c r="AB21" s="62">
        <f>SUM(ListeInventaire6[[#This Row],[Gravité Réelle]:[Gravité potentielle]])</f>
        <v>0</v>
      </c>
      <c r="AC21" s="61"/>
      <c r="AD21" s="62"/>
    </row>
    <row r="22" spans="1:34" s="44" customFormat="1" ht="40.35" customHeight="1" outlineLevel="1" x14ac:dyDescent="0.25">
      <c r="A22" s="57">
        <v>2</v>
      </c>
      <c r="B22" s="223"/>
      <c r="C22" s="224"/>
      <c r="D22" s="224"/>
      <c r="E22" s="224"/>
      <c r="F22" s="224"/>
      <c r="G22" s="224"/>
      <c r="H22" s="225"/>
      <c r="I22" s="226"/>
      <c r="J22" s="227"/>
      <c r="K22" s="227"/>
      <c r="L22" s="228"/>
      <c r="M22" s="227"/>
      <c r="N22" s="227"/>
      <c r="O22" s="228"/>
      <c r="P22" s="228"/>
      <c r="Q22" s="228"/>
      <c r="R22" s="228"/>
      <c r="S22" s="229"/>
      <c r="T22" s="60"/>
      <c r="U22" s="52"/>
      <c r="V22" s="54"/>
      <c r="W22" s="58"/>
      <c r="X22" s="51"/>
      <c r="Y22" s="51"/>
      <c r="Z22" s="51"/>
      <c r="AA22" s="51"/>
      <c r="AB22" s="62">
        <f>SUM(ListeInventaire6[[#This Row],[Gravité Réelle]:[Gravité potentielle]])</f>
        <v>0</v>
      </c>
      <c r="AC22" s="61"/>
      <c r="AD22" s="62"/>
    </row>
    <row r="23" spans="1:34" s="44" customFormat="1" ht="40.35" customHeight="1" outlineLevel="1" thickBot="1" x14ac:dyDescent="0.3">
      <c r="A23" s="57">
        <v>2</v>
      </c>
      <c r="B23" s="230"/>
      <c r="C23" s="231"/>
      <c r="D23" s="231"/>
      <c r="E23" s="231"/>
      <c r="F23" s="231"/>
      <c r="G23" s="231"/>
      <c r="H23" s="232"/>
      <c r="I23" s="233"/>
      <c r="J23" s="234"/>
      <c r="K23" s="234"/>
      <c r="L23" s="235"/>
      <c r="M23" s="234"/>
      <c r="N23" s="234"/>
      <c r="O23" s="235"/>
      <c r="P23" s="235"/>
      <c r="Q23" s="235"/>
      <c r="R23" s="235"/>
      <c r="S23" s="236"/>
      <c r="T23" s="60"/>
      <c r="U23" s="52"/>
      <c r="V23" s="54"/>
      <c r="W23" s="58"/>
      <c r="X23" s="51"/>
      <c r="Y23" s="51"/>
      <c r="Z23" s="51"/>
      <c r="AA23" s="51"/>
      <c r="AB23" s="62">
        <f>SUM(ListeInventaire6[[#This Row],[Gravité Réelle]:[Gravité potentielle]])</f>
        <v>0</v>
      </c>
      <c r="AC23" s="61"/>
      <c r="AD23" s="62"/>
      <c r="AH23" s="44" t="s">
        <v>120</v>
      </c>
    </row>
    <row r="24" spans="1:34" s="44" customFormat="1" ht="40.35" customHeight="1" outlineLevel="1" x14ac:dyDescent="0.25">
      <c r="A24" s="57">
        <v>3</v>
      </c>
      <c r="B24" s="237"/>
      <c r="C24" s="238"/>
      <c r="D24" s="238"/>
      <c r="E24" s="238"/>
      <c r="F24" s="238"/>
      <c r="G24" s="238"/>
      <c r="H24" s="239"/>
      <c r="I24" s="240"/>
      <c r="J24" s="241"/>
      <c r="K24" s="241"/>
      <c r="L24" s="242"/>
      <c r="M24" s="241"/>
      <c r="N24" s="241"/>
      <c r="O24" s="241"/>
      <c r="P24" s="242"/>
      <c r="Q24" s="241"/>
      <c r="R24" s="241"/>
      <c r="S24" s="243"/>
      <c r="T24" s="58"/>
      <c r="U24" s="50"/>
      <c r="V24" s="54"/>
      <c r="W24" s="58"/>
      <c r="X24" s="51"/>
      <c r="Y24" s="51"/>
      <c r="Z24" s="51"/>
      <c r="AA24" s="51"/>
      <c r="AB24" s="62">
        <f>SUM(ListeInventaire6[[#This Row],[Gravité Réelle]:[Gravité potentielle]])</f>
        <v>0</v>
      </c>
      <c r="AC24" s="61"/>
      <c r="AD24" s="59"/>
    </row>
    <row r="25" spans="1:34" s="44" customFormat="1" ht="40.35" customHeight="1" outlineLevel="1" x14ac:dyDescent="0.25">
      <c r="A25" s="57">
        <v>3</v>
      </c>
      <c r="B25" s="244"/>
      <c r="C25" s="245"/>
      <c r="D25" s="245"/>
      <c r="E25" s="245"/>
      <c r="F25" s="245"/>
      <c r="G25" s="245"/>
      <c r="H25" s="246"/>
      <c r="I25" s="247"/>
      <c r="J25" s="248"/>
      <c r="K25" s="248"/>
      <c r="L25" s="249"/>
      <c r="M25" s="248"/>
      <c r="N25" s="248"/>
      <c r="O25" s="248"/>
      <c r="P25" s="248"/>
      <c r="Q25" s="248"/>
      <c r="R25" s="248"/>
      <c r="S25" s="250"/>
      <c r="T25" s="61"/>
      <c r="U25" s="51"/>
      <c r="V25" s="54"/>
      <c r="W25" s="58"/>
      <c r="X25" s="51"/>
      <c r="Y25" s="51"/>
      <c r="Z25" s="51"/>
      <c r="AA25" s="51"/>
      <c r="AB25" s="62">
        <f>SUM(ListeInventaire6[[#This Row],[Gravité Réelle]:[Gravité potentielle]])</f>
        <v>0</v>
      </c>
      <c r="AC25" s="61"/>
      <c r="AD25" s="62"/>
    </row>
    <row r="26" spans="1:34" s="44" customFormat="1" ht="40.35" customHeight="1" outlineLevel="1" x14ac:dyDescent="0.25">
      <c r="A26" s="57">
        <v>3</v>
      </c>
      <c r="B26" s="244"/>
      <c r="C26" s="245"/>
      <c r="D26" s="245"/>
      <c r="E26" s="245"/>
      <c r="F26" s="245"/>
      <c r="G26" s="245"/>
      <c r="H26" s="246"/>
      <c r="I26" s="247"/>
      <c r="J26" s="248"/>
      <c r="K26" s="248"/>
      <c r="L26" s="249"/>
      <c r="M26" s="248"/>
      <c r="N26" s="248"/>
      <c r="O26" s="249"/>
      <c r="P26" s="249"/>
      <c r="Q26" s="249"/>
      <c r="R26" s="249"/>
      <c r="S26" s="250"/>
      <c r="T26" s="58"/>
      <c r="U26" s="50"/>
      <c r="V26" s="54"/>
      <c r="W26" s="58"/>
      <c r="X26" s="51"/>
      <c r="Y26" s="51"/>
      <c r="Z26" s="51"/>
      <c r="AA26" s="51"/>
      <c r="AB26" s="62">
        <f>SUM(ListeInventaire6[[#This Row],[Gravité Réelle]:[Gravité potentielle]])</f>
        <v>0</v>
      </c>
      <c r="AC26" s="61"/>
      <c r="AD26" s="62"/>
    </row>
    <row r="27" spans="1:34" s="44" customFormat="1" ht="40.35" customHeight="1" outlineLevel="1" x14ac:dyDescent="0.25">
      <c r="A27" s="86">
        <v>3</v>
      </c>
      <c r="B27" s="244"/>
      <c r="C27" s="245"/>
      <c r="D27" s="245"/>
      <c r="E27" s="245"/>
      <c r="F27" s="245"/>
      <c r="G27" s="245"/>
      <c r="H27" s="246"/>
      <c r="I27" s="247"/>
      <c r="J27" s="251"/>
      <c r="K27" s="251"/>
      <c r="L27" s="252"/>
      <c r="M27" s="248"/>
      <c r="N27" s="248"/>
      <c r="O27" s="248"/>
      <c r="P27" s="248"/>
      <c r="Q27" s="248"/>
      <c r="R27" s="248"/>
      <c r="S27" s="250"/>
      <c r="T27" s="58"/>
      <c r="U27" s="50"/>
      <c r="V27" s="54"/>
      <c r="W27" s="58"/>
      <c r="X27" s="51"/>
      <c r="Y27" s="51"/>
      <c r="Z27" s="51"/>
      <c r="AA27" s="51"/>
      <c r="AB27" s="62">
        <f>SUM(ListeInventaire6[[#This Row],[Gravité Réelle]:[Gravité potentielle]])</f>
        <v>0</v>
      </c>
      <c r="AC27" s="61"/>
      <c r="AD27" s="62"/>
    </row>
    <row r="28" spans="1:34" s="44" customFormat="1" ht="40.35" customHeight="1" outlineLevel="1" x14ac:dyDescent="0.25">
      <c r="A28" s="57">
        <v>3</v>
      </c>
      <c r="B28" s="244"/>
      <c r="C28" s="245"/>
      <c r="D28" s="245"/>
      <c r="E28" s="245"/>
      <c r="F28" s="245"/>
      <c r="G28" s="245"/>
      <c r="H28" s="246"/>
      <c r="I28" s="247"/>
      <c r="J28" s="253"/>
      <c r="K28" s="253"/>
      <c r="L28" s="252"/>
      <c r="M28" s="248"/>
      <c r="N28" s="248"/>
      <c r="O28" s="248"/>
      <c r="P28" s="248"/>
      <c r="Q28" s="248"/>
      <c r="R28" s="248"/>
      <c r="S28" s="250"/>
      <c r="T28" s="58"/>
      <c r="U28" s="50"/>
      <c r="V28" s="54"/>
      <c r="W28" s="58"/>
      <c r="X28" s="51"/>
      <c r="Y28" s="51"/>
      <c r="Z28" s="51"/>
      <c r="AA28" s="51"/>
      <c r="AB28" s="62">
        <f>SUM(ListeInventaire6[[#This Row],[Gravité Réelle]:[Gravité potentielle]])</f>
        <v>0</v>
      </c>
      <c r="AC28" s="61"/>
      <c r="AD28" s="62"/>
    </row>
    <row r="29" spans="1:34" s="44" customFormat="1" ht="40.35" customHeight="1" outlineLevel="1" x14ac:dyDescent="0.25">
      <c r="A29" s="86">
        <v>3</v>
      </c>
      <c r="B29" s="244"/>
      <c r="C29" s="245"/>
      <c r="D29" s="245"/>
      <c r="E29" s="245"/>
      <c r="F29" s="245"/>
      <c r="G29" s="245"/>
      <c r="H29" s="246"/>
      <c r="I29" s="247"/>
      <c r="J29" s="254"/>
      <c r="K29" s="254"/>
      <c r="L29" s="252"/>
      <c r="M29" s="248"/>
      <c r="N29" s="248"/>
      <c r="O29" s="252"/>
      <c r="P29" s="248"/>
      <c r="Q29" s="248"/>
      <c r="R29" s="248"/>
      <c r="S29" s="250"/>
      <c r="T29" s="58"/>
      <c r="U29" s="50"/>
      <c r="V29" s="54"/>
      <c r="W29" s="58"/>
      <c r="X29" s="51"/>
      <c r="Y29" s="51"/>
      <c r="Z29" s="51"/>
      <c r="AA29" s="51"/>
      <c r="AB29" s="62">
        <f>SUM(ListeInventaire6[[#This Row],[Gravité Réelle]:[Gravité potentielle]])</f>
        <v>0</v>
      </c>
      <c r="AC29" s="61"/>
      <c r="AD29" s="62"/>
    </row>
    <row r="30" spans="1:34" s="44" customFormat="1" ht="40.35" customHeight="1" outlineLevel="1" x14ac:dyDescent="0.25">
      <c r="A30" s="86">
        <v>3</v>
      </c>
      <c r="B30" s="244"/>
      <c r="C30" s="245"/>
      <c r="D30" s="245"/>
      <c r="E30" s="245"/>
      <c r="F30" s="245"/>
      <c r="G30" s="252"/>
      <c r="H30" s="252"/>
      <c r="I30" s="247"/>
      <c r="J30" s="251"/>
      <c r="K30" s="251"/>
      <c r="L30" s="252"/>
      <c r="M30" s="248"/>
      <c r="N30" s="248"/>
      <c r="O30" s="252"/>
      <c r="P30" s="255"/>
      <c r="Q30" s="252"/>
      <c r="R30" s="249"/>
      <c r="S30" s="250"/>
      <c r="T30" s="61"/>
      <c r="U30" s="51"/>
      <c r="V30" s="53"/>
      <c r="W30" s="58"/>
      <c r="X30" s="51"/>
      <c r="Y30" s="51"/>
      <c r="Z30" s="51"/>
      <c r="AA30" s="51"/>
      <c r="AB30" s="62">
        <f>SUM(ListeInventaire6[[#This Row],[Gravité Réelle]:[Gravité potentielle]])</f>
        <v>0</v>
      </c>
      <c r="AC30" s="61"/>
      <c r="AD30" s="69"/>
    </row>
    <row r="31" spans="1:34" s="44" customFormat="1" ht="40.35" customHeight="1" outlineLevel="1" x14ac:dyDescent="0.25">
      <c r="A31" s="57">
        <v>3</v>
      </c>
      <c r="B31" s="244"/>
      <c r="C31" s="245"/>
      <c r="D31" s="245"/>
      <c r="E31" s="245"/>
      <c r="F31" s="245"/>
      <c r="G31" s="245"/>
      <c r="H31" s="246"/>
      <c r="I31" s="247"/>
      <c r="J31" s="248"/>
      <c r="K31" s="248"/>
      <c r="L31" s="249"/>
      <c r="M31" s="248"/>
      <c r="N31" s="248"/>
      <c r="O31" s="249"/>
      <c r="P31" s="255"/>
      <c r="Q31" s="249"/>
      <c r="R31" s="249"/>
      <c r="S31" s="250"/>
      <c r="T31" s="58"/>
      <c r="U31" s="50"/>
      <c r="V31" s="54"/>
      <c r="W31" s="58"/>
      <c r="X31" s="50"/>
      <c r="Y31" s="50"/>
      <c r="Z31" s="50"/>
      <c r="AA31" s="50"/>
      <c r="AB31" s="62">
        <f>SUM(ListeInventaire6[[#This Row],[Gravité Réelle]:[Gravité potentielle]])</f>
        <v>0</v>
      </c>
      <c r="AC31" s="58"/>
      <c r="AD31" s="59"/>
    </row>
    <row r="32" spans="1:34" s="44" customFormat="1" ht="40.35" customHeight="1" outlineLevel="1" x14ac:dyDescent="0.25">
      <c r="A32" s="86">
        <v>3</v>
      </c>
      <c r="B32" s="244"/>
      <c r="C32" s="245"/>
      <c r="D32" s="245"/>
      <c r="E32" s="245"/>
      <c r="F32" s="245"/>
      <c r="G32" s="245"/>
      <c r="H32" s="246"/>
      <c r="I32" s="247"/>
      <c r="J32" s="248"/>
      <c r="K32" s="248"/>
      <c r="L32" s="252"/>
      <c r="M32" s="248"/>
      <c r="N32" s="248"/>
      <c r="O32" s="252"/>
      <c r="P32" s="248"/>
      <c r="Q32" s="248"/>
      <c r="R32" s="248"/>
      <c r="S32" s="250"/>
      <c r="T32" s="61"/>
      <c r="U32" s="51"/>
      <c r="V32" s="54"/>
      <c r="W32" s="58"/>
      <c r="X32" s="51"/>
      <c r="Y32" s="51"/>
      <c r="Z32" s="51"/>
      <c r="AA32" s="51"/>
      <c r="AB32" s="62">
        <f>SUM(ListeInventaire6[[#This Row],[Gravité Réelle]:[Gravité potentielle]])</f>
        <v>0</v>
      </c>
      <c r="AC32" s="61"/>
      <c r="AD32" s="62"/>
    </row>
    <row r="33" spans="1:30" s="44" customFormat="1" ht="40.35" customHeight="1" outlineLevel="1" x14ac:dyDescent="0.25">
      <c r="A33" s="86">
        <v>3</v>
      </c>
      <c r="B33" s="244"/>
      <c r="C33" s="245"/>
      <c r="D33" s="245"/>
      <c r="E33" s="245"/>
      <c r="F33" s="245"/>
      <c r="G33" s="245"/>
      <c r="H33" s="246"/>
      <c r="I33" s="247"/>
      <c r="J33" s="248"/>
      <c r="K33" s="248"/>
      <c r="L33" s="249"/>
      <c r="M33" s="248"/>
      <c r="N33" s="248"/>
      <c r="O33" s="252"/>
      <c r="P33" s="248"/>
      <c r="Q33" s="248"/>
      <c r="R33" s="248"/>
      <c r="S33" s="250"/>
      <c r="T33" s="58"/>
      <c r="U33" s="50"/>
      <c r="V33" s="54"/>
      <c r="W33" s="58"/>
      <c r="X33" s="51"/>
      <c r="Y33" s="51"/>
      <c r="Z33" s="51"/>
      <c r="AA33" s="51"/>
      <c r="AB33" s="62">
        <f>SUM(ListeInventaire6[[#This Row],[Gravité Réelle]:[Gravité potentielle]])</f>
        <v>0</v>
      </c>
      <c r="AC33" s="61"/>
      <c r="AD33" s="62"/>
    </row>
    <row r="34" spans="1:30" s="44" customFormat="1" ht="40.35" customHeight="1" outlineLevel="1" x14ac:dyDescent="0.25">
      <c r="A34" s="57">
        <v>3</v>
      </c>
      <c r="B34" s="244"/>
      <c r="C34" s="245"/>
      <c r="D34" s="245"/>
      <c r="E34" s="245"/>
      <c r="F34" s="245"/>
      <c r="G34" s="245"/>
      <c r="H34" s="246"/>
      <c r="I34" s="247"/>
      <c r="J34" s="248"/>
      <c r="K34" s="248"/>
      <c r="L34" s="256"/>
      <c r="M34" s="257"/>
      <c r="N34" s="257"/>
      <c r="O34" s="256"/>
      <c r="P34" s="248"/>
      <c r="Q34" s="248"/>
      <c r="R34" s="248"/>
      <c r="S34" s="250"/>
      <c r="T34" s="58"/>
      <c r="U34" s="50"/>
      <c r="V34" s="54"/>
      <c r="W34" s="58"/>
      <c r="X34" s="50"/>
      <c r="Y34" s="50"/>
      <c r="Z34" s="50"/>
      <c r="AA34" s="50"/>
      <c r="AB34" s="62">
        <f>SUM(ListeInventaire6[[#This Row],[Gravité Réelle]:[Gravité potentielle]])</f>
        <v>0</v>
      </c>
      <c r="AC34" s="58"/>
      <c r="AD34" s="59"/>
    </row>
    <row r="35" spans="1:30" s="44" customFormat="1" ht="40.35" customHeight="1" outlineLevel="1" x14ac:dyDescent="0.25">
      <c r="A35" s="57">
        <v>3</v>
      </c>
      <c r="B35" s="244"/>
      <c r="C35" s="245"/>
      <c r="D35" s="245"/>
      <c r="E35" s="245"/>
      <c r="F35" s="245"/>
      <c r="G35" s="245"/>
      <c r="H35" s="246"/>
      <c r="I35" s="247"/>
      <c r="J35" s="248"/>
      <c r="K35" s="248"/>
      <c r="L35" s="249"/>
      <c r="M35" s="248"/>
      <c r="N35" s="248"/>
      <c r="O35" s="249"/>
      <c r="P35" s="248"/>
      <c r="Q35" s="248"/>
      <c r="R35" s="248"/>
      <c r="S35" s="250"/>
      <c r="T35" s="58"/>
      <c r="U35" s="50"/>
      <c r="V35" s="54"/>
      <c r="W35" s="58"/>
      <c r="X35" s="50"/>
      <c r="Y35" s="50"/>
      <c r="Z35" s="50"/>
      <c r="AA35" s="50"/>
      <c r="AB35" s="62">
        <f>SUM(ListeInventaire6[[#This Row],[Gravité Réelle]:[Gravité potentielle]])</f>
        <v>0</v>
      </c>
      <c r="AC35" s="58"/>
      <c r="AD35" s="59"/>
    </row>
    <row r="36" spans="1:30" s="44" customFormat="1" ht="40.35" customHeight="1" outlineLevel="1" thickBot="1" x14ac:dyDescent="0.3">
      <c r="A36" s="86">
        <v>3</v>
      </c>
      <c r="B36" s="258"/>
      <c r="C36" s="259"/>
      <c r="D36" s="259"/>
      <c r="E36" s="259"/>
      <c r="F36" s="259"/>
      <c r="G36" s="259"/>
      <c r="H36" s="260"/>
      <c r="I36" s="261"/>
      <c r="J36" s="262"/>
      <c r="K36" s="262"/>
      <c r="L36" s="263"/>
      <c r="M36" s="264"/>
      <c r="N36" s="264"/>
      <c r="O36" s="263"/>
      <c r="P36" s="265"/>
      <c r="Q36" s="265"/>
      <c r="R36" s="265"/>
      <c r="S36" s="266"/>
      <c r="T36" s="58"/>
      <c r="U36" s="50"/>
      <c r="V36" s="54"/>
      <c r="W36" s="58"/>
      <c r="X36" s="51"/>
      <c r="Y36" s="51"/>
      <c r="Z36" s="51"/>
      <c r="AA36" s="51"/>
      <c r="AB36" s="62">
        <f>SUM(ListeInventaire6[[#This Row],[Gravité Réelle]:[Gravité potentielle]])</f>
        <v>0</v>
      </c>
      <c r="AC36" s="61"/>
      <c r="AD36" s="62"/>
    </row>
    <row r="37" spans="1:30" s="44" customFormat="1" ht="40.35" customHeight="1" outlineLevel="1" x14ac:dyDescent="0.25">
      <c r="A37" s="57">
        <v>4</v>
      </c>
      <c r="B37" s="267"/>
      <c r="C37" s="268"/>
      <c r="D37" s="268"/>
      <c r="E37" s="268"/>
      <c r="F37" s="268"/>
      <c r="G37" s="268"/>
      <c r="H37" s="269"/>
      <c r="I37" s="270"/>
      <c r="J37" s="271"/>
      <c r="K37" s="271"/>
      <c r="L37" s="272"/>
      <c r="M37" s="273"/>
      <c r="N37" s="273"/>
      <c r="O37" s="273"/>
      <c r="P37" s="273"/>
      <c r="Q37" s="273"/>
      <c r="R37" s="273"/>
      <c r="S37" s="274"/>
      <c r="T37" s="58"/>
      <c r="U37" s="50"/>
      <c r="V37" s="54"/>
      <c r="W37" s="58"/>
      <c r="X37" s="51"/>
      <c r="Y37" s="51"/>
      <c r="Z37" s="51"/>
      <c r="AA37" s="51"/>
      <c r="AB37" s="62">
        <f>SUM(ListeInventaire6[[#This Row],[Gravité Réelle]:[Gravité potentielle]])</f>
        <v>0</v>
      </c>
      <c r="AC37" s="61"/>
      <c r="AD37" s="62"/>
    </row>
    <row r="38" spans="1:30" s="44" customFormat="1" ht="40.35" customHeight="1" outlineLevel="1" x14ac:dyDescent="0.25">
      <c r="A38" s="57">
        <v>4</v>
      </c>
      <c r="B38" s="275"/>
      <c r="C38" s="276"/>
      <c r="D38" s="276"/>
      <c r="E38" s="276"/>
      <c r="F38" s="276"/>
      <c r="G38" s="276"/>
      <c r="H38" s="277"/>
      <c r="I38" s="278"/>
      <c r="J38" s="279"/>
      <c r="K38" s="279"/>
      <c r="L38" s="280"/>
      <c r="M38" s="281"/>
      <c r="N38" s="281"/>
      <c r="O38" s="281"/>
      <c r="P38" s="281"/>
      <c r="Q38" s="281"/>
      <c r="R38" s="281"/>
      <c r="S38" s="282"/>
      <c r="T38" s="58"/>
      <c r="U38" s="50"/>
      <c r="V38" s="54"/>
      <c r="W38" s="58"/>
      <c r="X38" s="51"/>
      <c r="Y38" s="51"/>
      <c r="Z38" s="51"/>
      <c r="AA38" s="51"/>
      <c r="AB38" s="62">
        <f>SUM(ListeInventaire6[[#This Row],[Gravité Réelle]:[Gravité potentielle]])</f>
        <v>0</v>
      </c>
      <c r="AC38" s="61"/>
      <c r="AD38" s="62"/>
    </row>
    <row r="39" spans="1:30" s="44" customFormat="1" ht="40.35" customHeight="1" outlineLevel="1" x14ac:dyDescent="0.25">
      <c r="A39" s="86"/>
      <c r="B39" s="283"/>
      <c r="C39" s="284"/>
      <c r="D39" s="284"/>
      <c r="E39" s="284"/>
      <c r="F39" s="284"/>
      <c r="G39" s="280"/>
      <c r="H39" s="280"/>
      <c r="I39" s="285"/>
      <c r="J39" s="279"/>
      <c r="K39" s="279"/>
      <c r="L39" s="280"/>
      <c r="M39" s="281"/>
      <c r="N39" s="281"/>
      <c r="O39" s="280"/>
      <c r="P39" s="286"/>
      <c r="Q39" s="280"/>
      <c r="R39" s="287"/>
      <c r="S39" s="282"/>
      <c r="T39" s="58"/>
      <c r="U39" s="50"/>
      <c r="V39" s="53"/>
      <c r="W39" s="58"/>
      <c r="X39" s="51"/>
      <c r="Y39" s="51"/>
      <c r="Z39" s="51"/>
      <c r="AA39" s="51"/>
      <c r="AB39" s="62">
        <f>SUM(ListeInventaire6[[#This Row],[Gravité Réelle]:[Gravité potentielle]])</f>
        <v>0</v>
      </c>
      <c r="AC39" s="61"/>
      <c r="AD39" s="62"/>
    </row>
    <row r="40" spans="1:30" s="44" customFormat="1" ht="40.35" customHeight="1" outlineLevel="1" x14ac:dyDescent="0.25">
      <c r="A40" s="57">
        <v>4</v>
      </c>
      <c r="B40" s="275"/>
      <c r="C40" s="276"/>
      <c r="D40" s="276"/>
      <c r="E40" s="276"/>
      <c r="F40" s="276"/>
      <c r="G40" s="276"/>
      <c r="H40" s="277"/>
      <c r="I40" s="278"/>
      <c r="J40" s="279"/>
      <c r="K40" s="279"/>
      <c r="L40" s="280"/>
      <c r="M40" s="281"/>
      <c r="N40" s="281"/>
      <c r="O40" s="281"/>
      <c r="P40" s="281"/>
      <c r="Q40" s="281"/>
      <c r="R40" s="281"/>
      <c r="S40" s="282"/>
      <c r="T40" s="61"/>
      <c r="U40" s="51"/>
      <c r="V40" s="54"/>
      <c r="W40" s="58"/>
      <c r="X40" s="51"/>
      <c r="Y40" s="51"/>
      <c r="Z40" s="51"/>
      <c r="AA40" s="51"/>
      <c r="AB40" s="62">
        <f>SUM(ListeInventaire6[[#This Row],[Gravité Réelle]:[Gravité potentielle]])</f>
        <v>0</v>
      </c>
      <c r="AC40" s="61"/>
      <c r="AD40" s="62"/>
    </row>
    <row r="41" spans="1:30" ht="40.35" customHeight="1" outlineLevel="1" x14ac:dyDescent="0.25">
      <c r="A41" s="57">
        <v>4</v>
      </c>
      <c r="B41" s="275"/>
      <c r="C41" s="276"/>
      <c r="D41" s="276"/>
      <c r="E41" s="276"/>
      <c r="F41" s="276"/>
      <c r="G41" s="276"/>
      <c r="H41" s="277"/>
      <c r="I41" s="278"/>
      <c r="J41" s="279"/>
      <c r="K41" s="279"/>
      <c r="L41" s="280"/>
      <c r="M41" s="281"/>
      <c r="N41" s="281"/>
      <c r="O41" s="281"/>
      <c r="P41" s="281"/>
      <c r="Q41" s="281"/>
      <c r="R41" s="281"/>
      <c r="S41" s="282"/>
      <c r="T41" s="61"/>
      <c r="U41" s="51"/>
      <c r="V41" s="54"/>
      <c r="W41" s="58"/>
      <c r="X41" s="51"/>
      <c r="Y41" s="51"/>
      <c r="Z41" s="51"/>
      <c r="AA41" s="51"/>
      <c r="AB41" s="62">
        <f>SUM(ListeInventaire6[[#This Row],[Gravité Réelle]:[Gravité potentielle]])</f>
        <v>0</v>
      </c>
      <c r="AC41" s="61"/>
      <c r="AD41" s="62"/>
    </row>
    <row r="42" spans="1:30" ht="40.35" customHeight="1" outlineLevel="1" x14ac:dyDescent="0.25">
      <c r="A42" s="57"/>
      <c r="B42" s="275"/>
      <c r="C42" s="276"/>
      <c r="D42" s="276"/>
      <c r="E42" s="276"/>
      <c r="F42" s="276"/>
      <c r="G42" s="276"/>
      <c r="H42" s="277"/>
      <c r="I42" s="278"/>
      <c r="J42" s="279"/>
      <c r="K42" s="279"/>
      <c r="L42" s="280"/>
      <c r="M42" s="281"/>
      <c r="N42" s="281"/>
      <c r="O42" s="281"/>
      <c r="P42" s="281"/>
      <c r="Q42" s="281"/>
      <c r="R42" s="281"/>
      <c r="S42" s="282"/>
      <c r="T42" s="61"/>
      <c r="U42" s="51"/>
      <c r="V42" s="54"/>
      <c r="W42" s="58"/>
      <c r="X42" s="51"/>
      <c r="Y42" s="51"/>
      <c r="Z42" s="51"/>
      <c r="AA42" s="51"/>
      <c r="AB42" s="62">
        <f>SUM(ListeInventaire6[[#This Row],[Gravité Réelle]:[Gravité potentielle]])</f>
        <v>0</v>
      </c>
      <c r="AC42" s="61"/>
      <c r="AD42" s="62"/>
    </row>
    <row r="43" spans="1:30" ht="40.35" customHeight="1" outlineLevel="1" x14ac:dyDescent="0.25">
      <c r="A43" s="57"/>
      <c r="B43" s="275"/>
      <c r="C43" s="276"/>
      <c r="D43" s="276"/>
      <c r="E43" s="276"/>
      <c r="F43" s="276"/>
      <c r="G43" s="276"/>
      <c r="H43" s="277"/>
      <c r="I43" s="278"/>
      <c r="J43" s="279"/>
      <c r="K43" s="279"/>
      <c r="L43" s="280"/>
      <c r="M43" s="281"/>
      <c r="N43" s="281"/>
      <c r="O43" s="281"/>
      <c r="P43" s="281"/>
      <c r="Q43" s="281"/>
      <c r="R43" s="281"/>
      <c r="S43" s="282"/>
      <c r="T43" s="61"/>
      <c r="U43" s="51"/>
      <c r="V43" s="54"/>
      <c r="W43" s="58"/>
      <c r="X43" s="51"/>
      <c r="Y43" s="51"/>
      <c r="Z43" s="51"/>
      <c r="AA43" s="51"/>
      <c r="AB43" s="62">
        <f>SUM(ListeInventaire6[[#This Row],[Gravité Réelle]:[Gravité potentielle]])</f>
        <v>0</v>
      </c>
      <c r="AC43" s="61"/>
      <c r="AD43" s="62"/>
    </row>
    <row r="44" spans="1:30" ht="40.35" customHeight="1" outlineLevel="1" x14ac:dyDescent="0.25">
      <c r="A44" s="57"/>
      <c r="B44" s="275"/>
      <c r="C44" s="276"/>
      <c r="D44" s="276"/>
      <c r="E44" s="276"/>
      <c r="F44" s="276"/>
      <c r="G44" s="276"/>
      <c r="H44" s="277"/>
      <c r="I44" s="278"/>
      <c r="J44" s="279"/>
      <c r="K44" s="279"/>
      <c r="L44" s="280"/>
      <c r="M44" s="281"/>
      <c r="N44" s="281"/>
      <c r="O44" s="281"/>
      <c r="P44" s="281"/>
      <c r="Q44" s="281"/>
      <c r="R44" s="281"/>
      <c r="S44" s="282"/>
      <c r="T44" s="61"/>
      <c r="U44" s="51"/>
      <c r="V44" s="54"/>
      <c r="W44" s="58"/>
      <c r="X44" s="51"/>
      <c r="Y44" s="51"/>
      <c r="Z44" s="51"/>
      <c r="AA44" s="51"/>
      <c r="AB44" s="62">
        <f>SUM(ListeInventaire6[[#This Row],[Gravité Réelle]:[Gravité potentielle]])</f>
        <v>0</v>
      </c>
      <c r="AC44" s="61"/>
      <c r="AD44" s="62"/>
    </row>
    <row r="45" spans="1:30" ht="40.35" customHeight="1" outlineLevel="1" x14ac:dyDescent="0.25">
      <c r="A45" s="57"/>
      <c r="B45" s="275"/>
      <c r="C45" s="276"/>
      <c r="D45" s="276"/>
      <c r="E45" s="276"/>
      <c r="F45" s="276"/>
      <c r="G45" s="276"/>
      <c r="H45" s="277"/>
      <c r="I45" s="278"/>
      <c r="J45" s="279"/>
      <c r="K45" s="279"/>
      <c r="L45" s="280"/>
      <c r="M45" s="281"/>
      <c r="N45" s="281"/>
      <c r="O45" s="281"/>
      <c r="P45" s="281"/>
      <c r="Q45" s="281"/>
      <c r="R45" s="281"/>
      <c r="S45" s="282"/>
      <c r="T45" s="61"/>
      <c r="U45" s="51"/>
      <c r="V45" s="54"/>
      <c r="W45" s="58"/>
      <c r="X45" s="51"/>
      <c r="Y45" s="51"/>
      <c r="Z45" s="51"/>
      <c r="AA45" s="51"/>
      <c r="AB45" s="62">
        <f>SUM(ListeInventaire6[[#This Row],[Gravité Réelle]:[Gravité potentielle]])</f>
        <v>0</v>
      </c>
      <c r="AC45" s="61"/>
      <c r="AD45" s="62"/>
    </row>
    <row r="46" spans="1:30" ht="40.35" customHeight="1" outlineLevel="1" x14ac:dyDescent="0.25">
      <c r="A46" s="86"/>
      <c r="B46" s="275"/>
      <c r="C46" s="276"/>
      <c r="D46" s="276"/>
      <c r="E46" s="276"/>
      <c r="F46" s="276"/>
      <c r="G46" s="276"/>
      <c r="H46" s="280"/>
      <c r="I46" s="288"/>
      <c r="J46" s="279"/>
      <c r="K46" s="279"/>
      <c r="L46" s="280"/>
      <c r="M46" s="279"/>
      <c r="N46" s="279"/>
      <c r="O46" s="280"/>
      <c r="P46" s="286"/>
      <c r="Q46" s="280"/>
      <c r="R46" s="280"/>
      <c r="S46" s="289"/>
      <c r="T46" s="61"/>
      <c r="U46" s="51"/>
      <c r="V46" s="53"/>
      <c r="W46" s="58"/>
      <c r="X46" s="51"/>
      <c r="Y46" s="51"/>
      <c r="Z46" s="51"/>
      <c r="AA46" s="51"/>
      <c r="AB46" s="62">
        <f>SUM(ListeInventaire6[[#This Row],[Gravité Réelle]:[Gravité potentielle]])</f>
        <v>0</v>
      </c>
      <c r="AC46" s="61"/>
      <c r="AD46" s="59"/>
    </row>
    <row r="47" spans="1:30" ht="40.35" customHeight="1" outlineLevel="1" x14ac:dyDescent="0.25">
      <c r="A47" s="86"/>
      <c r="B47" s="275"/>
      <c r="C47" s="276"/>
      <c r="D47" s="276"/>
      <c r="E47" s="276"/>
      <c r="F47" s="276"/>
      <c r="G47" s="287"/>
      <c r="H47" s="287"/>
      <c r="I47" s="278"/>
      <c r="J47" s="287"/>
      <c r="K47" s="287"/>
      <c r="L47" s="287"/>
      <c r="M47" s="281"/>
      <c r="N47" s="281"/>
      <c r="O47" s="280"/>
      <c r="P47" s="290"/>
      <c r="Q47" s="280"/>
      <c r="R47" s="280"/>
      <c r="S47" s="289"/>
      <c r="T47" s="58"/>
      <c r="U47" s="50"/>
      <c r="V47" s="53"/>
      <c r="W47" s="58"/>
      <c r="X47" s="51"/>
      <c r="Y47" s="51"/>
      <c r="Z47" s="51"/>
      <c r="AA47" s="51"/>
      <c r="AB47" s="62">
        <f>SUM(ListeInventaire6[[#This Row],[Gravité Réelle]:[Gravité potentielle]])</f>
        <v>0</v>
      </c>
      <c r="AC47" s="61"/>
      <c r="AD47" s="59"/>
    </row>
    <row r="48" spans="1:30" ht="40.35" customHeight="1" outlineLevel="1" x14ac:dyDescent="0.25">
      <c r="A48" s="86"/>
      <c r="B48" s="275"/>
      <c r="C48" s="276"/>
      <c r="D48" s="276"/>
      <c r="E48" s="276"/>
      <c r="F48" s="276"/>
      <c r="G48" s="287"/>
      <c r="H48" s="287"/>
      <c r="I48" s="278"/>
      <c r="J48" s="281"/>
      <c r="K48" s="281"/>
      <c r="L48" s="287"/>
      <c r="M48" s="281"/>
      <c r="N48" s="281"/>
      <c r="O48" s="280"/>
      <c r="P48" s="290"/>
      <c r="Q48" s="280"/>
      <c r="R48" s="280"/>
      <c r="S48" s="289"/>
      <c r="T48" s="58"/>
      <c r="U48" s="50"/>
      <c r="V48" s="53"/>
      <c r="W48" s="58"/>
      <c r="X48" s="51"/>
      <c r="Y48" s="51"/>
      <c r="Z48" s="51"/>
      <c r="AA48" s="51"/>
      <c r="AB48" s="62">
        <f>SUM(ListeInventaire6[[#This Row],[Gravité Réelle]:[Gravité potentielle]])</f>
        <v>0</v>
      </c>
      <c r="AC48" s="61"/>
      <c r="AD48" s="59"/>
    </row>
    <row r="49" spans="1:30" ht="40.35" customHeight="1" outlineLevel="1" x14ac:dyDescent="0.25">
      <c r="A49" s="86"/>
      <c r="B49" s="275"/>
      <c r="C49" s="276"/>
      <c r="D49" s="276"/>
      <c r="E49" s="276"/>
      <c r="F49" s="276"/>
      <c r="G49" s="276"/>
      <c r="H49" s="277"/>
      <c r="I49" s="291"/>
      <c r="J49" s="281"/>
      <c r="K49" s="281"/>
      <c r="L49" s="287"/>
      <c r="M49" s="280"/>
      <c r="N49" s="280"/>
      <c r="O49" s="280"/>
      <c r="P49" s="290"/>
      <c r="Q49" s="287"/>
      <c r="R49" s="287"/>
      <c r="S49" s="292"/>
      <c r="T49" s="58"/>
      <c r="U49" s="50"/>
      <c r="V49" s="53"/>
      <c r="W49" s="58" t="s">
        <v>40</v>
      </c>
      <c r="X49" s="51"/>
      <c r="Y49" s="51"/>
      <c r="Z49" s="51"/>
      <c r="AA49" s="51"/>
      <c r="AB49" s="62">
        <f>+SUM(ListeInventaire6[[#This Row],[Gravité Réelle]:[Gravité potentielle]])</f>
        <v>0</v>
      </c>
      <c r="AC49" s="61"/>
      <c r="AD49" s="59"/>
    </row>
    <row r="50" spans="1:30" ht="40.35" customHeight="1" outlineLevel="1" x14ac:dyDescent="0.25">
      <c r="A50" s="86"/>
      <c r="B50" s="275"/>
      <c r="C50" s="276"/>
      <c r="D50" s="276"/>
      <c r="E50" s="276"/>
      <c r="F50" s="276"/>
      <c r="G50" s="276"/>
      <c r="H50" s="280"/>
      <c r="I50" s="288"/>
      <c r="J50" s="279"/>
      <c r="K50" s="279"/>
      <c r="L50" s="280"/>
      <c r="M50" s="280"/>
      <c r="N50" s="280"/>
      <c r="O50" s="280"/>
      <c r="P50" s="286"/>
      <c r="Q50" s="280"/>
      <c r="R50" s="280"/>
      <c r="S50" s="289"/>
      <c r="T50" s="61"/>
      <c r="U50" s="51"/>
      <c r="V50" s="53"/>
      <c r="W50" s="58" t="s">
        <v>40</v>
      </c>
      <c r="X50" s="51"/>
      <c r="Y50" s="51"/>
      <c r="Z50" s="51"/>
      <c r="AA50" s="51"/>
      <c r="AB50" s="62">
        <f>+SUM(ListeInventaire6[[#This Row],[Gravité Réelle]:[Gravité potentielle]])</f>
        <v>0</v>
      </c>
      <c r="AC50" s="61"/>
      <c r="AD50" s="59"/>
    </row>
    <row r="51" spans="1:30" ht="40.35" customHeight="1" outlineLevel="1" x14ac:dyDescent="0.25">
      <c r="A51" s="86"/>
      <c r="B51" s="275"/>
      <c r="C51" s="276"/>
      <c r="D51" s="276"/>
      <c r="E51" s="276"/>
      <c r="F51" s="276"/>
      <c r="G51" s="276"/>
      <c r="H51" s="280"/>
      <c r="I51" s="288"/>
      <c r="J51" s="279"/>
      <c r="K51" s="279"/>
      <c r="L51" s="280"/>
      <c r="M51" s="280"/>
      <c r="N51" s="280"/>
      <c r="O51" s="280"/>
      <c r="P51" s="286"/>
      <c r="Q51" s="280"/>
      <c r="R51" s="280"/>
      <c r="S51" s="289"/>
      <c r="T51" s="61"/>
      <c r="U51" s="51"/>
      <c r="V51" s="53"/>
      <c r="W51" s="58" t="s">
        <v>40</v>
      </c>
      <c r="X51" s="51"/>
      <c r="Y51" s="51"/>
      <c r="Z51" s="51"/>
      <c r="AA51" s="51"/>
      <c r="AB51" s="62">
        <f>+SUM(ListeInventaire6[[#This Row],[Gravité Réelle]:[Gravité potentielle]])</f>
        <v>0</v>
      </c>
      <c r="AC51" s="61"/>
      <c r="AD51" s="59"/>
    </row>
    <row r="52" spans="1:30" ht="40.35" customHeight="1" outlineLevel="1" thickBot="1" x14ac:dyDescent="0.3">
      <c r="A52" s="87"/>
      <c r="B52" s="293"/>
      <c r="C52" s="294"/>
      <c r="D52" s="294"/>
      <c r="E52" s="294"/>
      <c r="F52" s="294"/>
      <c r="G52" s="294"/>
      <c r="H52" s="295"/>
      <c r="I52" s="296"/>
      <c r="J52" s="297"/>
      <c r="K52" s="297"/>
      <c r="L52" s="295"/>
      <c r="M52" s="295"/>
      <c r="N52" s="295"/>
      <c r="O52" s="295"/>
      <c r="P52" s="298"/>
      <c r="Q52" s="295"/>
      <c r="R52" s="295"/>
      <c r="S52" s="299"/>
      <c r="T52" s="63"/>
      <c r="U52" s="64"/>
      <c r="V52" s="66"/>
      <c r="W52" s="67" t="s">
        <v>40</v>
      </c>
      <c r="X52" s="64"/>
      <c r="Y52" s="64"/>
      <c r="Z52" s="64"/>
      <c r="AA52" s="64"/>
      <c r="AB52" s="65">
        <f>+SUM(ListeInventaire6[[#This Row],[Gravité Réelle]:[Gravité potentielle]])</f>
        <v>0</v>
      </c>
      <c r="AC52" s="63"/>
      <c r="AD52" s="70"/>
    </row>
    <row r="81" spans="9:13" ht="30" customHeight="1" x14ac:dyDescent="0.25">
      <c r="I81" s="43"/>
      <c r="J81" s="46" t="s">
        <v>121</v>
      </c>
      <c r="K81" s="46"/>
      <c r="L81" s="46">
        <f>M81/22</f>
        <v>0.13636363636363635</v>
      </c>
      <c r="M81" s="43">
        <v>3</v>
      </c>
    </row>
    <row r="82" spans="9:13" ht="30" customHeight="1" x14ac:dyDescent="0.25">
      <c r="I82" s="43"/>
      <c r="J82" s="46" t="s">
        <v>122</v>
      </c>
      <c r="K82" s="46"/>
      <c r="L82" s="46">
        <f t="shared" ref="L82:L99" si="0">M82/22</f>
        <v>0.18181818181818182</v>
      </c>
      <c r="M82" s="43">
        <v>4</v>
      </c>
    </row>
    <row r="83" spans="9:13" ht="30" customHeight="1" x14ac:dyDescent="0.25">
      <c r="I83" s="43"/>
      <c r="J83" s="46" t="s">
        <v>123</v>
      </c>
      <c r="K83" s="46"/>
      <c r="L83" s="46">
        <f t="shared" si="0"/>
        <v>0</v>
      </c>
      <c r="M83" s="43">
        <v>0</v>
      </c>
    </row>
    <row r="84" spans="9:13" ht="30" customHeight="1" x14ac:dyDescent="0.25">
      <c r="I84" s="43"/>
      <c r="J84" s="46" t="s">
        <v>124</v>
      </c>
      <c r="K84" s="46"/>
      <c r="L84" s="46">
        <f t="shared" si="0"/>
        <v>0</v>
      </c>
      <c r="M84" s="43">
        <v>0</v>
      </c>
    </row>
    <row r="85" spans="9:13" ht="30" customHeight="1" x14ac:dyDescent="0.25">
      <c r="I85" s="43"/>
      <c r="J85" s="46" t="s">
        <v>125</v>
      </c>
      <c r="K85" s="46"/>
      <c r="L85" s="46">
        <f t="shared" si="0"/>
        <v>4.5454545454545456E-2</v>
      </c>
      <c r="M85" s="43">
        <v>1</v>
      </c>
    </row>
    <row r="86" spans="9:13" ht="30" customHeight="1" x14ac:dyDescent="0.25">
      <c r="I86" s="43"/>
      <c r="J86" s="46" t="s">
        <v>126</v>
      </c>
      <c r="K86" s="46"/>
      <c r="L86" s="46">
        <f t="shared" si="0"/>
        <v>9.0909090909090912E-2</v>
      </c>
      <c r="M86" s="43">
        <v>2</v>
      </c>
    </row>
    <row r="87" spans="9:13" ht="30" customHeight="1" x14ac:dyDescent="0.25">
      <c r="I87" s="43"/>
      <c r="J87" s="46" t="s">
        <v>127</v>
      </c>
      <c r="K87" s="46"/>
      <c r="L87" s="46">
        <f t="shared" si="0"/>
        <v>0.31818181818181818</v>
      </c>
      <c r="M87" s="43">
        <v>7</v>
      </c>
    </row>
    <row r="88" spans="9:13" ht="30" customHeight="1" x14ac:dyDescent="0.25">
      <c r="I88" s="43"/>
      <c r="J88" s="46" t="s">
        <v>128</v>
      </c>
      <c r="K88" s="46"/>
      <c r="L88" s="46">
        <f t="shared" si="0"/>
        <v>0.18181818181818182</v>
      </c>
      <c r="M88" s="43">
        <v>4</v>
      </c>
    </row>
    <row r="89" spans="9:13" ht="30" customHeight="1" x14ac:dyDescent="0.25">
      <c r="I89" s="43"/>
      <c r="L89" s="46"/>
    </row>
    <row r="90" spans="9:13" ht="30" customHeight="1" x14ac:dyDescent="0.25">
      <c r="I90" s="43"/>
      <c r="J90" s="47" t="s">
        <v>129</v>
      </c>
      <c r="K90" s="47"/>
      <c r="L90" s="47">
        <f>M90/22</f>
        <v>0.27272727272727271</v>
      </c>
      <c r="M90" s="43">
        <v>6</v>
      </c>
    </row>
    <row r="91" spans="9:13" ht="30" customHeight="1" x14ac:dyDescent="0.25">
      <c r="I91" s="43"/>
      <c r="J91" s="47" t="s">
        <v>130</v>
      </c>
      <c r="K91" s="47"/>
      <c r="L91" s="47">
        <f>M91/22</f>
        <v>0.18181818181818182</v>
      </c>
      <c r="M91" s="43">
        <v>4</v>
      </c>
    </row>
    <row r="92" spans="9:13" ht="30" customHeight="1" x14ac:dyDescent="0.25">
      <c r="I92" s="43"/>
      <c r="J92" s="47" t="s">
        <v>131</v>
      </c>
      <c r="K92" s="47"/>
      <c r="L92" s="47">
        <f>M92/22</f>
        <v>0.18181818181818182</v>
      </c>
      <c r="M92" s="43">
        <v>4</v>
      </c>
    </row>
    <row r="93" spans="9:13" ht="30" customHeight="1" x14ac:dyDescent="0.25">
      <c r="I93" s="43"/>
      <c r="J93" s="47" t="s">
        <v>132</v>
      </c>
      <c r="K93" s="47"/>
      <c r="L93" s="47">
        <f t="shared" si="0"/>
        <v>0.13636363636363635</v>
      </c>
      <c r="M93" s="43">
        <v>3</v>
      </c>
    </row>
    <row r="94" spans="9:13" ht="30" customHeight="1" x14ac:dyDescent="0.25">
      <c r="I94" s="43"/>
      <c r="J94" s="47" t="s">
        <v>133</v>
      </c>
      <c r="K94" s="47"/>
      <c r="L94" s="47">
        <f>M94/22</f>
        <v>9.0909090909090912E-2</v>
      </c>
      <c r="M94" s="43">
        <v>2</v>
      </c>
    </row>
    <row r="95" spans="9:13" ht="30" customHeight="1" x14ac:dyDescent="0.25">
      <c r="I95" s="43"/>
      <c r="J95" s="47" t="s">
        <v>134</v>
      </c>
      <c r="K95" s="47"/>
      <c r="L95" s="47">
        <f t="shared" si="0"/>
        <v>4.5454545454545456E-2</v>
      </c>
      <c r="M95" s="43">
        <v>1</v>
      </c>
    </row>
    <row r="96" spans="9:13" ht="30" customHeight="1" x14ac:dyDescent="0.25">
      <c r="I96" s="43"/>
      <c r="J96" s="48" t="s">
        <v>135</v>
      </c>
      <c r="K96" s="49"/>
      <c r="L96" s="46">
        <f t="shared" si="0"/>
        <v>0</v>
      </c>
      <c r="M96" s="43">
        <v>0</v>
      </c>
    </row>
    <row r="97" spans="9:13" ht="30" customHeight="1" x14ac:dyDescent="0.25">
      <c r="I97" s="43"/>
      <c r="J97" s="47" t="s">
        <v>136</v>
      </c>
      <c r="K97" s="49"/>
      <c r="L97" s="46">
        <f t="shared" si="0"/>
        <v>0</v>
      </c>
      <c r="M97" s="43">
        <v>0</v>
      </c>
    </row>
    <row r="98" spans="9:13" ht="30" customHeight="1" x14ac:dyDescent="0.25">
      <c r="I98" s="43"/>
      <c r="J98" s="47" t="s">
        <v>134</v>
      </c>
      <c r="K98" s="49"/>
      <c r="L98" s="46">
        <f t="shared" si="0"/>
        <v>0</v>
      </c>
      <c r="M98" s="43">
        <v>0</v>
      </c>
    </row>
    <row r="99" spans="9:13" ht="30" customHeight="1" x14ac:dyDescent="0.25">
      <c r="I99" s="43"/>
      <c r="J99" s="47" t="s">
        <v>137</v>
      </c>
      <c r="K99" s="49"/>
      <c r="L99" s="46">
        <f t="shared" si="0"/>
        <v>0</v>
      </c>
      <c r="M99" s="43">
        <v>0</v>
      </c>
    </row>
  </sheetData>
  <mergeCells count="1">
    <mergeCell ref="A1:S1"/>
  </mergeCells>
  <conditionalFormatting sqref="W2">
    <cfRule type="colorScale" priority="5">
      <colorScale>
        <cfvo type="min"/>
        <cfvo type="percentile" val="50"/>
        <cfvo type="max"/>
        <color rgb="FF63BE7B"/>
        <color rgb="FFFFEB84"/>
        <color rgb="FFF8696B"/>
      </colorScale>
    </cfRule>
  </conditionalFormatting>
  <conditionalFormatting sqref="X51:X1048576 Y1 Y51 X2:X49">
    <cfRule type="colorScale" priority="13">
      <colorScale>
        <cfvo type="min"/>
        <cfvo type="percentile" val="50"/>
        <cfvo type="max"/>
        <color rgb="FF63BE7B"/>
        <color rgb="FFFFEB84"/>
        <color rgb="FFF8696B"/>
      </colorScale>
    </cfRule>
  </conditionalFormatting>
  <conditionalFormatting sqref="Z2:Z1048576 AA1">
    <cfRule type="dataBar" priority="11">
      <dataBar>
        <cfvo type="min"/>
        <cfvo type="max"/>
        <color rgb="FFFF555A"/>
      </dataBar>
      <extLst>
        <ext xmlns:x14="http://schemas.microsoft.com/office/spreadsheetml/2009/9/main" uri="{B025F937-C7B1-47D3-B67F-A62EFF666E3E}">
          <x14:id>{896443C9-9253-4548-850E-663AE03C9685}</x14:id>
        </ext>
      </extLst>
    </cfRule>
  </conditionalFormatting>
  <conditionalFormatting sqref="AA2:AA1048576 AB1">
    <cfRule type="colorScale" priority="10">
      <colorScale>
        <cfvo type="min"/>
        <cfvo type="percentile" val="50"/>
        <cfvo type="max"/>
        <color rgb="FF63BE7B"/>
        <color rgb="FFFFEB84"/>
        <color rgb="FFF8696B"/>
      </colorScale>
    </cfRule>
  </conditionalFormatting>
  <conditionalFormatting sqref="AB2">
    <cfRule type="colorScale" priority="6">
      <colorScale>
        <cfvo type="min"/>
        <cfvo type="percentile" val="50"/>
        <cfvo type="max"/>
        <color rgb="FF63BE7B"/>
        <color rgb="FFFFEB84"/>
        <color rgb="FFF8696B"/>
      </colorScale>
    </cfRule>
  </conditionalFormatting>
  <conditionalFormatting sqref="AC1 AB3:AB1048576">
    <cfRule type="cellIs" dxfId="92" priority="7" operator="greaterThan">
      <formula>89</formula>
    </cfRule>
    <cfRule type="cellIs" dxfId="91" priority="8" operator="between">
      <formula>70</formula>
      <formula>89</formula>
    </cfRule>
    <cfRule type="cellIs" dxfId="90" priority="9" operator="between">
      <formula>1</formula>
      <formula>69</formula>
    </cfRule>
  </conditionalFormatting>
  <conditionalFormatting sqref="AC2:AC1048576">
    <cfRule type="containsText" dxfId="89" priority="1" operator="containsText" text="NON">
      <formula>NOT(ISERROR(SEARCH("NON",AC2)))</formula>
    </cfRule>
    <cfRule type="containsText" dxfId="88" priority="2" operator="containsText" text="OUI">
      <formula>NOT(ISERROR(SEARCH("OUI",AC2)))</formula>
    </cfRule>
  </conditionalFormatting>
  <conditionalFormatting sqref="AD1">
    <cfRule type="containsText" dxfId="87" priority="3" operator="containsText" text="NON">
      <formula>NOT(ISERROR(SEARCH("NON",AD1)))</formula>
    </cfRule>
    <cfRule type="containsText" dxfId="86" priority="4" operator="containsText" text="OUI">
      <formula>NOT(ISERROR(SEARCH("OUI",AD1)))</formula>
    </cfRule>
  </conditionalFormatting>
  <dataValidations count="5">
    <dataValidation allowBlank="1" showInputMessage="1" showErrorMessage="1" prompt="Créez une liste d'inventaire dans cette feuille de calcul. Le titre de cette feuille de calcul figure dans cette cellule. Entrez les détails dans le tableau ci-dessous." sqref="A1" xr:uid="{5EBC55C4-B263-44AF-8A5A-B606CB8D0924}"/>
    <dataValidation allowBlank="1" showInputMessage="1" showErrorMessage="1" prompt="Entrez l’ID d’inventaire dans cette colonne sous ce titre. Utilisez les filtres de titre pour trouver des entrées spécifiques" sqref="G2:I2" xr:uid="{8904E59C-874F-4293-8426-4BDA08ACDD45}"/>
    <dataValidation allowBlank="1" showInputMessage="1" showErrorMessage="1" prompt="Entrez la quantité en stock dans cette colonne sous ce titre." sqref="Q2:S2" xr:uid="{BA492609-B37E-4FD2-90C9-BDA71E79A6F2}"/>
    <dataValidation allowBlank="1" showInputMessage="1" showErrorMessage="1" prompt="Entrez la description dans cette colonne sous ce titre." sqref="O2" xr:uid="{50E57A38-9C88-43F0-A87E-33E57637EF16}"/>
    <dataValidation allowBlank="1" showInputMessage="1" showErrorMessage="1" prompt="Entrez le nom dans cette colonne sous ce titre." sqref="J2:N2" xr:uid="{06802052-A658-48A1-A31F-0ADE457EECFD}"/>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2" id="{6C2E3674-A697-46BD-99E0-A378C62664EF}">
            <x14:iconSet custom="1">
              <x14:cfvo type="percent">
                <xm:f>0</xm:f>
              </x14:cfvo>
              <x14:cfvo type="num">
                <xm:f>19</xm:f>
              </x14:cfvo>
              <x14:cfvo type="num">
                <xm:f>29</xm:f>
              </x14:cfvo>
              <x14:cfIcon iconSet="3TrafficLights1" iconId="2"/>
              <x14:cfIcon iconSet="3TrafficLights1" iconId="1"/>
              <x14:cfIcon iconSet="3TrafficLights1" iconId="0"/>
            </x14:iconSet>
          </x14:cfRule>
          <xm:sqref>Y52:Y1048576 Z1 Y2:Y50</xm:sqref>
        </x14:conditionalFormatting>
        <x14:conditionalFormatting xmlns:xm="http://schemas.microsoft.com/office/excel/2006/main">
          <x14:cfRule type="dataBar" id="{896443C9-9253-4548-850E-663AE03C9685}">
            <x14:dataBar minLength="0" maxLength="100" border="1" negativeBarBorderColorSameAsPositive="0">
              <x14:cfvo type="autoMin"/>
              <x14:cfvo type="autoMax"/>
              <x14:borderColor rgb="FFFF555A"/>
              <x14:negativeFillColor rgb="FFFF0000"/>
              <x14:negativeBorderColor rgb="FFFF0000"/>
              <x14:axisColor rgb="FF000000"/>
            </x14:dataBar>
          </x14:cfRule>
          <xm:sqref>Z2:Z1048576 AA1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filterMode="1">
    <tabColor rgb="FFFF0078"/>
  </sheetPr>
  <dimension ref="A1:S120"/>
  <sheetViews>
    <sheetView zoomScale="85" zoomScaleNormal="85" workbookViewId="0">
      <pane ySplit="2" topLeftCell="A15" activePane="bottomLeft" state="frozen"/>
      <selection activeCell="B1" sqref="B1"/>
      <selection pane="bottomLeft" activeCell="L22" sqref="L22"/>
    </sheetView>
  </sheetViews>
  <sheetFormatPr baseColWidth="10" defaultColWidth="11.42578125" defaultRowHeight="15" x14ac:dyDescent="0.25"/>
  <cols>
    <col min="3" max="3" width="19.7109375" bestFit="1" customWidth="1"/>
    <col min="4" max="4" width="32.7109375" bestFit="1" customWidth="1"/>
    <col min="5" max="16" width="10.7109375" customWidth="1"/>
    <col min="17" max="17" width="15.7109375" customWidth="1"/>
    <col min="18" max="18" width="22.7109375" customWidth="1"/>
    <col min="19" max="19" width="15.5703125" customWidth="1"/>
  </cols>
  <sheetData>
    <row r="1" spans="1:19" ht="66.599999999999994" customHeight="1" thickBot="1" x14ac:dyDescent="0.3">
      <c r="A1" s="157"/>
      <c r="B1" s="158" t="s">
        <v>138</v>
      </c>
      <c r="C1" s="159">
        <f ca="1">TODAY()</f>
        <v>46161</v>
      </c>
      <c r="D1" s="160"/>
      <c r="E1" s="488" t="s">
        <v>139</v>
      </c>
      <c r="F1" s="488"/>
      <c r="G1" s="488"/>
      <c r="H1" s="488"/>
      <c r="I1" s="488"/>
      <c r="J1" s="488"/>
      <c r="K1" s="488"/>
      <c r="L1" s="488"/>
      <c r="M1" s="488"/>
      <c r="N1" s="488"/>
      <c r="O1" s="488"/>
      <c r="P1" s="488"/>
      <c r="Q1" s="488"/>
      <c r="R1" s="491"/>
      <c r="S1" s="162"/>
    </row>
    <row r="2" spans="1:19" ht="55.9" customHeight="1" x14ac:dyDescent="0.25">
      <c r="A2" s="18" t="s">
        <v>140</v>
      </c>
      <c r="B2" s="18" t="s">
        <v>141</v>
      </c>
      <c r="C2" s="139" t="s">
        <v>142</v>
      </c>
      <c r="D2" s="193" t="s">
        <v>143</v>
      </c>
      <c r="E2" s="198" t="s">
        <v>144</v>
      </c>
      <c r="F2" s="198" t="s">
        <v>145</v>
      </c>
      <c r="G2" s="198" t="s">
        <v>146</v>
      </c>
      <c r="H2" s="198" t="s">
        <v>147</v>
      </c>
      <c r="I2" s="198" t="s">
        <v>148</v>
      </c>
      <c r="J2" s="198" t="s">
        <v>149</v>
      </c>
      <c r="K2" s="198" t="s">
        <v>150</v>
      </c>
      <c r="L2" s="198" t="s">
        <v>151</v>
      </c>
      <c r="M2" s="198" t="s">
        <v>152</v>
      </c>
      <c r="N2" s="198" t="s">
        <v>153</v>
      </c>
      <c r="O2" s="198" t="s">
        <v>154</v>
      </c>
      <c r="P2" s="198" t="s">
        <v>155</v>
      </c>
      <c r="Q2" s="198" t="s">
        <v>156</v>
      </c>
      <c r="R2" s="198" t="s">
        <v>157</v>
      </c>
      <c r="S2" s="142" t="s">
        <v>158</v>
      </c>
    </row>
    <row r="3" spans="1:19" ht="25.15" hidden="1" customHeight="1" x14ac:dyDescent="0.25">
      <c r="A3" s="93" t="s">
        <v>159</v>
      </c>
      <c r="B3" s="93" t="s">
        <v>45</v>
      </c>
      <c r="C3" s="91" t="s">
        <v>160</v>
      </c>
      <c r="D3" s="91" t="s">
        <v>161</v>
      </c>
      <c r="E3" s="94">
        <v>1</v>
      </c>
      <c r="F3" s="94" t="s">
        <v>162</v>
      </c>
      <c r="G3" s="94">
        <v>2</v>
      </c>
      <c r="H3" s="94">
        <v>2</v>
      </c>
      <c r="I3" s="94"/>
      <c r="J3" s="94"/>
      <c r="K3" s="94"/>
      <c r="L3" s="94"/>
      <c r="M3" s="94"/>
      <c r="N3" s="94"/>
      <c r="O3" s="94"/>
      <c r="P3" s="94"/>
      <c r="Q3" s="94">
        <f t="shared" ref="Q3:Q36" si="0">SUM(E3:P3)</f>
        <v>5</v>
      </c>
      <c r="R3" s="94" cm="1">
        <f t="array" ref="R3">24 - 2*SUMPRODUCT(COUNTIF(E3:P3,{"I";"F";"CP";"R";"P";"AC";"AM"}))</f>
        <v>22</v>
      </c>
      <c r="S3" s="197">
        <f>Q3/R3</f>
        <v>0.22727272727272727</v>
      </c>
    </row>
    <row r="4" spans="1:19" s="30" customFormat="1" ht="25.15" hidden="1" customHeight="1" x14ac:dyDescent="0.25">
      <c r="A4" s="93" t="s">
        <v>159</v>
      </c>
      <c r="B4" s="93" t="s">
        <v>34</v>
      </c>
      <c r="C4" s="27" t="s">
        <v>160</v>
      </c>
      <c r="D4" s="27" t="s">
        <v>163</v>
      </c>
      <c r="E4" s="94" t="s">
        <v>162</v>
      </c>
      <c r="F4" s="94" t="s">
        <v>162</v>
      </c>
      <c r="G4" s="94" t="s">
        <v>162</v>
      </c>
      <c r="H4" s="94" t="s">
        <v>162</v>
      </c>
      <c r="I4" s="94" t="s">
        <v>162</v>
      </c>
      <c r="J4" s="94"/>
      <c r="K4" s="94"/>
      <c r="L4" s="94"/>
      <c r="M4" s="94"/>
      <c r="N4" s="94"/>
      <c r="O4" s="94"/>
      <c r="P4" s="94"/>
      <c r="Q4" s="94">
        <f t="shared" si="0"/>
        <v>0</v>
      </c>
      <c r="R4" s="94" cm="1">
        <f t="array" ref="R4">24 - 2*SUMPRODUCT(COUNTIF(E4:P4,{"I";"F";"CP";"R";"P";"AC";"AM"}))</f>
        <v>14</v>
      </c>
      <c r="S4" s="197">
        <f t="shared" ref="S4:S74" si="1">Q4/R4</f>
        <v>0</v>
      </c>
    </row>
    <row r="5" spans="1:19" s="30" customFormat="1" ht="25.15" hidden="1" customHeight="1" x14ac:dyDescent="0.25">
      <c r="A5" s="93" t="s">
        <v>164</v>
      </c>
      <c r="B5" s="93" t="s">
        <v>45</v>
      </c>
      <c r="C5" s="91" t="s">
        <v>160</v>
      </c>
      <c r="D5" s="91" t="s">
        <v>165</v>
      </c>
      <c r="E5" s="94">
        <v>2</v>
      </c>
      <c r="F5" s="94"/>
      <c r="G5" s="94">
        <v>3</v>
      </c>
      <c r="H5" s="94">
        <v>3</v>
      </c>
      <c r="I5" s="94"/>
      <c r="J5" s="94"/>
      <c r="K5" s="94"/>
      <c r="L5" s="94"/>
      <c r="M5" s="94"/>
      <c r="N5" s="94"/>
      <c r="O5" s="94"/>
      <c r="P5" s="94"/>
      <c r="Q5" s="94">
        <f t="shared" si="0"/>
        <v>8</v>
      </c>
      <c r="R5" s="94" cm="1">
        <f t="array" ref="R5">24 - 2*SUMPRODUCT(COUNTIF(E5:P5,{"I";"F";"CP";"R";"P";"AC";"AM"}))</f>
        <v>24</v>
      </c>
      <c r="S5" s="197">
        <f t="shared" si="1"/>
        <v>0.33333333333333331</v>
      </c>
    </row>
    <row r="6" spans="1:19" ht="25.15" hidden="1" customHeight="1" x14ac:dyDescent="0.25">
      <c r="A6" s="94" t="s">
        <v>109</v>
      </c>
      <c r="B6" s="94" t="s">
        <v>34</v>
      </c>
      <c r="C6" s="27" t="s">
        <v>166</v>
      </c>
      <c r="D6" s="27" t="s">
        <v>167</v>
      </c>
      <c r="E6" s="94">
        <v>1</v>
      </c>
      <c r="F6" s="94">
        <v>0</v>
      </c>
      <c r="G6" s="94" t="s">
        <v>162</v>
      </c>
      <c r="H6" s="94"/>
      <c r="I6" s="94"/>
      <c r="J6" s="94"/>
      <c r="K6" s="94"/>
      <c r="L6" s="94"/>
      <c r="M6" s="94"/>
      <c r="N6" s="94"/>
      <c r="O6" s="94"/>
      <c r="P6" s="94"/>
      <c r="Q6" s="94">
        <f t="shared" si="0"/>
        <v>1</v>
      </c>
      <c r="R6" s="94">
        <v>22</v>
      </c>
      <c r="S6" s="197">
        <f t="shared" si="1"/>
        <v>4.5454545454545456E-2</v>
      </c>
    </row>
    <row r="7" spans="1:19" s="30" customFormat="1" ht="25.15" hidden="1" customHeight="1" x14ac:dyDescent="0.25">
      <c r="A7" s="93" t="s">
        <v>168</v>
      </c>
      <c r="B7" s="93" t="s">
        <v>168</v>
      </c>
      <c r="C7" s="91" t="s">
        <v>160</v>
      </c>
      <c r="D7" s="91" t="s">
        <v>169</v>
      </c>
      <c r="E7" s="94">
        <v>1</v>
      </c>
      <c r="F7" s="94">
        <v>1</v>
      </c>
      <c r="G7" s="94">
        <v>3</v>
      </c>
      <c r="H7" s="94">
        <v>1</v>
      </c>
      <c r="I7" s="94"/>
      <c r="J7" s="94"/>
      <c r="K7" s="94"/>
      <c r="L7" s="94"/>
      <c r="M7" s="94"/>
      <c r="N7" s="94"/>
      <c r="O7" s="94"/>
      <c r="P7" s="94"/>
      <c r="Q7" s="94">
        <f t="shared" si="0"/>
        <v>6</v>
      </c>
      <c r="R7" s="94" cm="1">
        <f t="array" ref="R7">24 - 2*SUMPRODUCT(COUNTIF(E7:P7,{"I";"F";"CP";"R";"P";"AC";"AM"}))</f>
        <v>24</v>
      </c>
      <c r="S7" s="197">
        <f t="shared" si="1"/>
        <v>0.25</v>
      </c>
    </row>
    <row r="8" spans="1:19" ht="25.15" hidden="1" customHeight="1" x14ac:dyDescent="0.25">
      <c r="A8" s="94" t="s">
        <v>100</v>
      </c>
      <c r="B8" s="94" t="s">
        <v>34</v>
      </c>
      <c r="C8" s="27" t="s">
        <v>166</v>
      </c>
      <c r="D8" s="27" t="s">
        <v>170</v>
      </c>
      <c r="E8" s="94">
        <v>1</v>
      </c>
      <c r="F8" s="94">
        <v>2</v>
      </c>
      <c r="G8" s="94">
        <v>2</v>
      </c>
      <c r="H8" s="94">
        <v>2</v>
      </c>
      <c r="I8" s="94">
        <v>1</v>
      </c>
      <c r="J8" s="94"/>
      <c r="K8" s="94"/>
      <c r="L8" s="94"/>
      <c r="M8" s="94"/>
      <c r="N8" s="94"/>
      <c r="O8" s="94"/>
      <c r="P8" s="94"/>
      <c r="Q8" s="94">
        <f t="shared" si="0"/>
        <v>8</v>
      </c>
      <c r="R8" s="94" cm="1">
        <f t="array" ref="R8">24 - 2*SUMPRODUCT(COUNTIF(E8:P8,{"I";"F";"CP";"R";"P";"AC";"AM"}))</f>
        <v>24</v>
      </c>
      <c r="S8" s="197">
        <f t="shared" si="1"/>
        <v>0.33333333333333331</v>
      </c>
    </row>
    <row r="9" spans="1:19" s="30" customFormat="1" ht="25.15" hidden="1" customHeight="1" x14ac:dyDescent="0.25">
      <c r="A9" s="93" t="s">
        <v>168</v>
      </c>
      <c r="B9" s="93" t="s">
        <v>168</v>
      </c>
      <c r="C9" s="91" t="s">
        <v>160</v>
      </c>
      <c r="D9" s="91" t="s">
        <v>171</v>
      </c>
      <c r="E9" s="94">
        <v>1</v>
      </c>
      <c r="F9" s="94">
        <v>3</v>
      </c>
      <c r="G9" s="94">
        <v>0</v>
      </c>
      <c r="H9" s="94">
        <v>1</v>
      </c>
      <c r="I9" s="94"/>
      <c r="J9" s="94"/>
      <c r="K9" s="94"/>
      <c r="L9" s="94"/>
      <c r="M9" s="94"/>
      <c r="N9" s="94"/>
      <c r="O9" s="94"/>
      <c r="P9" s="94"/>
      <c r="Q9" s="94">
        <f t="shared" si="0"/>
        <v>5</v>
      </c>
      <c r="R9" s="94" cm="1">
        <f t="array" ref="R9">24 - 2*SUMPRODUCT(COUNTIF(E9:P9,{"I";"F";"CP";"R";"P";"AC";"AM"}))</f>
        <v>24</v>
      </c>
      <c r="S9" s="197">
        <f t="shared" si="1"/>
        <v>0.20833333333333334</v>
      </c>
    </row>
    <row r="10" spans="1:19" s="30" customFormat="1" ht="25.15" hidden="1" customHeight="1" x14ac:dyDescent="0.25">
      <c r="A10" s="94" t="s">
        <v>109</v>
      </c>
      <c r="B10" s="93" t="s">
        <v>34</v>
      </c>
      <c r="C10" s="91" t="s">
        <v>160</v>
      </c>
      <c r="D10" s="91" t="s">
        <v>172</v>
      </c>
      <c r="E10" s="94">
        <v>0</v>
      </c>
      <c r="F10" s="94">
        <v>3</v>
      </c>
      <c r="G10" s="94">
        <v>4</v>
      </c>
      <c r="H10" s="94">
        <v>2</v>
      </c>
      <c r="I10" s="94"/>
      <c r="J10" s="94"/>
      <c r="K10" s="94"/>
      <c r="L10" s="94"/>
      <c r="M10" s="94"/>
      <c r="N10" s="94"/>
      <c r="O10" s="94"/>
      <c r="P10" s="94"/>
      <c r="Q10" s="94">
        <f t="shared" si="0"/>
        <v>9</v>
      </c>
      <c r="R10" s="94" cm="1">
        <f t="array" ref="R10">24 - 2*SUMPRODUCT(COUNTIF(E10:P10,{"I";"F";"CP";"R";"P";"AC";"AM"}))</f>
        <v>24</v>
      </c>
      <c r="S10" s="197">
        <f t="shared" si="1"/>
        <v>0.375</v>
      </c>
    </row>
    <row r="11" spans="1:19" s="30" customFormat="1" ht="25.15" hidden="1" customHeight="1" x14ac:dyDescent="0.25">
      <c r="A11" s="93" t="s">
        <v>168</v>
      </c>
      <c r="B11" s="93" t="s">
        <v>168</v>
      </c>
      <c r="C11" s="27" t="s">
        <v>160</v>
      </c>
      <c r="D11" s="27" t="s">
        <v>173</v>
      </c>
      <c r="E11" s="94">
        <v>0</v>
      </c>
      <c r="F11" s="94">
        <v>0</v>
      </c>
      <c r="G11" s="94">
        <v>2</v>
      </c>
      <c r="H11" s="94">
        <v>1</v>
      </c>
      <c r="I11" s="94"/>
      <c r="J11" s="94"/>
      <c r="K11" s="94"/>
      <c r="L11" s="94"/>
      <c r="M11" s="94"/>
      <c r="N11" s="94"/>
      <c r="O11" s="94"/>
      <c r="P11" s="94"/>
      <c r="Q11" s="94">
        <f t="shared" si="0"/>
        <v>3</v>
      </c>
      <c r="R11" s="94" cm="1">
        <f t="array" ref="R11">24 - 2*SUMPRODUCT(COUNTIF(E11:P11,{"I";"F";"CP";"R";"P";"AC";"AM"}))</f>
        <v>24</v>
      </c>
      <c r="S11" s="197">
        <f t="shared" si="1"/>
        <v>0.125</v>
      </c>
    </row>
    <row r="12" spans="1:19" s="30" customFormat="1" ht="25.15" hidden="1" customHeight="1" x14ac:dyDescent="0.25">
      <c r="A12" s="93" t="s">
        <v>168</v>
      </c>
      <c r="B12" s="93" t="s">
        <v>168</v>
      </c>
      <c r="C12" s="27" t="s">
        <v>160</v>
      </c>
      <c r="D12" s="27" t="s">
        <v>174</v>
      </c>
      <c r="E12" s="94"/>
      <c r="F12" s="94"/>
      <c r="G12" s="94">
        <v>1</v>
      </c>
      <c r="H12" s="94">
        <v>1</v>
      </c>
      <c r="I12" s="94"/>
      <c r="J12" s="94"/>
      <c r="K12" s="94"/>
      <c r="L12" s="94"/>
      <c r="M12" s="94"/>
      <c r="N12" s="94"/>
      <c r="O12" s="94"/>
      <c r="P12" s="94"/>
      <c r="Q12" s="94">
        <f t="shared" si="0"/>
        <v>2</v>
      </c>
      <c r="R12" s="94" cm="1">
        <f t="array" ref="R12">24 - 2*SUMPRODUCT(COUNTIF(E12:P12,{"I";"F";"CP";"R";"P";"AC";"AM"}))</f>
        <v>24</v>
      </c>
      <c r="S12" s="197">
        <f t="shared" si="1"/>
        <v>8.3333333333333329E-2</v>
      </c>
    </row>
    <row r="13" spans="1:19" s="30" customFormat="1" ht="25.15" hidden="1" customHeight="1" x14ac:dyDescent="0.25">
      <c r="A13" s="93" t="s">
        <v>168</v>
      </c>
      <c r="B13" s="93" t="s">
        <v>168</v>
      </c>
      <c r="C13" s="27" t="s">
        <v>175</v>
      </c>
      <c r="D13" s="27" t="s">
        <v>176</v>
      </c>
      <c r="E13" s="94"/>
      <c r="F13" s="94"/>
      <c r="G13" s="94">
        <v>1</v>
      </c>
      <c r="H13" s="94">
        <v>3</v>
      </c>
      <c r="I13" s="94"/>
      <c r="J13" s="94"/>
      <c r="K13" s="94"/>
      <c r="L13" s="94"/>
      <c r="M13" s="94"/>
      <c r="N13" s="94"/>
      <c r="O13" s="94"/>
      <c r="P13" s="94"/>
      <c r="Q13" s="94">
        <f>SUM(E13:P13)</f>
        <v>4</v>
      </c>
      <c r="R13" s="94" cm="1">
        <f t="array" ref="R13">24 - 2*SUMPRODUCT(COUNTIF(E13:P13,{"I";"F";"CP";"R";"P";"AC";"AM"}))</f>
        <v>24</v>
      </c>
      <c r="S13" s="197">
        <f>Q13/R13</f>
        <v>0.16666666666666666</v>
      </c>
    </row>
    <row r="14" spans="1:19" s="30" customFormat="1" ht="25.15" hidden="1" customHeight="1" x14ac:dyDescent="0.25">
      <c r="A14" s="94" t="s">
        <v>164</v>
      </c>
      <c r="B14" s="93" t="s">
        <v>45</v>
      </c>
      <c r="C14" s="27" t="s">
        <v>166</v>
      </c>
      <c r="D14" s="27" t="s">
        <v>177</v>
      </c>
      <c r="E14" s="94">
        <v>2</v>
      </c>
      <c r="F14" s="94">
        <v>1</v>
      </c>
      <c r="G14" s="94">
        <v>2</v>
      </c>
      <c r="H14" s="94">
        <v>3</v>
      </c>
      <c r="I14" s="94"/>
      <c r="J14" s="94"/>
      <c r="K14" s="94"/>
      <c r="L14" s="94"/>
      <c r="M14" s="94"/>
      <c r="N14" s="94"/>
      <c r="O14" s="94"/>
      <c r="P14" s="94"/>
      <c r="Q14" s="94">
        <f t="shared" si="0"/>
        <v>8</v>
      </c>
      <c r="R14" s="94" cm="1">
        <f t="array" ref="R14">24 - 2*SUMPRODUCT(COUNTIF(E14:P14,{"I";"F";"CP";"R";"P";"AC";"AM"}))</f>
        <v>24</v>
      </c>
      <c r="S14" s="197">
        <f t="shared" si="1"/>
        <v>0.33333333333333331</v>
      </c>
    </row>
    <row r="15" spans="1:19" ht="25.15" customHeight="1" x14ac:dyDescent="0.25">
      <c r="A15" s="94" t="s">
        <v>178</v>
      </c>
      <c r="B15" s="94" t="s">
        <v>179</v>
      </c>
      <c r="C15" s="27" t="s">
        <v>166</v>
      </c>
      <c r="D15" s="27" t="s">
        <v>180</v>
      </c>
      <c r="E15" s="94">
        <v>2</v>
      </c>
      <c r="F15" s="94">
        <v>2</v>
      </c>
      <c r="G15" s="94">
        <v>2</v>
      </c>
      <c r="H15" s="94">
        <v>2</v>
      </c>
      <c r="I15" s="94"/>
      <c r="J15" s="94"/>
      <c r="K15" s="94"/>
      <c r="L15" s="94"/>
      <c r="M15" s="94"/>
      <c r="N15" s="94"/>
      <c r="O15" s="94"/>
      <c r="P15" s="94"/>
      <c r="Q15" s="94">
        <f t="shared" si="0"/>
        <v>8</v>
      </c>
      <c r="R15" s="94" cm="1">
        <f t="array" ref="R15">24 - 2*SUMPRODUCT(COUNTIF(E15:P15,{"I";"F";"CP";"R";"P";"AC";"AM"}))</f>
        <v>24</v>
      </c>
      <c r="S15" s="197">
        <f t="shared" si="1"/>
        <v>0.33333333333333331</v>
      </c>
    </row>
    <row r="16" spans="1:19" ht="25.15" customHeight="1" x14ac:dyDescent="0.25">
      <c r="A16" s="94" t="s">
        <v>181</v>
      </c>
      <c r="B16" s="94" t="s">
        <v>71</v>
      </c>
      <c r="C16" s="27" t="s">
        <v>166</v>
      </c>
      <c r="D16" s="27" t="s">
        <v>182</v>
      </c>
      <c r="E16" s="94">
        <v>1</v>
      </c>
      <c r="F16" s="102" t="s">
        <v>162</v>
      </c>
      <c r="G16" s="102" t="s">
        <v>162</v>
      </c>
      <c r="H16" s="94" t="s">
        <v>162</v>
      </c>
      <c r="I16" s="94">
        <v>1</v>
      </c>
      <c r="J16" s="94"/>
      <c r="K16" s="94"/>
      <c r="L16" s="94"/>
      <c r="M16" s="94"/>
      <c r="N16" s="94"/>
      <c r="O16" s="94"/>
      <c r="P16" s="94"/>
      <c r="Q16" s="94">
        <f t="shared" si="0"/>
        <v>2</v>
      </c>
      <c r="R16" s="94" cm="1">
        <f t="array" ref="R16">24 - 2*SUMPRODUCT(COUNTIF(E16:P16,{"I";"F";"CP";"R";"P";"AC";"AM"}))</f>
        <v>18</v>
      </c>
      <c r="S16" s="197">
        <f t="shared" si="1"/>
        <v>0.1111111111111111</v>
      </c>
    </row>
    <row r="17" spans="1:19" ht="25.15" hidden="1" customHeight="1" x14ac:dyDescent="0.25">
      <c r="A17" s="94" t="s">
        <v>109</v>
      </c>
      <c r="B17" s="94" t="s">
        <v>34</v>
      </c>
      <c r="C17" s="27" t="s">
        <v>166</v>
      </c>
      <c r="D17" s="27" t="s">
        <v>183</v>
      </c>
      <c r="E17" s="94">
        <v>0</v>
      </c>
      <c r="F17" s="94">
        <v>0</v>
      </c>
      <c r="G17" s="94">
        <v>0</v>
      </c>
      <c r="H17" s="94">
        <v>1</v>
      </c>
      <c r="I17" s="94"/>
      <c r="J17" s="94"/>
      <c r="K17" s="94"/>
      <c r="L17" s="94"/>
      <c r="M17" s="94"/>
      <c r="N17" s="94"/>
      <c r="O17" s="94"/>
      <c r="P17" s="94"/>
      <c r="Q17" s="94">
        <f t="shared" si="0"/>
        <v>1</v>
      </c>
      <c r="R17" s="94" cm="1">
        <f t="array" ref="R17">24 - 2*SUMPRODUCT(COUNTIF(E17:P17,{"I";"F";"CP";"R";"P";"AC";"AM"}))</f>
        <v>24</v>
      </c>
      <c r="S17" s="197">
        <f t="shared" si="1"/>
        <v>4.1666666666666664E-2</v>
      </c>
    </row>
    <row r="18" spans="1:19" ht="25.15" hidden="1" customHeight="1" x14ac:dyDescent="0.25">
      <c r="A18" s="94" t="s">
        <v>168</v>
      </c>
      <c r="B18" s="94" t="s">
        <v>168</v>
      </c>
      <c r="C18" s="27" t="s">
        <v>160</v>
      </c>
      <c r="D18" s="27" t="s">
        <v>184</v>
      </c>
      <c r="E18" s="93">
        <v>3</v>
      </c>
      <c r="F18" s="93">
        <v>3</v>
      </c>
      <c r="G18" s="93">
        <v>3</v>
      </c>
      <c r="H18" s="93">
        <v>1</v>
      </c>
      <c r="I18" s="93"/>
      <c r="J18" s="93"/>
      <c r="K18" s="93"/>
      <c r="L18" s="93"/>
      <c r="M18" s="93"/>
      <c r="N18" s="93"/>
      <c r="O18" s="93"/>
      <c r="P18" s="93"/>
      <c r="Q18" s="93">
        <f t="shared" si="0"/>
        <v>10</v>
      </c>
      <c r="R18" s="94" cm="1">
        <f t="array" ref="R18">24 - 2*SUMPRODUCT(COUNTIF(E18:P18,{"I";"F";"CP";"R";"P";"AC";"AM"}))</f>
        <v>24</v>
      </c>
      <c r="S18" s="197">
        <f t="shared" si="1"/>
        <v>0.41666666666666669</v>
      </c>
    </row>
    <row r="19" spans="1:19" ht="25.15" hidden="1" customHeight="1" x14ac:dyDescent="0.25">
      <c r="A19" s="94" t="s">
        <v>168</v>
      </c>
      <c r="B19" s="94" t="s">
        <v>168</v>
      </c>
      <c r="C19" s="27" t="s">
        <v>166</v>
      </c>
      <c r="D19" s="27" t="s">
        <v>185</v>
      </c>
      <c r="E19" s="94"/>
      <c r="F19" s="94"/>
      <c r="G19" s="94"/>
      <c r="H19" s="94"/>
      <c r="I19" s="94"/>
      <c r="J19" s="94"/>
      <c r="K19" s="94"/>
      <c r="L19" s="94"/>
      <c r="M19" s="94"/>
      <c r="N19" s="94"/>
      <c r="O19" s="94"/>
      <c r="P19" s="94"/>
      <c r="Q19" s="94">
        <f t="shared" si="0"/>
        <v>0</v>
      </c>
      <c r="R19" s="94" cm="1">
        <f t="array" ref="R19">24 - 2*SUMPRODUCT(COUNTIF(E19:P19,{"I";"F";"CP";"R";"P";"AC";"AM"}))</f>
        <v>24</v>
      </c>
      <c r="S19" s="197">
        <f t="shared" si="1"/>
        <v>0</v>
      </c>
    </row>
    <row r="20" spans="1:19" ht="25.15" customHeight="1" x14ac:dyDescent="0.25">
      <c r="A20" s="94" t="s">
        <v>181</v>
      </c>
      <c r="B20" s="94" t="s">
        <v>45</v>
      </c>
      <c r="C20" s="27" t="s">
        <v>160</v>
      </c>
      <c r="D20" s="27" t="s">
        <v>186</v>
      </c>
      <c r="E20" s="94">
        <v>1</v>
      </c>
      <c r="F20" s="94">
        <v>0</v>
      </c>
      <c r="G20" s="94">
        <v>2</v>
      </c>
      <c r="H20" s="94">
        <v>0</v>
      </c>
      <c r="I20" s="94"/>
      <c r="J20" s="94"/>
      <c r="K20" s="94"/>
      <c r="L20" s="94"/>
      <c r="M20" s="94"/>
      <c r="N20" s="94"/>
      <c r="O20" s="94"/>
      <c r="P20" s="94"/>
      <c r="Q20" s="94">
        <f t="shared" si="0"/>
        <v>3</v>
      </c>
      <c r="R20" s="94" cm="1">
        <f t="array" ref="R20">24 - 2*SUMPRODUCT(COUNTIF(E20:P20,{"I";"F";"CP";"R";"P";"AC";"AM"}))</f>
        <v>24</v>
      </c>
      <c r="S20" s="197">
        <f t="shared" si="1"/>
        <v>0.125</v>
      </c>
    </row>
    <row r="21" spans="1:19" ht="25.15" customHeight="1" x14ac:dyDescent="0.25">
      <c r="A21" s="94" t="s">
        <v>181</v>
      </c>
      <c r="B21" s="94" t="s">
        <v>34</v>
      </c>
      <c r="C21" s="27" t="s">
        <v>160</v>
      </c>
      <c r="D21" s="27" t="s">
        <v>187</v>
      </c>
      <c r="E21" s="94">
        <v>1</v>
      </c>
      <c r="F21" s="94">
        <v>2</v>
      </c>
      <c r="G21" s="94">
        <v>2</v>
      </c>
      <c r="H21" s="94">
        <v>2</v>
      </c>
      <c r="I21" s="94"/>
      <c r="J21" s="94"/>
      <c r="K21" s="94"/>
      <c r="L21" s="94"/>
      <c r="M21" s="94"/>
      <c r="N21" s="94"/>
      <c r="O21" s="94"/>
      <c r="P21" s="94"/>
      <c r="Q21" s="94">
        <f t="shared" si="0"/>
        <v>7</v>
      </c>
      <c r="R21" s="94" cm="1">
        <f t="array" ref="R21">24 - 2*SUMPRODUCT(COUNTIF(E21:P21,{"I";"F";"CP";"R";"P";"AC";"AM"}))</f>
        <v>24</v>
      </c>
      <c r="S21" s="197">
        <f t="shared" si="1"/>
        <v>0.29166666666666669</v>
      </c>
    </row>
    <row r="22" spans="1:19" ht="25.15" customHeight="1" x14ac:dyDescent="0.25">
      <c r="A22" s="93" t="s">
        <v>181</v>
      </c>
      <c r="B22" s="93" t="s">
        <v>45</v>
      </c>
      <c r="C22" s="27" t="s">
        <v>188</v>
      </c>
      <c r="D22" s="27" t="s">
        <v>189</v>
      </c>
      <c r="E22" s="94">
        <v>1</v>
      </c>
      <c r="F22" s="94">
        <v>2</v>
      </c>
      <c r="G22" s="94">
        <v>2</v>
      </c>
      <c r="H22" s="94">
        <v>2</v>
      </c>
      <c r="I22" s="94"/>
      <c r="J22" s="94"/>
      <c r="K22" s="94"/>
      <c r="L22" s="94"/>
      <c r="M22" s="94"/>
      <c r="N22" s="94"/>
      <c r="O22" s="94"/>
      <c r="P22" s="94"/>
      <c r="Q22" s="94">
        <f t="shared" si="0"/>
        <v>7</v>
      </c>
      <c r="R22" s="94" cm="1">
        <f t="array" ref="R22">24 - 2*SUMPRODUCT(COUNTIF(E22:P22,{"I";"F";"CP";"R";"P";"AC";"AM"}))</f>
        <v>24</v>
      </c>
      <c r="S22" s="197">
        <f t="shared" si="1"/>
        <v>0.29166666666666669</v>
      </c>
    </row>
    <row r="23" spans="1:19" ht="25.15" hidden="1" customHeight="1" x14ac:dyDescent="0.25">
      <c r="A23" s="94" t="s">
        <v>54</v>
      </c>
      <c r="B23" s="94" t="s">
        <v>34</v>
      </c>
      <c r="C23" s="27" t="s">
        <v>160</v>
      </c>
      <c r="D23" s="27" t="s">
        <v>190</v>
      </c>
      <c r="E23" s="94">
        <v>1</v>
      </c>
      <c r="F23" s="94">
        <v>3</v>
      </c>
      <c r="G23" s="94"/>
      <c r="H23" s="94"/>
      <c r="I23" s="94"/>
      <c r="J23" s="94"/>
      <c r="K23" s="94"/>
      <c r="L23" s="94"/>
      <c r="M23" s="94"/>
      <c r="N23" s="94"/>
      <c r="O23" s="94"/>
      <c r="P23" s="94"/>
      <c r="Q23" s="94">
        <f t="shared" si="0"/>
        <v>4</v>
      </c>
      <c r="R23" s="94" cm="1">
        <f t="array" ref="R23">24 - 2*SUMPRODUCT(COUNTIF(E23:P23,{"I";"F";"CP";"R";"P";"AC";"AM"}))</f>
        <v>24</v>
      </c>
      <c r="S23" s="197">
        <f t="shared" si="1"/>
        <v>0.16666666666666666</v>
      </c>
    </row>
    <row r="24" spans="1:19" ht="25.15" hidden="1" customHeight="1" x14ac:dyDescent="0.25">
      <c r="A24" s="94" t="s">
        <v>100</v>
      </c>
      <c r="B24" s="94" t="s">
        <v>34</v>
      </c>
      <c r="C24" s="27" t="s">
        <v>166</v>
      </c>
      <c r="D24" s="27" t="s">
        <v>191</v>
      </c>
      <c r="E24" s="94">
        <v>1</v>
      </c>
      <c r="F24" s="94">
        <v>2</v>
      </c>
      <c r="G24" s="94">
        <v>2</v>
      </c>
      <c r="H24" s="94">
        <v>3</v>
      </c>
      <c r="I24" s="94"/>
      <c r="J24" s="94"/>
      <c r="K24" s="94"/>
      <c r="L24" s="94"/>
      <c r="M24" s="94"/>
      <c r="N24" s="94"/>
      <c r="O24" s="94"/>
      <c r="P24" s="94"/>
      <c r="Q24" s="94">
        <f t="shared" si="0"/>
        <v>8</v>
      </c>
      <c r="R24" s="94" cm="1">
        <f t="array" ref="R24">24 - 2*SUMPRODUCT(COUNTIF(E24:P24,{"I";"F";"CP";"R";"P";"AC";"AM"}))</f>
        <v>24</v>
      </c>
      <c r="S24" s="197">
        <f t="shared" si="1"/>
        <v>0.33333333333333331</v>
      </c>
    </row>
    <row r="25" spans="1:19" ht="25.15" hidden="1" customHeight="1" x14ac:dyDescent="0.25">
      <c r="A25" s="94" t="s">
        <v>192</v>
      </c>
      <c r="B25" s="94" t="s">
        <v>45</v>
      </c>
      <c r="C25" s="27" t="s">
        <v>166</v>
      </c>
      <c r="D25" s="27" t="s">
        <v>193</v>
      </c>
      <c r="E25" s="94"/>
      <c r="F25" s="94"/>
      <c r="G25" s="94"/>
      <c r="H25" s="94"/>
      <c r="I25" s="94"/>
      <c r="J25" s="94"/>
      <c r="K25" s="94"/>
      <c r="L25" s="94"/>
      <c r="M25" s="94"/>
      <c r="N25" s="94"/>
      <c r="O25" s="94"/>
      <c r="P25" s="94"/>
      <c r="Q25" s="94">
        <f t="shared" ref="Q25" si="2">SUM(E25:P25)</f>
        <v>0</v>
      </c>
      <c r="R25" s="94" cm="1">
        <f t="array" ref="R25">24 - 2*SUMPRODUCT(COUNTIF(E25:P25,{"I";"F";"CP";"R";"P";"AC";"AM"}))</f>
        <v>24</v>
      </c>
      <c r="S25" s="197">
        <f t="shared" ref="S25" si="3">Q25/R25</f>
        <v>0</v>
      </c>
    </row>
    <row r="26" spans="1:19" ht="25.15" hidden="1" customHeight="1" x14ac:dyDescent="0.25">
      <c r="A26" s="94" t="s">
        <v>192</v>
      </c>
      <c r="B26" s="94" t="s">
        <v>194</v>
      </c>
      <c r="C26" s="27" t="s">
        <v>166</v>
      </c>
      <c r="D26" s="27" t="s">
        <v>195</v>
      </c>
      <c r="E26" s="94"/>
      <c r="F26" s="94"/>
      <c r="G26" s="94"/>
      <c r="H26" s="94"/>
      <c r="I26" s="94"/>
      <c r="J26" s="94"/>
      <c r="K26" s="94"/>
      <c r="L26" s="94"/>
      <c r="M26" s="94"/>
      <c r="N26" s="94"/>
      <c r="O26" s="94"/>
      <c r="P26" s="94"/>
      <c r="Q26" s="94">
        <f t="shared" si="0"/>
        <v>0</v>
      </c>
      <c r="R26" s="94" cm="1">
        <f t="array" ref="R26">24 - 2*SUMPRODUCT(COUNTIF(E26:P26,{"I";"F";"CP";"R";"P";"AC";"AM"}))</f>
        <v>24</v>
      </c>
      <c r="S26" s="197">
        <f t="shared" si="1"/>
        <v>0</v>
      </c>
    </row>
    <row r="27" spans="1:19" ht="25.15" hidden="1" customHeight="1" x14ac:dyDescent="0.25">
      <c r="A27" s="94" t="s">
        <v>54</v>
      </c>
      <c r="B27" s="93" t="s">
        <v>34</v>
      </c>
      <c r="C27" s="91" t="s">
        <v>166</v>
      </c>
      <c r="D27" s="91" t="s">
        <v>196</v>
      </c>
      <c r="E27" s="94">
        <v>2</v>
      </c>
      <c r="F27" s="94">
        <v>1</v>
      </c>
      <c r="G27" s="94">
        <v>2</v>
      </c>
      <c r="H27" s="94">
        <v>3</v>
      </c>
      <c r="I27" s="94"/>
      <c r="J27" s="94"/>
      <c r="K27" s="94"/>
      <c r="L27" s="94"/>
      <c r="M27" s="94"/>
      <c r="N27" s="94"/>
      <c r="O27" s="94"/>
      <c r="P27" s="94"/>
      <c r="Q27" s="94">
        <f t="shared" si="0"/>
        <v>8</v>
      </c>
      <c r="R27" s="94" cm="1">
        <f t="array" ref="R27">24 - 2*SUMPRODUCT(COUNTIF(E27:P27,{"I";"F";"CP";"R";"P";"AC";"AM"}))</f>
        <v>24</v>
      </c>
      <c r="S27" s="197">
        <f t="shared" si="1"/>
        <v>0.33333333333333331</v>
      </c>
    </row>
    <row r="28" spans="1:19" s="30" customFormat="1" ht="25.15" hidden="1" customHeight="1" x14ac:dyDescent="0.25">
      <c r="A28" s="94" t="s">
        <v>192</v>
      </c>
      <c r="B28" s="94" t="s">
        <v>192</v>
      </c>
      <c r="C28" s="27" t="s">
        <v>166</v>
      </c>
      <c r="D28" s="27" t="s">
        <v>197</v>
      </c>
      <c r="E28" s="94"/>
      <c r="F28" s="94"/>
      <c r="G28" s="94"/>
      <c r="H28" s="94">
        <v>1</v>
      </c>
      <c r="I28" s="94"/>
      <c r="J28" s="94"/>
      <c r="K28" s="94"/>
      <c r="L28" s="94"/>
      <c r="M28" s="94"/>
      <c r="N28" s="94"/>
      <c r="O28" s="94"/>
      <c r="P28" s="94"/>
      <c r="Q28" s="94">
        <f t="shared" si="0"/>
        <v>1</v>
      </c>
      <c r="R28" s="94" cm="1">
        <f t="array" ref="R28">24 - 2*SUMPRODUCT(COUNTIF(E28:P28,{"I";"F";"CP";"R";"P";"AC";"AM"}))</f>
        <v>24</v>
      </c>
      <c r="S28" s="197">
        <f t="shared" si="1"/>
        <v>4.1666666666666664E-2</v>
      </c>
    </row>
    <row r="29" spans="1:19" ht="25.15" hidden="1" customHeight="1" x14ac:dyDescent="0.25">
      <c r="A29" s="93" t="s">
        <v>164</v>
      </c>
      <c r="B29" s="93" t="s">
        <v>34</v>
      </c>
      <c r="C29" s="27" t="s">
        <v>160</v>
      </c>
      <c r="D29" s="27" t="s">
        <v>198</v>
      </c>
      <c r="E29" s="94">
        <v>2</v>
      </c>
      <c r="F29" s="94">
        <v>1</v>
      </c>
      <c r="G29" s="94">
        <v>3</v>
      </c>
      <c r="H29" s="94">
        <v>3</v>
      </c>
      <c r="I29" s="94"/>
      <c r="J29" s="94"/>
      <c r="K29" s="94"/>
      <c r="L29" s="94"/>
      <c r="M29" s="94"/>
      <c r="N29" s="94"/>
      <c r="O29" s="94"/>
      <c r="P29" s="94"/>
      <c r="Q29" s="94">
        <f t="shared" si="0"/>
        <v>9</v>
      </c>
      <c r="R29" s="94" cm="1">
        <f t="array" ref="R29">24 - 2*SUMPRODUCT(COUNTIF(E29:P29,{"I";"F";"CP";"R";"P";"AC";"AM"}))</f>
        <v>24</v>
      </c>
      <c r="S29" s="197">
        <f t="shared" si="1"/>
        <v>0.375</v>
      </c>
    </row>
    <row r="30" spans="1:19" ht="25.15" hidden="1" customHeight="1" x14ac:dyDescent="0.25">
      <c r="A30" s="93" t="s">
        <v>159</v>
      </c>
      <c r="B30" s="93" t="s">
        <v>45</v>
      </c>
      <c r="C30" s="27" t="s">
        <v>160</v>
      </c>
      <c r="D30" s="27" t="s">
        <v>199</v>
      </c>
      <c r="E30" s="94">
        <v>1</v>
      </c>
      <c r="F30" s="94">
        <v>1</v>
      </c>
      <c r="G30" s="94">
        <v>3</v>
      </c>
      <c r="H30" s="94"/>
      <c r="I30" s="94"/>
      <c r="J30" s="94"/>
      <c r="K30" s="94"/>
      <c r="L30" s="94"/>
      <c r="M30" s="94"/>
      <c r="N30" s="94"/>
      <c r="O30" s="94"/>
      <c r="P30" s="94"/>
      <c r="Q30" s="94">
        <f t="shared" si="0"/>
        <v>5</v>
      </c>
      <c r="R30" s="94" cm="1">
        <f t="array" ref="R30">24 - 2*SUMPRODUCT(COUNTIF(E30:P30,{"I";"F";"CP";"R";"P";"AC";"AM"}))</f>
        <v>24</v>
      </c>
      <c r="S30" s="197">
        <f t="shared" si="1"/>
        <v>0.20833333333333334</v>
      </c>
    </row>
    <row r="31" spans="1:19" ht="25.15" hidden="1" customHeight="1" x14ac:dyDescent="0.25">
      <c r="A31" s="95" t="s">
        <v>100</v>
      </c>
      <c r="B31" s="93" t="s">
        <v>34</v>
      </c>
      <c r="C31" s="89" t="s">
        <v>160</v>
      </c>
      <c r="D31" s="89" t="s">
        <v>200</v>
      </c>
      <c r="E31" s="94">
        <v>2</v>
      </c>
      <c r="F31" s="94">
        <v>2</v>
      </c>
      <c r="G31" s="94">
        <v>2</v>
      </c>
      <c r="H31" s="94">
        <v>2</v>
      </c>
      <c r="I31" s="94">
        <v>1</v>
      </c>
      <c r="J31" s="94"/>
      <c r="K31" s="94"/>
      <c r="L31" s="94"/>
      <c r="M31" s="94"/>
      <c r="N31" s="94"/>
      <c r="O31" s="94"/>
      <c r="P31" s="94"/>
      <c r="Q31" s="94">
        <f t="shared" si="0"/>
        <v>9</v>
      </c>
      <c r="R31" s="94" cm="1">
        <f t="array" ref="R31">24 - 2*SUMPRODUCT(COUNTIF(E31:P31,{"I";"F";"CP";"R";"P";"AC";"AM"}))</f>
        <v>24</v>
      </c>
      <c r="S31" s="197">
        <f t="shared" si="1"/>
        <v>0.375</v>
      </c>
    </row>
    <row r="32" spans="1:19" ht="25.15" hidden="1" customHeight="1" x14ac:dyDescent="0.25">
      <c r="A32" s="95" t="s">
        <v>159</v>
      </c>
      <c r="B32" s="95" t="s">
        <v>45</v>
      </c>
      <c r="C32" s="89" t="s">
        <v>160</v>
      </c>
      <c r="D32" s="89" t="s">
        <v>201</v>
      </c>
      <c r="E32" s="94">
        <v>2</v>
      </c>
      <c r="F32" s="94"/>
      <c r="G32" s="94">
        <v>1</v>
      </c>
      <c r="H32" s="94">
        <v>3</v>
      </c>
      <c r="I32" s="94"/>
      <c r="J32" s="94"/>
      <c r="K32" s="94"/>
      <c r="L32" s="94"/>
      <c r="M32" s="94"/>
      <c r="N32" s="94"/>
      <c r="O32" s="94"/>
      <c r="P32" s="94"/>
      <c r="Q32" s="94">
        <f t="shared" si="0"/>
        <v>6</v>
      </c>
      <c r="R32" s="94" cm="1">
        <f t="array" ref="R32">24 - 2*SUMPRODUCT(COUNTIF(E32:P32,{"I";"F";"CP";"R";"P";"AC";"AM"}))</f>
        <v>24</v>
      </c>
      <c r="S32" s="197">
        <f t="shared" si="1"/>
        <v>0.25</v>
      </c>
    </row>
    <row r="33" spans="1:19" ht="25.15" hidden="1" customHeight="1" x14ac:dyDescent="0.25">
      <c r="A33" s="95" t="s">
        <v>202</v>
      </c>
      <c r="B33" s="93" t="s">
        <v>45</v>
      </c>
      <c r="C33" s="89" t="s">
        <v>160</v>
      </c>
      <c r="D33" s="89" t="s">
        <v>203</v>
      </c>
      <c r="E33" s="94"/>
      <c r="F33" s="94"/>
      <c r="G33" s="94"/>
      <c r="H33" s="94"/>
      <c r="I33" s="94"/>
      <c r="J33" s="94"/>
      <c r="K33" s="94"/>
      <c r="L33" s="94"/>
      <c r="M33" s="94"/>
      <c r="N33" s="94"/>
      <c r="O33" s="94"/>
      <c r="P33" s="94"/>
      <c r="Q33" s="94">
        <f t="shared" si="0"/>
        <v>0</v>
      </c>
      <c r="R33" s="94" cm="1">
        <f t="array" ref="R33">24 - 2*SUMPRODUCT(COUNTIF(E33:P33,{"I";"F";"CP";"R";"P";"AC";"AM"}))</f>
        <v>24</v>
      </c>
      <c r="S33" s="197">
        <f t="shared" si="1"/>
        <v>0</v>
      </c>
    </row>
    <row r="34" spans="1:19" ht="25.15" hidden="1" customHeight="1" x14ac:dyDescent="0.25">
      <c r="A34" s="95" t="s">
        <v>168</v>
      </c>
      <c r="B34" s="93" t="s">
        <v>168</v>
      </c>
      <c r="C34" s="89" t="s">
        <v>166</v>
      </c>
      <c r="D34" s="89" t="s">
        <v>204</v>
      </c>
      <c r="E34" s="94"/>
      <c r="F34" s="94"/>
      <c r="G34" s="94"/>
      <c r="H34" s="94"/>
      <c r="I34" s="94"/>
      <c r="J34" s="94"/>
      <c r="K34" s="94"/>
      <c r="L34" s="94"/>
      <c r="M34" s="94"/>
      <c r="N34" s="94"/>
      <c r="O34" s="94"/>
      <c r="P34" s="94"/>
      <c r="Q34" s="94">
        <f t="shared" si="0"/>
        <v>0</v>
      </c>
      <c r="R34" s="94" cm="1">
        <f t="array" ref="R34">24 - 2*SUMPRODUCT(COUNTIF(E34:P34,{"I";"F";"CP";"R";"P";"AC";"AM"}))</f>
        <v>24</v>
      </c>
      <c r="S34" s="197">
        <f t="shared" si="1"/>
        <v>0</v>
      </c>
    </row>
    <row r="35" spans="1:19" ht="25.15" hidden="1" customHeight="1" x14ac:dyDescent="0.25">
      <c r="A35" s="95" t="s">
        <v>168</v>
      </c>
      <c r="B35" s="95" t="s">
        <v>168</v>
      </c>
      <c r="C35" s="89" t="s">
        <v>166</v>
      </c>
      <c r="D35" s="89" t="s">
        <v>205</v>
      </c>
      <c r="E35" s="94"/>
      <c r="F35" s="94"/>
      <c r="G35" s="94"/>
      <c r="H35" s="94"/>
      <c r="I35" s="94"/>
      <c r="J35" s="94"/>
      <c r="K35" s="94"/>
      <c r="L35" s="94"/>
      <c r="M35" s="94"/>
      <c r="N35" s="94"/>
      <c r="O35" s="94"/>
      <c r="P35" s="94"/>
      <c r="Q35" s="94">
        <f t="shared" si="0"/>
        <v>0</v>
      </c>
      <c r="R35" s="94" cm="1">
        <f t="array" ref="R35">24 - 2*SUMPRODUCT(COUNTIF(E35:P35,{"I";"F";"CP";"R";"P";"AC";"AM"}))</f>
        <v>24</v>
      </c>
      <c r="S35" s="197">
        <f t="shared" si="1"/>
        <v>0</v>
      </c>
    </row>
    <row r="36" spans="1:19" ht="25.15" customHeight="1" x14ac:dyDescent="0.25">
      <c r="A36" s="95" t="s">
        <v>181</v>
      </c>
      <c r="B36" s="95" t="s">
        <v>34</v>
      </c>
      <c r="C36" s="89" t="s">
        <v>160</v>
      </c>
      <c r="D36" s="89" t="s">
        <v>206</v>
      </c>
      <c r="E36" s="94">
        <v>2</v>
      </c>
      <c r="F36" s="94">
        <v>2</v>
      </c>
      <c r="G36" s="94">
        <v>2</v>
      </c>
      <c r="H36" s="94">
        <v>2</v>
      </c>
      <c r="I36" s="94"/>
      <c r="J36" s="94"/>
      <c r="K36" s="94"/>
      <c r="L36" s="94"/>
      <c r="M36" s="94"/>
      <c r="N36" s="94"/>
      <c r="O36" s="94"/>
      <c r="P36" s="94"/>
      <c r="Q36" s="94">
        <f t="shared" si="0"/>
        <v>8</v>
      </c>
      <c r="R36" s="94" cm="1">
        <f t="array" ref="R36">24 - 2*SUMPRODUCT(COUNTIF(E36:P36,{"I";"F";"CP";"R";"P";"AC";"AM"}))</f>
        <v>24</v>
      </c>
      <c r="S36" s="197">
        <f t="shared" si="1"/>
        <v>0.33333333333333331</v>
      </c>
    </row>
    <row r="37" spans="1:19" ht="25.15" hidden="1" customHeight="1" x14ac:dyDescent="0.25">
      <c r="A37" s="94" t="s">
        <v>54</v>
      </c>
      <c r="B37" s="93" t="s">
        <v>34</v>
      </c>
      <c r="C37" s="91" t="s">
        <v>166</v>
      </c>
      <c r="D37" s="91" t="s">
        <v>207</v>
      </c>
      <c r="E37" s="94" t="s">
        <v>208</v>
      </c>
      <c r="F37" s="94">
        <v>0</v>
      </c>
      <c r="G37" s="94">
        <v>2</v>
      </c>
      <c r="H37" s="94">
        <v>3</v>
      </c>
      <c r="I37" s="94"/>
      <c r="J37" s="94"/>
      <c r="K37" s="94"/>
      <c r="L37" s="94"/>
      <c r="M37" s="94"/>
      <c r="N37" s="94"/>
      <c r="O37" s="94"/>
      <c r="P37" s="94"/>
      <c r="Q37" s="94">
        <f>SUM(E37:P37)</f>
        <v>5</v>
      </c>
      <c r="R37" s="94">
        <v>22</v>
      </c>
      <c r="S37" s="197">
        <f>Q37/R37</f>
        <v>0.22727272727272727</v>
      </c>
    </row>
    <row r="38" spans="1:19" ht="25.15" hidden="1" customHeight="1" x14ac:dyDescent="0.25">
      <c r="A38" s="94" t="s">
        <v>109</v>
      </c>
      <c r="B38" s="95" t="s">
        <v>34</v>
      </c>
      <c r="C38" s="91" t="s">
        <v>166</v>
      </c>
      <c r="D38" s="89" t="s">
        <v>209</v>
      </c>
      <c r="E38" s="94">
        <v>3</v>
      </c>
      <c r="F38" s="94">
        <v>2</v>
      </c>
      <c r="G38" s="94">
        <v>4</v>
      </c>
      <c r="H38" s="94">
        <v>3</v>
      </c>
      <c r="I38" s="94">
        <v>1</v>
      </c>
      <c r="J38" s="94"/>
      <c r="K38" s="94"/>
      <c r="L38" s="94"/>
      <c r="M38" s="94"/>
      <c r="N38" s="94"/>
      <c r="O38" s="94"/>
      <c r="P38" s="94"/>
      <c r="Q38" s="94">
        <f>SUM(E38:P38)</f>
        <v>13</v>
      </c>
      <c r="R38" s="94" cm="1">
        <f t="array" ref="R38">24 - 2*SUMPRODUCT(COUNTIF(E38:P38,{"I";"F";"CP";"R";"P";"AC";"AM"}))</f>
        <v>24</v>
      </c>
      <c r="S38" s="197">
        <f>Q38/R38</f>
        <v>0.54166666666666663</v>
      </c>
    </row>
    <row r="39" spans="1:19" ht="25.15" hidden="1" customHeight="1" x14ac:dyDescent="0.25">
      <c r="A39" s="94" t="s">
        <v>109</v>
      </c>
      <c r="B39" s="95" t="s">
        <v>34</v>
      </c>
      <c r="C39" s="89" t="s">
        <v>166</v>
      </c>
      <c r="D39" s="89" t="s">
        <v>210</v>
      </c>
      <c r="E39" s="94">
        <v>4</v>
      </c>
      <c r="F39" s="94">
        <v>3</v>
      </c>
      <c r="G39" s="94">
        <v>4</v>
      </c>
      <c r="H39" s="94">
        <v>2</v>
      </c>
      <c r="I39" s="94"/>
      <c r="J39" s="94"/>
      <c r="K39" s="94"/>
      <c r="L39" s="94"/>
      <c r="M39" s="94"/>
      <c r="N39" s="94"/>
      <c r="O39" s="94"/>
      <c r="P39" s="94"/>
      <c r="Q39" s="94">
        <f t="shared" ref="Q39:Q73" si="4">SUM(E39:P39)</f>
        <v>13</v>
      </c>
      <c r="R39" s="94" cm="1">
        <f t="array" ref="R39">24 - 2*SUMPRODUCT(COUNTIF(E39:P39,{"I";"F";"CP";"R";"P";"AC";"AM"}))</f>
        <v>24</v>
      </c>
      <c r="S39" s="197">
        <f t="shared" si="1"/>
        <v>0.54166666666666663</v>
      </c>
    </row>
    <row r="40" spans="1:19" ht="25.15" customHeight="1" x14ac:dyDescent="0.25">
      <c r="A40" s="95" t="s">
        <v>181</v>
      </c>
      <c r="B40" s="95" t="s">
        <v>34</v>
      </c>
      <c r="C40" s="89" t="s">
        <v>160</v>
      </c>
      <c r="D40" s="89" t="s">
        <v>211</v>
      </c>
      <c r="E40" s="94">
        <v>2</v>
      </c>
      <c r="F40" s="94">
        <v>2</v>
      </c>
      <c r="G40" s="94">
        <v>2</v>
      </c>
      <c r="H40" s="94">
        <v>2</v>
      </c>
      <c r="I40" s="94"/>
      <c r="J40" s="94"/>
      <c r="K40" s="94"/>
      <c r="L40" s="94"/>
      <c r="M40" s="94"/>
      <c r="N40" s="94"/>
      <c r="O40" s="94"/>
      <c r="P40" s="94"/>
      <c r="Q40" s="94">
        <f t="shared" si="4"/>
        <v>8</v>
      </c>
      <c r="R40" s="94" cm="1">
        <f t="array" ref="R40">24 - 2*SUMPRODUCT(COUNTIF(E40:P40,{"I";"F";"CP";"R";"P";"AC";"AM"}))</f>
        <v>24</v>
      </c>
      <c r="S40" s="197">
        <f t="shared" si="1"/>
        <v>0.33333333333333331</v>
      </c>
    </row>
    <row r="41" spans="1:19" ht="25.15" hidden="1" customHeight="1" x14ac:dyDescent="0.25">
      <c r="A41" s="94" t="s">
        <v>54</v>
      </c>
      <c r="B41" s="95" t="s">
        <v>34</v>
      </c>
      <c r="C41" s="89" t="s">
        <v>166</v>
      </c>
      <c r="D41" s="89" t="s">
        <v>212</v>
      </c>
      <c r="E41" s="94">
        <v>2</v>
      </c>
      <c r="F41" s="94">
        <v>1</v>
      </c>
      <c r="G41" s="94">
        <v>2</v>
      </c>
      <c r="H41" s="94">
        <v>3</v>
      </c>
      <c r="I41" s="94"/>
      <c r="J41" s="94"/>
      <c r="K41" s="94"/>
      <c r="L41" s="94"/>
      <c r="M41" s="94"/>
      <c r="N41" s="94"/>
      <c r="O41" s="94"/>
      <c r="P41" s="94"/>
      <c r="Q41" s="94">
        <f t="shared" si="4"/>
        <v>8</v>
      </c>
      <c r="R41" s="94" cm="1">
        <f t="array" ref="R41">24 - 2*SUMPRODUCT(COUNTIF(E41:P41,{"I";"F";"CP";"R";"P";"AC";"AM"}))</f>
        <v>24</v>
      </c>
      <c r="S41" s="197">
        <f t="shared" si="1"/>
        <v>0.33333333333333331</v>
      </c>
    </row>
    <row r="42" spans="1:19" ht="25.15" hidden="1" customHeight="1" x14ac:dyDescent="0.25">
      <c r="A42" s="95" t="s">
        <v>168</v>
      </c>
      <c r="B42" s="95" t="s">
        <v>168</v>
      </c>
      <c r="C42" s="89" t="s">
        <v>160</v>
      </c>
      <c r="D42" s="89" t="s">
        <v>213</v>
      </c>
      <c r="E42" s="94">
        <v>1</v>
      </c>
      <c r="F42" s="94">
        <v>2</v>
      </c>
      <c r="G42" s="94">
        <v>3</v>
      </c>
      <c r="H42" s="94">
        <v>1</v>
      </c>
      <c r="I42" s="94"/>
      <c r="J42" s="94"/>
      <c r="K42" s="94"/>
      <c r="L42" s="94"/>
      <c r="M42" s="94"/>
      <c r="N42" s="94"/>
      <c r="O42" s="94"/>
      <c r="P42" s="94"/>
      <c r="Q42" s="94">
        <f t="shared" si="4"/>
        <v>7</v>
      </c>
      <c r="R42" s="94" cm="1">
        <f t="array" ref="R42">24 - 2*SUMPRODUCT(COUNTIF(E42:P42,{"I";"F";"CP";"R";"P";"AC";"AM"}))</f>
        <v>24</v>
      </c>
      <c r="S42" s="197">
        <f t="shared" si="1"/>
        <v>0.29166666666666669</v>
      </c>
    </row>
    <row r="43" spans="1:19" ht="25.15" hidden="1" customHeight="1" x14ac:dyDescent="0.25">
      <c r="A43" s="94" t="s">
        <v>54</v>
      </c>
      <c r="B43" s="95" t="s">
        <v>34</v>
      </c>
      <c r="C43" s="89" t="s">
        <v>160</v>
      </c>
      <c r="D43" s="89" t="s">
        <v>214</v>
      </c>
      <c r="E43" s="94">
        <v>2</v>
      </c>
      <c r="F43" s="94">
        <v>3</v>
      </c>
      <c r="G43" s="94"/>
      <c r="H43" s="94">
        <v>3</v>
      </c>
      <c r="I43" s="94"/>
      <c r="J43" s="94"/>
      <c r="K43" s="94"/>
      <c r="L43" s="94"/>
      <c r="M43" s="94"/>
      <c r="N43" s="94"/>
      <c r="O43" s="94"/>
      <c r="P43" s="94"/>
      <c r="Q43" s="94">
        <f t="shared" si="4"/>
        <v>8</v>
      </c>
      <c r="R43" s="94" cm="1">
        <f t="array" ref="R43">24 - 2*SUMPRODUCT(COUNTIF(E43:P43,{"I";"F";"CP";"R";"P";"AC";"AM"}))</f>
        <v>24</v>
      </c>
      <c r="S43" s="197">
        <f t="shared" si="1"/>
        <v>0.33333333333333331</v>
      </c>
    </row>
    <row r="44" spans="1:19" ht="25.15" hidden="1" customHeight="1" x14ac:dyDescent="0.25">
      <c r="A44" s="94" t="s">
        <v>54</v>
      </c>
      <c r="B44" s="95" t="s">
        <v>34</v>
      </c>
      <c r="C44" s="89" t="s">
        <v>160</v>
      </c>
      <c r="D44" s="89" t="s">
        <v>215</v>
      </c>
      <c r="E44" s="94">
        <v>0</v>
      </c>
      <c r="F44" s="94">
        <v>0</v>
      </c>
      <c r="G44" s="94">
        <v>2</v>
      </c>
      <c r="H44" s="94">
        <v>3</v>
      </c>
      <c r="I44" s="94"/>
      <c r="J44" s="94"/>
      <c r="K44" s="94"/>
      <c r="L44" s="94"/>
      <c r="M44" s="94"/>
      <c r="N44" s="94"/>
      <c r="O44" s="94"/>
      <c r="P44" s="94"/>
      <c r="Q44" s="94">
        <f t="shared" si="4"/>
        <v>5</v>
      </c>
      <c r="R44" s="94" cm="1">
        <f t="array" ref="R44">24 - 2*SUMPRODUCT(COUNTIF(E44:P44,{"I";"F";"CP";"R";"P";"AC";"AM"}))</f>
        <v>24</v>
      </c>
      <c r="S44" s="197">
        <f t="shared" si="1"/>
        <v>0.20833333333333334</v>
      </c>
    </row>
    <row r="45" spans="1:19" ht="25.15" hidden="1" customHeight="1" x14ac:dyDescent="0.25">
      <c r="A45" s="94" t="s">
        <v>109</v>
      </c>
      <c r="B45" s="95" t="s">
        <v>34</v>
      </c>
      <c r="C45" s="89" t="s">
        <v>166</v>
      </c>
      <c r="D45" s="89" t="s">
        <v>216</v>
      </c>
      <c r="E45" s="94">
        <v>1</v>
      </c>
      <c r="F45" s="94">
        <v>0</v>
      </c>
      <c r="G45" s="94">
        <v>1</v>
      </c>
      <c r="H45" s="94">
        <v>3</v>
      </c>
      <c r="I45" s="94"/>
      <c r="J45" s="94"/>
      <c r="K45" s="94"/>
      <c r="L45" s="94"/>
      <c r="M45" s="94"/>
      <c r="N45" s="94"/>
      <c r="O45" s="94"/>
      <c r="P45" s="94"/>
      <c r="Q45" s="94">
        <f t="shared" si="4"/>
        <v>5</v>
      </c>
      <c r="R45" s="94" cm="1">
        <f t="array" ref="R45">24 - 2*SUMPRODUCT(COUNTIF(E45:P45,{"I";"F";"CP";"R";"P";"AC";"AM"}))</f>
        <v>24</v>
      </c>
      <c r="S45" s="197">
        <f t="shared" si="1"/>
        <v>0.20833333333333334</v>
      </c>
    </row>
    <row r="46" spans="1:19" ht="25.15" hidden="1" customHeight="1" x14ac:dyDescent="0.25">
      <c r="A46" s="95" t="s">
        <v>100</v>
      </c>
      <c r="B46" s="95" t="s">
        <v>34</v>
      </c>
      <c r="C46" s="89" t="s">
        <v>166</v>
      </c>
      <c r="D46" s="89" t="s">
        <v>217</v>
      </c>
      <c r="E46" s="94">
        <v>1</v>
      </c>
      <c r="F46" s="94"/>
      <c r="G46" s="94"/>
      <c r="H46" s="94"/>
      <c r="I46" s="94"/>
      <c r="J46" s="94"/>
      <c r="K46" s="94"/>
      <c r="L46" s="94"/>
      <c r="M46" s="94"/>
      <c r="N46" s="94"/>
      <c r="O46" s="94"/>
      <c r="P46" s="94"/>
      <c r="Q46" s="94">
        <f t="shared" si="4"/>
        <v>1</v>
      </c>
      <c r="R46" s="94" cm="1">
        <f t="array" ref="R46">24 - 2*SUMPRODUCT(COUNTIF(E46:P46,{"I";"F";"CP";"R";"P";"AC";"AM"}))</f>
        <v>24</v>
      </c>
      <c r="S46" s="197">
        <f t="shared" si="1"/>
        <v>4.1666666666666664E-2</v>
      </c>
    </row>
    <row r="47" spans="1:19" ht="25.15" hidden="1" customHeight="1" x14ac:dyDescent="0.25">
      <c r="A47" s="94" t="s">
        <v>109</v>
      </c>
      <c r="B47" s="95" t="s">
        <v>34</v>
      </c>
      <c r="C47" s="89" t="s">
        <v>166</v>
      </c>
      <c r="D47" s="89" t="s">
        <v>218</v>
      </c>
      <c r="E47" s="94">
        <v>0</v>
      </c>
      <c r="F47" s="94">
        <v>0</v>
      </c>
      <c r="G47" s="94">
        <v>2</v>
      </c>
      <c r="H47" s="94"/>
      <c r="I47" s="94"/>
      <c r="J47" s="94"/>
      <c r="K47" s="94"/>
      <c r="L47" s="94"/>
      <c r="M47" s="94"/>
      <c r="N47" s="94"/>
      <c r="O47" s="94"/>
      <c r="P47" s="94"/>
      <c r="Q47" s="94">
        <f t="shared" si="4"/>
        <v>2</v>
      </c>
      <c r="R47" s="94" cm="1">
        <f t="array" ref="R47">24 - 2*SUMPRODUCT(COUNTIF(E47:P47,{"I";"F";"CP";"R";"P";"AC";"AM"}))</f>
        <v>24</v>
      </c>
      <c r="S47" s="197">
        <f t="shared" si="1"/>
        <v>8.3333333333333329E-2</v>
      </c>
    </row>
    <row r="48" spans="1:19" ht="25.15" customHeight="1" x14ac:dyDescent="0.25">
      <c r="A48" s="95" t="s">
        <v>181</v>
      </c>
      <c r="B48" s="95" t="s">
        <v>34</v>
      </c>
      <c r="C48" s="89" t="s">
        <v>160</v>
      </c>
      <c r="D48" s="89" t="s">
        <v>219</v>
      </c>
      <c r="E48" s="94">
        <v>1</v>
      </c>
      <c r="F48" s="94">
        <v>1</v>
      </c>
      <c r="G48" s="94">
        <v>2</v>
      </c>
      <c r="H48" s="94"/>
      <c r="I48" s="94"/>
      <c r="J48" s="94"/>
      <c r="K48" s="94"/>
      <c r="L48" s="94"/>
      <c r="M48" s="94"/>
      <c r="N48" s="94"/>
      <c r="O48" s="94"/>
      <c r="P48" s="94"/>
      <c r="Q48" s="94">
        <f t="shared" si="4"/>
        <v>4</v>
      </c>
      <c r="R48" s="94" cm="1">
        <f t="array" ref="R48">24 - 2*SUMPRODUCT(COUNTIF(E48:P48,{"I";"F";"CP";"R";"P";"AC";"AM"}))</f>
        <v>24</v>
      </c>
      <c r="S48" s="197">
        <f t="shared" si="1"/>
        <v>0.16666666666666666</v>
      </c>
    </row>
    <row r="49" spans="1:19" ht="25.15" hidden="1" customHeight="1" x14ac:dyDescent="0.25">
      <c r="A49" s="95" t="s">
        <v>168</v>
      </c>
      <c r="B49" s="95" t="s">
        <v>168</v>
      </c>
      <c r="C49" s="89" t="s">
        <v>166</v>
      </c>
      <c r="D49" s="89" t="s">
        <v>220</v>
      </c>
      <c r="E49" s="94"/>
      <c r="F49" s="94"/>
      <c r="G49" s="94"/>
      <c r="H49" s="94"/>
      <c r="I49" s="94"/>
      <c r="J49" s="94"/>
      <c r="K49" s="94"/>
      <c r="L49" s="94"/>
      <c r="M49" s="94"/>
      <c r="N49" s="94"/>
      <c r="O49" s="94"/>
      <c r="P49" s="94"/>
      <c r="Q49" s="94">
        <f t="shared" si="4"/>
        <v>0</v>
      </c>
      <c r="R49" s="94" cm="1">
        <f t="array" ref="R49">24 - 2*SUMPRODUCT(COUNTIF(E49:P49,{"I";"F";"CP";"R";"P";"AC";"AM"}))</f>
        <v>24</v>
      </c>
      <c r="S49" s="197">
        <f t="shared" si="1"/>
        <v>0</v>
      </c>
    </row>
    <row r="50" spans="1:19" ht="25.15" hidden="1" customHeight="1" x14ac:dyDescent="0.25">
      <c r="A50" s="95" t="s">
        <v>159</v>
      </c>
      <c r="B50" s="95" t="s">
        <v>45</v>
      </c>
      <c r="C50" s="89" t="s">
        <v>160</v>
      </c>
      <c r="D50" s="89" t="s">
        <v>221</v>
      </c>
      <c r="E50" s="94">
        <v>1</v>
      </c>
      <c r="F50" s="94"/>
      <c r="G50" s="94">
        <v>4</v>
      </c>
      <c r="H50" s="94">
        <v>1</v>
      </c>
      <c r="I50" s="94">
        <v>1</v>
      </c>
      <c r="J50" s="94"/>
      <c r="K50" s="94"/>
      <c r="L50" s="94"/>
      <c r="M50" s="94"/>
      <c r="N50" s="94"/>
      <c r="O50" s="94"/>
      <c r="P50" s="94"/>
      <c r="Q50" s="94">
        <f t="shared" si="4"/>
        <v>7</v>
      </c>
      <c r="R50" s="94" cm="1">
        <f t="array" ref="R50">24 - 2*SUMPRODUCT(COUNTIF(E50:P50,{"I";"F";"CP";"R";"P";"AC";"AM"}))</f>
        <v>24</v>
      </c>
      <c r="S50" s="197">
        <f t="shared" si="1"/>
        <v>0.29166666666666669</v>
      </c>
    </row>
    <row r="51" spans="1:19" ht="25.15" customHeight="1" x14ac:dyDescent="0.25">
      <c r="A51" s="95" t="s">
        <v>181</v>
      </c>
      <c r="B51" s="95" t="s">
        <v>34</v>
      </c>
      <c r="C51" s="89" t="s">
        <v>166</v>
      </c>
      <c r="D51" s="89" t="s">
        <v>222</v>
      </c>
      <c r="E51" s="94">
        <v>2</v>
      </c>
      <c r="F51" s="94">
        <v>2</v>
      </c>
      <c r="G51" s="94" t="s">
        <v>223</v>
      </c>
      <c r="H51" s="94">
        <v>2</v>
      </c>
      <c r="I51" s="94"/>
      <c r="J51" s="94"/>
      <c r="K51" s="94"/>
      <c r="L51" s="94"/>
      <c r="M51" s="94"/>
      <c r="N51" s="94"/>
      <c r="O51" s="94"/>
      <c r="P51" s="94"/>
      <c r="Q51" s="94">
        <f t="shared" si="4"/>
        <v>6</v>
      </c>
      <c r="R51" s="94" cm="1">
        <f t="array" ref="R51">24 - 2*SUMPRODUCT(COUNTIF(E51:P51,{"I";"F";"CP";"R";"P";"AC";"AM"}))</f>
        <v>22</v>
      </c>
      <c r="S51" s="197">
        <f t="shared" si="1"/>
        <v>0.27272727272727271</v>
      </c>
    </row>
    <row r="52" spans="1:19" ht="25.15" hidden="1" customHeight="1" x14ac:dyDescent="0.25">
      <c r="A52" s="94" t="s">
        <v>109</v>
      </c>
      <c r="B52" s="95" t="s">
        <v>34</v>
      </c>
      <c r="C52" s="89" t="s">
        <v>166</v>
      </c>
      <c r="D52" s="89" t="s">
        <v>224</v>
      </c>
      <c r="E52" s="94" t="s">
        <v>208</v>
      </c>
      <c r="F52" s="94">
        <v>0</v>
      </c>
      <c r="G52" s="94">
        <v>1</v>
      </c>
      <c r="H52" s="94"/>
      <c r="I52" s="94"/>
      <c r="J52" s="94"/>
      <c r="K52" s="94"/>
      <c r="L52" s="94"/>
      <c r="M52" s="94"/>
      <c r="N52" s="94"/>
      <c r="O52" s="94"/>
      <c r="P52" s="94"/>
      <c r="Q52" s="94">
        <f t="shared" ref="Q52" si="5">SUM(E52:P52)</f>
        <v>1</v>
      </c>
      <c r="R52" s="94">
        <v>22</v>
      </c>
      <c r="S52" s="197">
        <f t="shared" ref="S52" si="6">Q52/R52</f>
        <v>4.5454545454545456E-2</v>
      </c>
    </row>
    <row r="53" spans="1:19" ht="25.15" hidden="1" customHeight="1" x14ac:dyDescent="0.25">
      <c r="A53" s="94" t="s">
        <v>54</v>
      </c>
      <c r="B53" s="95" t="s">
        <v>34</v>
      </c>
      <c r="C53" s="89" t="s">
        <v>166</v>
      </c>
      <c r="D53" s="89" t="s">
        <v>225</v>
      </c>
      <c r="E53" s="94">
        <v>3</v>
      </c>
      <c r="F53" s="94">
        <v>2</v>
      </c>
      <c r="G53" s="94">
        <v>2</v>
      </c>
      <c r="H53" s="94">
        <v>3</v>
      </c>
      <c r="I53" s="94"/>
      <c r="J53" s="94"/>
      <c r="K53" s="94"/>
      <c r="L53" s="94"/>
      <c r="M53" s="94"/>
      <c r="N53" s="94"/>
      <c r="O53" s="94"/>
      <c r="P53" s="94"/>
      <c r="Q53" s="94">
        <f>SUM(E53:P53)</f>
        <v>10</v>
      </c>
      <c r="R53" s="94" cm="1">
        <f t="array" ref="R53">24 - 2*SUMPRODUCT(COUNTIF(E53:P53,{"I";"F";"CP";"R";"P";"AC";"AM"}))</f>
        <v>24</v>
      </c>
      <c r="S53" s="197">
        <f>Q53/R53</f>
        <v>0.41666666666666669</v>
      </c>
    </row>
    <row r="54" spans="1:19" ht="25.15" customHeight="1" x14ac:dyDescent="0.25">
      <c r="A54" s="95" t="s">
        <v>181</v>
      </c>
      <c r="B54" s="93" t="s">
        <v>45</v>
      </c>
      <c r="C54" s="89" t="s">
        <v>160</v>
      </c>
      <c r="D54" s="89" t="s">
        <v>226</v>
      </c>
      <c r="E54" s="94">
        <v>0</v>
      </c>
      <c r="F54" s="94">
        <v>2</v>
      </c>
      <c r="G54" s="94">
        <v>2</v>
      </c>
      <c r="H54" s="94">
        <v>0</v>
      </c>
      <c r="I54" s="94"/>
      <c r="J54" s="94"/>
      <c r="K54" s="94"/>
      <c r="L54" s="94"/>
      <c r="M54" s="94"/>
      <c r="N54" s="94"/>
      <c r="O54" s="94"/>
      <c r="P54" s="94"/>
      <c r="Q54" s="94">
        <f t="shared" si="4"/>
        <v>4</v>
      </c>
      <c r="R54" s="94" cm="1">
        <f t="array" ref="R54">24 - 2*SUMPRODUCT(COUNTIF(E54:P54,{"I";"F";"CP";"R";"P";"AC";"AM"}))</f>
        <v>24</v>
      </c>
      <c r="S54" s="197">
        <f t="shared" si="1"/>
        <v>0.16666666666666666</v>
      </c>
    </row>
    <row r="55" spans="1:19" ht="25.15" customHeight="1" x14ac:dyDescent="0.25">
      <c r="A55" s="95" t="s">
        <v>181</v>
      </c>
      <c r="B55" s="95" t="s">
        <v>45</v>
      </c>
      <c r="C55" s="89" t="s">
        <v>166</v>
      </c>
      <c r="D55" s="89" t="s">
        <v>227</v>
      </c>
      <c r="E55" s="94">
        <v>1</v>
      </c>
      <c r="F55" s="94">
        <v>2</v>
      </c>
      <c r="G55" s="94">
        <v>2</v>
      </c>
      <c r="H55" s="94">
        <v>0</v>
      </c>
      <c r="I55" s="94"/>
      <c r="J55" s="94"/>
      <c r="K55" s="94"/>
      <c r="L55" s="94"/>
      <c r="M55" s="94"/>
      <c r="N55" s="94"/>
      <c r="O55" s="94"/>
      <c r="P55" s="94"/>
      <c r="Q55" s="94">
        <f t="shared" si="4"/>
        <v>5</v>
      </c>
      <c r="R55" s="94" cm="1">
        <f t="array" ref="R55">24 - 2*SUMPRODUCT(COUNTIF(E55:P55,{"I";"F";"CP";"R";"P";"AC";"AM"}))</f>
        <v>24</v>
      </c>
      <c r="S55" s="197">
        <f t="shared" si="1"/>
        <v>0.20833333333333334</v>
      </c>
    </row>
    <row r="56" spans="1:19" ht="25.15" hidden="1" customHeight="1" x14ac:dyDescent="0.25">
      <c r="A56" s="95" t="s">
        <v>168</v>
      </c>
      <c r="B56" s="95" t="s">
        <v>168</v>
      </c>
      <c r="C56" s="89" t="s">
        <v>160</v>
      </c>
      <c r="D56" s="89" t="s">
        <v>228</v>
      </c>
      <c r="E56" s="94">
        <v>2</v>
      </c>
      <c r="F56" s="94">
        <v>2</v>
      </c>
      <c r="G56" s="94">
        <v>0</v>
      </c>
      <c r="H56" s="94">
        <v>1</v>
      </c>
      <c r="I56" s="94"/>
      <c r="J56" s="94"/>
      <c r="K56" s="94"/>
      <c r="L56" s="94"/>
      <c r="M56" s="94"/>
      <c r="N56" s="94"/>
      <c r="O56" s="94"/>
      <c r="P56" s="94"/>
      <c r="Q56" s="94">
        <f t="shared" si="4"/>
        <v>5</v>
      </c>
      <c r="R56" s="94" cm="1">
        <f t="array" ref="R56">24 - 2*SUMPRODUCT(COUNTIF(E56:P56,{"I";"F";"CP";"R";"P";"AC";"AM"}))</f>
        <v>24</v>
      </c>
      <c r="S56" s="197">
        <f t="shared" si="1"/>
        <v>0.20833333333333334</v>
      </c>
    </row>
    <row r="57" spans="1:19" ht="25.15" hidden="1" customHeight="1" x14ac:dyDescent="0.25">
      <c r="A57" s="95" t="s">
        <v>168</v>
      </c>
      <c r="B57" s="95" t="s">
        <v>168</v>
      </c>
      <c r="C57" s="89" t="s">
        <v>160</v>
      </c>
      <c r="D57" s="89" t="s">
        <v>229</v>
      </c>
      <c r="E57" s="94">
        <v>2</v>
      </c>
      <c r="F57" s="94">
        <v>2</v>
      </c>
      <c r="G57" s="94">
        <v>2</v>
      </c>
      <c r="H57" s="94">
        <v>1</v>
      </c>
      <c r="I57" s="94"/>
      <c r="J57" s="94"/>
      <c r="K57" s="94"/>
      <c r="L57" s="94"/>
      <c r="M57" s="94"/>
      <c r="N57" s="94"/>
      <c r="O57" s="94"/>
      <c r="P57" s="94"/>
      <c r="Q57" s="94">
        <f t="shared" si="4"/>
        <v>7</v>
      </c>
      <c r="R57" s="94" cm="1">
        <f t="array" ref="R57">24 - 2*SUMPRODUCT(COUNTIF(E57:P57,{"I";"F";"CP";"R";"P";"AC";"AM"}))</f>
        <v>24</v>
      </c>
      <c r="S57" s="197">
        <f t="shared" si="1"/>
        <v>0.29166666666666669</v>
      </c>
    </row>
    <row r="58" spans="1:19" ht="25.15" hidden="1" customHeight="1" x14ac:dyDescent="0.25">
      <c r="A58" s="95" t="s">
        <v>164</v>
      </c>
      <c r="B58" s="95" t="s">
        <v>34</v>
      </c>
      <c r="C58" s="89" t="s">
        <v>166</v>
      </c>
      <c r="D58" s="89" t="s">
        <v>92</v>
      </c>
      <c r="E58" s="94">
        <v>0</v>
      </c>
      <c r="F58" s="94">
        <v>0</v>
      </c>
      <c r="G58" s="94">
        <v>0</v>
      </c>
      <c r="H58" s="94"/>
      <c r="I58" s="94"/>
      <c r="J58" s="94"/>
      <c r="K58" s="94"/>
      <c r="L58" s="94"/>
      <c r="M58" s="94"/>
      <c r="N58" s="94"/>
      <c r="O58" s="94"/>
      <c r="P58" s="94"/>
      <c r="Q58" s="94">
        <f t="shared" si="4"/>
        <v>0</v>
      </c>
      <c r="R58" s="94" cm="1">
        <f t="array" ref="R58">24 - 2*SUMPRODUCT(COUNTIF(E58:P58,{"I";"F";"CP";"R";"P";"AC";"AM"}))</f>
        <v>24</v>
      </c>
      <c r="S58" s="197">
        <f t="shared" si="1"/>
        <v>0</v>
      </c>
    </row>
    <row r="59" spans="1:19" ht="25.15" hidden="1" customHeight="1" x14ac:dyDescent="0.25">
      <c r="A59" s="94" t="s">
        <v>54</v>
      </c>
      <c r="B59" s="95" t="s">
        <v>230</v>
      </c>
      <c r="C59" s="89" t="s">
        <v>160</v>
      </c>
      <c r="D59" s="89" t="s">
        <v>231</v>
      </c>
      <c r="E59" s="94">
        <v>2</v>
      </c>
      <c r="F59" s="94">
        <v>3</v>
      </c>
      <c r="G59" s="94">
        <v>2</v>
      </c>
      <c r="H59" s="94">
        <v>3</v>
      </c>
      <c r="I59" s="94"/>
      <c r="J59" s="94"/>
      <c r="K59" s="94"/>
      <c r="L59" s="94"/>
      <c r="M59" s="94"/>
      <c r="N59" s="94"/>
      <c r="O59" s="94"/>
      <c r="P59" s="94"/>
      <c r="Q59" s="94">
        <f t="shared" si="4"/>
        <v>10</v>
      </c>
      <c r="R59" s="94" cm="1">
        <f t="array" ref="R59">24 - 2*SUMPRODUCT(COUNTIF(E59:P59,{"I";"F";"CP";"R";"P";"AC";"AM"}))</f>
        <v>24</v>
      </c>
      <c r="S59" s="197">
        <f t="shared" si="1"/>
        <v>0.41666666666666669</v>
      </c>
    </row>
    <row r="60" spans="1:19" ht="25.15" hidden="1" customHeight="1" x14ac:dyDescent="0.25">
      <c r="A60" s="94" t="s">
        <v>54</v>
      </c>
      <c r="B60" s="95" t="s">
        <v>34</v>
      </c>
      <c r="C60" s="89" t="s">
        <v>166</v>
      </c>
      <c r="D60" s="89" t="s">
        <v>232</v>
      </c>
      <c r="E60" s="94" t="s">
        <v>208</v>
      </c>
      <c r="F60" s="94" t="s">
        <v>208</v>
      </c>
      <c r="G60" s="94" t="s">
        <v>208</v>
      </c>
      <c r="H60" s="94">
        <v>3</v>
      </c>
      <c r="I60" s="94"/>
      <c r="J60" s="94"/>
      <c r="K60" s="94"/>
      <c r="L60" s="94"/>
      <c r="M60" s="94"/>
      <c r="N60" s="94"/>
      <c r="O60" s="94"/>
      <c r="P60" s="94"/>
      <c r="Q60" s="94">
        <f t="shared" ref="Q60" si="7">SUM(E60:P60)</f>
        <v>3</v>
      </c>
      <c r="R60" s="94">
        <v>18</v>
      </c>
      <c r="S60" s="197">
        <f t="shared" ref="S60" si="8">Q60/R60</f>
        <v>0.16666666666666666</v>
      </c>
    </row>
    <row r="61" spans="1:19" ht="25.15" hidden="1" customHeight="1" x14ac:dyDescent="0.25">
      <c r="A61" s="94" t="s">
        <v>109</v>
      </c>
      <c r="B61" s="95" t="s">
        <v>34</v>
      </c>
      <c r="C61" s="89" t="s">
        <v>160</v>
      </c>
      <c r="D61" s="89" t="s">
        <v>233</v>
      </c>
      <c r="E61" s="94">
        <v>4</v>
      </c>
      <c r="F61" s="94">
        <v>3</v>
      </c>
      <c r="G61" s="94">
        <v>4</v>
      </c>
      <c r="H61" s="94">
        <v>2</v>
      </c>
      <c r="I61" s="94"/>
      <c r="J61" s="94"/>
      <c r="K61" s="94"/>
      <c r="L61" s="94"/>
      <c r="M61" s="94"/>
      <c r="N61" s="94"/>
      <c r="O61" s="94"/>
      <c r="P61" s="94"/>
      <c r="Q61" s="94">
        <f t="shared" si="4"/>
        <v>13</v>
      </c>
      <c r="R61" s="94" cm="1">
        <f t="array" ref="R61">24 - 2*SUMPRODUCT(COUNTIF(E61:P61,{"I";"F";"CP";"R";"P";"AC";"AM"}))</f>
        <v>24</v>
      </c>
      <c r="S61" s="197">
        <f t="shared" si="1"/>
        <v>0.54166666666666663</v>
      </c>
    </row>
    <row r="62" spans="1:19" ht="25.15" customHeight="1" x14ac:dyDescent="0.25">
      <c r="A62" s="95" t="s">
        <v>178</v>
      </c>
      <c r="B62" s="95" t="s">
        <v>34</v>
      </c>
      <c r="C62" s="89" t="s">
        <v>166</v>
      </c>
      <c r="D62" s="89" t="s">
        <v>234</v>
      </c>
      <c r="E62" s="102" t="s">
        <v>162</v>
      </c>
      <c r="F62" s="102" t="s">
        <v>162</v>
      </c>
      <c r="G62" s="102" t="s">
        <v>162</v>
      </c>
      <c r="H62" s="93" t="s">
        <v>162</v>
      </c>
      <c r="I62" s="93"/>
      <c r="J62" s="93"/>
      <c r="K62" s="93"/>
      <c r="L62" s="93"/>
      <c r="M62" s="93"/>
      <c r="N62" s="93"/>
      <c r="O62" s="93"/>
      <c r="P62" s="93"/>
      <c r="Q62" s="93">
        <f t="shared" si="4"/>
        <v>0</v>
      </c>
      <c r="R62" s="94" cm="1">
        <f t="array" ref="R62">24 - 2*SUMPRODUCT(COUNTIF(E62:P62,{"I";"F";"CP";"R";"P";"AC";"AM"}))</f>
        <v>16</v>
      </c>
      <c r="S62" s="197">
        <f t="shared" si="1"/>
        <v>0</v>
      </c>
    </row>
    <row r="63" spans="1:19" ht="25.15" hidden="1" customHeight="1" x14ac:dyDescent="0.25">
      <c r="A63" s="95" t="s">
        <v>168</v>
      </c>
      <c r="B63" s="95" t="s">
        <v>168</v>
      </c>
      <c r="C63" s="89" t="s">
        <v>235</v>
      </c>
      <c r="D63" s="89" t="s">
        <v>236</v>
      </c>
      <c r="E63" s="102">
        <v>0</v>
      </c>
      <c r="F63" s="102">
        <v>1</v>
      </c>
      <c r="G63" s="102">
        <v>2</v>
      </c>
      <c r="H63" s="93">
        <v>4</v>
      </c>
      <c r="I63" s="93"/>
      <c r="J63" s="93"/>
      <c r="K63" s="93"/>
      <c r="L63" s="93"/>
      <c r="M63" s="93"/>
      <c r="N63" s="93"/>
      <c r="O63" s="93"/>
      <c r="P63" s="93"/>
      <c r="Q63" s="94">
        <f t="shared" si="4"/>
        <v>7</v>
      </c>
      <c r="R63" s="94"/>
      <c r="S63" s="197"/>
    </row>
    <row r="64" spans="1:19" ht="25.15" hidden="1" customHeight="1" x14ac:dyDescent="0.25">
      <c r="A64" s="94" t="s">
        <v>159</v>
      </c>
      <c r="B64" s="95" t="s">
        <v>45</v>
      </c>
      <c r="C64" s="89" t="s">
        <v>160</v>
      </c>
      <c r="D64" s="89" t="s">
        <v>237</v>
      </c>
      <c r="E64" s="94">
        <v>0</v>
      </c>
      <c r="F64" s="94"/>
      <c r="G64" s="94">
        <v>2</v>
      </c>
      <c r="H64" s="94">
        <v>1</v>
      </c>
      <c r="I64" s="94"/>
      <c r="J64" s="94"/>
      <c r="K64" s="94"/>
      <c r="L64" s="94"/>
      <c r="M64" s="94"/>
      <c r="N64" s="94"/>
      <c r="O64" s="94"/>
      <c r="P64" s="94"/>
      <c r="Q64" s="94">
        <f t="shared" si="4"/>
        <v>3</v>
      </c>
      <c r="R64" s="94" cm="1">
        <f t="array" ref="R64">24 - 2*SUMPRODUCT(COUNTIF(E64:P64,{"I";"F";"CP";"R";"P";"AC";"AM"}))</f>
        <v>24</v>
      </c>
      <c r="S64" s="197">
        <f t="shared" si="1"/>
        <v>0.125</v>
      </c>
    </row>
    <row r="65" spans="1:19" ht="25.15" hidden="1" customHeight="1" x14ac:dyDescent="0.25">
      <c r="A65" s="94" t="s">
        <v>54</v>
      </c>
      <c r="B65" s="93" t="s">
        <v>34</v>
      </c>
      <c r="C65" s="89" t="s">
        <v>166</v>
      </c>
      <c r="D65" s="89" t="s">
        <v>238</v>
      </c>
      <c r="E65" s="94">
        <v>3</v>
      </c>
      <c r="F65" s="94">
        <v>2</v>
      </c>
      <c r="G65" s="94">
        <v>2</v>
      </c>
      <c r="H65" s="94">
        <v>3</v>
      </c>
      <c r="I65" s="94"/>
      <c r="J65" s="94"/>
      <c r="K65" s="94"/>
      <c r="L65" s="94"/>
      <c r="M65" s="94"/>
      <c r="N65" s="94"/>
      <c r="O65" s="94"/>
      <c r="P65" s="94"/>
      <c r="Q65" s="94">
        <f t="shared" si="4"/>
        <v>10</v>
      </c>
      <c r="R65" s="94" cm="1">
        <f t="array" ref="R65">24 - 2*SUMPRODUCT(COUNTIF(E65:P65,{"I";"F";"CP";"R";"P";"AC";"AM"}))</f>
        <v>24</v>
      </c>
      <c r="S65" s="197">
        <f t="shared" si="1"/>
        <v>0.41666666666666669</v>
      </c>
    </row>
    <row r="66" spans="1:19" ht="25.15" hidden="1" customHeight="1" x14ac:dyDescent="0.25">
      <c r="A66" s="94" t="s">
        <v>54</v>
      </c>
      <c r="B66" s="95" t="s">
        <v>34</v>
      </c>
      <c r="C66" s="89" t="s">
        <v>166</v>
      </c>
      <c r="D66" s="89" t="s">
        <v>239</v>
      </c>
      <c r="E66" s="94">
        <v>2</v>
      </c>
      <c r="F66" s="94">
        <v>3</v>
      </c>
      <c r="G66" s="94"/>
      <c r="H66" s="94">
        <v>2</v>
      </c>
      <c r="I66" s="94"/>
      <c r="J66" s="94"/>
      <c r="K66" s="94"/>
      <c r="L66" s="94"/>
      <c r="M66" s="94"/>
      <c r="N66" s="94"/>
      <c r="O66" s="94"/>
      <c r="P66" s="94"/>
      <c r="Q66" s="94">
        <f t="shared" si="4"/>
        <v>7</v>
      </c>
      <c r="R66" s="94" cm="1">
        <f t="array" ref="R66">24 - 2*SUMPRODUCT(COUNTIF(E66:P66,{"I";"F";"CP";"R";"P";"AC";"AM"}))</f>
        <v>24</v>
      </c>
      <c r="S66" s="197">
        <f t="shared" si="1"/>
        <v>0.29166666666666669</v>
      </c>
    </row>
    <row r="67" spans="1:19" ht="25.15" customHeight="1" x14ac:dyDescent="0.25">
      <c r="A67" s="95" t="s">
        <v>178</v>
      </c>
      <c r="B67" s="95" t="s">
        <v>179</v>
      </c>
      <c r="C67" s="89" t="s">
        <v>240</v>
      </c>
      <c r="D67" s="89" t="s">
        <v>241</v>
      </c>
      <c r="E67" s="94">
        <v>0</v>
      </c>
      <c r="F67" s="94">
        <v>0</v>
      </c>
      <c r="G67" s="94">
        <v>1</v>
      </c>
      <c r="H67" s="94" t="s">
        <v>162</v>
      </c>
      <c r="I67" s="94"/>
      <c r="J67" s="94"/>
      <c r="K67" s="94"/>
      <c r="L67" s="94"/>
      <c r="M67" s="94"/>
      <c r="N67" s="94"/>
      <c r="O67" s="94"/>
      <c r="P67" s="94"/>
      <c r="Q67" s="94">
        <f t="shared" si="4"/>
        <v>1</v>
      </c>
      <c r="R67" s="94" cm="1">
        <f t="array" ref="R67">24 - 2*SUMPRODUCT(COUNTIF(E67:P67,{"I";"F";"CP";"R";"P";"AC";"AM"}))</f>
        <v>22</v>
      </c>
      <c r="S67" s="197">
        <f t="shared" si="1"/>
        <v>4.5454545454545456E-2</v>
      </c>
    </row>
    <row r="68" spans="1:19" ht="25.15" customHeight="1" x14ac:dyDescent="0.25">
      <c r="A68" s="97" t="s">
        <v>178</v>
      </c>
      <c r="B68" s="95" t="s">
        <v>34</v>
      </c>
      <c r="C68" s="89" t="s">
        <v>188</v>
      </c>
      <c r="D68" s="108" t="s">
        <v>242</v>
      </c>
      <c r="E68" s="94">
        <v>3</v>
      </c>
      <c r="F68" s="94">
        <v>2</v>
      </c>
      <c r="G68" s="94">
        <v>2</v>
      </c>
      <c r="H68" s="94">
        <v>2</v>
      </c>
      <c r="I68" s="94"/>
      <c r="J68" s="94"/>
      <c r="K68" s="94"/>
      <c r="L68" s="94"/>
      <c r="M68" s="94"/>
      <c r="N68" s="94"/>
      <c r="O68" s="94"/>
      <c r="P68" s="94"/>
      <c r="Q68" s="94">
        <f t="shared" si="4"/>
        <v>9</v>
      </c>
      <c r="R68" s="94" cm="1">
        <f t="array" ref="R68">24 - 2*SUMPRODUCT(COUNTIF(E68:P68,{"I";"F";"CP";"R";"P";"AC";"AM"}))</f>
        <v>24</v>
      </c>
      <c r="S68" s="197">
        <f t="shared" si="1"/>
        <v>0.375</v>
      </c>
    </row>
    <row r="69" spans="1:19" ht="25.15" customHeight="1" x14ac:dyDescent="0.25">
      <c r="A69" s="95" t="s">
        <v>181</v>
      </c>
      <c r="B69" s="95" t="s">
        <v>34</v>
      </c>
      <c r="C69" s="89" t="s">
        <v>166</v>
      </c>
      <c r="D69" s="89" t="s">
        <v>243</v>
      </c>
      <c r="E69" s="94">
        <v>1</v>
      </c>
      <c r="F69" s="94">
        <v>2</v>
      </c>
      <c r="G69" s="94">
        <v>2</v>
      </c>
      <c r="H69" s="94">
        <v>2</v>
      </c>
      <c r="I69" s="94"/>
      <c r="J69" s="94"/>
      <c r="K69" s="94"/>
      <c r="L69" s="94"/>
      <c r="M69" s="94"/>
      <c r="N69" s="94"/>
      <c r="O69" s="94"/>
      <c r="P69" s="94"/>
      <c r="Q69" s="94">
        <f t="shared" si="4"/>
        <v>7</v>
      </c>
      <c r="R69" s="94" cm="1">
        <f t="array" ref="R69">24 - 2*SUMPRODUCT(COUNTIF(E69:P69,{"I";"F";"CP";"R";"P";"AC";"AM"}))</f>
        <v>24</v>
      </c>
      <c r="S69" s="197">
        <f t="shared" si="1"/>
        <v>0.29166666666666669</v>
      </c>
    </row>
    <row r="70" spans="1:19" ht="25.15" hidden="1" customHeight="1" x14ac:dyDescent="0.25">
      <c r="A70" s="94" t="s">
        <v>109</v>
      </c>
      <c r="B70" s="95" t="s">
        <v>34</v>
      </c>
      <c r="C70" s="89" t="s">
        <v>166</v>
      </c>
      <c r="D70" s="89" t="s">
        <v>244</v>
      </c>
      <c r="E70" s="94" t="s">
        <v>208</v>
      </c>
      <c r="F70" s="94" t="s">
        <v>208</v>
      </c>
      <c r="G70" s="94">
        <v>2</v>
      </c>
      <c r="H70" s="94">
        <v>2</v>
      </c>
      <c r="I70" s="94"/>
      <c r="J70" s="94"/>
      <c r="K70" s="94"/>
      <c r="L70" s="94"/>
      <c r="M70" s="94"/>
      <c r="N70" s="94"/>
      <c r="O70" s="94"/>
      <c r="P70" s="94"/>
      <c r="Q70" s="94">
        <f t="shared" si="4"/>
        <v>4</v>
      </c>
      <c r="R70" s="94">
        <v>20</v>
      </c>
      <c r="S70" s="197">
        <f t="shared" si="1"/>
        <v>0.2</v>
      </c>
    </row>
    <row r="71" spans="1:19" ht="25.15" hidden="1" customHeight="1" x14ac:dyDescent="0.25">
      <c r="A71" s="95" t="s">
        <v>168</v>
      </c>
      <c r="B71" s="95" t="s">
        <v>168</v>
      </c>
      <c r="C71" s="89" t="s">
        <v>160</v>
      </c>
      <c r="D71" s="89" t="s">
        <v>245</v>
      </c>
      <c r="E71" s="94">
        <v>1</v>
      </c>
      <c r="F71" s="94">
        <v>1</v>
      </c>
      <c r="G71" s="94">
        <v>2</v>
      </c>
      <c r="H71" s="94">
        <v>5</v>
      </c>
      <c r="I71" s="94"/>
      <c r="J71" s="94"/>
      <c r="K71" s="94"/>
      <c r="L71" s="94"/>
      <c r="M71" s="94"/>
      <c r="N71" s="94"/>
      <c r="O71" s="94"/>
      <c r="P71" s="94"/>
      <c r="Q71" s="94"/>
      <c r="R71" s="94" cm="1">
        <f t="array" ref="R71">24 - 2*SUMPRODUCT(COUNTIF(E71:P71,{"I";"F";"CP";"R";"P";"AC";"AM"}))</f>
        <v>24</v>
      </c>
      <c r="S71" s="197">
        <f t="shared" si="1"/>
        <v>0</v>
      </c>
    </row>
    <row r="72" spans="1:19" ht="25.15" hidden="1" customHeight="1" x14ac:dyDescent="0.25">
      <c r="A72" s="94" t="s">
        <v>54</v>
      </c>
      <c r="B72" s="95" t="s">
        <v>34</v>
      </c>
      <c r="C72" s="89" t="s">
        <v>166</v>
      </c>
      <c r="D72" s="89" t="s">
        <v>246</v>
      </c>
      <c r="E72" s="94">
        <v>2</v>
      </c>
      <c r="F72" s="94">
        <v>3</v>
      </c>
      <c r="G72" s="94">
        <v>2</v>
      </c>
      <c r="H72" s="94">
        <v>3</v>
      </c>
      <c r="I72" s="94"/>
      <c r="J72" s="94"/>
      <c r="K72" s="94"/>
      <c r="L72" s="94"/>
      <c r="M72" s="94"/>
      <c r="N72" s="94"/>
      <c r="O72" s="94"/>
      <c r="P72" s="94"/>
      <c r="Q72" s="94">
        <f t="shared" si="4"/>
        <v>10</v>
      </c>
      <c r="R72" s="94" cm="1">
        <f t="array" ref="R72">24 - 2*SUMPRODUCT(COUNTIF(E72:P72,{"I";"F";"CP";"R";"P";"AC";"AM"}))</f>
        <v>24</v>
      </c>
      <c r="S72" s="197">
        <f t="shared" si="1"/>
        <v>0.41666666666666669</v>
      </c>
    </row>
    <row r="73" spans="1:19" ht="25.15" customHeight="1" x14ac:dyDescent="0.25">
      <c r="A73" s="95" t="s">
        <v>178</v>
      </c>
      <c r="B73" s="95" t="s">
        <v>71</v>
      </c>
      <c r="C73" s="89" t="s">
        <v>166</v>
      </c>
      <c r="D73" s="89" t="s">
        <v>247</v>
      </c>
      <c r="E73" s="102" t="s">
        <v>248</v>
      </c>
      <c r="F73" s="93">
        <v>1</v>
      </c>
      <c r="G73" s="93">
        <v>2</v>
      </c>
      <c r="H73" s="93">
        <v>2</v>
      </c>
      <c r="I73" s="93"/>
      <c r="J73" s="93"/>
      <c r="K73" s="93"/>
      <c r="L73" s="93"/>
      <c r="M73" s="93"/>
      <c r="N73" s="93"/>
      <c r="O73" s="93"/>
      <c r="P73" s="93"/>
      <c r="Q73" s="93">
        <f t="shared" si="4"/>
        <v>5</v>
      </c>
      <c r="R73" s="94" cm="1">
        <f t="array" ref="R73">24 - 2*SUMPRODUCT(COUNTIF(E73:P73,{"I";"F";"CP";"R";"P";"AC";"AM"}))</f>
        <v>24</v>
      </c>
      <c r="S73" s="197">
        <f t="shared" si="1"/>
        <v>0.20833333333333334</v>
      </c>
    </row>
    <row r="74" spans="1:19" ht="25.15" hidden="1" customHeight="1" x14ac:dyDescent="0.25">
      <c r="A74" s="94" t="s">
        <v>54</v>
      </c>
      <c r="B74" s="95" t="s">
        <v>34</v>
      </c>
      <c r="C74" s="89" t="s">
        <v>166</v>
      </c>
      <c r="D74" s="89" t="s">
        <v>249</v>
      </c>
      <c r="E74" s="94" t="s">
        <v>162</v>
      </c>
      <c r="F74" s="94" t="s">
        <v>162</v>
      </c>
      <c r="G74" s="94" t="s">
        <v>162</v>
      </c>
      <c r="H74" s="94"/>
      <c r="I74" s="94"/>
      <c r="J74" s="94"/>
      <c r="K74" s="94"/>
      <c r="L74" s="94"/>
      <c r="M74" s="94"/>
      <c r="N74" s="94"/>
      <c r="O74" s="94"/>
      <c r="P74" s="94"/>
      <c r="Q74" s="94">
        <f t="shared" ref="Q74:Q107" si="9">SUM(E74:P74)</f>
        <v>0</v>
      </c>
      <c r="R74" s="94" cm="1">
        <f t="array" ref="R74">24 - 2*SUMPRODUCT(COUNTIF(E74:P74,{"I";"F";"CP";"R";"P";"AC";"AM"}))</f>
        <v>18</v>
      </c>
      <c r="S74" s="197">
        <f t="shared" si="1"/>
        <v>0</v>
      </c>
    </row>
    <row r="75" spans="1:19" ht="25.15" hidden="1" customHeight="1" x14ac:dyDescent="0.25">
      <c r="A75" s="95" t="s">
        <v>168</v>
      </c>
      <c r="B75" s="95" t="s">
        <v>168</v>
      </c>
      <c r="C75" s="89" t="s">
        <v>188</v>
      </c>
      <c r="D75" s="89" t="s">
        <v>250</v>
      </c>
      <c r="E75" s="94"/>
      <c r="F75" s="94"/>
      <c r="G75" s="94"/>
      <c r="H75" s="94"/>
      <c r="I75" s="94"/>
      <c r="J75" s="94"/>
      <c r="K75" s="94"/>
      <c r="L75" s="94"/>
      <c r="M75" s="94"/>
      <c r="N75" s="94"/>
      <c r="O75" s="94"/>
      <c r="P75" s="94"/>
      <c r="Q75" s="94">
        <f t="shared" si="9"/>
        <v>0</v>
      </c>
      <c r="R75" s="94" cm="1">
        <f t="array" ref="R75">24 - 2*SUMPRODUCT(COUNTIF(E75:P75,{"I";"F";"CP";"R";"P";"AC";"AM"}))</f>
        <v>24</v>
      </c>
      <c r="S75" s="197">
        <f t="shared" ref="S75:S114" si="10">Q75/R75</f>
        <v>0</v>
      </c>
    </row>
    <row r="76" spans="1:19" ht="25.15" hidden="1" customHeight="1" x14ac:dyDescent="0.25">
      <c r="A76" s="95" t="s">
        <v>202</v>
      </c>
      <c r="B76" s="95" t="s">
        <v>34</v>
      </c>
      <c r="C76" s="89" t="s">
        <v>160</v>
      </c>
      <c r="D76" s="89" t="s">
        <v>251</v>
      </c>
      <c r="E76" s="94"/>
      <c r="F76" s="94"/>
      <c r="G76" s="94"/>
      <c r="H76" s="94"/>
      <c r="I76" s="94"/>
      <c r="J76" s="94"/>
      <c r="K76" s="94"/>
      <c r="L76" s="94"/>
      <c r="M76" s="94"/>
      <c r="N76" s="94"/>
      <c r="O76" s="94"/>
      <c r="P76" s="94"/>
      <c r="Q76" s="94">
        <f t="shared" si="9"/>
        <v>0</v>
      </c>
      <c r="R76" s="94" cm="1">
        <f t="array" ref="R76">24 - 2*SUMPRODUCT(COUNTIF(E76:P76,{"I";"F";"CP";"R";"P";"AC";"AM"}))</f>
        <v>24</v>
      </c>
      <c r="S76" s="197">
        <f t="shared" si="10"/>
        <v>0</v>
      </c>
    </row>
    <row r="77" spans="1:19" ht="25.15" hidden="1" customHeight="1" x14ac:dyDescent="0.25">
      <c r="A77" s="94" t="s">
        <v>54</v>
      </c>
      <c r="B77" s="95" t="s">
        <v>45</v>
      </c>
      <c r="C77" s="89" t="s">
        <v>166</v>
      </c>
      <c r="D77" s="89" t="s">
        <v>252</v>
      </c>
      <c r="E77" s="94">
        <v>2</v>
      </c>
      <c r="F77" s="94">
        <v>3</v>
      </c>
      <c r="G77" s="94"/>
      <c r="H77" s="94">
        <v>3</v>
      </c>
      <c r="I77" s="94"/>
      <c r="J77" s="94"/>
      <c r="K77" s="94"/>
      <c r="L77" s="94"/>
      <c r="M77" s="94"/>
      <c r="N77" s="94"/>
      <c r="O77" s="94"/>
      <c r="P77" s="94"/>
      <c r="Q77" s="94">
        <f t="shared" si="9"/>
        <v>8</v>
      </c>
      <c r="R77" s="94" cm="1">
        <f t="array" ref="R77">24 - 2*SUMPRODUCT(COUNTIF(E77:P77,{"I";"F";"CP";"R";"P";"AC";"AM"}))</f>
        <v>24</v>
      </c>
      <c r="S77" s="197">
        <f t="shared" si="10"/>
        <v>0.33333333333333331</v>
      </c>
    </row>
    <row r="78" spans="1:19" ht="25.15" hidden="1" customHeight="1" x14ac:dyDescent="0.25">
      <c r="A78" s="95" t="s">
        <v>253</v>
      </c>
      <c r="B78" s="93" t="s">
        <v>45</v>
      </c>
      <c r="C78" s="89" t="s">
        <v>160</v>
      </c>
      <c r="D78" s="89" t="s">
        <v>254</v>
      </c>
      <c r="E78" s="94"/>
      <c r="F78" s="94"/>
      <c r="G78" s="94"/>
      <c r="H78" s="94"/>
      <c r="I78" s="94"/>
      <c r="J78" s="94"/>
      <c r="K78" s="94"/>
      <c r="L78" s="94"/>
      <c r="M78" s="94"/>
      <c r="N78" s="94"/>
      <c r="O78" s="94"/>
      <c r="P78" s="94"/>
      <c r="Q78" s="94">
        <f t="shared" si="9"/>
        <v>0</v>
      </c>
      <c r="R78" s="94" cm="1">
        <f t="array" ref="R78">24 - 2*SUMPRODUCT(COUNTIF(E78:P78,{"I";"F";"CP";"R";"P";"AC";"AM"}))</f>
        <v>24</v>
      </c>
      <c r="S78" s="197">
        <f t="shared" si="10"/>
        <v>0</v>
      </c>
    </row>
    <row r="79" spans="1:19" ht="25.15" hidden="1" customHeight="1" x14ac:dyDescent="0.25">
      <c r="A79" s="94" t="s">
        <v>54</v>
      </c>
      <c r="B79" s="93" t="s">
        <v>34</v>
      </c>
      <c r="C79" s="89" t="s">
        <v>166</v>
      </c>
      <c r="D79" s="89" t="s">
        <v>255</v>
      </c>
      <c r="E79" s="94">
        <v>2</v>
      </c>
      <c r="F79" s="94">
        <v>3</v>
      </c>
      <c r="G79" s="94">
        <v>2</v>
      </c>
      <c r="H79" s="94"/>
      <c r="I79" s="94"/>
      <c r="J79" s="94"/>
      <c r="K79" s="94"/>
      <c r="L79" s="94"/>
      <c r="M79" s="94"/>
      <c r="N79" s="94"/>
      <c r="O79" s="94"/>
      <c r="P79" s="94"/>
      <c r="Q79" s="94">
        <f t="shared" si="9"/>
        <v>7</v>
      </c>
      <c r="R79" s="94" cm="1">
        <f t="array" ref="R79">24 - 2*SUMPRODUCT(COUNTIF(E79:P79,{"I";"F";"CP";"R";"P";"AC";"AM"}))</f>
        <v>24</v>
      </c>
      <c r="S79" s="197">
        <f t="shared" si="10"/>
        <v>0.29166666666666669</v>
      </c>
    </row>
    <row r="80" spans="1:19" ht="25.15" hidden="1" customHeight="1" x14ac:dyDescent="0.25">
      <c r="A80" s="95" t="s">
        <v>168</v>
      </c>
      <c r="B80" s="95" t="s">
        <v>168</v>
      </c>
      <c r="C80" s="89" t="s">
        <v>166</v>
      </c>
      <c r="D80" s="89" t="s">
        <v>256</v>
      </c>
      <c r="E80" s="94"/>
      <c r="F80" s="94"/>
      <c r="G80" s="94"/>
      <c r="H80" s="94"/>
      <c r="I80" s="94"/>
      <c r="J80" s="94"/>
      <c r="K80" s="94"/>
      <c r="L80" s="94"/>
      <c r="M80" s="94"/>
      <c r="N80" s="94"/>
      <c r="O80" s="94"/>
      <c r="P80" s="94"/>
      <c r="Q80" s="94">
        <f t="shared" si="9"/>
        <v>0</v>
      </c>
      <c r="R80" s="94" cm="1">
        <f t="array" ref="R80">24 - 2*SUMPRODUCT(COUNTIF(E80:P80,{"I";"F";"CP";"R";"P";"AC";"AM"}))</f>
        <v>24</v>
      </c>
      <c r="S80" s="197">
        <f t="shared" si="10"/>
        <v>0</v>
      </c>
    </row>
    <row r="81" spans="1:19" ht="25.15" hidden="1" customHeight="1" x14ac:dyDescent="0.25">
      <c r="A81" s="95" t="s">
        <v>159</v>
      </c>
      <c r="B81" s="95" t="s">
        <v>45</v>
      </c>
      <c r="C81" s="89" t="s">
        <v>166</v>
      </c>
      <c r="D81" s="89" t="s">
        <v>257</v>
      </c>
      <c r="E81" s="94"/>
      <c r="F81" s="94"/>
      <c r="G81" s="94">
        <v>4</v>
      </c>
      <c r="H81" s="94"/>
      <c r="I81" s="94"/>
      <c r="J81" s="94"/>
      <c r="K81" s="94"/>
      <c r="L81" s="94"/>
      <c r="M81" s="94"/>
      <c r="N81" s="94"/>
      <c r="O81" s="94"/>
      <c r="P81" s="94"/>
      <c r="Q81" s="94">
        <f t="shared" si="9"/>
        <v>4</v>
      </c>
      <c r="R81" s="94" cm="1">
        <f t="array" ref="R81">24 - 2*SUMPRODUCT(COUNTIF(E81:P81,{"I";"F";"CP";"R";"P";"AC";"AM"}))</f>
        <v>24</v>
      </c>
      <c r="S81" s="197">
        <f t="shared" si="10"/>
        <v>0.16666666666666666</v>
      </c>
    </row>
    <row r="82" spans="1:19" ht="25.15" customHeight="1" x14ac:dyDescent="0.25">
      <c r="A82" s="95" t="s">
        <v>181</v>
      </c>
      <c r="B82" s="95" t="s">
        <v>71</v>
      </c>
      <c r="C82" s="89" t="s">
        <v>166</v>
      </c>
      <c r="D82" s="89" t="s">
        <v>258</v>
      </c>
      <c r="E82" s="94"/>
      <c r="F82" s="94">
        <v>1</v>
      </c>
      <c r="G82" s="94">
        <v>2</v>
      </c>
      <c r="H82" s="94">
        <v>0</v>
      </c>
      <c r="I82" s="94"/>
      <c r="J82" s="94"/>
      <c r="K82" s="94"/>
      <c r="L82" s="94"/>
      <c r="M82" s="94"/>
      <c r="N82" s="94"/>
      <c r="O82" s="94"/>
      <c r="P82" s="94"/>
      <c r="Q82" s="94">
        <f t="shared" si="9"/>
        <v>3</v>
      </c>
      <c r="R82" s="94" cm="1">
        <f t="array" ref="R82">24 - 2*SUMPRODUCT(COUNTIF(E82:P82,{"I";"F";"CP";"R";"P";"AC";"AM"}))</f>
        <v>24</v>
      </c>
      <c r="S82" s="197">
        <f t="shared" ref="S82" si="11">Q82/R82</f>
        <v>0.125</v>
      </c>
    </row>
    <row r="83" spans="1:19" ht="25.15" customHeight="1" x14ac:dyDescent="0.25">
      <c r="A83" s="94" t="s">
        <v>181</v>
      </c>
      <c r="B83" s="93" t="s">
        <v>230</v>
      </c>
      <c r="C83" s="89" t="s">
        <v>166</v>
      </c>
      <c r="D83" s="89" t="s">
        <v>259</v>
      </c>
      <c r="E83" s="94">
        <v>1</v>
      </c>
      <c r="F83" s="94">
        <v>0</v>
      </c>
      <c r="G83" s="94">
        <v>1</v>
      </c>
      <c r="H83" s="94">
        <v>2</v>
      </c>
      <c r="I83" s="94"/>
      <c r="J83" s="94"/>
      <c r="K83" s="94"/>
      <c r="L83" s="94"/>
      <c r="M83" s="94"/>
      <c r="N83" s="94"/>
      <c r="O83" s="94"/>
      <c r="P83" s="94"/>
      <c r="Q83" s="94">
        <f t="shared" si="9"/>
        <v>4</v>
      </c>
      <c r="R83" s="94" cm="1">
        <f t="array" ref="R83">24 - 2*SUMPRODUCT(COUNTIF(E83:P83,{"I";"F";"CP";"R";"P";"AC";"AM"}))</f>
        <v>24</v>
      </c>
      <c r="S83" s="197">
        <f t="shared" si="10"/>
        <v>0.16666666666666666</v>
      </c>
    </row>
    <row r="84" spans="1:19" ht="25.15" hidden="1" customHeight="1" x14ac:dyDescent="0.25">
      <c r="A84" s="95" t="s">
        <v>192</v>
      </c>
      <c r="B84" s="95" t="s">
        <v>192</v>
      </c>
      <c r="C84" s="89" t="s">
        <v>160</v>
      </c>
      <c r="D84" s="89" t="s">
        <v>260</v>
      </c>
      <c r="E84" s="94"/>
      <c r="F84" s="94"/>
      <c r="G84" s="94"/>
      <c r="H84" s="94"/>
      <c r="I84" s="94"/>
      <c r="J84" s="94"/>
      <c r="K84" s="94"/>
      <c r="L84" s="94"/>
      <c r="M84" s="94"/>
      <c r="N84" s="94"/>
      <c r="O84" s="94"/>
      <c r="P84" s="94"/>
      <c r="Q84" s="94">
        <f t="shared" si="9"/>
        <v>0</v>
      </c>
      <c r="R84" s="94" cm="1">
        <f t="array" ref="R84">24 - 2*SUMPRODUCT(COUNTIF(E84:P84,{"I";"F";"CP";"R";"P";"AC";"AM"}))</f>
        <v>24</v>
      </c>
      <c r="S84" s="197">
        <f t="shared" si="10"/>
        <v>0</v>
      </c>
    </row>
    <row r="85" spans="1:19" ht="25.15" hidden="1" customHeight="1" x14ac:dyDescent="0.25">
      <c r="A85" s="94" t="s">
        <v>109</v>
      </c>
      <c r="B85" s="95" t="s">
        <v>34</v>
      </c>
      <c r="C85" s="89" t="s">
        <v>160</v>
      </c>
      <c r="D85" s="89" t="s">
        <v>261</v>
      </c>
      <c r="E85" s="94">
        <v>1</v>
      </c>
      <c r="F85" s="94">
        <v>0</v>
      </c>
      <c r="G85" s="94" t="s">
        <v>162</v>
      </c>
      <c r="H85" s="94">
        <v>3</v>
      </c>
      <c r="I85" s="94"/>
      <c r="J85" s="94"/>
      <c r="K85" s="94"/>
      <c r="L85" s="94"/>
      <c r="M85" s="94"/>
      <c r="N85" s="94"/>
      <c r="O85" s="94"/>
      <c r="P85" s="94"/>
      <c r="Q85" s="94">
        <f t="shared" si="9"/>
        <v>4</v>
      </c>
      <c r="R85" s="94" cm="1">
        <f t="array" ref="R85">24 - 2*SUMPRODUCT(COUNTIF(E85:P85,{"I";"F";"CP";"R";"P";"AC";"AM"}))</f>
        <v>22</v>
      </c>
      <c r="S85" s="197">
        <f t="shared" si="10"/>
        <v>0.18181818181818182</v>
      </c>
    </row>
    <row r="86" spans="1:19" ht="25.15" hidden="1" customHeight="1" x14ac:dyDescent="0.25">
      <c r="A86" s="95" t="s">
        <v>192</v>
      </c>
      <c r="B86" s="95" t="s">
        <v>192</v>
      </c>
      <c r="C86" s="89" t="s">
        <v>166</v>
      </c>
      <c r="D86" s="89" t="s">
        <v>262</v>
      </c>
      <c r="E86" s="94"/>
      <c r="F86" s="94">
        <v>2</v>
      </c>
      <c r="G86" s="94"/>
      <c r="H86" s="94">
        <v>1</v>
      </c>
      <c r="I86" s="94"/>
      <c r="J86" s="94"/>
      <c r="K86" s="94"/>
      <c r="L86" s="94"/>
      <c r="M86" s="94"/>
      <c r="N86" s="94"/>
      <c r="O86" s="94"/>
      <c r="P86" s="94"/>
      <c r="Q86" s="94">
        <f t="shared" si="9"/>
        <v>3</v>
      </c>
      <c r="R86" s="94" cm="1">
        <f t="array" ref="R86">24 - 2*SUMPRODUCT(COUNTIF(E86:P86,{"I";"F";"CP";"R";"P";"AC";"AM"}))</f>
        <v>24</v>
      </c>
      <c r="S86" s="197">
        <f t="shared" si="10"/>
        <v>0.125</v>
      </c>
    </row>
    <row r="87" spans="1:19" ht="25.15" hidden="1" customHeight="1" x14ac:dyDescent="0.25">
      <c r="A87" s="95" t="s">
        <v>94</v>
      </c>
      <c r="B87" s="95" t="s">
        <v>94</v>
      </c>
      <c r="C87" s="89" t="s">
        <v>166</v>
      </c>
      <c r="D87" s="89" t="s">
        <v>263</v>
      </c>
      <c r="E87" s="94"/>
      <c r="F87" s="94"/>
      <c r="G87" s="94"/>
      <c r="H87" s="94"/>
      <c r="I87" s="94"/>
      <c r="J87" s="94"/>
      <c r="K87" s="94"/>
      <c r="L87" s="94"/>
      <c r="M87" s="94"/>
      <c r="N87" s="94"/>
      <c r="O87" s="94"/>
      <c r="P87" s="94"/>
      <c r="Q87" s="94">
        <f t="shared" si="9"/>
        <v>0</v>
      </c>
      <c r="R87" s="94" cm="1">
        <f t="array" ref="R87">24 - 2*SUMPRODUCT(COUNTIF(E87:P87,{"I";"F";"CP";"R";"P";"AC";"AM"}))</f>
        <v>24</v>
      </c>
      <c r="S87" s="197">
        <f t="shared" si="10"/>
        <v>0</v>
      </c>
    </row>
    <row r="88" spans="1:19" ht="25.15" hidden="1" customHeight="1" x14ac:dyDescent="0.25">
      <c r="A88" s="95" t="s">
        <v>109</v>
      </c>
      <c r="B88" s="95" t="s">
        <v>34</v>
      </c>
      <c r="C88" s="89" t="s">
        <v>160</v>
      </c>
      <c r="D88" s="89" t="s">
        <v>264</v>
      </c>
      <c r="E88" s="94">
        <v>2</v>
      </c>
      <c r="F88" s="94">
        <v>3</v>
      </c>
      <c r="G88" s="94">
        <v>2</v>
      </c>
      <c r="H88" s="94"/>
      <c r="I88" s="94"/>
      <c r="J88" s="94"/>
      <c r="K88" s="94"/>
      <c r="L88" s="94"/>
      <c r="M88" s="94"/>
      <c r="N88" s="94"/>
      <c r="O88" s="94"/>
      <c r="P88" s="94"/>
      <c r="Q88" s="94"/>
      <c r="R88" s="94"/>
      <c r="S88" s="197"/>
    </row>
    <row r="89" spans="1:19" ht="25.15" hidden="1" customHeight="1" x14ac:dyDescent="0.25">
      <c r="A89" s="94" t="s">
        <v>109</v>
      </c>
      <c r="B89" s="95" t="s">
        <v>34</v>
      </c>
      <c r="C89" s="89" t="s">
        <v>166</v>
      </c>
      <c r="D89" s="89" t="s">
        <v>265</v>
      </c>
      <c r="E89" s="94">
        <v>3</v>
      </c>
      <c r="F89" s="94">
        <v>2</v>
      </c>
      <c r="G89" s="94">
        <v>2</v>
      </c>
      <c r="H89" s="94">
        <v>3</v>
      </c>
      <c r="I89" s="94"/>
      <c r="J89" s="94"/>
      <c r="K89" s="94"/>
      <c r="L89" s="94"/>
      <c r="M89" s="94"/>
      <c r="N89" s="94"/>
      <c r="O89" s="94"/>
      <c r="P89" s="94"/>
      <c r="Q89" s="94">
        <f t="shared" si="9"/>
        <v>10</v>
      </c>
      <c r="R89" s="94" cm="1">
        <f t="array" ref="R89">24 - 2*SUMPRODUCT(COUNTIF(E89:P89,{"I";"F";"CP";"R";"P";"AC";"AM"}))</f>
        <v>24</v>
      </c>
      <c r="S89" s="197">
        <f t="shared" si="10"/>
        <v>0.41666666666666669</v>
      </c>
    </row>
    <row r="90" spans="1:19" ht="25.15" customHeight="1" x14ac:dyDescent="0.25">
      <c r="A90" s="95" t="s">
        <v>181</v>
      </c>
      <c r="B90" s="95" t="s">
        <v>34</v>
      </c>
      <c r="C90" s="89" t="s">
        <v>188</v>
      </c>
      <c r="D90" s="89" t="s">
        <v>266</v>
      </c>
      <c r="E90" s="94">
        <v>2</v>
      </c>
      <c r="F90" s="94">
        <v>2</v>
      </c>
      <c r="G90" s="94">
        <v>2</v>
      </c>
      <c r="H90" s="94">
        <v>2</v>
      </c>
      <c r="I90" s="94"/>
      <c r="J90" s="94"/>
      <c r="K90" s="94"/>
      <c r="L90" s="94"/>
      <c r="M90" s="94"/>
      <c r="N90" s="94"/>
      <c r="O90" s="94"/>
      <c r="P90" s="94"/>
      <c r="Q90" s="94">
        <f t="shared" si="9"/>
        <v>8</v>
      </c>
      <c r="R90" s="94" cm="1">
        <f t="array" ref="R90">24 - 2*SUMPRODUCT(COUNTIF(E90:P90,{"I";"F";"CP";"R";"P";"AC";"AM"}))</f>
        <v>24</v>
      </c>
      <c r="S90" s="197">
        <f t="shared" si="10"/>
        <v>0.33333333333333331</v>
      </c>
    </row>
    <row r="91" spans="1:19" ht="25.15" hidden="1" customHeight="1" x14ac:dyDescent="0.25">
      <c r="A91" s="95" t="s">
        <v>168</v>
      </c>
      <c r="B91" s="95" t="s">
        <v>168</v>
      </c>
      <c r="C91" s="89" t="s">
        <v>166</v>
      </c>
      <c r="D91" s="89" t="s">
        <v>266</v>
      </c>
      <c r="E91" s="94"/>
      <c r="F91" s="94"/>
      <c r="G91" s="94"/>
      <c r="H91" s="94"/>
      <c r="I91" s="94"/>
      <c r="J91" s="94"/>
      <c r="K91" s="94"/>
      <c r="L91" s="94"/>
      <c r="M91" s="94"/>
      <c r="N91" s="94"/>
      <c r="O91" s="94"/>
      <c r="P91" s="94"/>
      <c r="Q91" s="94">
        <f t="shared" si="9"/>
        <v>0</v>
      </c>
      <c r="R91" s="94" cm="1">
        <f t="array" ref="R91">24 - 2*SUMPRODUCT(COUNTIF(E91:P91,{"I";"F";"CP";"R";"P";"AC";"AM"}))</f>
        <v>24</v>
      </c>
      <c r="S91" s="197">
        <f t="shared" si="10"/>
        <v>0</v>
      </c>
    </row>
    <row r="92" spans="1:19" ht="25.15" customHeight="1" x14ac:dyDescent="0.25">
      <c r="A92" s="97" t="s">
        <v>178</v>
      </c>
      <c r="B92" s="95" t="s">
        <v>71</v>
      </c>
      <c r="C92" s="89" t="s">
        <v>166</v>
      </c>
      <c r="D92" s="108" t="s">
        <v>267</v>
      </c>
      <c r="E92" s="94">
        <v>1</v>
      </c>
      <c r="F92" s="94">
        <v>1</v>
      </c>
      <c r="G92" s="94">
        <v>0</v>
      </c>
      <c r="H92" s="94">
        <v>0</v>
      </c>
      <c r="I92" s="94"/>
      <c r="J92" s="94"/>
      <c r="K92" s="94"/>
      <c r="L92" s="94"/>
      <c r="M92" s="94"/>
      <c r="N92" s="94"/>
      <c r="O92" s="94"/>
      <c r="P92" s="94"/>
      <c r="Q92" s="94">
        <f t="shared" si="9"/>
        <v>2</v>
      </c>
      <c r="R92" s="94" cm="1">
        <f t="array" ref="R92">24 - 2*SUMPRODUCT(COUNTIF(E92:P92,{"I";"F";"CP";"R";"P";"AC";"AM"}))</f>
        <v>24</v>
      </c>
      <c r="S92" s="197">
        <f t="shared" si="10"/>
        <v>8.3333333333333329E-2</v>
      </c>
    </row>
    <row r="93" spans="1:19" ht="25.15" hidden="1" customHeight="1" x14ac:dyDescent="0.25">
      <c r="A93" s="95" t="s">
        <v>168</v>
      </c>
      <c r="B93" s="95" t="s">
        <v>168</v>
      </c>
      <c r="C93" s="89" t="s">
        <v>160</v>
      </c>
      <c r="D93" s="89" t="s">
        <v>268</v>
      </c>
      <c r="E93" s="94">
        <v>2</v>
      </c>
      <c r="F93" s="94">
        <v>2</v>
      </c>
      <c r="G93" s="94">
        <v>0</v>
      </c>
      <c r="H93" s="94">
        <v>3</v>
      </c>
      <c r="I93" s="94"/>
      <c r="J93" s="94"/>
      <c r="K93" s="94"/>
      <c r="L93" s="94"/>
      <c r="M93" s="94"/>
      <c r="N93" s="94"/>
      <c r="O93" s="94"/>
      <c r="P93" s="94"/>
      <c r="Q93" s="94">
        <f t="shared" si="9"/>
        <v>7</v>
      </c>
      <c r="R93" s="94" cm="1">
        <f t="array" ref="R93">24 - 2*SUMPRODUCT(COUNTIF(E93:P93,{"I";"F";"CP";"R";"P";"AC";"AM"}))</f>
        <v>24</v>
      </c>
      <c r="S93" s="197">
        <f t="shared" si="10"/>
        <v>0.29166666666666669</v>
      </c>
    </row>
    <row r="94" spans="1:19" ht="25.15" hidden="1" customHeight="1" x14ac:dyDescent="0.25">
      <c r="A94" s="95" t="s">
        <v>269</v>
      </c>
      <c r="B94" s="95" t="s">
        <v>34</v>
      </c>
      <c r="C94" s="89" t="s">
        <v>166</v>
      </c>
      <c r="D94" s="89" t="s">
        <v>270</v>
      </c>
      <c r="E94" s="94">
        <v>2</v>
      </c>
      <c r="F94" s="94"/>
      <c r="G94" s="94">
        <v>1</v>
      </c>
      <c r="H94" s="94"/>
      <c r="I94" s="94"/>
      <c r="J94" s="94"/>
      <c r="K94" s="94"/>
      <c r="L94" s="94"/>
      <c r="M94" s="94"/>
      <c r="N94" s="94"/>
      <c r="O94" s="94"/>
      <c r="P94" s="94"/>
      <c r="Q94" s="94">
        <f t="shared" si="9"/>
        <v>3</v>
      </c>
      <c r="R94" s="94" cm="1">
        <f t="array" ref="R94">24 - 2*SUMPRODUCT(COUNTIF(E94:P94,{"I";"F";"CP";"R";"P";"AC";"AM"}))</f>
        <v>24</v>
      </c>
      <c r="S94" s="197">
        <f t="shared" si="10"/>
        <v>0.125</v>
      </c>
    </row>
    <row r="95" spans="1:19" ht="25.15" hidden="1" customHeight="1" x14ac:dyDescent="0.25">
      <c r="A95" s="94" t="s">
        <v>109</v>
      </c>
      <c r="B95" s="95" t="s">
        <v>34</v>
      </c>
      <c r="C95" s="89" t="s">
        <v>166</v>
      </c>
      <c r="D95" s="89" t="s">
        <v>271</v>
      </c>
      <c r="E95" s="94">
        <v>4</v>
      </c>
      <c r="F95" s="94">
        <v>3</v>
      </c>
      <c r="G95" s="94">
        <v>4</v>
      </c>
      <c r="H95" s="94">
        <v>4</v>
      </c>
      <c r="I95" s="94"/>
      <c r="J95" s="94"/>
      <c r="K95" s="94"/>
      <c r="L95" s="94"/>
      <c r="M95" s="94"/>
      <c r="N95" s="94"/>
      <c r="O95" s="94"/>
      <c r="P95" s="94"/>
      <c r="Q95" s="94">
        <f t="shared" si="9"/>
        <v>15</v>
      </c>
      <c r="R95" s="94" cm="1">
        <f t="array" ref="R95">24 - 2*SUMPRODUCT(COUNTIF(E95:P95,{"I";"F";"CP";"R";"P";"AC";"AM"}))</f>
        <v>24</v>
      </c>
      <c r="S95" s="197">
        <f t="shared" si="10"/>
        <v>0.625</v>
      </c>
    </row>
    <row r="96" spans="1:19" ht="25.15" customHeight="1" x14ac:dyDescent="0.25">
      <c r="A96" s="95" t="s">
        <v>178</v>
      </c>
      <c r="B96" s="95" t="s">
        <v>34</v>
      </c>
      <c r="C96" s="89" t="s">
        <v>166</v>
      </c>
      <c r="D96" s="89" t="s">
        <v>272</v>
      </c>
      <c r="E96" s="94">
        <v>1</v>
      </c>
      <c r="F96" s="94">
        <v>0</v>
      </c>
      <c r="G96" s="94" t="s">
        <v>162</v>
      </c>
      <c r="H96" s="94" t="s">
        <v>162</v>
      </c>
      <c r="I96" s="94"/>
      <c r="J96" s="94"/>
      <c r="K96" s="94"/>
      <c r="L96" s="94"/>
      <c r="M96" s="94"/>
      <c r="N96" s="94"/>
      <c r="O96" s="94"/>
      <c r="P96" s="94"/>
      <c r="Q96" s="94">
        <f>SUM(E96:P96)</f>
        <v>1</v>
      </c>
      <c r="R96" s="94" cm="1">
        <f t="array" ref="R96">24 - 2*SUMPRODUCT(COUNTIF(E96:P96,{"I";"F";"CP";"R";"P";"AC";"AM"}))</f>
        <v>20</v>
      </c>
      <c r="S96" s="197">
        <f>Q96/R96</f>
        <v>0.05</v>
      </c>
    </row>
    <row r="97" spans="1:19" ht="25.15" customHeight="1" x14ac:dyDescent="0.25">
      <c r="A97" s="95" t="s">
        <v>181</v>
      </c>
      <c r="B97" s="95" t="s">
        <v>34</v>
      </c>
      <c r="C97" s="89" t="s">
        <v>160</v>
      </c>
      <c r="D97" s="89" t="s">
        <v>273</v>
      </c>
      <c r="E97" s="94">
        <v>1</v>
      </c>
      <c r="F97" s="94">
        <v>2</v>
      </c>
      <c r="G97" s="94">
        <v>2</v>
      </c>
      <c r="H97" s="94">
        <v>2</v>
      </c>
      <c r="I97" s="94"/>
      <c r="J97" s="94"/>
      <c r="K97" s="94"/>
      <c r="L97" s="94"/>
      <c r="M97" s="94"/>
      <c r="N97" s="94"/>
      <c r="O97" s="94"/>
      <c r="P97" s="94"/>
      <c r="Q97" s="94">
        <f>SUM(E97:P97)</f>
        <v>7</v>
      </c>
      <c r="R97" s="94" cm="1">
        <f t="array" ref="R97">24 - 2*SUMPRODUCT(COUNTIF(E97:P97,{"I";"F";"CP";"R";"P";"AC";"AM"}))</f>
        <v>24</v>
      </c>
      <c r="S97" s="197">
        <f>Q97/R97</f>
        <v>0.29166666666666669</v>
      </c>
    </row>
    <row r="98" spans="1:19" ht="25.15" hidden="1" customHeight="1" x14ac:dyDescent="0.25">
      <c r="A98" s="95" t="s">
        <v>192</v>
      </c>
      <c r="B98" s="95" t="s">
        <v>192</v>
      </c>
      <c r="C98" s="89" t="s">
        <v>160</v>
      </c>
      <c r="D98" s="89" t="s">
        <v>274</v>
      </c>
      <c r="E98" s="94"/>
      <c r="F98" s="94"/>
      <c r="G98" s="94"/>
      <c r="H98" s="94"/>
      <c r="I98" s="94"/>
      <c r="J98" s="94"/>
      <c r="K98" s="94"/>
      <c r="L98" s="94"/>
      <c r="M98" s="94"/>
      <c r="N98" s="94"/>
      <c r="O98" s="94"/>
      <c r="P98" s="94"/>
      <c r="Q98" s="94">
        <f>SUM(E98:P98)</f>
        <v>0</v>
      </c>
      <c r="R98" s="94" cm="1">
        <f t="array" ref="R98">24 - 2*SUMPRODUCT(COUNTIF(E98:P98,{"I";"F";"CP";"R";"P";"AC";"AM"}))</f>
        <v>24</v>
      </c>
      <c r="S98" s="197">
        <f>Q98/R98</f>
        <v>0</v>
      </c>
    </row>
    <row r="99" spans="1:19" ht="25.15" customHeight="1" x14ac:dyDescent="0.25">
      <c r="A99" s="95" t="s">
        <v>181</v>
      </c>
      <c r="B99" s="95" t="s">
        <v>34</v>
      </c>
      <c r="C99" s="89" t="s">
        <v>188</v>
      </c>
      <c r="D99" s="89" t="s">
        <v>275</v>
      </c>
      <c r="E99" s="102" t="s">
        <v>276</v>
      </c>
      <c r="F99" s="93">
        <v>0</v>
      </c>
      <c r="G99" s="93">
        <v>2</v>
      </c>
      <c r="H99" s="93">
        <v>0</v>
      </c>
      <c r="I99" s="93">
        <v>1</v>
      </c>
      <c r="J99" s="93"/>
      <c r="K99" s="93"/>
      <c r="L99" s="93"/>
      <c r="M99" s="93"/>
      <c r="N99" s="93"/>
      <c r="O99" s="93"/>
      <c r="P99" s="93"/>
      <c r="Q99" s="94">
        <f>SUM(E99:P99)</f>
        <v>3</v>
      </c>
      <c r="R99" s="94" cm="1">
        <f t="array" ref="R99">24 - 2*SUMPRODUCT(COUNTIF(E99:P99,{"I";"F";"CP";"R";"P";"AC";"AM"}))</f>
        <v>22</v>
      </c>
      <c r="S99" s="197">
        <f t="shared" si="10"/>
        <v>0.13636363636363635</v>
      </c>
    </row>
    <row r="100" spans="1:19" ht="25.15" hidden="1" customHeight="1" x14ac:dyDescent="0.25">
      <c r="A100" s="95" t="s">
        <v>159</v>
      </c>
      <c r="B100" s="95" t="s">
        <v>34</v>
      </c>
      <c r="C100" s="89" t="s">
        <v>188</v>
      </c>
      <c r="D100" s="89" t="s">
        <v>277</v>
      </c>
      <c r="E100" s="94">
        <v>1</v>
      </c>
      <c r="F100" s="94"/>
      <c r="G100" s="94">
        <v>2</v>
      </c>
      <c r="H100" s="94"/>
      <c r="I100" s="94"/>
      <c r="J100" s="94"/>
      <c r="K100" s="94"/>
      <c r="L100" s="94"/>
      <c r="M100" s="94"/>
      <c r="N100" s="94"/>
      <c r="O100" s="94"/>
      <c r="P100" s="94"/>
      <c r="Q100" s="94">
        <f t="shared" si="9"/>
        <v>3</v>
      </c>
      <c r="R100" s="94" cm="1">
        <f t="array" ref="R100">24 - 2*SUMPRODUCT(COUNTIF(E100:P100,{"I";"F";"CP";"R";"P";"AC";"AM"}))</f>
        <v>24</v>
      </c>
      <c r="S100" s="197">
        <f t="shared" si="10"/>
        <v>0.125</v>
      </c>
    </row>
    <row r="101" spans="1:19" ht="25.15" hidden="1" customHeight="1" x14ac:dyDescent="0.25">
      <c r="A101" s="94" t="s">
        <v>100</v>
      </c>
      <c r="B101" s="95" t="s">
        <v>34</v>
      </c>
      <c r="C101" s="89" t="s">
        <v>160</v>
      </c>
      <c r="D101" s="89" t="s">
        <v>278</v>
      </c>
      <c r="E101" s="94">
        <v>1</v>
      </c>
      <c r="F101" s="94">
        <v>0</v>
      </c>
      <c r="G101" s="94">
        <v>1</v>
      </c>
      <c r="H101" s="94">
        <v>2</v>
      </c>
      <c r="I101" s="94"/>
      <c r="J101" s="94"/>
      <c r="K101" s="94"/>
      <c r="L101" s="94"/>
      <c r="M101" s="94"/>
      <c r="N101" s="94"/>
      <c r="O101" s="94"/>
      <c r="P101" s="94"/>
      <c r="Q101" s="94">
        <f t="shared" si="9"/>
        <v>4</v>
      </c>
      <c r="R101" s="94" cm="1">
        <f t="array" ref="R101">24 - 2*SUMPRODUCT(COUNTIF(E101:P101,{"I";"F";"CP";"R";"P";"AC";"AM"}))</f>
        <v>24</v>
      </c>
      <c r="S101" s="197">
        <f t="shared" si="10"/>
        <v>0.16666666666666666</v>
      </c>
    </row>
    <row r="102" spans="1:19" ht="25.15" customHeight="1" x14ac:dyDescent="0.25">
      <c r="A102" s="97" t="s">
        <v>181</v>
      </c>
      <c r="B102" s="95" t="s">
        <v>34</v>
      </c>
      <c r="C102" s="89" t="s">
        <v>166</v>
      </c>
      <c r="D102" s="89" t="s">
        <v>279</v>
      </c>
      <c r="E102" s="94">
        <v>1</v>
      </c>
      <c r="F102" s="94">
        <v>2</v>
      </c>
      <c r="G102" s="94">
        <v>2</v>
      </c>
      <c r="H102" s="94">
        <v>2</v>
      </c>
      <c r="I102" s="94"/>
      <c r="J102" s="94"/>
      <c r="K102" s="94"/>
      <c r="L102" s="94"/>
      <c r="M102" s="94"/>
      <c r="N102" s="94"/>
      <c r="O102" s="94"/>
      <c r="P102" s="94"/>
      <c r="Q102" s="94">
        <f t="shared" si="9"/>
        <v>7</v>
      </c>
      <c r="R102" s="94" cm="1">
        <f t="array" ref="R102">24 - 2*SUMPRODUCT(COUNTIF(E102:P102,{"I";"F";"CP";"R";"P";"AC";"AM"}))</f>
        <v>24</v>
      </c>
      <c r="S102" s="197">
        <f t="shared" si="10"/>
        <v>0.29166666666666669</v>
      </c>
    </row>
    <row r="103" spans="1:19" ht="25.15" hidden="1" customHeight="1" x14ac:dyDescent="0.25">
      <c r="A103" s="95" t="s">
        <v>269</v>
      </c>
      <c r="B103" s="95" t="s">
        <v>34</v>
      </c>
      <c r="C103" s="89" t="s">
        <v>160</v>
      </c>
      <c r="D103" s="89" t="s">
        <v>280</v>
      </c>
      <c r="E103" s="94">
        <v>2</v>
      </c>
      <c r="F103" s="94"/>
      <c r="G103" s="94">
        <v>2</v>
      </c>
      <c r="H103" s="94"/>
      <c r="I103" s="94"/>
      <c r="J103" s="94"/>
      <c r="K103" s="94"/>
      <c r="L103" s="94"/>
      <c r="M103" s="94"/>
      <c r="N103" s="94"/>
      <c r="O103" s="94"/>
      <c r="P103" s="94"/>
      <c r="Q103" s="94">
        <f t="shared" si="9"/>
        <v>4</v>
      </c>
      <c r="R103" s="94" cm="1">
        <f t="array" ref="R103">24 - 2*SUMPRODUCT(COUNTIF(E103:P103,{"I";"F";"CP";"R";"P";"AC";"AM"}))</f>
        <v>24</v>
      </c>
      <c r="S103" s="197">
        <f t="shared" si="10"/>
        <v>0.16666666666666666</v>
      </c>
    </row>
    <row r="104" spans="1:19" ht="25.15" hidden="1" customHeight="1" x14ac:dyDescent="0.25">
      <c r="A104" s="95" t="s">
        <v>164</v>
      </c>
      <c r="B104" s="95" t="s">
        <v>34</v>
      </c>
      <c r="C104" s="89" t="s">
        <v>160</v>
      </c>
      <c r="D104" s="89" t="s">
        <v>281</v>
      </c>
      <c r="E104" s="94">
        <v>1</v>
      </c>
      <c r="F104" s="94">
        <v>2</v>
      </c>
      <c r="G104" s="94">
        <v>3</v>
      </c>
      <c r="H104" s="94"/>
      <c r="I104" s="94"/>
      <c r="J104" s="94"/>
      <c r="K104" s="94"/>
      <c r="L104" s="94"/>
      <c r="M104" s="94"/>
      <c r="N104" s="94"/>
      <c r="O104" s="94"/>
      <c r="P104" s="94"/>
      <c r="Q104" s="94">
        <f t="shared" si="9"/>
        <v>6</v>
      </c>
      <c r="R104" s="94" cm="1">
        <f t="array" ref="R104">24 - 2*SUMPRODUCT(COUNTIF(E104:P104,{"I";"F";"CP";"R";"P";"AC";"AM"}))</f>
        <v>24</v>
      </c>
      <c r="S104" s="197">
        <f t="shared" si="10"/>
        <v>0.25</v>
      </c>
    </row>
    <row r="105" spans="1:19" ht="25.15" hidden="1" customHeight="1" x14ac:dyDescent="0.25">
      <c r="A105" s="94" t="s">
        <v>54</v>
      </c>
      <c r="B105" s="95" t="s">
        <v>34</v>
      </c>
      <c r="C105" s="89" t="s">
        <v>160</v>
      </c>
      <c r="D105" s="89" t="s">
        <v>282</v>
      </c>
      <c r="E105" s="94">
        <v>2</v>
      </c>
      <c r="F105" s="94">
        <v>2</v>
      </c>
      <c r="G105" s="94">
        <v>2</v>
      </c>
      <c r="H105" s="94"/>
      <c r="I105" s="94"/>
      <c r="J105" s="94"/>
      <c r="K105" s="94"/>
      <c r="L105" s="94"/>
      <c r="M105" s="94"/>
      <c r="N105" s="94"/>
      <c r="O105" s="94"/>
      <c r="P105" s="94"/>
      <c r="Q105" s="94">
        <f t="shared" si="9"/>
        <v>6</v>
      </c>
      <c r="R105" s="94" cm="1">
        <f t="array" ref="R105">24 - 2*SUMPRODUCT(COUNTIF(E105:P105,{"I";"F";"CP";"R";"P";"AC";"AM"}))</f>
        <v>24</v>
      </c>
      <c r="S105" s="197">
        <f t="shared" si="10"/>
        <v>0.25</v>
      </c>
    </row>
    <row r="106" spans="1:19" ht="25.15" hidden="1" customHeight="1" x14ac:dyDescent="0.25">
      <c r="A106" s="95" t="s">
        <v>253</v>
      </c>
      <c r="B106" s="95" t="s">
        <v>34</v>
      </c>
      <c r="C106" s="89" t="s">
        <v>160</v>
      </c>
      <c r="D106" s="89" t="s">
        <v>283</v>
      </c>
      <c r="E106" s="94">
        <v>1</v>
      </c>
      <c r="F106" s="94" t="s">
        <v>208</v>
      </c>
      <c r="G106" s="94" t="s">
        <v>208</v>
      </c>
      <c r="H106" s="94"/>
      <c r="I106" s="94"/>
      <c r="J106" s="94"/>
      <c r="K106" s="94"/>
      <c r="L106" s="94"/>
      <c r="M106" s="94"/>
      <c r="N106" s="94"/>
      <c r="O106" s="94"/>
      <c r="P106" s="94"/>
      <c r="Q106" s="94">
        <f t="shared" si="9"/>
        <v>1</v>
      </c>
      <c r="R106" s="94">
        <v>20</v>
      </c>
      <c r="S106" s="197">
        <f t="shared" si="10"/>
        <v>0.05</v>
      </c>
    </row>
    <row r="107" spans="1:19" ht="25.15" hidden="1" customHeight="1" x14ac:dyDescent="0.25">
      <c r="A107" s="95" t="s">
        <v>168</v>
      </c>
      <c r="B107" s="95" t="s">
        <v>168</v>
      </c>
      <c r="C107" s="89" t="s">
        <v>166</v>
      </c>
      <c r="D107" s="89" t="s">
        <v>284</v>
      </c>
      <c r="E107" s="94"/>
      <c r="F107" s="94"/>
      <c r="G107" s="94"/>
      <c r="H107" s="94"/>
      <c r="I107" s="94"/>
      <c r="J107" s="94"/>
      <c r="K107" s="94"/>
      <c r="L107" s="94"/>
      <c r="M107" s="94"/>
      <c r="N107" s="94"/>
      <c r="O107" s="94"/>
      <c r="P107" s="94"/>
      <c r="Q107" s="94">
        <f t="shared" si="9"/>
        <v>0</v>
      </c>
      <c r="R107" s="94" cm="1">
        <f t="array" ref="R107">24 - 2*SUMPRODUCT(COUNTIF(E107:P107,{"I";"F";"CP";"R";"P";"AC";"AM"}))</f>
        <v>24</v>
      </c>
      <c r="S107" s="197">
        <f t="shared" si="10"/>
        <v>0</v>
      </c>
    </row>
    <row r="108" spans="1:19" ht="25.15" hidden="1" customHeight="1" x14ac:dyDescent="0.25">
      <c r="A108" s="94" t="s">
        <v>54</v>
      </c>
      <c r="B108" s="95" t="s">
        <v>230</v>
      </c>
      <c r="C108" s="89" t="s">
        <v>160</v>
      </c>
      <c r="D108" s="89" t="s">
        <v>285</v>
      </c>
      <c r="E108" s="94" t="s">
        <v>208</v>
      </c>
      <c r="F108" s="94" t="s">
        <v>208</v>
      </c>
      <c r="G108" s="94">
        <v>1</v>
      </c>
      <c r="H108" s="94">
        <v>3</v>
      </c>
      <c r="I108" s="94"/>
      <c r="J108" s="94"/>
      <c r="K108" s="94"/>
      <c r="L108" s="94"/>
      <c r="M108" s="94"/>
      <c r="N108" s="94"/>
      <c r="O108" s="94"/>
      <c r="P108" s="94"/>
      <c r="Q108" s="94">
        <f>SUM(E108:P108)</f>
        <v>4</v>
      </c>
      <c r="R108" s="94">
        <v>20</v>
      </c>
      <c r="S108" s="197">
        <f>Q108/R108</f>
        <v>0.2</v>
      </c>
    </row>
    <row r="109" spans="1:19" ht="25.15" hidden="1" customHeight="1" x14ac:dyDescent="0.25">
      <c r="A109" s="95" t="s">
        <v>100</v>
      </c>
      <c r="B109" s="95" t="s">
        <v>34</v>
      </c>
      <c r="C109" s="89" t="s">
        <v>160</v>
      </c>
      <c r="D109" s="89" t="s">
        <v>286</v>
      </c>
      <c r="E109" s="94">
        <v>1</v>
      </c>
      <c r="F109" s="94">
        <v>2</v>
      </c>
      <c r="G109" s="94">
        <v>2</v>
      </c>
      <c r="H109" s="94">
        <v>3</v>
      </c>
      <c r="I109" s="94"/>
      <c r="J109" s="94"/>
      <c r="K109" s="94"/>
      <c r="L109" s="94"/>
      <c r="M109" s="94"/>
      <c r="N109" s="94"/>
      <c r="O109" s="94"/>
      <c r="P109" s="94"/>
      <c r="Q109" s="94">
        <f>SUM(E109:P109)</f>
        <v>8</v>
      </c>
      <c r="R109" s="94" cm="1">
        <f t="array" ref="R109">24 - 2*SUMPRODUCT(COUNTIF(E109:P109,{"I";"F";"CP";"R";"P";"AC";"AM"}))</f>
        <v>24</v>
      </c>
      <c r="S109" s="197">
        <f>Q109/R109</f>
        <v>0.33333333333333331</v>
      </c>
    </row>
    <row r="110" spans="1:19" ht="25.15" hidden="1" customHeight="1" x14ac:dyDescent="0.25">
      <c r="A110" s="94" t="s">
        <v>109</v>
      </c>
      <c r="B110" s="95" t="s">
        <v>34</v>
      </c>
      <c r="C110" s="89" t="s">
        <v>166</v>
      </c>
      <c r="D110" s="89" t="s">
        <v>287</v>
      </c>
      <c r="E110" s="94" t="s">
        <v>208</v>
      </c>
      <c r="F110" s="94">
        <v>0</v>
      </c>
      <c r="G110" s="94">
        <v>6</v>
      </c>
      <c r="H110" s="94">
        <v>5</v>
      </c>
      <c r="I110" s="94"/>
      <c r="J110" s="94"/>
      <c r="K110" s="94"/>
      <c r="L110" s="94"/>
      <c r="M110" s="94"/>
      <c r="N110" s="94"/>
      <c r="O110" s="94"/>
      <c r="P110" s="94"/>
      <c r="Q110" s="94">
        <f t="shared" ref="Q110:Q114" si="12">SUM(E110:P110)</f>
        <v>11</v>
      </c>
      <c r="R110" s="94">
        <v>22</v>
      </c>
      <c r="S110" s="197">
        <f t="shared" si="10"/>
        <v>0.5</v>
      </c>
    </row>
    <row r="111" spans="1:19" ht="25.15" hidden="1" customHeight="1" x14ac:dyDescent="0.25">
      <c r="A111" s="95" t="s">
        <v>168</v>
      </c>
      <c r="B111" s="95" t="s">
        <v>168</v>
      </c>
      <c r="C111" s="89" t="s">
        <v>166</v>
      </c>
      <c r="D111" s="89" t="s">
        <v>86</v>
      </c>
      <c r="E111" s="94"/>
      <c r="F111" s="94"/>
      <c r="G111" s="94"/>
      <c r="H111" s="94"/>
      <c r="I111" s="94"/>
      <c r="J111" s="94"/>
      <c r="K111" s="94"/>
      <c r="L111" s="94"/>
      <c r="M111" s="94"/>
      <c r="N111" s="94"/>
      <c r="O111" s="94"/>
      <c r="P111" s="94"/>
      <c r="Q111" s="94">
        <f t="shared" si="12"/>
        <v>0</v>
      </c>
      <c r="R111" s="94" cm="1">
        <f t="array" ref="R111">24 - 2*SUMPRODUCT(COUNTIF(E111:P111,{"I";"F";"CP";"R";"P";"AC";"AM"}))</f>
        <v>24</v>
      </c>
      <c r="S111" s="197">
        <f t="shared" si="10"/>
        <v>0</v>
      </c>
    </row>
    <row r="112" spans="1:19" ht="25.15" hidden="1" customHeight="1" x14ac:dyDescent="0.25">
      <c r="A112" s="95" t="s">
        <v>192</v>
      </c>
      <c r="B112" s="95" t="s">
        <v>192</v>
      </c>
      <c r="C112" s="89" t="s">
        <v>166</v>
      </c>
      <c r="D112" s="89" t="s">
        <v>288</v>
      </c>
      <c r="E112" s="94"/>
      <c r="F112" s="94"/>
      <c r="G112" s="94"/>
      <c r="H112" s="94"/>
      <c r="I112" s="94"/>
      <c r="J112" s="94"/>
      <c r="K112" s="94"/>
      <c r="L112" s="94"/>
      <c r="M112" s="94"/>
      <c r="N112" s="94"/>
      <c r="O112" s="94"/>
      <c r="P112" s="94"/>
      <c r="Q112" s="94">
        <f t="shared" si="12"/>
        <v>0</v>
      </c>
      <c r="R112" s="94" cm="1">
        <f t="array" ref="R112">24 - 2*SUMPRODUCT(COUNTIF(E112:P112,{"I";"F";"CP";"R";"P";"AC";"AM"}))</f>
        <v>24</v>
      </c>
      <c r="S112" s="197">
        <f t="shared" si="10"/>
        <v>0</v>
      </c>
    </row>
    <row r="113" spans="1:19" ht="25.15" hidden="1" customHeight="1" x14ac:dyDescent="0.25">
      <c r="A113" s="95" t="s">
        <v>168</v>
      </c>
      <c r="B113" s="95" t="s">
        <v>168</v>
      </c>
      <c r="C113" s="89" t="s">
        <v>160</v>
      </c>
      <c r="D113" s="89" t="s">
        <v>289</v>
      </c>
      <c r="E113" s="94">
        <v>2</v>
      </c>
      <c r="F113" s="94">
        <v>2</v>
      </c>
      <c r="G113" s="94">
        <v>3</v>
      </c>
      <c r="H113" s="94">
        <v>3</v>
      </c>
      <c r="I113" s="94"/>
      <c r="J113" s="94"/>
      <c r="K113" s="94"/>
      <c r="L113" s="94"/>
      <c r="M113" s="94"/>
      <c r="N113" s="94"/>
      <c r="O113" s="94"/>
      <c r="P113" s="94"/>
      <c r="Q113" s="94">
        <f t="shared" si="12"/>
        <v>10</v>
      </c>
      <c r="R113" s="94" cm="1">
        <f t="array" ref="R113">24 - 2*SUMPRODUCT(COUNTIF(E113:P113,{"I";"F";"CP";"R";"P";"AC";"AM"}))</f>
        <v>24</v>
      </c>
      <c r="S113" s="197">
        <f t="shared" si="10"/>
        <v>0.41666666666666669</v>
      </c>
    </row>
    <row r="114" spans="1:19" ht="25.15" hidden="1" customHeight="1" thickBot="1" x14ac:dyDescent="0.3">
      <c r="A114" s="94" t="s">
        <v>109</v>
      </c>
      <c r="B114" s="96" t="s">
        <v>34</v>
      </c>
      <c r="C114" s="100" t="s">
        <v>166</v>
      </c>
      <c r="D114" s="100" t="s">
        <v>290</v>
      </c>
      <c r="E114" s="103">
        <v>2</v>
      </c>
      <c r="F114" s="103">
        <v>3</v>
      </c>
      <c r="G114" s="103">
        <v>2</v>
      </c>
      <c r="H114" s="103"/>
      <c r="I114" s="103"/>
      <c r="J114" s="103"/>
      <c r="K114" s="103"/>
      <c r="L114" s="103"/>
      <c r="M114" s="103"/>
      <c r="N114" s="103"/>
      <c r="O114" s="103"/>
      <c r="P114" s="103"/>
      <c r="Q114" s="103">
        <f t="shared" si="12"/>
        <v>7</v>
      </c>
      <c r="R114" s="94" cm="1">
        <f t="array" ref="R114">24 - 2*SUMPRODUCT(COUNTIF(E114:P114,{"I";"F";"CP";"R";"P";"AC";"AM"}))</f>
        <v>24</v>
      </c>
      <c r="S114" s="197">
        <f t="shared" si="10"/>
        <v>0.29166666666666669</v>
      </c>
    </row>
    <row r="115" spans="1:19" ht="25.15" customHeight="1" thickBot="1" x14ac:dyDescent="0.3">
      <c r="A115" s="88"/>
      <c r="B115" s="88"/>
      <c r="C115" s="11"/>
      <c r="D115" s="98"/>
      <c r="E115" s="100"/>
      <c r="F115" s="106"/>
      <c r="G115" s="106"/>
      <c r="H115" s="106"/>
      <c r="I115" s="106"/>
      <c r="J115" s="106"/>
      <c r="K115" s="106"/>
      <c r="L115" s="106"/>
      <c r="M115" s="106"/>
      <c r="N115" s="106"/>
      <c r="O115" s="106"/>
      <c r="P115" s="106"/>
      <c r="Q115" s="88"/>
      <c r="R115" s="90"/>
      <c r="S115" s="90"/>
    </row>
    <row r="116" spans="1:19" ht="25.15" customHeight="1" thickBot="1" x14ac:dyDescent="0.3">
      <c r="D116" s="92" t="s">
        <v>291</v>
      </c>
      <c r="E116" s="19">
        <f>SUM(E3:E114)</f>
        <v>115</v>
      </c>
      <c r="F116" s="19">
        <f>SUM(F3:F114)</f>
        <v>115</v>
      </c>
      <c r="G116" s="19">
        <f>SUM(G3:G114)</f>
        <v>158</v>
      </c>
      <c r="H116" s="19">
        <f>SUM(H3:H114)</f>
        <v>150</v>
      </c>
      <c r="I116" s="20">
        <f t="shared" ref="I116:P116" si="13">SUM(I3:I30)</f>
        <v>2</v>
      </c>
      <c r="J116" s="20">
        <f t="shared" si="13"/>
        <v>0</v>
      </c>
      <c r="K116" s="20">
        <f t="shared" si="13"/>
        <v>0</v>
      </c>
      <c r="L116" s="20">
        <f t="shared" si="13"/>
        <v>0</v>
      </c>
      <c r="M116" s="20">
        <f t="shared" si="13"/>
        <v>0</v>
      </c>
      <c r="N116" s="20">
        <f t="shared" si="13"/>
        <v>0</v>
      </c>
      <c r="O116" s="20">
        <f t="shared" si="13"/>
        <v>0</v>
      </c>
      <c r="P116" s="20">
        <f t="shared" si="13"/>
        <v>0</v>
      </c>
      <c r="Q116" s="21">
        <f>SUM(E116:P116)</f>
        <v>540</v>
      </c>
      <c r="R116" s="40"/>
      <c r="S116" s="40"/>
    </row>
    <row r="117" spans="1:19" ht="25.15" customHeight="1" thickBot="1" x14ac:dyDescent="0.3">
      <c r="D117" s="23" t="s">
        <v>292</v>
      </c>
      <c r="E117" s="19"/>
      <c r="F117" s="19"/>
      <c r="G117" s="19"/>
      <c r="H117" s="19"/>
      <c r="I117" s="19"/>
      <c r="J117" s="19"/>
      <c r="K117" s="19"/>
      <c r="L117" s="19"/>
      <c r="M117" s="19"/>
      <c r="N117" s="19"/>
      <c r="O117" s="19"/>
      <c r="P117" s="19"/>
      <c r="Q117" s="22">
        <f>SUM(E117:P117)</f>
        <v>0</v>
      </c>
      <c r="R117" s="104"/>
      <c r="S117" s="104"/>
    </row>
    <row r="118" spans="1:19" ht="25.15" customHeight="1" x14ac:dyDescent="0.25">
      <c r="E118" s="3" t="e">
        <f t="shared" ref="E118:P118" si="14">E116/E117</f>
        <v>#DIV/0!</v>
      </c>
      <c r="F118" s="3" t="e">
        <f t="shared" si="14"/>
        <v>#DIV/0!</v>
      </c>
      <c r="G118" s="3" t="e">
        <f t="shared" si="14"/>
        <v>#DIV/0!</v>
      </c>
      <c r="H118" s="3" t="e">
        <f t="shared" si="14"/>
        <v>#DIV/0!</v>
      </c>
      <c r="I118" s="3" t="e">
        <f t="shared" si="14"/>
        <v>#DIV/0!</v>
      </c>
      <c r="J118" s="3" t="e">
        <f t="shared" si="14"/>
        <v>#DIV/0!</v>
      </c>
      <c r="K118" s="3" t="e">
        <f t="shared" si="14"/>
        <v>#DIV/0!</v>
      </c>
      <c r="L118" s="3" t="e">
        <f t="shared" si="14"/>
        <v>#DIV/0!</v>
      </c>
      <c r="M118" s="3" t="e">
        <f t="shared" si="14"/>
        <v>#DIV/0!</v>
      </c>
      <c r="N118" s="3" t="e">
        <f t="shared" si="14"/>
        <v>#DIV/0!</v>
      </c>
      <c r="O118" s="3" t="e">
        <f t="shared" si="14"/>
        <v>#DIV/0!</v>
      </c>
      <c r="P118" s="3" t="e">
        <f t="shared" si="14"/>
        <v>#DIV/0!</v>
      </c>
    </row>
    <row r="119" spans="1:19" ht="25.15" customHeight="1" x14ac:dyDescent="0.25">
      <c r="E119" s="3"/>
      <c r="F119" s="3"/>
      <c r="G119" s="3"/>
      <c r="H119" s="3"/>
      <c r="I119" s="3"/>
      <c r="J119" s="3"/>
      <c r="K119" s="3"/>
      <c r="L119" s="3"/>
      <c r="M119" s="3"/>
      <c r="N119" s="3"/>
      <c r="O119" s="3"/>
      <c r="P119" s="3"/>
      <c r="R119" s="105"/>
      <c r="S119" s="105"/>
    </row>
    <row r="120" spans="1:19" x14ac:dyDescent="0.25">
      <c r="R120" s="105"/>
      <c r="S120" s="105"/>
    </row>
  </sheetData>
  <autoFilter ref="A2:S114" xr:uid="{00000000-0001-0000-0100-000000000000}">
    <filterColumn colId="0">
      <filters>
        <filter val="AUVERGNE"/>
      </filters>
    </filterColumn>
  </autoFilter>
  <mergeCells count="1">
    <mergeCell ref="E1:R1"/>
  </mergeCells>
  <conditionalFormatting sqref="A3:R115">
    <cfRule type="expression" dxfId="85" priority="7">
      <formula>MOD(ROW(),2)</formula>
    </cfRule>
  </conditionalFormatting>
  <conditionalFormatting sqref="E115:S115 E3:R114">
    <cfRule type="containsText" dxfId="84" priority="5" operator="containsText" text="0">
      <formula>NOT(ISERROR(SEARCH("0",E3)))</formula>
    </cfRule>
  </conditionalFormatting>
  <conditionalFormatting sqref="S115">
    <cfRule type="expression" dxfId="83" priority="1">
      <formula>MOD(ROW(),2)</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14C2-BA6D-4C53-83D1-BD15E35DED0C}">
  <sheetPr filterMode="1">
    <tabColor rgb="FFFF0078"/>
  </sheetPr>
  <dimension ref="A1:M83"/>
  <sheetViews>
    <sheetView workbookViewId="0">
      <selection activeCell="G52" sqref="G52"/>
    </sheetView>
  </sheetViews>
  <sheetFormatPr baseColWidth="10" defaultColWidth="11.42578125" defaultRowHeight="15" x14ac:dyDescent="0.25"/>
  <cols>
    <col min="3" max="3" width="19.7109375" bestFit="1" customWidth="1"/>
    <col min="4" max="4" width="32.7109375" bestFit="1" customWidth="1"/>
    <col min="5" max="5" width="17.140625" customWidth="1"/>
    <col min="6" max="8" width="10.7109375" customWidth="1"/>
    <col min="9" max="9" width="16.7109375" customWidth="1"/>
    <col min="10" max="10" width="18.5703125" customWidth="1"/>
    <col min="11" max="11" width="15.5703125" customWidth="1"/>
  </cols>
  <sheetData>
    <row r="1" spans="1:13" ht="49.9" customHeight="1" thickBot="1" x14ac:dyDescent="0.45">
      <c r="A1" s="199"/>
      <c r="B1" s="158" t="s">
        <v>138</v>
      </c>
      <c r="C1" s="159">
        <f ca="1">TODAY()</f>
        <v>46161</v>
      </c>
      <c r="D1" s="160"/>
      <c r="E1" s="492" t="s">
        <v>293</v>
      </c>
      <c r="F1" s="492"/>
      <c r="G1" s="492"/>
      <c r="H1" s="492"/>
      <c r="I1" s="390"/>
      <c r="J1" s="391"/>
      <c r="K1" s="391"/>
      <c r="M1" s="412" t="s">
        <v>294</v>
      </c>
    </row>
    <row r="2" spans="1:13" x14ac:dyDescent="0.25">
      <c r="A2" s="18" t="s">
        <v>140</v>
      </c>
      <c r="B2" s="18" t="s">
        <v>141</v>
      </c>
      <c r="C2" s="139" t="s">
        <v>142</v>
      </c>
      <c r="D2" s="193" t="s">
        <v>143</v>
      </c>
      <c r="E2" s="300" t="s">
        <v>295</v>
      </c>
      <c r="F2" s="300" t="s">
        <v>296</v>
      </c>
      <c r="G2" s="300" t="s">
        <v>297</v>
      </c>
      <c r="H2" s="300" t="s">
        <v>298</v>
      </c>
      <c r="I2" s="392" t="s">
        <v>156</v>
      </c>
      <c r="J2" s="393" t="s">
        <v>157</v>
      </c>
      <c r="K2" s="394" t="s">
        <v>158</v>
      </c>
    </row>
    <row r="3" spans="1:13" hidden="1" x14ac:dyDescent="0.25">
      <c r="A3" s="101" t="s">
        <v>54</v>
      </c>
      <c r="B3" s="101" t="s">
        <v>34</v>
      </c>
      <c r="C3" s="101" t="s">
        <v>299</v>
      </c>
      <c r="D3" s="101" t="s">
        <v>300</v>
      </c>
      <c r="E3" s="101">
        <v>1</v>
      </c>
      <c r="F3" s="101">
        <v>1</v>
      </c>
      <c r="G3" s="101"/>
      <c r="H3" s="101"/>
      <c r="I3" s="36">
        <f t="shared" ref="I3:I9" si="0">SUM(E3:H3)</f>
        <v>2</v>
      </c>
      <c r="J3" s="8">
        <v>4</v>
      </c>
      <c r="K3" s="395">
        <f t="shared" ref="K3:K9" si="1">I3/J3</f>
        <v>0.5</v>
      </c>
    </row>
    <row r="4" spans="1:13" s="30" customFormat="1" hidden="1" x14ac:dyDescent="0.25">
      <c r="A4" s="94" t="s">
        <v>159</v>
      </c>
      <c r="B4" s="94" t="s">
        <v>45</v>
      </c>
      <c r="C4" s="94" t="s">
        <v>301</v>
      </c>
      <c r="D4" s="94" t="s">
        <v>302</v>
      </c>
      <c r="E4" s="94">
        <v>1</v>
      </c>
      <c r="F4" s="94">
        <v>2</v>
      </c>
      <c r="G4" s="94"/>
      <c r="H4" s="94"/>
      <c r="I4" s="36">
        <f t="shared" si="0"/>
        <v>3</v>
      </c>
      <c r="J4" s="8">
        <v>4</v>
      </c>
      <c r="K4" s="395">
        <f t="shared" si="1"/>
        <v>0.75</v>
      </c>
    </row>
    <row r="5" spans="1:13" hidden="1" x14ac:dyDescent="0.25">
      <c r="A5" s="94" t="s">
        <v>168</v>
      </c>
      <c r="B5" s="94" t="s">
        <v>168</v>
      </c>
      <c r="C5" s="94" t="s">
        <v>301</v>
      </c>
      <c r="D5" s="94" t="s">
        <v>303</v>
      </c>
      <c r="E5" s="94">
        <v>3</v>
      </c>
      <c r="F5" s="94">
        <v>0</v>
      </c>
      <c r="G5" s="94"/>
      <c r="H5" s="94"/>
      <c r="I5" s="36">
        <f t="shared" si="0"/>
        <v>3</v>
      </c>
      <c r="J5" s="8">
        <v>4</v>
      </c>
      <c r="K5" s="395">
        <f t="shared" si="1"/>
        <v>0.75</v>
      </c>
    </row>
    <row r="6" spans="1:13" s="30" customFormat="1" hidden="1" x14ac:dyDescent="0.25">
      <c r="A6" s="94" t="s">
        <v>109</v>
      </c>
      <c r="B6" s="94" t="s">
        <v>34</v>
      </c>
      <c r="C6" s="94" t="s">
        <v>301</v>
      </c>
      <c r="D6" s="94" t="s">
        <v>304</v>
      </c>
      <c r="E6" s="94">
        <v>1</v>
      </c>
      <c r="F6" s="94">
        <v>1</v>
      </c>
      <c r="G6" s="94"/>
      <c r="H6" s="94"/>
      <c r="I6" s="36">
        <f t="shared" si="0"/>
        <v>2</v>
      </c>
      <c r="J6" s="8">
        <v>4</v>
      </c>
      <c r="K6" s="395">
        <f t="shared" si="1"/>
        <v>0.5</v>
      </c>
    </row>
    <row r="7" spans="1:13" s="30" customFormat="1" hidden="1" x14ac:dyDescent="0.25">
      <c r="A7" s="94" t="s">
        <v>305</v>
      </c>
      <c r="B7" s="94" t="s">
        <v>34</v>
      </c>
      <c r="C7" s="94" t="s">
        <v>306</v>
      </c>
      <c r="D7" s="94" t="s">
        <v>307</v>
      </c>
      <c r="E7" s="94"/>
      <c r="F7" s="94"/>
      <c r="G7" s="94"/>
      <c r="H7" s="94"/>
      <c r="I7" s="36">
        <f t="shared" si="0"/>
        <v>0</v>
      </c>
      <c r="J7" s="8">
        <v>4</v>
      </c>
      <c r="K7" s="395">
        <f t="shared" si="1"/>
        <v>0</v>
      </c>
    </row>
    <row r="8" spans="1:13" s="30" customFormat="1" hidden="1" x14ac:dyDescent="0.25">
      <c r="A8" s="94" t="s">
        <v>192</v>
      </c>
      <c r="B8" s="88" t="s">
        <v>34</v>
      </c>
      <c r="C8" s="94" t="s">
        <v>301</v>
      </c>
      <c r="D8" s="94" t="s">
        <v>308</v>
      </c>
      <c r="E8" s="94">
        <v>3</v>
      </c>
      <c r="F8" s="94">
        <v>1</v>
      </c>
      <c r="G8" s="94"/>
      <c r="H8" s="94"/>
      <c r="I8" s="36">
        <f t="shared" si="0"/>
        <v>4</v>
      </c>
      <c r="J8" s="8">
        <v>4</v>
      </c>
      <c r="K8" s="395">
        <f t="shared" si="1"/>
        <v>1</v>
      </c>
    </row>
    <row r="9" spans="1:13" s="30" customFormat="1" hidden="1" x14ac:dyDescent="0.25">
      <c r="A9" s="101" t="s">
        <v>54</v>
      </c>
      <c r="B9" s="94" t="s">
        <v>34</v>
      </c>
      <c r="C9" s="94" t="s">
        <v>301</v>
      </c>
      <c r="D9" s="94" t="s">
        <v>309</v>
      </c>
      <c r="E9" s="94">
        <v>2</v>
      </c>
      <c r="F9" s="94">
        <v>1</v>
      </c>
      <c r="G9" s="94"/>
      <c r="H9" s="94"/>
      <c r="I9" s="36">
        <f t="shared" si="0"/>
        <v>3</v>
      </c>
      <c r="J9" s="8">
        <v>4</v>
      </c>
      <c r="K9" s="395">
        <f t="shared" si="1"/>
        <v>0.75</v>
      </c>
    </row>
    <row r="10" spans="1:13" s="30" customFormat="1" hidden="1" x14ac:dyDescent="0.25">
      <c r="A10" s="94" t="s">
        <v>192</v>
      </c>
      <c r="B10" s="88" t="s">
        <v>34</v>
      </c>
      <c r="C10" s="94" t="s">
        <v>301</v>
      </c>
      <c r="D10" s="94" t="s">
        <v>310</v>
      </c>
      <c r="E10" s="94"/>
      <c r="F10" s="94">
        <v>1</v>
      </c>
      <c r="G10" s="94"/>
      <c r="H10" s="94"/>
      <c r="I10" s="36">
        <f t="shared" ref="I10:I40" si="2">SUM(E10:H10)</f>
        <v>1</v>
      </c>
      <c r="J10" s="8">
        <v>4</v>
      </c>
      <c r="K10" s="395">
        <f t="shared" ref="K10:K40" si="3">I10/J10</f>
        <v>0.25</v>
      </c>
    </row>
    <row r="11" spans="1:13" hidden="1" x14ac:dyDescent="0.25">
      <c r="A11" s="94" t="s">
        <v>100</v>
      </c>
      <c r="B11" s="94" t="s">
        <v>34</v>
      </c>
      <c r="C11" s="94" t="s">
        <v>311</v>
      </c>
      <c r="D11" s="94" t="s">
        <v>312</v>
      </c>
      <c r="E11" s="94"/>
      <c r="F11" s="94"/>
      <c r="G11" s="94"/>
      <c r="H11" s="94"/>
      <c r="I11" s="36">
        <f t="shared" si="2"/>
        <v>0</v>
      </c>
      <c r="J11" s="8">
        <v>4</v>
      </c>
      <c r="K11" s="395">
        <f t="shared" si="3"/>
        <v>0</v>
      </c>
    </row>
    <row r="12" spans="1:13" hidden="1" x14ac:dyDescent="0.25">
      <c r="A12" s="94" t="s">
        <v>168</v>
      </c>
      <c r="B12" s="94" t="s">
        <v>168</v>
      </c>
      <c r="C12" s="94" t="s">
        <v>301</v>
      </c>
      <c r="D12" s="94" t="s">
        <v>313</v>
      </c>
      <c r="E12" s="94">
        <v>0</v>
      </c>
      <c r="F12" s="94">
        <v>4</v>
      </c>
      <c r="G12" s="94"/>
      <c r="H12" s="94"/>
      <c r="I12" s="36">
        <f t="shared" si="2"/>
        <v>4</v>
      </c>
      <c r="J12" s="8">
        <v>4</v>
      </c>
      <c r="K12" s="395">
        <f t="shared" si="3"/>
        <v>1</v>
      </c>
    </row>
    <row r="13" spans="1:13" hidden="1" x14ac:dyDescent="0.25">
      <c r="A13" s="94" t="s">
        <v>168</v>
      </c>
      <c r="B13" s="94" t="s">
        <v>168</v>
      </c>
      <c r="C13" s="94" t="s">
        <v>301</v>
      </c>
      <c r="D13" s="94" t="s">
        <v>314</v>
      </c>
      <c r="E13" s="94">
        <v>3</v>
      </c>
      <c r="F13" s="94">
        <v>1</v>
      </c>
      <c r="G13" s="94"/>
      <c r="H13" s="94"/>
      <c r="I13" s="36">
        <f t="shared" si="2"/>
        <v>4</v>
      </c>
      <c r="J13" s="8">
        <v>4</v>
      </c>
      <c r="K13" s="395">
        <f t="shared" si="3"/>
        <v>1</v>
      </c>
    </row>
    <row r="14" spans="1:13" hidden="1" x14ac:dyDescent="0.25">
      <c r="A14" s="94" t="s">
        <v>164</v>
      </c>
      <c r="B14" s="94" t="s">
        <v>34</v>
      </c>
      <c r="C14" s="94" t="s">
        <v>315</v>
      </c>
      <c r="D14" s="94" t="s">
        <v>316</v>
      </c>
      <c r="E14" s="94"/>
      <c r="F14" s="94"/>
      <c r="G14" s="94"/>
      <c r="H14" s="94"/>
      <c r="I14" s="36">
        <f t="shared" si="2"/>
        <v>0</v>
      </c>
      <c r="J14" s="8">
        <v>4</v>
      </c>
      <c r="K14" s="395">
        <f t="shared" si="3"/>
        <v>0</v>
      </c>
    </row>
    <row r="15" spans="1:13" hidden="1" x14ac:dyDescent="0.25">
      <c r="A15" s="93" t="s">
        <v>168</v>
      </c>
      <c r="B15" s="93" t="s">
        <v>168</v>
      </c>
      <c r="C15" s="93" t="s">
        <v>301</v>
      </c>
      <c r="D15" s="93" t="s">
        <v>317</v>
      </c>
      <c r="E15" s="93">
        <v>2</v>
      </c>
      <c r="F15" s="93">
        <v>0</v>
      </c>
      <c r="G15" s="93"/>
      <c r="H15" s="93"/>
      <c r="I15" s="36">
        <f t="shared" si="2"/>
        <v>2</v>
      </c>
      <c r="J15" s="8">
        <v>4</v>
      </c>
      <c r="K15" s="395">
        <f t="shared" si="3"/>
        <v>0.5</v>
      </c>
    </row>
    <row r="16" spans="1:13" hidden="1" x14ac:dyDescent="0.25">
      <c r="A16" s="94" t="s">
        <v>168</v>
      </c>
      <c r="B16" s="94" t="s">
        <v>168</v>
      </c>
      <c r="C16" s="94" t="s">
        <v>299</v>
      </c>
      <c r="D16" s="94" t="s">
        <v>318</v>
      </c>
      <c r="E16" s="94">
        <v>5</v>
      </c>
      <c r="F16" s="94">
        <v>3</v>
      </c>
      <c r="G16" s="94"/>
      <c r="H16" s="94"/>
      <c r="I16" s="36">
        <f t="shared" si="2"/>
        <v>8</v>
      </c>
      <c r="J16" s="8">
        <v>4</v>
      </c>
      <c r="K16" s="395">
        <f t="shared" si="3"/>
        <v>2</v>
      </c>
    </row>
    <row r="17" spans="1:11" hidden="1" x14ac:dyDescent="0.25">
      <c r="A17" s="94" t="s">
        <v>100</v>
      </c>
      <c r="B17" s="94" t="s">
        <v>34</v>
      </c>
      <c r="C17" s="94" t="s">
        <v>301</v>
      </c>
      <c r="D17" s="94" t="s">
        <v>319</v>
      </c>
      <c r="E17" s="94"/>
      <c r="F17" s="94">
        <v>1</v>
      </c>
      <c r="G17" s="94"/>
      <c r="H17" s="94"/>
      <c r="I17" s="36">
        <f t="shared" si="2"/>
        <v>1</v>
      </c>
      <c r="J17" s="8">
        <v>4</v>
      </c>
      <c r="K17" s="395">
        <f t="shared" si="3"/>
        <v>0.25</v>
      </c>
    </row>
    <row r="18" spans="1:11" hidden="1" x14ac:dyDescent="0.25">
      <c r="A18" s="94" t="s">
        <v>168</v>
      </c>
      <c r="B18" s="94" t="s">
        <v>168</v>
      </c>
      <c r="C18" s="94" t="s">
        <v>320</v>
      </c>
      <c r="D18" s="94" t="s">
        <v>321</v>
      </c>
      <c r="E18" s="94">
        <v>1</v>
      </c>
      <c r="F18" s="94">
        <v>0</v>
      </c>
      <c r="G18" s="94"/>
      <c r="H18" s="94"/>
      <c r="I18" s="36">
        <f t="shared" si="2"/>
        <v>1</v>
      </c>
      <c r="J18" s="8">
        <v>4</v>
      </c>
      <c r="K18" s="395">
        <f t="shared" si="3"/>
        <v>0.25</v>
      </c>
    </row>
    <row r="19" spans="1:11" hidden="1" x14ac:dyDescent="0.25">
      <c r="A19" s="94" t="s">
        <v>322</v>
      </c>
      <c r="B19" s="94" t="s">
        <v>34</v>
      </c>
      <c r="C19" s="94" t="s">
        <v>311</v>
      </c>
      <c r="D19" s="94" t="s">
        <v>323</v>
      </c>
      <c r="E19" s="94"/>
      <c r="F19" s="94"/>
      <c r="G19" s="94"/>
      <c r="H19" s="94"/>
      <c r="I19" s="36">
        <f t="shared" si="2"/>
        <v>0</v>
      </c>
      <c r="J19" s="8">
        <v>4</v>
      </c>
      <c r="K19" s="395">
        <f t="shared" si="3"/>
        <v>0</v>
      </c>
    </row>
    <row r="20" spans="1:11" x14ac:dyDescent="0.25">
      <c r="A20" s="94" t="s">
        <v>178</v>
      </c>
      <c r="B20" s="94" t="s">
        <v>34</v>
      </c>
      <c r="C20" s="94" t="s">
        <v>299</v>
      </c>
      <c r="D20" s="94" t="s">
        <v>324</v>
      </c>
      <c r="E20" s="94"/>
      <c r="F20" s="94"/>
      <c r="G20" s="94"/>
      <c r="H20" s="94"/>
      <c r="I20" s="36">
        <f t="shared" si="2"/>
        <v>0</v>
      </c>
      <c r="J20" s="8">
        <v>4</v>
      </c>
      <c r="K20" s="395">
        <f t="shared" si="3"/>
        <v>0</v>
      </c>
    </row>
    <row r="21" spans="1:11" x14ac:dyDescent="0.25">
      <c r="A21" s="94" t="s">
        <v>181</v>
      </c>
      <c r="B21" s="94" t="s">
        <v>34</v>
      </c>
      <c r="C21" s="94" t="s">
        <v>301</v>
      </c>
      <c r="D21" s="94" t="s">
        <v>325</v>
      </c>
      <c r="E21" s="94">
        <v>1</v>
      </c>
      <c r="F21" s="94"/>
      <c r="G21" s="94"/>
      <c r="H21" s="94"/>
      <c r="I21" s="36">
        <f t="shared" si="2"/>
        <v>1</v>
      </c>
      <c r="J21" s="8">
        <v>4</v>
      </c>
      <c r="K21" s="395">
        <f t="shared" si="3"/>
        <v>0.25</v>
      </c>
    </row>
    <row r="22" spans="1:11" hidden="1" x14ac:dyDescent="0.25">
      <c r="A22" s="144" t="s">
        <v>54</v>
      </c>
      <c r="B22" s="94" t="s">
        <v>34</v>
      </c>
      <c r="C22" s="94" t="s">
        <v>315</v>
      </c>
      <c r="D22" s="94" t="s">
        <v>326</v>
      </c>
      <c r="E22" s="94" t="s">
        <v>208</v>
      </c>
      <c r="F22" s="94">
        <v>1</v>
      </c>
      <c r="G22" s="94"/>
      <c r="H22" s="94"/>
      <c r="I22" s="36">
        <f t="shared" ref="I22" si="4">SUM(E22:H22)</f>
        <v>1</v>
      </c>
      <c r="J22" s="8">
        <v>3</v>
      </c>
      <c r="K22" s="395">
        <f t="shared" ref="K22" si="5">I22/J22</f>
        <v>0.33333333333333331</v>
      </c>
    </row>
    <row r="23" spans="1:11" hidden="1" x14ac:dyDescent="0.25">
      <c r="A23" s="101" t="s">
        <v>54</v>
      </c>
      <c r="B23" s="94" t="s">
        <v>34</v>
      </c>
      <c r="C23" s="94" t="s">
        <v>301</v>
      </c>
      <c r="D23" s="94" t="s">
        <v>327</v>
      </c>
      <c r="E23" s="94">
        <v>4</v>
      </c>
      <c r="F23" s="94"/>
      <c r="G23" s="94"/>
      <c r="H23" s="94"/>
      <c r="I23" s="36">
        <f t="shared" si="2"/>
        <v>4</v>
      </c>
      <c r="J23" s="8">
        <v>4</v>
      </c>
      <c r="K23" s="395">
        <f t="shared" si="3"/>
        <v>1</v>
      </c>
    </row>
    <row r="24" spans="1:11" hidden="1" x14ac:dyDescent="0.25">
      <c r="A24" s="94" t="s">
        <v>159</v>
      </c>
      <c r="B24" s="94" t="s">
        <v>45</v>
      </c>
      <c r="C24" s="94" t="s">
        <v>311</v>
      </c>
      <c r="D24" s="94" t="s">
        <v>328</v>
      </c>
      <c r="E24" s="94">
        <v>1</v>
      </c>
      <c r="F24" s="94"/>
      <c r="G24" s="94"/>
      <c r="H24" s="94"/>
      <c r="I24" s="36">
        <f t="shared" si="2"/>
        <v>1</v>
      </c>
      <c r="J24" s="8">
        <v>4</v>
      </c>
      <c r="K24" s="395">
        <f t="shared" si="3"/>
        <v>0.25</v>
      </c>
    </row>
    <row r="25" spans="1:11" hidden="1" x14ac:dyDescent="0.25">
      <c r="A25" s="94" t="s">
        <v>159</v>
      </c>
      <c r="B25" s="94" t="s">
        <v>34</v>
      </c>
      <c r="C25" s="94" t="s">
        <v>315</v>
      </c>
      <c r="D25" s="94" t="s">
        <v>329</v>
      </c>
      <c r="E25" s="94"/>
      <c r="F25" s="94"/>
      <c r="G25" s="94"/>
      <c r="H25" s="94"/>
      <c r="I25" s="36">
        <f t="shared" si="2"/>
        <v>0</v>
      </c>
      <c r="J25" s="8">
        <v>4</v>
      </c>
      <c r="K25" s="395">
        <f t="shared" si="3"/>
        <v>0</v>
      </c>
    </row>
    <row r="26" spans="1:11" hidden="1" x14ac:dyDescent="0.25">
      <c r="A26" s="97" t="s">
        <v>168</v>
      </c>
      <c r="B26" s="97" t="s">
        <v>168</v>
      </c>
      <c r="C26" s="97" t="s">
        <v>299</v>
      </c>
      <c r="D26" s="97" t="s">
        <v>330</v>
      </c>
      <c r="E26" s="97">
        <v>0</v>
      </c>
      <c r="F26" s="97">
        <v>0</v>
      </c>
      <c r="G26" s="97"/>
      <c r="H26" s="97"/>
      <c r="I26" s="36">
        <f t="shared" si="2"/>
        <v>0</v>
      </c>
      <c r="J26" s="8">
        <v>4</v>
      </c>
      <c r="K26" s="395">
        <f t="shared" si="3"/>
        <v>0</v>
      </c>
    </row>
    <row r="27" spans="1:11" hidden="1" x14ac:dyDescent="0.25">
      <c r="A27" s="97" t="s">
        <v>100</v>
      </c>
      <c r="B27" s="97" t="s">
        <v>34</v>
      </c>
      <c r="C27" s="97" t="s">
        <v>301</v>
      </c>
      <c r="D27" s="97" t="s">
        <v>331</v>
      </c>
      <c r="E27" s="97"/>
      <c r="F27" s="97">
        <v>1</v>
      </c>
      <c r="G27" s="97"/>
      <c r="H27" s="97"/>
      <c r="I27" s="36">
        <f t="shared" si="2"/>
        <v>1</v>
      </c>
      <c r="J27" s="8">
        <v>4</v>
      </c>
      <c r="K27" s="395">
        <f t="shared" si="3"/>
        <v>0.25</v>
      </c>
    </row>
    <row r="28" spans="1:11" x14ac:dyDescent="0.25">
      <c r="A28" s="97" t="s">
        <v>181</v>
      </c>
      <c r="B28" s="97" t="s">
        <v>179</v>
      </c>
      <c r="C28" s="97" t="s">
        <v>301</v>
      </c>
      <c r="D28" s="97" t="s">
        <v>332</v>
      </c>
      <c r="E28" s="97">
        <v>1</v>
      </c>
      <c r="F28" s="97"/>
      <c r="G28" s="97"/>
      <c r="H28" s="97"/>
      <c r="I28" s="36">
        <f t="shared" si="2"/>
        <v>1</v>
      </c>
      <c r="J28" s="8">
        <v>4</v>
      </c>
      <c r="K28" s="395">
        <f t="shared" si="3"/>
        <v>0.25</v>
      </c>
    </row>
    <row r="29" spans="1:11" hidden="1" x14ac:dyDescent="0.25">
      <c r="A29" s="101" t="s">
        <v>54</v>
      </c>
      <c r="B29" s="97" t="s">
        <v>34</v>
      </c>
      <c r="C29" s="97" t="s">
        <v>301</v>
      </c>
      <c r="D29" s="97" t="s">
        <v>333</v>
      </c>
      <c r="E29" s="97"/>
      <c r="F29" s="97">
        <v>1</v>
      </c>
      <c r="G29" s="97"/>
      <c r="H29" s="97"/>
      <c r="I29" s="36">
        <f t="shared" si="2"/>
        <v>1</v>
      </c>
      <c r="J29" s="8">
        <v>4</v>
      </c>
      <c r="K29" s="395">
        <f t="shared" si="3"/>
        <v>0.25</v>
      </c>
    </row>
    <row r="30" spans="1:11" hidden="1" x14ac:dyDescent="0.25">
      <c r="A30" s="97" t="s">
        <v>100</v>
      </c>
      <c r="B30" s="97" t="s">
        <v>34</v>
      </c>
      <c r="C30" s="97" t="s">
        <v>299</v>
      </c>
      <c r="D30" s="97" t="s">
        <v>334</v>
      </c>
      <c r="E30" s="97">
        <v>3</v>
      </c>
      <c r="F30" s="97">
        <v>1</v>
      </c>
      <c r="G30" s="97"/>
      <c r="H30" s="97"/>
      <c r="I30" s="36">
        <f t="shared" si="2"/>
        <v>4</v>
      </c>
      <c r="J30" s="8">
        <v>4</v>
      </c>
      <c r="K30" s="395">
        <f t="shared" si="3"/>
        <v>1</v>
      </c>
    </row>
    <row r="31" spans="1:11" x14ac:dyDescent="0.25">
      <c r="A31" s="97" t="s">
        <v>181</v>
      </c>
      <c r="B31" s="97" t="s">
        <v>34</v>
      </c>
      <c r="C31" s="97" t="s">
        <v>301</v>
      </c>
      <c r="D31" s="97" t="s">
        <v>335</v>
      </c>
      <c r="E31" s="97">
        <v>1</v>
      </c>
      <c r="F31" s="97"/>
      <c r="G31" s="97"/>
      <c r="H31" s="97"/>
      <c r="I31" s="36">
        <f t="shared" si="2"/>
        <v>1</v>
      </c>
      <c r="J31" s="8">
        <v>4</v>
      </c>
      <c r="K31" s="395">
        <f t="shared" si="3"/>
        <v>0.25</v>
      </c>
    </row>
    <row r="32" spans="1:11" hidden="1" x14ac:dyDescent="0.25">
      <c r="A32" s="97" t="s">
        <v>168</v>
      </c>
      <c r="B32" s="97" t="s">
        <v>168</v>
      </c>
      <c r="C32" s="97" t="s">
        <v>299</v>
      </c>
      <c r="D32" s="97" t="s">
        <v>336</v>
      </c>
      <c r="E32" s="97">
        <v>2</v>
      </c>
      <c r="F32" s="97">
        <v>0</v>
      </c>
      <c r="G32" s="97"/>
      <c r="H32" s="97"/>
      <c r="I32" s="36">
        <f t="shared" si="2"/>
        <v>2</v>
      </c>
      <c r="J32" s="8">
        <v>4</v>
      </c>
      <c r="K32" s="395">
        <f t="shared" si="3"/>
        <v>0.5</v>
      </c>
    </row>
    <row r="33" spans="1:11" hidden="1" x14ac:dyDescent="0.25">
      <c r="A33" s="97" t="s">
        <v>168</v>
      </c>
      <c r="B33" s="97" t="s">
        <v>168</v>
      </c>
      <c r="C33" s="97" t="s">
        <v>301</v>
      </c>
      <c r="D33" s="97" t="s">
        <v>337</v>
      </c>
      <c r="E33" s="97">
        <v>7</v>
      </c>
      <c r="F33" s="97">
        <v>3</v>
      </c>
      <c r="G33" s="97"/>
      <c r="H33" s="97"/>
      <c r="I33" s="36">
        <f t="shared" si="2"/>
        <v>10</v>
      </c>
      <c r="J33" s="8">
        <v>4</v>
      </c>
      <c r="K33" s="395">
        <f t="shared" si="3"/>
        <v>2.5</v>
      </c>
    </row>
    <row r="34" spans="1:11" hidden="1" x14ac:dyDescent="0.25">
      <c r="A34" s="97" t="s">
        <v>269</v>
      </c>
      <c r="B34" s="97" t="s">
        <v>230</v>
      </c>
      <c r="C34" s="97" t="s">
        <v>301</v>
      </c>
      <c r="D34" s="97" t="s">
        <v>338</v>
      </c>
      <c r="E34" s="97"/>
      <c r="F34" s="97"/>
      <c r="G34" s="97"/>
      <c r="H34" s="97"/>
      <c r="I34" s="36">
        <f t="shared" si="2"/>
        <v>0</v>
      </c>
      <c r="J34" s="8">
        <v>4</v>
      </c>
      <c r="K34" s="395">
        <f t="shared" si="3"/>
        <v>0</v>
      </c>
    </row>
    <row r="35" spans="1:11" hidden="1" x14ac:dyDescent="0.25">
      <c r="A35" s="97" t="s">
        <v>192</v>
      </c>
      <c r="B35" s="88" t="s">
        <v>34</v>
      </c>
      <c r="C35" s="97" t="s">
        <v>301</v>
      </c>
      <c r="D35" s="97" t="s">
        <v>339</v>
      </c>
      <c r="E35" s="97"/>
      <c r="F35" s="97">
        <v>1</v>
      </c>
      <c r="G35" s="97"/>
      <c r="H35" s="97"/>
      <c r="I35" s="36">
        <f t="shared" si="2"/>
        <v>1</v>
      </c>
      <c r="J35" s="8">
        <v>4</v>
      </c>
      <c r="K35" s="395">
        <f t="shared" si="3"/>
        <v>0.25</v>
      </c>
    </row>
    <row r="36" spans="1:11" hidden="1" x14ac:dyDescent="0.25">
      <c r="A36" s="97" t="s">
        <v>159</v>
      </c>
      <c r="B36" s="97" t="s">
        <v>45</v>
      </c>
      <c r="C36" s="97" t="s">
        <v>301</v>
      </c>
      <c r="D36" s="97" t="s">
        <v>340</v>
      </c>
      <c r="E36" s="97">
        <v>5</v>
      </c>
      <c r="F36" s="97">
        <v>2</v>
      </c>
      <c r="G36" s="97"/>
      <c r="H36" s="97"/>
      <c r="I36" s="36">
        <f t="shared" si="2"/>
        <v>7</v>
      </c>
      <c r="J36" s="8">
        <v>4</v>
      </c>
      <c r="K36" s="395">
        <f t="shared" si="3"/>
        <v>1.75</v>
      </c>
    </row>
    <row r="37" spans="1:11" hidden="1" x14ac:dyDescent="0.25">
      <c r="A37" s="97" t="s">
        <v>269</v>
      </c>
      <c r="B37" s="97" t="s">
        <v>45</v>
      </c>
      <c r="C37" s="97" t="s">
        <v>301</v>
      </c>
      <c r="D37" s="97" t="s">
        <v>341</v>
      </c>
      <c r="E37" s="97">
        <v>3</v>
      </c>
      <c r="F37" s="97">
        <v>1</v>
      </c>
      <c r="G37" s="97"/>
      <c r="H37" s="97"/>
      <c r="I37" s="36">
        <f t="shared" si="2"/>
        <v>4</v>
      </c>
      <c r="J37" s="8">
        <v>4</v>
      </c>
      <c r="K37" s="395">
        <f t="shared" si="3"/>
        <v>1</v>
      </c>
    </row>
    <row r="38" spans="1:11" hidden="1" x14ac:dyDescent="0.25">
      <c r="A38" s="97" t="s">
        <v>168</v>
      </c>
      <c r="B38" s="97" t="s">
        <v>168</v>
      </c>
      <c r="C38" s="97" t="s">
        <v>301</v>
      </c>
      <c r="D38" s="97" t="s">
        <v>342</v>
      </c>
      <c r="E38" s="97">
        <v>2</v>
      </c>
      <c r="F38" s="97">
        <v>1</v>
      </c>
      <c r="G38" s="97"/>
      <c r="H38" s="97"/>
      <c r="I38" s="36">
        <f t="shared" si="2"/>
        <v>3</v>
      </c>
      <c r="J38" s="8">
        <v>4</v>
      </c>
      <c r="K38" s="395">
        <f t="shared" si="3"/>
        <v>0.75</v>
      </c>
    </row>
    <row r="39" spans="1:11" x14ac:dyDescent="0.25">
      <c r="A39" s="97" t="s">
        <v>181</v>
      </c>
      <c r="B39" s="97" t="s">
        <v>34</v>
      </c>
      <c r="C39" s="97" t="s">
        <v>320</v>
      </c>
      <c r="D39" s="97" t="s">
        <v>343</v>
      </c>
      <c r="E39" s="97"/>
      <c r="F39" s="97"/>
      <c r="G39" s="97"/>
      <c r="H39" s="97"/>
      <c r="I39" s="36">
        <f t="shared" si="2"/>
        <v>0</v>
      </c>
      <c r="J39" s="8">
        <v>4</v>
      </c>
      <c r="K39" s="395">
        <f t="shared" si="3"/>
        <v>0</v>
      </c>
    </row>
    <row r="40" spans="1:11" hidden="1" x14ac:dyDescent="0.25">
      <c r="A40" s="97" t="s">
        <v>168</v>
      </c>
      <c r="B40" s="97" t="s">
        <v>168</v>
      </c>
      <c r="C40" s="97" t="s">
        <v>301</v>
      </c>
      <c r="D40" s="97" t="s">
        <v>344</v>
      </c>
      <c r="E40" s="97">
        <v>2</v>
      </c>
      <c r="F40" s="97">
        <v>0</v>
      </c>
      <c r="G40" s="97"/>
      <c r="H40" s="97"/>
      <c r="I40" s="36">
        <f t="shared" si="2"/>
        <v>2</v>
      </c>
      <c r="J40" s="8">
        <v>4</v>
      </c>
      <c r="K40" s="395">
        <f t="shared" si="3"/>
        <v>0.5</v>
      </c>
    </row>
    <row r="41" spans="1:11" hidden="1" x14ac:dyDescent="0.25">
      <c r="A41" s="101" t="s">
        <v>54</v>
      </c>
      <c r="B41" s="97" t="s">
        <v>34</v>
      </c>
      <c r="C41" s="97" t="s">
        <v>299</v>
      </c>
      <c r="D41" s="97" t="s">
        <v>345</v>
      </c>
      <c r="E41" s="97">
        <v>3</v>
      </c>
      <c r="F41" s="97"/>
      <c r="G41" s="97"/>
      <c r="H41" s="97"/>
      <c r="I41" s="36">
        <f t="shared" ref="I41:I71" si="6">SUM(E41:H41)</f>
        <v>3</v>
      </c>
      <c r="J41" s="8">
        <v>4</v>
      </c>
      <c r="K41" s="395">
        <f t="shared" ref="K41:K71" si="7">I41/J41</f>
        <v>0.75</v>
      </c>
    </row>
    <row r="42" spans="1:11" hidden="1" x14ac:dyDescent="0.25">
      <c r="A42" s="94" t="s">
        <v>109</v>
      </c>
      <c r="B42" s="97" t="s">
        <v>34</v>
      </c>
      <c r="C42" s="97" t="s">
        <v>301</v>
      </c>
      <c r="D42" s="97" t="s">
        <v>346</v>
      </c>
      <c r="E42" s="97">
        <v>6</v>
      </c>
      <c r="F42" s="97">
        <v>2</v>
      </c>
      <c r="G42" s="97"/>
      <c r="H42" s="97"/>
      <c r="I42" s="36">
        <f t="shared" si="6"/>
        <v>8</v>
      </c>
      <c r="J42" s="8">
        <v>4</v>
      </c>
      <c r="K42" s="395">
        <f t="shared" si="7"/>
        <v>2</v>
      </c>
    </row>
    <row r="43" spans="1:11" x14ac:dyDescent="0.25">
      <c r="A43" s="97" t="s">
        <v>181</v>
      </c>
      <c r="B43" s="97" t="s">
        <v>45</v>
      </c>
      <c r="C43" s="97" t="s">
        <v>301</v>
      </c>
      <c r="D43" s="97" t="s">
        <v>347</v>
      </c>
      <c r="E43" s="97"/>
      <c r="F43" s="97"/>
      <c r="G43" s="97"/>
      <c r="H43" s="97"/>
      <c r="I43" s="36">
        <f t="shared" si="6"/>
        <v>0</v>
      </c>
      <c r="J43" s="8">
        <v>4</v>
      </c>
      <c r="K43" s="395">
        <f t="shared" si="7"/>
        <v>0</v>
      </c>
    </row>
    <row r="44" spans="1:11" x14ac:dyDescent="0.25">
      <c r="A44" s="97" t="s">
        <v>181</v>
      </c>
      <c r="B44" s="97" t="s">
        <v>34</v>
      </c>
      <c r="C44" s="97" t="s">
        <v>311</v>
      </c>
      <c r="D44" s="97" t="s">
        <v>348</v>
      </c>
      <c r="E44" s="97">
        <v>1</v>
      </c>
      <c r="F44" s="97"/>
      <c r="G44" s="97"/>
      <c r="H44" s="97"/>
      <c r="I44" s="36">
        <f t="shared" si="6"/>
        <v>1</v>
      </c>
      <c r="J44" s="8">
        <v>4</v>
      </c>
      <c r="K44" s="395">
        <f t="shared" si="7"/>
        <v>0.25</v>
      </c>
    </row>
    <row r="45" spans="1:11" hidden="1" x14ac:dyDescent="0.25">
      <c r="A45" s="101" t="s">
        <v>54</v>
      </c>
      <c r="B45" s="97" t="s">
        <v>34</v>
      </c>
      <c r="C45" s="97" t="s">
        <v>301</v>
      </c>
      <c r="D45" s="97" t="s">
        <v>349</v>
      </c>
      <c r="E45" s="97">
        <v>7</v>
      </c>
      <c r="F45" s="97">
        <v>3</v>
      </c>
      <c r="G45" s="97"/>
      <c r="H45" s="97"/>
      <c r="I45" s="36">
        <f t="shared" si="6"/>
        <v>10</v>
      </c>
      <c r="J45" s="8">
        <v>4</v>
      </c>
      <c r="K45" s="395">
        <f t="shared" si="7"/>
        <v>2.5</v>
      </c>
    </row>
    <row r="46" spans="1:11" hidden="1" x14ac:dyDescent="0.25">
      <c r="A46" s="97" t="s">
        <v>269</v>
      </c>
      <c r="B46" s="97" t="s">
        <v>34</v>
      </c>
      <c r="C46" s="97" t="s">
        <v>301</v>
      </c>
      <c r="D46" s="97" t="s">
        <v>350</v>
      </c>
      <c r="E46" s="97">
        <v>1</v>
      </c>
      <c r="F46" s="97"/>
      <c r="G46" s="97"/>
      <c r="H46" s="97"/>
      <c r="I46" s="36">
        <f t="shared" si="6"/>
        <v>1</v>
      </c>
      <c r="J46" s="8">
        <v>4</v>
      </c>
      <c r="K46" s="395">
        <f t="shared" si="7"/>
        <v>0.25</v>
      </c>
    </row>
    <row r="47" spans="1:11" hidden="1" x14ac:dyDescent="0.25">
      <c r="A47" s="97" t="s">
        <v>168</v>
      </c>
      <c r="B47" s="97" t="s">
        <v>168</v>
      </c>
      <c r="C47" s="97" t="s">
        <v>235</v>
      </c>
      <c r="D47" s="97" t="s">
        <v>236</v>
      </c>
      <c r="E47" s="97">
        <v>2</v>
      </c>
      <c r="F47" s="97">
        <v>6</v>
      </c>
      <c r="G47" s="97"/>
      <c r="H47" s="97"/>
      <c r="I47" s="36">
        <f t="shared" si="6"/>
        <v>8</v>
      </c>
      <c r="J47" s="8">
        <v>4</v>
      </c>
      <c r="K47" s="395">
        <f t="shared" si="7"/>
        <v>2</v>
      </c>
    </row>
    <row r="48" spans="1:11" hidden="1" x14ac:dyDescent="0.25">
      <c r="A48" s="97" t="s">
        <v>168</v>
      </c>
      <c r="B48" s="97" t="s">
        <v>168</v>
      </c>
      <c r="C48" s="97" t="s">
        <v>301</v>
      </c>
      <c r="D48" s="97" t="s">
        <v>351</v>
      </c>
      <c r="E48" s="97">
        <v>1</v>
      </c>
      <c r="F48" s="97">
        <v>1</v>
      </c>
      <c r="G48" s="97"/>
      <c r="H48" s="97"/>
      <c r="I48" s="36">
        <f t="shared" si="6"/>
        <v>2</v>
      </c>
      <c r="J48" s="8">
        <v>4</v>
      </c>
      <c r="K48" s="395">
        <f t="shared" si="7"/>
        <v>0.5</v>
      </c>
    </row>
    <row r="49" spans="1:11" x14ac:dyDescent="0.25">
      <c r="A49" s="97" t="s">
        <v>181</v>
      </c>
      <c r="B49" s="97" t="s">
        <v>230</v>
      </c>
      <c r="C49" s="97" t="s">
        <v>299</v>
      </c>
      <c r="D49" s="97" t="s">
        <v>352</v>
      </c>
      <c r="E49" s="97">
        <v>1</v>
      </c>
      <c r="F49" s="97"/>
      <c r="G49" s="97"/>
      <c r="H49" s="97"/>
      <c r="I49" s="36">
        <f t="shared" si="6"/>
        <v>1</v>
      </c>
      <c r="J49" s="8">
        <v>4</v>
      </c>
      <c r="K49" s="395">
        <f t="shared" si="7"/>
        <v>0.25</v>
      </c>
    </row>
    <row r="50" spans="1:11" x14ac:dyDescent="0.25">
      <c r="A50" s="97" t="s">
        <v>181</v>
      </c>
      <c r="B50" s="97" t="s">
        <v>34</v>
      </c>
      <c r="C50" s="97" t="s">
        <v>301</v>
      </c>
      <c r="D50" s="97" t="s">
        <v>353</v>
      </c>
      <c r="E50" s="97">
        <v>1</v>
      </c>
      <c r="F50" s="97"/>
      <c r="G50" s="97"/>
      <c r="H50" s="97"/>
      <c r="I50" s="36">
        <f t="shared" si="6"/>
        <v>1</v>
      </c>
      <c r="J50" s="8">
        <v>4</v>
      </c>
      <c r="K50" s="395">
        <f t="shared" si="7"/>
        <v>0.25</v>
      </c>
    </row>
    <row r="51" spans="1:11" x14ac:dyDescent="0.25">
      <c r="A51" s="97" t="s">
        <v>181</v>
      </c>
      <c r="B51" s="97" t="s">
        <v>34</v>
      </c>
      <c r="C51" s="97" t="s">
        <v>301</v>
      </c>
      <c r="D51" s="97" t="s">
        <v>354</v>
      </c>
      <c r="E51" s="97">
        <v>2</v>
      </c>
      <c r="F51" s="97"/>
      <c r="G51" s="97"/>
      <c r="H51" s="97"/>
      <c r="I51" s="36">
        <f t="shared" si="6"/>
        <v>2</v>
      </c>
      <c r="J51" s="8">
        <v>4</v>
      </c>
      <c r="K51" s="395">
        <f t="shared" si="7"/>
        <v>0.5</v>
      </c>
    </row>
    <row r="52" spans="1:11" x14ac:dyDescent="0.25">
      <c r="A52" s="97" t="s">
        <v>181</v>
      </c>
      <c r="B52" s="97" t="s">
        <v>34</v>
      </c>
      <c r="C52" s="97" t="s">
        <v>299</v>
      </c>
      <c r="D52" s="97" t="s">
        <v>355</v>
      </c>
      <c r="E52" s="97">
        <v>3</v>
      </c>
      <c r="F52" s="97">
        <v>1</v>
      </c>
      <c r="G52" s="97"/>
      <c r="H52" s="97"/>
      <c r="I52" s="36">
        <f t="shared" si="6"/>
        <v>4</v>
      </c>
      <c r="J52" s="8">
        <v>4</v>
      </c>
      <c r="K52" s="395">
        <f t="shared" si="7"/>
        <v>1</v>
      </c>
    </row>
    <row r="53" spans="1:11" x14ac:dyDescent="0.25">
      <c r="A53" s="97" t="s">
        <v>181</v>
      </c>
      <c r="B53" s="97" t="s">
        <v>34</v>
      </c>
      <c r="C53" s="97" t="s">
        <v>315</v>
      </c>
      <c r="D53" s="97" t="s">
        <v>356</v>
      </c>
      <c r="E53" s="97"/>
      <c r="F53" s="97"/>
      <c r="G53" s="97"/>
      <c r="H53" s="97"/>
      <c r="I53" s="36">
        <f t="shared" si="6"/>
        <v>0</v>
      </c>
      <c r="J53" s="8">
        <v>4</v>
      </c>
      <c r="K53" s="395">
        <f t="shared" si="7"/>
        <v>0</v>
      </c>
    </row>
    <row r="54" spans="1:11" x14ac:dyDescent="0.25">
      <c r="A54" s="97" t="s">
        <v>181</v>
      </c>
      <c r="B54" s="97" t="s">
        <v>45</v>
      </c>
      <c r="C54" s="97" t="s">
        <v>311</v>
      </c>
      <c r="D54" s="97" t="s">
        <v>357</v>
      </c>
      <c r="E54" s="97"/>
      <c r="F54" s="97"/>
      <c r="G54" s="97"/>
      <c r="H54" s="97"/>
      <c r="I54" s="36">
        <f t="shared" si="6"/>
        <v>0</v>
      </c>
      <c r="J54" s="8">
        <v>4</v>
      </c>
      <c r="K54" s="395">
        <f t="shared" si="7"/>
        <v>0</v>
      </c>
    </row>
    <row r="55" spans="1:11" hidden="1" x14ac:dyDescent="0.25">
      <c r="A55" s="94" t="s">
        <v>109</v>
      </c>
      <c r="B55" s="97" t="s">
        <v>230</v>
      </c>
      <c r="C55" s="97" t="s">
        <v>301</v>
      </c>
      <c r="D55" s="97" t="s">
        <v>358</v>
      </c>
      <c r="E55" s="97">
        <v>1</v>
      </c>
      <c r="F55" s="97">
        <v>3</v>
      </c>
      <c r="G55" s="97"/>
      <c r="H55" s="97"/>
      <c r="I55" s="36">
        <f t="shared" si="6"/>
        <v>4</v>
      </c>
      <c r="J55" s="8">
        <v>4</v>
      </c>
      <c r="K55" s="395">
        <f t="shared" si="7"/>
        <v>1</v>
      </c>
    </row>
    <row r="56" spans="1:11" x14ac:dyDescent="0.25">
      <c r="A56" s="97" t="s">
        <v>181</v>
      </c>
      <c r="B56" s="97" t="s">
        <v>71</v>
      </c>
      <c r="C56" s="97" t="s">
        <v>301</v>
      </c>
      <c r="D56" s="97" t="s">
        <v>359</v>
      </c>
      <c r="E56" s="97">
        <v>3</v>
      </c>
      <c r="F56" s="97"/>
      <c r="G56" s="97"/>
      <c r="H56" s="97"/>
      <c r="I56" s="36">
        <f t="shared" si="6"/>
        <v>3</v>
      </c>
      <c r="J56" s="8">
        <v>4</v>
      </c>
      <c r="K56" s="395">
        <f t="shared" si="7"/>
        <v>0.75</v>
      </c>
    </row>
    <row r="57" spans="1:11" hidden="1" x14ac:dyDescent="0.25">
      <c r="A57" s="97" t="s">
        <v>168</v>
      </c>
      <c r="B57" s="97" t="s">
        <v>168</v>
      </c>
      <c r="C57" s="97" t="s">
        <v>311</v>
      </c>
      <c r="D57" s="97" t="s">
        <v>360</v>
      </c>
      <c r="E57" s="97">
        <v>0</v>
      </c>
      <c r="F57" s="97">
        <v>0</v>
      </c>
      <c r="G57" s="97"/>
      <c r="H57" s="97"/>
      <c r="I57" s="36">
        <f t="shared" si="6"/>
        <v>0</v>
      </c>
      <c r="J57" s="8">
        <v>4</v>
      </c>
      <c r="K57" s="395">
        <f t="shared" si="7"/>
        <v>0</v>
      </c>
    </row>
    <row r="58" spans="1:11" hidden="1" x14ac:dyDescent="0.25">
      <c r="A58" s="101" t="s">
        <v>54</v>
      </c>
      <c r="B58" s="97" t="s">
        <v>34</v>
      </c>
      <c r="C58" s="97" t="s">
        <v>301</v>
      </c>
      <c r="D58" s="97" t="s">
        <v>361</v>
      </c>
      <c r="E58" s="97">
        <v>3</v>
      </c>
      <c r="F58" s="97">
        <v>1</v>
      </c>
      <c r="G58" s="97"/>
      <c r="H58" s="97"/>
      <c r="I58" s="36">
        <f t="shared" si="6"/>
        <v>4</v>
      </c>
      <c r="J58" s="8">
        <v>4</v>
      </c>
      <c r="K58" s="395">
        <f t="shared" si="7"/>
        <v>1</v>
      </c>
    </row>
    <row r="59" spans="1:11" hidden="1" x14ac:dyDescent="0.25">
      <c r="A59" s="97" t="s">
        <v>100</v>
      </c>
      <c r="B59" s="97" t="s">
        <v>34</v>
      </c>
      <c r="C59" s="97" t="s">
        <v>301</v>
      </c>
      <c r="D59" s="97" t="s">
        <v>362</v>
      </c>
      <c r="E59" s="97"/>
      <c r="F59" s="97">
        <v>1</v>
      </c>
      <c r="G59" s="97"/>
      <c r="H59" s="97"/>
      <c r="I59" s="36">
        <f t="shared" si="6"/>
        <v>1</v>
      </c>
      <c r="J59" s="8">
        <v>4</v>
      </c>
      <c r="K59" s="395">
        <f t="shared" si="7"/>
        <v>0.25</v>
      </c>
    </row>
    <row r="60" spans="1:11" hidden="1" x14ac:dyDescent="0.25">
      <c r="A60" s="97" t="s">
        <v>100</v>
      </c>
      <c r="B60" s="97" t="s">
        <v>34</v>
      </c>
      <c r="C60" s="97" t="s">
        <v>301</v>
      </c>
      <c r="D60" s="97" t="s">
        <v>363</v>
      </c>
      <c r="E60" s="97"/>
      <c r="F60" s="97">
        <v>1</v>
      </c>
      <c r="G60" s="97"/>
      <c r="H60" s="97"/>
      <c r="I60" s="36">
        <f t="shared" si="6"/>
        <v>1</v>
      </c>
      <c r="J60" s="8">
        <v>4</v>
      </c>
      <c r="K60" s="395">
        <f t="shared" si="7"/>
        <v>0.25</v>
      </c>
    </row>
    <row r="61" spans="1:11" hidden="1" x14ac:dyDescent="0.25">
      <c r="A61" s="101" t="s">
        <v>54</v>
      </c>
      <c r="B61" s="97" t="s">
        <v>34</v>
      </c>
      <c r="C61" s="97" t="s">
        <v>311</v>
      </c>
      <c r="D61" s="97" t="s">
        <v>364</v>
      </c>
      <c r="E61" s="97"/>
      <c r="F61" s="97">
        <v>1</v>
      </c>
      <c r="G61" s="97"/>
      <c r="H61" s="97"/>
      <c r="I61" s="36">
        <f t="shared" si="6"/>
        <v>1</v>
      </c>
      <c r="J61" s="8">
        <v>4</v>
      </c>
      <c r="K61" s="395">
        <f t="shared" si="7"/>
        <v>0.25</v>
      </c>
    </row>
    <row r="62" spans="1:11" hidden="1" x14ac:dyDescent="0.25">
      <c r="A62" s="97" t="s">
        <v>159</v>
      </c>
      <c r="B62" s="97" t="s">
        <v>45</v>
      </c>
      <c r="C62" s="97" t="s">
        <v>301</v>
      </c>
      <c r="D62" s="97" t="s">
        <v>365</v>
      </c>
      <c r="E62" s="97">
        <v>1</v>
      </c>
      <c r="F62" s="97">
        <v>2</v>
      </c>
      <c r="G62" s="97"/>
      <c r="H62" s="97"/>
      <c r="I62" s="36">
        <f t="shared" si="6"/>
        <v>3</v>
      </c>
      <c r="J62" s="8">
        <v>4</v>
      </c>
      <c r="K62" s="395">
        <f t="shared" si="7"/>
        <v>0.75</v>
      </c>
    </row>
    <row r="63" spans="1:11" x14ac:dyDescent="0.25">
      <c r="A63" s="97" t="s">
        <v>181</v>
      </c>
      <c r="B63" s="97" t="s">
        <v>34</v>
      </c>
      <c r="C63" s="97" t="s">
        <v>315</v>
      </c>
      <c r="D63" s="97" t="s">
        <v>366</v>
      </c>
      <c r="E63" s="97">
        <v>1</v>
      </c>
      <c r="F63" s="97"/>
      <c r="G63" s="97"/>
      <c r="H63" s="97"/>
      <c r="I63" s="36">
        <f t="shared" si="6"/>
        <v>1</v>
      </c>
      <c r="J63" s="8">
        <v>4</v>
      </c>
      <c r="K63" s="395">
        <f t="shared" si="7"/>
        <v>0.25</v>
      </c>
    </row>
    <row r="64" spans="1:11" hidden="1" x14ac:dyDescent="0.25">
      <c r="A64" s="97" t="s">
        <v>168</v>
      </c>
      <c r="B64" s="97" t="s">
        <v>168</v>
      </c>
      <c r="C64" s="97" t="s">
        <v>299</v>
      </c>
      <c r="D64" s="97" t="s">
        <v>367</v>
      </c>
      <c r="E64" s="97">
        <v>1</v>
      </c>
      <c r="F64" s="97">
        <v>1</v>
      </c>
      <c r="G64" s="97"/>
      <c r="H64" s="97"/>
      <c r="I64" s="36">
        <f t="shared" si="6"/>
        <v>2</v>
      </c>
      <c r="J64" s="8">
        <v>4</v>
      </c>
      <c r="K64" s="395">
        <f t="shared" si="7"/>
        <v>0.5</v>
      </c>
    </row>
    <row r="65" spans="1:11" hidden="1" x14ac:dyDescent="0.25">
      <c r="A65" s="94" t="s">
        <v>109</v>
      </c>
      <c r="B65" s="97" t="s">
        <v>34</v>
      </c>
      <c r="C65" s="97" t="s">
        <v>311</v>
      </c>
      <c r="D65" s="97" t="s">
        <v>368</v>
      </c>
      <c r="E65" s="97"/>
      <c r="F65" s="97"/>
      <c r="G65" s="97"/>
      <c r="H65" s="97"/>
      <c r="I65" s="36">
        <f t="shared" si="6"/>
        <v>0</v>
      </c>
      <c r="J65" s="8">
        <v>4</v>
      </c>
      <c r="K65" s="395">
        <f t="shared" si="7"/>
        <v>0</v>
      </c>
    </row>
    <row r="66" spans="1:11" hidden="1" x14ac:dyDescent="0.25">
      <c r="A66" s="97" t="s">
        <v>168</v>
      </c>
      <c r="B66" s="97" t="s">
        <v>168</v>
      </c>
      <c r="C66" s="97" t="s">
        <v>315</v>
      </c>
      <c r="D66" s="97" t="s">
        <v>369</v>
      </c>
      <c r="E66" s="97">
        <v>0</v>
      </c>
      <c r="F66" s="97">
        <v>0</v>
      </c>
      <c r="G66" s="97"/>
      <c r="H66" s="97"/>
      <c r="I66" s="36">
        <f t="shared" si="6"/>
        <v>0</v>
      </c>
      <c r="J66" s="8">
        <v>4</v>
      </c>
      <c r="K66" s="395">
        <f t="shared" si="7"/>
        <v>0</v>
      </c>
    </row>
    <row r="67" spans="1:11" hidden="1" x14ac:dyDescent="0.25">
      <c r="A67" s="94" t="s">
        <v>109</v>
      </c>
      <c r="B67" s="97" t="s">
        <v>34</v>
      </c>
      <c r="C67" s="97" t="s">
        <v>301</v>
      </c>
      <c r="D67" s="97" t="s">
        <v>370</v>
      </c>
      <c r="E67" s="97"/>
      <c r="F67" s="97">
        <v>3</v>
      </c>
      <c r="G67" s="97"/>
      <c r="H67" s="97"/>
      <c r="I67" s="36">
        <f t="shared" si="6"/>
        <v>3</v>
      </c>
      <c r="J67" s="8">
        <v>4</v>
      </c>
      <c r="K67" s="395">
        <f t="shared" si="7"/>
        <v>0.75</v>
      </c>
    </row>
    <row r="68" spans="1:11" hidden="1" x14ac:dyDescent="0.25">
      <c r="A68" s="97" t="s">
        <v>168</v>
      </c>
      <c r="B68" s="97" t="s">
        <v>168</v>
      </c>
      <c r="C68" s="97" t="s">
        <v>320</v>
      </c>
      <c r="D68" s="97" t="s">
        <v>371</v>
      </c>
      <c r="E68" s="97">
        <v>2</v>
      </c>
      <c r="F68" s="97">
        <v>0</v>
      </c>
      <c r="G68" s="97"/>
      <c r="H68" s="97"/>
      <c r="I68" s="36">
        <f t="shared" si="6"/>
        <v>2</v>
      </c>
      <c r="J68" s="8">
        <v>4</v>
      </c>
      <c r="K68" s="395">
        <f t="shared" si="7"/>
        <v>0.5</v>
      </c>
    </row>
    <row r="69" spans="1:11" hidden="1" x14ac:dyDescent="0.25">
      <c r="A69" s="97" t="s">
        <v>94</v>
      </c>
      <c r="B69" s="97" t="s">
        <v>94</v>
      </c>
      <c r="C69" s="97" t="s">
        <v>301</v>
      </c>
      <c r="D69" s="97" t="s">
        <v>372</v>
      </c>
      <c r="E69" s="97"/>
      <c r="F69" s="97"/>
      <c r="G69" s="97"/>
      <c r="H69" s="97"/>
      <c r="I69" s="36">
        <f t="shared" si="6"/>
        <v>0</v>
      </c>
      <c r="J69" s="8">
        <v>4</v>
      </c>
      <c r="K69" s="395">
        <f t="shared" si="7"/>
        <v>0</v>
      </c>
    </row>
    <row r="70" spans="1:11" hidden="1" x14ac:dyDescent="0.25">
      <c r="A70" s="97" t="s">
        <v>159</v>
      </c>
      <c r="B70" s="97" t="s">
        <v>45</v>
      </c>
      <c r="C70" s="97" t="s">
        <v>301</v>
      </c>
      <c r="D70" s="97" t="s">
        <v>373</v>
      </c>
      <c r="E70" s="97">
        <v>2</v>
      </c>
      <c r="F70" s="97"/>
      <c r="G70" s="97"/>
      <c r="H70" s="97"/>
      <c r="I70" s="36">
        <f t="shared" si="6"/>
        <v>2</v>
      </c>
      <c r="J70" s="8">
        <v>4</v>
      </c>
      <c r="K70" s="395">
        <f t="shared" si="7"/>
        <v>0.5</v>
      </c>
    </row>
    <row r="71" spans="1:11" x14ac:dyDescent="0.25">
      <c r="A71" s="97" t="s">
        <v>181</v>
      </c>
      <c r="B71" s="97" t="s">
        <v>71</v>
      </c>
      <c r="C71" s="97" t="s">
        <v>315</v>
      </c>
      <c r="D71" s="97" t="s">
        <v>374</v>
      </c>
      <c r="E71" s="97">
        <v>1</v>
      </c>
      <c r="F71" s="97"/>
      <c r="G71" s="97"/>
      <c r="H71" s="97"/>
      <c r="I71" s="36">
        <f t="shared" si="6"/>
        <v>1</v>
      </c>
      <c r="J71" s="8">
        <v>4</v>
      </c>
      <c r="K71" s="395">
        <f t="shared" si="7"/>
        <v>0.25</v>
      </c>
    </row>
    <row r="72" spans="1:11" hidden="1" x14ac:dyDescent="0.25">
      <c r="A72" s="94" t="s">
        <v>109</v>
      </c>
      <c r="B72" s="97" t="s">
        <v>34</v>
      </c>
      <c r="C72" s="97" t="s">
        <v>301</v>
      </c>
      <c r="D72" s="97" t="s">
        <v>375</v>
      </c>
      <c r="E72" s="97">
        <v>1</v>
      </c>
      <c r="F72" s="97">
        <v>1</v>
      </c>
      <c r="G72" s="97"/>
      <c r="H72" s="97"/>
      <c r="I72" s="36">
        <f t="shared" ref="I72:I74" si="8">SUM(E72:H72)</f>
        <v>2</v>
      </c>
      <c r="J72" s="8">
        <v>4</v>
      </c>
      <c r="K72" s="395">
        <f t="shared" ref="K72:K75" si="9">I72/J72</f>
        <v>0.5</v>
      </c>
    </row>
    <row r="73" spans="1:11" hidden="1" x14ac:dyDescent="0.25">
      <c r="A73" s="97" t="s">
        <v>159</v>
      </c>
      <c r="B73" s="97" t="s">
        <v>45</v>
      </c>
      <c r="C73" s="97" t="s">
        <v>301</v>
      </c>
      <c r="D73" s="97" t="s">
        <v>376</v>
      </c>
      <c r="E73" s="97"/>
      <c r="F73" s="97"/>
      <c r="G73" s="97"/>
      <c r="H73" s="97"/>
      <c r="I73" s="36">
        <f t="shared" si="8"/>
        <v>0</v>
      </c>
      <c r="J73" s="8">
        <v>4</v>
      </c>
      <c r="K73" s="395">
        <f t="shared" si="9"/>
        <v>0</v>
      </c>
    </row>
    <row r="74" spans="1:11" hidden="1" x14ac:dyDescent="0.25">
      <c r="A74" s="97" t="s">
        <v>168</v>
      </c>
      <c r="B74" s="97" t="s">
        <v>168</v>
      </c>
      <c r="C74" s="97" t="s">
        <v>301</v>
      </c>
      <c r="D74" s="97" t="s">
        <v>377</v>
      </c>
      <c r="E74" s="97">
        <v>0</v>
      </c>
      <c r="F74" s="97">
        <v>1</v>
      </c>
      <c r="G74" s="97"/>
      <c r="H74" s="97"/>
      <c r="I74" s="36">
        <f t="shared" si="8"/>
        <v>1</v>
      </c>
      <c r="J74" s="8">
        <v>4</v>
      </c>
      <c r="K74" s="395">
        <f t="shared" si="9"/>
        <v>0.25</v>
      </c>
    </row>
    <row r="75" spans="1:11" hidden="1" x14ac:dyDescent="0.25">
      <c r="A75" s="97" t="s">
        <v>159</v>
      </c>
      <c r="B75" s="97" t="s">
        <v>45</v>
      </c>
      <c r="C75" s="97" t="s">
        <v>299</v>
      </c>
      <c r="D75" s="97" t="s">
        <v>378</v>
      </c>
      <c r="E75" s="97">
        <v>1</v>
      </c>
      <c r="F75" s="97">
        <v>3</v>
      </c>
      <c r="G75" s="97"/>
      <c r="H75" s="97"/>
      <c r="I75" s="36">
        <f t="shared" ref="I75" si="10">SUM(E75:H75)</f>
        <v>4</v>
      </c>
      <c r="J75" s="8">
        <v>4</v>
      </c>
      <c r="K75" s="395">
        <f t="shared" si="9"/>
        <v>1</v>
      </c>
    </row>
    <row r="76" spans="1:11" hidden="1" x14ac:dyDescent="0.25">
      <c r="A76" s="97" t="s">
        <v>269</v>
      </c>
      <c r="B76" s="97" t="s">
        <v>34</v>
      </c>
      <c r="C76" s="97" t="s">
        <v>301</v>
      </c>
      <c r="D76" s="97" t="s">
        <v>379</v>
      </c>
      <c r="E76" s="97">
        <v>1</v>
      </c>
      <c r="F76" s="97">
        <v>3</v>
      </c>
      <c r="G76" s="97"/>
      <c r="H76" s="97"/>
      <c r="I76" s="36">
        <f>SUM(E76:H76)</f>
        <v>4</v>
      </c>
      <c r="J76" s="8">
        <v>4</v>
      </c>
      <c r="K76" s="395">
        <f>I76/J76</f>
        <v>1</v>
      </c>
    </row>
    <row r="77" spans="1:11" ht="15.75" thickBot="1" x14ac:dyDescent="0.3">
      <c r="A77" s="98" t="s">
        <v>181</v>
      </c>
      <c r="B77" s="98" t="s">
        <v>34</v>
      </c>
      <c r="C77" s="98" t="s">
        <v>299</v>
      </c>
      <c r="D77" s="98" t="s">
        <v>380</v>
      </c>
      <c r="E77" s="98">
        <v>2</v>
      </c>
      <c r="F77" s="98"/>
      <c r="G77" s="98"/>
      <c r="H77" s="98"/>
      <c r="I77" s="396">
        <f>SUM(E77:H77)</f>
        <v>2</v>
      </c>
      <c r="J77" s="8">
        <v>4</v>
      </c>
      <c r="K77" s="397">
        <f>I77/J77</f>
        <v>0.5</v>
      </c>
    </row>
    <row r="78" spans="1:11" ht="15.75" hidden="1" thickBot="1" x14ac:dyDescent="0.3">
      <c r="A78" s="88" t="s">
        <v>192</v>
      </c>
      <c r="B78" s="88" t="s">
        <v>34</v>
      </c>
      <c r="C78" s="11" t="s">
        <v>301</v>
      </c>
      <c r="D78" s="98" t="s">
        <v>381</v>
      </c>
      <c r="E78" s="100"/>
      <c r="F78" s="106">
        <v>1</v>
      </c>
      <c r="G78" s="106"/>
      <c r="H78" s="106"/>
      <c r="I78" s="36">
        <f t="shared" ref="I78" si="11">SUM(E78:H78)</f>
        <v>1</v>
      </c>
      <c r="J78" s="8">
        <v>4</v>
      </c>
      <c r="K78" s="395">
        <f t="shared" ref="K78" si="12">I78/J78</f>
        <v>0.25</v>
      </c>
    </row>
    <row r="79" spans="1:11" ht="15.75" hidden="1" thickBot="1" x14ac:dyDescent="0.3">
      <c r="D79" s="92" t="s">
        <v>291</v>
      </c>
      <c r="E79" s="19">
        <f>SUM(E3:E77)</f>
        <v>102</v>
      </c>
      <c r="F79" s="20">
        <f>SUM(F3:F25)</f>
        <v>17</v>
      </c>
      <c r="G79" s="20">
        <f>SUM(G3:G25)</f>
        <v>0</v>
      </c>
      <c r="H79" s="20">
        <f>SUM(H3:H25)</f>
        <v>0</v>
      </c>
      <c r="I79" s="21">
        <f>SUM(E79:H79)</f>
        <v>119</v>
      </c>
      <c r="J79" s="40"/>
      <c r="K79" s="40"/>
    </row>
    <row r="80" spans="1:11" ht="15.75" hidden="1" thickBot="1" x14ac:dyDescent="0.3">
      <c r="D80" s="23" t="s">
        <v>292</v>
      </c>
      <c r="E80" s="19"/>
      <c r="F80" s="19"/>
      <c r="G80" s="19"/>
      <c r="H80" s="19"/>
      <c r="I80" s="22">
        <f>SUM(E80:H80)</f>
        <v>0</v>
      </c>
      <c r="J80" s="104"/>
      <c r="K80" s="104"/>
    </row>
    <row r="81" spans="5:11" ht="25.15" hidden="1" customHeight="1" x14ac:dyDescent="0.25">
      <c r="E81" s="3" t="e">
        <f>E79/E80</f>
        <v>#DIV/0!</v>
      </c>
      <c r="F81" s="3" t="e">
        <f>F79/F80</f>
        <v>#DIV/0!</v>
      </c>
      <c r="G81" s="3" t="e">
        <f>G79/G80</f>
        <v>#DIV/0!</v>
      </c>
      <c r="H81" s="3" t="e">
        <f>H79/H80</f>
        <v>#DIV/0!</v>
      </c>
    </row>
    <row r="82" spans="5:11" x14ac:dyDescent="0.25">
      <c r="E82" s="3"/>
      <c r="F82" s="3"/>
      <c r="G82" s="3"/>
      <c r="H82" s="3"/>
      <c r="J82" s="105"/>
      <c r="K82" s="105"/>
    </row>
    <row r="83" spans="5:11" x14ac:dyDescent="0.25">
      <c r="J83" s="105"/>
      <c r="K83" s="105"/>
    </row>
  </sheetData>
  <autoFilter ref="A2:K81" xr:uid="{8A5014C2-BA6D-4C53-83D1-BD15E35DED0C}">
    <filterColumn colId="0">
      <filters>
        <filter val="AUVERGNE"/>
      </filters>
    </filterColumn>
  </autoFilter>
  <mergeCells count="1">
    <mergeCell ref="E1:H1"/>
  </mergeCells>
  <phoneticPr fontId="35" type="noConversion"/>
  <conditionalFormatting sqref="A3:D7 E3:I21 J4:J21 C8:D8 A8:A10 A9:D9 C10:D10 A11:D34 E22:J78 A35 C35:D35 A36:D77">
    <cfRule type="containsText" dxfId="82" priority="1" operator="containsText" text="0">
      <formula>NOT(ISERROR(SEARCH("0",A3)))</formula>
    </cfRule>
  </conditionalFormatting>
  <conditionalFormatting sqref="A3:J78">
    <cfRule type="expression" dxfId="81" priority="2">
      <formula>MOD(ROW(),2)</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53C8-2D57-4265-BBCF-CAEE73F166A0}">
  <sheetPr codeName="Feuil7">
    <tabColor rgb="FF7030A0"/>
  </sheetPr>
  <dimension ref="A1:G24"/>
  <sheetViews>
    <sheetView workbookViewId="0">
      <selection activeCell="D16" sqref="D16"/>
    </sheetView>
  </sheetViews>
  <sheetFormatPr baseColWidth="10" defaultColWidth="11.42578125" defaultRowHeight="15" x14ac:dyDescent="0.25"/>
  <cols>
    <col min="2" max="2" width="11.5703125" style="2"/>
    <col min="3" max="3" width="28.42578125" style="2" customWidth="1"/>
    <col min="4" max="4" width="57.7109375" style="451" customWidth="1"/>
    <col min="5" max="5" width="36.5703125" style="451" customWidth="1"/>
    <col min="6" max="6" width="17.7109375" style="2" customWidth="1"/>
    <col min="7" max="7" width="27.7109375" style="451" customWidth="1"/>
  </cols>
  <sheetData>
    <row r="1" spans="1:7" ht="51.6" customHeight="1" x14ac:dyDescent="0.25">
      <c r="A1" s="163"/>
      <c r="B1" s="164" t="s">
        <v>382</v>
      </c>
      <c r="C1" s="164" t="s">
        <v>383</v>
      </c>
      <c r="D1" s="450" t="s">
        <v>384</v>
      </c>
      <c r="E1" s="450" t="s">
        <v>385</v>
      </c>
      <c r="F1" s="164" t="s">
        <v>386</v>
      </c>
      <c r="G1" s="450" t="s">
        <v>387</v>
      </c>
    </row>
    <row r="2" spans="1:7" x14ac:dyDescent="0.25">
      <c r="A2" s="163"/>
      <c r="B2" s="24">
        <v>46042</v>
      </c>
      <c r="C2" s="25" t="s">
        <v>233</v>
      </c>
      <c r="D2" s="26" t="s">
        <v>388</v>
      </c>
      <c r="E2" s="26"/>
      <c r="F2" s="452"/>
      <c r="G2" s="26"/>
    </row>
    <row r="3" spans="1:7" ht="30" x14ac:dyDescent="0.25">
      <c r="A3" s="163"/>
      <c r="B3" s="24">
        <v>46043</v>
      </c>
      <c r="C3" s="25" t="s">
        <v>389</v>
      </c>
      <c r="D3" s="26" t="s">
        <v>390</v>
      </c>
      <c r="E3" s="26" t="s">
        <v>391</v>
      </c>
      <c r="F3" s="24">
        <v>46178</v>
      </c>
      <c r="G3" s="26"/>
    </row>
    <row r="4" spans="1:7" ht="30" x14ac:dyDescent="0.25">
      <c r="A4" s="163"/>
      <c r="B4" s="24">
        <v>46043</v>
      </c>
      <c r="C4" s="26" t="s">
        <v>239</v>
      </c>
      <c r="D4" s="26" t="s">
        <v>392</v>
      </c>
      <c r="E4" s="26"/>
      <c r="F4" s="25"/>
      <c r="G4" s="26"/>
    </row>
    <row r="5" spans="1:7" x14ac:dyDescent="0.25">
      <c r="A5" s="163"/>
      <c r="B5" s="24">
        <v>46050</v>
      </c>
      <c r="C5" s="26" t="s">
        <v>393</v>
      </c>
      <c r="D5" s="26" t="s">
        <v>394</v>
      </c>
      <c r="E5" s="26" t="s">
        <v>395</v>
      </c>
      <c r="F5" s="25"/>
      <c r="G5" s="26"/>
    </row>
    <row r="6" spans="1:7" x14ac:dyDescent="0.25">
      <c r="A6" s="163"/>
      <c r="B6" s="24">
        <v>46055</v>
      </c>
      <c r="C6" s="25" t="s">
        <v>396</v>
      </c>
      <c r="D6" s="26" t="s">
        <v>397</v>
      </c>
      <c r="E6" s="26"/>
      <c r="F6" s="25"/>
      <c r="G6" s="26"/>
    </row>
    <row r="7" spans="1:7" ht="30" x14ac:dyDescent="0.25">
      <c r="A7" s="163"/>
      <c r="B7" s="24">
        <v>46055</v>
      </c>
      <c r="C7" s="26" t="s">
        <v>393</v>
      </c>
      <c r="D7" s="26" t="s">
        <v>398</v>
      </c>
      <c r="E7" s="26" t="s">
        <v>399</v>
      </c>
      <c r="F7" s="24">
        <v>46112</v>
      </c>
      <c r="G7" s="26"/>
    </row>
    <row r="8" spans="1:7" ht="30" x14ac:dyDescent="0.25">
      <c r="A8" s="163"/>
      <c r="B8" s="24">
        <v>46058</v>
      </c>
      <c r="C8" s="26" t="s">
        <v>212</v>
      </c>
      <c r="D8" s="26" t="s">
        <v>400</v>
      </c>
      <c r="E8" s="26" t="s">
        <v>401</v>
      </c>
      <c r="F8" s="24">
        <v>46178</v>
      </c>
      <c r="G8" s="26"/>
    </row>
    <row r="9" spans="1:7" ht="45" x14ac:dyDescent="0.25">
      <c r="A9" s="163"/>
      <c r="B9" s="24">
        <v>46066</v>
      </c>
      <c r="C9" s="25" t="s">
        <v>402</v>
      </c>
      <c r="D9" s="26" t="s">
        <v>403</v>
      </c>
      <c r="E9" s="26" t="s">
        <v>404</v>
      </c>
      <c r="F9" s="24">
        <v>46129</v>
      </c>
      <c r="G9" s="26"/>
    </row>
    <row r="10" spans="1:7" x14ac:dyDescent="0.25">
      <c r="A10" s="163"/>
      <c r="B10" s="24">
        <v>46070</v>
      </c>
      <c r="C10" s="26" t="s">
        <v>405</v>
      </c>
      <c r="D10" s="26" t="s">
        <v>406</v>
      </c>
      <c r="E10" s="26"/>
      <c r="F10" s="25"/>
      <c r="G10" s="26"/>
    </row>
    <row r="11" spans="1:7" ht="30" x14ac:dyDescent="0.25">
      <c r="A11" s="163"/>
      <c r="B11" s="24"/>
      <c r="C11" s="25"/>
      <c r="D11" s="26" t="s">
        <v>407</v>
      </c>
      <c r="E11" s="26"/>
      <c r="F11" s="25"/>
      <c r="G11" s="26"/>
    </row>
    <row r="12" spans="1:7" ht="45" x14ac:dyDescent="0.25">
      <c r="A12" s="163"/>
      <c r="B12" s="24">
        <v>46066</v>
      </c>
      <c r="C12" s="25" t="s">
        <v>408</v>
      </c>
      <c r="D12" s="26" t="s">
        <v>409</v>
      </c>
      <c r="E12" s="26" t="s">
        <v>410</v>
      </c>
      <c r="F12" s="24">
        <v>46160</v>
      </c>
      <c r="G12" s="26"/>
    </row>
    <row r="13" spans="1:7" ht="30" x14ac:dyDescent="0.25">
      <c r="A13" s="163"/>
      <c r="B13" s="24">
        <v>46069</v>
      </c>
      <c r="C13" s="25" t="s">
        <v>239</v>
      </c>
      <c r="D13" s="26" t="s">
        <v>411</v>
      </c>
      <c r="E13" s="26" t="s">
        <v>412</v>
      </c>
      <c r="F13" s="24">
        <v>46129</v>
      </c>
      <c r="G13" s="26"/>
    </row>
    <row r="14" spans="1:7" ht="45" x14ac:dyDescent="0.25">
      <c r="A14" s="163"/>
      <c r="B14" s="24">
        <v>46080</v>
      </c>
      <c r="C14" s="25" t="s">
        <v>196</v>
      </c>
      <c r="D14" s="26" t="s">
        <v>413</v>
      </c>
      <c r="E14" s="26" t="s">
        <v>414</v>
      </c>
      <c r="F14" s="25"/>
      <c r="G14" s="26"/>
    </row>
    <row r="15" spans="1:7" ht="60" x14ac:dyDescent="0.25">
      <c r="A15" s="163"/>
      <c r="B15" s="24">
        <v>46093</v>
      </c>
      <c r="C15" s="25" t="s">
        <v>285</v>
      </c>
      <c r="D15" s="26" t="s">
        <v>415</v>
      </c>
      <c r="E15" s="26" t="s">
        <v>416</v>
      </c>
      <c r="F15" s="24">
        <v>46129</v>
      </c>
      <c r="G15" s="26"/>
    </row>
    <row r="16" spans="1:7" ht="45" x14ac:dyDescent="0.25">
      <c r="A16" s="163"/>
      <c r="B16" s="24">
        <v>46100</v>
      </c>
      <c r="C16" s="25" t="s">
        <v>417</v>
      </c>
      <c r="D16" s="26" t="s">
        <v>418</v>
      </c>
      <c r="E16" s="26" t="s">
        <v>419</v>
      </c>
      <c r="F16" s="24">
        <v>46119</v>
      </c>
      <c r="G16" s="26"/>
    </row>
    <row r="17" spans="1:7" ht="45" x14ac:dyDescent="0.25">
      <c r="A17" s="163"/>
      <c r="B17" s="24">
        <v>46105</v>
      </c>
      <c r="C17" s="25" t="s">
        <v>212</v>
      </c>
      <c r="D17" s="26" t="s">
        <v>420</v>
      </c>
      <c r="E17" s="26" t="s">
        <v>421</v>
      </c>
      <c r="F17" s="24">
        <v>46142</v>
      </c>
      <c r="G17" s="26" t="s">
        <v>422</v>
      </c>
    </row>
    <row r="18" spans="1:7" ht="45" x14ac:dyDescent="0.25">
      <c r="A18" s="163"/>
      <c r="B18" s="24">
        <v>46105</v>
      </c>
      <c r="C18" s="25" t="s">
        <v>212</v>
      </c>
      <c r="D18" s="26" t="s">
        <v>423</v>
      </c>
      <c r="E18" s="26" t="s">
        <v>424</v>
      </c>
      <c r="F18" s="24">
        <v>46178</v>
      </c>
      <c r="G18" s="26" t="s">
        <v>425</v>
      </c>
    </row>
    <row r="19" spans="1:7" ht="45" x14ac:dyDescent="0.25">
      <c r="A19" s="163"/>
      <c r="B19" s="24">
        <v>46105</v>
      </c>
      <c r="C19" s="25" t="s">
        <v>196</v>
      </c>
      <c r="D19" s="26" t="s">
        <v>426</v>
      </c>
      <c r="E19" s="26"/>
      <c r="F19" s="25"/>
      <c r="G19" s="26" t="s">
        <v>427</v>
      </c>
    </row>
    <row r="20" spans="1:7" ht="45" x14ac:dyDescent="0.25">
      <c r="A20" s="163"/>
      <c r="B20" s="24">
        <v>46106</v>
      </c>
      <c r="C20" s="25" t="s">
        <v>196</v>
      </c>
      <c r="D20" s="26" t="s">
        <v>428</v>
      </c>
      <c r="E20" s="26" t="s">
        <v>429</v>
      </c>
      <c r="F20" s="24">
        <v>46129</v>
      </c>
      <c r="G20" s="26" t="s">
        <v>430</v>
      </c>
    </row>
    <row r="21" spans="1:7" ht="30" x14ac:dyDescent="0.25">
      <c r="A21" s="163"/>
      <c r="B21" s="24">
        <v>46114</v>
      </c>
      <c r="C21" s="25" t="s">
        <v>196</v>
      </c>
      <c r="D21" s="26" t="s">
        <v>431</v>
      </c>
      <c r="E21" s="26" t="s">
        <v>432</v>
      </c>
      <c r="F21" s="24">
        <v>46178</v>
      </c>
      <c r="G21" s="26"/>
    </row>
    <row r="22" spans="1:7" ht="30" x14ac:dyDescent="0.25">
      <c r="A22" s="163"/>
      <c r="B22" s="25" t="s">
        <v>433</v>
      </c>
      <c r="C22" s="25" t="s">
        <v>281</v>
      </c>
      <c r="D22" s="26" t="s">
        <v>434</v>
      </c>
      <c r="E22" s="26"/>
      <c r="F22" s="25"/>
      <c r="G22" s="26" t="s">
        <v>435</v>
      </c>
    </row>
    <row r="23" spans="1:7" x14ac:dyDescent="0.25">
      <c r="A23" s="163"/>
      <c r="B23" s="25"/>
      <c r="C23" s="25"/>
      <c r="D23" s="26"/>
      <c r="E23" s="26"/>
      <c r="F23" s="25"/>
      <c r="G23" s="26"/>
    </row>
    <row r="24" spans="1:7" x14ac:dyDescent="0.25">
      <c r="A24" s="163"/>
      <c r="B24" s="25"/>
      <c r="C24" s="25"/>
      <c r="D24" s="26"/>
      <c r="E24" s="26"/>
      <c r="F24" s="25"/>
      <c r="G24" s="26"/>
    </row>
  </sheetData>
  <autoFilter ref="B1:G21" xr:uid="{53B953C8-2D57-4265-BBCF-CAEE73F166A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756A-53E0-4000-9333-93222F9B89A2}">
  <sheetPr codeName="Feuil1" filterMode="1">
    <tabColor rgb="FFFF9999"/>
  </sheetPr>
  <dimension ref="A1:OS134"/>
  <sheetViews>
    <sheetView zoomScale="85" zoomScaleNormal="85" workbookViewId="0">
      <pane xSplit="4" ySplit="2" topLeftCell="DU3" activePane="bottomRight" state="frozen"/>
      <selection pane="topRight" activeCell="E1" sqref="E1"/>
      <selection pane="bottomLeft" activeCell="A3" sqref="A3"/>
      <selection pane="bottomRight" activeCell="EO40" sqref="EO40"/>
    </sheetView>
  </sheetViews>
  <sheetFormatPr baseColWidth="10" defaultColWidth="11.42578125" defaultRowHeight="15" outlineLevelCol="1" x14ac:dyDescent="0.25"/>
  <cols>
    <col min="2" max="2" width="19" bestFit="1" customWidth="1"/>
    <col min="3" max="3" width="26.7109375" bestFit="1" customWidth="1"/>
    <col min="4" max="4" width="33.85546875" bestFit="1" customWidth="1"/>
    <col min="5" max="5" width="5.28515625" customWidth="1"/>
    <col min="6" max="22" width="4.28515625" customWidth="1"/>
    <col min="23" max="23" width="4.42578125" customWidth="1"/>
    <col min="24" max="155" width="4.28515625" customWidth="1"/>
    <col min="156" max="369" width="4.28515625" hidden="1" customWidth="1" outlineLevel="1"/>
    <col min="370" max="370" width="7" style="30" customWidth="1" collapsed="1"/>
    <col min="371" max="371" width="9" customWidth="1" outlineLevel="1"/>
    <col min="372" max="372" width="9.28515625" customWidth="1" outlineLevel="1"/>
    <col min="373" max="373" width="11.7109375" customWidth="1" outlineLevel="1"/>
    <col min="374" max="379" width="11.42578125" customWidth="1" outlineLevel="1"/>
  </cols>
  <sheetData>
    <row r="1" spans="1:409" ht="84.6" customHeight="1" thickBot="1" x14ac:dyDescent="0.3">
      <c r="A1" s="157" t="s">
        <v>436</v>
      </c>
      <c r="B1" s="158" t="s">
        <v>138</v>
      </c>
      <c r="C1" s="159">
        <f ca="1">TODAY()</f>
        <v>46161</v>
      </c>
      <c r="D1" s="160" t="s">
        <v>437</v>
      </c>
      <c r="E1" s="503"/>
      <c r="F1" s="504"/>
      <c r="G1" s="504"/>
      <c r="H1" s="504"/>
      <c r="I1" s="504"/>
      <c r="J1" s="504"/>
      <c r="K1" s="504"/>
      <c r="L1" s="504"/>
      <c r="M1" s="504"/>
      <c r="N1" s="504"/>
      <c r="O1" s="504"/>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5"/>
      <c r="DZ1" s="125"/>
      <c r="EA1" s="125"/>
      <c r="EB1" s="125"/>
      <c r="EC1" s="125"/>
      <c r="ED1" s="125"/>
      <c r="EE1" s="125"/>
      <c r="EF1" s="125"/>
      <c r="EG1" s="125"/>
      <c r="EH1" s="125"/>
      <c r="EI1" s="125"/>
      <c r="EJ1" s="125"/>
      <c r="EK1" s="125"/>
      <c r="EL1" s="125"/>
      <c r="EM1" s="125"/>
      <c r="EN1" s="125"/>
      <c r="EO1" s="125"/>
      <c r="EP1" s="125"/>
      <c r="EQ1" s="125"/>
      <c r="ER1" s="125"/>
      <c r="ES1" s="125"/>
      <c r="ET1" s="125"/>
      <c r="EU1" s="125"/>
      <c r="EV1" s="125"/>
      <c r="EW1" s="125"/>
      <c r="EX1" s="125"/>
      <c r="EY1" s="125"/>
      <c r="EZ1" s="125"/>
      <c r="FA1" s="125"/>
      <c r="FB1" s="125"/>
      <c r="FC1" s="125"/>
      <c r="FD1" s="125"/>
      <c r="FE1" s="125"/>
      <c r="FF1" s="125"/>
      <c r="FG1" s="125"/>
      <c r="FH1" s="125"/>
      <c r="FI1" s="125"/>
      <c r="FJ1" s="125"/>
      <c r="FK1" s="125"/>
      <c r="FL1" s="125"/>
      <c r="FM1" s="125"/>
      <c r="FN1" s="125"/>
      <c r="FO1" s="125"/>
      <c r="FP1" s="125"/>
      <c r="FQ1" s="125"/>
      <c r="FR1" s="125"/>
      <c r="FS1" s="125"/>
      <c r="FT1" s="125"/>
      <c r="FU1" s="125"/>
      <c r="FV1" s="125"/>
      <c r="FW1" s="125"/>
      <c r="FX1" s="125"/>
      <c r="FY1" s="125"/>
      <c r="FZ1" s="125"/>
      <c r="GA1" s="125"/>
      <c r="GB1" s="125"/>
      <c r="GC1" s="125"/>
      <c r="GD1" s="125"/>
      <c r="GE1" s="125"/>
      <c r="GF1" s="125"/>
      <c r="GG1" s="125"/>
      <c r="GH1" s="125"/>
      <c r="GI1" s="125"/>
      <c r="GJ1" s="125"/>
      <c r="GK1" s="125"/>
      <c r="GL1" s="125"/>
      <c r="GM1" s="125"/>
      <c r="GN1" s="125"/>
      <c r="GO1" s="125"/>
      <c r="GP1" s="125"/>
      <c r="GQ1" s="125"/>
      <c r="GR1" s="125"/>
      <c r="GS1" s="125"/>
      <c r="GT1" s="125"/>
      <c r="GU1" s="125"/>
      <c r="GV1" s="125"/>
      <c r="GW1" s="125"/>
      <c r="GX1" s="125"/>
      <c r="GY1" s="125"/>
      <c r="GZ1" s="125"/>
      <c r="HA1" s="125"/>
      <c r="HB1" s="125"/>
      <c r="HC1" s="125"/>
      <c r="HD1" s="125"/>
      <c r="HE1" s="125"/>
      <c r="HF1" s="125"/>
      <c r="HG1" s="125"/>
      <c r="HH1" s="125"/>
      <c r="HI1" s="125"/>
      <c r="HJ1" s="125"/>
      <c r="HK1" s="125"/>
      <c r="HL1" s="125"/>
      <c r="HM1" s="125"/>
      <c r="HN1" s="125"/>
      <c r="HO1" s="125"/>
      <c r="HP1" s="125"/>
      <c r="HQ1" s="125"/>
      <c r="HR1" s="125"/>
      <c r="HS1" s="125"/>
      <c r="HT1" s="125"/>
      <c r="HU1" s="125"/>
      <c r="HV1" s="125"/>
      <c r="HW1" s="125"/>
      <c r="HX1" s="125"/>
      <c r="HY1" s="125"/>
      <c r="HZ1" s="125"/>
      <c r="IA1" s="125"/>
      <c r="IB1" s="125"/>
      <c r="IC1" s="125"/>
      <c r="ID1" s="125"/>
      <c r="IE1" s="125"/>
      <c r="IF1" s="125"/>
      <c r="IG1" s="125"/>
      <c r="IH1" s="125"/>
      <c r="II1" s="125"/>
      <c r="IJ1" s="125"/>
      <c r="IK1" s="125"/>
      <c r="IL1" s="125"/>
      <c r="IM1" s="125"/>
      <c r="IN1" s="125"/>
      <c r="IO1" s="125"/>
      <c r="IP1" s="125"/>
      <c r="IQ1" s="125"/>
      <c r="IR1" s="125"/>
      <c r="IS1" s="125"/>
      <c r="IT1" s="125"/>
      <c r="IU1" s="125"/>
      <c r="IV1" s="125"/>
      <c r="IW1" s="125"/>
      <c r="IX1" s="125"/>
      <c r="IY1" s="125"/>
      <c r="IZ1" s="125"/>
      <c r="JA1" s="125"/>
      <c r="JB1" s="125"/>
      <c r="JC1" s="125"/>
      <c r="JD1" s="125"/>
      <c r="JE1" s="125"/>
      <c r="JF1" s="125"/>
      <c r="JG1" s="125"/>
      <c r="JH1" s="125"/>
      <c r="JI1" s="125"/>
      <c r="JJ1" s="125"/>
      <c r="JK1" s="125"/>
      <c r="JL1" s="125"/>
      <c r="JM1" s="125"/>
      <c r="JN1" s="125"/>
      <c r="JO1" s="125"/>
      <c r="JP1" s="125"/>
      <c r="JQ1" s="125"/>
      <c r="JR1" s="125"/>
      <c r="JS1" s="125"/>
      <c r="JT1" s="125"/>
      <c r="JU1" s="125"/>
      <c r="JV1" s="125"/>
      <c r="JW1" s="125"/>
      <c r="JX1" s="125"/>
      <c r="JY1" s="125"/>
      <c r="JZ1" s="125"/>
      <c r="KA1" s="125"/>
      <c r="KB1" s="125"/>
      <c r="KC1" s="125"/>
      <c r="KD1" s="125"/>
      <c r="KE1" s="125"/>
      <c r="KF1" s="125"/>
      <c r="KG1" s="125"/>
      <c r="KH1" s="125"/>
      <c r="KI1" s="125"/>
      <c r="KJ1" s="125"/>
      <c r="KK1" s="125"/>
      <c r="KL1" s="125"/>
      <c r="KM1" s="125"/>
      <c r="KN1" s="125"/>
      <c r="KO1" s="125"/>
      <c r="KP1" s="125"/>
      <c r="KQ1" s="125"/>
      <c r="KR1" s="125"/>
      <c r="KS1" s="125"/>
      <c r="KT1" s="125"/>
      <c r="KU1" s="125"/>
      <c r="KV1" s="125"/>
      <c r="KW1" s="125"/>
      <c r="KX1" s="125"/>
      <c r="KY1" s="125"/>
      <c r="KZ1" s="125"/>
      <c r="LA1" s="125"/>
      <c r="LB1" s="125"/>
      <c r="LC1" s="125"/>
      <c r="LD1" s="125"/>
      <c r="LE1" s="125"/>
      <c r="LF1" s="125"/>
      <c r="LG1" s="125"/>
      <c r="LH1" s="125"/>
      <c r="LI1" s="125"/>
      <c r="LJ1" s="125"/>
      <c r="LK1" s="125"/>
      <c r="LL1" s="125"/>
      <c r="LM1" s="125"/>
      <c r="LN1" s="125"/>
      <c r="LO1" s="125"/>
      <c r="LP1" s="125"/>
      <c r="LQ1" s="125"/>
      <c r="LR1" s="125"/>
      <c r="LS1" s="125"/>
      <c r="LT1" s="125"/>
      <c r="LU1" s="125"/>
      <c r="LV1" s="125"/>
      <c r="LW1" s="125"/>
      <c r="LX1" s="125"/>
      <c r="LY1" s="125"/>
      <c r="LZ1" s="125"/>
      <c r="MA1" s="125"/>
      <c r="MB1" s="125"/>
      <c r="MC1" s="125"/>
      <c r="MD1" s="125"/>
      <c r="ME1" s="125"/>
      <c r="MF1" s="125"/>
      <c r="MG1" s="125"/>
      <c r="MH1" s="125"/>
      <c r="MI1" s="125"/>
      <c r="MJ1" s="125"/>
      <c r="MK1" s="125"/>
      <c r="ML1" s="125"/>
      <c r="MM1" s="125"/>
      <c r="MN1" s="125"/>
      <c r="MO1" s="125"/>
      <c r="MP1" s="125"/>
      <c r="MQ1" s="125"/>
      <c r="MR1" s="125"/>
      <c r="MS1" s="125"/>
      <c r="MT1" s="125"/>
      <c r="MU1" s="125"/>
      <c r="MV1" s="125"/>
      <c r="MW1" s="125"/>
      <c r="MX1" s="125"/>
      <c r="MY1" s="125"/>
      <c r="MZ1" s="125"/>
      <c r="NA1" s="125"/>
      <c r="NB1" s="125"/>
      <c r="NC1" s="125"/>
      <c r="ND1" s="125"/>
      <c r="NE1" s="123"/>
      <c r="NG1" s="499" t="s">
        <v>144</v>
      </c>
      <c r="NH1" s="500"/>
      <c r="NI1" s="501"/>
      <c r="NJ1" s="494" t="s">
        <v>438</v>
      </c>
      <c r="NK1" s="495"/>
      <c r="NL1" s="496"/>
      <c r="NM1" s="494" t="s">
        <v>439</v>
      </c>
      <c r="NN1" s="495"/>
      <c r="NO1" s="496"/>
      <c r="NP1" s="494" t="s">
        <v>147</v>
      </c>
      <c r="NQ1" s="495"/>
      <c r="NR1" s="496"/>
      <c r="NS1" s="494" t="s">
        <v>148</v>
      </c>
      <c r="NT1" s="495"/>
      <c r="NU1" s="496"/>
      <c r="NV1" s="494" t="s">
        <v>149</v>
      </c>
      <c r="NW1" s="495"/>
      <c r="NX1" s="496"/>
      <c r="NY1" s="494" t="s">
        <v>150</v>
      </c>
      <c r="NZ1" s="495"/>
      <c r="OA1" s="496"/>
      <c r="OB1" s="494" t="s">
        <v>151</v>
      </c>
      <c r="OC1" s="495"/>
      <c r="OD1" s="498"/>
      <c r="OE1" s="497" t="s">
        <v>152</v>
      </c>
      <c r="OF1" s="495"/>
      <c r="OG1" s="496"/>
      <c r="OH1" s="494" t="s">
        <v>153</v>
      </c>
      <c r="OI1" s="495"/>
      <c r="OJ1" s="496"/>
      <c r="OK1" s="494" t="s">
        <v>154</v>
      </c>
      <c r="OL1" s="495"/>
      <c r="OM1" s="496"/>
      <c r="ON1" s="494" t="s">
        <v>155</v>
      </c>
      <c r="OO1" s="495"/>
      <c r="OP1" s="495"/>
      <c r="OQ1" s="493" t="s">
        <v>440</v>
      </c>
      <c r="OR1" s="493"/>
      <c r="OS1" s="493"/>
    </row>
    <row r="2" spans="1:409" ht="56.65" customHeight="1" thickBot="1" x14ac:dyDescent="0.3">
      <c r="A2" s="18" t="s">
        <v>140</v>
      </c>
      <c r="B2" s="18" t="s">
        <v>141</v>
      </c>
      <c r="C2" s="99" t="s">
        <v>142</v>
      </c>
      <c r="D2" s="107" t="s">
        <v>143</v>
      </c>
      <c r="E2" s="126">
        <v>46023</v>
      </c>
      <c r="F2" s="109">
        <v>46024</v>
      </c>
      <c r="G2" s="109">
        <v>46025</v>
      </c>
      <c r="H2" s="109">
        <v>46026</v>
      </c>
      <c r="I2" s="109">
        <v>46027</v>
      </c>
      <c r="J2" s="109">
        <v>46028</v>
      </c>
      <c r="K2" s="109">
        <v>46029</v>
      </c>
      <c r="L2" s="109">
        <v>46030</v>
      </c>
      <c r="M2" s="109">
        <v>46031</v>
      </c>
      <c r="N2" s="109">
        <v>46032</v>
      </c>
      <c r="O2" s="109">
        <v>46033</v>
      </c>
      <c r="P2" s="109">
        <v>46034</v>
      </c>
      <c r="Q2" s="109">
        <v>46035</v>
      </c>
      <c r="R2" s="109">
        <v>46036</v>
      </c>
      <c r="S2" s="109">
        <v>46037</v>
      </c>
      <c r="T2" s="109">
        <v>46038</v>
      </c>
      <c r="U2" s="109">
        <v>46039</v>
      </c>
      <c r="V2" s="109">
        <v>46040</v>
      </c>
      <c r="W2" s="109">
        <v>46041</v>
      </c>
      <c r="X2" s="109">
        <v>46042</v>
      </c>
      <c r="Y2" s="109">
        <v>46043</v>
      </c>
      <c r="Z2" s="109">
        <v>46044</v>
      </c>
      <c r="AA2" s="109">
        <v>46045</v>
      </c>
      <c r="AB2" s="109">
        <v>46046</v>
      </c>
      <c r="AC2" s="109">
        <v>46047</v>
      </c>
      <c r="AD2" s="109">
        <v>46048</v>
      </c>
      <c r="AE2" s="109">
        <v>46049</v>
      </c>
      <c r="AF2" s="109">
        <v>46050</v>
      </c>
      <c r="AG2" s="109">
        <v>46051</v>
      </c>
      <c r="AH2" s="109">
        <v>46052</v>
      </c>
      <c r="AI2" s="109">
        <v>46053</v>
      </c>
      <c r="AJ2" s="109">
        <v>46054</v>
      </c>
      <c r="AK2" s="109">
        <v>46055</v>
      </c>
      <c r="AL2" s="109">
        <v>46056</v>
      </c>
      <c r="AM2" s="109">
        <v>46057</v>
      </c>
      <c r="AN2" s="109">
        <v>46058</v>
      </c>
      <c r="AO2" s="109">
        <v>46059</v>
      </c>
      <c r="AP2" s="109">
        <v>46060</v>
      </c>
      <c r="AQ2" s="109">
        <v>46061</v>
      </c>
      <c r="AR2" s="109">
        <v>46062</v>
      </c>
      <c r="AS2" s="109">
        <v>46063</v>
      </c>
      <c r="AT2" s="109">
        <v>46064</v>
      </c>
      <c r="AU2" s="109">
        <v>46065</v>
      </c>
      <c r="AV2" s="109">
        <v>46066</v>
      </c>
      <c r="AW2" s="109">
        <v>46067</v>
      </c>
      <c r="AX2" s="109">
        <v>46068</v>
      </c>
      <c r="AY2" s="109">
        <v>46069</v>
      </c>
      <c r="AZ2" s="109">
        <v>46070</v>
      </c>
      <c r="BA2" s="109">
        <v>46071</v>
      </c>
      <c r="BB2" s="109">
        <v>46072</v>
      </c>
      <c r="BC2" s="109">
        <v>46073</v>
      </c>
      <c r="BD2" s="109">
        <v>46074</v>
      </c>
      <c r="BE2" s="109">
        <v>46075</v>
      </c>
      <c r="BF2" s="109">
        <v>46076</v>
      </c>
      <c r="BG2" s="109">
        <v>46077</v>
      </c>
      <c r="BH2" s="109">
        <v>46078</v>
      </c>
      <c r="BI2" s="109">
        <v>46079</v>
      </c>
      <c r="BJ2" s="109">
        <v>46080</v>
      </c>
      <c r="BK2" s="109">
        <v>46081</v>
      </c>
      <c r="BL2" s="109">
        <v>46082</v>
      </c>
      <c r="BM2" s="109">
        <v>46083</v>
      </c>
      <c r="BN2" s="109">
        <v>46084</v>
      </c>
      <c r="BO2" s="109">
        <v>46085</v>
      </c>
      <c r="BP2" s="109">
        <v>46086</v>
      </c>
      <c r="BQ2" s="109">
        <v>46087</v>
      </c>
      <c r="BR2" s="109">
        <v>46088</v>
      </c>
      <c r="BS2" s="109">
        <v>46089</v>
      </c>
      <c r="BT2" s="109">
        <v>46090</v>
      </c>
      <c r="BU2" s="109">
        <v>46091</v>
      </c>
      <c r="BV2" s="109">
        <v>46092</v>
      </c>
      <c r="BW2" s="109">
        <v>46093</v>
      </c>
      <c r="BX2" s="109">
        <v>46094</v>
      </c>
      <c r="BY2" s="109">
        <v>46095</v>
      </c>
      <c r="BZ2" s="109">
        <v>46096</v>
      </c>
      <c r="CA2" s="109">
        <v>46097</v>
      </c>
      <c r="CB2" s="109">
        <v>46098</v>
      </c>
      <c r="CC2" s="109">
        <v>46099</v>
      </c>
      <c r="CD2" s="109">
        <v>46100</v>
      </c>
      <c r="CE2" s="109">
        <v>46101</v>
      </c>
      <c r="CF2" s="109">
        <v>46102</v>
      </c>
      <c r="CG2" s="109">
        <v>46103</v>
      </c>
      <c r="CH2" s="109">
        <v>46104</v>
      </c>
      <c r="CI2" s="109">
        <v>46105</v>
      </c>
      <c r="CJ2" s="109">
        <v>46106</v>
      </c>
      <c r="CK2" s="109">
        <v>46107</v>
      </c>
      <c r="CL2" s="109">
        <v>46108</v>
      </c>
      <c r="CM2" s="109">
        <v>46109</v>
      </c>
      <c r="CN2" s="109">
        <v>46110</v>
      </c>
      <c r="CO2" s="109">
        <v>46111</v>
      </c>
      <c r="CP2" s="109">
        <v>46112</v>
      </c>
      <c r="CQ2" s="109">
        <v>46113</v>
      </c>
      <c r="CR2" s="109">
        <v>46114</v>
      </c>
      <c r="CS2" s="109">
        <v>46115</v>
      </c>
      <c r="CT2" s="109">
        <v>46116</v>
      </c>
      <c r="CU2" s="109">
        <v>46117</v>
      </c>
      <c r="CV2" s="109">
        <v>46118</v>
      </c>
      <c r="CW2" s="109">
        <v>46119</v>
      </c>
      <c r="CX2" s="109">
        <v>46120</v>
      </c>
      <c r="CY2" s="109">
        <v>46121</v>
      </c>
      <c r="CZ2" s="109">
        <v>46122</v>
      </c>
      <c r="DA2" s="109">
        <v>46123</v>
      </c>
      <c r="DB2" s="109">
        <v>46124</v>
      </c>
      <c r="DC2" s="109">
        <v>46125</v>
      </c>
      <c r="DD2" s="109">
        <v>46126</v>
      </c>
      <c r="DE2" s="109">
        <v>46127</v>
      </c>
      <c r="DF2" s="109">
        <v>46128</v>
      </c>
      <c r="DG2" s="109">
        <v>46129</v>
      </c>
      <c r="DH2" s="109">
        <v>46130</v>
      </c>
      <c r="DI2" s="109">
        <v>46131</v>
      </c>
      <c r="DJ2" s="109">
        <v>46132</v>
      </c>
      <c r="DK2" s="109">
        <v>46133</v>
      </c>
      <c r="DL2" s="109">
        <v>46134</v>
      </c>
      <c r="DM2" s="109">
        <v>46135</v>
      </c>
      <c r="DN2" s="109">
        <v>46136</v>
      </c>
      <c r="DO2" s="109">
        <v>46137</v>
      </c>
      <c r="DP2" s="109">
        <v>46138</v>
      </c>
      <c r="DQ2" s="109">
        <v>46139</v>
      </c>
      <c r="DR2" s="109">
        <v>46140</v>
      </c>
      <c r="DS2" s="109">
        <v>46141</v>
      </c>
      <c r="DT2" s="109">
        <v>46142</v>
      </c>
      <c r="DU2" s="109">
        <v>46143</v>
      </c>
      <c r="DV2" s="109">
        <v>46144</v>
      </c>
      <c r="DW2" s="109">
        <v>46145</v>
      </c>
      <c r="DX2" s="109">
        <v>46146</v>
      </c>
      <c r="DY2" s="109">
        <v>46147</v>
      </c>
      <c r="DZ2" s="109">
        <v>46148</v>
      </c>
      <c r="EA2" s="109">
        <v>46149</v>
      </c>
      <c r="EB2" s="109">
        <v>46150</v>
      </c>
      <c r="EC2" s="109">
        <v>46151</v>
      </c>
      <c r="ED2" s="109">
        <v>46152</v>
      </c>
      <c r="EE2" s="109">
        <v>46153</v>
      </c>
      <c r="EF2" s="109">
        <v>46154</v>
      </c>
      <c r="EG2" s="109">
        <v>46155</v>
      </c>
      <c r="EH2" s="109">
        <v>46156</v>
      </c>
      <c r="EI2" s="109">
        <v>46157</v>
      </c>
      <c r="EJ2" s="109">
        <v>46158</v>
      </c>
      <c r="EK2" s="109">
        <v>46159</v>
      </c>
      <c r="EL2" s="109">
        <v>46160</v>
      </c>
      <c r="EM2" s="109">
        <v>46161</v>
      </c>
      <c r="EN2" s="109">
        <v>46162</v>
      </c>
      <c r="EO2" s="109">
        <v>46163</v>
      </c>
      <c r="EP2" s="109">
        <v>46164</v>
      </c>
      <c r="EQ2" s="109">
        <v>46165</v>
      </c>
      <c r="ER2" s="109">
        <v>46166</v>
      </c>
      <c r="ES2" s="109">
        <v>46167</v>
      </c>
      <c r="ET2" s="109">
        <v>46168</v>
      </c>
      <c r="EU2" s="109">
        <v>46169</v>
      </c>
      <c r="EV2" s="109">
        <v>46170</v>
      </c>
      <c r="EW2" s="109">
        <v>46171</v>
      </c>
      <c r="EX2" s="109">
        <v>46172</v>
      </c>
      <c r="EY2" s="109">
        <v>46173</v>
      </c>
      <c r="EZ2" s="109">
        <v>46174</v>
      </c>
      <c r="FA2" s="109">
        <v>46175</v>
      </c>
      <c r="FB2" s="109">
        <v>46176</v>
      </c>
      <c r="FC2" s="109">
        <v>46177</v>
      </c>
      <c r="FD2" s="109">
        <v>46178</v>
      </c>
      <c r="FE2" s="109">
        <v>46179</v>
      </c>
      <c r="FF2" s="109">
        <v>46180</v>
      </c>
      <c r="FG2" s="109">
        <v>46181</v>
      </c>
      <c r="FH2" s="109">
        <v>46182</v>
      </c>
      <c r="FI2" s="109">
        <v>46183</v>
      </c>
      <c r="FJ2" s="109">
        <v>46184</v>
      </c>
      <c r="FK2" s="109">
        <v>46185</v>
      </c>
      <c r="FL2" s="109">
        <v>46186</v>
      </c>
      <c r="FM2" s="109">
        <v>46187</v>
      </c>
      <c r="FN2" s="109">
        <v>46188</v>
      </c>
      <c r="FO2" s="109">
        <v>46189</v>
      </c>
      <c r="FP2" s="109">
        <v>46190</v>
      </c>
      <c r="FQ2" s="109">
        <v>46191</v>
      </c>
      <c r="FR2" s="109">
        <v>46192</v>
      </c>
      <c r="FS2" s="109">
        <v>46193</v>
      </c>
      <c r="FT2" s="109">
        <v>46194</v>
      </c>
      <c r="FU2" s="109">
        <v>46195</v>
      </c>
      <c r="FV2" s="109">
        <v>46196</v>
      </c>
      <c r="FW2" s="109">
        <v>46197</v>
      </c>
      <c r="FX2" s="109">
        <v>46198</v>
      </c>
      <c r="FY2" s="109">
        <v>46199</v>
      </c>
      <c r="FZ2" s="109">
        <v>46200</v>
      </c>
      <c r="GA2" s="109">
        <v>46201</v>
      </c>
      <c r="GB2" s="109">
        <v>46202</v>
      </c>
      <c r="GC2" s="109">
        <v>46203</v>
      </c>
      <c r="GD2" s="109">
        <v>46204</v>
      </c>
      <c r="GE2" s="109">
        <v>46205</v>
      </c>
      <c r="GF2" s="109">
        <v>46206</v>
      </c>
      <c r="GG2" s="109">
        <v>46207</v>
      </c>
      <c r="GH2" s="109">
        <v>46208</v>
      </c>
      <c r="GI2" s="109">
        <v>46209</v>
      </c>
      <c r="GJ2" s="109">
        <v>46210</v>
      </c>
      <c r="GK2" s="109">
        <v>46211</v>
      </c>
      <c r="GL2" s="109">
        <v>46212</v>
      </c>
      <c r="GM2" s="109">
        <v>46213</v>
      </c>
      <c r="GN2" s="109">
        <v>46214</v>
      </c>
      <c r="GO2" s="109">
        <v>46215</v>
      </c>
      <c r="GP2" s="109">
        <v>46216</v>
      </c>
      <c r="GQ2" s="109">
        <v>46217</v>
      </c>
      <c r="GR2" s="109">
        <v>46218</v>
      </c>
      <c r="GS2" s="109">
        <v>46219</v>
      </c>
      <c r="GT2" s="109">
        <v>46220</v>
      </c>
      <c r="GU2" s="109">
        <v>46221</v>
      </c>
      <c r="GV2" s="109">
        <v>46222</v>
      </c>
      <c r="GW2" s="109">
        <v>46223</v>
      </c>
      <c r="GX2" s="109">
        <v>46224</v>
      </c>
      <c r="GY2" s="109">
        <v>46225</v>
      </c>
      <c r="GZ2" s="109">
        <v>46226</v>
      </c>
      <c r="HA2" s="109">
        <v>46227</v>
      </c>
      <c r="HB2" s="109">
        <v>46228</v>
      </c>
      <c r="HC2" s="109">
        <v>46229</v>
      </c>
      <c r="HD2" s="109">
        <v>46230</v>
      </c>
      <c r="HE2" s="109">
        <v>46231</v>
      </c>
      <c r="HF2" s="109">
        <v>46232</v>
      </c>
      <c r="HG2" s="109">
        <v>46233</v>
      </c>
      <c r="HH2" s="109">
        <v>46234</v>
      </c>
      <c r="HI2" s="109">
        <v>46235</v>
      </c>
      <c r="HJ2" s="109">
        <v>46236</v>
      </c>
      <c r="HK2" s="109">
        <v>46237</v>
      </c>
      <c r="HL2" s="109">
        <v>46238</v>
      </c>
      <c r="HM2" s="109">
        <v>46239</v>
      </c>
      <c r="HN2" s="109">
        <v>46240</v>
      </c>
      <c r="HO2" s="109">
        <v>46241</v>
      </c>
      <c r="HP2" s="109">
        <v>46242</v>
      </c>
      <c r="HQ2" s="109">
        <v>46243</v>
      </c>
      <c r="HR2" s="109">
        <v>46244</v>
      </c>
      <c r="HS2" s="109">
        <v>46245</v>
      </c>
      <c r="HT2" s="109">
        <v>46246</v>
      </c>
      <c r="HU2" s="109">
        <v>46247</v>
      </c>
      <c r="HV2" s="109">
        <v>46248</v>
      </c>
      <c r="HW2" s="109">
        <v>46249</v>
      </c>
      <c r="HX2" s="109">
        <v>46250</v>
      </c>
      <c r="HY2" s="109">
        <v>46251</v>
      </c>
      <c r="HZ2" s="109">
        <v>46252</v>
      </c>
      <c r="IA2" s="109">
        <v>46253</v>
      </c>
      <c r="IB2" s="109">
        <v>46254</v>
      </c>
      <c r="IC2" s="109">
        <v>46255</v>
      </c>
      <c r="ID2" s="109">
        <v>46256</v>
      </c>
      <c r="IE2" s="109">
        <v>46257</v>
      </c>
      <c r="IF2" s="109">
        <v>46258</v>
      </c>
      <c r="IG2" s="109">
        <v>46259</v>
      </c>
      <c r="IH2" s="109">
        <v>46260</v>
      </c>
      <c r="II2" s="109">
        <v>46261</v>
      </c>
      <c r="IJ2" s="109">
        <v>46262</v>
      </c>
      <c r="IK2" s="109">
        <v>46263</v>
      </c>
      <c r="IL2" s="109">
        <v>46264</v>
      </c>
      <c r="IM2" s="109">
        <v>46265</v>
      </c>
      <c r="IN2" s="109">
        <v>46266</v>
      </c>
      <c r="IO2" s="109">
        <v>46267</v>
      </c>
      <c r="IP2" s="109">
        <v>46268</v>
      </c>
      <c r="IQ2" s="109">
        <v>46269</v>
      </c>
      <c r="IR2" s="109">
        <v>46270</v>
      </c>
      <c r="IS2" s="109">
        <v>46271</v>
      </c>
      <c r="IT2" s="109">
        <v>46272</v>
      </c>
      <c r="IU2" s="109">
        <v>46273</v>
      </c>
      <c r="IV2" s="109">
        <v>46274</v>
      </c>
      <c r="IW2" s="109">
        <v>46275</v>
      </c>
      <c r="IX2" s="109">
        <v>46276</v>
      </c>
      <c r="IY2" s="109">
        <v>46277</v>
      </c>
      <c r="IZ2" s="109">
        <v>46278</v>
      </c>
      <c r="JA2" s="109">
        <v>46279</v>
      </c>
      <c r="JB2" s="109">
        <v>46280</v>
      </c>
      <c r="JC2" s="109">
        <v>46281</v>
      </c>
      <c r="JD2" s="109">
        <v>46282</v>
      </c>
      <c r="JE2" s="109">
        <v>46283</v>
      </c>
      <c r="JF2" s="109">
        <v>46284</v>
      </c>
      <c r="JG2" s="109">
        <v>46285</v>
      </c>
      <c r="JH2" s="109">
        <v>46286</v>
      </c>
      <c r="JI2" s="109">
        <v>46287</v>
      </c>
      <c r="JJ2" s="109">
        <v>46288</v>
      </c>
      <c r="JK2" s="109">
        <v>46289</v>
      </c>
      <c r="JL2" s="109">
        <v>46290</v>
      </c>
      <c r="JM2" s="109">
        <v>46291</v>
      </c>
      <c r="JN2" s="109">
        <v>46292</v>
      </c>
      <c r="JO2" s="109">
        <v>46293</v>
      </c>
      <c r="JP2" s="109">
        <v>46294</v>
      </c>
      <c r="JQ2" s="109">
        <v>46295</v>
      </c>
      <c r="JR2" s="109">
        <v>46296</v>
      </c>
      <c r="JS2" s="109">
        <v>46297</v>
      </c>
      <c r="JT2" s="109">
        <v>46298</v>
      </c>
      <c r="JU2" s="109">
        <v>46299</v>
      </c>
      <c r="JV2" s="109">
        <v>46300</v>
      </c>
      <c r="JW2" s="109">
        <v>46301</v>
      </c>
      <c r="JX2" s="109">
        <v>46302</v>
      </c>
      <c r="JY2" s="109">
        <v>46303</v>
      </c>
      <c r="JZ2" s="109">
        <v>46304</v>
      </c>
      <c r="KA2" s="109">
        <v>46305</v>
      </c>
      <c r="KB2" s="109">
        <v>46306</v>
      </c>
      <c r="KC2" s="109">
        <v>46307</v>
      </c>
      <c r="KD2" s="109">
        <v>46308</v>
      </c>
      <c r="KE2" s="109">
        <v>46309</v>
      </c>
      <c r="KF2" s="109">
        <v>46310</v>
      </c>
      <c r="KG2" s="109">
        <v>46311</v>
      </c>
      <c r="KH2" s="109">
        <v>46312</v>
      </c>
      <c r="KI2" s="109">
        <v>46313</v>
      </c>
      <c r="KJ2" s="109">
        <v>46314</v>
      </c>
      <c r="KK2" s="109">
        <v>46315</v>
      </c>
      <c r="KL2" s="109">
        <v>46316</v>
      </c>
      <c r="KM2" s="109">
        <v>46317</v>
      </c>
      <c r="KN2" s="109">
        <v>46318</v>
      </c>
      <c r="KO2" s="109">
        <v>46319</v>
      </c>
      <c r="KP2" s="109">
        <v>46320</v>
      </c>
      <c r="KQ2" s="109">
        <v>46321</v>
      </c>
      <c r="KR2" s="109">
        <v>46322</v>
      </c>
      <c r="KS2" s="109">
        <v>46323</v>
      </c>
      <c r="KT2" s="109">
        <v>46324</v>
      </c>
      <c r="KU2" s="109">
        <v>46325</v>
      </c>
      <c r="KV2" s="109">
        <v>46326</v>
      </c>
      <c r="KW2" s="109">
        <v>46327</v>
      </c>
      <c r="KX2" s="109">
        <v>46328</v>
      </c>
      <c r="KY2" s="109">
        <v>46329</v>
      </c>
      <c r="KZ2" s="109">
        <v>46330</v>
      </c>
      <c r="LA2" s="109">
        <v>46331</v>
      </c>
      <c r="LB2" s="109">
        <v>46332</v>
      </c>
      <c r="LC2" s="109">
        <v>46333</v>
      </c>
      <c r="LD2" s="109">
        <v>46334</v>
      </c>
      <c r="LE2" s="109">
        <v>46335</v>
      </c>
      <c r="LF2" s="109">
        <v>46336</v>
      </c>
      <c r="LG2" s="109">
        <v>46337</v>
      </c>
      <c r="LH2" s="109">
        <v>46338</v>
      </c>
      <c r="LI2" s="109">
        <v>46339</v>
      </c>
      <c r="LJ2" s="109">
        <v>46340</v>
      </c>
      <c r="LK2" s="109">
        <v>46341</v>
      </c>
      <c r="LL2" s="109">
        <v>46342</v>
      </c>
      <c r="LM2" s="109">
        <v>46343</v>
      </c>
      <c r="LN2" s="109">
        <v>46344</v>
      </c>
      <c r="LO2" s="109">
        <v>46345</v>
      </c>
      <c r="LP2" s="109">
        <v>46346</v>
      </c>
      <c r="LQ2" s="109">
        <v>46347</v>
      </c>
      <c r="LR2" s="109">
        <v>46348</v>
      </c>
      <c r="LS2" s="109">
        <v>46349</v>
      </c>
      <c r="LT2" s="109">
        <v>46350</v>
      </c>
      <c r="LU2" s="109">
        <v>46351</v>
      </c>
      <c r="LV2" s="109">
        <v>46352</v>
      </c>
      <c r="LW2" s="109">
        <v>46353</v>
      </c>
      <c r="LX2" s="109">
        <v>46354</v>
      </c>
      <c r="LY2" s="109">
        <v>46355</v>
      </c>
      <c r="LZ2" s="109">
        <v>46356</v>
      </c>
      <c r="MA2" s="109">
        <v>46357</v>
      </c>
      <c r="MB2" s="109">
        <v>46358</v>
      </c>
      <c r="MC2" s="109">
        <v>46359</v>
      </c>
      <c r="MD2" s="109">
        <v>46360</v>
      </c>
      <c r="ME2" s="109">
        <v>46361</v>
      </c>
      <c r="MF2" s="109">
        <v>46362</v>
      </c>
      <c r="MG2" s="109">
        <v>46363</v>
      </c>
      <c r="MH2" s="109">
        <v>46364</v>
      </c>
      <c r="MI2" s="109">
        <v>46365</v>
      </c>
      <c r="MJ2" s="109">
        <v>46366</v>
      </c>
      <c r="MK2" s="109">
        <v>46367</v>
      </c>
      <c r="ML2" s="109">
        <v>46368</v>
      </c>
      <c r="MM2" s="109">
        <v>46369</v>
      </c>
      <c r="MN2" s="109">
        <v>46370</v>
      </c>
      <c r="MO2" s="109">
        <v>46371</v>
      </c>
      <c r="MP2" s="109">
        <v>46372</v>
      </c>
      <c r="MQ2" s="109">
        <v>46373</v>
      </c>
      <c r="MR2" s="109">
        <v>46374</v>
      </c>
      <c r="MS2" s="109">
        <v>46375</v>
      </c>
      <c r="MT2" s="109">
        <v>46376</v>
      </c>
      <c r="MU2" s="109">
        <v>46377</v>
      </c>
      <c r="MV2" s="109">
        <v>46378</v>
      </c>
      <c r="MW2" s="109">
        <v>46379</v>
      </c>
      <c r="MX2" s="109">
        <v>46380</v>
      </c>
      <c r="MY2" s="109">
        <v>46381</v>
      </c>
      <c r="MZ2" s="109">
        <v>46382</v>
      </c>
      <c r="NA2" s="109">
        <v>46383</v>
      </c>
      <c r="NB2" s="109">
        <v>46384</v>
      </c>
      <c r="NC2" s="109">
        <v>46385</v>
      </c>
      <c r="ND2" s="109">
        <v>46386</v>
      </c>
      <c r="NE2" s="127">
        <v>46387</v>
      </c>
      <c r="NF2" s="120"/>
      <c r="NG2" s="121" t="s">
        <v>441</v>
      </c>
      <c r="NH2" s="122" t="s">
        <v>442</v>
      </c>
      <c r="NI2" s="134" t="s">
        <v>443</v>
      </c>
      <c r="NJ2" s="121" t="s">
        <v>441</v>
      </c>
      <c r="NK2" s="122" t="s">
        <v>442</v>
      </c>
      <c r="NL2" s="134" t="s">
        <v>443</v>
      </c>
      <c r="NM2" s="121" t="s">
        <v>441</v>
      </c>
      <c r="NN2" s="122" t="s">
        <v>442</v>
      </c>
      <c r="NO2" s="134" t="s">
        <v>443</v>
      </c>
      <c r="NP2" s="121" t="s">
        <v>441</v>
      </c>
      <c r="NQ2" s="122" t="s">
        <v>442</v>
      </c>
      <c r="NR2" s="134" t="s">
        <v>443</v>
      </c>
      <c r="NS2" s="121" t="s">
        <v>441</v>
      </c>
      <c r="NT2" s="122" t="s">
        <v>442</v>
      </c>
      <c r="NU2" s="134" t="s">
        <v>443</v>
      </c>
      <c r="NV2" s="121" t="s">
        <v>441</v>
      </c>
      <c r="NW2" s="122" t="s">
        <v>442</v>
      </c>
      <c r="NX2" s="134" t="s">
        <v>443</v>
      </c>
      <c r="NY2" s="121" t="s">
        <v>441</v>
      </c>
      <c r="NZ2" s="122" t="s">
        <v>442</v>
      </c>
      <c r="OA2" s="134" t="s">
        <v>443</v>
      </c>
      <c r="OB2" s="121" t="s">
        <v>441</v>
      </c>
      <c r="OC2" s="122" t="s">
        <v>442</v>
      </c>
      <c r="OD2" s="134" t="s">
        <v>443</v>
      </c>
      <c r="OE2" s="121" t="s">
        <v>441</v>
      </c>
      <c r="OF2" s="122" t="s">
        <v>442</v>
      </c>
      <c r="OG2" s="134" t="s">
        <v>443</v>
      </c>
      <c r="OH2" s="121" t="s">
        <v>441</v>
      </c>
      <c r="OI2" s="122" t="s">
        <v>442</v>
      </c>
      <c r="OJ2" s="134" t="s">
        <v>443</v>
      </c>
      <c r="OK2" s="121" t="s">
        <v>441</v>
      </c>
      <c r="OL2" s="122" t="s">
        <v>442</v>
      </c>
      <c r="OM2" s="134" t="s">
        <v>443</v>
      </c>
      <c r="ON2" s="121" t="s">
        <v>441</v>
      </c>
      <c r="OO2" s="122" t="s">
        <v>442</v>
      </c>
      <c r="OP2" s="134" t="s">
        <v>443</v>
      </c>
      <c r="OQ2" s="121" t="s">
        <v>441</v>
      </c>
      <c r="OR2" s="122" t="s">
        <v>442</v>
      </c>
      <c r="OS2" s="137" t="s">
        <v>444</v>
      </c>
    </row>
    <row r="3" spans="1:409" hidden="1" x14ac:dyDescent="0.25">
      <c r="A3" s="93" t="s">
        <v>159</v>
      </c>
      <c r="B3" s="93" t="s">
        <v>45</v>
      </c>
      <c r="C3" s="91" t="s">
        <v>160</v>
      </c>
      <c r="D3" s="91" t="s">
        <v>161</v>
      </c>
      <c r="E3" s="128"/>
      <c r="F3" s="110"/>
      <c r="G3" s="110"/>
      <c r="H3" s="110"/>
      <c r="I3" s="25"/>
      <c r="J3" s="25"/>
      <c r="K3" s="25">
        <v>1</v>
      </c>
      <c r="L3" s="25">
        <v>1</v>
      </c>
      <c r="M3" s="25">
        <v>1</v>
      </c>
      <c r="N3" s="110"/>
      <c r="O3" s="110"/>
      <c r="P3" s="25">
        <v>1</v>
      </c>
      <c r="Q3" s="25">
        <v>1</v>
      </c>
      <c r="R3" s="25">
        <v>1</v>
      </c>
      <c r="S3" s="25">
        <v>1</v>
      </c>
      <c r="T3" s="25">
        <v>1</v>
      </c>
      <c r="U3" s="110"/>
      <c r="V3" s="110"/>
      <c r="W3" s="25">
        <v>1</v>
      </c>
      <c r="X3" s="25">
        <v>1</v>
      </c>
      <c r="Y3" s="25">
        <v>1</v>
      </c>
      <c r="Z3" s="25">
        <v>1</v>
      </c>
      <c r="AA3" s="25">
        <v>1</v>
      </c>
      <c r="AB3" s="110"/>
      <c r="AC3" s="110"/>
      <c r="AD3" s="25">
        <v>1</v>
      </c>
      <c r="AE3" s="25">
        <v>1</v>
      </c>
      <c r="AF3" s="25" t="s">
        <v>162</v>
      </c>
      <c r="AG3" s="25" t="s">
        <v>162</v>
      </c>
      <c r="AH3" s="25" t="s">
        <v>162</v>
      </c>
      <c r="AI3" s="110"/>
      <c r="AJ3" s="110"/>
      <c r="AK3" s="25" t="s">
        <v>162</v>
      </c>
      <c r="AL3" s="25" t="s">
        <v>162</v>
      </c>
      <c r="AM3" s="25" t="s">
        <v>162</v>
      </c>
      <c r="AN3" s="25" t="s">
        <v>162</v>
      </c>
      <c r="AO3" s="25" t="s">
        <v>162</v>
      </c>
      <c r="AP3" s="110"/>
      <c r="AQ3" s="110"/>
      <c r="AR3" s="25" t="s">
        <v>162</v>
      </c>
      <c r="AS3" s="25" t="s">
        <v>162</v>
      </c>
      <c r="AT3" s="25" t="s">
        <v>162</v>
      </c>
      <c r="AU3" s="25" t="s">
        <v>162</v>
      </c>
      <c r="AV3" s="25" t="s">
        <v>162</v>
      </c>
      <c r="AW3" s="110"/>
      <c r="AX3" s="110"/>
      <c r="AY3" s="25" t="s">
        <v>162</v>
      </c>
      <c r="AZ3" s="25" t="s">
        <v>162</v>
      </c>
      <c r="BA3" s="25" t="s">
        <v>162</v>
      </c>
      <c r="BB3" s="25" t="s">
        <v>162</v>
      </c>
      <c r="BC3" s="25" t="s">
        <v>162</v>
      </c>
      <c r="BD3" s="110"/>
      <c r="BE3" s="110"/>
      <c r="BF3" s="25"/>
      <c r="BG3" s="25"/>
      <c r="BH3" s="25"/>
      <c r="BI3" s="25"/>
      <c r="BJ3" s="25"/>
      <c r="BK3" s="110"/>
      <c r="BL3" s="110"/>
      <c r="BM3" s="25"/>
      <c r="BN3" s="25">
        <v>1</v>
      </c>
      <c r="BO3" s="25">
        <v>1</v>
      </c>
      <c r="BP3" s="25">
        <v>1</v>
      </c>
      <c r="BQ3" s="25">
        <v>1</v>
      </c>
      <c r="BR3" s="110"/>
      <c r="BS3" s="110"/>
      <c r="BT3" s="25">
        <v>1</v>
      </c>
      <c r="BU3" s="25"/>
      <c r="BV3" s="25">
        <v>1</v>
      </c>
      <c r="BW3" s="25">
        <v>1</v>
      </c>
      <c r="BX3" s="25">
        <v>1</v>
      </c>
      <c r="BY3" s="110"/>
      <c r="BZ3" s="110"/>
      <c r="CA3" s="25">
        <v>1</v>
      </c>
      <c r="CB3" s="25">
        <v>1</v>
      </c>
      <c r="CC3" s="25"/>
      <c r="CD3" s="25"/>
      <c r="CE3" s="25"/>
      <c r="CF3" s="110"/>
      <c r="CG3" s="110"/>
      <c r="CH3" s="25"/>
      <c r="CI3" s="25">
        <v>1</v>
      </c>
      <c r="CJ3" s="25">
        <v>1</v>
      </c>
      <c r="CK3" s="25">
        <v>1</v>
      </c>
      <c r="CL3" s="25">
        <v>1</v>
      </c>
      <c r="CM3" s="110"/>
      <c r="CN3" s="110"/>
      <c r="CO3" s="25">
        <v>1</v>
      </c>
      <c r="CP3" s="25" t="s">
        <v>162</v>
      </c>
      <c r="CQ3" s="25" t="s">
        <v>162</v>
      </c>
      <c r="CR3" s="25">
        <v>1</v>
      </c>
      <c r="CS3" s="25">
        <v>1</v>
      </c>
      <c r="CT3" s="110"/>
      <c r="CU3" s="110"/>
      <c r="CV3" s="110"/>
      <c r="CW3" s="25"/>
      <c r="CX3" s="25"/>
      <c r="CY3" s="25"/>
      <c r="CZ3" s="25"/>
      <c r="DA3" s="110"/>
      <c r="DB3" s="110"/>
      <c r="DC3" s="25">
        <v>1</v>
      </c>
      <c r="DD3" s="25">
        <v>1</v>
      </c>
      <c r="DE3" s="25"/>
      <c r="DF3" s="25">
        <v>1</v>
      </c>
      <c r="DG3" s="25">
        <v>1</v>
      </c>
      <c r="DH3" s="110"/>
      <c r="DI3" s="110"/>
      <c r="DJ3" s="25">
        <v>1</v>
      </c>
      <c r="DK3" s="25">
        <v>1</v>
      </c>
      <c r="DL3" s="25">
        <v>1</v>
      </c>
      <c r="DM3" s="25">
        <v>1</v>
      </c>
      <c r="DN3" s="25">
        <v>1</v>
      </c>
      <c r="DO3" s="110"/>
      <c r="DP3" s="110"/>
      <c r="DQ3" s="25">
        <v>1</v>
      </c>
      <c r="DR3" s="25">
        <v>1</v>
      </c>
      <c r="DS3" s="25">
        <v>1</v>
      </c>
      <c r="DT3" s="25">
        <v>1</v>
      </c>
      <c r="DU3" s="110" t="s">
        <v>445</v>
      </c>
      <c r="DV3" s="110"/>
      <c r="DW3" s="110"/>
      <c r="DX3" s="25"/>
      <c r="DY3" s="25">
        <v>1</v>
      </c>
      <c r="DZ3" s="25">
        <v>1</v>
      </c>
      <c r="EA3" s="25">
        <v>1</v>
      </c>
      <c r="EB3" s="110" t="s">
        <v>445</v>
      </c>
      <c r="EC3" s="110"/>
      <c r="ED3" s="110"/>
      <c r="EE3" s="25">
        <v>1</v>
      </c>
      <c r="EF3" s="25"/>
      <c r="EG3" s="25"/>
      <c r="EH3" s="110" t="s">
        <v>445</v>
      </c>
      <c r="EI3" s="110" t="s">
        <v>445</v>
      </c>
      <c r="EJ3" s="110"/>
      <c r="EK3" s="110"/>
      <c r="EL3" s="25"/>
      <c r="EM3" s="25"/>
      <c r="EN3" s="25"/>
      <c r="EO3" s="25"/>
      <c r="EP3" s="25"/>
      <c r="EQ3" s="110"/>
      <c r="ER3" s="110"/>
      <c r="ES3" s="110" t="s">
        <v>445</v>
      </c>
      <c r="ET3" s="25"/>
      <c r="EU3" s="25"/>
      <c r="EV3" s="25"/>
      <c r="EW3" s="25"/>
      <c r="EX3" s="110"/>
      <c r="EY3" s="110"/>
      <c r="EZ3" s="25"/>
      <c r="FA3" s="25"/>
      <c r="FB3" s="25"/>
      <c r="FC3" s="25"/>
      <c r="FD3" s="25"/>
      <c r="FE3" s="110"/>
      <c r="FF3" s="110"/>
      <c r="FG3" s="25"/>
      <c r="FH3" s="25"/>
      <c r="FI3" s="25"/>
      <c r="FJ3" s="25"/>
      <c r="FK3" s="25"/>
      <c r="FL3" s="110"/>
      <c r="FM3" s="110"/>
      <c r="FN3" s="25"/>
      <c r="FO3" s="25"/>
      <c r="FP3" s="25"/>
      <c r="FQ3" s="25"/>
      <c r="FR3" s="25"/>
      <c r="FS3" s="110"/>
      <c r="FT3" s="110"/>
      <c r="FU3" s="25"/>
      <c r="FV3" s="25"/>
      <c r="FW3" s="25"/>
      <c r="FX3" s="25"/>
      <c r="FY3" s="25"/>
      <c r="FZ3" s="110"/>
      <c r="GA3" s="110"/>
      <c r="GB3" s="25"/>
      <c r="GC3" s="25"/>
      <c r="GD3" s="25"/>
      <c r="GE3" s="25"/>
      <c r="GF3" s="25"/>
      <c r="GG3" s="110"/>
      <c r="GH3" s="110"/>
      <c r="GI3" s="25"/>
      <c r="GJ3" s="25"/>
      <c r="GK3" s="25"/>
      <c r="GL3" s="25"/>
      <c r="GM3" s="25"/>
      <c r="GN3" s="110"/>
      <c r="GO3" s="110"/>
      <c r="GP3" s="110" t="s">
        <v>445</v>
      </c>
      <c r="GQ3" s="110"/>
      <c r="GR3" s="25"/>
      <c r="GS3" s="25"/>
      <c r="GT3" s="25"/>
      <c r="GU3" s="110"/>
      <c r="GV3" s="110"/>
      <c r="GW3" s="25"/>
      <c r="GX3" s="25"/>
      <c r="GY3" s="25"/>
      <c r="GZ3" s="25"/>
      <c r="HA3" s="25"/>
      <c r="HB3" s="110"/>
      <c r="HC3" s="110"/>
      <c r="HD3" s="25"/>
      <c r="HE3" s="25"/>
      <c r="HF3" s="25"/>
      <c r="HG3" s="25"/>
      <c r="HH3" s="25"/>
      <c r="HI3" s="110"/>
      <c r="HJ3" s="110"/>
      <c r="HK3" s="25"/>
      <c r="HL3" s="25"/>
      <c r="HM3" s="25"/>
      <c r="HN3" s="25"/>
      <c r="HO3" s="25"/>
      <c r="HP3" s="110"/>
      <c r="HQ3" s="110"/>
      <c r="HR3" s="25"/>
      <c r="HS3" s="25"/>
      <c r="HT3" s="25"/>
      <c r="HU3" s="25"/>
      <c r="HV3" s="25"/>
      <c r="HW3" s="110"/>
      <c r="HX3" s="110"/>
      <c r="HY3" s="25"/>
      <c r="HZ3" s="25"/>
      <c r="IA3" s="25"/>
      <c r="IB3" s="25"/>
      <c r="IC3" s="25"/>
      <c r="ID3" s="110"/>
      <c r="IE3" s="110"/>
      <c r="IF3" s="25"/>
      <c r="IG3" s="25"/>
      <c r="IH3" s="25"/>
      <c r="II3" s="25"/>
      <c r="IJ3" s="25"/>
      <c r="IK3" s="110"/>
      <c r="IL3" s="110"/>
      <c r="IM3" s="25"/>
      <c r="IN3" s="25"/>
      <c r="IO3" s="25"/>
      <c r="IP3" s="25"/>
      <c r="IQ3" s="25"/>
      <c r="IR3" s="110"/>
      <c r="IS3" s="110"/>
      <c r="IT3" s="25"/>
      <c r="IU3" s="25"/>
      <c r="IV3" s="25"/>
      <c r="IW3" s="25"/>
      <c r="IX3" s="25"/>
      <c r="IY3" s="110"/>
      <c r="IZ3" s="110"/>
      <c r="JA3" s="25"/>
      <c r="JB3" s="25"/>
      <c r="JC3" s="25"/>
      <c r="JD3" s="25"/>
      <c r="JE3" s="25"/>
      <c r="JF3" s="110"/>
      <c r="JG3" s="110"/>
      <c r="JH3" s="25"/>
      <c r="JI3" s="25"/>
      <c r="JJ3" s="25"/>
      <c r="JK3" s="25"/>
      <c r="JL3" s="25"/>
      <c r="JM3" s="110"/>
      <c r="JN3" s="110"/>
      <c r="JO3" s="25"/>
      <c r="JP3" s="25"/>
      <c r="JQ3" s="25"/>
      <c r="JR3" s="25"/>
      <c r="JS3" s="25"/>
      <c r="JT3" s="110"/>
      <c r="JU3" s="110"/>
      <c r="JV3" s="25"/>
      <c r="JW3" s="25"/>
      <c r="JX3" s="25"/>
      <c r="JY3" s="25"/>
      <c r="JZ3" s="25"/>
      <c r="KA3" s="110"/>
      <c r="KB3" s="110"/>
      <c r="KC3" s="25"/>
      <c r="KD3" s="25"/>
      <c r="KE3" s="25"/>
      <c r="KF3" s="25"/>
      <c r="KG3" s="25"/>
      <c r="KH3" s="110"/>
      <c r="KI3" s="110"/>
      <c r="KJ3" s="25"/>
      <c r="KK3" s="25"/>
      <c r="KL3" s="25"/>
      <c r="KM3" s="25"/>
      <c r="KN3" s="25"/>
      <c r="KO3" s="110"/>
      <c r="KP3" s="110"/>
      <c r="KQ3" s="25"/>
      <c r="KR3" s="25"/>
      <c r="KS3" s="25"/>
      <c r="KT3" s="25"/>
      <c r="KU3" s="25"/>
      <c r="KV3" s="110"/>
      <c r="KW3" s="110"/>
      <c r="KX3" s="25"/>
      <c r="KY3" s="25"/>
      <c r="KZ3" s="25"/>
      <c r="LA3" s="25"/>
      <c r="LB3" s="25"/>
      <c r="LC3" s="110"/>
      <c r="LD3" s="110"/>
      <c r="LE3" s="25"/>
      <c r="LF3" s="25"/>
      <c r="LG3" s="110" t="s">
        <v>445</v>
      </c>
      <c r="LH3" s="25"/>
      <c r="LI3" s="25"/>
      <c r="LJ3" s="110"/>
      <c r="LK3" s="110"/>
      <c r="LL3" s="25"/>
      <c r="LM3" s="25"/>
      <c r="LN3" s="25"/>
      <c r="LO3" s="25"/>
      <c r="LP3" s="25"/>
      <c r="LQ3" s="110"/>
      <c r="LR3" s="110"/>
      <c r="LS3" s="25"/>
      <c r="LT3" s="25"/>
      <c r="LU3" s="25"/>
      <c r="LV3" s="25"/>
      <c r="LW3" s="25"/>
      <c r="LX3" s="110"/>
      <c r="LY3" s="110"/>
      <c r="LZ3" s="25"/>
      <c r="MA3" s="25"/>
      <c r="MB3" s="25"/>
      <c r="MC3" s="25"/>
      <c r="MD3" s="25"/>
      <c r="ME3" s="110"/>
      <c r="MF3" s="110"/>
      <c r="MG3" s="25"/>
      <c r="MH3" s="25"/>
      <c r="MI3" s="25"/>
      <c r="MJ3" s="25"/>
      <c r="MK3" s="25"/>
      <c r="ML3" s="110"/>
      <c r="MM3" s="110"/>
      <c r="MN3" s="25"/>
      <c r="MO3" s="25"/>
      <c r="MP3" s="25"/>
      <c r="MQ3" s="25"/>
      <c r="MR3" s="25"/>
      <c r="MS3" s="110"/>
      <c r="MT3" s="110"/>
      <c r="MU3" s="25"/>
      <c r="MV3" s="25"/>
      <c r="MW3" s="25"/>
      <c r="MX3" s="25"/>
      <c r="MY3" s="25"/>
      <c r="MZ3" s="110"/>
      <c r="NA3" s="110"/>
      <c r="NB3" s="25"/>
      <c r="NC3" s="25"/>
      <c r="ND3" s="25"/>
      <c r="NE3" s="129"/>
      <c r="NF3" s="111"/>
      <c r="NG3" s="32">
        <f t="shared" ref="NG3:NG38" si="0">SUM(E3:AI3)</f>
        <v>15</v>
      </c>
      <c r="NH3" s="351" cm="1">
        <f t="array" ref="NH3">NETWORKDAYS($I$2,$AH$2)- SUM(COUNTIF(I3:AH3,{"I";"F";"CP";"R";"P";"AC";"AM"}))</f>
        <v>17</v>
      </c>
      <c r="NI3" s="138">
        <f>IF(ISERROR(NG3/NH3),"",(NG3/NH3))</f>
        <v>0.88235294117647056</v>
      </c>
      <c r="NJ3" s="32">
        <f t="shared" ref="NJ3:NJ38" si="1">SUM(AJ3:BK3)</f>
        <v>0</v>
      </c>
      <c r="NK3" s="351" cm="1">
        <f t="array" ref="NK3">NETWORKDAYS($AJ$2,$BK$2)- SUM(COUNTIF(AJ3:BK3,{"I";"F";"CP";"R";"P";"AC";"AM"}))</f>
        <v>5</v>
      </c>
      <c r="NL3" s="138">
        <f>IF(ISERROR(NJ3/NK3),"",(NJ3/NK3))</f>
        <v>0</v>
      </c>
      <c r="NM3" s="32">
        <f t="shared" ref="NM3:NM38" si="2">SUM(BM3:CP3)</f>
        <v>15</v>
      </c>
      <c r="NN3" s="351" cm="1">
        <f t="array" ref="NN3">NETWORKDAYS($BL$2,$CP$2)- SUM(COUNTIF(BL3:CP3,{"I";"F";"CP";"R";"P";"AC";"AM"}))</f>
        <v>21</v>
      </c>
      <c r="NO3" s="138">
        <f>IF(ISERROR(NM3/NN3),"",(NM3/NN3))</f>
        <v>0.7142857142857143</v>
      </c>
      <c r="NP3" s="32">
        <f t="shared" ref="NP3:NP40" si="3">SUM(CQ3:DT3)</f>
        <v>15</v>
      </c>
      <c r="NQ3" s="351" cm="1">
        <f t="array" ref="NQ3">NETWORKDAYS($CQ$2,$DT$2,$CV$2)- SUM(COUNTIF(CQ3:DT3,{"I";"F";"CP";"R";"P";"AC";"AM"}))</f>
        <v>20</v>
      </c>
      <c r="NR3" s="138">
        <f>IF(ISERROR(NP3/NQ3),"",(NP3/NQ3))</f>
        <v>0.75</v>
      </c>
      <c r="NS3" s="32">
        <f t="shared" ref="NS3:NS38" si="4">SUM(DV3:EY3)</f>
        <v>4</v>
      </c>
      <c r="NT3" s="351" cm="1">
        <f t="array" ref="NT3">NETWORKDAYS($DV$2,$EY$2)-SUM(COUNTIF(DV3:EY3,{"I";"F";"CP";"R";"P";"AC";"AM"}))</f>
        <v>16</v>
      </c>
      <c r="NU3" s="138">
        <f>IF(ISERROR(NS3/NT3),"",(NS3/NT3))</f>
        <v>0.25</v>
      </c>
      <c r="NV3" s="32">
        <f t="shared" ref="NV3:NV14" si="5">SUM(EZ3:GC3)</f>
        <v>0</v>
      </c>
      <c r="NW3" s="351" cm="1">
        <f t="array" ref="NW3">NETWORKDAYS($EZ$2,$GC$2)-SUM(COUNTIF(EZ3:GC3,{"I";"F";"CP";"R";"P";"AC";"AM"}))</f>
        <v>22</v>
      </c>
      <c r="NX3" s="138">
        <f>NV3/NW3</f>
        <v>0</v>
      </c>
      <c r="NY3" s="32">
        <f t="shared" ref="NY3:NY14" si="6">SUM(GD3:HH3)</f>
        <v>0</v>
      </c>
      <c r="NZ3" s="351" cm="1">
        <f t="array" ref="NZ3">NETWORKDAYS($GD$2,$HH$2,$GQ$2)-SUM(COUNTIF(GD3:HH3,{"I";"F";"CP";"R";"P";"AC";"AM"}))</f>
        <v>21</v>
      </c>
      <c r="OA3" s="138">
        <f>NY3/NZ3</f>
        <v>0</v>
      </c>
      <c r="OB3" s="32">
        <f t="shared" ref="OB3:OB14" si="7">SUM(HI3:IM3)</f>
        <v>0</v>
      </c>
      <c r="OC3" s="351" cm="1">
        <f t="array" ref="OC3">NETWORKDAYS($HI$2,$IM$2)-SUM(COUNTIF(HI3:IM3,{"I";"F";"CP";"R";"P";"AC";"AM"}))</f>
        <v>21</v>
      </c>
      <c r="OD3" s="138">
        <f>OB3/OC3</f>
        <v>0</v>
      </c>
      <c r="OE3" s="32">
        <f t="shared" ref="OE3:OE14" si="8">SUM(IN3:JQ3)</f>
        <v>0</v>
      </c>
      <c r="OF3" s="351" cm="1">
        <f t="array" ref="OF3">NETWORKDAYS($IN$2,$JQ$2)-SUM(COUNTIF(IN3:JQ3,{"I";"F";"CP";"R";"P";"AC";"AM"}))</f>
        <v>22</v>
      </c>
      <c r="OG3" s="138">
        <f>OE3/OF3</f>
        <v>0</v>
      </c>
      <c r="OH3" s="32">
        <f t="shared" ref="OH3:OH14" si="9">SUM(JR3:KV3)</f>
        <v>0</v>
      </c>
      <c r="OI3" s="351" cm="1">
        <f t="array" ref="OI3">NETWORKDAYS($JR$2,$KV$2)-SUM(COUNTIF(JR3:KV3,{"I";"F";"CP";"R";"P";"AC";"AM"}))</f>
        <v>22</v>
      </c>
      <c r="OJ3" s="138">
        <f>OH3/OI3</f>
        <v>0</v>
      </c>
      <c r="OK3" s="32">
        <f t="shared" ref="OK3:OK14" si="10">SUM(KW3:LZ3)</f>
        <v>0</v>
      </c>
      <c r="OL3" s="351" cm="1">
        <f t="array" ref="OL3">NETWORKDAYS($KW$2,$LZ$2,$LG$2)-SUM(COUNTIF(KW3:LZ3,{"I";"F";"CP";"R";"P";"AC";"AM"}))</f>
        <v>19</v>
      </c>
      <c r="OM3" s="138">
        <f>OK3/OL3</f>
        <v>0</v>
      </c>
      <c r="ON3" s="32">
        <f t="shared" ref="ON3:ON14" si="11">SUM(MA3:NE3)</f>
        <v>0</v>
      </c>
      <c r="OO3" s="351" cm="1">
        <f t="array" ref="OO3">NETWORKDAYS($MA$2,$MR$2)-SUM(COUNTIF(MA3:MR3,{"I";"F";"CP";"R";"P";"AC";"AM"}))</f>
        <v>14</v>
      </c>
      <c r="OP3" s="138">
        <f>ON3/OO3</f>
        <v>0</v>
      </c>
      <c r="OQ3" s="94">
        <f>NG3+NJ3+NM3+NP3+NS3+NV3+NY3+OB3+OE3+OH3+OK3+ON3</f>
        <v>49</v>
      </c>
      <c r="OR3" s="94">
        <f>NH3+NK3+NN3+NQ3+NT3+NW3+NZ3+OC3+OF3+OI3+OL3+OO3</f>
        <v>220</v>
      </c>
      <c r="OS3" s="138">
        <f>OQ3/OR3</f>
        <v>0.22272727272727272</v>
      </c>
    </row>
    <row r="4" spans="1:409" hidden="1" x14ac:dyDescent="0.25">
      <c r="A4" s="93" t="s">
        <v>159</v>
      </c>
      <c r="B4" s="93" t="s">
        <v>34</v>
      </c>
      <c r="C4" s="27" t="s">
        <v>160</v>
      </c>
      <c r="D4" s="27" t="s">
        <v>163</v>
      </c>
      <c r="E4" s="128"/>
      <c r="F4" s="110"/>
      <c r="G4" s="110"/>
      <c r="H4" s="110"/>
      <c r="I4" s="25" t="s">
        <v>446</v>
      </c>
      <c r="J4" s="25" t="s">
        <v>446</v>
      </c>
      <c r="K4" s="25" t="s">
        <v>446</v>
      </c>
      <c r="L4" s="25" t="s">
        <v>446</v>
      </c>
      <c r="M4" s="25" t="s">
        <v>446</v>
      </c>
      <c r="N4" s="110"/>
      <c r="O4" s="110"/>
      <c r="P4" s="25" t="s">
        <v>446</v>
      </c>
      <c r="Q4" s="25" t="s">
        <v>446</v>
      </c>
      <c r="R4" s="25" t="s">
        <v>446</v>
      </c>
      <c r="S4" s="25" t="s">
        <v>446</v>
      </c>
      <c r="T4" s="25" t="s">
        <v>446</v>
      </c>
      <c r="U4" s="110"/>
      <c r="V4" s="110"/>
      <c r="W4" s="25" t="s">
        <v>446</v>
      </c>
      <c r="X4" s="25" t="s">
        <v>446</v>
      </c>
      <c r="Y4" s="25" t="s">
        <v>446</v>
      </c>
      <c r="Z4" s="25" t="s">
        <v>446</v>
      </c>
      <c r="AA4" s="25" t="s">
        <v>446</v>
      </c>
      <c r="AB4" s="110"/>
      <c r="AC4" s="110"/>
      <c r="AD4" s="25" t="s">
        <v>446</v>
      </c>
      <c r="AE4" s="25" t="s">
        <v>446</v>
      </c>
      <c r="AF4" s="25" t="s">
        <v>446</v>
      </c>
      <c r="AG4" s="25" t="s">
        <v>446</v>
      </c>
      <c r="AH4" s="25" t="s">
        <v>446</v>
      </c>
      <c r="AI4" s="110"/>
      <c r="AJ4" s="110"/>
      <c r="AK4" s="25" t="s">
        <v>162</v>
      </c>
      <c r="AL4" s="25" t="s">
        <v>162</v>
      </c>
      <c r="AM4" s="25" t="s">
        <v>162</v>
      </c>
      <c r="AN4" s="25" t="s">
        <v>162</v>
      </c>
      <c r="AO4" s="25" t="s">
        <v>162</v>
      </c>
      <c r="AP4" s="110"/>
      <c r="AQ4" s="110"/>
      <c r="AR4" s="25" t="s">
        <v>162</v>
      </c>
      <c r="AS4" s="25" t="s">
        <v>162</v>
      </c>
      <c r="AT4" s="25" t="s">
        <v>162</v>
      </c>
      <c r="AU4" s="25" t="s">
        <v>162</v>
      </c>
      <c r="AV4" s="25" t="s">
        <v>162</v>
      </c>
      <c r="AW4" s="110"/>
      <c r="AX4" s="110"/>
      <c r="AY4" s="25" t="s">
        <v>162</v>
      </c>
      <c r="AZ4" s="25" t="s">
        <v>162</v>
      </c>
      <c r="BA4" s="25" t="s">
        <v>162</v>
      </c>
      <c r="BB4" s="25" t="s">
        <v>162</v>
      </c>
      <c r="BC4" s="25" t="s">
        <v>162</v>
      </c>
      <c r="BD4" s="110"/>
      <c r="BE4" s="110"/>
      <c r="BF4" s="25" t="s">
        <v>162</v>
      </c>
      <c r="BG4" s="25" t="s">
        <v>162</v>
      </c>
      <c r="BH4" s="25" t="s">
        <v>162</v>
      </c>
      <c r="BI4" s="25" t="s">
        <v>162</v>
      </c>
      <c r="BJ4" s="25" t="s">
        <v>162</v>
      </c>
      <c r="BK4" s="110"/>
      <c r="BL4" s="110"/>
      <c r="BM4" s="25" t="s">
        <v>162</v>
      </c>
      <c r="BN4" s="25" t="s">
        <v>162</v>
      </c>
      <c r="BO4" s="25" t="s">
        <v>162</v>
      </c>
      <c r="BP4" s="25" t="s">
        <v>162</v>
      </c>
      <c r="BQ4" s="25" t="s">
        <v>162</v>
      </c>
      <c r="BR4" s="110"/>
      <c r="BS4" s="110"/>
      <c r="BT4" s="25" t="s">
        <v>162</v>
      </c>
      <c r="BU4" s="25" t="s">
        <v>162</v>
      </c>
      <c r="BV4" s="25" t="s">
        <v>162</v>
      </c>
      <c r="BW4" s="25" t="s">
        <v>162</v>
      </c>
      <c r="BX4" s="25" t="s">
        <v>162</v>
      </c>
      <c r="BY4" s="110"/>
      <c r="BZ4" s="110"/>
      <c r="CA4" s="25" t="s">
        <v>162</v>
      </c>
      <c r="CB4" s="25" t="s">
        <v>162</v>
      </c>
      <c r="CC4" s="25" t="s">
        <v>162</v>
      </c>
      <c r="CD4" s="25" t="s">
        <v>162</v>
      </c>
      <c r="CE4" s="25" t="s">
        <v>162</v>
      </c>
      <c r="CF4" s="110"/>
      <c r="CG4" s="110"/>
      <c r="CH4" s="25" t="s">
        <v>162</v>
      </c>
      <c r="CI4" s="25" t="s">
        <v>162</v>
      </c>
      <c r="CJ4" s="25" t="s">
        <v>162</v>
      </c>
      <c r="CK4" s="25" t="s">
        <v>162</v>
      </c>
      <c r="CL4" s="25" t="s">
        <v>162</v>
      </c>
      <c r="CM4" s="110"/>
      <c r="CN4" s="110"/>
      <c r="CO4" s="25" t="s">
        <v>162</v>
      </c>
      <c r="CP4" s="25" t="s">
        <v>162</v>
      </c>
      <c r="CQ4" s="25" t="s">
        <v>162</v>
      </c>
      <c r="CR4" s="25" t="s">
        <v>162</v>
      </c>
      <c r="CS4" s="25" t="s">
        <v>162</v>
      </c>
      <c r="CT4" s="110"/>
      <c r="CU4" s="110"/>
      <c r="CV4" s="110"/>
      <c r="CW4" s="25" t="s">
        <v>162</v>
      </c>
      <c r="CX4" s="25" t="s">
        <v>162</v>
      </c>
      <c r="CY4" s="25" t="s">
        <v>162</v>
      </c>
      <c r="CZ4" s="25" t="s">
        <v>162</v>
      </c>
      <c r="DA4" s="110"/>
      <c r="DB4" s="110"/>
      <c r="DC4" s="25" t="s">
        <v>162</v>
      </c>
      <c r="DD4" s="25" t="s">
        <v>162</v>
      </c>
      <c r="DE4" s="25" t="s">
        <v>162</v>
      </c>
      <c r="DF4" s="25" t="s">
        <v>162</v>
      </c>
      <c r="DG4" s="25" t="s">
        <v>162</v>
      </c>
      <c r="DH4" s="110"/>
      <c r="DI4" s="110"/>
      <c r="DJ4" s="25" t="s">
        <v>162</v>
      </c>
      <c r="DK4" s="25" t="s">
        <v>162</v>
      </c>
      <c r="DL4" s="25" t="s">
        <v>162</v>
      </c>
      <c r="DM4" s="25" t="s">
        <v>162</v>
      </c>
      <c r="DN4" s="25" t="s">
        <v>162</v>
      </c>
      <c r="DO4" s="110"/>
      <c r="DP4" s="110"/>
      <c r="DQ4" s="25" t="s">
        <v>162</v>
      </c>
      <c r="DR4" s="25" t="s">
        <v>162</v>
      </c>
      <c r="DS4" s="25" t="s">
        <v>162</v>
      </c>
      <c r="DT4" s="25" t="s">
        <v>162</v>
      </c>
      <c r="DU4" s="110" t="s">
        <v>445</v>
      </c>
      <c r="DV4" s="110"/>
      <c r="DW4" s="110"/>
      <c r="DX4" s="25" t="s">
        <v>162</v>
      </c>
      <c r="DY4" s="25" t="s">
        <v>162</v>
      </c>
      <c r="DZ4" s="25" t="s">
        <v>162</v>
      </c>
      <c r="EA4" s="25" t="s">
        <v>162</v>
      </c>
      <c r="EB4" s="110" t="s">
        <v>445</v>
      </c>
      <c r="EC4" s="110"/>
      <c r="ED4" s="110"/>
      <c r="EE4" s="25"/>
      <c r="EF4" s="25"/>
      <c r="EG4" s="25"/>
      <c r="EH4" s="110" t="s">
        <v>445</v>
      </c>
      <c r="EI4" s="110" t="s">
        <v>445</v>
      </c>
      <c r="EJ4" s="110"/>
      <c r="EK4" s="110"/>
      <c r="EL4" s="25"/>
      <c r="EM4" s="25"/>
      <c r="EN4" s="25"/>
      <c r="EO4" s="25"/>
      <c r="EP4" s="25"/>
      <c r="EQ4" s="110"/>
      <c r="ER4" s="110"/>
      <c r="ES4" s="110" t="s">
        <v>445</v>
      </c>
      <c r="ET4" s="25"/>
      <c r="EU4" s="25"/>
      <c r="EV4" s="25"/>
      <c r="EW4" s="25"/>
      <c r="EX4" s="110"/>
      <c r="EY4" s="110"/>
      <c r="EZ4" s="25"/>
      <c r="FA4" s="25"/>
      <c r="FB4" s="25"/>
      <c r="FC4" s="25"/>
      <c r="FD4" s="25"/>
      <c r="FE4" s="110"/>
      <c r="FF4" s="110"/>
      <c r="FG4" s="25"/>
      <c r="FH4" s="25"/>
      <c r="FI4" s="25"/>
      <c r="FJ4" s="25"/>
      <c r="FK4" s="25"/>
      <c r="FL4" s="110"/>
      <c r="FM4" s="110"/>
      <c r="FN4" s="25"/>
      <c r="FO4" s="25"/>
      <c r="FP4" s="25"/>
      <c r="FQ4" s="25"/>
      <c r="FR4" s="25"/>
      <c r="FS4" s="110"/>
      <c r="FT4" s="110"/>
      <c r="FU4" s="25"/>
      <c r="FV4" s="25"/>
      <c r="FW4" s="25"/>
      <c r="FX4" s="25"/>
      <c r="FY4" s="25"/>
      <c r="FZ4" s="110"/>
      <c r="GA4" s="110"/>
      <c r="GB4" s="25"/>
      <c r="GC4" s="25"/>
      <c r="GD4" s="25"/>
      <c r="GE4" s="25"/>
      <c r="GF4" s="25"/>
      <c r="GG4" s="110"/>
      <c r="GH4" s="110"/>
      <c r="GI4" s="25"/>
      <c r="GJ4" s="25"/>
      <c r="GK4" s="25"/>
      <c r="GL4" s="25"/>
      <c r="GM4" s="25"/>
      <c r="GN4" s="110"/>
      <c r="GO4" s="110"/>
      <c r="GP4" s="110" t="s">
        <v>445</v>
      </c>
      <c r="GQ4" s="110"/>
      <c r="GR4" s="25"/>
      <c r="GS4" s="25"/>
      <c r="GT4" s="25"/>
      <c r="GU4" s="110"/>
      <c r="GV4" s="110"/>
      <c r="GW4" s="25"/>
      <c r="GX4" s="25"/>
      <c r="GY4" s="25"/>
      <c r="GZ4" s="25"/>
      <c r="HA4" s="25"/>
      <c r="HB4" s="110"/>
      <c r="HC4" s="110"/>
      <c r="HD4" s="25"/>
      <c r="HE4" s="25"/>
      <c r="HF4" s="25"/>
      <c r="HG4" s="25"/>
      <c r="HH4" s="25"/>
      <c r="HI4" s="110"/>
      <c r="HJ4" s="110"/>
      <c r="HK4" s="25"/>
      <c r="HL4" s="25"/>
      <c r="HM4" s="25"/>
      <c r="HN4" s="25"/>
      <c r="HO4" s="25"/>
      <c r="HP4" s="110"/>
      <c r="HQ4" s="110"/>
      <c r="HR4" s="25"/>
      <c r="HS4" s="25"/>
      <c r="HT4" s="25"/>
      <c r="HU4" s="25"/>
      <c r="HV4" s="25"/>
      <c r="HW4" s="110"/>
      <c r="HX4" s="110"/>
      <c r="HY4" s="25"/>
      <c r="HZ4" s="25"/>
      <c r="IA4" s="25"/>
      <c r="IB4" s="25"/>
      <c r="IC4" s="25"/>
      <c r="ID4" s="110"/>
      <c r="IE4" s="110"/>
      <c r="IF4" s="25"/>
      <c r="IG4" s="25"/>
      <c r="IH4" s="25"/>
      <c r="II4" s="25"/>
      <c r="IJ4" s="25"/>
      <c r="IK4" s="110"/>
      <c r="IL4" s="110"/>
      <c r="IM4" s="25"/>
      <c r="IN4" s="25"/>
      <c r="IO4" s="25"/>
      <c r="IP4" s="25"/>
      <c r="IQ4" s="25"/>
      <c r="IR4" s="110"/>
      <c r="IS4" s="110"/>
      <c r="IT4" s="25"/>
      <c r="IU4" s="25"/>
      <c r="IV4" s="25"/>
      <c r="IW4" s="25"/>
      <c r="IX4" s="25"/>
      <c r="IY4" s="110"/>
      <c r="IZ4" s="110"/>
      <c r="JA4" s="25"/>
      <c r="JB4" s="25"/>
      <c r="JC4" s="25"/>
      <c r="JD4" s="25"/>
      <c r="JE4" s="25"/>
      <c r="JF4" s="110"/>
      <c r="JG4" s="110"/>
      <c r="JH4" s="25"/>
      <c r="JI4" s="25"/>
      <c r="JJ4" s="25"/>
      <c r="JK4" s="25"/>
      <c r="JL4" s="25"/>
      <c r="JM4" s="110"/>
      <c r="JN4" s="110"/>
      <c r="JO4" s="25"/>
      <c r="JP4" s="25"/>
      <c r="JQ4" s="25"/>
      <c r="JR4" s="25"/>
      <c r="JS4" s="25"/>
      <c r="JT4" s="110"/>
      <c r="JU4" s="110"/>
      <c r="JV4" s="25"/>
      <c r="JW4" s="25"/>
      <c r="JX4" s="25"/>
      <c r="JY4" s="25"/>
      <c r="JZ4" s="25"/>
      <c r="KA4" s="110"/>
      <c r="KB4" s="110"/>
      <c r="KC4" s="25"/>
      <c r="KD4" s="25"/>
      <c r="KE4" s="25"/>
      <c r="KF4" s="25"/>
      <c r="KG4" s="25"/>
      <c r="KH4" s="110"/>
      <c r="KI4" s="110"/>
      <c r="KJ4" s="25"/>
      <c r="KK4" s="25"/>
      <c r="KL4" s="25"/>
      <c r="KM4" s="25"/>
      <c r="KN4" s="25"/>
      <c r="KO4" s="110"/>
      <c r="KP4" s="110"/>
      <c r="KQ4" s="25"/>
      <c r="KR4" s="25"/>
      <c r="KS4" s="25"/>
      <c r="KT4" s="25"/>
      <c r="KU4" s="25"/>
      <c r="KV4" s="110"/>
      <c r="KW4" s="110"/>
      <c r="KX4" s="25"/>
      <c r="KY4" s="25"/>
      <c r="KZ4" s="25"/>
      <c r="LA4" s="25"/>
      <c r="LB4" s="25"/>
      <c r="LC4" s="110"/>
      <c r="LD4" s="110"/>
      <c r="LE4" s="25"/>
      <c r="LF4" s="25"/>
      <c r="LG4" s="110" t="s">
        <v>445</v>
      </c>
      <c r="LH4" s="25"/>
      <c r="LI4" s="25"/>
      <c r="LJ4" s="110"/>
      <c r="LK4" s="110"/>
      <c r="LL4" s="25"/>
      <c r="LM4" s="25"/>
      <c r="LN4" s="25"/>
      <c r="LO4" s="25"/>
      <c r="LP4" s="25"/>
      <c r="LQ4" s="110"/>
      <c r="LR4" s="110"/>
      <c r="LS4" s="25"/>
      <c r="LT4" s="25"/>
      <c r="LU4" s="25"/>
      <c r="LV4" s="25"/>
      <c r="LW4" s="25"/>
      <c r="LX4" s="110"/>
      <c r="LY4" s="110"/>
      <c r="LZ4" s="25"/>
      <c r="MA4" s="25"/>
      <c r="MB4" s="25"/>
      <c r="MC4" s="25"/>
      <c r="MD4" s="25"/>
      <c r="ME4" s="110"/>
      <c r="MF4" s="110"/>
      <c r="MG4" s="25"/>
      <c r="MH4" s="25"/>
      <c r="MI4" s="25"/>
      <c r="MJ4" s="25"/>
      <c r="MK4" s="25"/>
      <c r="ML4" s="110"/>
      <c r="MM4" s="110"/>
      <c r="MN4" s="25"/>
      <c r="MO4" s="25"/>
      <c r="MP4" s="25"/>
      <c r="MQ4" s="25"/>
      <c r="MR4" s="25"/>
      <c r="MS4" s="110"/>
      <c r="MT4" s="110"/>
      <c r="MU4" s="25"/>
      <c r="MV4" s="25"/>
      <c r="MW4" s="25"/>
      <c r="MX4" s="25"/>
      <c r="MY4" s="25"/>
      <c r="MZ4" s="110"/>
      <c r="NA4" s="110"/>
      <c r="NB4" s="25"/>
      <c r="NC4" s="25"/>
      <c r="ND4" s="25"/>
      <c r="NE4" s="129"/>
      <c r="NF4" s="111"/>
      <c r="NG4" s="8">
        <f t="shared" si="0"/>
        <v>0</v>
      </c>
      <c r="NH4" s="351" cm="1">
        <f t="array" ref="NH4">NETWORKDAYS($I$2,$AH$2)- SUM(COUNTIF(I4:AH4,{"I";"F";"CP";"R";"P";"AC";"AM"}))</f>
        <v>20</v>
      </c>
      <c r="NI4" s="138">
        <f t="shared" ref="NI4:NI67" si="12">IF(ISERROR(NG4/NH4),"",(NG4/NH4))</f>
        <v>0</v>
      </c>
      <c r="NJ4" s="8">
        <f t="shared" si="1"/>
        <v>0</v>
      </c>
      <c r="NK4" s="351" cm="1">
        <f t="array" ref="NK4">NETWORKDAYS($AJ$2,$BK$2)- SUM(COUNTIF(AJ4:BK4,{"I";"F";"CP";"R";"P";"AC";"AM"}))</f>
        <v>0</v>
      </c>
      <c r="NL4" s="138" t="str">
        <f t="shared" ref="NL4:NL67" si="13">IF(ISERROR(NJ4/NK4),"",(NJ4/NK4))</f>
        <v/>
      </c>
      <c r="NM4" s="8">
        <f t="shared" si="2"/>
        <v>0</v>
      </c>
      <c r="NN4" s="351" cm="1">
        <f t="array" ref="NN4">NETWORKDAYS($BL$2,$CP$2)- SUM(COUNTIF(BL4:CP4,{"I";"F";"CP";"R";"P";"AC";"AM"}))</f>
        <v>0</v>
      </c>
      <c r="NO4" s="138" t="str">
        <f t="shared" ref="NO4:NO67" si="14">IF(ISERROR(NM4/NN4),"",(NM4/NN4))</f>
        <v/>
      </c>
      <c r="NP4" s="8">
        <f t="shared" si="3"/>
        <v>0</v>
      </c>
      <c r="NQ4" s="351" cm="1">
        <f t="array" ref="NQ4">NETWORKDAYS($CQ$2,$DT$2,$CV$2)- SUM(COUNTIF(CQ4:DT4,{"I";"F";"CP";"R";"P";"AC";"AM"}))</f>
        <v>0</v>
      </c>
      <c r="NR4" s="138" t="str">
        <f t="shared" ref="NR4:NR67" si="15">IF(ISERROR(NP4/NQ4),"",(NP4/NQ4))</f>
        <v/>
      </c>
      <c r="NS4" s="8">
        <f t="shared" si="4"/>
        <v>0</v>
      </c>
      <c r="NT4" s="351" cm="1">
        <f t="array" ref="NT4">NETWORKDAYS($DV$2,$EY$2)-SUM(COUNTIF(DV4:EY4,{"I";"F";"CP";"R";"P";"AC";"AM"}))</f>
        <v>12</v>
      </c>
      <c r="NU4" s="138">
        <f t="shared" ref="NU4:NU67" si="16">IF(ISERROR(NS4/NT4),"",(NS4/NT4))</f>
        <v>0</v>
      </c>
      <c r="NV4" s="8">
        <f t="shared" si="5"/>
        <v>0</v>
      </c>
      <c r="NW4" s="351" cm="1">
        <f t="array" ref="NW4">NETWORKDAYS($EZ$2,$GC$2)-SUM(COUNTIF(EZ4:GC4,{"I";"F";"CP";"R";"P";"AC";"AM"}))</f>
        <v>22</v>
      </c>
      <c r="NX4" s="138">
        <f t="shared" ref="NX4:NX14" si="17">NV4/NW4</f>
        <v>0</v>
      </c>
      <c r="NY4" s="8">
        <f t="shared" si="6"/>
        <v>0</v>
      </c>
      <c r="NZ4" s="351" cm="1">
        <f t="array" ref="NZ4">NETWORKDAYS($GD$2,$HH$2,$GQ$2)-SUM(COUNTIF(GD4:HH4,{"I";"F";"CP";"R";"P";"AC";"AM"}))</f>
        <v>21</v>
      </c>
      <c r="OA4" s="138">
        <f t="shared" ref="OA4:OA14" si="18">NY4/NZ4</f>
        <v>0</v>
      </c>
      <c r="OB4" s="8">
        <f t="shared" si="7"/>
        <v>0</v>
      </c>
      <c r="OC4" s="351" cm="1">
        <f t="array" ref="OC4">NETWORKDAYS($HI$2,$IM$2)-SUM(COUNTIF(HI4:IM4,{"I";"F";"CP";"R";"P";"AC";"AM"}))</f>
        <v>21</v>
      </c>
      <c r="OD4" s="138">
        <f t="shared" ref="OD4:OD14" si="19">OB4/OC4</f>
        <v>0</v>
      </c>
      <c r="OE4" s="8">
        <f t="shared" si="8"/>
        <v>0</v>
      </c>
      <c r="OF4" s="351" cm="1">
        <f t="array" ref="OF4">NETWORKDAYS($IN$2,$JQ$2)-SUM(COUNTIF(IN4:JQ4,{"I";"F";"CP";"R";"P";"AC";"AM"}))</f>
        <v>22</v>
      </c>
      <c r="OG4" s="138">
        <f t="shared" ref="OG4:OG14" si="20">OE4/OF4</f>
        <v>0</v>
      </c>
      <c r="OH4" s="8">
        <f t="shared" si="9"/>
        <v>0</v>
      </c>
      <c r="OI4" s="351" cm="1">
        <f t="array" ref="OI4">NETWORKDAYS($JR$2,$KV$2)-SUM(COUNTIF(JR4:KV4,{"I";"F";"CP";"R";"P";"AC";"AM"}))</f>
        <v>22</v>
      </c>
      <c r="OJ4" s="138">
        <f t="shared" ref="OJ4:OJ14" si="21">OH4/OI4</f>
        <v>0</v>
      </c>
      <c r="OK4" s="8">
        <f t="shared" si="10"/>
        <v>0</v>
      </c>
      <c r="OL4" s="351" cm="1">
        <f t="array" ref="OL4">NETWORKDAYS($KW$2,$LZ$2,$LG$2)-SUM(COUNTIF(KW4:LZ4,{"I";"F";"CP";"R";"P";"AC";"AM"}))</f>
        <v>19</v>
      </c>
      <c r="OM4" s="138">
        <f t="shared" ref="OM4:OM14" si="22">OK4/OL4</f>
        <v>0</v>
      </c>
      <c r="ON4" s="8">
        <f t="shared" si="11"/>
        <v>0</v>
      </c>
      <c r="OO4" s="351" cm="1">
        <f t="array" ref="OO4">NETWORKDAYS($MA$2,$MR$2)-SUM(COUNTIF(MA4:MR4,{"I";"F";"CP";"R";"P";"AC";"AM"}))</f>
        <v>14</v>
      </c>
      <c r="OP4" s="138">
        <f t="shared" ref="OP4:OP14" si="23">ON4/OO4</f>
        <v>0</v>
      </c>
      <c r="OQ4" s="94">
        <f t="shared" ref="OQ4:OQ14" si="24">NG4+NJ4+NM4+NP4+NS4+NV4+NY4+OB4+OE4+OH4+OK4+ON4</f>
        <v>0</v>
      </c>
      <c r="OR4" s="94">
        <f t="shared" ref="OR4:OR14" si="25">NH4+NK4+NN4+NQ4+NT4+NW4+NZ4+OC4+OF4+OI4+OL4+OO4</f>
        <v>173</v>
      </c>
      <c r="OS4" s="138">
        <f t="shared" ref="OS4:OS14" si="26">OQ4/OR4</f>
        <v>0</v>
      </c>
    </row>
    <row r="5" spans="1:409" hidden="1" x14ac:dyDescent="0.25">
      <c r="A5" s="93" t="s">
        <v>164</v>
      </c>
      <c r="B5" s="93" t="s">
        <v>45</v>
      </c>
      <c r="C5" s="91" t="s">
        <v>160</v>
      </c>
      <c r="D5" s="91" t="s">
        <v>165</v>
      </c>
      <c r="E5" s="128"/>
      <c r="F5" s="110"/>
      <c r="G5" s="110"/>
      <c r="H5" s="110"/>
      <c r="I5" s="25"/>
      <c r="J5" s="25"/>
      <c r="K5" s="25"/>
      <c r="L5" s="25"/>
      <c r="M5" s="25"/>
      <c r="N5" s="110"/>
      <c r="O5" s="110"/>
      <c r="P5" s="25">
        <v>1</v>
      </c>
      <c r="Q5" s="25">
        <v>1</v>
      </c>
      <c r="R5" s="25">
        <v>1</v>
      </c>
      <c r="S5" s="25">
        <v>1</v>
      </c>
      <c r="T5" s="25"/>
      <c r="U5" s="110"/>
      <c r="V5" s="110"/>
      <c r="W5" s="25"/>
      <c r="X5" s="25"/>
      <c r="Y5" s="25"/>
      <c r="Z5" s="25">
        <v>1</v>
      </c>
      <c r="AA5" s="25">
        <v>1</v>
      </c>
      <c r="AB5" s="110"/>
      <c r="AC5" s="110"/>
      <c r="AD5" s="25">
        <v>1</v>
      </c>
      <c r="AE5" s="25">
        <v>1</v>
      </c>
      <c r="AF5" s="25"/>
      <c r="AG5" s="25">
        <v>1</v>
      </c>
      <c r="AH5" s="25">
        <v>1</v>
      </c>
      <c r="AI5" s="110"/>
      <c r="AJ5" s="110"/>
      <c r="AK5" s="25"/>
      <c r="AL5" s="25"/>
      <c r="AM5" s="25">
        <v>1</v>
      </c>
      <c r="AN5" s="25">
        <v>1</v>
      </c>
      <c r="AO5" s="25">
        <v>1</v>
      </c>
      <c r="AP5" s="110"/>
      <c r="AQ5" s="110"/>
      <c r="AR5" s="25">
        <v>1</v>
      </c>
      <c r="AS5" s="25">
        <v>1</v>
      </c>
      <c r="AT5" s="25">
        <v>1</v>
      </c>
      <c r="AV5" s="25">
        <v>1</v>
      </c>
      <c r="AW5" s="110"/>
      <c r="AX5" s="110"/>
      <c r="AY5" s="25"/>
      <c r="AZ5" s="25">
        <v>1</v>
      </c>
      <c r="BA5" s="25">
        <v>1</v>
      </c>
      <c r="BB5" s="25">
        <v>1</v>
      </c>
      <c r="BC5" s="25">
        <v>1</v>
      </c>
      <c r="BD5" s="110"/>
      <c r="BE5" s="110"/>
      <c r="BF5" s="25">
        <v>1</v>
      </c>
      <c r="BG5" s="25">
        <v>1</v>
      </c>
      <c r="BH5" s="25">
        <v>1</v>
      </c>
      <c r="BI5" s="25">
        <v>1</v>
      </c>
      <c r="BJ5" s="25">
        <v>1</v>
      </c>
      <c r="BK5" s="110"/>
      <c r="BL5" s="110"/>
      <c r="BM5" s="25">
        <v>1</v>
      </c>
      <c r="BN5" s="25">
        <v>1</v>
      </c>
      <c r="BO5" s="25">
        <v>1</v>
      </c>
      <c r="BP5" s="25">
        <v>1</v>
      </c>
      <c r="BQ5" s="25">
        <v>1</v>
      </c>
      <c r="BR5" s="110"/>
      <c r="BS5" s="110"/>
      <c r="BT5" s="25"/>
      <c r="BU5" s="25"/>
      <c r="BV5" s="25"/>
      <c r="BW5" s="25"/>
      <c r="BX5" s="25"/>
      <c r="BY5" s="110"/>
      <c r="BZ5" s="110"/>
      <c r="CA5" s="25"/>
      <c r="CB5" s="25"/>
      <c r="CC5" s="25">
        <v>1</v>
      </c>
      <c r="CD5" s="25">
        <v>1</v>
      </c>
      <c r="CE5" s="25">
        <v>1</v>
      </c>
      <c r="CF5" s="110"/>
      <c r="CG5" s="110"/>
      <c r="CH5" s="25">
        <v>1</v>
      </c>
      <c r="CI5" s="25">
        <v>1</v>
      </c>
      <c r="CJ5" s="25">
        <v>1</v>
      </c>
      <c r="CK5" s="25">
        <v>1</v>
      </c>
      <c r="CL5" s="25">
        <v>1</v>
      </c>
      <c r="CM5" s="110"/>
      <c r="CN5" s="110"/>
      <c r="CO5" s="25">
        <v>1</v>
      </c>
      <c r="CP5" s="25">
        <v>1</v>
      </c>
      <c r="CQ5" s="25">
        <v>1</v>
      </c>
      <c r="CR5" s="25">
        <v>1</v>
      </c>
      <c r="CS5" s="25">
        <v>1</v>
      </c>
      <c r="CT5" s="110"/>
      <c r="CU5" s="110"/>
      <c r="CV5" s="110"/>
      <c r="CW5" s="25">
        <v>1</v>
      </c>
      <c r="CX5" s="25">
        <v>1</v>
      </c>
      <c r="CY5" s="25">
        <v>1</v>
      </c>
      <c r="CZ5" s="25">
        <v>1</v>
      </c>
      <c r="DA5" s="110"/>
      <c r="DB5" s="110"/>
      <c r="DC5" s="25"/>
      <c r="DD5" s="25"/>
      <c r="DE5" s="25">
        <v>1</v>
      </c>
      <c r="DF5" s="25">
        <v>1</v>
      </c>
      <c r="DG5" s="25">
        <v>1</v>
      </c>
      <c r="DH5" s="110"/>
      <c r="DI5" s="110"/>
      <c r="DJ5" s="25">
        <v>1</v>
      </c>
      <c r="DK5" s="25">
        <v>1</v>
      </c>
      <c r="DL5" s="25">
        <v>1</v>
      </c>
      <c r="DM5" s="25">
        <v>1</v>
      </c>
      <c r="DN5" s="25">
        <v>1</v>
      </c>
      <c r="DO5" s="110"/>
      <c r="DP5" s="110"/>
      <c r="DQ5" s="25">
        <v>1</v>
      </c>
      <c r="DR5" s="25">
        <v>1</v>
      </c>
      <c r="DS5" s="25">
        <v>1</v>
      </c>
      <c r="DT5" s="25">
        <v>1</v>
      </c>
      <c r="DU5" s="110" t="s">
        <v>445</v>
      </c>
      <c r="DV5" s="110"/>
      <c r="DW5" s="110"/>
      <c r="DX5" s="25"/>
      <c r="DY5" s="25">
        <v>1</v>
      </c>
      <c r="DZ5" s="25"/>
      <c r="EA5" s="25">
        <v>1</v>
      </c>
      <c r="EB5" s="110" t="s">
        <v>445</v>
      </c>
      <c r="EC5" s="110"/>
      <c r="ED5" s="110"/>
      <c r="EE5" s="25">
        <v>1</v>
      </c>
      <c r="EF5" s="25">
        <v>1</v>
      </c>
      <c r="EG5" s="25">
        <v>1</v>
      </c>
      <c r="EH5" s="110" t="s">
        <v>445</v>
      </c>
      <c r="EI5" s="110" t="s">
        <v>445</v>
      </c>
      <c r="EJ5" s="110"/>
      <c r="EK5" s="110"/>
      <c r="EL5" s="25">
        <v>1</v>
      </c>
      <c r="EM5" s="25"/>
      <c r="EN5" s="25"/>
      <c r="EO5" s="25"/>
      <c r="EP5" s="25"/>
      <c r="EQ5" s="110"/>
      <c r="ER5" s="110"/>
      <c r="ES5" s="110" t="s">
        <v>445</v>
      </c>
      <c r="ET5" s="25"/>
      <c r="EU5" s="25"/>
      <c r="EV5" s="25"/>
      <c r="EW5" s="25"/>
      <c r="EX5" s="110"/>
      <c r="EY5" s="110"/>
      <c r="EZ5" s="25"/>
      <c r="FA5" s="25"/>
      <c r="FB5" s="25"/>
      <c r="FC5" s="25"/>
      <c r="FD5" s="25"/>
      <c r="FE5" s="110"/>
      <c r="FF5" s="110"/>
      <c r="FG5" s="25"/>
      <c r="FH5" s="25"/>
      <c r="FI5" s="25"/>
      <c r="FJ5" s="25"/>
      <c r="FK5" s="25"/>
      <c r="FL5" s="110"/>
      <c r="FM5" s="110"/>
      <c r="FN5" s="25"/>
      <c r="FO5" s="25"/>
      <c r="FP5" s="25"/>
      <c r="FQ5" s="25"/>
      <c r="FR5" s="25"/>
      <c r="FS5" s="110"/>
      <c r="FT5" s="110"/>
      <c r="FU5" s="25"/>
      <c r="FV5" s="25"/>
      <c r="FW5" s="25"/>
      <c r="FX5" s="25"/>
      <c r="FY5" s="25"/>
      <c r="FZ5" s="110"/>
      <c r="GA5" s="110"/>
      <c r="GB5" s="25"/>
      <c r="GC5" s="25"/>
      <c r="GD5" s="25"/>
      <c r="GE5" s="25"/>
      <c r="GF5" s="25"/>
      <c r="GG5" s="110"/>
      <c r="GH5" s="110"/>
      <c r="GI5" s="25"/>
      <c r="GJ5" s="25"/>
      <c r="GK5" s="25"/>
      <c r="GL5" s="25"/>
      <c r="GM5" s="25"/>
      <c r="GN5" s="110"/>
      <c r="GO5" s="110"/>
      <c r="GP5" s="110" t="s">
        <v>445</v>
      </c>
      <c r="GQ5" s="110"/>
      <c r="GR5" s="25"/>
      <c r="GS5" s="25"/>
      <c r="GT5" s="25"/>
      <c r="GU5" s="110"/>
      <c r="GV5" s="110"/>
      <c r="GW5" s="25"/>
      <c r="GX5" s="25"/>
      <c r="GY5" s="25"/>
      <c r="GZ5" s="25"/>
      <c r="HA5" s="25"/>
      <c r="HB5" s="110"/>
      <c r="HC5" s="110"/>
      <c r="HD5" s="25"/>
      <c r="HE5" s="25"/>
      <c r="HF5" s="25"/>
      <c r="HG5" s="25"/>
      <c r="HH5" s="25"/>
      <c r="HI5" s="110"/>
      <c r="HJ5" s="110"/>
      <c r="HK5" s="25"/>
      <c r="HL5" s="25"/>
      <c r="HM5" s="25"/>
      <c r="HN5" s="25"/>
      <c r="HO5" s="25"/>
      <c r="HP5" s="110"/>
      <c r="HQ5" s="110"/>
      <c r="HR5" s="25"/>
      <c r="HS5" s="25"/>
      <c r="HT5" s="25"/>
      <c r="HU5" s="25"/>
      <c r="HV5" s="25"/>
      <c r="HW5" s="110"/>
      <c r="HX5" s="110"/>
      <c r="HY5" s="25"/>
      <c r="HZ5" s="25"/>
      <c r="IA5" s="25"/>
      <c r="IB5" s="25"/>
      <c r="IC5" s="25"/>
      <c r="ID5" s="110"/>
      <c r="IE5" s="110"/>
      <c r="IF5" s="25"/>
      <c r="IG5" s="25"/>
      <c r="IH5" s="25"/>
      <c r="II5" s="25"/>
      <c r="IJ5" s="25"/>
      <c r="IK5" s="110"/>
      <c r="IL5" s="110"/>
      <c r="IM5" s="25"/>
      <c r="IN5" s="25"/>
      <c r="IO5" s="25"/>
      <c r="IP5" s="25"/>
      <c r="IQ5" s="25"/>
      <c r="IR5" s="110"/>
      <c r="IS5" s="110"/>
      <c r="IT5" s="25"/>
      <c r="IU5" s="25"/>
      <c r="IV5" s="25"/>
      <c r="IW5" s="25"/>
      <c r="IX5" s="25"/>
      <c r="IY5" s="110"/>
      <c r="IZ5" s="110"/>
      <c r="JA5" s="25"/>
      <c r="JB5" s="25"/>
      <c r="JC5" s="25"/>
      <c r="JD5" s="25"/>
      <c r="JE5" s="25"/>
      <c r="JF5" s="110"/>
      <c r="JG5" s="110"/>
      <c r="JH5" s="25"/>
      <c r="JI5" s="25"/>
      <c r="JJ5" s="25"/>
      <c r="JK5" s="25"/>
      <c r="JL5" s="25"/>
      <c r="JM5" s="110"/>
      <c r="JN5" s="110"/>
      <c r="JO5" s="25"/>
      <c r="JP5" s="25"/>
      <c r="JQ5" s="25"/>
      <c r="JR5" s="25"/>
      <c r="JS5" s="25"/>
      <c r="JT5" s="110"/>
      <c r="JU5" s="110"/>
      <c r="JV5" s="25"/>
      <c r="JW5" s="25"/>
      <c r="JX5" s="25"/>
      <c r="JY5" s="25"/>
      <c r="JZ5" s="25"/>
      <c r="KA5" s="110"/>
      <c r="KB5" s="110"/>
      <c r="KC5" s="25"/>
      <c r="KD5" s="25"/>
      <c r="KE5" s="25"/>
      <c r="KF5" s="25"/>
      <c r="KG5" s="25"/>
      <c r="KH5" s="110"/>
      <c r="KI5" s="110"/>
      <c r="KJ5" s="25"/>
      <c r="KK5" s="25"/>
      <c r="KL5" s="25"/>
      <c r="KM5" s="25"/>
      <c r="KN5" s="25"/>
      <c r="KO5" s="110"/>
      <c r="KP5" s="110"/>
      <c r="KQ5" s="25"/>
      <c r="KR5" s="25"/>
      <c r="KS5" s="25"/>
      <c r="KT5" s="25"/>
      <c r="KU5" s="25"/>
      <c r="KV5" s="110"/>
      <c r="KW5" s="110"/>
      <c r="KX5" s="25"/>
      <c r="KY5" s="25"/>
      <c r="KZ5" s="25"/>
      <c r="LA5" s="25"/>
      <c r="LB5" s="25"/>
      <c r="LC5" s="110"/>
      <c r="LD5" s="110"/>
      <c r="LE5" s="25"/>
      <c r="LF5" s="25"/>
      <c r="LG5" s="110" t="s">
        <v>445</v>
      </c>
      <c r="LH5" s="25"/>
      <c r="LI5" s="25"/>
      <c r="LJ5" s="110"/>
      <c r="LK5" s="110"/>
      <c r="LL5" s="25"/>
      <c r="LM5" s="25"/>
      <c r="LN5" s="25"/>
      <c r="LO5" s="25"/>
      <c r="LP5" s="25"/>
      <c r="LQ5" s="110"/>
      <c r="LR5" s="110"/>
      <c r="LS5" s="25"/>
      <c r="LT5" s="25"/>
      <c r="LU5" s="25"/>
      <c r="LV5" s="25"/>
      <c r="LW5" s="25"/>
      <c r="LX5" s="110"/>
      <c r="LY5" s="110"/>
      <c r="LZ5" s="25"/>
      <c r="MA5" s="25"/>
      <c r="MB5" s="25"/>
      <c r="MC5" s="25"/>
      <c r="MD5" s="25"/>
      <c r="ME5" s="110"/>
      <c r="MF5" s="110"/>
      <c r="MG5" s="25"/>
      <c r="MH5" s="25"/>
      <c r="MI5" s="25"/>
      <c r="MJ5" s="25"/>
      <c r="MK5" s="25"/>
      <c r="ML5" s="110"/>
      <c r="MM5" s="110"/>
      <c r="MN5" s="25"/>
      <c r="MO5" s="25"/>
      <c r="MP5" s="25"/>
      <c r="MQ5" s="25"/>
      <c r="MR5" s="25"/>
      <c r="MS5" s="110"/>
      <c r="MT5" s="110"/>
      <c r="MU5" s="25"/>
      <c r="MV5" s="25"/>
      <c r="MW5" s="25"/>
      <c r="MX5" s="25"/>
      <c r="MY5" s="25"/>
      <c r="MZ5" s="110"/>
      <c r="NA5" s="110"/>
      <c r="NB5" s="25"/>
      <c r="NC5" s="25"/>
      <c r="ND5" s="25"/>
      <c r="NE5" s="129"/>
      <c r="NF5" s="111"/>
      <c r="NG5" s="8">
        <f t="shared" si="0"/>
        <v>10</v>
      </c>
      <c r="NH5" s="351" cm="1">
        <f t="array" ref="NH5">NETWORKDAYS($I$2,$AH$2)- SUM(COUNTIF(I5:AH5,{"I";"F";"CP";"R";"P";"AC";"AM"}))</f>
        <v>20</v>
      </c>
      <c r="NI5" s="138">
        <f t="shared" si="12"/>
        <v>0.5</v>
      </c>
      <c r="NJ5" s="8">
        <f t="shared" si="1"/>
        <v>16</v>
      </c>
      <c r="NK5" s="351" cm="1">
        <f t="array" ref="NK5">NETWORKDAYS($AJ$2,$BK$2)- SUM(COUNTIF(AJ5:BK5,{"I";"F";"CP";"R";"P";"AC";"AM"}))</f>
        <v>20</v>
      </c>
      <c r="NL5" s="138">
        <f t="shared" si="13"/>
        <v>0.8</v>
      </c>
      <c r="NM5" s="8">
        <f t="shared" si="2"/>
        <v>15</v>
      </c>
      <c r="NN5" s="351" cm="1">
        <f t="array" ref="NN5">NETWORKDAYS($BL$2,$CP$2)- SUM(COUNTIF(BL5:CP5,{"I";"F";"CP";"R";"P";"AC";"AM"}))</f>
        <v>22</v>
      </c>
      <c r="NO5" s="138">
        <f t="shared" si="14"/>
        <v>0.68181818181818177</v>
      </c>
      <c r="NP5" s="8">
        <f t="shared" si="3"/>
        <v>19</v>
      </c>
      <c r="NQ5" s="351" cm="1">
        <f t="array" ref="NQ5">NETWORKDAYS($CQ$2,$DT$2,$CV$2)- SUM(COUNTIF(CQ5:DT5,{"I";"F";"CP";"R";"P";"AC";"AM"}))</f>
        <v>21</v>
      </c>
      <c r="NR5" s="138">
        <f t="shared" si="15"/>
        <v>0.90476190476190477</v>
      </c>
      <c r="NS5" s="8">
        <f t="shared" si="4"/>
        <v>6</v>
      </c>
      <c r="NT5" s="351" cm="1">
        <f t="array" ref="NT5">NETWORKDAYS($DV$2,$EY$2)-SUM(COUNTIF(DV5:EY5,{"I";"F";"CP";"R";"P";"AC";"AM"}))</f>
        <v>16</v>
      </c>
      <c r="NU5" s="138">
        <f t="shared" si="16"/>
        <v>0.375</v>
      </c>
      <c r="NV5" s="8">
        <f t="shared" si="5"/>
        <v>0</v>
      </c>
      <c r="NW5" s="351" cm="1">
        <f t="array" ref="NW5">NETWORKDAYS($EZ$2,$GC$2)-SUM(COUNTIF(EZ5:GC5,{"I";"F";"CP";"R";"P";"AC";"AM"}))</f>
        <v>22</v>
      </c>
      <c r="NX5" s="138">
        <f t="shared" si="17"/>
        <v>0</v>
      </c>
      <c r="NY5" s="8">
        <f t="shared" si="6"/>
        <v>0</v>
      </c>
      <c r="NZ5" s="351" cm="1">
        <f t="array" ref="NZ5">NETWORKDAYS($GD$2,$HH$2,$GQ$2)-SUM(COUNTIF(GD5:HH5,{"I";"F";"CP";"R";"P";"AC";"AM"}))</f>
        <v>21</v>
      </c>
      <c r="OA5" s="138">
        <f t="shared" si="18"/>
        <v>0</v>
      </c>
      <c r="OB5" s="8">
        <f t="shared" si="7"/>
        <v>0</v>
      </c>
      <c r="OC5" s="351" cm="1">
        <f t="array" ref="OC5">NETWORKDAYS($HI$2,$IM$2)-SUM(COUNTIF(HI5:IM5,{"I";"F";"CP";"R";"P";"AC";"AM"}))</f>
        <v>21</v>
      </c>
      <c r="OD5" s="138">
        <f t="shared" si="19"/>
        <v>0</v>
      </c>
      <c r="OE5" s="8">
        <f t="shared" si="8"/>
        <v>0</v>
      </c>
      <c r="OF5" s="351" cm="1">
        <f t="array" ref="OF5">NETWORKDAYS($IN$2,$JQ$2)-SUM(COUNTIF(IN5:JQ5,{"I";"F";"CP";"R";"P";"AC";"AM"}))</f>
        <v>22</v>
      </c>
      <c r="OG5" s="138">
        <f t="shared" si="20"/>
        <v>0</v>
      </c>
      <c r="OH5" s="8">
        <f t="shared" si="9"/>
        <v>0</v>
      </c>
      <c r="OI5" s="351" cm="1">
        <f t="array" ref="OI5">NETWORKDAYS($JR$2,$KV$2)-SUM(COUNTIF(JR5:KV5,{"I";"F";"CP";"R";"P";"AC";"AM"}))</f>
        <v>22</v>
      </c>
      <c r="OJ5" s="138">
        <f t="shared" si="21"/>
        <v>0</v>
      </c>
      <c r="OK5" s="8">
        <f t="shared" si="10"/>
        <v>0</v>
      </c>
      <c r="OL5" s="351" cm="1">
        <f t="array" ref="OL5">NETWORKDAYS($KW$2,$LZ$2,$LG$2)-SUM(COUNTIF(KW5:LZ5,{"I";"F";"CP";"R";"P";"AC";"AM"}))</f>
        <v>19</v>
      </c>
      <c r="OM5" s="138">
        <f t="shared" si="22"/>
        <v>0</v>
      </c>
      <c r="ON5" s="8">
        <f t="shared" si="11"/>
        <v>0</v>
      </c>
      <c r="OO5" s="351" cm="1">
        <f t="array" ref="OO5">NETWORKDAYS($MA$2,$MR$2)-SUM(COUNTIF(MA5:MR5,{"I";"F";"CP";"R";"P";"AC";"AM"}))</f>
        <v>14</v>
      </c>
      <c r="OP5" s="138">
        <f t="shared" si="23"/>
        <v>0</v>
      </c>
      <c r="OQ5" s="94">
        <f t="shared" si="24"/>
        <v>66</v>
      </c>
      <c r="OR5" s="94">
        <f t="shared" si="25"/>
        <v>240</v>
      </c>
      <c r="OS5" s="138">
        <f t="shared" si="26"/>
        <v>0.27500000000000002</v>
      </c>
    </row>
    <row r="6" spans="1:409" hidden="1" x14ac:dyDescent="0.25">
      <c r="A6" s="94" t="s">
        <v>109</v>
      </c>
      <c r="B6" s="94" t="s">
        <v>34</v>
      </c>
      <c r="C6" s="27" t="s">
        <v>166</v>
      </c>
      <c r="D6" s="27" t="s">
        <v>167</v>
      </c>
      <c r="E6" s="128"/>
      <c r="F6" s="110"/>
      <c r="G6" s="110"/>
      <c r="H6" s="110"/>
      <c r="I6" s="25"/>
      <c r="J6" s="25"/>
      <c r="K6" s="25"/>
      <c r="L6" s="25"/>
      <c r="M6" s="25">
        <v>1</v>
      </c>
      <c r="N6" s="110"/>
      <c r="O6" s="110"/>
      <c r="P6" s="25">
        <v>1</v>
      </c>
      <c r="Q6" s="25">
        <v>1</v>
      </c>
      <c r="R6" s="25">
        <v>1</v>
      </c>
      <c r="S6" s="25">
        <v>1</v>
      </c>
      <c r="T6" s="25">
        <v>1</v>
      </c>
      <c r="U6" s="110"/>
      <c r="V6" s="110"/>
      <c r="W6" s="25">
        <v>1</v>
      </c>
      <c r="X6" s="25">
        <v>1</v>
      </c>
      <c r="Y6" s="25"/>
      <c r="Z6" s="25"/>
      <c r="AA6" s="25"/>
      <c r="AB6" s="110"/>
      <c r="AC6" s="110"/>
      <c r="AD6" s="25"/>
      <c r="AE6" s="25"/>
      <c r="AF6" s="25"/>
      <c r="AG6" s="25">
        <v>1</v>
      </c>
      <c r="AH6" s="25">
        <v>1</v>
      </c>
      <c r="AI6" s="110"/>
      <c r="AJ6" s="110"/>
      <c r="AK6" s="25"/>
      <c r="AL6" s="25"/>
      <c r="AM6" s="25"/>
      <c r="AN6" s="25"/>
      <c r="AO6" s="25">
        <v>1</v>
      </c>
      <c r="AP6" s="110"/>
      <c r="AQ6" s="110"/>
      <c r="AR6" s="25"/>
      <c r="AS6" s="25"/>
      <c r="AT6" s="25"/>
      <c r="AV6" s="25">
        <v>1</v>
      </c>
      <c r="AW6" s="110"/>
      <c r="AX6" s="110"/>
      <c r="AY6" s="25"/>
      <c r="AZ6" s="25"/>
      <c r="BA6" s="25"/>
      <c r="BB6" s="25"/>
      <c r="BC6" s="25"/>
      <c r="BD6" s="110"/>
      <c r="BE6" s="110"/>
      <c r="BF6" s="25"/>
      <c r="BG6" s="25"/>
      <c r="BH6" s="25"/>
      <c r="BI6" s="25"/>
      <c r="BJ6" s="25"/>
      <c r="BK6" s="110"/>
      <c r="BL6" s="110"/>
      <c r="BM6" s="25"/>
      <c r="BN6" s="25"/>
      <c r="BO6" s="25"/>
      <c r="BP6" s="25"/>
      <c r="BQ6" s="25"/>
      <c r="BR6" s="110"/>
      <c r="BS6" s="110"/>
      <c r="BT6" s="25"/>
      <c r="BU6" s="25"/>
      <c r="BV6" s="25"/>
      <c r="BW6" s="25"/>
      <c r="BX6" s="25"/>
      <c r="BY6" s="110"/>
      <c r="BZ6" s="110"/>
      <c r="CA6" s="25"/>
      <c r="CB6" s="25"/>
      <c r="CC6" s="25"/>
      <c r="CD6" s="25"/>
      <c r="CE6" s="25"/>
      <c r="CF6" s="110"/>
      <c r="CG6" s="110"/>
      <c r="CH6" s="25"/>
      <c r="CI6" s="25"/>
      <c r="CJ6" s="25"/>
      <c r="CK6" s="25"/>
      <c r="CL6" s="25"/>
      <c r="CM6" s="110"/>
      <c r="CN6" s="110"/>
      <c r="CO6" s="25"/>
      <c r="CP6" s="25"/>
      <c r="CQ6" s="25"/>
      <c r="CR6" s="25"/>
      <c r="CS6" s="25"/>
      <c r="CT6" s="110"/>
      <c r="CU6" s="110"/>
      <c r="CV6" s="110"/>
      <c r="CW6" s="25"/>
      <c r="CX6" s="25"/>
      <c r="CY6" s="25"/>
      <c r="CZ6" s="25"/>
      <c r="DA6" s="110"/>
      <c r="DB6" s="110"/>
      <c r="DC6" s="25"/>
      <c r="DD6" s="25"/>
      <c r="DE6" s="25"/>
      <c r="DF6" s="25"/>
      <c r="DG6" s="25"/>
      <c r="DH6" s="110"/>
      <c r="DI6" s="110"/>
      <c r="DJ6" s="25"/>
      <c r="DK6" s="25"/>
      <c r="DL6" s="25"/>
      <c r="DM6" s="25"/>
      <c r="DN6" s="25"/>
      <c r="DO6" s="110"/>
      <c r="DP6" s="110"/>
      <c r="DQ6" s="25"/>
      <c r="DR6" s="25"/>
      <c r="DS6" s="25"/>
      <c r="DT6" s="25"/>
      <c r="DU6" s="110" t="s">
        <v>445</v>
      </c>
      <c r="DV6" s="110"/>
      <c r="DW6" s="110"/>
      <c r="DX6" s="25"/>
      <c r="DY6" s="25"/>
      <c r="DZ6" s="25"/>
      <c r="EA6" s="25"/>
      <c r="EB6" s="110" t="s">
        <v>445</v>
      </c>
      <c r="EC6" s="110"/>
      <c r="ED6" s="110"/>
      <c r="EE6" s="25"/>
      <c r="EF6" s="25"/>
      <c r="EG6" s="25"/>
      <c r="EH6" s="110" t="s">
        <v>445</v>
      </c>
      <c r="EI6" s="110" t="s">
        <v>445</v>
      </c>
      <c r="EJ6" s="110"/>
      <c r="EK6" s="110"/>
      <c r="EL6" s="25"/>
      <c r="EM6" s="25"/>
      <c r="EN6" s="25"/>
      <c r="EO6" s="25"/>
      <c r="EP6" s="25"/>
      <c r="EQ6" s="110"/>
      <c r="ER6" s="110"/>
      <c r="ES6" s="110" t="s">
        <v>445</v>
      </c>
      <c r="ET6" s="25"/>
      <c r="EU6" s="25"/>
      <c r="EV6" s="25"/>
      <c r="EW6" s="25"/>
      <c r="EX6" s="110"/>
      <c r="EY6" s="110"/>
      <c r="EZ6" s="25"/>
      <c r="FA6" s="25"/>
      <c r="FB6" s="25"/>
      <c r="FC6" s="25"/>
      <c r="FD6" s="25"/>
      <c r="FE6" s="110"/>
      <c r="FF6" s="110"/>
      <c r="FG6" s="25"/>
      <c r="FH6" s="25"/>
      <c r="FI6" s="25"/>
      <c r="FJ6" s="25"/>
      <c r="FK6" s="25"/>
      <c r="FL6" s="110"/>
      <c r="FM6" s="110"/>
      <c r="FN6" s="25"/>
      <c r="FO6" s="25"/>
      <c r="FP6" s="25"/>
      <c r="FQ6" s="25"/>
      <c r="FR6" s="25"/>
      <c r="FS6" s="110"/>
      <c r="FT6" s="110"/>
      <c r="FU6" s="25"/>
      <c r="FV6" s="25"/>
      <c r="FW6" s="25"/>
      <c r="FX6" s="25"/>
      <c r="FY6" s="25"/>
      <c r="FZ6" s="110"/>
      <c r="GA6" s="110"/>
      <c r="GB6" s="25"/>
      <c r="GC6" s="25"/>
      <c r="GD6" s="25"/>
      <c r="GE6" s="25"/>
      <c r="GF6" s="25"/>
      <c r="GG6" s="110"/>
      <c r="GH6" s="110"/>
      <c r="GI6" s="25"/>
      <c r="GJ6" s="25"/>
      <c r="GK6" s="25"/>
      <c r="GL6" s="25"/>
      <c r="GM6" s="25"/>
      <c r="GN6" s="110"/>
      <c r="GO6" s="110"/>
      <c r="GP6" s="110" t="s">
        <v>445</v>
      </c>
      <c r="GQ6" s="110"/>
      <c r="GR6" s="25"/>
      <c r="GS6" s="25"/>
      <c r="GT6" s="25"/>
      <c r="GU6" s="110"/>
      <c r="GV6" s="110"/>
      <c r="GW6" s="25"/>
      <c r="GX6" s="25"/>
      <c r="GY6" s="25"/>
      <c r="GZ6" s="25"/>
      <c r="HA6" s="25"/>
      <c r="HB6" s="110"/>
      <c r="HC6" s="110"/>
      <c r="HD6" s="25"/>
      <c r="HE6" s="25"/>
      <c r="HF6" s="25"/>
      <c r="HG6" s="25"/>
      <c r="HH6" s="25"/>
      <c r="HI6" s="110"/>
      <c r="HJ6" s="110"/>
      <c r="HK6" s="25"/>
      <c r="HL6" s="25"/>
      <c r="HM6" s="25"/>
      <c r="HN6" s="25"/>
      <c r="HO6" s="25"/>
      <c r="HP6" s="110"/>
      <c r="HQ6" s="110"/>
      <c r="HR6" s="25"/>
      <c r="HS6" s="25"/>
      <c r="HT6" s="25"/>
      <c r="HU6" s="25"/>
      <c r="HV6" s="25"/>
      <c r="HW6" s="110"/>
      <c r="HX6" s="110"/>
      <c r="HY6" s="25"/>
      <c r="HZ6" s="25"/>
      <c r="IA6" s="25"/>
      <c r="IB6" s="25"/>
      <c r="IC6" s="25"/>
      <c r="ID6" s="110"/>
      <c r="IE6" s="110"/>
      <c r="IF6" s="25"/>
      <c r="IG6" s="25"/>
      <c r="IH6" s="25"/>
      <c r="II6" s="25"/>
      <c r="IJ6" s="25"/>
      <c r="IK6" s="110"/>
      <c r="IL6" s="110"/>
      <c r="IM6" s="25"/>
      <c r="IN6" s="25"/>
      <c r="IO6" s="25"/>
      <c r="IP6" s="25"/>
      <c r="IQ6" s="25"/>
      <c r="IR6" s="110"/>
      <c r="IS6" s="110"/>
      <c r="IT6" s="25"/>
      <c r="IU6" s="25"/>
      <c r="IV6" s="25"/>
      <c r="IW6" s="25"/>
      <c r="IX6" s="25"/>
      <c r="IY6" s="110"/>
      <c r="IZ6" s="110"/>
      <c r="JA6" s="25"/>
      <c r="JB6" s="25"/>
      <c r="JC6" s="25"/>
      <c r="JD6" s="25"/>
      <c r="JE6" s="25"/>
      <c r="JF6" s="110"/>
      <c r="JG6" s="110"/>
      <c r="JH6" s="25"/>
      <c r="JI6" s="25"/>
      <c r="JJ6" s="25"/>
      <c r="JK6" s="25"/>
      <c r="JL6" s="25"/>
      <c r="JM6" s="110"/>
      <c r="JN6" s="110"/>
      <c r="JO6" s="25"/>
      <c r="JP6" s="25"/>
      <c r="JQ6" s="25"/>
      <c r="JR6" s="25"/>
      <c r="JS6" s="25"/>
      <c r="JT6" s="110"/>
      <c r="JU6" s="110"/>
      <c r="JV6" s="25"/>
      <c r="JW6" s="25"/>
      <c r="JX6" s="25"/>
      <c r="JY6" s="25"/>
      <c r="JZ6" s="25"/>
      <c r="KA6" s="110"/>
      <c r="KB6" s="110"/>
      <c r="KC6" s="25"/>
      <c r="KD6" s="25"/>
      <c r="KE6" s="25"/>
      <c r="KF6" s="25"/>
      <c r="KG6" s="25"/>
      <c r="KH6" s="110"/>
      <c r="KI6" s="110"/>
      <c r="KJ6" s="25"/>
      <c r="KK6" s="25"/>
      <c r="KL6" s="25"/>
      <c r="KM6" s="25"/>
      <c r="KN6" s="25"/>
      <c r="KO6" s="110"/>
      <c r="KP6" s="110"/>
      <c r="KQ6" s="25"/>
      <c r="KR6" s="25"/>
      <c r="KS6" s="25"/>
      <c r="KT6" s="25"/>
      <c r="KU6" s="25"/>
      <c r="KV6" s="110"/>
      <c r="KW6" s="110"/>
      <c r="KX6" s="25"/>
      <c r="KY6" s="25"/>
      <c r="KZ6" s="25"/>
      <c r="LA6" s="25"/>
      <c r="LB6" s="25"/>
      <c r="LC6" s="110"/>
      <c r="LD6" s="110"/>
      <c r="LE6" s="25"/>
      <c r="LF6" s="25"/>
      <c r="LG6" s="110" t="s">
        <v>445</v>
      </c>
      <c r="LH6" s="25"/>
      <c r="LI6" s="25"/>
      <c r="LJ6" s="110"/>
      <c r="LK6" s="110"/>
      <c r="LL6" s="25"/>
      <c r="LM6" s="25"/>
      <c r="LN6" s="25"/>
      <c r="LO6" s="25"/>
      <c r="LP6" s="25"/>
      <c r="LQ6" s="110"/>
      <c r="LR6" s="110"/>
      <c r="LS6" s="25"/>
      <c r="LT6" s="25"/>
      <c r="LU6" s="25"/>
      <c r="LV6" s="25"/>
      <c r="LW6" s="25"/>
      <c r="LX6" s="110"/>
      <c r="LY6" s="110"/>
      <c r="LZ6" s="25"/>
      <c r="MA6" s="25"/>
      <c r="MB6" s="25"/>
      <c r="MC6" s="25"/>
      <c r="MD6" s="25"/>
      <c r="ME6" s="110"/>
      <c r="MF6" s="110"/>
      <c r="MG6" s="25"/>
      <c r="MH6" s="25"/>
      <c r="MI6" s="25"/>
      <c r="MJ6" s="25"/>
      <c r="MK6" s="25"/>
      <c r="ML6" s="110"/>
      <c r="MM6" s="110"/>
      <c r="MN6" s="25"/>
      <c r="MO6" s="25"/>
      <c r="MP6" s="25"/>
      <c r="MQ6" s="25"/>
      <c r="MR6" s="25"/>
      <c r="MS6" s="110"/>
      <c r="MT6" s="110"/>
      <c r="MU6" s="25"/>
      <c r="MV6" s="25"/>
      <c r="MW6" s="25"/>
      <c r="MX6" s="25"/>
      <c r="MY6" s="25"/>
      <c r="MZ6" s="110"/>
      <c r="NA6" s="110"/>
      <c r="NB6" s="25"/>
      <c r="NC6" s="25"/>
      <c r="ND6" s="25"/>
      <c r="NE6" s="129"/>
      <c r="NF6" s="111"/>
      <c r="NG6" s="8">
        <f t="shared" si="0"/>
        <v>10</v>
      </c>
      <c r="NH6" s="351" cm="1">
        <f t="array" ref="NH6">NETWORKDAYS($I$2,$AH$2)- SUM(COUNTIF(I6:AH6,{"I";"F";"CP";"R";"P";"AC";"AM"}))</f>
        <v>20</v>
      </c>
      <c r="NI6" s="138">
        <f t="shared" si="12"/>
        <v>0.5</v>
      </c>
      <c r="NJ6" s="8">
        <f t="shared" si="1"/>
        <v>2</v>
      </c>
      <c r="NK6" s="351" cm="1">
        <f t="array" ref="NK6">NETWORKDAYS($AJ$2,$BK$2)- SUM(COUNTIF(AJ6:BK6,{"I";"F";"CP";"R";"P";"AC";"AM"}))</f>
        <v>20</v>
      </c>
      <c r="NL6" s="138">
        <f t="shared" si="13"/>
        <v>0.1</v>
      </c>
      <c r="NM6" s="8">
        <f t="shared" si="2"/>
        <v>0</v>
      </c>
      <c r="NN6" s="351" cm="1">
        <f t="array" ref="NN6">NETWORKDAYS($BL$2,$CP$2)- SUM(COUNTIF(BL6:CP6,{"I";"F";"CP";"R";"P";"AC";"AM"}))</f>
        <v>22</v>
      </c>
      <c r="NO6" s="138">
        <f t="shared" si="14"/>
        <v>0</v>
      </c>
      <c r="NP6" s="8">
        <f t="shared" si="3"/>
        <v>0</v>
      </c>
      <c r="NQ6" s="351" cm="1">
        <f t="array" ref="NQ6">NETWORKDAYS($CQ$2,$DT$2,$CV$2)- SUM(COUNTIF(CQ6:DT6,{"I";"F";"CP";"R";"P";"AC";"AM"}))</f>
        <v>21</v>
      </c>
      <c r="NR6" s="138">
        <f t="shared" si="15"/>
        <v>0</v>
      </c>
      <c r="NS6" s="8">
        <f t="shared" si="4"/>
        <v>0</v>
      </c>
      <c r="NT6" s="351" cm="1">
        <f t="array" ref="NT6">NETWORKDAYS($DV$2,$EY$2)-SUM(COUNTIF(DV6:EY6,{"I";"F";"CP";"R";"P";"AC";"AM"}))</f>
        <v>16</v>
      </c>
      <c r="NU6" s="138">
        <f t="shared" si="16"/>
        <v>0</v>
      </c>
      <c r="NV6" s="8">
        <f t="shared" si="5"/>
        <v>0</v>
      </c>
      <c r="NW6" s="351" cm="1">
        <f t="array" ref="NW6">NETWORKDAYS($EZ$2,$GC$2)-SUM(COUNTIF(EZ6:GC6,{"I";"F";"CP";"R";"P";"AC";"AM"}))</f>
        <v>22</v>
      </c>
      <c r="NX6" s="138">
        <f t="shared" si="17"/>
        <v>0</v>
      </c>
      <c r="NY6" s="8">
        <f t="shared" si="6"/>
        <v>0</v>
      </c>
      <c r="NZ6" s="351" cm="1">
        <f t="array" ref="NZ6">NETWORKDAYS($GD$2,$HH$2,$GQ$2)-SUM(COUNTIF(GD6:HH6,{"I";"F";"CP";"R";"P";"AC";"AM"}))</f>
        <v>21</v>
      </c>
      <c r="OA6" s="138">
        <f t="shared" si="18"/>
        <v>0</v>
      </c>
      <c r="OB6" s="8">
        <f t="shared" si="7"/>
        <v>0</v>
      </c>
      <c r="OC6" s="351" cm="1">
        <f t="array" ref="OC6">NETWORKDAYS($HI$2,$IM$2)-SUM(COUNTIF(HI6:IM6,{"I";"F";"CP";"R";"P";"AC";"AM"}))</f>
        <v>21</v>
      </c>
      <c r="OD6" s="138">
        <f t="shared" si="19"/>
        <v>0</v>
      </c>
      <c r="OE6" s="8">
        <f t="shared" si="8"/>
        <v>0</v>
      </c>
      <c r="OF6" s="351" cm="1">
        <f t="array" ref="OF6">NETWORKDAYS($IN$2,$JQ$2)-SUM(COUNTIF(IN6:JQ6,{"I";"F";"CP";"R";"P";"AC";"AM"}))</f>
        <v>22</v>
      </c>
      <c r="OG6" s="138">
        <f t="shared" si="20"/>
        <v>0</v>
      </c>
      <c r="OH6" s="8">
        <f t="shared" si="9"/>
        <v>0</v>
      </c>
      <c r="OI6" s="351" cm="1">
        <f t="array" ref="OI6">NETWORKDAYS($JR$2,$KV$2)-SUM(COUNTIF(JR6:KV6,{"I";"F";"CP";"R";"P";"AC";"AM"}))</f>
        <v>22</v>
      </c>
      <c r="OJ6" s="138">
        <f t="shared" si="21"/>
        <v>0</v>
      </c>
      <c r="OK6" s="8">
        <f t="shared" si="10"/>
        <v>0</v>
      </c>
      <c r="OL6" s="351" cm="1">
        <f t="array" ref="OL6">NETWORKDAYS($KW$2,$LZ$2,$LG$2)-SUM(COUNTIF(KW6:LZ6,{"I";"F";"CP";"R";"P";"AC";"AM"}))</f>
        <v>19</v>
      </c>
      <c r="OM6" s="138">
        <f t="shared" si="22"/>
        <v>0</v>
      </c>
      <c r="ON6" s="8">
        <f t="shared" si="11"/>
        <v>0</v>
      </c>
      <c r="OO6" s="351" cm="1">
        <f t="array" ref="OO6">NETWORKDAYS($MA$2,$MR$2)-SUM(COUNTIF(MA6:MR6,{"I";"F";"CP";"R";"P";"AC";"AM"}))</f>
        <v>14</v>
      </c>
      <c r="OP6" s="138">
        <f t="shared" si="23"/>
        <v>0</v>
      </c>
      <c r="OQ6" s="94">
        <f t="shared" si="24"/>
        <v>12</v>
      </c>
      <c r="OR6" s="94">
        <f t="shared" si="25"/>
        <v>240</v>
      </c>
      <c r="OS6" s="138">
        <f t="shared" si="26"/>
        <v>0.05</v>
      </c>
    </row>
    <row r="7" spans="1:409" hidden="1" x14ac:dyDescent="0.25">
      <c r="A7" s="93" t="s">
        <v>168</v>
      </c>
      <c r="B7" s="93" t="s">
        <v>168</v>
      </c>
      <c r="C7" s="91" t="s">
        <v>160</v>
      </c>
      <c r="D7" s="91" t="s">
        <v>169</v>
      </c>
      <c r="E7" s="128"/>
      <c r="F7" s="110"/>
      <c r="G7" s="110"/>
      <c r="H7" s="110"/>
      <c r="I7" s="25"/>
      <c r="J7" s="25"/>
      <c r="K7" s="25" t="s">
        <v>447</v>
      </c>
      <c r="L7" s="25"/>
      <c r="M7" s="25"/>
      <c r="N7" s="110"/>
      <c r="O7" s="110"/>
      <c r="P7" s="25">
        <v>1</v>
      </c>
      <c r="Q7" s="25">
        <v>1</v>
      </c>
      <c r="R7" s="25">
        <v>1</v>
      </c>
      <c r="S7" s="25">
        <v>1</v>
      </c>
      <c r="T7" s="25">
        <v>1</v>
      </c>
      <c r="U7" s="110"/>
      <c r="V7" s="110"/>
      <c r="W7" s="25">
        <v>1</v>
      </c>
      <c r="X7" s="25">
        <v>1</v>
      </c>
      <c r="Y7" s="25">
        <v>1</v>
      </c>
      <c r="Z7" s="25">
        <v>1</v>
      </c>
      <c r="AA7" s="25">
        <v>1</v>
      </c>
      <c r="AB7" s="110"/>
      <c r="AC7" s="110"/>
      <c r="AD7" s="25" t="s">
        <v>447</v>
      </c>
      <c r="AE7" s="25" t="s">
        <v>447</v>
      </c>
      <c r="AF7" s="25" t="s">
        <v>447</v>
      </c>
      <c r="AG7" s="25" t="s">
        <v>447</v>
      </c>
      <c r="AH7" s="25">
        <v>1</v>
      </c>
      <c r="AI7" s="110"/>
      <c r="AJ7" s="110"/>
      <c r="AK7" s="25">
        <v>1</v>
      </c>
      <c r="AL7" s="25">
        <v>1</v>
      </c>
      <c r="AM7" s="25">
        <v>1</v>
      </c>
      <c r="AN7" s="25">
        <v>1</v>
      </c>
      <c r="AO7" s="25">
        <v>1</v>
      </c>
      <c r="AP7" s="110"/>
      <c r="AQ7" s="110"/>
      <c r="AR7" s="25">
        <v>1</v>
      </c>
      <c r="AS7" s="25" t="s">
        <v>447</v>
      </c>
      <c r="AT7" s="25">
        <v>1</v>
      </c>
      <c r="AU7" s="25">
        <v>1</v>
      </c>
      <c r="AV7" s="25" t="s">
        <v>447</v>
      </c>
      <c r="AW7" s="110"/>
      <c r="AX7" s="110"/>
      <c r="AY7" s="25" t="s">
        <v>445</v>
      </c>
      <c r="AZ7" s="25" t="s">
        <v>445</v>
      </c>
      <c r="BA7" s="25" t="s">
        <v>445</v>
      </c>
      <c r="BB7" s="25" t="s">
        <v>445</v>
      </c>
      <c r="BC7" s="25" t="s">
        <v>445</v>
      </c>
      <c r="BD7" s="110"/>
      <c r="BE7" s="110"/>
      <c r="BF7" s="25" t="s">
        <v>445</v>
      </c>
      <c r="BG7" s="25" t="s">
        <v>445</v>
      </c>
      <c r="BH7" s="25" t="s">
        <v>445</v>
      </c>
      <c r="BI7" s="25" t="s">
        <v>445</v>
      </c>
      <c r="BJ7" s="25" t="s">
        <v>445</v>
      </c>
      <c r="BK7" s="110"/>
      <c r="BL7" s="110"/>
      <c r="BM7" s="25">
        <v>1</v>
      </c>
      <c r="BN7" s="25">
        <v>1</v>
      </c>
      <c r="BO7" s="25">
        <v>1</v>
      </c>
      <c r="BP7" s="25">
        <v>1</v>
      </c>
      <c r="BQ7" s="25">
        <v>1</v>
      </c>
      <c r="BR7" s="110"/>
      <c r="BS7" s="110"/>
      <c r="BT7" s="25">
        <v>1</v>
      </c>
      <c r="BU7" s="25">
        <v>1</v>
      </c>
      <c r="BV7" s="25">
        <v>1</v>
      </c>
      <c r="BW7" s="25">
        <v>1</v>
      </c>
      <c r="BX7" s="25"/>
      <c r="BY7" s="110"/>
      <c r="BZ7" s="110"/>
      <c r="CA7" s="25">
        <v>1</v>
      </c>
      <c r="CB7" s="25">
        <v>1</v>
      </c>
      <c r="CC7" s="25">
        <v>1</v>
      </c>
      <c r="CD7" s="25">
        <v>1</v>
      </c>
      <c r="CE7" s="25">
        <v>1</v>
      </c>
      <c r="CF7" s="110"/>
      <c r="CG7" s="110"/>
      <c r="CH7" s="25">
        <v>1</v>
      </c>
      <c r="CI7" s="25">
        <v>1</v>
      </c>
      <c r="CJ7" s="25">
        <v>1</v>
      </c>
      <c r="CK7" s="25">
        <v>1</v>
      </c>
      <c r="CL7" s="25">
        <v>1</v>
      </c>
      <c r="CM7" s="110"/>
      <c r="CN7" s="110"/>
      <c r="CO7" s="25">
        <v>1</v>
      </c>
      <c r="CP7" s="25">
        <v>1</v>
      </c>
      <c r="CQ7" s="25">
        <v>1</v>
      </c>
      <c r="CR7" s="25">
        <v>1</v>
      </c>
      <c r="CS7" s="25">
        <v>1</v>
      </c>
      <c r="CT7" s="110"/>
      <c r="CU7" s="110"/>
      <c r="CV7" s="110"/>
      <c r="CW7" s="25"/>
      <c r="CX7" s="25">
        <v>1</v>
      </c>
      <c r="CY7" s="25">
        <v>1</v>
      </c>
      <c r="CZ7" s="25">
        <v>1</v>
      </c>
      <c r="DA7" s="110"/>
      <c r="DB7" s="110"/>
      <c r="DC7" s="25"/>
      <c r="DD7" s="25">
        <v>1</v>
      </c>
      <c r="DE7" s="25">
        <v>1</v>
      </c>
      <c r="DF7" s="25">
        <v>1</v>
      </c>
      <c r="DG7" s="25">
        <v>1</v>
      </c>
      <c r="DH7" s="110"/>
      <c r="DI7" s="110"/>
      <c r="DJ7" s="25">
        <v>1</v>
      </c>
      <c r="DK7" s="25">
        <v>1</v>
      </c>
      <c r="DL7" s="25">
        <v>1</v>
      </c>
      <c r="DM7" s="25">
        <v>1</v>
      </c>
      <c r="DN7" s="25">
        <v>1</v>
      </c>
      <c r="DO7" s="110"/>
      <c r="DP7" s="110"/>
      <c r="DQ7" s="25">
        <v>1</v>
      </c>
      <c r="DR7" s="25">
        <v>1</v>
      </c>
      <c r="DS7" s="25">
        <v>1</v>
      </c>
      <c r="DT7" s="25"/>
      <c r="DU7" s="110" t="s">
        <v>445</v>
      </c>
      <c r="DV7" s="110"/>
      <c r="DW7" s="110"/>
      <c r="DX7" s="25"/>
      <c r="DY7" s="25"/>
      <c r="DZ7" s="25"/>
      <c r="EA7" s="25"/>
      <c r="EB7" s="110" t="s">
        <v>445</v>
      </c>
      <c r="EC7" s="110"/>
      <c r="ED7" s="110"/>
      <c r="EE7" s="25"/>
      <c r="EF7" s="25"/>
      <c r="EG7" s="25"/>
      <c r="EH7" s="110" t="s">
        <v>445</v>
      </c>
      <c r="EI7" s="110" t="s">
        <v>445</v>
      </c>
      <c r="EJ7" s="110"/>
      <c r="EK7" s="110"/>
      <c r="EL7" s="25"/>
      <c r="EM7" s="25"/>
      <c r="EN7" s="25"/>
      <c r="EO7" s="25"/>
      <c r="EP7" s="25"/>
      <c r="EQ7" s="110"/>
      <c r="ER7" s="110"/>
      <c r="ES7" s="110" t="s">
        <v>445</v>
      </c>
      <c r="ET7" s="25"/>
      <c r="EU7" s="25"/>
      <c r="EV7" s="25"/>
      <c r="EW7" s="25"/>
      <c r="EX7" s="110"/>
      <c r="EY7" s="110"/>
      <c r="EZ7" s="25"/>
      <c r="FA7" s="25"/>
      <c r="FB7" s="25"/>
      <c r="FC7" s="25"/>
      <c r="FD7" s="25"/>
      <c r="FE7" s="110"/>
      <c r="FF7" s="110"/>
      <c r="FG7" s="25"/>
      <c r="FH7" s="25"/>
      <c r="FI7" s="25"/>
      <c r="FJ7" s="25"/>
      <c r="FK7" s="25"/>
      <c r="FL7" s="110"/>
      <c r="FM7" s="110"/>
      <c r="FN7" s="25"/>
      <c r="FO7" s="25"/>
      <c r="FP7" s="25"/>
      <c r="FQ7" s="25"/>
      <c r="FR7" s="25"/>
      <c r="FS7" s="110"/>
      <c r="FT7" s="110"/>
      <c r="FU7" s="25"/>
      <c r="FV7" s="25"/>
      <c r="FW7" s="25"/>
      <c r="FX7" s="25"/>
      <c r="FY7" s="25"/>
      <c r="FZ7" s="110"/>
      <c r="GA7" s="110"/>
      <c r="GB7" s="25"/>
      <c r="GC7" s="25"/>
      <c r="GD7" s="25"/>
      <c r="GE7" s="25"/>
      <c r="GF7" s="25"/>
      <c r="GG7" s="110"/>
      <c r="GH7" s="110"/>
      <c r="GI7" s="25"/>
      <c r="GJ7" s="25"/>
      <c r="GK7" s="25"/>
      <c r="GL7" s="25"/>
      <c r="GM7" s="25"/>
      <c r="GN7" s="110"/>
      <c r="GO7" s="110"/>
      <c r="GP7" s="110" t="s">
        <v>445</v>
      </c>
      <c r="GQ7" s="110"/>
      <c r="GR7" s="25"/>
      <c r="GS7" s="25"/>
      <c r="GT7" s="25"/>
      <c r="GU7" s="110"/>
      <c r="GV7" s="110"/>
      <c r="GW7" s="25"/>
      <c r="GX7" s="25"/>
      <c r="GY7" s="25"/>
      <c r="GZ7" s="25"/>
      <c r="HA7" s="25"/>
      <c r="HB7" s="110"/>
      <c r="HC7" s="110"/>
      <c r="HD7" s="25"/>
      <c r="HE7" s="25"/>
      <c r="HF7" s="25"/>
      <c r="HG7" s="25"/>
      <c r="HH7" s="25"/>
      <c r="HI7" s="110"/>
      <c r="HJ7" s="110"/>
      <c r="HK7" s="25"/>
      <c r="HL7" s="25"/>
      <c r="HM7" s="25"/>
      <c r="HN7" s="25"/>
      <c r="HO7" s="25"/>
      <c r="HP7" s="110"/>
      <c r="HQ7" s="110"/>
      <c r="HR7" s="25"/>
      <c r="HS7" s="25"/>
      <c r="HT7" s="25"/>
      <c r="HU7" s="25"/>
      <c r="HV7" s="25"/>
      <c r="HW7" s="110"/>
      <c r="HX7" s="110"/>
      <c r="HY7" s="25"/>
      <c r="HZ7" s="25"/>
      <c r="IA7" s="25"/>
      <c r="IB7" s="25"/>
      <c r="IC7" s="25"/>
      <c r="ID7" s="110"/>
      <c r="IE7" s="110"/>
      <c r="IF7" s="25"/>
      <c r="IG7" s="25"/>
      <c r="IH7" s="25"/>
      <c r="II7" s="25"/>
      <c r="IJ7" s="25"/>
      <c r="IK7" s="110"/>
      <c r="IL7" s="110"/>
      <c r="IM7" s="25"/>
      <c r="IN7" s="25"/>
      <c r="IO7" s="25"/>
      <c r="IP7" s="25"/>
      <c r="IQ7" s="25"/>
      <c r="IR7" s="110"/>
      <c r="IS7" s="110"/>
      <c r="IT7" s="25"/>
      <c r="IU7" s="25"/>
      <c r="IV7" s="25"/>
      <c r="IW7" s="25"/>
      <c r="IX7" s="25"/>
      <c r="IY7" s="110"/>
      <c r="IZ7" s="110"/>
      <c r="JA7" s="25"/>
      <c r="JB7" s="25"/>
      <c r="JC7" s="25"/>
      <c r="JD7" s="25"/>
      <c r="JE7" s="25"/>
      <c r="JF7" s="110"/>
      <c r="JG7" s="110"/>
      <c r="JH7" s="25"/>
      <c r="JI7" s="25"/>
      <c r="JJ7" s="25"/>
      <c r="JK7" s="25"/>
      <c r="JL7" s="25"/>
      <c r="JM7" s="110"/>
      <c r="JN7" s="110"/>
      <c r="JO7" s="25"/>
      <c r="JP7" s="25"/>
      <c r="JQ7" s="25"/>
      <c r="JR7" s="25"/>
      <c r="JS7" s="25"/>
      <c r="JT7" s="110"/>
      <c r="JU7" s="110"/>
      <c r="JV7" s="25"/>
      <c r="JW7" s="25"/>
      <c r="JX7" s="25"/>
      <c r="JY7" s="25"/>
      <c r="JZ7" s="25"/>
      <c r="KA7" s="110"/>
      <c r="KB7" s="110"/>
      <c r="KC7" s="25"/>
      <c r="KD7" s="25"/>
      <c r="KE7" s="25"/>
      <c r="KF7" s="25"/>
      <c r="KG7" s="25"/>
      <c r="KH7" s="110"/>
      <c r="KI7" s="110"/>
      <c r="KJ7" s="25"/>
      <c r="KK7" s="25"/>
      <c r="KL7" s="25"/>
      <c r="KM7" s="25"/>
      <c r="KN7" s="25"/>
      <c r="KO7" s="110"/>
      <c r="KP7" s="110"/>
      <c r="KQ7" s="25"/>
      <c r="KR7" s="25"/>
      <c r="KS7" s="25"/>
      <c r="KT7" s="25"/>
      <c r="KU7" s="25"/>
      <c r="KV7" s="110"/>
      <c r="KW7" s="110"/>
      <c r="KX7" s="25"/>
      <c r="KY7" s="25"/>
      <c r="KZ7" s="25"/>
      <c r="LA7" s="25"/>
      <c r="LB7" s="25"/>
      <c r="LC7" s="110"/>
      <c r="LD7" s="110"/>
      <c r="LE7" s="25"/>
      <c r="LF7" s="25"/>
      <c r="LG7" s="110" t="s">
        <v>445</v>
      </c>
      <c r="LH7" s="25"/>
      <c r="LI7" s="25"/>
      <c r="LJ7" s="110"/>
      <c r="LK7" s="110"/>
      <c r="LL7" s="25"/>
      <c r="LM7" s="25"/>
      <c r="LN7" s="25"/>
      <c r="LO7" s="25"/>
      <c r="LP7" s="25"/>
      <c r="LQ7" s="110"/>
      <c r="LR7" s="110"/>
      <c r="LS7" s="25"/>
      <c r="LT7" s="25"/>
      <c r="LU7" s="25"/>
      <c r="LV7" s="25"/>
      <c r="LW7" s="25"/>
      <c r="LX7" s="110"/>
      <c r="LY7" s="110"/>
      <c r="LZ7" s="25"/>
      <c r="MA7" s="25"/>
      <c r="MB7" s="25"/>
      <c r="MC7" s="25"/>
      <c r="MD7" s="25"/>
      <c r="ME7" s="110"/>
      <c r="MF7" s="110"/>
      <c r="MG7" s="25"/>
      <c r="MH7" s="25"/>
      <c r="MI7" s="25"/>
      <c r="MJ7" s="25"/>
      <c r="MK7" s="25"/>
      <c r="ML7" s="110"/>
      <c r="MM7" s="110"/>
      <c r="MN7" s="25"/>
      <c r="MO7" s="25"/>
      <c r="MP7" s="25"/>
      <c r="MQ7" s="25"/>
      <c r="MR7" s="25"/>
      <c r="MS7" s="110"/>
      <c r="MT7" s="110"/>
      <c r="MU7" s="25"/>
      <c r="MV7" s="25"/>
      <c r="MW7" s="25"/>
      <c r="MX7" s="25"/>
      <c r="MY7" s="25"/>
      <c r="MZ7" s="110"/>
      <c r="NA7" s="110"/>
      <c r="NB7" s="25"/>
      <c r="NC7" s="25"/>
      <c r="ND7" s="25"/>
      <c r="NE7" s="129"/>
      <c r="NF7" s="111"/>
      <c r="NG7" s="8">
        <f t="shared" si="0"/>
        <v>11</v>
      </c>
      <c r="NH7" s="351" cm="1">
        <f t="array" ref="NH7">NETWORKDAYS($I$2,$AH$2)- SUM(COUNTIF(I7:AH7,{"I";"F";"CP";"R";"P";"AC";"AM"}))</f>
        <v>15</v>
      </c>
      <c r="NI7" s="138">
        <f t="shared" si="12"/>
        <v>0.73333333333333328</v>
      </c>
      <c r="NJ7" s="8">
        <f t="shared" si="1"/>
        <v>8</v>
      </c>
      <c r="NK7" s="351" cm="1">
        <f t="array" ref="NK7">NETWORKDAYS($AJ$2,$BK$2)- SUM(COUNTIF(AJ7:BK7,{"I";"F";"CP";"R";"P";"AC";"AM"}))</f>
        <v>8</v>
      </c>
      <c r="NL7" s="138">
        <f t="shared" si="13"/>
        <v>1</v>
      </c>
      <c r="NM7" s="8">
        <f t="shared" si="2"/>
        <v>21</v>
      </c>
      <c r="NN7" s="351" cm="1">
        <f t="array" ref="NN7">NETWORKDAYS($BL$2,$CP$2)- SUM(COUNTIF(BL7:CP7,{"I";"F";"CP";"R";"P";"AC";"AM"}))</f>
        <v>22</v>
      </c>
      <c r="NO7" s="138">
        <f t="shared" si="14"/>
        <v>0.95454545454545459</v>
      </c>
      <c r="NP7" s="8">
        <f t="shared" si="3"/>
        <v>18</v>
      </c>
      <c r="NQ7" s="351" cm="1">
        <f t="array" ref="NQ7">NETWORKDAYS($CQ$2,$DT$2,$CV$2)- SUM(COUNTIF(CQ7:DT7,{"I";"F";"CP";"R";"P";"AC";"AM"}))</f>
        <v>21</v>
      </c>
      <c r="NR7" s="138">
        <f t="shared" si="15"/>
        <v>0.8571428571428571</v>
      </c>
      <c r="NS7" s="8">
        <f t="shared" si="4"/>
        <v>0</v>
      </c>
      <c r="NT7" s="351" cm="1">
        <f t="array" ref="NT7">NETWORKDAYS($DV$2,$EY$2)-SUM(COUNTIF(DV7:EY7,{"I";"F";"CP";"R";"P";"AC";"AM"}))</f>
        <v>16</v>
      </c>
      <c r="NU7" s="138">
        <f t="shared" si="16"/>
        <v>0</v>
      </c>
      <c r="NV7" s="8">
        <f t="shared" si="5"/>
        <v>0</v>
      </c>
      <c r="NW7" s="351" cm="1">
        <f t="array" ref="NW7">NETWORKDAYS($EZ$2,$GC$2)-SUM(COUNTIF(EZ7:GC7,{"I";"F";"CP";"R";"P";"AC";"AM"}))</f>
        <v>22</v>
      </c>
      <c r="NX7" s="138">
        <f t="shared" si="17"/>
        <v>0</v>
      </c>
      <c r="NY7" s="8">
        <f t="shared" si="6"/>
        <v>0</v>
      </c>
      <c r="NZ7" s="351" cm="1">
        <f t="array" ref="NZ7">NETWORKDAYS($GD$2,$HH$2,$GQ$2)-SUM(COUNTIF(GD7:HH7,{"I";"F";"CP";"R";"P";"AC";"AM"}))</f>
        <v>21</v>
      </c>
      <c r="OA7" s="138">
        <f t="shared" si="18"/>
        <v>0</v>
      </c>
      <c r="OB7" s="8">
        <f t="shared" si="7"/>
        <v>0</v>
      </c>
      <c r="OC7" s="351" cm="1">
        <f t="array" ref="OC7">NETWORKDAYS($HI$2,$IM$2)-SUM(COUNTIF(HI7:IM7,{"I";"F";"CP";"R";"P";"AC";"AM"}))</f>
        <v>21</v>
      </c>
      <c r="OD7" s="138">
        <f t="shared" si="19"/>
        <v>0</v>
      </c>
      <c r="OE7" s="8">
        <f t="shared" si="8"/>
        <v>0</v>
      </c>
      <c r="OF7" s="351" cm="1">
        <f t="array" ref="OF7">NETWORKDAYS($IN$2,$JQ$2)-SUM(COUNTIF(IN7:JQ7,{"I";"F";"CP";"R";"P";"AC";"AM"}))</f>
        <v>22</v>
      </c>
      <c r="OG7" s="138">
        <f t="shared" si="20"/>
        <v>0</v>
      </c>
      <c r="OH7" s="8">
        <f t="shared" si="9"/>
        <v>0</v>
      </c>
      <c r="OI7" s="351" cm="1">
        <f t="array" ref="OI7">NETWORKDAYS($JR$2,$KV$2)-SUM(COUNTIF(JR7:KV7,{"I";"F";"CP";"R";"P";"AC";"AM"}))</f>
        <v>22</v>
      </c>
      <c r="OJ7" s="138">
        <f t="shared" si="21"/>
        <v>0</v>
      </c>
      <c r="OK7" s="8">
        <f t="shared" si="10"/>
        <v>0</v>
      </c>
      <c r="OL7" s="351" cm="1">
        <f t="array" ref="OL7">NETWORKDAYS($KW$2,$LZ$2,$LG$2)-SUM(COUNTIF(KW7:LZ7,{"I";"F";"CP";"R";"P";"AC";"AM"}))</f>
        <v>19</v>
      </c>
      <c r="OM7" s="138">
        <f t="shared" si="22"/>
        <v>0</v>
      </c>
      <c r="ON7" s="8">
        <f t="shared" si="11"/>
        <v>0</v>
      </c>
      <c r="OO7" s="351" cm="1">
        <f t="array" ref="OO7">NETWORKDAYS($MA$2,$MR$2)-SUM(COUNTIF(MA7:MR7,{"I";"F";"CP";"R";"P";"AC";"AM"}))</f>
        <v>14</v>
      </c>
      <c r="OP7" s="138">
        <f t="shared" si="23"/>
        <v>0</v>
      </c>
      <c r="OQ7" s="94">
        <f t="shared" si="24"/>
        <v>58</v>
      </c>
      <c r="OR7" s="94">
        <f t="shared" si="25"/>
        <v>223</v>
      </c>
      <c r="OS7" s="138">
        <f t="shared" si="26"/>
        <v>0.26008968609865468</v>
      </c>
    </row>
    <row r="8" spans="1:409" hidden="1" x14ac:dyDescent="0.25">
      <c r="A8" s="94" t="s">
        <v>100</v>
      </c>
      <c r="B8" s="94" t="s">
        <v>34</v>
      </c>
      <c r="C8" s="27" t="s">
        <v>166</v>
      </c>
      <c r="D8" s="27" t="s">
        <v>170</v>
      </c>
      <c r="E8" s="128"/>
      <c r="F8" s="110"/>
      <c r="G8" s="110"/>
      <c r="H8" s="110"/>
      <c r="I8" s="25"/>
      <c r="J8" s="25">
        <v>1</v>
      </c>
      <c r="K8" s="25"/>
      <c r="L8" s="25"/>
      <c r="M8" s="25">
        <v>1</v>
      </c>
      <c r="N8" s="110"/>
      <c r="O8" s="110"/>
      <c r="P8" s="25">
        <v>1</v>
      </c>
      <c r="Q8" s="25">
        <v>1</v>
      </c>
      <c r="R8" s="25">
        <v>1</v>
      </c>
      <c r="S8" s="25">
        <v>1</v>
      </c>
      <c r="T8" s="25">
        <v>1</v>
      </c>
      <c r="U8" s="110"/>
      <c r="V8" s="110"/>
      <c r="W8" s="25">
        <v>1</v>
      </c>
      <c r="X8" s="25">
        <v>1</v>
      </c>
      <c r="Y8" s="25">
        <v>1</v>
      </c>
      <c r="Z8" s="25"/>
      <c r="AA8" s="25">
        <v>1</v>
      </c>
      <c r="AB8" s="110"/>
      <c r="AC8" s="110"/>
      <c r="AD8" s="25">
        <v>1</v>
      </c>
      <c r="AE8" s="25">
        <v>1</v>
      </c>
      <c r="AF8" s="25"/>
      <c r="AG8" s="25">
        <v>1</v>
      </c>
      <c r="AH8" s="25"/>
      <c r="AI8" s="110"/>
      <c r="AJ8" s="110"/>
      <c r="AK8" s="25">
        <v>1</v>
      </c>
      <c r="AL8" s="25"/>
      <c r="AM8" s="25">
        <v>1</v>
      </c>
      <c r="AN8" s="25" t="s">
        <v>447</v>
      </c>
      <c r="AO8" s="25" t="s">
        <v>447</v>
      </c>
      <c r="AP8" s="110"/>
      <c r="AQ8" s="110"/>
      <c r="AR8" s="25">
        <v>1</v>
      </c>
      <c r="AS8" s="25">
        <v>1</v>
      </c>
      <c r="AT8" s="25">
        <v>1</v>
      </c>
      <c r="AU8" s="415">
        <v>1</v>
      </c>
      <c r="AV8" s="25">
        <v>1</v>
      </c>
      <c r="AW8" s="110"/>
      <c r="AX8" s="110"/>
      <c r="AY8" s="25" t="s">
        <v>448</v>
      </c>
      <c r="AZ8" s="25" t="s">
        <v>448</v>
      </c>
      <c r="BA8" s="25" t="s">
        <v>448</v>
      </c>
      <c r="BB8" s="25" t="s">
        <v>448</v>
      </c>
      <c r="BC8" s="25" t="s">
        <v>448</v>
      </c>
      <c r="BD8" s="110"/>
      <c r="BE8" s="110"/>
      <c r="BF8" s="25">
        <v>1</v>
      </c>
      <c r="BG8" s="25">
        <v>1</v>
      </c>
      <c r="BH8" s="25">
        <v>1</v>
      </c>
      <c r="BI8" s="25">
        <v>1</v>
      </c>
      <c r="BJ8" s="25">
        <v>1</v>
      </c>
      <c r="BK8" s="110"/>
      <c r="BL8" s="110"/>
      <c r="BM8" s="25">
        <v>1</v>
      </c>
      <c r="BN8" s="25">
        <v>1</v>
      </c>
      <c r="BO8" s="25">
        <v>1</v>
      </c>
      <c r="BP8" s="25">
        <v>1</v>
      </c>
      <c r="BQ8" s="25">
        <v>1</v>
      </c>
      <c r="BR8" s="110"/>
      <c r="BS8" s="110"/>
      <c r="BT8" s="25">
        <v>1</v>
      </c>
      <c r="BU8" s="25">
        <v>1</v>
      </c>
      <c r="BV8" s="25">
        <v>1</v>
      </c>
      <c r="BW8" s="25">
        <v>1</v>
      </c>
      <c r="BX8" s="25">
        <v>1</v>
      </c>
      <c r="BY8" s="110"/>
      <c r="BZ8" s="110"/>
      <c r="CA8" s="25">
        <v>1</v>
      </c>
      <c r="CB8" s="25">
        <v>1</v>
      </c>
      <c r="CC8" s="25">
        <v>1</v>
      </c>
      <c r="CD8" s="25">
        <v>1</v>
      </c>
      <c r="CE8" s="25">
        <v>1</v>
      </c>
      <c r="CF8" s="110"/>
      <c r="CG8" s="110"/>
      <c r="CH8" s="25">
        <v>1</v>
      </c>
      <c r="CI8" s="25">
        <v>1</v>
      </c>
      <c r="CJ8" s="25">
        <v>1</v>
      </c>
      <c r="CK8" s="25">
        <v>1</v>
      </c>
      <c r="CL8" s="25">
        <v>1</v>
      </c>
      <c r="CM8" s="110"/>
      <c r="CN8" s="110"/>
      <c r="CO8" s="25"/>
      <c r="CP8" s="25"/>
      <c r="CQ8" s="25"/>
      <c r="CR8" s="25"/>
      <c r="CS8" s="25"/>
      <c r="CT8" s="110"/>
      <c r="CU8" s="110"/>
      <c r="CV8" s="110"/>
      <c r="CW8" s="25"/>
      <c r="CX8" s="25"/>
      <c r="CY8" s="25"/>
      <c r="CZ8" s="25"/>
      <c r="DA8" s="110"/>
      <c r="DB8" s="110"/>
      <c r="DC8" s="25" t="s">
        <v>223</v>
      </c>
      <c r="DD8" s="25" t="s">
        <v>223</v>
      </c>
      <c r="DE8" s="25" t="s">
        <v>223</v>
      </c>
      <c r="DF8" s="25" t="s">
        <v>223</v>
      </c>
      <c r="DG8" s="25" t="s">
        <v>223</v>
      </c>
      <c r="DH8" s="110"/>
      <c r="DI8" s="110"/>
      <c r="DJ8" s="25" t="s">
        <v>223</v>
      </c>
      <c r="DK8" s="25" t="s">
        <v>223</v>
      </c>
      <c r="DL8" s="25" t="s">
        <v>223</v>
      </c>
      <c r="DM8" s="25" t="s">
        <v>223</v>
      </c>
      <c r="DN8" s="25" t="s">
        <v>223</v>
      </c>
      <c r="DO8" s="110"/>
      <c r="DP8" s="110"/>
      <c r="DQ8" s="25"/>
      <c r="DR8" s="25"/>
      <c r="DS8" s="25">
        <v>1</v>
      </c>
      <c r="DT8" s="25">
        <v>1</v>
      </c>
      <c r="DU8" s="110" t="s">
        <v>445</v>
      </c>
      <c r="DV8" s="110"/>
      <c r="DW8" s="110"/>
      <c r="DX8" s="25">
        <v>1</v>
      </c>
      <c r="DY8" s="25">
        <v>1</v>
      </c>
      <c r="DZ8" s="25"/>
      <c r="EA8" s="25">
        <v>1</v>
      </c>
      <c r="EB8" s="110" t="s">
        <v>445</v>
      </c>
      <c r="EC8" s="110"/>
      <c r="ED8" s="110"/>
      <c r="EE8" s="25">
        <v>1</v>
      </c>
      <c r="EF8" s="25"/>
      <c r="EG8" s="25">
        <v>1</v>
      </c>
      <c r="EH8" s="110" t="s">
        <v>445</v>
      </c>
      <c r="EI8" s="110" t="s">
        <v>445</v>
      </c>
      <c r="EJ8" s="110"/>
      <c r="EK8" s="110"/>
      <c r="EL8" s="25"/>
      <c r="EM8" s="25"/>
      <c r="EN8" s="25"/>
      <c r="EO8" s="25"/>
      <c r="EP8" s="25"/>
      <c r="EQ8" s="110"/>
      <c r="ER8" s="110"/>
      <c r="ES8" s="110" t="s">
        <v>445</v>
      </c>
      <c r="ET8" s="25"/>
      <c r="EU8" s="25"/>
      <c r="EV8" s="25"/>
      <c r="EW8" s="25"/>
      <c r="EX8" s="110"/>
      <c r="EY8" s="110"/>
      <c r="EZ8" s="25"/>
      <c r="FA8" s="25"/>
      <c r="FB8" s="25"/>
      <c r="FC8" s="25"/>
      <c r="FD8" s="25"/>
      <c r="FE8" s="110"/>
      <c r="FF8" s="110"/>
      <c r="FG8" s="25"/>
      <c r="FH8" s="25"/>
      <c r="FI8" s="25"/>
      <c r="FJ8" s="25"/>
      <c r="FK8" s="25"/>
      <c r="FL8" s="110"/>
      <c r="FM8" s="110"/>
      <c r="FN8" s="25"/>
      <c r="FO8" s="25"/>
      <c r="FP8" s="25"/>
      <c r="FQ8" s="25"/>
      <c r="FR8" s="25"/>
      <c r="FS8" s="110"/>
      <c r="FT8" s="110"/>
      <c r="FU8" s="25"/>
      <c r="FV8" s="25"/>
      <c r="FW8" s="25"/>
      <c r="FX8" s="25"/>
      <c r="FY8" s="25"/>
      <c r="FZ8" s="110"/>
      <c r="GA8" s="110"/>
      <c r="GB8" s="25"/>
      <c r="GC8" s="25"/>
      <c r="GD8" s="25"/>
      <c r="GE8" s="25"/>
      <c r="GF8" s="25"/>
      <c r="GG8" s="110"/>
      <c r="GH8" s="110"/>
      <c r="GI8" s="25"/>
      <c r="GJ8" s="25"/>
      <c r="GK8" s="25"/>
      <c r="GL8" s="25"/>
      <c r="GM8" s="25"/>
      <c r="GN8" s="110"/>
      <c r="GO8" s="110"/>
      <c r="GP8" s="110" t="s">
        <v>445</v>
      </c>
      <c r="GQ8" s="110"/>
      <c r="GR8" s="25"/>
      <c r="GS8" s="25"/>
      <c r="GT8" s="25"/>
      <c r="GU8" s="110"/>
      <c r="GV8" s="110"/>
      <c r="GW8" s="25"/>
      <c r="GX8" s="25"/>
      <c r="GY8" s="25"/>
      <c r="GZ8" s="25"/>
      <c r="HA8" s="25"/>
      <c r="HB8" s="110"/>
      <c r="HC8" s="110"/>
      <c r="HD8" s="25"/>
      <c r="HE8" s="25"/>
      <c r="HF8" s="25"/>
      <c r="HG8" s="25"/>
      <c r="HH8" s="25"/>
      <c r="HI8" s="110"/>
      <c r="HJ8" s="110"/>
      <c r="HK8" s="25"/>
      <c r="HL8" s="25"/>
      <c r="HM8" s="25"/>
      <c r="HN8" s="25"/>
      <c r="HO8" s="25"/>
      <c r="HP8" s="110"/>
      <c r="HQ8" s="110"/>
      <c r="HR8" s="25"/>
      <c r="HS8" s="25"/>
      <c r="HT8" s="25"/>
      <c r="HU8" s="25"/>
      <c r="HV8" s="25"/>
      <c r="HW8" s="110"/>
      <c r="HX8" s="110"/>
      <c r="HY8" s="25"/>
      <c r="HZ8" s="25"/>
      <c r="IA8" s="25"/>
      <c r="IB8" s="25"/>
      <c r="IC8" s="25"/>
      <c r="ID8" s="110"/>
      <c r="IE8" s="110"/>
      <c r="IF8" s="25"/>
      <c r="IG8" s="25"/>
      <c r="IH8" s="25"/>
      <c r="II8" s="25"/>
      <c r="IJ8" s="25"/>
      <c r="IK8" s="110"/>
      <c r="IL8" s="110"/>
      <c r="IM8" s="25"/>
      <c r="IN8" s="25"/>
      <c r="IO8" s="25"/>
      <c r="IP8" s="25"/>
      <c r="IQ8" s="25"/>
      <c r="IR8" s="110"/>
      <c r="IS8" s="110"/>
      <c r="IT8" s="25"/>
      <c r="IU8" s="25"/>
      <c r="IV8" s="25"/>
      <c r="IW8" s="25"/>
      <c r="IX8" s="25"/>
      <c r="IY8" s="110"/>
      <c r="IZ8" s="110"/>
      <c r="JA8" s="25"/>
      <c r="JB8" s="25"/>
      <c r="JC8" s="25"/>
      <c r="JD8" s="25"/>
      <c r="JE8" s="25"/>
      <c r="JF8" s="110"/>
      <c r="JG8" s="110"/>
      <c r="JH8" s="25"/>
      <c r="JI8" s="25"/>
      <c r="JJ8" s="25"/>
      <c r="JK8" s="25"/>
      <c r="JL8" s="25"/>
      <c r="JM8" s="110"/>
      <c r="JN8" s="110"/>
      <c r="JO8" s="25"/>
      <c r="JP8" s="25"/>
      <c r="JQ8" s="25"/>
      <c r="JR8" s="25"/>
      <c r="JS8" s="25"/>
      <c r="JT8" s="110"/>
      <c r="JU8" s="110"/>
      <c r="JV8" s="25"/>
      <c r="JW8" s="25"/>
      <c r="JX8" s="25"/>
      <c r="JY8" s="25"/>
      <c r="JZ8" s="25"/>
      <c r="KA8" s="110"/>
      <c r="KB8" s="110"/>
      <c r="KC8" s="25"/>
      <c r="KD8" s="25"/>
      <c r="KE8" s="25"/>
      <c r="KF8" s="25"/>
      <c r="KG8" s="25"/>
      <c r="KH8" s="110"/>
      <c r="KI8" s="110"/>
      <c r="KJ8" s="25"/>
      <c r="KK8" s="25"/>
      <c r="KL8" s="25"/>
      <c r="KM8" s="25"/>
      <c r="KN8" s="25"/>
      <c r="KO8" s="110"/>
      <c r="KP8" s="110"/>
      <c r="KQ8" s="25"/>
      <c r="KR8" s="25"/>
      <c r="KS8" s="25"/>
      <c r="KT8" s="25"/>
      <c r="KU8" s="25"/>
      <c r="KV8" s="110"/>
      <c r="KW8" s="110"/>
      <c r="KX8" s="25"/>
      <c r="KY8" s="25"/>
      <c r="KZ8" s="25"/>
      <c r="LA8" s="25"/>
      <c r="LB8" s="25"/>
      <c r="LC8" s="110"/>
      <c r="LD8" s="110"/>
      <c r="LE8" s="25"/>
      <c r="LF8" s="25"/>
      <c r="LG8" s="110" t="s">
        <v>445</v>
      </c>
      <c r="LH8" s="25"/>
      <c r="LI8" s="25"/>
      <c r="LJ8" s="110"/>
      <c r="LK8" s="110"/>
      <c r="LL8" s="25"/>
      <c r="LM8" s="25"/>
      <c r="LN8" s="25"/>
      <c r="LO8" s="25"/>
      <c r="LP8" s="25"/>
      <c r="LQ8" s="110"/>
      <c r="LR8" s="110"/>
      <c r="LS8" s="25"/>
      <c r="LT8" s="25"/>
      <c r="LU8" s="25"/>
      <c r="LV8" s="25"/>
      <c r="LW8" s="25"/>
      <c r="LX8" s="110"/>
      <c r="LY8" s="110"/>
      <c r="LZ8" s="25"/>
      <c r="MA8" s="25"/>
      <c r="MB8" s="25"/>
      <c r="MC8" s="25"/>
      <c r="MD8" s="25"/>
      <c r="ME8" s="110"/>
      <c r="MF8" s="110"/>
      <c r="MG8" s="25"/>
      <c r="MH8" s="25"/>
      <c r="MI8" s="25"/>
      <c r="MJ8" s="25"/>
      <c r="MK8" s="25"/>
      <c r="ML8" s="110"/>
      <c r="MM8" s="110"/>
      <c r="MN8" s="25"/>
      <c r="MO8" s="25"/>
      <c r="MP8" s="25"/>
      <c r="MQ8" s="25"/>
      <c r="MR8" s="25"/>
      <c r="MS8" s="110"/>
      <c r="MT8" s="110"/>
      <c r="MU8" s="25"/>
      <c r="MV8" s="25"/>
      <c r="MW8" s="25"/>
      <c r="MX8" s="25"/>
      <c r="MY8" s="25"/>
      <c r="MZ8" s="110"/>
      <c r="NA8" s="110"/>
      <c r="NB8" s="25"/>
      <c r="NC8" s="25"/>
      <c r="ND8" s="25"/>
      <c r="NE8" s="129"/>
      <c r="NF8" s="111"/>
      <c r="NG8" s="8">
        <f t="shared" si="0"/>
        <v>14</v>
      </c>
      <c r="NH8" s="351" cm="1">
        <f t="array" ref="NH8">NETWORKDAYS($I$2,$AH$2)- SUM(COUNTIF(I8:AH8,{"I";"F";"CP";"R";"P";"AC";"AM"}))</f>
        <v>20</v>
      </c>
      <c r="NI8" s="138">
        <f t="shared" si="12"/>
        <v>0.7</v>
      </c>
      <c r="NJ8" s="8">
        <f t="shared" si="1"/>
        <v>12</v>
      </c>
      <c r="NK8" s="351" cm="1">
        <f t="array" ref="NK8">NETWORKDAYS($AJ$2,$BK$2)- SUM(COUNTIF(AJ8:BK8,{"I";"F";"CP";"R";"P";"AC";"AM"}))</f>
        <v>18</v>
      </c>
      <c r="NL8" s="138">
        <f t="shared" si="13"/>
        <v>0.66666666666666663</v>
      </c>
      <c r="NM8" s="8">
        <f t="shared" si="2"/>
        <v>20</v>
      </c>
      <c r="NN8" s="351" cm="1">
        <f t="array" ref="NN8">NETWORKDAYS($BL$2,$CP$2)- SUM(COUNTIF(BL8:CP8,{"I";"F";"CP";"R";"P";"AC";"AM"}))</f>
        <v>22</v>
      </c>
      <c r="NO8" s="138">
        <f t="shared" si="14"/>
        <v>0.90909090909090906</v>
      </c>
      <c r="NP8" s="8">
        <f t="shared" si="3"/>
        <v>2</v>
      </c>
      <c r="NQ8" s="351" cm="1">
        <f t="array" ref="NQ8">NETWORKDAYS($CQ$2,$DT$2,$CV$2)- SUM(COUNTIF(CQ8:DT8,{"I";"F";"CP";"R";"P";"AC";"AM"}))</f>
        <v>11</v>
      </c>
      <c r="NR8" s="138">
        <f t="shared" si="15"/>
        <v>0.18181818181818182</v>
      </c>
      <c r="NS8" s="8">
        <f t="shared" si="4"/>
        <v>5</v>
      </c>
      <c r="NT8" s="351" cm="1">
        <f t="array" ref="NT8">NETWORKDAYS($DV$2,$EY$2)-SUM(COUNTIF(DV8:EY8,{"I";"F";"CP";"R";"P";"AC";"AM"}))</f>
        <v>16</v>
      </c>
      <c r="NU8" s="138">
        <f t="shared" si="16"/>
        <v>0.3125</v>
      </c>
      <c r="NV8" s="8">
        <f t="shared" si="5"/>
        <v>0</v>
      </c>
      <c r="NW8" s="351" cm="1">
        <f t="array" ref="NW8">NETWORKDAYS($EZ$2,$GC$2)-SUM(COUNTIF(EZ8:GC8,{"I";"F";"CP";"R";"P";"AC";"AM"}))</f>
        <v>22</v>
      </c>
      <c r="NX8" s="138">
        <f t="shared" si="17"/>
        <v>0</v>
      </c>
      <c r="NY8" s="8">
        <f t="shared" si="6"/>
        <v>0</v>
      </c>
      <c r="NZ8" s="351" cm="1">
        <f t="array" ref="NZ8">NETWORKDAYS($GD$2,$HH$2,$GQ$2)-SUM(COUNTIF(GD8:HH8,{"I";"F";"CP";"R";"P";"AC";"AM"}))</f>
        <v>21</v>
      </c>
      <c r="OA8" s="138">
        <f t="shared" si="18"/>
        <v>0</v>
      </c>
      <c r="OB8" s="8">
        <f t="shared" si="7"/>
        <v>0</v>
      </c>
      <c r="OC8" s="351" cm="1">
        <f t="array" ref="OC8">NETWORKDAYS($HI$2,$IM$2)-SUM(COUNTIF(HI8:IM8,{"I";"F";"CP";"R";"P";"AC";"AM"}))</f>
        <v>21</v>
      </c>
      <c r="OD8" s="138">
        <f t="shared" si="19"/>
        <v>0</v>
      </c>
      <c r="OE8" s="8">
        <f t="shared" si="8"/>
        <v>0</v>
      </c>
      <c r="OF8" s="351" cm="1">
        <f t="array" ref="OF8">NETWORKDAYS($IN$2,$JQ$2)-SUM(COUNTIF(IN8:JQ8,{"I";"F";"CP";"R";"P";"AC";"AM"}))</f>
        <v>22</v>
      </c>
      <c r="OG8" s="138">
        <f t="shared" si="20"/>
        <v>0</v>
      </c>
      <c r="OH8" s="8">
        <f t="shared" si="9"/>
        <v>0</v>
      </c>
      <c r="OI8" s="351" cm="1">
        <f t="array" ref="OI8">NETWORKDAYS($JR$2,$KV$2)-SUM(COUNTIF(JR8:KV8,{"I";"F";"CP";"R";"P";"AC";"AM"}))</f>
        <v>22</v>
      </c>
      <c r="OJ8" s="138">
        <f t="shared" si="21"/>
        <v>0</v>
      </c>
      <c r="OK8" s="8">
        <f t="shared" si="10"/>
        <v>0</v>
      </c>
      <c r="OL8" s="351" cm="1">
        <f t="array" ref="OL8">NETWORKDAYS($KW$2,$LZ$2,$LG$2)-SUM(COUNTIF(KW8:LZ8,{"I";"F";"CP";"R";"P";"AC";"AM"}))</f>
        <v>19</v>
      </c>
      <c r="OM8" s="138">
        <f t="shared" si="22"/>
        <v>0</v>
      </c>
      <c r="ON8" s="8">
        <f t="shared" si="11"/>
        <v>0</v>
      </c>
      <c r="OO8" s="351" cm="1">
        <f t="array" ref="OO8">NETWORKDAYS($MA$2,$MR$2)-SUM(COUNTIF(MA8:MR8,{"I";"F";"CP";"R";"P";"AC";"AM"}))</f>
        <v>14</v>
      </c>
      <c r="OP8" s="138">
        <f t="shared" si="23"/>
        <v>0</v>
      </c>
      <c r="OQ8" s="94">
        <f t="shared" si="24"/>
        <v>53</v>
      </c>
      <c r="OR8" s="94">
        <f t="shared" si="25"/>
        <v>228</v>
      </c>
      <c r="OS8" s="138">
        <f t="shared" si="26"/>
        <v>0.23245614035087719</v>
      </c>
    </row>
    <row r="9" spans="1:409" hidden="1" x14ac:dyDescent="0.25">
      <c r="A9" s="93" t="s">
        <v>168</v>
      </c>
      <c r="B9" s="93" t="s">
        <v>168</v>
      </c>
      <c r="C9" s="91" t="s">
        <v>160</v>
      </c>
      <c r="D9" s="91" t="s">
        <v>171</v>
      </c>
      <c r="E9" s="128"/>
      <c r="F9" s="110"/>
      <c r="G9" s="110"/>
      <c r="H9" s="110"/>
      <c r="I9" s="25" t="s">
        <v>447</v>
      </c>
      <c r="J9" s="25" t="s">
        <v>447</v>
      </c>
      <c r="K9" s="25"/>
      <c r="L9" s="25">
        <v>1</v>
      </c>
      <c r="M9" s="25" t="s">
        <v>447</v>
      </c>
      <c r="N9" s="110"/>
      <c r="O9" s="110"/>
      <c r="P9" s="25">
        <v>1</v>
      </c>
      <c r="Q9" s="25">
        <v>1</v>
      </c>
      <c r="R9" s="25">
        <v>1</v>
      </c>
      <c r="S9" s="25">
        <v>1</v>
      </c>
      <c r="T9" s="25">
        <v>1</v>
      </c>
      <c r="U9" s="110"/>
      <c r="V9" s="110"/>
      <c r="W9" s="25">
        <v>1</v>
      </c>
      <c r="X9" s="25" t="s">
        <v>447</v>
      </c>
      <c r="Y9" s="25">
        <v>1</v>
      </c>
      <c r="Z9" s="25">
        <v>1</v>
      </c>
      <c r="AA9" s="25">
        <v>1</v>
      </c>
      <c r="AB9" s="110"/>
      <c r="AC9" s="110"/>
      <c r="AD9" s="25">
        <v>1</v>
      </c>
      <c r="AE9" s="25">
        <v>1</v>
      </c>
      <c r="AF9" s="25">
        <v>1</v>
      </c>
      <c r="AG9" s="25">
        <v>1</v>
      </c>
      <c r="AH9" s="25">
        <v>1</v>
      </c>
      <c r="AI9" s="110"/>
      <c r="AJ9" s="110"/>
      <c r="AK9" s="25">
        <v>1</v>
      </c>
      <c r="AL9" s="25">
        <v>1</v>
      </c>
      <c r="AM9" s="25">
        <v>1</v>
      </c>
      <c r="AN9" s="25">
        <v>1</v>
      </c>
      <c r="AO9" s="25">
        <v>1</v>
      </c>
      <c r="AP9" s="110"/>
      <c r="AQ9" s="110"/>
      <c r="AR9" s="25">
        <v>1</v>
      </c>
      <c r="AS9" s="25">
        <v>1</v>
      </c>
      <c r="AT9" s="25">
        <v>1</v>
      </c>
      <c r="AU9" s="25">
        <v>1</v>
      </c>
      <c r="AV9" s="25">
        <v>1</v>
      </c>
      <c r="AW9" s="110"/>
      <c r="AX9" s="110"/>
      <c r="AY9" s="25" t="s">
        <v>445</v>
      </c>
      <c r="AZ9" s="25" t="s">
        <v>445</v>
      </c>
      <c r="BA9" s="25" t="s">
        <v>445</v>
      </c>
      <c r="BB9" s="25" t="s">
        <v>445</v>
      </c>
      <c r="BC9" s="25" t="s">
        <v>445</v>
      </c>
      <c r="BD9" s="110"/>
      <c r="BE9" s="110"/>
      <c r="BF9" s="25">
        <v>1</v>
      </c>
      <c r="BG9" s="25">
        <v>1</v>
      </c>
      <c r="BH9" s="25">
        <v>1</v>
      </c>
      <c r="BI9" s="25">
        <v>1</v>
      </c>
      <c r="BJ9" s="25">
        <v>1</v>
      </c>
      <c r="BK9" s="110"/>
      <c r="BL9" s="110"/>
      <c r="BM9" s="25">
        <v>1</v>
      </c>
      <c r="BN9" s="25">
        <v>1</v>
      </c>
      <c r="BO9" s="25">
        <v>1</v>
      </c>
      <c r="BP9" s="25">
        <v>1</v>
      </c>
      <c r="BQ9" s="25">
        <v>1</v>
      </c>
      <c r="BR9" s="110"/>
      <c r="BS9" s="110"/>
      <c r="BT9" s="25">
        <v>2</v>
      </c>
      <c r="BU9" s="25">
        <v>1</v>
      </c>
      <c r="BV9" s="25">
        <v>1</v>
      </c>
      <c r="BW9" s="25">
        <v>1</v>
      </c>
      <c r="BX9" s="25">
        <v>1</v>
      </c>
      <c r="BY9" s="110"/>
      <c r="BZ9" s="110"/>
      <c r="CA9" s="25">
        <v>1</v>
      </c>
      <c r="CB9" s="25">
        <v>2</v>
      </c>
      <c r="CC9" s="25">
        <v>1</v>
      </c>
      <c r="CD9" s="25">
        <v>1</v>
      </c>
      <c r="CE9" s="25">
        <v>1</v>
      </c>
      <c r="CF9" s="110"/>
      <c r="CG9" s="110"/>
      <c r="CH9" s="25" t="s">
        <v>445</v>
      </c>
      <c r="CI9" s="25">
        <v>1</v>
      </c>
      <c r="CJ9" s="25">
        <v>1</v>
      </c>
      <c r="CK9" s="25">
        <v>1</v>
      </c>
      <c r="CL9" s="25">
        <v>1</v>
      </c>
      <c r="CM9" s="110"/>
      <c r="CN9" s="110"/>
      <c r="CO9" s="25">
        <v>1</v>
      </c>
      <c r="CP9" s="25">
        <v>1</v>
      </c>
      <c r="CQ9" s="25">
        <v>1</v>
      </c>
      <c r="CR9" s="25">
        <v>1</v>
      </c>
      <c r="CS9" s="25"/>
      <c r="CT9" s="110"/>
      <c r="CU9" s="110"/>
      <c r="CV9" s="110"/>
      <c r="CW9" s="25">
        <v>1</v>
      </c>
      <c r="CX9" s="25">
        <v>1</v>
      </c>
      <c r="CY9" s="25">
        <v>1</v>
      </c>
      <c r="CZ9" s="25">
        <v>1</v>
      </c>
      <c r="DA9" s="110"/>
      <c r="DB9" s="110"/>
      <c r="DC9" s="25"/>
      <c r="DD9" s="25"/>
      <c r="DE9" s="25"/>
      <c r="DF9" s="25"/>
      <c r="DG9" s="25"/>
      <c r="DH9" s="110"/>
      <c r="DI9" s="110"/>
      <c r="DJ9" s="25">
        <v>1</v>
      </c>
      <c r="DK9" s="25">
        <v>1</v>
      </c>
      <c r="DL9" s="25">
        <v>1</v>
      </c>
      <c r="DM9" s="25">
        <v>1</v>
      </c>
      <c r="DN9" s="25">
        <v>1</v>
      </c>
      <c r="DO9" s="110"/>
      <c r="DP9" s="110"/>
      <c r="DQ9" s="25">
        <v>1</v>
      </c>
      <c r="DR9" s="25">
        <v>1</v>
      </c>
      <c r="DS9" s="25">
        <v>1</v>
      </c>
      <c r="DT9" s="25">
        <v>1</v>
      </c>
      <c r="DU9" s="110" t="s">
        <v>445</v>
      </c>
      <c r="DV9" s="110"/>
      <c r="DW9" s="110"/>
      <c r="DX9" s="25"/>
      <c r="DY9" s="25"/>
      <c r="DZ9" s="25"/>
      <c r="EA9" s="25"/>
      <c r="EB9" s="110" t="s">
        <v>445</v>
      </c>
      <c r="EC9" s="110"/>
      <c r="ED9" s="110"/>
      <c r="EE9" s="25"/>
      <c r="EF9" s="25"/>
      <c r="EG9" s="25"/>
      <c r="EH9" s="110" t="s">
        <v>445</v>
      </c>
      <c r="EI9" s="110" t="s">
        <v>445</v>
      </c>
      <c r="EJ9" s="110"/>
      <c r="EK9" s="110"/>
      <c r="EL9" s="25"/>
      <c r="EM9" s="25"/>
      <c r="EN9" s="25"/>
      <c r="EO9" s="25"/>
      <c r="EP9" s="25"/>
      <c r="EQ9" s="110"/>
      <c r="ER9" s="110"/>
      <c r="ES9" s="110" t="s">
        <v>445</v>
      </c>
      <c r="ET9" s="25"/>
      <c r="EU9" s="25"/>
      <c r="EV9" s="25"/>
      <c r="EW9" s="25"/>
      <c r="EX9" s="110"/>
      <c r="EY9" s="110"/>
      <c r="EZ9" s="25"/>
      <c r="FA9" s="25"/>
      <c r="FB9" s="25"/>
      <c r="FC9" s="25"/>
      <c r="FD9" s="25"/>
      <c r="FE9" s="110"/>
      <c r="FF9" s="110"/>
      <c r="FG9" s="25"/>
      <c r="FH9" s="25"/>
      <c r="FI9" s="25"/>
      <c r="FJ9" s="25"/>
      <c r="FK9" s="25"/>
      <c r="FL9" s="110"/>
      <c r="FM9" s="110"/>
      <c r="FN9" s="25"/>
      <c r="FO9" s="25"/>
      <c r="FP9" s="25"/>
      <c r="FQ9" s="25"/>
      <c r="FR9" s="25"/>
      <c r="FS9" s="110"/>
      <c r="FT9" s="110"/>
      <c r="FU9" s="25"/>
      <c r="FV9" s="25"/>
      <c r="FW9" s="25"/>
      <c r="FX9" s="25"/>
      <c r="FY9" s="25"/>
      <c r="FZ9" s="110"/>
      <c r="GA9" s="110"/>
      <c r="GB9" s="25"/>
      <c r="GC9" s="25"/>
      <c r="GD9" s="25"/>
      <c r="GE9" s="25"/>
      <c r="GF9" s="25"/>
      <c r="GG9" s="110"/>
      <c r="GH9" s="110"/>
      <c r="GI9" s="25"/>
      <c r="GJ9" s="25"/>
      <c r="GK9" s="25"/>
      <c r="GL9" s="25"/>
      <c r="GM9" s="25"/>
      <c r="GN9" s="110"/>
      <c r="GO9" s="110"/>
      <c r="GP9" s="110" t="s">
        <v>445</v>
      </c>
      <c r="GQ9" s="110"/>
      <c r="GR9" s="25"/>
      <c r="GS9" s="25"/>
      <c r="GT9" s="25"/>
      <c r="GU9" s="110"/>
      <c r="GV9" s="110"/>
      <c r="GW9" s="25"/>
      <c r="GX9" s="25"/>
      <c r="GY9" s="25"/>
      <c r="GZ9" s="25"/>
      <c r="HA9" s="25"/>
      <c r="HB9" s="110"/>
      <c r="HC9" s="110"/>
      <c r="HD9" s="25"/>
      <c r="HE9" s="25"/>
      <c r="HF9" s="25"/>
      <c r="HG9" s="25"/>
      <c r="HH9" s="25"/>
      <c r="HI9" s="110"/>
      <c r="HJ9" s="110"/>
      <c r="HK9" s="25"/>
      <c r="HL9" s="25"/>
      <c r="HM9" s="25"/>
      <c r="HN9" s="25"/>
      <c r="HO9" s="25"/>
      <c r="HP9" s="110"/>
      <c r="HQ9" s="110"/>
      <c r="HR9" s="25"/>
      <c r="HS9" s="25"/>
      <c r="HT9" s="25"/>
      <c r="HU9" s="25"/>
      <c r="HV9" s="25"/>
      <c r="HW9" s="110"/>
      <c r="HX9" s="110"/>
      <c r="HY9" s="25"/>
      <c r="HZ9" s="25"/>
      <c r="IA9" s="25"/>
      <c r="IB9" s="25"/>
      <c r="IC9" s="25"/>
      <c r="ID9" s="110"/>
      <c r="IE9" s="110"/>
      <c r="IF9" s="25"/>
      <c r="IG9" s="25"/>
      <c r="IH9" s="25"/>
      <c r="II9" s="25"/>
      <c r="IJ9" s="25"/>
      <c r="IK9" s="110"/>
      <c r="IL9" s="110"/>
      <c r="IM9" s="25"/>
      <c r="IN9" s="25"/>
      <c r="IO9" s="25"/>
      <c r="IP9" s="25"/>
      <c r="IQ9" s="25"/>
      <c r="IR9" s="110"/>
      <c r="IS9" s="110"/>
      <c r="IT9" s="25"/>
      <c r="IU9" s="25"/>
      <c r="IV9" s="25"/>
      <c r="IW9" s="25"/>
      <c r="IX9" s="25"/>
      <c r="IY9" s="110"/>
      <c r="IZ9" s="110"/>
      <c r="JA9" s="25"/>
      <c r="JB9" s="25"/>
      <c r="JC9" s="25"/>
      <c r="JD9" s="25"/>
      <c r="JE9" s="25"/>
      <c r="JF9" s="110"/>
      <c r="JG9" s="110"/>
      <c r="JH9" s="25"/>
      <c r="JI9" s="25"/>
      <c r="JJ9" s="25"/>
      <c r="JK9" s="25"/>
      <c r="JL9" s="25"/>
      <c r="JM9" s="110"/>
      <c r="JN9" s="110"/>
      <c r="JO9" s="25"/>
      <c r="JP9" s="25"/>
      <c r="JQ9" s="25"/>
      <c r="JR9" s="25"/>
      <c r="JS9" s="25"/>
      <c r="JT9" s="110"/>
      <c r="JU9" s="110"/>
      <c r="JV9" s="25"/>
      <c r="JW9" s="25"/>
      <c r="JX9" s="25"/>
      <c r="JY9" s="25"/>
      <c r="JZ9" s="25"/>
      <c r="KA9" s="110"/>
      <c r="KB9" s="110"/>
      <c r="KC9" s="25"/>
      <c r="KD9" s="25"/>
      <c r="KE9" s="25"/>
      <c r="KF9" s="25"/>
      <c r="KG9" s="25"/>
      <c r="KH9" s="110"/>
      <c r="KI9" s="110"/>
      <c r="KJ9" s="25"/>
      <c r="KK9" s="25"/>
      <c r="KL9" s="25"/>
      <c r="KM9" s="25"/>
      <c r="KN9" s="25"/>
      <c r="KO9" s="110"/>
      <c r="KP9" s="110"/>
      <c r="KQ9" s="25"/>
      <c r="KR9" s="25"/>
      <c r="KS9" s="25"/>
      <c r="KT9" s="25"/>
      <c r="KU9" s="25"/>
      <c r="KV9" s="110"/>
      <c r="KW9" s="110"/>
      <c r="KX9" s="25"/>
      <c r="KY9" s="25"/>
      <c r="KZ9" s="25"/>
      <c r="LA9" s="25"/>
      <c r="LB9" s="25"/>
      <c r="LC9" s="110"/>
      <c r="LD9" s="110"/>
      <c r="LE9" s="25"/>
      <c r="LF9" s="25"/>
      <c r="LG9" s="110" t="s">
        <v>445</v>
      </c>
      <c r="LH9" s="25"/>
      <c r="LI9" s="25"/>
      <c r="LJ9" s="110"/>
      <c r="LK9" s="110"/>
      <c r="LL9" s="25"/>
      <c r="LM9" s="25"/>
      <c r="LN9" s="25"/>
      <c r="LO9" s="25"/>
      <c r="LP9" s="25"/>
      <c r="LQ9" s="110"/>
      <c r="LR9" s="110"/>
      <c r="LS9" s="25"/>
      <c r="LT9" s="25"/>
      <c r="LU9" s="25"/>
      <c r="LV9" s="25"/>
      <c r="LW9" s="25"/>
      <c r="LX9" s="110"/>
      <c r="LY9" s="110"/>
      <c r="LZ9" s="25"/>
      <c r="MA9" s="25"/>
      <c r="MB9" s="25"/>
      <c r="MC9" s="25"/>
      <c r="MD9" s="25"/>
      <c r="ME9" s="110"/>
      <c r="MF9" s="110"/>
      <c r="MG9" s="25"/>
      <c r="MH9" s="25"/>
      <c r="MI9" s="25"/>
      <c r="MJ9" s="25"/>
      <c r="MK9" s="25"/>
      <c r="ML9" s="110"/>
      <c r="MM9" s="110"/>
      <c r="MN9" s="25"/>
      <c r="MO9" s="25"/>
      <c r="MP9" s="25"/>
      <c r="MQ9" s="25"/>
      <c r="MR9" s="25"/>
      <c r="MS9" s="110"/>
      <c r="MT9" s="110"/>
      <c r="MU9" s="25"/>
      <c r="MV9" s="25"/>
      <c r="MW9" s="25"/>
      <c r="MX9" s="25"/>
      <c r="MY9" s="25"/>
      <c r="MZ9" s="110"/>
      <c r="NA9" s="110"/>
      <c r="NB9" s="25"/>
      <c r="NC9" s="25"/>
      <c r="ND9" s="25"/>
      <c r="NE9" s="129"/>
      <c r="NF9" s="111"/>
      <c r="NG9" s="8">
        <f t="shared" si="0"/>
        <v>15</v>
      </c>
      <c r="NH9" s="351" cm="1">
        <f t="array" ref="NH9">NETWORKDAYS($I$2,$AH$2)- SUM(COUNTIF(I9:AH9,{"I";"F";"CP";"R";"P";"AC";"AM"}))</f>
        <v>16</v>
      </c>
      <c r="NI9" s="138">
        <f t="shared" si="12"/>
        <v>0.9375</v>
      </c>
      <c r="NJ9" s="8">
        <f t="shared" si="1"/>
        <v>15</v>
      </c>
      <c r="NK9" s="351" cm="1">
        <f t="array" ref="NK9">NETWORKDAYS($AJ$2,$BK$2)- SUM(COUNTIF(AJ9:BK9,{"I";"F";"CP";"R";"P";"AC";"AM"}))</f>
        <v>15</v>
      </c>
      <c r="NL9" s="138">
        <f t="shared" si="13"/>
        <v>1</v>
      </c>
      <c r="NM9" s="8">
        <f t="shared" si="2"/>
        <v>23</v>
      </c>
      <c r="NN9" s="351" cm="1">
        <f t="array" ref="NN9">NETWORKDAYS($BL$2,$CP$2)- SUM(COUNTIF(BL9:CP9,{"I";"F";"CP";"R";"P";"AC";"AM"}))</f>
        <v>21</v>
      </c>
      <c r="NO9" s="138">
        <f t="shared" si="14"/>
        <v>1.0952380952380953</v>
      </c>
      <c r="NP9" s="8">
        <f t="shared" si="3"/>
        <v>15</v>
      </c>
      <c r="NQ9" s="351" cm="1">
        <f t="array" ref="NQ9">NETWORKDAYS($CQ$2,$DT$2,$CV$2)- SUM(COUNTIF(CQ9:DT9,{"I";"F";"CP";"R";"P";"AC";"AM"}))</f>
        <v>21</v>
      </c>
      <c r="NR9" s="138">
        <f t="shared" si="15"/>
        <v>0.7142857142857143</v>
      </c>
      <c r="NS9" s="8">
        <f t="shared" si="4"/>
        <v>0</v>
      </c>
      <c r="NT9" s="351" cm="1">
        <f t="array" ref="NT9">NETWORKDAYS($DV$2,$EY$2)-SUM(COUNTIF(DV9:EY9,{"I";"F";"CP";"R";"P";"AC";"AM"}))</f>
        <v>16</v>
      </c>
      <c r="NU9" s="138">
        <f t="shared" si="16"/>
        <v>0</v>
      </c>
      <c r="NV9" s="8">
        <f t="shared" si="5"/>
        <v>0</v>
      </c>
      <c r="NW9" s="351" cm="1">
        <f t="array" ref="NW9">NETWORKDAYS($EZ$2,$GC$2)-SUM(COUNTIF(EZ9:GC9,{"I";"F";"CP";"R";"P";"AC";"AM"}))</f>
        <v>22</v>
      </c>
      <c r="NX9" s="138">
        <f t="shared" si="17"/>
        <v>0</v>
      </c>
      <c r="NY9" s="8">
        <f t="shared" si="6"/>
        <v>0</v>
      </c>
      <c r="NZ9" s="351" cm="1">
        <f t="array" ref="NZ9">NETWORKDAYS($GD$2,$HH$2,$GQ$2)-SUM(COUNTIF(GD9:HH9,{"I";"F";"CP";"R";"P";"AC";"AM"}))</f>
        <v>21</v>
      </c>
      <c r="OA9" s="138">
        <f t="shared" si="18"/>
        <v>0</v>
      </c>
      <c r="OB9" s="8">
        <f t="shared" si="7"/>
        <v>0</v>
      </c>
      <c r="OC9" s="351" cm="1">
        <f t="array" ref="OC9">NETWORKDAYS($HI$2,$IM$2)-SUM(COUNTIF(HI9:IM9,{"I";"F";"CP";"R";"P";"AC";"AM"}))</f>
        <v>21</v>
      </c>
      <c r="OD9" s="138">
        <f t="shared" si="19"/>
        <v>0</v>
      </c>
      <c r="OE9" s="8">
        <f t="shared" si="8"/>
        <v>0</v>
      </c>
      <c r="OF9" s="351" cm="1">
        <f t="array" ref="OF9">NETWORKDAYS($IN$2,$JQ$2)-SUM(COUNTIF(IN9:JQ9,{"I";"F";"CP";"R";"P";"AC";"AM"}))</f>
        <v>22</v>
      </c>
      <c r="OG9" s="138">
        <f t="shared" si="20"/>
        <v>0</v>
      </c>
      <c r="OH9" s="8">
        <f t="shared" si="9"/>
        <v>0</v>
      </c>
      <c r="OI9" s="351" cm="1">
        <f t="array" ref="OI9">NETWORKDAYS($JR$2,$KV$2)-SUM(COUNTIF(JR9:KV9,{"I";"F";"CP";"R";"P";"AC";"AM"}))</f>
        <v>22</v>
      </c>
      <c r="OJ9" s="138">
        <f t="shared" si="21"/>
        <v>0</v>
      </c>
      <c r="OK9" s="8">
        <f t="shared" si="10"/>
        <v>0</v>
      </c>
      <c r="OL9" s="351" cm="1">
        <f t="array" ref="OL9">NETWORKDAYS($KW$2,$LZ$2,$LG$2)-SUM(COUNTIF(KW9:LZ9,{"I";"F";"CP";"R";"P";"AC";"AM"}))</f>
        <v>19</v>
      </c>
      <c r="OM9" s="138">
        <f t="shared" si="22"/>
        <v>0</v>
      </c>
      <c r="ON9" s="8">
        <f t="shared" si="11"/>
        <v>0</v>
      </c>
      <c r="OO9" s="351" cm="1">
        <f t="array" ref="OO9">NETWORKDAYS($MA$2,$MR$2)-SUM(COUNTIF(MA9:MR9,{"I";"F";"CP";"R";"P";"AC";"AM"}))</f>
        <v>14</v>
      </c>
      <c r="OP9" s="138">
        <f t="shared" si="23"/>
        <v>0</v>
      </c>
      <c r="OQ9" s="94">
        <f t="shared" si="24"/>
        <v>68</v>
      </c>
      <c r="OR9" s="94">
        <f t="shared" si="25"/>
        <v>230</v>
      </c>
      <c r="OS9" s="138">
        <f t="shared" si="26"/>
        <v>0.29565217391304349</v>
      </c>
    </row>
    <row r="10" spans="1:409" hidden="1" x14ac:dyDescent="0.25">
      <c r="A10" s="93" t="s">
        <v>109</v>
      </c>
      <c r="B10" s="93" t="s">
        <v>34</v>
      </c>
      <c r="C10" s="91" t="s">
        <v>160</v>
      </c>
      <c r="D10" s="91" t="s">
        <v>172</v>
      </c>
      <c r="E10" s="128"/>
      <c r="F10" s="110"/>
      <c r="G10" s="110"/>
      <c r="H10" s="110"/>
      <c r="I10" s="25">
        <v>1</v>
      </c>
      <c r="J10" s="25">
        <v>1</v>
      </c>
      <c r="K10" s="25">
        <v>1</v>
      </c>
      <c r="L10" s="25"/>
      <c r="M10" s="25">
        <v>1</v>
      </c>
      <c r="N10" s="110"/>
      <c r="O10" s="110"/>
      <c r="P10" s="25">
        <v>1</v>
      </c>
      <c r="Q10" s="25">
        <v>1</v>
      </c>
      <c r="R10" s="25">
        <v>1</v>
      </c>
      <c r="S10" s="25">
        <v>1</v>
      </c>
      <c r="T10" s="25">
        <v>1</v>
      </c>
      <c r="U10" s="110"/>
      <c r="V10" s="110"/>
      <c r="W10" s="25">
        <v>1</v>
      </c>
      <c r="X10" s="25">
        <v>1</v>
      </c>
      <c r="Y10" s="25">
        <v>1</v>
      </c>
      <c r="Z10" s="25">
        <v>1</v>
      </c>
      <c r="AA10" s="25">
        <v>1</v>
      </c>
      <c r="AB10" s="110"/>
      <c r="AC10" s="110"/>
      <c r="AD10" s="25">
        <v>1</v>
      </c>
      <c r="AE10" s="25">
        <v>1</v>
      </c>
      <c r="AF10" s="25">
        <v>1</v>
      </c>
      <c r="AG10" s="25">
        <v>1</v>
      </c>
      <c r="AH10" s="25">
        <v>1</v>
      </c>
      <c r="AI10" s="110"/>
      <c r="AJ10" s="110"/>
      <c r="AK10" s="25">
        <v>1</v>
      </c>
      <c r="AL10" s="25">
        <v>1</v>
      </c>
      <c r="AM10" s="25">
        <v>1</v>
      </c>
      <c r="AN10" s="25">
        <v>1</v>
      </c>
      <c r="AO10" s="25">
        <v>1</v>
      </c>
      <c r="AP10" s="110"/>
      <c r="AQ10" s="110"/>
      <c r="AR10" s="25">
        <v>1</v>
      </c>
      <c r="AS10" s="25">
        <v>1</v>
      </c>
      <c r="AT10" s="25">
        <v>1</v>
      </c>
      <c r="AV10" s="25">
        <v>1</v>
      </c>
      <c r="AW10" s="110"/>
      <c r="AX10" s="110"/>
      <c r="AY10" s="25"/>
      <c r="AZ10" s="25">
        <v>1</v>
      </c>
      <c r="BA10" s="25">
        <v>1</v>
      </c>
      <c r="BB10" s="25">
        <v>1</v>
      </c>
      <c r="BC10" s="25">
        <v>1</v>
      </c>
      <c r="BD10" s="110"/>
      <c r="BE10" s="110"/>
      <c r="BF10" s="25"/>
      <c r="BG10" s="25"/>
      <c r="BH10" s="25"/>
      <c r="BI10" s="25"/>
      <c r="BJ10" s="25"/>
      <c r="BK10" s="110"/>
      <c r="BL10" s="110"/>
      <c r="BM10" s="25"/>
      <c r="BN10" s="25">
        <v>1</v>
      </c>
      <c r="BO10" s="25">
        <v>1</v>
      </c>
      <c r="BP10" s="25">
        <v>1</v>
      </c>
      <c r="BQ10" s="25">
        <v>1</v>
      </c>
      <c r="BR10" s="110"/>
      <c r="BS10" s="110"/>
      <c r="BT10" s="25">
        <v>1</v>
      </c>
      <c r="BU10" s="25">
        <v>1</v>
      </c>
      <c r="BV10" s="25">
        <v>1</v>
      </c>
      <c r="BW10" s="25">
        <v>1</v>
      </c>
      <c r="BX10" s="25">
        <v>1</v>
      </c>
      <c r="BY10" s="110"/>
      <c r="BZ10" s="110"/>
      <c r="CA10" s="25">
        <v>1</v>
      </c>
      <c r="CB10" s="25">
        <v>1</v>
      </c>
      <c r="CC10" s="25">
        <v>1</v>
      </c>
      <c r="CD10" s="25">
        <v>1</v>
      </c>
      <c r="CE10" s="25">
        <v>1</v>
      </c>
      <c r="CF10" s="110"/>
      <c r="CG10" s="110"/>
      <c r="CH10" s="25">
        <v>1</v>
      </c>
      <c r="CI10" s="25">
        <v>1</v>
      </c>
      <c r="CJ10" s="25">
        <v>1</v>
      </c>
      <c r="CK10" s="25">
        <v>1</v>
      </c>
      <c r="CL10" s="25">
        <v>1</v>
      </c>
      <c r="CM10" s="110"/>
      <c r="CN10" s="110"/>
      <c r="CO10" s="25">
        <v>1</v>
      </c>
      <c r="CP10" s="25">
        <v>1</v>
      </c>
      <c r="CQ10" s="25">
        <v>1</v>
      </c>
      <c r="CR10" s="25">
        <v>1</v>
      </c>
      <c r="CS10" s="25"/>
      <c r="CT10" s="110"/>
      <c r="CU10" s="110"/>
      <c r="CV10" s="110"/>
      <c r="CW10" s="25"/>
      <c r="CX10" s="25">
        <v>1</v>
      </c>
      <c r="CY10" s="25">
        <v>1</v>
      </c>
      <c r="CZ10" s="25">
        <v>1</v>
      </c>
      <c r="DA10" s="110"/>
      <c r="DB10" s="110"/>
      <c r="DC10" s="25">
        <v>1</v>
      </c>
      <c r="DD10" s="25">
        <v>1</v>
      </c>
      <c r="DE10" s="25">
        <v>1</v>
      </c>
      <c r="DF10" s="25">
        <v>1</v>
      </c>
      <c r="DG10" s="25"/>
      <c r="DH10" s="110"/>
      <c r="DI10" s="110"/>
      <c r="DJ10" s="25">
        <v>1</v>
      </c>
      <c r="DK10" s="25">
        <v>1</v>
      </c>
      <c r="DL10" s="25">
        <v>1</v>
      </c>
      <c r="DM10" s="25">
        <v>1</v>
      </c>
      <c r="DN10" s="25">
        <v>1</v>
      </c>
      <c r="DO10" s="110"/>
      <c r="DP10" s="110"/>
      <c r="DQ10" s="25">
        <v>1</v>
      </c>
      <c r="DR10" s="25">
        <v>1</v>
      </c>
      <c r="DS10" s="25"/>
      <c r="DT10" s="25"/>
      <c r="DU10" s="110" t="s">
        <v>445</v>
      </c>
      <c r="DV10" s="110"/>
      <c r="DW10" s="110"/>
      <c r="DX10" s="25"/>
      <c r="DY10" s="25"/>
      <c r="DZ10" s="25"/>
      <c r="EA10" s="25"/>
      <c r="EB10" s="110" t="s">
        <v>445</v>
      </c>
      <c r="EC10" s="110"/>
      <c r="ED10" s="110"/>
      <c r="EE10" s="25"/>
      <c r="EF10" s="25"/>
      <c r="EG10" s="25"/>
      <c r="EH10" s="110" t="s">
        <v>445</v>
      </c>
      <c r="EI10" s="110" t="s">
        <v>445</v>
      </c>
      <c r="EJ10" s="110"/>
      <c r="EK10" s="110"/>
      <c r="EL10" s="25"/>
      <c r="EM10" s="25"/>
      <c r="EN10" s="25"/>
      <c r="EO10" s="25"/>
      <c r="EP10" s="25"/>
      <c r="EQ10" s="110"/>
      <c r="ER10" s="110"/>
      <c r="ES10" s="110" t="s">
        <v>445</v>
      </c>
      <c r="ET10" s="25"/>
      <c r="EU10" s="25"/>
      <c r="EV10" s="25"/>
      <c r="EW10" s="25"/>
      <c r="EX10" s="110"/>
      <c r="EY10" s="110"/>
      <c r="EZ10" s="25"/>
      <c r="FA10" s="25"/>
      <c r="FB10" s="25"/>
      <c r="FC10" s="25"/>
      <c r="FD10" s="25"/>
      <c r="FE10" s="110"/>
      <c r="FF10" s="110"/>
      <c r="FG10" s="25"/>
      <c r="FH10" s="25"/>
      <c r="FI10" s="25"/>
      <c r="FJ10" s="25"/>
      <c r="FK10" s="25"/>
      <c r="FL10" s="110"/>
      <c r="FM10" s="110"/>
      <c r="FN10" s="25"/>
      <c r="FO10" s="25"/>
      <c r="FP10" s="25"/>
      <c r="FQ10" s="25"/>
      <c r="FR10" s="25"/>
      <c r="FS10" s="110"/>
      <c r="FT10" s="110"/>
      <c r="FU10" s="25"/>
      <c r="FV10" s="25"/>
      <c r="FW10" s="25"/>
      <c r="FX10" s="25"/>
      <c r="FY10" s="25"/>
      <c r="FZ10" s="110"/>
      <c r="GA10" s="110"/>
      <c r="GB10" s="25"/>
      <c r="GC10" s="25"/>
      <c r="GD10" s="25"/>
      <c r="GE10" s="25"/>
      <c r="GF10" s="25"/>
      <c r="GG10" s="110"/>
      <c r="GH10" s="110"/>
      <c r="GI10" s="25"/>
      <c r="GJ10" s="25"/>
      <c r="GK10" s="25"/>
      <c r="GL10" s="25"/>
      <c r="GM10" s="25"/>
      <c r="GN10" s="110"/>
      <c r="GO10" s="110"/>
      <c r="GP10" s="110" t="s">
        <v>445</v>
      </c>
      <c r="GQ10" s="110"/>
      <c r="GR10" s="25"/>
      <c r="GS10" s="25"/>
      <c r="GT10" s="25"/>
      <c r="GU10" s="110"/>
      <c r="GV10" s="110"/>
      <c r="GW10" s="25"/>
      <c r="GX10" s="25"/>
      <c r="GY10" s="25"/>
      <c r="GZ10" s="25"/>
      <c r="HA10" s="25"/>
      <c r="HB10" s="110"/>
      <c r="HC10" s="110"/>
      <c r="HD10" s="25"/>
      <c r="HE10" s="25"/>
      <c r="HF10" s="25"/>
      <c r="HG10" s="25"/>
      <c r="HH10" s="25"/>
      <c r="HI10" s="110"/>
      <c r="HJ10" s="110"/>
      <c r="HK10" s="25"/>
      <c r="HL10" s="25"/>
      <c r="HM10" s="25"/>
      <c r="HN10" s="25"/>
      <c r="HO10" s="25"/>
      <c r="HP10" s="110"/>
      <c r="HQ10" s="110"/>
      <c r="HR10" s="25"/>
      <c r="HS10" s="25"/>
      <c r="HT10" s="25"/>
      <c r="HU10" s="25"/>
      <c r="HV10" s="25"/>
      <c r="HW10" s="110"/>
      <c r="HX10" s="110"/>
      <c r="HY10" s="25"/>
      <c r="HZ10" s="25"/>
      <c r="IA10" s="25"/>
      <c r="IB10" s="25"/>
      <c r="IC10" s="25"/>
      <c r="ID10" s="110"/>
      <c r="IE10" s="110"/>
      <c r="IF10" s="25"/>
      <c r="IG10" s="25"/>
      <c r="IH10" s="25"/>
      <c r="II10" s="25"/>
      <c r="IJ10" s="25"/>
      <c r="IK10" s="110"/>
      <c r="IL10" s="110"/>
      <c r="IM10" s="25"/>
      <c r="IN10" s="25"/>
      <c r="IO10" s="25"/>
      <c r="IP10" s="25"/>
      <c r="IQ10" s="25"/>
      <c r="IR10" s="110"/>
      <c r="IS10" s="110"/>
      <c r="IT10" s="25"/>
      <c r="IU10" s="25"/>
      <c r="IV10" s="25"/>
      <c r="IW10" s="25"/>
      <c r="IX10" s="25"/>
      <c r="IY10" s="110"/>
      <c r="IZ10" s="110"/>
      <c r="JA10" s="25"/>
      <c r="JB10" s="25"/>
      <c r="JC10" s="25"/>
      <c r="JD10" s="25"/>
      <c r="JE10" s="25"/>
      <c r="JF10" s="110"/>
      <c r="JG10" s="110"/>
      <c r="JH10" s="25"/>
      <c r="JI10" s="25"/>
      <c r="JJ10" s="25"/>
      <c r="JK10" s="25"/>
      <c r="JL10" s="25"/>
      <c r="JM10" s="110"/>
      <c r="JN10" s="110"/>
      <c r="JO10" s="25"/>
      <c r="JP10" s="25"/>
      <c r="JQ10" s="25"/>
      <c r="JR10" s="25"/>
      <c r="JS10" s="25"/>
      <c r="JT10" s="110"/>
      <c r="JU10" s="110"/>
      <c r="JV10" s="25"/>
      <c r="JW10" s="25"/>
      <c r="JX10" s="25"/>
      <c r="JY10" s="25"/>
      <c r="JZ10" s="25"/>
      <c r="KA10" s="110"/>
      <c r="KB10" s="110"/>
      <c r="KC10" s="25"/>
      <c r="KD10" s="25"/>
      <c r="KE10" s="25"/>
      <c r="KF10" s="25"/>
      <c r="KG10" s="25"/>
      <c r="KH10" s="110"/>
      <c r="KI10" s="110"/>
      <c r="KJ10" s="25"/>
      <c r="KK10" s="25"/>
      <c r="KL10" s="25"/>
      <c r="KM10" s="25"/>
      <c r="KN10" s="25"/>
      <c r="KO10" s="110"/>
      <c r="KP10" s="110"/>
      <c r="KQ10" s="25"/>
      <c r="KR10" s="25"/>
      <c r="KS10" s="25"/>
      <c r="KT10" s="25"/>
      <c r="KU10" s="25"/>
      <c r="KV10" s="110"/>
      <c r="KW10" s="110"/>
      <c r="KX10" s="25"/>
      <c r="KY10" s="25"/>
      <c r="KZ10" s="25"/>
      <c r="LA10" s="25"/>
      <c r="LB10" s="25"/>
      <c r="LC10" s="110"/>
      <c r="LD10" s="110"/>
      <c r="LE10" s="25"/>
      <c r="LF10" s="25"/>
      <c r="LG10" s="110" t="s">
        <v>445</v>
      </c>
      <c r="LH10" s="25"/>
      <c r="LI10" s="25"/>
      <c r="LJ10" s="110"/>
      <c r="LK10" s="110"/>
      <c r="LL10" s="25"/>
      <c r="LM10" s="25"/>
      <c r="LN10" s="25"/>
      <c r="LO10" s="25"/>
      <c r="LP10" s="25"/>
      <c r="LQ10" s="110"/>
      <c r="LR10" s="110"/>
      <c r="LS10" s="25"/>
      <c r="LT10" s="25"/>
      <c r="LU10" s="25"/>
      <c r="LV10" s="25"/>
      <c r="LW10" s="25"/>
      <c r="LX10" s="110"/>
      <c r="LY10" s="110"/>
      <c r="LZ10" s="25"/>
      <c r="MA10" s="25"/>
      <c r="MB10" s="25"/>
      <c r="MC10" s="25"/>
      <c r="ME10" s="110"/>
      <c r="MF10" s="110"/>
      <c r="MG10" s="25"/>
      <c r="MH10" s="25"/>
      <c r="MI10" s="25"/>
      <c r="MJ10" s="25"/>
      <c r="MK10" s="25"/>
      <c r="ML10" s="110"/>
      <c r="MM10" s="110"/>
      <c r="MN10" s="25"/>
      <c r="MO10" s="25"/>
      <c r="MP10" s="25"/>
      <c r="MQ10" s="25"/>
      <c r="MR10" s="25"/>
      <c r="MS10" s="110"/>
      <c r="MT10" s="110"/>
      <c r="MU10" s="25"/>
      <c r="MV10" s="25"/>
      <c r="MW10" s="25"/>
      <c r="MX10" s="25"/>
      <c r="MY10" s="25"/>
      <c r="MZ10" s="110"/>
      <c r="NA10" s="110"/>
      <c r="NB10" s="25"/>
      <c r="NC10" s="25"/>
      <c r="ND10" s="25"/>
      <c r="NE10" s="129"/>
      <c r="NF10" s="111"/>
      <c r="NG10" s="8">
        <f t="shared" si="0"/>
        <v>19</v>
      </c>
      <c r="NH10" s="351" cm="1">
        <f t="array" ref="NH10">NETWORKDAYS($I$2,$AH$2)- SUM(COUNTIF(I10:AH10,{"I";"F";"CP";"R";"P";"AC";"AM"}))</f>
        <v>20</v>
      </c>
      <c r="NI10" s="138">
        <f t="shared" si="12"/>
        <v>0.95</v>
      </c>
      <c r="NJ10" s="8">
        <f t="shared" si="1"/>
        <v>13</v>
      </c>
      <c r="NK10" s="351" cm="1">
        <f t="array" ref="NK10">NETWORKDAYS($AJ$2,$BK$2)- SUM(COUNTIF(AJ10:BK10,{"I";"F";"CP";"R";"P";"AC";"AM"}))</f>
        <v>20</v>
      </c>
      <c r="NL10" s="138">
        <f t="shared" si="13"/>
        <v>0.65</v>
      </c>
      <c r="NM10" s="8">
        <f t="shared" si="2"/>
        <v>21</v>
      </c>
      <c r="NN10" s="351" cm="1">
        <f t="array" ref="NN10">NETWORKDAYS($BL$2,$CP$2)- SUM(COUNTIF(BL10:CP10,{"I";"F";"CP";"R";"P";"AC";"AM"}))</f>
        <v>22</v>
      </c>
      <c r="NO10" s="138">
        <f t="shared" si="14"/>
        <v>0.95454545454545459</v>
      </c>
      <c r="NP10" s="8">
        <f t="shared" si="3"/>
        <v>16</v>
      </c>
      <c r="NQ10" s="351" cm="1">
        <f t="array" ref="NQ10">NETWORKDAYS($CQ$2,$DT$2,$CV$2)- SUM(COUNTIF(CQ10:DT10,{"I";"F";"CP";"R";"P";"AC";"AM"}))</f>
        <v>21</v>
      </c>
      <c r="NR10" s="138">
        <f t="shared" si="15"/>
        <v>0.76190476190476186</v>
      </c>
      <c r="NS10" s="8">
        <f t="shared" si="4"/>
        <v>0</v>
      </c>
      <c r="NT10" s="351" cm="1">
        <f t="array" ref="NT10">NETWORKDAYS($DV$2,$EY$2)-SUM(COUNTIF(DV10:EY10,{"I";"F";"CP";"R";"P";"AC";"AM"}))</f>
        <v>16</v>
      </c>
      <c r="NU10" s="138">
        <f t="shared" si="16"/>
        <v>0</v>
      </c>
      <c r="NV10" s="8">
        <f t="shared" si="5"/>
        <v>0</v>
      </c>
      <c r="NW10" s="351" cm="1">
        <f t="array" ref="NW10">NETWORKDAYS($EZ$2,$GC$2)-SUM(COUNTIF(EZ10:GC10,{"I";"F";"CP";"R";"P";"AC";"AM"}))</f>
        <v>22</v>
      </c>
      <c r="NX10" s="138">
        <f t="shared" si="17"/>
        <v>0</v>
      </c>
      <c r="NY10" s="8">
        <f t="shared" si="6"/>
        <v>0</v>
      </c>
      <c r="NZ10" s="351" cm="1">
        <f t="array" ref="NZ10">NETWORKDAYS($GD$2,$HH$2,$GQ$2)-SUM(COUNTIF(GD10:HH10,{"I";"F";"CP";"R";"P";"AC";"AM"}))</f>
        <v>21</v>
      </c>
      <c r="OA10" s="138">
        <f t="shared" si="18"/>
        <v>0</v>
      </c>
      <c r="OB10" s="8">
        <f t="shared" si="7"/>
        <v>0</v>
      </c>
      <c r="OC10" s="351" cm="1">
        <f t="array" ref="OC10">NETWORKDAYS($HI$2,$IM$2)-SUM(COUNTIF(HI10:IM10,{"I";"F";"CP";"R";"P";"AC";"AM"}))</f>
        <v>21</v>
      </c>
      <c r="OD10" s="138">
        <f t="shared" si="19"/>
        <v>0</v>
      </c>
      <c r="OE10" s="8">
        <f t="shared" si="8"/>
        <v>0</v>
      </c>
      <c r="OF10" s="351" cm="1">
        <f t="array" ref="OF10">NETWORKDAYS($IN$2,$JQ$2)-SUM(COUNTIF(IN10:JQ10,{"I";"F";"CP";"R";"P";"AC";"AM"}))</f>
        <v>22</v>
      </c>
      <c r="OG10" s="138">
        <f t="shared" si="20"/>
        <v>0</v>
      </c>
      <c r="OH10" s="8">
        <f t="shared" si="9"/>
        <v>0</v>
      </c>
      <c r="OI10" s="351" cm="1">
        <f t="array" ref="OI10">NETWORKDAYS($JR$2,$KV$2)-SUM(COUNTIF(JR10:KV10,{"I";"F";"CP";"R";"P";"AC";"AM"}))</f>
        <v>22</v>
      </c>
      <c r="OJ10" s="138">
        <f t="shared" si="21"/>
        <v>0</v>
      </c>
      <c r="OK10" s="8">
        <f t="shared" si="10"/>
        <v>0</v>
      </c>
      <c r="OL10" s="351" cm="1">
        <f t="array" ref="OL10">NETWORKDAYS($KW$2,$LZ$2,$LG$2)-SUM(COUNTIF(KW10:LZ10,{"I";"F";"CP";"R";"P";"AC";"AM"}))</f>
        <v>19</v>
      </c>
      <c r="OM10" s="138">
        <f t="shared" si="22"/>
        <v>0</v>
      </c>
      <c r="ON10" s="8">
        <f t="shared" si="11"/>
        <v>0</v>
      </c>
      <c r="OO10" s="351" cm="1">
        <f t="array" ref="OO10">NETWORKDAYS($MA$2,$MR$2)-SUM(COUNTIF(MA10:MR10,{"I";"F";"CP";"R";"P";"AC";"AM"}))</f>
        <v>14</v>
      </c>
      <c r="OP10" s="138">
        <f t="shared" si="23"/>
        <v>0</v>
      </c>
      <c r="OQ10" s="94">
        <f t="shared" si="24"/>
        <v>69</v>
      </c>
      <c r="OR10" s="94">
        <f t="shared" si="25"/>
        <v>240</v>
      </c>
      <c r="OS10" s="138">
        <f t="shared" si="26"/>
        <v>0.28749999999999998</v>
      </c>
    </row>
    <row r="11" spans="1:409" hidden="1" x14ac:dyDescent="0.25">
      <c r="A11" s="93" t="s">
        <v>168</v>
      </c>
      <c r="B11" s="93" t="s">
        <v>168</v>
      </c>
      <c r="C11" s="27" t="s">
        <v>160</v>
      </c>
      <c r="D11" s="27" t="s">
        <v>173</v>
      </c>
      <c r="E11" s="128"/>
      <c r="F11" s="110"/>
      <c r="G11" s="110"/>
      <c r="H11" s="110"/>
      <c r="I11" s="25">
        <v>1</v>
      </c>
      <c r="J11" s="25">
        <v>1</v>
      </c>
      <c r="K11" s="25">
        <v>1</v>
      </c>
      <c r="L11" s="25">
        <v>1</v>
      </c>
      <c r="M11" s="25">
        <v>1</v>
      </c>
      <c r="N11" s="110"/>
      <c r="O11" s="110"/>
      <c r="P11" s="25">
        <v>1</v>
      </c>
      <c r="Q11" s="25"/>
      <c r="R11" s="25">
        <v>1</v>
      </c>
      <c r="S11" s="25">
        <v>1</v>
      </c>
      <c r="T11" s="25">
        <v>1</v>
      </c>
      <c r="U11" s="110"/>
      <c r="V11" s="110"/>
      <c r="W11" s="25">
        <v>1</v>
      </c>
      <c r="X11" s="25">
        <v>1</v>
      </c>
      <c r="Y11" s="25">
        <v>1</v>
      </c>
      <c r="Z11" s="25">
        <v>1</v>
      </c>
      <c r="AA11" s="25">
        <v>1</v>
      </c>
      <c r="AB11" s="110"/>
      <c r="AC11" s="110"/>
      <c r="AD11" s="25">
        <v>1</v>
      </c>
      <c r="AE11" s="25"/>
      <c r="AF11" s="25">
        <v>1</v>
      </c>
      <c r="AG11" s="25">
        <v>1</v>
      </c>
      <c r="AH11" s="25">
        <v>1</v>
      </c>
      <c r="AI11" s="110"/>
      <c r="AJ11" s="110"/>
      <c r="AK11" s="25"/>
      <c r="AL11" s="25">
        <v>1</v>
      </c>
      <c r="AM11" s="25">
        <v>1</v>
      </c>
      <c r="AN11" s="25">
        <v>1</v>
      </c>
      <c r="AO11" s="25"/>
      <c r="AP11" s="110"/>
      <c r="AQ11" s="110"/>
      <c r="AR11" s="25" t="s">
        <v>223</v>
      </c>
      <c r="AS11" s="25" t="s">
        <v>445</v>
      </c>
      <c r="AT11" s="25" t="s">
        <v>445</v>
      </c>
      <c r="AU11" s="25" t="s">
        <v>445</v>
      </c>
      <c r="AV11" s="25" t="s">
        <v>445</v>
      </c>
      <c r="AW11" s="110"/>
      <c r="AX11" s="110"/>
      <c r="AY11" s="25">
        <v>1</v>
      </c>
      <c r="AZ11" s="25">
        <v>1</v>
      </c>
      <c r="BA11" s="25">
        <v>1</v>
      </c>
      <c r="BB11" s="25">
        <v>1</v>
      </c>
      <c r="BC11" s="25">
        <v>1</v>
      </c>
      <c r="BD11" s="110"/>
      <c r="BE11" s="110"/>
      <c r="BF11" s="25">
        <v>1</v>
      </c>
      <c r="BG11" s="25">
        <v>1</v>
      </c>
      <c r="BH11" s="25">
        <v>1</v>
      </c>
      <c r="BI11" s="25">
        <v>1</v>
      </c>
      <c r="BJ11" s="25">
        <v>1</v>
      </c>
      <c r="BK11" s="110"/>
      <c r="BL11" s="110"/>
      <c r="BM11" s="25">
        <v>1</v>
      </c>
      <c r="BN11" s="25">
        <v>1</v>
      </c>
      <c r="BO11" s="25">
        <v>1</v>
      </c>
      <c r="BP11" s="25">
        <v>1</v>
      </c>
      <c r="BQ11" s="25">
        <v>1</v>
      </c>
      <c r="BR11" s="110"/>
      <c r="BS11" s="110"/>
      <c r="BT11" s="25">
        <v>1</v>
      </c>
      <c r="BU11" s="25">
        <v>1</v>
      </c>
      <c r="BV11" s="25">
        <v>1</v>
      </c>
      <c r="BW11" s="25"/>
      <c r="BX11" s="25">
        <v>1</v>
      </c>
      <c r="BY11" s="110"/>
      <c r="BZ11" s="110"/>
      <c r="CA11" s="25">
        <v>1</v>
      </c>
      <c r="CB11" s="25">
        <v>1</v>
      </c>
      <c r="CC11" s="25">
        <v>1</v>
      </c>
      <c r="CD11" s="25"/>
      <c r="CE11" s="25">
        <v>1</v>
      </c>
      <c r="CF11" s="110"/>
      <c r="CG11" s="110"/>
      <c r="CH11" s="25">
        <v>1</v>
      </c>
      <c r="CI11" s="25">
        <v>1</v>
      </c>
      <c r="CJ11" s="25"/>
      <c r="CK11" s="25"/>
      <c r="CL11" s="25">
        <v>1</v>
      </c>
      <c r="CM11" s="110"/>
      <c r="CN11" s="110"/>
      <c r="CO11" s="25">
        <v>1</v>
      </c>
      <c r="CP11" s="25">
        <v>1</v>
      </c>
      <c r="CQ11" s="25">
        <v>1</v>
      </c>
      <c r="CR11" s="25">
        <v>1</v>
      </c>
      <c r="CS11" s="25"/>
      <c r="CT11" s="110"/>
      <c r="CU11" s="110"/>
      <c r="CV11" s="110"/>
      <c r="CW11" s="25">
        <v>1</v>
      </c>
      <c r="CX11" s="25">
        <v>1</v>
      </c>
      <c r="CY11" s="25">
        <v>1</v>
      </c>
      <c r="CZ11" s="25">
        <v>1</v>
      </c>
      <c r="DA11" s="110"/>
      <c r="DB11" s="110"/>
      <c r="DC11" s="25">
        <v>1</v>
      </c>
      <c r="DD11" s="25">
        <v>1</v>
      </c>
      <c r="DE11" s="25"/>
      <c r="DF11" s="25"/>
      <c r="DG11" s="25"/>
      <c r="DH11" s="110"/>
      <c r="DI11" s="110"/>
      <c r="DJ11" s="25">
        <v>1</v>
      </c>
      <c r="DK11" s="25">
        <v>1</v>
      </c>
      <c r="DL11" s="25">
        <v>1</v>
      </c>
      <c r="DM11" s="25">
        <v>1</v>
      </c>
      <c r="DN11" s="25">
        <v>1</v>
      </c>
      <c r="DO11" s="110"/>
      <c r="DP11" s="110"/>
      <c r="DQ11" s="25">
        <v>1</v>
      </c>
      <c r="DR11" s="25"/>
      <c r="DS11" s="25"/>
      <c r="DT11" s="25">
        <v>1</v>
      </c>
      <c r="DU11" s="110" t="s">
        <v>445</v>
      </c>
      <c r="DV11" s="110"/>
      <c r="DW11" s="110"/>
      <c r="DX11" s="25"/>
      <c r="DY11" s="25"/>
      <c r="DZ11" s="25"/>
      <c r="EA11" s="25"/>
      <c r="EB11" s="110" t="s">
        <v>445</v>
      </c>
      <c r="EC11" s="110"/>
      <c r="ED11" s="110"/>
      <c r="EE11" s="25"/>
      <c r="EF11" s="25"/>
      <c r="EG11" s="25"/>
      <c r="EH11" s="110" t="s">
        <v>445</v>
      </c>
      <c r="EI11" s="110" t="s">
        <v>445</v>
      </c>
      <c r="EJ11" s="110"/>
      <c r="EK11" s="110"/>
      <c r="EL11" s="25"/>
      <c r="EM11" s="25"/>
      <c r="EN11" s="25"/>
      <c r="EO11" s="25"/>
      <c r="EP11" s="25"/>
      <c r="EQ11" s="110"/>
      <c r="ER11" s="110"/>
      <c r="ES11" s="110" t="s">
        <v>445</v>
      </c>
      <c r="ET11" s="25"/>
      <c r="EU11" s="25"/>
      <c r="EV11" s="25"/>
      <c r="EW11" s="25"/>
      <c r="EX11" s="110"/>
      <c r="EY11" s="110"/>
      <c r="EZ11" s="25"/>
      <c r="FA11" s="25"/>
      <c r="FB11" s="25"/>
      <c r="FC11" s="25"/>
      <c r="FD11" s="25"/>
      <c r="FE11" s="110"/>
      <c r="FF11" s="110"/>
      <c r="FG11" s="25"/>
      <c r="FH11" s="25"/>
      <c r="FI11" s="25"/>
      <c r="FJ11" s="25"/>
      <c r="FK11" s="25"/>
      <c r="FL11" s="110"/>
      <c r="FM11" s="110"/>
      <c r="FN11" s="25"/>
      <c r="FO11" s="25"/>
      <c r="FP11" s="25"/>
      <c r="FQ11" s="25"/>
      <c r="FR11" s="25"/>
      <c r="FS11" s="110"/>
      <c r="FT11" s="110"/>
      <c r="FU11" s="25"/>
      <c r="FV11" s="25"/>
      <c r="FW11" s="25"/>
      <c r="FX11" s="25"/>
      <c r="FY11" s="25"/>
      <c r="FZ11" s="110"/>
      <c r="GA11" s="110"/>
      <c r="GB11" s="25"/>
      <c r="GC11" s="25"/>
      <c r="GD11" s="25"/>
      <c r="GE11" s="25"/>
      <c r="GF11" s="25"/>
      <c r="GG11" s="110"/>
      <c r="GH11" s="110"/>
      <c r="GI11" s="25"/>
      <c r="GJ11" s="25"/>
      <c r="GK11" s="25"/>
      <c r="GL11" s="25"/>
      <c r="GM11" s="25"/>
      <c r="GN11" s="110"/>
      <c r="GO11" s="110"/>
      <c r="GP11" s="110" t="s">
        <v>445</v>
      </c>
      <c r="GQ11" s="110"/>
      <c r="GR11" s="25"/>
      <c r="GS11" s="25"/>
      <c r="GT11" s="25"/>
      <c r="GU11" s="110"/>
      <c r="GV11" s="110"/>
      <c r="GW11" s="25"/>
      <c r="GX11" s="25"/>
      <c r="GY11" s="25"/>
      <c r="GZ11" s="25"/>
      <c r="HA11" s="25"/>
      <c r="HB11" s="110"/>
      <c r="HC11" s="110"/>
      <c r="HD11" s="25"/>
      <c r="HE11" s="25"/>
      <c r="HF11" s="25"/>
      <c r="HG11" s="25"/>
      <c r="HH11" s="25"/>
      <c r="HI11" s="110"/>
      <c r="HJ11" s="110"/>
      <c r="HK11" s="25"/>
      <c r="HL11" s="25"/>
      <c r="HM11" s="25"/>
      <c r="HN11" s="25"/>
      <c r="HO11" s="25"/>
      <c r="HP11" s="110"/>
      <c r="HQ11" s="110"/>
      <c r="HR11" s="25"/>
      <c r="HS11" s="25"/>
      <c r="HT11" s="25"/>
      <c r="HU11" s="25"/>
      <c r="HV11" s="25"/>
      <c r="HW11" s="110"/>
      <c r="HX11" s="110"/>
      <c r="HY11" s="25"/>
      <c r="HZ11" s="25"/>
      <c r="IA11" s="25"/>
      <c r="IB11" s="25"/>
      <c r="IC11" s="25"/>
      <c r="ID11" s="110"/>
      <c r="IE11" s="110"/>
      <c r="IF11" s="25"/>
      <c r="IG11" s="25"/>
      <c r="IH11" s="25"/>
      <c r="II11" s="25"/>
      <c r="IJ11" s="25"/>
      <c r="IK11" s="110"/>
      <c r="IL11" s="110"/>
      <c r="IM11" s="25"/>
      <c r="IN11" s="25"/>
      <c r="IO11" s="25"/>
      <c r="IP11" s="25"/>
      <c r="IQ11" s="25"/>
      <c r="IR11" s="110"/>
      <c r="IS11" s="110"/>
      <c r="IT11" s="25"/>
      <c r="IU11" s="25"/>
      <c r="IV11" s="25"/>
      <c r="IW11" s="25"/>
      <c r="IX11" s="25"/>
      <c r="IY11" s="110"/>
      <c r="IZ11" s="110"/>
      <c r="JA11" s="25"/>
      <c r="JB11" s="25"/>
      <c r="JC11" s="25"/>
      <c r="JD11" s="25"/>
      <c r="JE11" s="25"/>
      <c r="JF11" s="110"/>
      <c r="JG11" s="110"/>
      <c r="JH11" s="25"/>
      <c r="JI11" s="25"/>
      <c r="JJ11" s="25"/>
      <c r="JK11" s="25"/>
      <c r="JL11" s="25"/>
      <c r="JM11" s="110"/>
      <c r="JN11" s="110"/>
      <c r="JO11" s="25"/>
      <c r="JP11" s="25"/>
      <c r="JQ11" s="25"/>
      <c r="JR11" s="25"/>
      <c r="JS11" s="25"/>
      <c r="JT11" s="110"/>
      <c r="JU11" s="110"/>
      <c r="JV11" s="25"/>
      <c r="JW11" s="25"/>
      <c r="JX11" s="25"/>
      <c r="JY11" s="25"/>
      <c r="JZ11" s="25"/>
      <c r="KA11" s="110"/>
      <c r="KB11" s="110"/>
      <c r="KC11" s="25"/>
      <c r="KD11" s="25"/>
      <c r="KE11" s="25"/>
      <c r="KF11" s="25"/>
      <c r="KG11" s="25"/>
      <c r="KH11" s="110"/>
      <c r="KI11" s="110"/>
      <c r="KJ11" s="25"/>
      <c r="KK11" s="25"/>
      <c r="KL11" s="25"/>
      <c r="KM11" s="25"/>
      <c r="KN11" s="25"/>
      <c r="KO11" s="110"/>
      <c r="KP11" s="110"/>
      <c r="KQ11" s="25"/>
      <c r="KR11" s="25"/>
      <c r="KS11" s="25"/>
      <c r="KT11" s="25"/>
      <c r="KU11" s="25"/>
      <c r="KV11" s="110"/>
      <c r="KW11" s="110"/>
      <c r="KX11" s="25"/>
      <c r="KY11" s="25"/>
      <c r="KZ11" s="25"/>
      <c r="LA11" s="25"/>
      <c r="LB11" s="25"/>
      <c r="LC11" s="110"/>
      <c r="LD11" s="110"/>
      <c r="LE11" s="25"/>
      <c r="LF11" s="25"/>
      <c r="LG11" s="110" t="s">
        <v>445</v>
      </c>
      <c r="LH11" s="25"/>
      <c r="LI11" s="25"/>
      <c r="LJ11" s="110"/>
      <c r="LK11" s="110"/>
      <c r="LL11" s="25"/>
      <c r="LM11" s="25"/>
      <c r="LN11" s="25"/>
      <c r="LO11" s="25"/>
      <c r="LP11" s="25"/>
      <c r="LQ11" s="110"/>
      <c r="LR11" s="110"/>
      <c r="LS11" s="25"/>
      <c r="LT11" s="25"/>
      <c r="LU11" s="25"/>
      <c r="LV11" s="25"/>
      <c r="LW11" s="25"/>
      <c r="LX11" s="110"/>
      <c r="LY11" s="110"/>
      <c r="LZ11" s="25"/>
      <c r="MA11" s="25"/>
      <c r="MB11" s="25"/>
      <c r="MC11" s="25"/>
      <c r="MD11" s="25"/>
      <c r="ME11" s="110"/>
      <c r="MF11" s="110"/>
      <c r="MG11" s="25"/>
      <c r="MH11" s="25"/>
      <c r="MI11" s="25"/>
      <c r="MJ11" s="25"/>
      <c r="MK11" s="25"/>
      <c r="ML11" s="110"/>
      <c r="MM11" s="110"/>
      <c r="MN11" s="25"/>
      <c r="MO11" s="25"/>
      <c r="MP11" s="25"/>
      <c r="MQ11" s="25"/>
      <c r="MR11" s="25"/>
      <c r="MS11" s="110"/>
      <c r="MT11" s="110"/>
      <c r="MU11" s="25"/>
      <c r="MV11" s="25"/>
      <c r="MW11" s="25"/>
      <c r="MX11" s="25"/>
      <c r="MY11" s="25"/>
      <c r="MZ11" s="110"/>
      <c r="NA11" s="110"/>
      <c r="NB11" s="25"/>
      <c r="NC11" s="25"/>
      <c r="ND11" s="25"/>
      <c r="NE11" s="129"/>
      <c r="NF11" s="111"/>
      <c r="NG11" s="8">
        <f t="shared" si="0"/>
        <v>18</v>
      </c>
      <c r="NH11" s="351" cm="1">
        <f t="array" ref="NH11">NETWORKDAYS($I$2,$AH$2)- SUM(COUNTIF(I11:AH11,{"I";"F";"CP";"R";"P";"AC";"AM"}))</f>
        <v>20</v>
      </c>
      <c r="NI11" s="138">
        <f t="shared" si="12"/>
        <v>0.9</v>
      </c>
      <c r="NJ11" s="8">
        <f t="shared" si="1"/>
        <v>13</v>
      </c>
      <c r="NK11" s="351" cm="1">
        <f t="array" ref="NK11">NETWORKDAYS($AJ$2,$BK$2)- SUM(COUNTIF(AJ11:BK11,{"I";"F";"CP";"R";"P";"AC";"AM"}))</f>
        <v>15</v>
      </c>
      <c r="NL11" s="138">
        <f t="shared" si="13"/>
        <v>0.8666666666666667</v>
      </c>
      <c r="NM11" s="8">
        <f t="shared" si="2"/>
        <v>18</v>
      </c>
      <c r="NN11" s="351" cm="1">
        <f t="array" ref="NN11">NETWORKDAYS($BL$2,$CP$2)- SUM(COUNTIF(BL11:CP11,{"I";"F";"CP";"R";"P";"AC";"AM"}))</f>
        <v>22</v>
      </c>
      <c r="NO11" s="138">
        <f t="shared" si="14"/>
        <v>0.81818181818181823</v>
      </c>
      <c r="NP11" s="8">
        <f t="shared" si="3"/>
        <v>15</v>
      </c>
      <c r="NQ11" s="351" cm="1">
        <f t="array" ref="NQ11">NETWORKDAYS($CQ$2,$DT$2,$CV$2)- SUM(COUNTIF(CQ11:DT11,{"I";"F";"CP";"R";"P";"AC";"AM"}))</f>
        <v>21</v>
      </c>
      <c r="NR11" s="138">
        <f t="shared" si="15"/>
        <v>0.7142857142857143</v>
      </c>
      <c r="NS11" s="8">
        <f t="shared" si="4"/>
        <v>0</v>
      </c>
      <c r="NT11" s="351" cm="1">
        <f t="array" ref="NT11">NETWORKDAYS($DV$2,$EY$2)-SUM(COUNTIF(DV11:EY11,{"I";"F";"CP";"R";"P";"AC";"AM"}))</f>
        <v>16</v>
      </c>
      <c r="NU11" s="138">
        <f t="shared" si="16"/>
        <v>0</v>
      </c>
      <c r="NV11" s="8">
        <f t="shared" si="5"/>
        <v>0</v>
      </c>
      <c r="NW11" s="351" cm="1">
        <f t="array" ref="NW11">NETWORKDAYS($EZ$2,$GC$2)-SUM(COUNTIF(EZ11:GC11,{"I";"F";"CP";"R";"P";"AC";"AM"}))</f>
        <v>22</v>
      </c>
      <c r="NX11" s="138">
        <f t="shared" si="17"/>
        <v>0</v>
      </c>
      <c r="NY11" s="8">
        <f t="shared" si="6"/>
        <v>0</v>
      </c>
      <c r="NZ11" s="351" cm="1">
        <f t="array" ref="NZ11">NETWORKDAYS($GD$2,$HH$2,$GQ$2)-SUM(COUNTIF(GD11:HH11,{"I";"F";"CP";"R";"P";"AC";"AM"}))</f>
        <v>21</v>
      </c>
      <c r="OA11" s="138">
        <f t="shared" si="18"/>
        <v>0</v>
      </c>
      <c r="OB11" s="8">
        <f t="shared" si="7"/>
        <v>0</v>
      </c>
      <c r="OC11" s="351" cm="1">
        <f t="array" ref="OC11">NETWORKDAYS($HI$2,$IM$2)-SUM(COUNTIF(HI11:IM11,{"I";"F";"CP";"R";"P";"AC";"AM"}))</f>
        <v>21</v>
      </c>
      <c r="OD11" s="138">
        <f t="shared" si="19"/>
        <v>0</v>
      </c>
      <c r="OE11" s="8">
        <f t="shared" si="8"/>
        <v>0</v>
      </c>
      <c r="OF11" s="351" cm="1">
        <f t="array" ref="OF11">NETWORKDAYS($IN$2,$JQ$2)-SUM(COUNTIF(IN11:JQ11,{"I";"F";"CP";"R";"P";"AC";"AM"}))</f>
        <v>22</v>
      </c>
      <c r="OG11" s="138">
        <f t="shared" si="20"/>
        <v>0</v>
      </c>
      <c r="OH11" s="8">
        <f t="shared" si="9"/>
        <v>0</v>
      </c>
      <c r="OI11" s="351" cm="1">
        <f t="array" ref="OI11">NETWORKDAYS($JR$2,$KV$2)-SUM(COUNTIF(JR11:KV11,{"I";"F";"CP";"R";"P";"AC";"AM"}))</f>
        <v>22</v>
      </c>
      <c r="OJ11" s="138">
        <f t="shared" si="21"/>
        <v>0</v>
      </c>
      <c r="OK11" s="8">
        <f t="shared" si="10"/>
        <v>0</v>
      </c>
      <c r="OL11" s="351" cm="1">
        <f t="array" ref="OL11">NETWORKDAYS($KW$2,$LZ$2,$LG$2)-SUM(COUNTIF(KW11:LZ11,{"I";"F";"CP";"R";"P";"AC";"AM"}))</f>
        <v>19</v>
      </c>
      <c r="OM11" s="138">
        <f t="shared" si="22"/>
        <v>0</v>
      </c>
      <c r="ON11" s="8">
        <f t="shared" si="11"/>
        <v>0</v>
      </c>
      <c r="OO11" s="351" cm="1">
        <f t="array" ref="OO11">NETWORKDAYS($MA$2,$MR$2)-SUM(COUNTIF(MA11:MR11,{"I";"F";"CP";"R";"P";"AC";"AM"}))</f>
        <v>14</v>
      </c>
      <c r="OP11" s="138">
        <f t="shared" si="23"/>
        <v>0</v>
      </c>
      <c r="OQ11" s="94">
        <f t="shared" si="24"/>
        <v>64</v>
      </c>
      <c r="OR11" s="94">
        <f t="shared" si="25"/>
        <v>235</v>
      </c>
      <c r="OS11" s="138">
        <f t="shared" si="26"/>
        <v>0.2723404255319149</v>
      </c>
    </row>
    <row r="12" spans="1:409" ht="18" hidden="1" customHeight="1" x14ac:dyDescent="0.25">
      <c r="A12" s="93" t="s">
        <v>168</v>
      </c>
      <c r="B12" s="93" t="s">
        <v>168</v>
      </c>
      <c r="C12" s="27" t="s">
        <v>160</v>
      </c>
      <c r="D12" s="27" t="s">
        <v>174</v>
      </c>
      <c r="E12" s="128"/>
      <c r="F12" s="110"/>
      <c r="G12" s="110"/>
      <c r="H12" s="110"/>
      <c r="I12" s="25" t="s">
        <v>223</v>
      </c>
      <c r="J12" s="25" t="s">
        <v>223</v>
      </c>
      <c r="K12" s="25" t="s">
        <v>223</v>
      </c>
      <c r="L12" s="25" t="s">
        <v>223</v>
      </c>
      <c r="M12" s="25" t="s">
        <v>223</v>
      </c>
      <c r="N12" s="110"/>
      <c r="O12" s="110"/>
      <c r="P12" s="25" t="s">
        <v>447</v>
      </c>
      <c r="Q12" s="25" t="s">
        <v>447</v>
      </c>
      <c r="R12" s="25"/>
      <c r="S12" s="25"/>
      <c r="T12" s="25"/>
      <c r="U12" s="110"/>
      <c r="V12" s="110"/>
      <c r="W12" s="25"/>
      <c r="X12" s="25">
        <v>1</v>
      </c>
      <c r="Y12" s="25"/>
      <c r="Z12" s="25">
        <v>1</v>
      </c>
      <c r="AA12" s="25">
        <v>1</v>
      </c>
      <c r="AB12" s="110"/>
      <c r="AC12" s="110"/>
      <c r="AD12" s="25"/>
      <c r="AE12" s="25">
        <v>1</v>
      </c>
      <c r="AF12" s="25">
        <v>1</v>
      </c>
      <c r="AG12" s="25">
        <v>1</v>
      </c>
      <c r="AH12" s="25">
        <v>1</v>
      </c>
      <c r="AI12" s="110"/>
      <c r="AJ12" s="110"/>
      <c r="AK12" s="25">
        <v>1</v>
      </c>
      <c r="AL12" s="25">
        <v>1</v>
      </c>
      <c r="AM12" s="25">
        <v>1</v>
      </c>
      <c r="AN12" s="25">
        <v>1</v>
      </c>
      <c r="AO12" s="25">
        <v>1</v>
      </c>
      <c r="AP12" s="110"/>
      <c r="AQ12" s="110"/>
      <c r="AR12" s="25">
        <v>1</v>
      </c>
      <c r="AS12" s="25">
        <v>1</v>
      </c>
      <c r="AT12" s="25">
        <v>1</v>
      </c>
      <c r="AU12" s="25">
        <v>1</v>
      </c>
      <c r="AV12" s="25">
        <v>1</v>
      </c>
      <c r="AW12" s="110"/>
      <c r="AX12" s="110"/>
      <c r="AY12" s="25">
        <v>1</v>
      </c>
      <c r="AZ12" s="25">
        <v>1</v>
      </c>
      <c r="BA12" s="25">
        <v>1</v>
      </c>
      <c r="BB12" s="25">
        <v>1</v>
      </c>
      <c r="BC12" s="25">
        <v>1</v>
      </c>
      <c r="BD12" s="110"/>
      <c r="BE12" s="110"/>
      <c r="BF12" s="25">
        <v>1</v>
      </c>
      <c r="BG12" s="25">
        <v>1</v>
      </c>
      <c r="BH12" s="25">
        <v>1</v>
      </c>
      <c r="BI12" s="25">
        <v>1</v>
      </c>
      <c r="BJ12" s="25">
        <v>1</v>
      </c>
      <c r="BK12" s="110"/>
      <c r="BL12" s="110"/>
      <c r="BM12" s="25">
        <v>1</v>
      </c>
      <c r="BN12" s="25"/>
      <c r="BO12" s="25"/>
      <c r="BP12" s="25">
        <v>1</v>
      </c>
      <c r="BQ12" s="25"/>
      <c r="BR12" s="110"/>
      <c r="BS12" s="110"/>
      <c r="BT12" s="25">
        <v>1</v>
      </c>
      <c r="BU12" s="25">
        <v>1</v>
      </c>
      <c r="BV12" s="25">
        <v>1</v>
      </c>
      <c r="BW12" s="25">
        <v>1</v>
      </c>
      <c r="BX12" s="25">
        <v>1</v>
      </c>
      <c r="BY12" s="110"/>
      <c r="BZ12" s="110"/>
      <c r="CA12" s="25">
        <v>1</v>
      </c>
      <c r="CB12" s="25">
        <v>1</v>
      </c>
      <c r="CC12" s="25">
        <v>1</v>
      </c>
      <c r="CD12" s="25">
        <v>1</v>
      </c>
      <c r="CE12" s="25" t="s">
        <v>445</v>
      </c>
      <c r="CF12" s="110"/>
      <c r="CG12" s="110"/>
      <c r="CH12" s="25">
        <v>1</v>
      </c>
      <c r="CI12" s="25">
        <v>1</v>
      </c>
      <c r="CJ12" s="25">
        <v>1</v>
      </c>
      <c r="CK12" s="25">
        <v>1</v>
      </c>
      <c r="CL12" s="25">
        <v>1</v>
      </c>
      <c r="CM12" s="110"/>
      <c r="CN12" s="110"/>
      <c r="CO12" s="25">
        <v>1</v>
      </c>
      <c r="CP12" s="25">
        <v>1</v>
      </c>
      <c r="CQ12" s="25">
        <v>1</v>
      </c>
      <c r="CR12" s="25">
        <v>1</v>
      </c>
      <c r="CS12" s="25"/>
      <c r="CT12" s="110"/>
      <c r="CU12" s="110"/>
      <c r="CV12" s="110"/>
      <c r="CW12" s="25">
        <v>1</v>
      </c>
      <c r="CX12" s="25">
        <v>1</v>
      </c>
      <c r="CY12" s="25">
        <v>1</v>
      </c>
      <c r="CZ12" s="25">
        <v>1</v>
      </c>
      <c r="DA12" s="110">
        <v>1</v>
      </c>
      <c r="DB12" s="110"/>
      <c r="DC12" s="25"/>
      <c r="DD12" s="25">
        <v>1</v>
      </c>
      <c r="DE12" s="25">
        <v>1</v>
      </c>
      <c r="DF12" s="25">
        <v>1</v>
      </c>
      <c r="DG12" s="25">
        <v>1</v>
      </c>
      <c r="DH12" s="110"/>
      <c r="DI12" s="110"/>
      <c r="DJ12" s="25">
        <v>1</v>
      </c>
      <c r="DK12" s="25">
        <v>1</v>
      </c>
      <c r="DL12" s="25">
        <v>1</v>
      </c>
      <c r="DM12" s="25"/>
      <c r="DN12" s="25">
        <v>1</v>
      </c>
      <c r="DO12" s="110"/>
      <c r="DP12" s="110"/>
      <c r="DQ12" s="25">
        <v>1</v>
      </c>
      <c r="DR12" s="25">
        <v>1</v>
      </c>
      <c r="DS12" s="25">
        <v>1</v>
      </c>
      <c r="DT12" s="25"/>
      <c r="DU12" s="110" t="s">
        <v>445</v>
      </c>
      <c r="DV12" s="110"/>
      <c r="DW12" s="110"/>
      <c r="DX12" s="25"/>
      <c r="DY12" s="25"/>
      <c r="DZ12" s="25"/>
      <c r="EA12" s="25"/>
      <c r="EB12" s="110" t="s">
        <v>445</v>
      </c>
      <c r="EC12" s="110"/>
      <c r="ED12" s="110"/>
      <c r="EE12" s="25"/>
      <c r="EF12" s="25"/>
      <c r="EG12" s="25"/>
      <c r="EH12" s="110" t="s">
        <v>445</v>
      </c>
      <c r="EI12" s="110" t="s">
        <v>445</v>
      </c>
      <c r="EJ12" s="110"/>
      <c r="EK12" s="110"/>
      <c r="EL12" s="25"/>
      <c r="EM12" s="25"/>
      <c r="EN12" s="25"/>
      <c r="EO12" s="25"/>
      <c r="EP12" s="25"/>
      <c r="EQ12" s="110"/>
      <c r="ER12" s="110"/>
      <c r="ES12" s="110" t="s">
        <v>445</v>
      </c>
      <c r="ET12" s="25"/>
      <c r="EU12" s="25"/>
      <c r="EV12" s="25"/>
      <c r="EW12" s="25"/>
      <c r="EX12" s="110"/>
      <c r="EY12" s="110"/>
      <c r="EZ12" s="25"/>
      <c r="FA12" s="25"/>
      <c r="FB12" s="25"/>
      <c r="FC12" s="25"/>
      <c r="FD12" s="25"/>
      <c r="FE12" s="110"/>
      <c r="FF12" s="110"/>
      <c r="FG12" s="25"/>
      <c r="FH12" s="25"/>
      <c r="FI12" s="25"/>
      <c r="FJ12" s="25"/>
      <c r="FK12" s="25"/>
      <c r="FL12" s="110"/>
      <c r="FM12" s="110"/>
      <c r="FN12" s="25"/>
      <c r="FO12" s="25"/>
      <c r="FP12" s="25"/>
      <c r="FQ12" s="25"/>
      <c r="FR12" s="25"/>
      <c r="FS12" s="110"/>
      <c r="FT12" s="110"/>
      <c r="FU12" s="25"/>
      <c r="FV12" s="25"/>
      <c r="FW12" s="25"/>
      <c r="FX12" s="25"/>
      <c r="FY12" s="25"/>
      <c r="FZ12" s="110"/>
      <c r="GA12" s="110"/>
      <c r="GB12" s="25"/>
      <c r="GC12" s="25"/>
      <c r="GD12" s="25"/>
      <c r="GE12" s="25"/>
      <c r="GF12" s="25"/>
      <c r="GG12" s="110"/>
      <c r="GH12" s="110"/>
      <c r="GI12" s="25"/>
      <c r="GJ12" s="25"/>
      <c r="GK12" s="25"/>
      <c r="GL12" s="25"/>
      <c r="GM12" s="25"/>
      <c r="GN12" s="110"/>
      <c r="GO12" s="110"/>
      <c r="GP12" s="110" t="s">
        <v>445</v>
      </c>
      <c r="GQ12" s="110"/>
      <c r="GR12" s="25"/>
      <c r="GS12" s="25"/>
      <c r="GT12" s="25"/>
      <c r="GU12" s="110"/>
      <c r="GV12" s="110"/>
      <c r="GW12" s="25"/>
      <c r="GX12" s="25"/>
      <c r="GY12" s="25"/>
      <c r="GZ12" s="25"/>
      <c r="HA12" s="25"/>
      <c r="HB12" s="110"/>
      <c r="HC12" s="110"/>
      <c r="HD12" s="25"/>
      <c r="HE12" s="25"/>
      <c r="HF12" s="25"/>
      <c r="HG12" s="25"/>
      <c r="HH12" s="25"/>
      <c r="HI12" s="110"/>
      <c r="HJ12" s="110"/>
      <c r="HK12" s="25"/>
      <c r="HL12" s="25"/>
      <c r="HM12" s="25"/>
      <c r="HN12" s="25"/>
      <c r="HO12" s="25"/>
      <c r="HP12" s="110"/>
      <c r="HQ12" s="110"/>
      <c r="HR12" s="25"/>
      <c r="HS12" s="25"/>
      <c r="HT12" s="25"/>
      <c r="HU12" s="25"/>
      <c r="HV12" s="25"/>
      <c r="HW12" s="110"/>
      <c r="HX12" s="110"/>
      <c r="HY12" s="25"/>
      <c r="HZ12" s="25"/>
      <c r="IA12" s="25"/>
      <c r="IB12" s="25"/>
      <c r="IC12" s="25"/>
      <c r="ID12" s="110"/>
      <c r="IE12" s="110"/>
      <c r="IF12" s="25"/>
      <c r="IG12" s="25"/>
      <c r="IH12" s="25"/>
      <c r="II12" s="25"/>
      <c r="IJ12" s="25"/>
      <c r="IK12" s="110"/>
      <c r="IL12" s="110"/>
      <c r="IM12" s="25"/>
      <c r="IN12" s="25"/>
      <c r="IO12" s="25"/>
      <c r="IP12" s="25"/>
      <c r="IQ12" s="25"/>
      <c r="IR12" s="110"/>
      <c r="IS12" s="110"/>
      <c r="IT12" s="25"/>
      <c r="IU12" s="25"/>
      <c r="IV12" s="25"/>
      <c r="IW12" s="25"/>
      <c r="IX12" s="25"/>
      <c r="IY12" s="110"/>
      <c r="IZ12" s="110"/>
      <c r="JA12" s="25"/>
      <c r="JB12" s="25"/>
      <c r="JC12" s="25"/>
      <c r="JD12" s="25"/>
      <c r="JE12" s="25"/>
      <c r="JF12" s="110"/>
      <c r="JG12" s="110"/>
      <c r="JH12" s="25"/>
      <c r="JI12" s="25"/>
      <c r="JJ12" s="25"/>
      <c r="JK12" s="25"/>
      <c r="JL12" s="25"/>
      <c r="JM12" s="110"/>
      <c r="JN12" s="110"/>
      <c r="JO12" s="25"/>
      <c r="JP12" s="25"/>
      <c r="JQ12" s="25"/>
      <c r="JR12" s="25"/>
      <c r="JS12" s="25"/>
      <c r="JT12" s="110"/>
      <c r="JU12" s="110"/>
      <c r="JV12" s="25"/>
      <c r="JW12" s="25"/>
      <c r="JX12" s="25"/>
      <c r="JY12" s="25"/>
      <c r="JZ12" s="25"/>
      <c r="KA12" s="110"/>
      <c r="KB12" s="110"/>
      <c r="KC12" s="25"/>
      <c r="KD12" s="25"/>
      <c r="KE12" s="25"/>
      <c r="KF12" s="25"/>
      <c r="KG12" s="25"/>
      <c r="KH12" s="110"/>
      <c r="KI12" s="110"/>
      <c r="KJ12" s="25"/>
      <c r="KK12" s="25"/>
      <c r="KL12" s="25"/>
      <c r="KM12" s="25"/>
      <c r="KN12" s="25"/>
      <c r="KO12" s="110"/>
      <c r="KP12" s="110"/>
      <c r="KQ12" s="25"/>
      <c r="KR12" s="25"/>
      <c r="KS12" s="25"/>
      <c r="KT12" s="25"/>
      <c r="KU12" s="25"/>
      <c r="KV12" s="110"/>
      <c r="KW12" s="110"/>
      <c r="KX12" s="25"/>
      <c r="KY12" s="25"/>
      <c r="KZ12" s="25"/>
      <c r="LA12" s="25"/>
      <c r="LB12" s="25"/>
      <c r="LC12" s="110"/>
      <c r="LD12" s="110"/>
      <c r="LE12" s="25"/>
      <c r="LF12" s="25"/>
      <c r="LG12" s="110" t="s">
        <v>445</v>
      </c>
      <c r="LH12" s="25"/>
      <c r="LI12" s="25"/>
      <c r="LJ12" s="110"/>
      <c r="LK12" s="110"/>
      <c r="LL12" s="25"/>
      <c r="LM12" s="25"/>
      <c r="LN12" s="25"/>
      <c r="LO12" s="25"/>
      <c r="LP12" s="25"/>
      <c r="LQ12" s="110"/>
      <c r="LR12" s="110"/>
      <c r="LS12" s="25"/>
      <c r="LT12" s="25"/>
      <c r="LU12" s="25"/>
      <c r="LV12" s="25"/>
      <c r="LW12" s="25"/>
      <c r="LX12" s="110"/>
      <c r="LY12" s="110"/>
      <c r="LZ12" s="25"/>
      <c r="MA12" s="25"/>
      <c r="MB12" s="25"/>
      <c r="MC12" s="25"/>
      <c r="MD12" s="25"/>
      <c r="ME12" s="110"/>
      <c r="MF12" s="110"/>
      <c r="MG12" s="25"/>
      <c r="MH12" s="25"/>
      <c r="MI12" s="25"/>
      <c r="MJ12" s="25"/>
      <c r="MK12" s="25"/>
      <c r="ML12" s="110"/>
      <c r="MM12" s="110"/>
      <c r="MN12" s="25"/>
      <c r="MO12" s="25"/>
      <c r="MP12" s="25"/>
      <c r="MQ12" s="25"/>
      <c r="MR12" s="25"/>
      <c r="MS12" s="110"/>
      <c r="MT12" s="110"/>
      <c r="MU12" s="25"/>
      <c r="MV12" s="25"/>
      <c r="MW12" s="25"/>
      <c r="MX12" s="25"/>
      <c r="MY12" s="25"/>
      <c r="MZ12" s="110"/>
      <c r="NA12" s="110"/>
      <c r="NB12" s="25"/>
      <c r="NC12" s="25"/>
      <c r="ND12" s="25"/>
      <c r="NE12" s="129"/>
      <c r="NF12" s="111"/>
      <c r="NG12" s="8">
        <f t="shared" si="0"/>
        <v>7</v>
      </c>
      <c r="NH12" s="351" cm="1">
        <f t="array" ref="NH12">NETWORKDAYS($I$2,$AH$2)- SUM(COUNTIF(I12:AH12,{"I";"F";"CP";"R";"P";"AC";"AM"}))</f>
        <v>13</v>
      </c>
      <c r="NI12" s="138">
        <f t="shared" si="12"/>
        <v>0.53846153846153844</v>
      </c>
      <c r="NJ12" s="8">
        <f t="shared" si="1"/>
        <v>20</v>
      </c>
      <c r="NK12" s="351" cm="1">
        <f t="array" ref="NK12">NETWORKDAYS($AJ$2,$BK$2)- SUM(COUNTIF(AJ12:BK12,{"I";"F";"CP";"R";"P";"AC";"AM"}))</f>
        <v>20</v>
      </c>
      <c r="NL12" s="138">
        <f t="shared" si="13"/>
        <v>1</v>
      </c>
      <c r="NM12" s="8">
        <f t="shared" si="2"/>
        <v>18</v>
      </c>
      <c r="NN12" s="351" cm="1">
        <f t="array" ref="NN12">NETWORKDAYS($BL$2,$CP$2)- SUM(COUNTIF(BL12:CP12,{"I";"F";"CP";"R";"P";"AC";"AM"}))</f>
        <v>21</v>
      </c>
      <c r="NO12" s="138">
        <f t="shared" si="14"/>
        <v>0.8571428571428571</v>
      </c>
      <c r="NP12" s="8">
        <f t="shared" si="3"/>
        <v>18</v>
      </c>
      <c r="NQ12" s="351" cm="1">
        <f t="array" ref="NQ12">NETWORKDAYS($CQ$2,$DT$2,$CV$2)- SUM(COUNTIF(CQ12:DT12,{"I";"F";"CP";"R";"P";"AC";"AM"}))</f>
        <v>21</v>
      </c>
      <c r="NR12" s="138">
        <f t="shared" si="15"/>
        <v>0.8571428571428571</v>
      </c>
      <c r="NS12" s="8">
        <f t="shared" si="4"/>
        <v>0</v>
      </c>
      <c r="NT12" s="351" cm="1">
        <f t="array" ref="NT12">NETWORKDAYS($DV$2,$EY$2)-SUM(COUNTIF(DV12:EY12,{"I";"F";"CP";"R";"P";"AC";"AM"}))</f>
        <v>16</v>
      </c>
      <c r="NU12" s="138">
        <f t="shared" si="16"/>
        <v>0</v>
      </c>
      <c r="NV12" s="8">
        <f t="shared" si="5"/>
        <v>0</v>
      </c>
      <c r="NW12" s="351" cm="1">
        <f t="array" ref="NW12">NETWORKDAYS($EZ$2,$GC$2)-SUM(COUNTIF(EZ12:GC12,{"I";"F";"CP";"R";"P";"AC";"AM"}))</f>
        <v>22</v>
      </c>
      <c r="NX12" s="138">
        <f t="shared" si="17"/>
        <v>0</v>
      </c>
      <c r="NY12" s="8">
        <f t="shared" si="6"/>
        <v>0</v>
      </c>
      <c r="NZ12" s="351" cm="1">
        <f t="array" ref="NZ12">NETWORKDAYS($GD$2,$HH$2,$GQ$2)-SUM(COUNTIF(GD12:HH12,{"I";"F";"CP";"R";"P";"AC";"AM"}))</f>
        <v>21</v>
      </c>
      <c r="OA12" s="138">
        <f t="shared" si="18"/>
        <v>0</v>
      </c>
      <c r="OB12" s="8">
        <f t="shared" si="7"/>
        <v>0</v>
      </c>
      <c r="OC12" s="351" cm="1">
        <f t="array" ref="OC12">NETWORKDAYS($HI$2,$IM$2)-SUM(COUNTIF(HI12:IM12,{"I";"F";"CP";"R";"P";"AC";"AM"}))</f>
        <v>21</v>
      </c>
      <c r="OD12" s="138">
        <f t="shared" si="19"/>
        <v>0</v>
      </c>
      <c r="OE12" s="8">
        <f t="shared" si="8"/>
        <v>0</v>
      </c>
      <c r="OF12" s="351" cm="1">
        <f t="array" ref="OF12">NETWORKDAYS($IN$2,$JQ$2)-SUM(COUNTIF(IN12:JQ12,{"I";"F";"CP";"R";"P";"AC";"AM"}))</f>
        <v>22</v>
      </c>
      <c r="OG12" s="138">
        <f t="shared" si="20"/>
        <v>0</v>
      </c>
      <c r="OH12" s="8">
        <f t="shared" si="9"/>
        <v>0</v>
      </c>
      <c r="OI12" s="351" cm="1">
        <f t="array" ref="OI12">NETWORKDAYS($JR$2,$KV$2)-SUM(COUNTIF(JR12:KV12,{"I";"F";"CP";"R";"P";"AC";"AM"}))</f>
        <v>22</v>
      </c>
      <c r="OJ12" s="138">
        <f t="shared" si="21"/>
        <v>0</v>
      </c>
      <c r="OK12" s="8">
        <f t="shared" si="10"/>
        <v>0</v>
      </c>
      <c r="OL12" s="351" cm="1">
        <f t="array" ref="OL12">NETWORKDAYS($KW$2,$LZ$2,$LG$2)-SUM(COUNTIF(KW12:LZ12,{"I";"F";"CP";"R";"P";"AC";"AM"}))</f>
        <v>19</v>
      </c>
      <c r="OM12" s="138">
        <f t="shared" si="22"/>
        <v>0</v>
      </c>
      <c r="ON12" s="8">
        <f t="shared" si="11"/>
        <v>0</v>
      </c>
      <c r="OO12" s="351" cm="1">
        <f t="array" ref="OO12">NETWORKDAYS($MA$2,$MR$2)-SUM(COUNTIF(MA12:MR12,{"I";"F";"CP";"R";"P";"AC";"AM"}))</f>
        <v>14</v>
      </c>
      <c r="OP12" s="138">
        <f t="shared" si="23"/>
        <v>0</v>
      </c>
      <c r="OQ12" s="94">
        <f t="shared" si="24"/>
        <v>63</v>
      </c>
      <c r="OR12" s="94">
        <f t="shared" si="25"/>
        <v>232</v>
      </c>
      <c r="OS12" s="138">
        <f t="shared" si="26"/>
        <v>0.27155172413793105</v>
      </c>
    </row>
    <row r="13" spans="1:409" ht="18" hidden="1" customHeight="1" x14ac:dyDescent="0.25">
      <c r="A13" s="93" t="s">
        <v>168</v>
      </c>
      <c r="B13" s="93" t="s">
        <v>168</v>
      </c>
      <c r="C13" s="27" t="s">
        <v>175</v>
      </c>
      <c r="D13" s="27" t="s">
        <v>176</v>
      </c>
      <c r="E13" s="128"/>
      <c r="F13" s="110"/>
      <c r="G13" s="110"/>
      <c r="H13" s="110"/>
      <c r="I13" s="25"/>
      <c r="J13" s="25"/>
      <c r="K13" s="25"/>
      <c r="L13" s="25"/>
      <c r="M13" s="25"/>
      <c r="N13" s="110"/>
      <c r="O13" s="110"/>
      <c r="P13" s="25"/>
      <c r="Q13" s="25"/>
      <c r="R13" s="25"/>
      <c r="S13" s="25"/>
      <c r="T13" s="25"/>
      <c r="U13" s="110"/>
      <c r="V13" s="110"/>
      <c r="W13" s="25"/>
      <c r="X13" s="25"/>
      <c r="Y13" s="25"/>
      <c r="Z13" s="25"/>
      <c r="AA13" s="25"/>
      <c r="AB13" s="110"/>
      <c r="AC13" s="110"/>
      <c r="AD13" s="25"/>
      <c r="AE13" s="25"/>
      <c r="AF13" s="25"/>
      <c r="AG13" s="25"/>
      <c r="AH13" s="25"/>
      <c r="AI13" s="110"/>
      <c r="AJ13" s="110"/>
      <c r="AK13" s="25"/>
      <c r="AL13" s="25"/>
      <c r="AM13" s="25"/>
      <c r="AN13" s="25"/>
      <c r="AO13" s="25"/>
      <c r="AP13" s="110"/>
      <c r="AQ13" s="110"/>
      <c r="AR13" s="25"/>
      <c r="AS13" s="25"/>
      <c r="AT13" s="25"/>
      <c r="AU13" s="25"/>
      <c r="AV13" s="25"/>
      <c r="AW13" s="110"/>
      <c r="AX13" s="110"/>
      <c r="AY13" s="25"/>
      <c r="AZ13" s="25"/>
      <c r="BA13" s="25"/>
      <c r="BB13" s="25"/>
      <c r="BC13" s="25"/>
      <c r="BD13" s="110"/>
      <c r="BE13" s="110"/>
      <c r="BF13" s="25"/>
      <c r="BG13" s="25"/>
      <c r="BH13" s="25"/>
      <c r="BI13" s="25"/>
      <c r="BJ13" s="25"/>
      <c r="BK13" s="110"/>
      <c r="BL13" s="110"/>
      <c r="BM13" s="25"/>
      <c r="BN13" s="25"/>
      <c r="BO13" s="25"/>
      <c r="BP13" s="25"/>
      <c r="BQ13" s="25"/>
      <c r="BR13" s="110"/>
      <c r="BS13" s="110"/>
      <c r="BT13" s="25" t="s">
        <v>162</v>
      </c>
      <c r="BU13" s="25" t="s">
        <v>162</v>
      </c>
      <c r="BV13" s="25" t="s">
        <v>162</v>
      </c>
      <c r="BW13" s="25" t="s">
        <v>162</v>
      </c>
      <c r="BX13" s="25" t="s">
        <v>162</v>
      </c>
      <c r="BY13" s="110"/>
      <c r="BZ13" s="110"/>
      <c r="CA13" s="25"/>
      <c r="CB13" s="25"/>
      <c r="CC13" s="25"/>
      <c r="CD13" s="25"/>
      <c r="CE13" s="25" t="s">
        <v>445</v>
      </c>
      <c r="CF13" s="110"/>
      <c r="CG13" s="110"/>
      <c r="CH13" s="25"/>
      <c r="CI13" s="25"/>
      <c r="CJ13" s="25"/>
      <c r="CK13" s="25"/>
      <c r="CL13" s="25"/>
      <c r="CM13" s="110"/>
      <c r="CN13" s="110"/>
      <c r="CO13" s="25"/>
      <c r="CP13" s="25"/>
      <c r="CQ13" s="25"/>
      <c r="CR13" s="25"/>
      <c r="CS13" s="25">
        <v>1</v>
      </c>
      <c r="CT13" s="110"/>
      <c r="CU13" s="110"/>
      <c r="CV13" s="110"/>
      <c r="CW13" s="25">
        <v>1</v>
      </c>
      <c r="CX13" s="25">
        <v>1</v>
      </c>
      <c r="CY13" s="25">
        <v>1</v>
      </c>
      <c r="CZ13" s="25">
        <v>1</v>
      </c>
      <c r="DA13" s="110"/>
      <c r="DB13" s="110"/>
      <c r="DC13" s="25">
        <v>1</v>
      </c>
      <c r="DD13" s="25">
        <v>1</v>
      </c>
      <c r="DE13" s="25">
        <v>1</v>
      </c>
      <c r="DF13" s="25">
        <v>1</v>
      </c>
      <c r="DG13" s="25">
        <v>1</v>
      </c>
      <c r="DH13" s="110"/>
      <c r="DI13" s="110"/>
      <c r="DJ13" s="25">
        <v>1</v>
      </c>
      <c r="DK13" s="25">
        <v>1</v>
      </c>
      <c r="DL13" s="25">
        <v>1</v>
      </c>
      <c r="DM13" s="25">
        <v>1</v>
      </c>
      <c r="DN13" s="25">
        <v>1</v>
      </c>
      <c r="DO13" s="110"/>
      <c r="DP13" s="110"/>
      <c r="DQ13" s="25">
        <v>1</v>
      </c>
      <c r="DR13" s="25">
        <v>1</v>
      </c>
      <c r="DS13" s="25">
        <v>1</v>
      </c>
      <c r="DT13" s="25">
        <v>1</v>
      </c>
      <c r="DU13" s="110"/>
      <c r="DV13" s="110"/>
      <c r="DW13" s="110"/>
      <c r="DX13" s="25"/>
      <c r="DY13" s="25"/>
      <c r="DZ13" s="25"/>
      <c r="EA13" s="25"/>
      <c r="EB13" s="110"/>
      <c r="EC13" s="110"/>
      <c r="ED13" s="110"/>
      <c r="EE13" s="25"/>
      <c r="EF13" s="25"/>
      <c r="EG13" s="25"/>
      <c r="EH13" s="110"/>
      <c r="EI13" s="110"/>
      <c r="EJ13" s="110"/>
      <c r="EK13" s="110"/>
      <c r="EL13" s="25"/>
      <c r="EM13" s="25"/>
      <c r="EN13" s="25"/>
      <c r="EO13" s="25"/>
      <c r="EP13" s="25"/>
      <c r="EQ13" s="110"/>
      <c r="ER13" s="110"/>
      <c r="ES13" s="110"/>
      <c r="ET13" s="25"/>
      <c r="EU13" s="25"/>
      <c r="EV13" s="25"/>
      <c r="EW13" s="25"/>
      <c r="EX13" s="110"/>
      <c r="EY13" s="110"/>
      <c r="EZ13" s="25"/>
      <c r="FA13" s="25"/>
      <c r="FB13" s="25"/>
      <c r="FC13" s="25"/>
      <c r="FD13" s="25"/>
      <c r="FE13" s="110"/>
      <c r="FF13" s="110"/>
      <c r="FG13" s="25"/>
      <c r="FH13" s="25"/>
      <c r="FI13" s="25"/>
      <c r="FJ13" s="25"/>
      <c r="FK13" s="25"/>
      <c r="FL13" s="110"/>
      <c r="FM13" s="110"/>
      <c r="FN13" s="25"/>
      <c r="FO13" s="25"/>
      <c r="FP13" s="25"/>
      <c r="FQ13" s="25"/>
      <c r="FR13" s="25"/>
      <c r="FS13" s="110"/>
      <c r="FT13" s="110"/>
      <c r="FU13" s="25"/>
      <c r="FV13" s="25"/>
      <c r="FW13" s="25"/>
      <c r="FX13" s="25"/>
      <c r="FY13" s="25"/>
      <c r="FZ13" s="110"/>
      <c r="GA13" s="110"/>
      <c r="GB13" s="25"/>
      <c r="GC13" s="25"/>
      <c r="GD13" s="25"/>
      <c r="GE13" s="25"/>
      <c r="GF13" s="25"/>
      <c r="GG13" s="110"/>
      <c r="GH13" s="110"/>
      <c r="GI13" s="25"/>
      <c r="GJ13" s="25"/>
      <c r="GK13" s="25"/>
      <c r="GL13" s="25"/>
      <c r="GM13" s="25"/>
      <c r="GN13" s="110"/>
      <c r="GO13" s="110"/>
      <c r="GP13" s="110"/>
      <c r="GQ13" s="110"/>
      <c r="GR13" s="25"/>
      <c r="GS13" s="25"/>
      <c r="GT13" s="25"/>
      <c r="GU13" s="110"/>
      <c r="GV13" s="110"/>
      <c r="GW13" s="25"/>
      <c r="GX13" s="25"/>
      <c r="GY13" s="25"/>
      <c r="GZ13" s="25"/>
      <c r="HA13" s="25"/>
      <c r="HB13" s="110"/>
      <c r="HC13" s="110"/>
      <c r="HD13" s="25"/>
      <c r="HE13" s="25"/>
      <c r="HF13" s="25"/>
      <c r="HG13" s="25"/>
      <c r="HH13" s="25"/>
      <c r="HI13" s="110"/>
      <c r="HJ13" s="110"/>
      <c r="HK13" s="25"/>
      <c r="HL13" s="25"/>
      <c r="HM13" s="25"/>
      <c r="HN13" s="25"/>
      <c r="HO13" s="25"/>
      <c r="HP13" s="110"/>
      <c r="HQ13" s="110"/>
      <c r="HR13" s="25"/>
      <c r="HS13" s="25"/>
      <c r="HT13" s="25"/>
      <c r="HU13" s="25"/>
      <c r="HV13" s="25"/>
      <c r="HW13" s="110"/>
      <c r="HX13" s="110"/>
      <c r="HY13" s="25"/>
      <c r="HZ13" s="25"/>
      <c r="IA13" s="25"/>
      <c r="IB13" s="25"/>
      <c r="IC13" s="25"/>
      <c r="ID13" s="110"/>
      <c r="IE13" s="110"/>
      <c r="IF13" s="25"/>
      <c r="IG13" s="25"/>
      <c r="IH13" s="25"/>
      <c r="II13" s="25"/>
      <c r="IJ13" s="25"/>
      <c r="IK13" s="110"/>
      <c r="IL13" s="110"/>
      <c r="IM13" s="25"/>
      <c r="IN13" s="25"/>
      <c r="IO13" s="25"/>
      <c r="IP13" s="25"/>
      <c r="IQ13" s="25"/>
      <c r="IR13" s="110"/>
      <c r="IS13" s="110"/>
      <c r="IT13" s="25"/>
      <c r="IU13" s="25"/>
      <c r="IV13" s="25"/>
      <c r="IW13" s="25"/>
      <c r="IX13" s="25"/>
      <c r="IY13" s="110"/>
      <c r="IZ13" s="110"/>
      <c r="JA13" s="25"/>
      <c r="JB13" s="25"/>
      <c r="JC13" s="25"/>
      <c r="JD13" s="25"/>
      <c r="JE13" s="25"/>
      <c r="JF13" s="110"/>
      <c r="JG13" s="110"/>
      <c r="JH13" s="25"/>
      <c r="JI13" s="25"/>
      <c r="JJ13" s="25"/>
      <c r="JK13" s="25"/>
      <c r="JL13" s="25"/>
      <c r="JM13" s="110"/>
      <c r="JN13" s="110"/>
      <c r="JO13" s="25"/>
      <c r="JP13" s="25"/>
      <c r="JQ13" s="25"/>
      <c r="JR13" s="25"/>
      <c r="JS13" s="25"/>
      <c r="JT13" s="110"/>
      <c r="JU13" s="110"/>
      <c r="JV13" s="25"/>
      <c r="JW13" s="25"/>
      <c r="JX13" s="25"/>
      <c r="JY13" s="25"/>
      <c r="JZ13" s="25"/>
      <c r="KA13" s="110"/>
      <c r="KB13" s="110"/>
      <c r="KC13" s="25"/>
      <c r="KD13" s="25"/>
      <c r="KE13" s="25"/>
      <c r="KF13" s="25"/>
      <c r="KG13" s="25"/>
      <c r="KH13" s="110"/>
      <c r="KI13" s="110"/>
      <c r="KJ13" s="25"/>
      <c r="KK13" s="25"/>
      <c r="KL13" s="25"/>
      <c r="KM13" s="25"/>
      <c r="KN13" s="25"/>
      <c r="KO13" s="110"/>
      <c r="KP13" s="110"/>
      <c r="KQ13" s="25"/>
      <c r="KR13" s="25"/>
      <c r="KS13" s="25"/>
      <c r="KT13" s="25"/>
      <c r="KU13" s="25"/>
      <c r="KV13" s="110"/>
      <c r="KW13" s="110"/>
      <c r="KX13" s="25"/>
      <c r="KY13" s="25"/>
      <c r="KZ13" s="25"/>
      <c r="LA13" s="25"/>
      <c r="LB13" s="25"/>
      <c r="LC13" s="110"/>
      <c r="LD13" s="110"/>
      <c r="LE13" s="25"/>
      <c r="LF13" s="25"/>
      <c r="LG13" s="110"/>
      <c r="LH13" s="25"/>
      <c r="LI13" s="25"/>
      <c r="LJ13" s="110"/>
      <c r="LK13" s="110"/>
      <c r="LL13" s="25"/>
      <c r="LM13" s="25"/>
      <c r="LN13" s="25"/>
      <c r="LO13" s="25"/>
      <c r="LP13" s="25"/>
      <c r="LQ13" s="110"/>
      <c r="LR13" s="110"/>
      <c r="LS13" s="25"/>
      <c r="LT13" s="25"/>
      <c r="LU13" s="25"/>
      <c r="LV13" s="25"/>
      <c r="LW13" s="25"/>
      <c r="LX13" s="110"/>
      <c r="LY13" s="110"/>
      <c r="LZ13" s="25"/>
      <c r="MA13" s="25"/>
      <c r="MB13" s="25"/>
      <c r="MC13" s="25"/>
      <c r="MD13" s="25"/>
      <c r="ME13" s="110"/>
      <c r="MF13" s="110"/>
      <c r="MG13" s="25"/>
      <c r="MH13" s="25"/>
      <c r="MI13" s="25"/>
      <c r="MJ13" s="25"/>
      <c r="MK13" s="25"/>
      <c r="ML13" s="110"/>
      <c r="MM13" s="110"/>
      <c r="MN13" s="25"/>
      <c r="MO13" s="25"/>
      <c r="MP13" s="25"/>
      <c r="MQ13" s="25"/>
      <c r="MR13" s="25"/>
      <c r="MS13" s="110"/>
      <c r="MT13" s="110"/>
      <c r="MU13" s="25"/>
      <c r="MV13" s="25"/>
      <c r="MW13" s="25"/>
      <c r="MX13" s="25"/>
      <c r="MY13" s="25"/>
      <c r="MZ13" s="110"/>
      <c r="NA13" s="110"/>
      <c r="NB13" s="25"/>
      <c r="NC13" s="25"/>
      <c r="ND13" s="25"/>
      <c r="NE13" s="129"/>
      <c r="NF13" s="111"/>
      <c r="NG13" s="8"/>
      <c r="NH13" s="351"/>
      <c r="NI13" s="138" t="str">
        <f t="shared" si="12"/>
        <v/>
      </c>
      <c r="NJ13" s="8"/>
      <c r="NK13" s="351"/>
      <c r="NL13" s="138" t="str">
        <f t="shared" si="13"/>
        <v/>
      </c>
      <c r="NM13" s="8"/>
      <c r="NN13" s="351"/>
      <c r="NO13" s="138" t="str">
        <f t="shared" si="14"/>
        <v/>
      </c>
      <c r="NP13" s="8"/>
      <c r="NQ13" s="351"/>
      <c r="NR13" s="138" t="str">
        <f t="shared" si="15"/>
        <v/>
      </c>
      <c r="NS13" s="8"/>
      <c r="NT13" s="351"/>
      <c r="NU13" s="138" t="str">
        <f t="shared" si="16"/>
        <v/>
      </c>
      <c r="NV13" s="8"/>
      <c r="NW13" s="351"/>
      <c r="NX13" s="138"/>
      <c r="NY13" s="8"/>
      <c r="NZ13" s="351"/>
      <c r="OA13" s="138"/>
      <c r="OB13" s="8"/>
      <c r="OC13" s="351"/>
      <c r="OD13" s="138"/>
      <c r="OE13" s="8"/>
      <c r="OF13" s="351"/>
      <c r="OG13" s="138"/>
      <c r="OH13" s="8"/>
      <c r="OI13" s="351"/>
      <c r="OJ13" s="138"/>
      <c r="OK13" s="8"/>
      <c r="OL13" s="351"/>
      <c r="OM13" s="138"/>
      <c r="ON13" s="8"/>
      <c r="OO13" s="351"/>
      <c r="OP13" s="138"/>
      <c r="OQ13" s="94"/>
      <c r="OR13" s="94"/>
      <c r="OS13" s="138"/>
    </row>
    <row r="14" spans="1:409" ht="18" hidden="1" customHeight="1" x14ac:dyDescent="0.25">
      <c r="A14" s="94" t="s">
        <v>164</v>
      </c>
      <c r="B14" s="93" t="s">
        <v>45</v>
      </c>
      <c r="C14" s="27" t="s">
        <v>166</v>
      </c>
      <c r="D14" s="27" t="s">
        <v>177</v>
      </c>
      <c r="E14" s="128"/>
      <c r="F14" s="110"/>
      <c r="G14" s="110"/>
      <c r="H14" s="110"/>
      <c r="I14" s="25"/>
      <c r="J14" s="25"/>
      <c r="K14" s="25"/>
      <c r="L14" s="25"/>
      <c r="M14" s="25"/>
      <c r="N14" s="110"/>
      <c r="O14" s="110"/>
      <c r="P14" s="25">
        <v>1</v>
      </c>
      <c r="Q14" s="25">
        <v>1</v>
      </c>
      <c r="R14" s="25">
        <v>1</v>
      </c>
      <c r="S14" s="25">
        <v>1</v>
      </c>
      <c r="T14" s="25">
        <v>1</v>
      </c>
      <c r="U14" s="110"/>
      <c r="V14" s="110"/>
      <c r="W14" s="25"/>
      <c r="X14" s="25"/>
      <c r="Y14" s="25"/>
      <c r="Z14" s="25">
        <v>1</v>
      </c>
      <c r="AA14" s="25">
        <v>1</v>
      </c>
      <c r="AB14" s="110"/>
      <c r="AC14" s="110"/>
      <c r="AD14" s="25">
        <v>1</v>
      </c>
      <c r="AE14" s="25">
        <v>1</v>
      </c>
      <c r="AF14" s="25"/>
      <c r="AG14" s="25">
        <v>1</v>
      </c>
      <c r="AH14" s="25">
        <v>1</v>
      </c>
      <c r="AI14" s="110"/>
      <c r="AJ14" s="110"/>
      <c r="AK14" s="25"/>
      <c r="AL14" s="25"/>
      <c r="AM14" s="25">
        <v>1</v>
      </c>
      <c r="AN14" s="25">
        <v>1</v>
      </c>
      <c r="AO14" s="25">
        <v>1</v>
      </c>
      <c r="AP14" s="110"/>
      <c r="AQ14" s="110"/>
      <c r="AR14" s="25">
        <v>1</v>
      </c>
      <c r="AS14" s="25">
        <v>1</v>
      </c>
      <c r="AT14" s="25">
        <v>1</v>
      </c>
      <c r="AV14" s="25">
        <v>1</v>
      </c>
      <c r="AW14" s="110"/>
      <c r="AX14" s="110"/>
      <c r="AY14" s="25"/>
      <c r="AZ14" s="25">
        <v>1</v>
      </c>
      <c r="BA14" s="25">
        <v>1</v>
      </c>
      <c r="BB14" s="25">
        <v>1</v>
      </c>
      <c r="BC14" s="25">
        <v>1</v>
      </c>
      <c r="BD14" s="110"/>
      <c r="BE14" s="110"/>
      <c r="BF14" s="25">
        <v>1</v>
      </c>
      <c r="BG14" s="25">
        <v>1</v>
      </c>
      <c r="BH14" s="25">
        <v>1</v>
      </c>
      <c r="BI14" s="25">
        <v>1</v>
      </c>
      <c r="BJ14" s="25">
        <v>1</v>
      </c>
      <c r="BK14" s="110"/>
      <c r="BL14" s="110"/>
      <c r="BM14" s="25">
        <v>1</v>
      </c>
      <c r="BN14" s="25">
        <v>1</v>
      </c>
      <c r="BO14" s="25">
        <v>1</v>
      </c>
      <c r="BP14" s="25">
        <v>1</v>
      </c>
      <c r="BQ14" s="25">
        <v>1</v>
      </c>
      <c r="BR14" s="110"/>
      <c r="BS14" s="110"/>
      <c r="BT14" s="25">
        <v>1</v>
      </c>
      <c r="BU14" s="25">
        <v>1</v>
      </c>
      <c r="BV14" s="25">
        <v>1</v>
      </c>
      <c r="BW14" s="25">
        <v>1</v>
      </c>
      <c r="BX14" s="25">
        <v>1</v>
      </c>
      <c r="BY14" s="110"/>
      <c r="BZ14" s="110"/>
      <c r="CA14" s="25"/>
      <c r="CB14" s="25">
        <v>1</v>
      </c>
      <c r="CC14" s="25">
        <v>1</v>
      </c>
      <c r="CD14" s="25">
        <v>1</v>
      </c>
      <c r="CE14" s="25">
        <v>1</v>
      </c>
      <c r="CF14" s="110"/>
      <c r="CG14" s="110"/>
      <c r="CH14" s="25">
        <v>1</v>
      </c>
      <c r="CI14" s="25">
        <v>1</v>
      </c>
      <c r="CJ14" s="25">
        <v>1</v>
      </c>
      <c r="CK14" s="25">
        <v>1</v>
      </c>
      <c r="CL14" s="25">
        <v>1</v>
      </c>
      <c r="CM14" s="110"/>
      <c r="CN14" s="110"/>
      <c r="CO14" s="25">
        <v>1</v>
      </c>
      <c r="CP14" s="25">
        <v>1</v>
      </c>
      <c r="CQ14" s="25">
        <v>1</v>
      </c>
      <c r="CR14" s="25">
        <v>1</v>
      </c>
      <c r="CS14" s="25">
        <v>1</v>
      </c>
      <c r="CT14" s="110"/>
      <c r="CU14" s="110"/>
      <c r="CV14" s="110"/>
      <c r="CW14" s="25" t="s">
        <v>223</v>
      </c>
      <c r="CX14" s="25" t="s">
        <v>223</v>
      </c>
      <c r="CY14" s="25" t="s">
        <v>223</v>
      </c>
      <c r="CZ14" s="25" t="s">
        <v>223</v>
      </c>
      <c r="DA14" s="110"/>
      <c r="DB14" s="110"/>
      <c r="DC14" s="25"/>
      <c r="DD14" s="25"/>
      <c r="DE14" s="25"/>
      <c r="DF14" s="25"/>
      <c r="DG14" s="25"/>
      <c r="DH14" s="110"/>
      <c r="DI14" s="110"/>
      <c r="DJ14" s="25">
        <v>1</v>
      </c>
      <c r="DK14" s="25">
        <v>1</v>
      </c>
      <c r="DL14" s="25">
        <v>1</v>
      </c>
      <c r="DM14" s="25">
        <v>1</v>
      </c>
      <c r="DN14" s="25">
        <v>1</v>
      </c>
      <c r="DO14" s="110"/>
      <c r="DP14" s="110"/>
      <c r="DQ14" s="25">
        <v>1</v>
      </c>
      <c r="DR14" s="25">
        <v>1</v>
      </c>
      <c r="DS14" s="25">
        <v>1</v>
      </c>
      <c r="DT14" s="25">
        <v>1</v>
      </c>
      <c r="DU14" s="110" t="s">
        <v>445</v>
      </c>
      <c r="DV14" s="110"/>
      <c r="DW14" s="110"/>
      <c r="DX14" s="25"/>
      <c r="DY14" s="25"/>
      <c r="DZ14" s="25"/>
      <c r="EA14" s="25"/>
      <c r="EB14" s="110" t="s">
        <v>445</v>
      </c>
      <c r="EC14" s="110"/>
      <c r="ED14" s="110"/>
      <c r="EE14" s="25"/>
      <c r="EF14" s="25"/>
      <c r="EG14" s="25">
        <v>1</v>
      </c>
      <c r="EH14" s="110" t="s">
        <v>445</v>
      </c>
      <c r="EI14" s="110" t="s">
        <v>445</v>
      </c>
      <c r="EJ14" s="110"/>
      <c r="EK14" s="110"/>
      <c r="EL14" s="25"/>
      <c r="EM14" s="25"/>
      <c r="EN14" s="25"/>
      <c r="EO14" s="25"/>
      <c r="EP14" s="25"/>
      <c r="EQ14" s="110"/>
      <c r="ER14" s="110"/>
      <c r="ES14" s="110" t="s">
        <v>445</v>
      </c>
      <c r="ET14" s="25"/>
      <c r="EU14" s="25"/>
      <c r="EV14" s="25"/>
      <c r="EW14" s="25"/>
      <c r="EX14" s="110"/>
      <c r="EY14" s="110"/>
      <c r="EZ14" s="25"/>
      <c r="FA14" s="25"/>
      <c r="FB14" s="25"/>
      <c r="FC14" s="25"/>
      <c r="FD14" s="25"/>
      <c r="FE14" s="110"/>
      <c r="FF14" s="110"/>
      <c r="FG14" s="25"/>
      <c r="FH14" s="25"/>
      <c r="FI14" s="25"/>
      <c r="FJ14" s="25"/>
      <c r="FK14" s="25"/>
      <c r="FL14" s="110"/>
      <c r="FM14" s="110"/>
      <c r="FN14" s="25"/>
      <c r="FO14" s="25"/>
      <c r="FP14" s="25"/>
      <c r="FQ14" s="25"/>
      <c r="FR14" s="25"/>
      <c r="FS14" s="110"/>
      <c r="FT14" s="110"/>
      <c r="FU14" s="25"/>
      <c r="FV14" s="25"/>
      <c r="FW14" s="25"/>
      <c r="FX14" s="25"/>
      <c r="FY14" s="25"/>
      <c r="FZ14" s="110"/>
      <c r="GA14" s="110"/>
      <c r="GB14" s="25"/>
      <c r="GC14" s="25"/>
      <c r="GD14" s="25"/>
      <c r="GE14" s="25"/>
      <c r="GF14" s="25"/>
      <c r="GG14" s="110"/>
      <c r="GH14" s="110"/>
      <c r="GI14" s="25"/>
      <c r="GJ14" s="25"/>
      <c r="GK14" s="25"/>
      <c r="GL14" s="25"/>
      <c r="GM14" s="25"/>
      <c r="GN14" s="110"/>
      <c r="GO14" s="110"/>
      <c r="GP14" s="110" t="s">
        <v>445</v>
      </c>
      <c r="GQ14" s="110"/>
      <c r="GR14" s="25"/>
      <c r="GS14" s="25"/>
      <c r="GT14" s="25"/>
      <c r="GU14" s="110"/>
      <c r="GV14" s="110"/>
      <c r="GW14" s="25"/>
      <c r="GX14" s="25"/>
      <c r="GY14" s="25"/>
      <c r="GZ14" s="25"/>
      <c r="HA14" s="25"/>
      <c r="HB14" s="110"/>
      <c r="HC14" s="110"/>
      <c r="HD14" s="25"/>
      <c r="HE14" s="25"/>
      <c r="HF14" s="25"/>
      <c r="HG14" s="25"/>
      <c r="HH14" s="25"/>
      <c r="HI14" s="110"/>
      <c r="HJ14" s="110"/>
      <c r="HK14" s="25"/>
      <c r="HL14" s="25"/>
      <c r="HM14" s="25"/>
      <c r="HN14" s="25"/>
      <c r="HO14" s="25"/>
      <c r="HP14" s="110"/>
      <c r="HQ14" s="110"/>
      <c r="HR14" s="25"/>
      <c r="HS14" s="25"/>
      <c r="HT14" s="25"/>
      <c r="HU14" s="25"/>
      <c r="HV14" s="25"/>
      <c r="HW14" s="110"/>
      <c r="HX14" s="110"/>
      <c r="HY14" s="25"/>
      <c r="HZ14" s="25"/>
      <c r="IA14" s="25"/>
      <c r="IB14" s="25"/>
      <c r="IC14" s="25"/>
      <c r="ID14" s="110"/>
      <c r="IE14" s="110"/>
      <c r="IF14" s="25"/>
      <c r="IG14" s="25"/>
      <c r="IH14" s="25"/>
      <c r="II14" s="25"/>
      <c r="IJ14" s="25"/>
      <c r="IK14" s="110"/>
      <c r="IL14" s="110"/>
      <c r="IM14" s="25"/>
      <c r="IN14" s="25"/>
      <c r="IO14" s="25"/>
      <c r="IP14" s="25"/>
      <c r="IQ14" s="25"/>
      <c r="IR14" s="110"/>
      <c r="IS14" s="110"/>
      <c r="IT14" s="25"/>
      <c r="IU14" s="25"/>
      <c r="IV14" s="25"/>
      <c r="IW14" s="25"/>
      <c r="IX14" s="25"/>
      <c r="IY14" s="110"/>
      <c r="IZ14" s="110"/>
      <c r="JA14" s="25"/>
      <c r="JB14" s="25"/>
      <c r="JC14" s="25"/>
      <c r="JD14" s="25"/>
      <c r="JE14" s="25"/>
      <c r="JF14" s="110"/>
      <c r="JG14" s="110"/>
      <c r="JH14" s="25"/>
      <c r="JI14" s="25"/>
      <c r="JJ14" s="25"/>
      <c r="JK14" s="25"/>
      <c r="JL14" s="25"/>
      <c r="JM14" s="110"/>
      <c r="JN14" s="110"/>
      <c r="JO14" s="25"/>
      <c r="JP14" s="25"/>
      <c r="JQ14" s="25"/>
      <c r="JR14" s="25"/>
      <c r="JS14" s="25"/>
      <c r="JT14" s="110"/>
      <c r="JU14" s="110"/>
      <c r="JV14" s="25"/>
      <c r="JW14" s="25"/>
      <c r="JX14" s="25"/>
      <c r="JY14" s="25"/>
      <c r="JZ14" s="25"/>
      <c r="KA14" s="110"/>
      <c r="KB14" s="110"/>
      <c r="KC14" s="25"/>
      <c r="KD14" s="25"/>
      <c r="KE14" s="25"/>
      <c r="KF14" s="25"/>
      <c r="KG14" s="25"/>
      <c r="KH14" s="110"/>
      <c r="KI14" s="110"/>
      <c r="KJ14" s="25"/>
      <c r="KK14" s="25"/>
      <c r="KL14" s="25"/>
      <c r="KM14" s="25"/>
      <c r="KN14" s="25"/>
      <c r="KO14" s="110"/>
      <c r="KP14" s="110"/>
      <c r="KQ14" s="25"/>
      <c r="KR14" s="25"/>
      <c r="KS14" s="25"/>
      <c r="KT14" s="25"/>
      <c r="KU14" s="25"/>
      <c r="KV14" s="110"/>
      <c r="KW14" s="110"/>
      <c r="KX14" s="25"/>
      <c r="KY14" s="25"/>
      <c r="KZ14" s="25"/>
      <c r="LA14" s="25"/>
      <c r="LB14" s="25"/>
      <c r="LC14" s="110"/>
      <c r="LD14" s="110"/>
      <c r="LE14" s="25"/>
      <c r="LF14" s="25"/>
      <c r="LG14" s="110" t="s">
        <v>445</v>
      </c>
      <c r="LH14" s="25"/>
      <c r="LI14" s="25"/>
      <c r="LJ14" s="110"/>
      <c r="LK14" s="110"/>
      <c r="LL14" s="25"/>
      <c r="LM14" s="25"/>
      <c r="LN14" s="25"/>
      <c r="LO14" s="25"/>
      <c r="LP14" s="25"/>
      <c r="LQ14" s="110"/>
      <c r="LR14" s="110"/>
      <c r="LS14" s="25"/>
      <c r="LT14" s="25"/>
      <c r="LU14" s="25"/>
      <c r="LV14" s="25"/>
      <c r="LW14" s="25"/>
      <c r="LX14" s="110"/>
      <c r="LY14" s="110"/>
      <c r="LZ14" s="25"/>
      <c r="MA14" s="25"/>
      <c r="MB14" s="25"/>
      <c r="MC14" s="25"/>
      <c r="MD14" s="25"/>
      <c r="ME14" s="110"/>
      <c r="MF14" s="110"/>
      <c r="MG14" s="25"/>
      <c r="MH14" s="25"/>
      <c r="MI14" s="25"/>
      <c r="MJ14" s="25"/>
      <c r="MK14" s="25"/>
      <c r="ML14" s="110"/>
      <c r="MM14" s="110"/>
      <c r="MN14" s="25"/>
      <c r="MO14" s="25"/>
      <c r="MP14" s="25"/>
      <c r="MQ14" s="25"/>
      <c r="MR14" s="25"/>
      <c r="MS14" s="110"/>
      <c r="MT14" s="110"/>
      <c r="MU14" s="25"/>
      <c r="MV14" s="25"/>
      <c r="MW14" s="25"/>
      <c r="MX14" s="25"/>
      <c r="MY14" s="25"/>
      <c r="MZ14" s="110"/>
      <c r="NA14" s="110"/>
      <c r="NB14" s="25"/>
      <c r="NC14" s="25"/>
      <c r="ND14" s="25"/>
      <c r="NE14" s="129"/>
      <c r="NF14" s="111"/>
      <c r="NG14" s="8">
        <f t="shared" si="0"/>
        <v>11</v>
      </c>
      <c r="NH14" s="351" cm="1">
        <f t="array" ref="NH14">NETWORKDAYS($I$2,$AH$2)- SUM(COUNTIF(I14:AH14,{"I";"F";"CP";"R";"P";"AC";"AM"}))</f>
        <v>20</v>
      </c>
      <c r="NI14" s="138">
        <f t="shared" si="12"/>
        <v>0.55000000000000004</v>
      </c>
      <c r="NJ14" s="8">
        <f t="shared" si="1"/>
        <v>16</v>
      </c>
      <c r="NK14" s="351" cm="1">
        <f t="array" ref="NK14">NETWORKDAYS($AJ$2,$BK$2)- SUM(COUNTIF(AJ14:BK14,{"I";"F";"CP";"R";"P";"AC";"AM"}))</f>
        <v>20</v>
      </c>
      <c r="NL14" s="138">
        <f t="shared" si="13"/>
        <v>0.8</v>
      </c>
      <c r="NM14" s="8">
        <f t="shared" si="2"/>
        <v>21</v>
      </c>
      <c r="NN14" s="351" cm="1">
        <f t="array" ref="NN14">NETWORKDAYS($BL$2,$CP$2)- SUM(COUNTIF(BL14:CP14,{"I";"F";"CP";"R";"P";"AC";"AM"}))</f>
        <v>22</v>
      </c>
      <c r="NO14" s="138">
        <f t="shared" si="14"/>
        <v>0.95454545454545459</v>
      </c>
      <c r="NP14" s="8">
        <f t="shared" si="3"/>
        <v>12</v>
      </c>
      <c r="NQ14" s="351" cm="1">
        <f t="array" ref="NQ14">NETWORKDAYS($CQ$2,$DT$2,$CV$2)- SUM(COUNTIF(CQ14:DT14,{"I";"F";"CP";"R";"P";"AC";"AM"}))</f>
        <v>17</v>
      </c>
      <c r="NR14" s="138">
        <f t="shared" si="15"/>
        <v>0.70588235294117652</v>
      </c>
      <c r="NS14" s="8">
        <f t="shared" si="4"/>
        <v>1</v>
      </c>
      <c r="NT14" s="351" cm="1">
        <f t="array" ref="NT14">NETWORKDAYS($DV$2,$EY$2)-SUM(COUNTIF(DV14:EY14,{"I";"F";"CP";"R";"P";"AC";"AM"}))</f>
        <v>16</v>
      </c>
      <c r="NU14" s="138">
        <f t="shared" si="16"/>
        <v>6.25E-2</v>
      </c>
      <c r="NV14" s="8">
        <f t="shared" si="5"/>
        <v>0</v>
      </c>
      <c r="NW14" s="351" cm="1">
        <f t="array" ref="NW14">NETWORKDAYS($EZ$2,$GC$2)-SUM(COUNTIF(EZ14:GC14,{"I";"F";"CP";"R";"P";"AC";"AM"}))</f>
        <v>22</v>
      </c>
      <c r="NX14" s="138">
        <f t="shared" si="17"/>
        <v>0</v>
      </c>
      <c r="NY14" s="8">
        <f t="shared" si="6"/>
        <v>0</v>
      </c>
      <c r="NZ14" s="351" cm="1">
        <f t="array" ref="NZ14">NETWORKDAYS($GD$2,$HH$2,$GQ$2)-SUM(COUNTIF(GD14:HH14,{"I";"F";"CP";"R";"P";"AC";"AM"}))</f>
        <v>21</v>
      </c>
      <c r="OA14" s="138">
        <f t="shared" si="18"/>
        <v>0</v>
      </c>
      <c r="OB14" s="8">
        <f t="shared" si="7"/>
        <v>0</v>
      </c>
      <c r="OC14" s="351" cm="1">
        <f t="array" ref="OC14">NETWORKDAYS($HI$2,$IM$2)-SUM(COUNTIF(HI14:IM14,{"I";"F";"CP";"R";"P";"AC";"AM"}))</f>
        <v>21</v>
      </c>
      <c r="OD14" s="138">
        <f t="shared" si="19"/>
        <v>0</v>
      </c>
      <c r="OE14" s="8">
        <f t="shared" si="8"/>
        <v>0</v>
      </c>
      <c r="OF14" s="351" cm="1">
        <f t="array" ref="OF14">NETWORKDAYS($IN$2,$JQ$2)-SUM(COUNTIF(IN14:JQ14,{"I";"F";"CP";"R";"P";"AC";"AM"}))</f>
        <v>22</v>
      </c>
      <c r="OG14" s="138">
        <f t="shared" si="20"/>
        <v>0</v>
      </c>
      <c r="OH14" s="8">
        <f t="shared" si="9"/>
        <v>0</v>
      </c>
      <c r="OI14" s="351" cm="1">
        <f t="array" ref="OI14">NETWORKDAYS($JR$2,$KV$2)-SUM(COUNTIF(JR14:KV14,{"I";"F";"CP";"R";"P";"AC";"AM"}))</f>
        <v>22</v>
      </c>
      <c r="OJ14" s="138">
        <f t="shared" si="21"/>
        <v>0</v>
      </c>
      <c r="OK14" s="8">
        <f t="shared" si="10"/>
        <v>0</v>
      </c>
      <c r="OL14" s="351" cm="1">
        <f t="array" ref="OL14">NETWORKDAYS($KW$2,$LZ$2,$LG$2)-SUM(COUNTIF(KW14:LZ14,{"I";"F";"CP";"R";"P";"AC";"AM"}))</f>
        <v>19</v>
      </c>
      <c r="OM14" s="138">
        <f t="shared" si="22"/>
        <v>0</v>
      </c>
      <c r="ON14" s="8">
        <f t="shared" si="11"/>
        <v>0</v>
      </c>
      <c r="OO14" s="351" cm="1">
        <f t="array" ref="OO14">NETWORKDAYS($MA$2,$MR$2)-SUM(COUNTIF(MA14:MR14,{"I";"F";"CP";"R";"P";"AC";"AM"}))</f>
        <v>14</v>
      </c>
      <c r="OP14" s="138">
        <f t="shared" si="23"/>
        <v>0</v>
      </c>
      <c r="OQ14" s="94">
        <f t="shared" si="24"/>
        <v>61</v>
      </c>
      <c r="OR14" s="94">
        <f t="shared" si="25"/>
        <v>236</v>
      </c>
      <c r="OS14" s="138">
        <f t="shared" si="26"/>
        <v>0.25847457627118642</v>
      </c>
    </row>
    <row r="15" spans="1:409" ht="18" customHeight="1" x14ac:dyDescent="0.25">
      <c r="A15" s="94" t="s">
        <v>178</v>
      </c>
      <c r="B15" s="94" t="s">
        <v>179</v>
      </c>
      <c r="C15" s="27" t="s">
        <v>166</v>
      </c>
      <c r="D15" s="27" t="s">
        <v>180</v>
      </c>
      <c r="E15" s="128"/>
      <c r="F15" s="110"/>
      <c r="G15" s="110"/>
      <c r="H15" s="110"/>
      <c r="I15" s="25" t="s">
        <v>223</v>
      </c>
      <c r="J15" s="25">
        <v>1</v>
      </c>
      <c r="K15" s="25" t="s">
        <v>449</v>
      </c>
      <c r="L15" s="25" t="s">
        <v>449</v>
      </c>
      <c r="M15" s="25" t="s">
        <v>223</v>
      </c>
      <c r="N15" s="110"/>
      <c r="O15" s="110"/>
      <c r="P15" s="25">
        <v>1</v>
      </c>
      <c r="Q15" s="25">
        <v>1</v>
      </c>
      <c r="R15" s="25">
        <v>1</v>
      </c>
      <c r="S15" s="25">
        <v>1</v>
      </c>
      <c r="T15" s="25">
        <v>1</v>
      </c>
      <c r="U15" s="110"/>
      <c r="V15" s="110"/>
      <c r="W15" s="25">
        <v>1</v>
      </c>
      <c r="X15" s="25">
        <v>1</v>
      </c>
      <c r="Y15" s="25">
        <v>1</v>
      </c>
      <c r="Z15" s="25">
        <v>1</v>
      </c>
      <c r="AA15" s="25" t="s">
        <v>447</v>
      </c>
      <c r="AB15" s="110"/>
      <c r="AC15" s="110"/>
      <c r="AD15" s="25">
        <v>1</v>
      </c>
      <c r="AE15" s="25" t="s">
        <v>447</v>
      </c>
      <c r="AF15" s="25">
        <v>1</v>
      </c>
      <c r="AG15" s="25" t="s">
        <v>223</v>
      </c>
      <c r="AH15" s="25" t="s">
        <v>223</v>
      </c>
      <c r="AI15" s="110"/>
      <c r="AJ15" s="110"/>
      <c r="AK15" s="25">
        <v>1</v>
      </c>
      <c r="AL15" s="25">
        <v>1</v>
      </c>
      <c r="AM15" s="25">
        <v>1</v>
      </c>
      <c r="AN15" s="25">
        <v>1</v>
      </c>
      <c r="AO15" s="25">
        <v>1</v>
      </c>
      <c r="AP15" s="110"/>
      <c r="AQ15" s="110"/>
      <c r="AR15" s="25">
        <v>1</v>
      </c>
      <c r="AS15" s="25">
        <v>1</v>
      </c>
      <c r="AT15" s="25">
        <v>1</v>
      </c>
      <c r="AV15" s="25">
        <v>1</v>
      </c>
      <c r="AW15" s="110"/>
      <c r="AX15" s="110"/>
      <c r="AY15" s="25">
        <v>1</v>
      </c>
      <c r="AZ15" s="25">
        <v>1</v>
      </c>
      <c r="BA15" s="25">
        <v>1</v>
      </c>
      <c r="BB15" s="25">
        <v>1</v>
      </c>
      <c r="BC15" s="25">
        <v>1</v>
      </c>
      <c r="BD15" s="110"/>
      <c r="BE15" s="110"/>
      <c r="BF15" s="25">
        <v>1</v>
      </c>
      <c r="BG15" s="25">
        <v>1</v>
      </c>
      <c r="BH15" s="25">
        <v>1</v>
      </c>
      <c r="BI15" s="25">
        <v>1</v>
      </c>
      <c r="BJ15" s="25">
        <v>1</v>
      </c>
      <c r="BK15" s="110"/>
      <c r="BL15" s="110"/>
      <c r="BM15" s="25">
        <v>1</v>
      </c>
      <c r="BN15" s="25">
        <v>1</v>
      </c>
      <c r="BO15" s="25">
        <v>1</v>
      </c>
      <c r="BP15" s="25">
        <v>1</v>
      </c>
      <c r="BQ15" s="25">
        <v>1</v>
      </c>
      <c r="BR15" s="110"/>
      <c r="BS15" s="110"/>
      <c r="BT15" s="25">
        <v>1</v>
      </c>
      <c r="BU15" s="25">
        <v>1</v>
      </c>
      <c r="BV15" s="25">
        <v>1</v>
      </c>
      <c r="BW15" s="25">
        <v>1</v>
      </c>
      <c r="BX15" s="25">
        <v>1</v>
      </c>
      <c r="BY15" s="110"/>
      <c r="BZ15" s="110"/>
      <c r="CA15" s="25">
        <v>1</v>
      </c>
      <c r="CB15" s="25">
        <v>1</v>
      </c>
      <c r="CC15" s="25">
        <v>1</v>
      </c>
      <c r="CD15" s="25">
        <v>1</v>
      </c>
      <c r="CE15" s="25">
        <v>1</v>
      </c>
      <c r="CF15" s="110"/>
      <c r="CG15" s="110"/>
      <c r="CH15" s="25">
        <v>1</v>
      </c>
      <c r="CI15" s="25">
        <v>1</v>
      </c>
      <c r="CJ15" s="25">
        <v>1</v>
      </c>
      <c r="CK15" s="25">
        <v>1</v>
      </c>
      <c r="CL15" s="25">
        <v>1</v>
      </c>
      <c r="CM15" s="110"/>
      <c r="CN15" s="110"/>
      <c r="CO15" s="25">
        <v>1</v>
      </c>
      <c r="CP15" s="25">
        <v>1</v>
      </c>
      <c r="CQ15" s="25">
        <v>1</v>
      </c>
      <c r="CR15" s="25">
        <v>1</v>
      </c>
      <c r="CS15" s="25"/>
      <c r="CT15" s="110"/>
      <c r="CU15" s="110"/>
      <c r="CV15" s="110"/>
      <c r="CW15" s="25">
        <v>1</v>
      </c>
      <c r="CX15" s="25">
        <v>1</v>
      </c>
      <c r="CY15" s="25">
        <v>1</v>
      </c>
      <c r="CZ15" s="25">
        <v>1</v>
      </c>
      <c r="DA15" s="110"/>
      <c r="DB15" s="110"/>
      <c r="DC15" s="25"/>
      <c r="DD15" s="25">
        <v>1</v>
      </c>
      <c r="DE15" s="25">
        <v>1</v>
      </c>
      <c r="DF15" s="25">
        <v>1</v>
      </c>
      <c r="DG15" s="25">
        <v>1</v>
      </c>
      <c r="DH15" s="110"/>
      <c r="DI15" s="110"/>
      <c r="DJ15" s="25">
        <v>1</v>
      </c>
      <c r="DK15" s="25">
        <v>1</v>
      </c>
      <c r="DL15" s="25">
        <v>1</v>
      </c>
      <c r="DM15" s="25">
        <v>1</v>
      </c>
      <c r="DN15" s="25">
        <v>1</v>
      </c>
      <c r="DO15" s="110"/>
      <c r="DP15" s="110"/>
      <c r="DQ15" s="25" t="s">
        <v>223</v>
      </c>
      <c r="DR15" s="25" t="s">
        <v>223</v>
      </c>
      <c r="DS15" s="25" t="s">
        <v>223</v>
      </c>
      <c r="DT15" s="25" t="s">
        <v>223</v>
      </c>
      <c r="DU15" s="110" t="s">
        <v>445</v>
      </c>
      <c r="DV15" s="110"/>
      <c r="DW15" s="110"/>
      <c r="DX15" s="25" t="s">
        <v>223</v>
      </c>
      <c r="DY15" s="25" t="s">
        <v>223</v>
      </c>
      <c r="DZ15" s="25" t="s">
        <v>223</v>
      </c>
      <c r="EA15" s="25" t="s">
        <v>223</v>
      </c>
      <c r="EB15" s="110" t="s">
        <v>445</v>
      </c>
      <c r="EC15" s="110"/>
      <c r="ED15" s="110"/>
      <c r="EE15" s="25" t="s">
        <v>223</v>
      </c>
      <c r="EF15" s="25">
        <v>1</v>
      </c>
      <c r="EG15" s="25">
        <v>1</v>
      </c>
      <c r="EH15" s="110" t="s">
        <v>445</v>
      </c>
      <c r="EI15" s="110" t="s">
        <v>445</v>
      </c>
      <c r="EJ15" s="110"/>
      <c r="EK15" s="110"/>
      <c r="EL15" s="25">
        <v>1</v>
      </c>
      <c r="EM15" s="25"/>
      <c r="EN15" s="25"/>
      <c r="EO15" s="25"/>
      <c r="EP15" s="25"/>
      <c r="EQ15" s="110"/>
      <c r="ER15" s="110"/>
      <c r="ES15" s="110" t="s">
        <v>445</v>
      </c>
      <c r="ET15" s="25"/>
      <c r="EU15" s="25"/>
      <c r="EV15" s="25"/>
      <c r="EW15" s="25"/>
      <c r="EX15" s="110"/>
      <c r="EY15" s="110"/>
      <c r="EZ15" s="25"/>
      <c r="FA15" s="25"/>
      <c r="FB15" s="25"/>
      <c r="FC15" s="25"/>
      <c r="FD15" s="25"/>
      <c r="FE15" s="110"/>
      <c r="FF15" s="110"/>
      <c r="FG15" s="25"/>
      <c r="FH15" s="25"/>
      <c r="FI15" s="25"/>
      <c r="FJ15" s="25"/>
      <c r="FK15" s="25"/>
      <c r="FL15" s="110"/>
      <c r="FM15" s="110"/>
      <c r="FN15" s="25"/>
      <c r="FO15" s="25"/>
      <c r="FP15" s="25"/>
      <c r="FQ15" s="25"/>
      <c r="FR15" s="25"/>
      <c r="FS15" s="110"/>
      <c r="FT15" s="110"/>
      <c r="FU15" s="25"/>
      <c r="FV15" s="25"/>
      <c r="FW15" s="25"/>
      <c r="FX15" s="25"/>
      <c r="FY15" s="25"/>
      <c r="FZ15" s="110"/>
      <c r="GA15" s="110"/>
      <c r="GB15" s="25"/>
      <c r="GC15" s="25"/>
      <c r="GD15" s="25"/>
      <c r="GE15" s="25"/>
      <c r="GF15" s="25"/>
      <c r="GG15" s="110"/>
      <c r="GH15" s="110"/>
      <c r="GI15" s="25"/>
      <c r="GJ15" s="25"/>
      <c r="GK15" s="25"/>
      <c r="GL15" s="25"/>
      <c r="GM15" s="25"/>
      <c r="GN15" s="110"/>
      <c r="GO15" s="110"/>
      <c r="GP15" s="110" t="s">
        <v>445</v>
      </c>
      <c r="GQ15" s="110"/>
      <c r="GR15" s="25"/>
      <c r="GS15" s="25"/>
      <c r="GT15" s="25"/>
      <c r="GU15" s="110"/>
      <c r="GV15" s="110"/>
      <c r="GW15" s="25"/>
      <c r="GX15" s="25"/>
      <c r="GY15" s="25"/>
      <c r="GZ15" s="25"/>
      <c r="HA15" s="25"/>
      <c r="HB15" s="110"/>
      <c r="HC15" s="110"/>
      <c r="HD15" s="25"/>
      <c r="HE15" s="25"/>
      <c r="HF15" s="25"/>
      <c r="HG15" s="25"/>
      <c r="HH15" s="25"/>
      <c r="HI15" s="110"/>
      <c r="HJ15" s="110"/>
      <c r="HK15" s="25"/>
      <c r="HL15" s="25"/>
      <c r="HM15" s="25"/>
      <c r="HN15" s="25"/>
      <c r="HO15" s="25"/>
      <c r="HP15" s="110"/>
      <c r="HQ15" s="110"/>
      <c r="HR15" s="25"/>
      <c r="HS15" s="25"/>
      <c r="HT15" s="25"/>
      <c r="HU15" s="25"/>
      <c r="HV15" s="25"/>
      <c r="HW15" s="110"/>
      <c r="HX15" s="110"/>
      <c r="HY15" s="25"/>
      <c r="HZ15" s="25"/>
      <c r="IA15" s="25"/>
      <c r="IB15" s="25"/>
      <c r="IC15" s="25"/>
      <c r="ID15" s="110"/>
      <c r="IE15" s="110"/>
      <c r="IF15" s="25"/>
      <c r="IG15" s="25"/>
      <c r="IH15" s="25"/>
      <c r="II15" s="25"/>
      <c r="IJ15" s="25"/>
      <c r="IK15" s="110"/>
      <c r="IL15" s="110"/>
      <c r="IM15" s="25"/>
      <c r="IN15" s="25"/>
      <c r="IO15" s="25"/>
      <c r="IP15" s="25"/>
      <c r="IQ15" s="25"/>
      <c r="IR15" s="110"/>
      <c r="IS15" s="110"/>
      <c r="IT15" s="25"/>
      <c r="IU15" s="25"/>
      <c r="IV15" s="25"/>
      <c r="IW15" s="25"/>
      <c r="IX15" s="25"/>
      <c r="IY15" s="110"/>
      <c r="IZ15" s="110"/>
      <c r="JA15" s="25"/>
      <c r="JB15" s="25"/>
      <c r="JC15" s="25"/>
      <c r="JD15" s="25"/>
      <c r="JE15" s="25"/>
      <c r="JF15" s="110"/>
      <c r="JG15" s="110"/>
      <c r="JH15" s="25"/>
      <c r="JI15" s="25"/>
      <c r="JJ15" s="25"/>
      <c r="JK15" s="25"/>
      <c r="JL15" s="25"/>
      <c r="JM15" s="110"/>
      <c r="JN15" s="110"/>
      <c r="JO15" s="25"/>
      <c r="JP15" s="25"/>
      <c r="JQ15" s="25"/>
      <c r="JR15" s="25"/>
      <c r="JS15" s="25"/>
      <c r="JT15" s="110"/>
      <c r="JU15" s="110"/>
      <c r="JV15" s="25"/>
      <c r="JW15" s="25"/>
      <c r="JX15" s="25"/>
      <c r="JY15" s="25"/>
      <c r="JZ15" s="25"/>
      <c r="KA15" s="110"/>
      <c r="KB15" s="110"/>
      <c r="KC15" s="25"/>
      <c r="KD15" s="25"/>
      <c r="KE15" s="25"/>
      <c r="KF15" s="25"/>
      <c r="KG15" s="25"/>
      <c r="KH15" s="110"/>
      <c r="KI15" s="110"/>
      <c r="KJ15" s="25"/>
      <c r="KK15" s="25"/>
      <c r="KL15" s="25"/>
      <c r="KM15" s="25"/>
      <c r="KN15" s="25"/>
      <c r="KO15" s="110"/>
      <c r="KP15" s="110"/>
      <c r="KQ15" s="25"/>
      <c r="KR15" s="25"/>
      <c r="KS15" s="25"/>
      <c r="KT15" s="25"/>
      <c r="KU15" s="25"/>
      <c r="KV15" s="110"/>
      <c r="KW15" s="110"/>
      <c r="KX15" s="25"/>
      <c r="KY15" s="25"/>
      <c r="KZ15" s="25"/>
      <c r="LA15" s="25"/>
      <c r="LB15" s="25"/>
      <c r="LC15" s="110"/>
      <c r="LD15" s="110"/>
      <c r="LE15" s="25"/>
      <c r="LF15" s="25"/>
      <c r="LG15" s="110" t="s">
        <v>445</v>
      </c>
      <c r="LH15" s="25"/>
      <c r="LI15" s="25"/>
      <c r="LJ15" s="110"/>
      <c r="LK15" s="110"/>
      <c r="LL15" s="25"/>
      <c r="LM15" s="25"/>
      <c r="LN15" s="25"/>
      <c r="LO15" s="25"/>
      <c r="LP15" s="25"/>
      <c r="LQ15" s="110"/>
      <c r="LR15" s="110"/>
      <c r="LS15" s="25"/>
      <c r="LT15" s="25"/>
      <c r="LU15" s="25"/>
      <c r="LV15" s="25"/>
      <c r="LW15" s="25"/>
      <c r="LX15" s="110"/>
      <c r="LY15" s="110"/>
      <c r="LZ15" s="25"/>
      <c r="MA15" s="25"/>
      <c r="MB15" s="25"/>
      <c r="MC15" s="25"/>
      <c r="MD15" s="25"/>
      <c r="ME15" s="110"/>
      <c r="MF15" s="110"/>
      <c r="MG15" s="25"/>
      <c r="MH15" s="25"/>
      <c r="MI15" s="25"/>
      <c r="MJ15" s="25"/>
      <c r="MK15" s="25"/>
      <c r="ML15" s="110"/>
      <c r="MM15" s="110"/>
      <c r="MN15" s="25"/>
      <c r="MO15" s="25"/>
      <c r="MP15" s="25"/>
      <c r="MQ15" s="25"/>
      <c r="MR15" s="25"/>
      <c r="MS15" s="110"/>
      <c r="MT15" s="110"/>
      <c r="MU15" s="25"/>
      <c r="MV15" s="25"/>
      <c r="MW15" s="25"/>
      <c r="MX15" s="25"/>
      <c r="MY15" s="25"/>
      <c r="MZ15" s="110"/>
      <c r="NA15" s="110"/>
      <c r="NB15" s="25"/>
      <c r="NC15" s="25"/>
      <c r="ND15" s="25"/>
      <c r="NE15" s="129"/>
      <c r="NF15" s="111"/>
      <c r="NG15" s="8">
        <f t="shared" si="0"/>
        <v>12</v>
      </c>
      <c r="NH15" s="351" cm="1">
        <f t="array" ref="NH15">NETWORKDAYS($I$2,$AH$2)- SUM(COUNTIF(I15:AH15,{"I";"F";"CP";"R";"P";"AC";"AM"}))</f>
        <v>12</v>
      </c>
      <c r="NI15" s="138">
        <f t="shared" si="12"/>
        <v>1</v>
      </c>
      <c r="NJ15" s="8">
        <f t="shared" si="1"/>
        <v>19</v>
      </c>
      <c r="NK15" s="351" cm="1">
        <f t="array" ref="NK15">NETWORKDAYS($AJ$2,$BK$2)- SUM(COUNTIF(AJ15:BK15,{"I";"F";"CP";"R";"P";"AC";"AM"}))</f>
        <v>20</v>
      </c>
      <c r="NL15" s="138">
        <f t="shared" si="13"/>
        <v>0.95</v>
      </c>
      <c r="NM15" s="8">
        <f t="shared" si="2"/>
        <v>22</v>
      </c>
      <c r="NN15" s="351" cm="1">
        <f t="array" ref="NN15">NETWORKDAYS($BL$2,$CP$2)- SUM(COUNTIF(BL15:CP15,{"I";"F";"CP";"R";"P";"AC";"AM"}))</f>
        <v>22</v>
      </c>
      <c r="NO15" s="138">
        <f t="shared" si="14"/>
        <v>1</v>
      </c>
      <c r="NP15" s="8">
        <f t="shared" si="3"/>
        <v>15</v>
      </c>
      <c r="NQ15" s="351" cm="1">
        <f t="array" ref="NQ15">NETWORKDAYS($CQ$2,$DT$2,$CV$2)- SUM(COUNTIF(CQ15:DT15,{"I";"F";"CP";"R";"P";"AC";"AM"}))</f>
        <v>17</v>
      </c>
      <c r="NR15" s="138">
        <f t="shared" si="15"/>
        <v>0.88235294117647056</v>
      </c>
      <c r="NS15" s="8">
        <f t="shared" si="4"/>
        <v>3</v>
      </c>
      <c r="NT15" s="351" cm="1">
        <f t="array" ref="NT15">NETWORKDAYS($DV$2,$EY$2)-SUM(COUNTIF(DV15:EY15,{"I";"F";"CP";"R";"P";"AC";"AM"}))</f>
        <v>11</v>
      </c>
      <c r="NU15" s="138">
        <f t="shared" si="16"/>
        <v>0.27272727272727271</v>
      </c>
      <c r="NV15" s="8">
        <f t="shared" ref="NV15:NV49" si="27">SUM(EZ15:GC15)</f>
        <v>0</v>
      </c>
      <c r="NW15" s="351" cm="1">
        <f t="array" ref="NW15">NETWORKDAYS($EZ$2,$GC$2)-SUM(COUNTIF(EZ15:GC15,{"I";"F";"CP";"R";"P";"AC";"AM"}))</f>
        <v>22</v>
      </c>
      <c r="NX15" s="138">
        <f t="shared" ref="NX15:NX49" si="28">NV15/NW15</f>
        <v>0</v>
      </c>
      <c r="NY15" s="8">
        <f t="shared" ref="NY15:NY49" si="29">SUM(GD15:HH15)</f>
        <v>0</v>
      </c>
      <c r="NZ15" s="351" cm="1">
        <f t="array" ref="NZ15">NETWORKDAYS($GD$2,$HH$2,$GQ$2)-SUM(COUNTIF(GD15:HH15,{"I";"F";"CP";"R";"P";"AC";"AM"}))</f>
        <v>21</v>
      </c>
      <c r="OA15" s="138">
        <f t="shared" ref="OA15:OA49" si="30">NY15/NZ15</f>
        <v>0</v>
      </c>
      <c r="OB15" s="8">
        <f t="shared" ref="OB15:OB49" si="31">SUM(HI15:IM15)</f>
        <v>0</v>
      </c>
      <c r="OC15" s="351" cm="1">
        <f t="array" ref="OC15">NETWORKDAYS($HI$2,$IM$2)-SUM(COUNTIF(HI15:IM15,{"I";"F";"CP";"R";"P";"AC";"AM"}))</f>
        <v>21</v>
      </c>
      <c r="OD15" s="138">
        <f t="shared" ref="OD15:OD49" si="32">OB15/OC15</f>
        <v>0</v>
      </c>
      <c r="OE15" s="8">
        <f t="shared" ref="OE15:OE49" si="33">SUM(IN15:JQ15)</f>
        <v>0</v>
      </c>
      <c r="OF15" s="351" cm="1">
        <f t="array" ref="OF15">NETWORKDAYS($IN$2,$JQ$2)-SUM(COUNTIF(IN15:JQ15,{"I";"F";"CP";"R";"P";"AC";"AM"}))</f>
        <v>22</v>
      </c>
      <c r="OG15" s="138">
        <f t="shared" ref="OG15:OG49" si="34">OE15/OF15</f>
        <v>0</v>
      </c>
      <c r="OH15" s="8">
        <f t="shared" ref="OH15:OH49" si="35">SUM(JR15:KV15)</f>
        <v>0</v>
      </c>
      <c r="OI15" s="351" cm="1">
        <f t="array" ref="OI15">NETWORKDAYS($JR$2,$KV$2)-SUM(COUNTIF(JR15:KV15,{"I";"F";"CP";"R";"P";"AC";"AM"}))</f>
        <v>22</v>
      </c>
      <c r="OJ15" s="138">
        <f t="shared" ref="OJ15:OJ49" si="36">OH15/OI15</f>
        <v>0</v>
      </c>
      <c r="OK15" s="8">
        <f t="shared" ref="OK15:OK49" si="37">SUM(KW15:LZ15)</f>
        <v>0</v>
      </c>
      <c r="OL15" s="351" cm="1">
        <f t="array" ref="OL15">NETWORKDAYS($KW$2,$LZ$2,$LG$2)-SUM(COUNTIF(KW15:LZ15,{"I";"F";"CP";"R";"P";"AC";"AM"}))</f>
        <v>19</v>
      </c>
      <c r="OM15" s="138">
        <f t="shared" ref="OM15:OM49" si="38">OK15/OL15</f>
        <v>0</v>
      </c>
      <c r="ON15" s="8">
        <f t="shared" ref="ON15:ON49" si="39">SUM(MA15:NE15)</f>
        <v>0</v>
      </c>
      <c r="OO15" s="351" cm="1">
        <f t="array" ref="OO15">NETWORKDAYS($MA$2,$MR$2)-SUM(COUNTIF(MA15:MR15,{"I";"F";"CP";"R";"P";"AC";"AM"}))</f>
        <v>14</v>
      </c>
      <c r="OP15" s="138">
        <f t="shared" ref="OP15:OP49" si="40">ON15/OO15</f>
        <v>0</v>
      </c>
      <c r="OQ15" s="94">
        <f t="shared" ref="OQ15:OQ49" si="41">NG15+NJ15+NM15+NP15+NS15+NV15+NY15+OB15+OE15+OH15+OK15+ON15</f>
        <v>71</v>
      </c>
      <c r="OR15" s="94">
        <f t="shared" ref="OR15:OR49" si="42">NH15+NK15+NN15+NQ15+NT15+NW15+NZ15+OC15+OF15+OI15+OL15+OO15</f>
        <v>223</v>
      </c>
      <c r="OS15" s="138">
        <f t="shared" ref="OS15:OS49" si="43">OQ15/OR15</f>
        <v>0.31838565022421522</v>
      </c>
    </row>
    <row r="16" spans="1:409" ht="18" customHeight="1" x14ac:dyDescent="0.25">
      <c r="A16" s="94" t="s">
        <v>181</v>
      </c>
      <c r="B16" s="94" t="s">
        <v>71</v>
      </c>
      <c r="C16" s="27" t="s">
        <v>166</v>
      </c>
      <c r="D16" s="27" t="s">
        <v>182</v>
      </c>
      <c r="E16" s="128"/>
      <c r="F16" s="110"/>
      <c r="G16" s="110"/>
      <c r="H16" s="110"/>
      <c r="I16" s="25" t="s">
        <v>223</v>
      </c>
      <c r="J16" s="25" t="s">
        <v>223</v>
      </c>
      <c r="K16" s="25" t="s">
        <v>223</v>
      </c>
      <c r="L16" s="25" t="s">
        <v>223</v>
      </c>
      <c r="M16" s="25" t="s">
        <v>223</v>
      </c>
      <c r="N16" s="110"/>
      <c r="O16" s="110"/>
      <c r="P16" s="25">
        <v>1</v>
      </c>
      <c r="Q16" s="25">
        <v>1</v>
      </c>
      <c r="R16" s="25">
        <v>1</v>
      </c>
      <c r="S16" s="25" t="s">
        <v>276</v>
      </c>
      <c r="T16" s="25" t="s">
        <v>276</v>
      </c>
      <c r="U16" s="110"/>
      <c r="V16" s="110"/>
      <c r="W16" s="25" t="s">
        <v>162</v>
      </c>
      <c r="X16" s="25" t="s">
        <v>162</v>
      </c>
      <c r="Y16" s="25" t="s">
        <v>162</v>
      </c>
      <c r="Z16" s="25" t="s">
        <v>162</v>
      </c>
      <c r="AA16" s="25" t="s">
        <v>162</v>
      </c>
      <c r="AB16" s="110"/>
      <c r="AC16" s="110"/>
      <c r="AD16" s="25" t="s">
        <v>162</v>
      </c>
      <c r="AE16" s="25" t="s">
        <v>162</v>
      </c>
      <c r="AF16" s="25" t="s">
        <v>162</v>
      </c>
      <c r="AG16" s="25" t="s">
        <v>162</v>
      </c>
      <c r="AH16" s="25" t="s">
        <v>162</v>
      </c>
      <c r="AI16" s="110"/>
      <c r="AJ16" s="110"/>
      <c r="AK16" s="25" t="s">
        <v>162</v>
      </c>
      <c r="AL16" s="25" t="s">
        <v>162</v>
      </c>
      <c r="AM16" s="25"/>
      <c r="AN16" s="25"/>
      <c r="AO16" s="25"/>
      <c r="AP16" s="110"/>
      <c r="AQ16" s="110"/>
      <c r="AR16" s="25" t="s">
        <v>162</v>
      </c>
      <c r="AS16" s="25" t="s">
        <v>162</v>
      </c>
      <c r="AT16" s="25" t="s">
        <v>162</v>
      </c>
      <c r="AV16" s="25" t="s">
        <v>162</v>
      </c>
      <c r="AW16" s="110"/>
      <c r="AX16" s="110"/>
      <c r="AY16" s="25" t="s">
        <v>162</v>
      </c>
      <c r="AZ16" s="25" t="s">
        <v>162</v>
      </c>
      <c r="BA16" s="25" t="s">
        <v>162</v>
      </c>
      <c r="BB16" s="25" t="s">
        <v>162</v>
      </c>
      <c r="BC16" s="25" t="s">
        <v>162</v>
      </c>
      <c r="BD16" s="110"/>
      <c r="BE16" s="110"/>
      <c r="BF16" s="25" t="s">
        <v>162</v>
      </c>
      <c r="BG16" s="25" t="s">
        <v>162</v>
      </c>
      <c r="BH16" s="25" t="s">
        <v>162</v>
      </c>
      <c r="BI16" s="25" t="s">
        <v>162</v>
      </c>
      <c r="BJ16" s="25" t="s">
        <v>162</v>
      </c>
      <c r="BK16" s="110"/>
      <c r="BL16" s="110"/>
      <c r="BM16" s="25" t="s">
        <v>162</v>
      </c>
      <c r="BN16" s="25" t="s">
        <v>162</v>
      </c>
      <c r="BO16" s="25" t="s">
        <v>162</v>
      </c>
      <c r="BP16" s="25" t="s">
        <v>162</v>
      </c>
      <c r="BQ16" s="25" t="s">
        <v>162</v>
      </c>
      <c r="BR16" s="110"/>
      <c r="BS16" s="110"/>
      <c r="BT16" s="25" t="s">
        <v>162</v>
      </c>
      <c r="BU16" s="25" t="s">
        <v>162</v>
      </c>
      <c r="BV16" s="25" t="s">
        <v>162</v>
      </c>
      <c r="BW16" s="25" t="s">
        <v>162</v>
      </c>
      <c r="BX16" s="25" t="s">
        <v>162</v>
      </c>
      <c r="BY16" s="110"/>
      <c r="BZ16" s="110"/>
      <c r="CA16" s="25" t="s">
        <v>162</v>
      </c>
      <c r="CB16" s="25" t="s">
        <v>162</v>
      </c>
      <c r="CC16" s="25" t="s">
        <v>162</v>
      </c>
      <c r="CD16" s="25" t="s">
        <v>162</v>
      </c>
      <c r="CE16" s="25" t="s">
        <v>162</v>
      </c>
      <c r="CF16" s="110"/>
      <c r="CG16" s="110"/>
      <c r="CH16" s="25" t="s">
        <v>162</v>
      </c>
      <c r="CI16" s="25" t="s">
        <v>162</v>
      </c>
      <c r="CJ16" s="25" t="s">
        <v>162</v>
      </c>
      <c r="CK16" s="25" t="s">
        <v>162</v>
      </c>
      <c r="CL16" s="25" t="s">
        <v>162</v>
      </c>
      <c r="CM16" s="110"/>
      <c r="CN16" s="110"/>
      <c r="CO16" s="25" t="s">
        <v>162</v>
      </c>
      <c r="CP16" s="25" t="s">
        <v>162</v>
      </c>
      <c r="CQ16" s="25" t="s">
        <v>162</v>
      </c>
      <c r="CR16" s="25" t="s">
        <v>162</v>
      </c>
      <c r="CS16" s="25" t="s">
        <v>162</v>
      </c>
      <c r="CT16" s="110"/>
      <c r="CU16" s="110"/>
      <c r="CV16" s="110"/>
      <c r="CW16" s="25" t="s">
        <v>162</v>
      </c>
      <c r="CX16" s="25" t="s">
        <v>162</v>
      </c>
      <c r="CY16" s="25" t="s">
        <v>162</v>
      </c>
      <c r="CZ16" s="25" t="s">
        <v>223</v>
      </c>
      <c r="DA16" s="110"/>
      <c r="DB16" s="110"/>
      <c r="DC16" s="25" t="s">
        <v>223</v>
      </c>
      <c r="DD16" s="25" t="s">
        <v>223</v>
      </c>
      <c r="DE16" s="25" t="s">
        <v>223</v>
      </c>
      <c r="DF16" s="25" t="s">
        <v>223</v>
      </c>
      <c r="DG16" s="25" t="s">
        <v>223</v>
      </c>
      <c r="DH16" s="110"/>
      <c r="DI16" s="110"/>
      <c r="DJ16" s="25" t="s">
        <v>223</v>
      </c>
      <c r="DK16" s="25" t="s">
        <v>223</v>
      </c>
      <c r="DL16" s="25" t="s">
        <v>223</v>
      </c>
      <c r="DM16" s="25" t="s">
        <v>223</v>
      </c>
      <c r="DN16" s="25" t="s">
        <v>223</v>
      </c>
      <c r="DO16" s="110"/>
      <c r="DP16" s="110"/>
      <c r="DQ16" s="25"/>
      <c r="DR16" s="25"/>
      <c r="DS16" s="25">
        <v>1</v>
      </c>
      <c r="DT16" s="25">
        <v>1</v>
      </c>
      <c r="DU16" s="110" t="s">
        <v>445</v>
      </c>
      <c r="DV16" s="110"/>
      <c r="DW16" s="110"/>
      <c r="DX16" s="25">
        <v>1</v>
      </c>
      <c r="DY16" s="25">
        <v>1</v>
      </c>
      <c r="DZ16" s="25">
        <v>1</v>
      </c>
      <c r="EA16" s="25">
        <v>1</v>
      </c>
      <c r="EB16" s="110" t="s">
        <v>445</v>
      </c>
      <c r="EC16" s="110"/>
      <c r="ED16" s="110"/>
      <c r="EE16" s="25">
        <v>1</v>
      </c>
      <c r="EF16" s="25">
        <v>1</v>
      </c>
      <c r="EG16" s="25"/>
      <c r="EH16" s="110" t="s">
        <v>445</v>
      </c>
      <c r="EI16" s="110" t="s">
        <v>445</v>
      </c>
      <c r="EJ16" s="110"/>
      <c r="EK16" s="110"/>
      <c r="EL16" s="25">
        <v>1</v>
      </c>
      <c r="EM16" s="25"/>
      <c r="EN16" s="25"/>
      <c r="EO16" s="25"/>
      <c r="EP16" s="25"/>
      <c r="EQ16" s="110"/>
      <c r="ER16" s="110"/>
      <c r="ES16" s="110" t="s">
        <v>445</v>
      </c>
      <c r="ET16" s="25"/>
      <c r="EU16" s="25"/>
      <c r="EV16" s="25"/>
      <c r="EW16" s="25"/>
      <c r="EX16" s="110"/>
      <c r="EY16" s="110"/>
      <c r="EZ16" s="25"/>
      <c r="FA16" s="25"/>
      <c r="FB16" s="25"/>
      <c r="FC16" s="25"/>
      <c r="FD16" s="25"/>
      <c r="FE16" s="110"/>
      <c r="FF16" s="110"/>
      <c r="FG16" s="25"/>
      <c r="FH16" s="25"/>
      <c r="FI16" s="25"/>
      <c r="FJ16" s="25"/>
      <c r="FK16" s="25"/>
      <c r="FL16" s="110"/>
      <c r="FM16" s="110"/>
      <c r="FN16" s="25"/>
      <c r="FO16" s="25"/>
      <c r="FP16" s="25"/>
      <c r="FQ16" s="25"/>
      <c r="FR16" s="25"/>
      <c r="FS16" s="110"/>
      <c r="FT16" s="110"/>
      <c r="FU16" s="25"/>
      <c r="FV16" s="25"/>
      <c r="FW16" s="25"/>
      <c r="FX16" s="25"/>
      <c r="FY16" s="25"/>
      <c r="FZ16" s="110"/>
      <c r="GA16" s="110"/>
      <c r="GB16" s="25"/>
      <c r="GC16" s="25"/>
      <c r="GD16" s="25"/>
      <c r="GE16" s="25"/>
      <c r="GF16" s="25"/>
      <c r="GG16" s="110"/>
      <c r="GH16" s="110"/>
      <c r="GI16" s="25"/>
      <c r="GJ16" s="25"/>
      <c r="GK16" s="25"/>
      <c r="GL16" s="25"/>
      <c r="GM16" s="25"/>
      <c r="GN16" s="110"/>
      <c r="GO16" s="110"/>
      <c r="GP16" s="110" t="s">
        <v>445</v>
      </c>
      <c r="GQ16" s="110"/>
      <c r="GR16" s="25"/>
      <c r="GS16" s="25"/>
      <c r="GT16" s="25"/>
      <c r="GU16" s="110"/>
      <c r="GV16" s="110"/>
      <c r="GW16" s="25"/>
      <c r="GX16" s="25"/>
      <c r="GY16" s="25"/>
      <c r="GZ16" s="25"/>
      <c r="HA16" s="25"/>
      <c r="HB16" s="110"/>
      <c r="HC16" s="110"/>
      <c r="HD16" s="25"/>
      <c r="HE16" s="25"/>
      <c r="HF16" s="25"/>
      <c r="HG16" s="25"/>
      <c r="HH16" s="25"/>
      <c r="HI16" s="110"/>
      <c r="HJ16" s="110"/>
      <c r="HK16" s="25"/>
      <c r="HL16" s="25"/>
      <c r="HM16" s="25"/>
      <c r="HN16" s="25"/>
      <c r="HO16" s="25"/>
      <c r="HP16" s="110"/>
      <c r="HQ16" s="110"/>
      <c r="HR16" s="25"/>
      <c r="HS16" s="25"/>
      <c r="HT16" s="25"/>
      <c r="HU16" s="25"/>
      <c r="HV16" s="25"/>
      <c r="HW16" s="110"/>
      <c r="HX16" s="110"/>
      <c r="HY16" s="25"/>
      <c r="HZ16" s="25"/>
      <c r="IA16" s="25"/>
      <c r="IB16" s="25"/>
      <c r="IC16" s="25"/>
      <c r="ID16" s="110"/>
      <c r="IE16" s="110"/>
      <c r="IF16" s="25"/>
      <c r="IG16" s="25"/>
      <c r="IH16" s="25"/>
      <c r="II16" s="25"/>
      <c r="IJ16" s="25"/>
      <c r="IK16" s="110"/>
      <c r="IL16" s="110"/>
      <c r="IM16" s="25"/>
      <c r="IN16" s="25"/>
      <c r="IO16" s="25"/>
      <c r="IP16" s="25"/>
      <c r="IQ16" s="25"/>
      <c r="IR16" s="110"/>
      <c r="IS16" s="110"/>
      <c r="IT16" s="25"/>
      <c r="IU16" s="25"/>
      <c r="IV16" s="25"/>
      <c r="IW16" s="25"/>
      <c r="IX16" s="25"/>
      <c r="IY16" s="110"/>
      <c r="IZ16" s="110"/>
      <c r="JA16" s="25"/>
      <c r="JB16" s="25"/>
      <c r="JC16" s="25"/>
      <c r="JD16" s="25"/>
      <c r="JE16" s="25"/>
      <c r="JF16" s="110"/>
      <c r="JG16" s="110"/>
      <c r="JH16" s="25"/>
      <c r="JI16" s="25"/>
      <c r="JJ16" s="25"/>
      <c r="JK16" s="25"/>
      <c r="JL16" s="25"/>
      <c r="JM16" s="110"/>
      <c r="JN16" s="110"/>
      <c r="JO16" s="25"/>
      <c r="JP16" s="25"/>
      <c r="JQ16" s="25"/>
      <c r="JR16" s="25"/>
      <c r="JS16" s="25"/>
      <c r="JT16" s="110"/>
      <c r="JU16" s="110"/>
      <c r="JV16" s="25"/>
      <c r="JW16" s="25"/>
      <c r="JX16" s="25"/>
      <c r="JY16" s="25"/>
      <c r="JZ16" s="25"/>
      <c r="KA16" s="110"/>
      <c r="KB16" s="110"/>
      <c r="KC16" s="25"/>
      <c r="KD16" s="25"/>
      <c r="KE16" s="25"/>
      <c r="KF16" s="25"/>
      <c r="KG16" s="25"/>
      <c r="KH16" s="110"/>
      <c r="KI16" s="110"/>
      <c r="KJ16" s="25"/>
      <c r="KK16" s="25"/>
      <c r="KL16" s="25"/>
      <c r="KM16" s="25"/>
      <c r="KN16" s="25"/>
      <c r="KO16" s="110"/>
      <c r="KP16" s="110"/>
      <c r="KQ16" s="25"/>
      <c r="KR16" s="25"/>
      <c r="KS16" s="25"/>
      <c r="KT16" s="25"/>
      <c r="KU16" s="25"/>
      <c r="KV16" s="110"/>
      <c r="KW16" s="110"/>
      <c r="KX16" s="25"/>
      <c r="KY16" s="25"/>
      <c r="KZ16" s="25"/>
      <c r="LA16" s="25"/>
      <c r="LB16" s="25"/>
      <c r="LC16" s="110"/>
      <c r="LD16" s="110"/>
      <c r="LE16" s="25"/>
      <c r="LF16" s="25"/>
      <c r="LG16" s="110" t="s">
        <v>445</v>
      </c>
      <c r="LH16" s="25"/>
      <c r="LI16" s="25"/>
      <c r="LJ16" s="110"/>
      <c r="LK16" s="110"/>
      <c r="LL16" s="25"/>
      <c r="LM16" s="25"/>
      <c r="LN16" s="25"/>
      <c r="LO16" s="25"/>
      <c r="LP16" s="25"/>
      <c r="LQ16" s="110"/>
      <c r="LR16" s="110"/>
      <c r="LS16" s="25"/>
      <c r="LT16" s="25"/>
      <c r="LU16" s="25"/>
      <c r="LV16" s="25"/>
      <c r="LW16" s="25"/>
      <c r="LX16" s="110"/>
      <c r="LY16" s="110"/>
      <c r="LZ16" s="25"/>
      <c r="MA16" s="25"/>
      <c r="MB16" s="25"/>
      <c r="MC16" s="25"/>
      <c r="MD16" s="25"/>
      <c r="ME16" s="110"/>
      <c r="MF16" s="110"/>
      <c r="MG16" s="25"/>
      <c r="MH16" s="25"/>
      <c r="MI16" s="25"/>
      <c r="MJ16" s="25"/>
      <c r="MK16" s="25"/>
      <c r="ML16" s="110"/>
      <c r="MM16" s="110"/>
      <c r="MN16" s="25"/>
      <c r="MO16" s="25"/>
      <c r="MP16" s="25"/>
      <c r="MQ16" s="25"/>
      <c r="MR16" s="25"/>
      <c r="MS16" s="110"/>
      <c r="MT16" s="110"/>
      <c r="MU16" s="25"/>
      <c r="MV16" s="25"/>
      <c r="MW16" s="25"/>
      <c r="MX16" s="25"/>
      <c r="MY16" s="25"/>
      <c r="MZ16" s="110"/>
      <c r="NA16" s="110"/>
      <c r="NB16" s="25"/>
      <c r="NC16" s="25"/>
      <c r="ND16" s="25"/>
      <c r="NE16" s="129"/>
      <c r="NF16" s="111"/>
      <c r="NG16" s="8">
        <f t="shared" si="0"/>
        <v>3</v>
      </c>
      <c r="NH16" s="351" cm="1">
        <f t="array" ref="NH16">NETWORKDAYS($I$2,$AH$2)- SUM(COUNTIF(I16:AH16,{"I";"F";"CP";"R";"P";"AC";"AM"}))</f>
        <v>3</v>
      </c>
      <c r="NI16" s="138">
        <f t="shared" si="12"/>
        <v>1</v>
      </c>
      <c r="NJ16" s="8">
        <f t="shared" si="1"/>
        <v>0</v>
      </c>
      <c r="NK16" s="351" cm="1">
        <f t="array" ref="NK16">NETWORKDAYS($AJ$2,$BK$2)- SUM(COUNTIF(AJ16:BK16,{"I";"F";"CP";"R";"P";"AC";"AM"}))</f>
        <v>4</v>
      </c>
      <c r="NL16" s="138">
        <f t="shared" si="13"/>
        <v>0</v>
      </c>
      <c r="NM16" s="8">
        <f t="shared" si="2"/>
        <v>0</v>
      </c>
      <c r="NN16" s="351" cm="1">
        <f t="array" ref="NN16">NETWORKDAYS($BL$2,$CP$2)- SUM(COUNTIF(BL16:CP16,{"I";"F";"CP";"R";"P";"AC";"AM"}))</f>
        <v>0</v>
      </c>
      <c r="NO16" s="138" t="str">
        <f t="shared" si="14"/>
        <v/>
      </c>
      <c r="NP16" s="8">
        <f t="shared" si="3"/>
        <v>2</v>
      </c>
      <c r="NQ16" s="351" cm="1">
        <f t="array" ref="NQ16">NETWORKDAYS($CQ$2,$DT$2,$CV$2)- SUM(COUNTIF(CQ16:DT16,{"I";"F";"CP";"R";"P";"AC";"AM"}))</f>
        <v>4</v>
      </c>
      <c r="NR16" s="138">
        <f t="shared" si="15"/>
        <v>0.5</v>
      </c>
      <c r="NS16" s="8">
        <f t="shared" si="4"/>
        <v>7</v>
      </c>
      <c r="NT16" s="351" cm="1">
        <f t="array" ref="NT16">NETWORKDAYS($DV$2,$EY$2)-SUM(COUNTIF(DV16:EY16,{"I";"F";"CP";"R";"P";"AC";"AM"}))</f>
        <v>16</v>
      </c>
      <c r="NU16" s="138">
        <f t="shared" si="16"/>
        <v>0.4375</v>
      </c>
      <c r="NV16" s="8">
        <f t="shared" si="27"/>
        <v>0</v>
      </c>
      <c r="NW16" s="351" cm="1">
        <f t="array" ref="NW16">NETWORKDAYS($EZ$2,$GC$2)-SUM(COUNTIF(EZ16:GC16,{"I";"F";"CP";"R";"P";"AC";"AM"}))</f>
        <v>22</v>
      </c>
      <c r="NX16" s="138">
        <f t="shared" si="28"/>
        <v>0</v>
      </c>
      <c r="NY16" s="8">
        <f t="shared" si="29"/>
        <v>0</v>
      </c>
      <c r="NZ16" s="351" cm="1">
        <f t="array" ref="NZ16">NETWORKDAYS($GD$2,$HH$2,$GQ$2)-SUM(COUNTIF(GD16:HH16,{"I";"F";"CP";"R";"P";"AC";"AM"}))</f>
        <v>21</v>
      </c>
      <c r="OA16" s="138">
        <f t="shared" si="30"/>
        <v>0</v>
      </c>
      <c r="OB16" s="8">
        <f t="shared" si="31"/>
        <v>0</v>
      </c>
      <c r="OC16" s="351" cm="1">
        <f t="array" ref="OC16">NETWORKDAYS($HI$2,$IM$2)-SUM(COUNTIF(HI16:IM16,{"I";"F";"CP";"R";"P";"AC";"AM"}))</f>
        <v>21</v>
      </c>
      <c r="OD16" s="138">
        <f t="shared" si="32"/>
        <v>0</v>
      </c>
      <c r="OE16" s="8">
        <f t="shared" si="33"/>
        <v>0</v>
      </c>
      <c r="OF16" s="351" cm="1">
        <f t="array" ref="OF16">NETWORKDAYS($IN$2,$JQ$2)-SUM(COUNTIF(IN16:JQ16,{"I";"F";"CP";"R";"P";"AC";"AM"}))</f>
        <v>22</v>
      </c>
      <c r="OG16" s="138">
        <f t="shared" si="34"/>
        <v>0</v>
      </c>
      <c r="OH16" s="8">
        <f t="shared" si="35"/>
        <v>0</v>
      </c>
      <c r="OI16" s="351" cm="1">
        <f t="array" ref="OI16">NETWORKDAYS($JR$2,$KV$2)-SUM(COUNTIF(JR16:KV16,{"I";"F";"CP";"R";"P";"AC";"AM"}))</f>
        <v>22</v>
      </c>
      <c r="OJ16" s="138">
        <f t="shared" si="36"/>
        <v>0</v>
      </c>
      <c r="OK16" s="8">
        <f t="shared" si="37"/>
        <v>0</v>
      </c>
      <c r="OL16" s="351" cm="1">
        <f t="array" ref="OL16">NETWORKDAYS($KW$2,$LZ$2,$LG$2)-SUM(COUNTIF(KW16:LZ16,{"I";"F";"CP";"R";"P";"AC";"AM"}))</f>
        <v>19</v>
      </c>
      <c r="OM16" s="138">
        <f t="shared" si="38"/>
        <v>0</v>
      </c>
      <c r="ON16" s="8">
        <f t="shared" si="39"/>
        <v>0</v>
      </c>
      <c r="OO16" s="351" cm="1">
        <f t="array" ref="OO16">NETWORKDAYS($MA$2,$MR$2)-SUM(COUNTIF(MA16:MR16,{"I";"F";"CP";"R";"P";"AC";"AM"}))</f>
        <v>14</v>
      </c>
      <c r="OP16" s="138">
        <f t="shared" si="40"/>
        <v>0</v>
      </c>
      <c r="OQ16" s="94">
        <f t="shared" si="41"/>
        <v>12</v>
      </c>
      <c r="OR16" s="94">
        <f t="shared" si="42"/>
        <v>168</v>
      </c>
      <c r="OS16" s="138">
        <f t="shared" si="43"/>
        <v>7.1428571428571425E-2</v>
      </c>
    </row>
    <row r="17" spans="1:409" ht="18" hidden="1" customHeight="1" x14ac:dyDescent="0.25">
      <c r="A17" s="93" t="s">
        <v>109</v>
      </c>
      <c r="B17" s="94" t="s">
        <v>34</v>
      </c>
      <c r="C17" s="27" t="s">
        <v>166</v>
      </c>
      <c r="D17" s="27" t="s">
        <v>183</v>
      </c>
      <c r="E17" s="128"/>
      <c r="F17" s="110"/>
      <c r="G17" s="110"/>
      <c r="H17" s="110"/>
      <c r="I17" s="25" t="s">
        <v>208</v>
      </c>
      <c r="J17" s="25" t="s">
        <v>208</v>
      </c>
      <c r="K17" s="25" t="s">
        <v>208</v>
      </c>
      <c r="L17" s="25" t="s">
        <v>208</v>
      </c>
      <c r="M17" s="25" t="s">
        <v>208</v>
      </c>
      <c r="N17" s="110"/>
      <c r="O17" s="110"/>
      <c r="P17" s="25" t="s">
        <v>208</v>
      </c>
      <c r="Q17" s="25" t="s">
        <v>208</v>
      </c>
      <c r="R17" s="25" t="s">
        <v>208</v>
      </c>
      <c r="S17" s="25" t="s">
        <v>208</v>
      </c>
      <c r="T17" s="25" t="s">
        <v>208</v>
      </c>
      <c r="U17" s="110"/>
      <c r="V17" s="110"/>
      <c r="W17" s="25" t="s">
        <v>208</v>
      </c>
      <c r="X17" s="25" t="s">
        <v>208</v>
      </c>
      <c r="Y17" s="25" t="s">
        <v>208</v>
      </c>
      <c r="Z17" s="25" t="s">
        <v>208</v>
      </c>
      <c r="AA17" s="25" t="s">
        <v>208</v>
      </c>
      <c r="AB17" s="110"/>
      <c r="AC17" s="110"/>
      <c r="AD17" s="25" t="s">
        <v>208</v>
      </c>
      <c r="AE17" s="25" t="s">
        <v>208</v>
      </c>
      <c r="AF17" s="25" t="s">
        <v>208</v>
      </c>
      <c r="AG17" s="25" t="s">
        <v>208</v>
      </c>
      <c r="AH17" s="25" t="s">
        <v>208</v>
      </c>
      <c r="AI17" s="110"/>
      <c r="AJ17" s="110"/>
      <c r="AK17" s="25" t="s">
        <v>208</v>
      </c>
      <c r="AL17" s="25" t="s">
        <v>208</v>
      </c>
      <c r="AM17" s="25" t="s">
        <v>208</v>
      </c>
      <c r="AN17" s="25" t="s">
        <v>208</v>
      </c>
      <c r="AO17" s="25" t="s">
        <v>208</v>
      </c>
      <c r="AP17" s="110"/>
      <c r="AQ17" s="110"/>
      <c r="AR17" s="25" t="s">
        <v>208</v>
      </c>
      <c r="AS17" s="25" t="s">
        <v>208</v>
      </c>
      <c r="AT17" s="25" t="s">
        <v>208</v>
      </c>
      <c r="AV17" s="25" t="s">
        <v>208</v>
      </c>
      <c r="AW17" s="110"/>
      <c r="AX17" s="110"/>
      <c r="AY17" s="25"/>
      <c r="AZ17" s="25"/>
      <c r="BA17" s="25"/>
      <c r="BB17" s="25"/>
      <c r="BC17" s="25"/>
      <c r="BD17" s="110"/>
      <c r="BE17" s="110"/>
      <c r="BF17" s="25"/>
      <c r="BG17" s="25"/>
      <c r="BH17" s="25"/>
      <c r="BI17" s="25"/>
      <c r="BJ17" s="25"/>
      <c r="BK17" s="110"/>
      <c r="BL17" s="110"/>
      <c r="BM17" s="25"/>
      <c r="BN17" s="25"/>
      <c r="BO17" s="25"/>
      <c r="BP17" s="25"/>
      <c r="BQ17" s="25"/>
      <c r="BR17" s="110"/>
      <c r="BS17" s="110"/>
      <c r="BT17" s="25"/>
      <c r="BU17" s="25"/>
      <c r="BV17" s="25"/>
      <c r="BW17" s="25"/>
      <c r="BX17" s="25"/>
      <c r="BY17" s="110"/>
      <c r="BZ17" s="110"/>
      <c r="CA17" s="25"/>
      <c r="CB17" s="25"/>
      <c r="CC17" s="25"/>
      <c r="CD17" s="25"/>
      <c r="CE17" s="25"/>
      <c r="CF17" s="110"/>
      <c r="CG17" s="110"/>
      <c r="CH17" s="25"/>
      <c r="CI17" s="25"/>
      <c r="CJ17" s="25"/>
      <c r="CK17" s="25"/>
      <c r="CL17" s="25"/>
      <c r="CM17" s="110"/>
      <c r="CN17" s="110"/>
      <c r="CO17" s="25"/>
      <c r="CP17" s="25"/>
      <c r="CQ17" s="25"/>
      <c r="CR17" s="25"/>
      <c r="CS17" s="25"/>
      <c r="CT17" s="110"/>
      <c r="CU17" s="110"/>
      <c r="CV17" s="110"/>
      <c r="CW17" s="25"/>
      <c r="CX17" s="25"/>
      <c r="CY17" s="25"/>
      <c r="CZ17" s="25"/>
      <c r="DA17" s="110"/>
      <c r="DB17" s="110"/>
      <c r="DC17" s="25"/>
      <c r="DD17" s="25"/>
      <c r="DE17" s="25"/>
      <c r="DF17" s="25"/>
      <c r="DG17" s="25"/>
      <c r="DH17" s="110"/>
      <c r="DI17" s="110"/>
      <c r="DJ17" s="25">
        <v>1</v>
      </c>
      <c r="DK17" s="25"/>
      <c r="DL17" s="25"/>
      <c r="DM17" s="25"/>
      <c r="DN17" s="25">
        <v>1</v>
      </c>
      <c r="DO17" s="110"/>
      <c r="DP17" s="110"/>
      <c r="DQ17" s="25"/>
      <c r="DR17" s="25"/>
      <c r="DS17" s="25"/>
      <c r="DT17" s="25"/>
      <c r="DU17" s="110" t="s">
        <v>445</v>
      </c>
      <c r="DV17" s="110"/>
      <c r="DW17" s="110"/>
      <c r="DX17" s="25"/>
      <c r="DY17" s="25"/>
      <c r="DZ17" s="25"/>
      <c r="EA17" s="25"/>
      <c r="EB17" s="110" t="s">
        <v>445</v>
      </c>
      <c r="EC17" s="110"/>
      <c r="ED17" s="110"/>
      <c r="EE17" s="25"/>
      <c r="EF17" s="25"/>
      <c r="EG17" s="25"/>
      <c r="EH17" s="110" t="s">
        <v>445</v>
      </c>
      <c r="EI17" s="110" t="s">
        <v>445</v>
      </c>
      <c r="EJ17" s="110"/>
      <c r="EK17" s="110"/>
      <c r="EL17" s="25"/>
      <c r="EM17" s="25"/>
      <c r="EN17" s="25"/>
      <c r="EO17" s="25"/>
      <c r="EP17" s="25"/>
      <c r="EQ17" s="110"/>
      <c r="ER17" s="110"/>
      <c r="ES17" s="110" t="s">
        <v>445</v>
      </c>
      <c r="ET17" s="25"/>
      <c r="EU17" s="25"/>
      <c r="EV17" s="25"/>
      <c r="EW17" s="25"/>
      <c r="EX17" s="110"/>
      <c r="EY17" s="110"/>
      <c r="EZ17" s="25"/>
      <c r="FA17" s="25"/>
      <c r="FB17" s="25"/>
      <c r="FC17" s="25"/>
      <c r="FD17" s="25"/>
      <c r="FE17" s="110"/>
      <c r="FF17" s="110"/>
      <c r="FG17" s="25"/>
      <c r="FH17" s="25"/>
      <c r="FI17" s="25"/>
      <c r="FJ17" s="25"/>
      <c r="FK17" s="25"/>
      <c r="FL17" s="110"/>
      <c r="FM17" s="110"/>
      <c r="FN17" s="25"/>
      <c r="FO17" s="25"/>
      <c r="FP17" s="25"/>
      <c r="FQ17" s="25"/>
      <c r="FR17" s="25"/>
      <c r="FS17" s="110"/>
      <c r="FT17" s="110"/>
      <c r="FU17" s="25"/>
      <c r="FV17" s="25"/>
      <c r="FW17" s="25"/>
      <c r="FX17" s="25"/>
      <c r="FY17" s="25"/>
      <c r="FZ17" s="110"/>
      <c r="GA17" s="110"/>
      <c r="GB17" s="25"/>
      <c r="GC17" s="25"/>
      <c r="GD17" s="25"/>
      <c r="GE17" s="25"/>
      <c r="GF17" s="25"/>
      <c r="GG17" s="110"/>
      <c r="GH17" s="110"/>
      <c r="GI17" s="25"/>
      <c r="GJ17" s="25"/>
      <c r="GK17" s="25"/>
      <c r="GL17" s="25"/>
      <c r="GM17" s="25"/>
      <c r="GN17" s="110"/>
      <c r="GO17" s="110"/>
      <c r="GP17" s="110" t="s">
        <v>445</v>
      </c>
      <c r="GQ17" s="110"/>
      <c r="GR17" s="25"/>
      <c r="GS17" s="25"/>
      <c r="GT17" s="25"/>
      <c r="GU17" s="110"/>
      <c r="GV17" s="110"/>
      <c r="GW17" s="25"/>
      <c r="GX17" s="25"/>
      <c r="GY17" s="25"/>
      <c r="GZ17" s="25"/>
      <c r="HA17" s="25"/>
      <c r="HB17" s="110"/>
      <c r="HC17" s="110"/>
      <c r="HD17" s="25"/>
      <c r="HE17" s="25"/>
      <c r="HF17" s="25"/>
      <c r="HG17" s="25"/>
      <c r="HH17" s="25"/>
      <c r="HI17" s="110"/>
      <c r="HJ17" s="110"/>
      <c r="HK17" s="25"/>
      <c r="HL17" s="25"/>
      <c r="HM17" s="25"/>
      <c r="HN17" s="25"/>
      <c r="HO17" s="25"/>
      <c r="HP17" s="110"/>
      <c r="HQ17" s="110"/>
      <c r="HR17" s="25"/>
      <c r="HS17" s="25"/>
      <c r="HT17" s="25"/>
      <c r="HU17" s="25"/>
      <c r="HV17" s="25"/>
      <c r="HW17" s="110"/>
      <c r="HX17" s="110"/>
      <c r="HY17" s="25"/>
      <c r="HZ17" s="25"/>
      <c r="IA17" s="25"/>
      <c r="IB17" s="25"/>
      <c r="IC17" s="25"/>
      <c r="ID17" s="110"/>
      <c r="IE17" s="110"/>
      <c r="IF17" s="25"/>
      <c r="IG17" s="25"/>
      <c r="IH17" s="25"/>
      <c r="II17" s="25"/>
      <c r="IJ17" s="25"/>
      <c r="IK17" s="110"/>
      <c r="IL17" s="110"/>
      <c r="IM17" s="25"/>
      <c r="IN17" s="25"/>
      <c r="IO17" s="25"/>
      <c r="IP17" s="25"/>
      <c r="IQ17" s="25"/>
      <c r="IR17" s="110"/>
      <c r="IS17" s="110"/>
      <c r="IT17" s="25"/>
      <c r="IU17" s="25"/>
      <c r="IV17" s="25"/>
      <c r="IW17" s="25"/>
      <c r="IX17" s="25"/>
      <c r="IY17" s="110"/>
      <c r="IZ17" s="110"/>
      <c r="JA17" s="25"/>
      <c r="JB17" s="25"/>
      <c r="JC17" s="25"/>
      <c r="JD17" s="25"/>
      <c r="JE17" s="25"/>
      <c r="JF17" s="110"/>
      <c r="JG17" s="110"/>
      <c r="JH17" s="25"/>
      <c r="JI17" s="25"/>
      <c r="JJ17" s="25"/>
      <c r="JK17" s="25"/>
      <c r="JL17" s="25"/>
      <c r="JM17" s="110"/>
      <c r="JN17" s="110"/>
      <c r="JO17" s="25"/>
      <c r="JP17" s="25"/>
      <c r="JQ17" s="25"/>
      <c r="JR17" s="25"/>
      <c r="JS17" s="25"/>
      <c r="JT17" s="110"/>
      <c r="JU17" s="110"/>
      <c r="JV17" s="25"/>
      <c r="JW17" s="25"/>
      <c r="JX17" s="25"/>
      <c r="JY17" s="25"/>
      <c r="JZ17" s="25"/>
      <c r="KA17" s="110"/>
      <c r="KB17" s="110"/>
      <c r="KC17" s="25"/>
      <c r="KD17" s="25"/>
      <c r="KE17" s="25"/>
      <c r="KF17" s="25"/>
      <c r="KG17" s="25"/>
      <c r="KH17" s="110"/>
      <c r="KI17" s="110"/>
      <c r="KJ17" s="25"/>
      <c r="KK17" s="25"/>
      <c r="KL17" s="25"/>
      <c r="KM17" s="25"/>
      <c r="KN17" s="25"/>
      <c r="KO17" s="110"/>
      <c r="KP17" s="110"/>
      <c r="KQ17" s="25"/>
      <c r="KR17" s="25"/>
      <c r="KS17" s="25"/>
      <c r="KT17" s="25"/>
      <c r="KU17" s="25"/>
      <c r="KV17" s="110"/>
      <c r="KW17" s="110"/>
      <c r="KX17" s="25"/>
      <c r="KY17" s="25"/>
      <c r="KZ17" s="25"/>
      <c r="LA17" s="25"/>
      <c r="LB17" s="25"/>
      <c r="LC17" s="110"/>
      <c r="LD17" s="110"/>
      <c r="LE17" s="25"/>
      <c r="LF17" s="25"/>
      <c r="LG17" s="110" t="s">
        <v>445</v>
      </c>
      <c r="LH17" s="25"/>
      <c r="LI17" s="25"/>
      <c r="LJ17" s="110"/>
      <c r="LK17" s="110"/>
      <c r="LL17" s="25"/>
      <c r="LM17" s="25"/>
      <c r="LN17" s="25"/>
      <c r="LO17" s="25"/>
      <c r="LP17" s="25"/>
      <c r="LQ17" s="110"/>
      <c r="LR17" s="110"/>
      <c r="LS17" s="25"/>
      <c r="LT17" s="25"/>
      <c r="LU17" s="25"/>
      <c r="LV17" s="25"/>
      <c r="LW17" s="25"/>
      <c r="LX17" s="110"/>
      <c r="LY17" s="110"/>
      <c r="LZ17" s="25"/>
      <c r="MA17" s="25"/>
      <c r="MB17" s="25"/>
      <c r="MC17" s="25"/>
      <c r="MD17" s="25"/>
      <c r="ME17" s="110"/>
      <c r="MF17" s="110"/>
      <c r="MG17" s="25"/>
      <c r="MH17" s="25"/>
      <c r="MI17" s="25"/>
      <c r="MJ17" s="25"/>
      <c r="MK17" s="25"/>
      <c r="ML17" s="110"/>
      <c r="MM17" s="110"/>
      <c r="MN17" s="25"/>
      <c r="MO17" s="25"/>
      <c r="MP17" s="25"/>
      <c r="MQ17" s="25"/>
      <c r="MR17" s="25"/>
      <c r="MS17" s="110"/>
      <c r="MT17" s="110"/>
      <c r="MU17" s="25"/>
      <c r="MV17" s="25"/>
      <c r="MW17" s="25"/>
      <c r="MX17" s="25"/>
      <c r="MY17" s="25"/>
      <c r="MZ17" s="110"/>
      <c r="NA17" s="110"/>
      <c r="NB17" s="25"/>
      <c r="NC17" s="25"/>
      <c r="ND17" s="25"/>
      <c r="NE17" s="129"/>
      <c r="NF17" s="111"/>
      <c r="NG17" s="8">
        <f t="shared" si="0"/>
        <v>0</v>
      </c>
      <c r="NH17" s="351" cm="1">
        <f t="array" ref="NH17">NETWORKDAYS($I$2,$AH$2)- SUM(COUNTIF(I17:AH17,{"I";"F";"CP";"R";"P";"AC";"AM"}))</f>
        <v>20</v>
      </c>
      <c r="NI17" s="138">
        <f t="shared" si="12"/>
        <v>0</v>
      </c>
      <c r="NJ17" s="8">
        <f t="shared" si="1"/>
        <v>0</v>
      </c>
      <c r="NK17" s="351" cm="1">
        <f t="array" ref="NK17">NETWORKDAYS($AJ$2,$BK$2)- SUM(COUNTIF(AJ17:BK17,{"I";"F";"CP";"R";"P";"AC";"AM"}))</f>
        <v>20</v>
      </c>
      <c r="NL17" s="138">
        <f t="shared" si="13"/>
        <v>0</v>
      </c>
      <c r="NM17" s="8">
        <f t="shared" si="2"/>
        <v>0</v>
      </c>
      <c r="NN17" s="351" cm="1">
        <f t="array" ref="NN17">NETWORKDAYS($BL$2,$CP$2)- SUM(COUNTIF(BL17:CP17,{"I";"F";"CP";"R";"P";"AC";"AM"}))</f>
        <v>22</v>
      </c>
      <c r="NO17" s="138">
        <f t="shared" si="14"/>
        <v>0</v>
      </c>
      <c r="NP17" s="8">
        <f t="shared" si="3"/>
        <v>2</v>
      </c>
      <c r="NQ17" s="351" cm="1">
        <f t="array" ref="NQ17">NETWORKDAYS($CQ$2,$DT$2,$CV$2)- SUM(COUNTIF(CQ17:DT17,{"I";"F";"CP";"R";"P";"AC";"AM"}))</f>
        <v>21</v>
      </c>
      <c r="NR17" s="138">
        <f t="shared" si="15"/>
        <v>9.5238095238095233E-2</v>
      </c>
      <c r="NS17" s="8">
        <f t="shared" si="4"/>
        <v>0</v>
      </c>
      <c r="NT17" s="351" cm="1">
        <f t="array" ref="NT17">NETWORKDAYS($DV$2,$EY$2)-SUM(COUNTIF(DV17:EY17,{"I";"F";"CP";"R";"P";"AC";"AM"}))</f>
        <v>16</v>
      </c>
      <c r="NU17" s="138">
        <f t="shared" si="16"/>
        <v>0</v>
      </c>
      <c r="NV17" s="8">
        <f t="shared" si="27"/>
        <v>0</v>
      </c>
      <c r="NW17" s="351" cm="1">
        <f t="array" ref="NW17">NETWORKDAYS($EZ$2,$GC$2)-SUM(COUNTIF(EZ17:GC17,{"I";"F";"CP";"R";"P";"AC";"AM"}))</f>
        <v>22</v>
      </c>
      <c r="NX17" s="138">
        <f t="shared" si="28"/>
        <v>0</v>
      </c>
      <c r="NY17" s="8">
        <f t="shared" si="29"/>
        <v>0</v>
      </c>
      <c r="NZ17" s="351" cm="1">
        <f t="array" ref="NZ17">NETWORKDAYS($GD$2,$HH$2,$GQ$2)-SUM(COUNTIF(GD17:HH17,{"I";"F";"CP";"R";"P";"AC";"AM"}))</f>
        <v>21</v>
      </c>
      <c r="OA17" s="138">
        <f t="shared" si="30"/>
        <v>0</v>
      </c>
      <c r="OB17" s="8">
        <f t="shared" si="31"/>
        <v>0</v>
      </c>
      <c r="OC17" s="351" cm="1">
        <f t="array" ref="OC17">NETWORKDAYS($HI$2,$IM$2)-SUM(COUNTIF(HI17:IM17,{"I";"F";"CP";"R";"P";"AC";"AM"}))</f>
        <v>21</v>
      </c>
      <c r="OD17" s="138">
        <f t="shared" si="32"/>
        <v>0</v>
      </c>
      <c r="OE17" s="8">
        <f t="shared" si="33"/>
        <v>0</v>
      </c>
      <c r="OF17" s="351" cm="1">
        <f t="array" ref="OF17">NETWORKDAYS($IN$2,$JQ$2)-SUM(COUNTIF(IN17:JQ17,{"I";"F";"CP";"R";"P";"AC";"AM"}))</f>
        <v>22</v>
      </c>
      <c r="OG17" s="138">
        <f t="shared" si="34"/>
        <v>0</v>
      </c>
      <c r="OH17" s="8">
        <f t="shared" si="35"/>
        <v>0</v>
      </c>
      <c r="OI17" s="351" cm="1">
        <f t="array" ref="OI17">NETWORKDAYS($JR$2,$KV$2)-SUM(COUNTIF(JR17:KV17,{"I";"F";"CP";"R";"P";"AC";"AM"}))</f>
        <v>22</v>
      </c>
      <c r="OJ17" s="138">
        <f t="shared" si="36"/>
        <v>0</v>
      </c>
      <c r="OK17" s="8">
        <f t="shared" si="37"/>
        <v>0</v>
      </c>
      <c r="OL17" s="351" cm="1">
        <f t="array" ref="OL17">NETWORKDAYS($KW$2,$LZ$2,$LG$2)-SUM(COUNTIF(KW17:LZ17,{"I";"F";"CP";"R";"P";"AC";"AM"}))</f>
        <v>19</v>
      </c>
      <c r="OM17" s="138">
        <f t="shared" si="38"/>
        <v>0</v>
      </c>
      <c r="ON17" s="8">
        <f t="shared" si="39"/>
        <v>0</v>
      </c>
      <c r="OO17" s="351" cm="1">
        <f t="array" ref="OO17">NETWORKDAYS($MA$2,$MR$2)-SUM(COUNTIF(MA17:MR17,{"I";"F";"CP";"R";"P";"AC";"AM"}))</f>
        <v>14</v>
      </c>
      <c r="OP17" s="138">
        <f t="shared" si="40"/>
        <v>0</v>
      </c>
      <c r="OQ17" s="94">
        <f t="shared" si="41"/>
        <v>2</v>
      </c>
      <c r="OR17" s="94">
        <f t="shared" si="42"/>
        <v>240</v>
      </c>
      <c r="OS17" s="138">
        <f t="shared" si="43"/>
        <v>8.3333333333333332E-3</v>
      </c>
    </row>
    <row r="18" spans="1:409" ht="18" hidden="1" customHeight="1" x14ac:dyDescent="0.25">
      <c r="A18" s="94" t="s">
        <v>168</v>
      </c>
      <c r="B18" s="94" t="s">
        <v>168</v>
      </c>
      <c r="C18" s="27" t="s">
        <v>160</v>
      </c>
      <c r="D18" s="27" t="s">
        <v>184</v>
      </c>
      <c r="E18" s="128"/>
      <c r="F18" s="110"/>
      <c r="G18" s="110"/>
      <c r="H18" s="110"/>
      <c r="I18" s="25">
        <v>1</v>
      </c>
      <c r="J18" s="25"/>
      <c r="K18" s="25">
        <v>1</v>
      </c>
      <c r="L18" s="25"/>
      <c r="M18" s="25"/>
      <c r="N18" s="110"/>
      <c r="O18" s="110"/>
      <c r="P18" s="25">
        <v>1</v>
      </c>
      <c r="Q18" s="25">
        <v>1</v>
      </c>
      <c r="R18" s="25">
        <v>1</v>
      </c>
      <c r="S18" s="25">
        <v>1</v>
      </c>
      <c r="T18" s="25">
        <v>1</v>
      </c>
      <c r="U18" s="110"/>
      <c r="V18" s="110"/>
      <c r="W18" s="25">
        <v>1</v>
      </c>
      <c r="X18" s="25">
        <v>1</v>
      </c>
      <c r="Y18" s="25">
        <v>1</v>
      </c>
      <c r="Z18" s="25">
        <v>1</v>
      </c>
      <c r="AA18" s="25">
        <v>1</v>
      </c>
      <c r="AB18" s="110"/>
      <c r="AC18" s="110"/>
      <c r="AD18" s="25" t="s">
        <v>447</v>
      </c>
      <c r="AE18" s="25" t="s">
        <v>447</v>
      </c>
      <c r="AF18" s="25" t="s">
        <v>447</v>
      </c>
      <c r="AG18" s="25"/>
      <c r="AH18" s="25">
        <v>1</v>
      </c>
      <c r="AI18" s="110"/>
      <c r="AJ18" s="110"/>
      <c r="AK18" s="25">
        <v>1</v>
      </c>
      <c r="AL18" s="25">
        <v>1</v>
      </c>
      <c r="AM18" s="25">
        <v>1</v>
      </c>
      <c r="AN18" s="25">
        <v>1</v>
      </c>
      <c r="AO18" s="25">
        <v>1</v>
      </c>
      <c r="AP18" s="110"/>
      <c r="AQ18" s="110"/>
      <c r="AR18" s="25">
        <v>1</v>
      </c>
      <c r="AS18" s="25">
        <v>1</v>
      </c>
      <c r="AT18" s="25">
        <v>1</v>
      </c>
      <c r="AU18" s="25">
        <v>1</v>
      </c>
      <c r="AV18" s="25">
        <v>1</v>
      </c>
      <c r="AW18" s="110"/>
      <c r="AX18" s="110"/>
      <c r="AY18" s="25">
        <v>1</v>
      </c>
      <c r="AZ18" s="25">
        <v>1</v>
      </c>
      <c r="BA18" s="25"/>
      <c r="BB18" s="25">
        <v>1</v>
      </c>
      <c r="BC18" s="25">
        <v>1</v>
      </c>
      <c r="BD18" s="110"/>
      <c r="BE18" s="110"/>
      <c r="BF18" s="25" t="s">
        <v>445</v>
      </c>
      <c r="BG18" s="25" t="s">
        <v>445</v>
      </c>
      <c r="BH18" s="25" t="s">
        <v>445</v>
      </c>
      <c r="BI18" s="25">
        <v>1</v>
      </c>
      <c r="BJ18" s="25">
        <v>1</v>
      </c>
      <c r="BK18" s="110"/>
      <c r="BL18" s="110"/>
      <c r="BM18" s="25">
        <v>1</v>
      </c>
      <c r="BN18" s="25">
        <v>1</v>
      </c>
      <c r="BO18" s="25">
        <v>1</v>
      </c>
      <c r="BP18" s="25">
        <v>1</v>
      </c>
      <c r="BQ18" s="25">
        <v>1</v>
      </c>
      <c r="BR18" s="110"/>
      <c r="BS18" s="110"/>
      <c r="BT18" s="25">
        <v>1</v>
      </c>
      <c r="BU18" s="25">
        <v>1</v>
      </c>
      <c r="BV18" s="25">
        <v>1</v>
      </c>
      <c r="BW18" s="25">
        <v>1</v>
      </c>
      <c r="BX18" s="25">
        <v>1</v>
      </c>
      <c r="BY18" s="110"/>
      <c r="BZ18" s="110"/>
      <c r="CA18" s="25">
        <v>1</v>
      </c>
      <c r="CB18" s="25">
        <v>1</v>
      </c>
      <c r="CC18" s="25">
        <v>1</v>
      </c>
      <c r="CD18" s="25">
        <v>1</v>
      </c>
      <c r="CE18" s="25">
        <v>1</v>
      </c>
      <c r="CF18" s="110"/>
      <c r="CG18" s="110"/>
      <c r="CH18" s="25">
        <v>1</v>
      </c>
      <c r="CI18" s="25">
        <v>1</v>
      </c>
      <c r="CJ18" s="25">
        <v>1</v>
      </c>
      <c r="CK18" s="25">
        <v>1</v>
      </c>
      <c r="CL18" s="25" t="s">
        <v>450</v>
      </c>
      <c r="CM18" s="110"/>
      <c r="CN18" s="110"/>
      <c r="CO18" s="25" t="s">
        <v>450</v>
      </c>
      <c r="CP18" s="25" t="s">
        <v>450</v>
      </c>
      <c r="CQ18" s="25" t="s">
        <v>450</v>
      </c>
      <c r="CR18" s="25" t="s">
        <v>450</v>
      </c>
      <c r="CS18" s="25"/>
      <c r="CT18" s="110"/>
      <c r="CU18" s="110"/>
      <c r="CV18" s="110"/>
      <c r="CW18" s="25">
        <v>1</v>
      </c>
      <c r="CX18" s="25">
        <v>1</v>
      </c>
      <c r="CY18" s="25">
        <v>1</v>
      </c>
      <c r="CZ18" s="25">
        <v>1</v>
      </c>
      <c r="DA18" s="110"/>
      <c r="DB18" s="110"/>
      <c r="DC18" s="25">
        <v>1</v>
      </c>
      <c r="DD18" s="25">
        <v>1</v>
      </c>
      <c r="DE18" s="25">
        <v>1</v>
      </c>
      <c r="DF18" s="25">
        <v>1</v>
      </c>
      <c r="DG18" s="25">
        <v>1</v>
      </c>
      <c r="DH18" s="110"/>
      <c r="DI18" s="110"/>
      <c r="DJ18" s="25">
        <v>1</v>
      </c>
      <c r="DK18" s="25"/>
      <c r="DL18" s="25">
        <v>1</v>
      </c>
      <c r="DM18" s="25">
        <v>1</v>
      </c>
      <c r="DN18" s="25"/>
      <c r="DO18" s="110"/>
      <c r="DP18" s="110"/>
      <c r="DQ18" s="25">
        <v>1</v>
      </c>
      <c r="DR18" s="25">
        <v>1</v>
      </c>
      <c r="DS18" s="25">
        <v>1</v>
      </c>
      <c r="DT18" s="25">
        <v>1</v>
      </c>
      <c r="DU18" s="110" t="s">
        <v>445</v>
      </c>
      <c r="DV18" s="110"/>
      <c r="DW18" s="110"/>
      <c r="DX18" s="25"/>
      <c r="DY18" s="25"/>
      <c r="DZ18" s="25"/>
      <c r="EA18" s="25"/>
      <c r="EB18" s="110" t="s">
        <v>445</v>
      </c>
      <c r="EC18" s="110"/>
      <c r="ED18" s="110"/>
      <c r="EE18" s="25"/>
      <c r="EF18" s="25"/>
      <c r="EG18" s="25"/>
      <c r="EH18" s="110" t="s">
        <v>445</v>
      </c>
      <c r="EI18" s="110" t="s">
        <v>445</v>
      </c>
      <c r="EJ18" s="110"/>
      <c r="EK18" s="110"/>
      <c r="EL18" s="25"/>
      <c r="EM18" s="25"/>
      <c r="EN18" s="25"/>
      <c r="EO18" s="25"/>
      <c r="EP18" s="25"/>
      <c r="EQ18" s="110"/>
      <c r="ER18" s="110"/>
      <c r="ES18" s="110" t="s">
        <v>445</v>
      </c>
      <c r="ET18" s="25"/>
      <c r="EU18" s="25"/>
      <c r="EV18" s="25"/>
      <c r="EW18" s="25"/>
      <c r="EX18" s="110"/>
      <c r="EY18" s="110"/>
      <c r="EZ18" s="25"/>
      <c r="FA18" s="25"/>
      <c r="FB18" s="25"/>
      <c r="FC18" s="25"/>
      <c r="FD18" s="25"/>
      <c r="FE18" s="110"/>
      <c r="FF18" s="110"/>
      <c r="FG18" s="25"/>
      <c r="FH18" s="25"/>
      <c r="FI18" s="25"/>
      <c r="FJ18" s="25"/>
      <c r="FK18" s="25"/>
      <c r="FL18" s="110"/>
      <c r="FM18" s="110"/>
      <c r="FN18" s="25"/>
      <c r="FO18" s="25"/>
      <c r="FP18" s="25"/>
      <c r="FQ18" s="25"/>
      <c r="FR18" s="25"/>
      <c r="FS18" s="110"/>
      <c r="FT18" s="110"/>
      <c r="FU18" s="25"/>
      <c r="FV18" s="25"/>
      <c r="FW18" s="25"/>
      <c r="FX18" s="25"/>
      <c r="FY18" s="25"/>
      <c r="FZ18" s="110"/>
      <c r="GA18" s="110"/>
      <c r="GB18" s="25"/>
      <c r="GC18" s="25"/>
      <c r="GD18" s="25"/>
      <c r="GE18" s="25"/>
      <c r="GF18" s="25"/>
      <c r="GG18" s="110"/>
      <c r="GH18" s="110"/>
      <c r="GI18" s="25"/>
      <c r="GJ18" s="25"/>
      <c r="GK18" s="25"/>
      <c r="GL18" s="25"/>
      <c r="GM18" s="25"/>
      <c r="GN18" s="110"/>
      <c r="GO18" s="110"/>
      <c r="GP18" s="110" t="s">
        <v>445</v>
      </c>
      <c r="GQ18" s="110"/>
      <c r="GR18" s="25"/>
      <c r="GS18" s="25"/>
      <c r="GT18" s="25"/>
      <c r="GU18" s="110"/>
      <c r="GV18" s="110"/>
      <c r="GW18" s="25"/>
      <c r="GX18" s="25"/>
      <c r="GY18" s="25"/>
      <c r="GZ18" s="25"/>
      <c r="HA18" s="25"/>
      <c r="HB18" s="110"/>
      <c r="HC18" s="110"/>
      <c r="HD18" s="25"/>
      <c r="HE18" s="25"/>
      <c r="HF18" s="25"/>
      <c r="HG18" s="25"/>
      <c r="HH18" s="25"/>
      <c r="HI18" s="110"/>
      <c r="HJ18" s="110"/>
      <c r="HK18" s="25"/>
      <c r="HL18" s="25"/>
      <c r="HM18" s="25"/>
      <c r="HN18" s="25"/>
      <c r="HO18" s="25"/>
      <c r="HP18" s="110"/>
      <c r="HQ18" s="110"/>
      <c r="HR18" s="25"/>
      <c r="HS18" s="25"/>
      <c r="HT18" s="25"/>
      <c r="HU18" s="25"/>
      <c r="HV18" s="25"/>
      <c r="HW18" s="110"/>
      <c r="HX18" s="110"/>
      <c r="HY18" s="25"/>
      <c r="HZ18" s="25"/>
      <c r="IA18" s="25"/>
      <c r="IB18" s="25"/>
      <c r="IC18" s="25"/>
      <c r="ID18" s="110"/>
      <c r="IE18" s="110"/>
      <c r="IF18" s="25"/>
      <c r="IG18" s="25"/>
      <c r="IH18" s="25"/>
      <c r="II18" s="25"/>
      <c r="IJ18" s="25"/>
      <c r="IK18" s="110"/>
      <c r="IL18" s="110"/>
      <c r="IM18" s="25"/>
      <c r="IN18" s="25"/>
      <c r="IO18" s="25"/>
      <c r="IP18" s="25"/>
      <c r="IQ18" s="25"/>
      <c r="IR18" s="110"/>
      <c r="IS18" s="110"/>
      <c r="IT18" s="25"/>
      <c r="IU18" s="25"/>
      <c r="IV18" s="25"/>
      <c r="IW18" s="25"/>
      <c r="IX18" s="25"/>
      <c r="IY18" s="110"/>
      <c r="IZ18" s="110"/>
      <c r="JA18" s="25"/>
      <c r="JB18" s="25"/>
      <c r="JC18" s="25"/>
      <c r="JD18" s="25"/>
      <c r="JE18" s="25"/>
      <c r="JF18" s="110"/>
      <c r="JG18" s="110"/>
      <c r="JH18" s="25"/>
      <c r="JI18" s="25"/>
      <c r="JJ18" s="25"/>
      <c r="JK18" s="25"/>
      <c r="JL18" s="25"/>
      <c r="JM18" s="110"/>
      <c r="JN18" s="110"/>
      <c r="JO18" s="25"/>
      <c r="JP18" s="25"/>
      <c r="JQ18" s="25"/>
      <c r="JR18" s="25"/>
      <c r="JS18" s="25"/>
      <c r="JT18" s="110"/>
      <c r="JU18" s="110"/>
      <c r="JV18" s="25"/>
      <c r="JW18" s="25"/>
      <c r="JX18" s="25"/>
      <c r="JY18" s="25"/>
      <c r="JZ18" s="25"/>
      <c r="KA18" s="110"/>
      <c r="KB18" s="110"/>
      <c r="KC18" s="25"/>
      <c r="KD18" s="25"/>
      <c r="KE18" s="25"/>
      <c r="KF18" s="25"/>
      <c r="KG18" s="25"/>
      <c r="KH18" s="110"/>
      <c r="KI18" s="110"/>
      <c r="KJ18" s="25"/>
      <c r="KK18" s="25"/>
      <c r="KL18" s="25"/>
      <c r="KM18" s="25"/>
      <c r="KN18" s="25"/>
      <c r="KO18" s="110"/>
      <c r="KP18" s="110"/>
      <c r="KQ18" s="25"/>
      <c r="KR18" s="25"/>
      <c r="KS18" s="25"/>
      <c r="KT18" s="25"/>
      <c r="KU18" s="25"/>
      <c r="KV18" s="110"/>
      <c r="KW18" s="110"/>
      <c r="KX18" s="25"/>
      <c r="KY18" s="25"/>
      <c r="KZ18" s="25"/>
      <c r="LA18" s="25"/>
      <c r="LB18" s="25"/>
      <c r="LC18" s="110"/>
      <c r="LD18" s="110"/>
      <c r="LE18" s="25"/>
      <c r="LF18" s="25"/>
      <c r="LG18" s="110" t="s">
        <v>445</v>
      </c>
      <c r="LH18" s="25"/>
      <c r="LI18" s="25"/>
      <c r="LJ18" s="110"/>
      <c r="LK18" s="110"/>
      <c r="LL18" s="25"/>
      <c r="LM18" s="25"/>
      <c r="LN18" s="25"/>
      <c r="LO18" s="25"/>
      <c r="LP18" s="25"/>
      <c r="LQ18" s="110"/>
      <c r="LR18" s="110"/>
      <c r="LS18" s="25"/>
      <c r="LT18" s="25"/>
      <c r="LU18" s="25"/>
      <c r="LV18" s="25"/>
      <c r="LW18" s="25"/>
      <c r="LX18" s="110"/>
      <c r="LY18" s="110"/>
      <c r="LZ18" s="25"/>
      <c r="MA18" s="25"/>
      <c r="MB18" s="25"/>
      <c r="MC18" s="25"/>
      <c r="MD18" s="25"/>
      <c r="ME18" s="110"/>
      <c r="MF18" s="110"/>
      <c r="MG18" s="25"/>
      <c r="MH18" s="25"/>
      <c r="MI18" s="25"/>
      <c r="MJ18" s="25"/>
      <c r="MK18" s="25"/>
      <c r="ML18" s="110"/>
      <c r="MM18" s="110"/>
      <c r="MN18" s="25"/>
      <c r="MO18" s="25"/>
      <c r="MP18" s="25"/>
      <c r="MQ18" s="25"/>
      <c r="MR18" s="25"/>
      <c r="MS18" s="110"/>
      <c r="MT18" s="110"/>
      <c r="MU18" s="25"/>
      <c r="MV18" s="25"/>
      <c r="MW18" s="25"/>
      <c r="MX18" s="25"/>
      <c r="MY18" s="25"/>
      <c r="MZ18" s="110"/>
      <c r="NA18" s="110"/>
      <c r="NB18" s="25"/>
      <c r="NC18" s="25"/>
      <c r="ND18" s="25"/>
      <c r="NE18" s="129"/>
      <c r="NF18" s="111"/>
      <c r="NG18" s="8">
        <f t="shared" si="0"/>
        <v>13</v>
      </c>
      <c r="NH18" s="351" cm="1">
        <f t="array" ref="NH18">NETWORKDAYS($I$2,$AH$2)- SUM(COUNTIF(I18:AH18,{"I";"F";"CP";"R";"P";"AC";"AM"}))</f>
        <v>17</v>
      </c>
      <c r="NI18" s="138">
        <f t="shared" si="12"/>
        <v>0.76470588235294112</v>
      </c>
      <c r="NJ18" s="8">
        <f t="shared" si="1"/>
        <v>16</v>
      </c>
      <c r="NK18" s="351" cm="1">
        <f t="array" ref="NK18">NETWORKDAYS($AJ$2,$BK$2)- SUM(COUNTIF(AJ18:BK18,{"I";"F";"CP";"R";"P";"AC";"AM"}))</f>
        <v>17</v>
      </c>
      <c r="NL18" s="138">
        <f t="shared" si="13"/>
        <v>0.94117647058823528</v>
      </c>
      <c r="NM18" s="8">
        <f t="shared" si="2"/>
        <v>19</v>
      </c>
      <c r="NN18" s="351" cm="1">
        <f t="array" ref="NN18">NETWORKDAYS($BL$2,$CP$2)- SUM(COUNTIF(BL18:CP18,{"I";"F";"CP";"R";"P";"AC";"AM"}))</f>
        <v>19</v>
      </c>
      <c r="NO18" s="138">
        <f t="shared" si="14"/>
        <v>1</v>
      </c>
      <c r="NP18" s="8">
        <f t="shared" si="3"/>
        <v>16</v>
      </c>
      <c r="NQ18" s="351" cm="1">
        <f t="array" ref="NQ18">NETWORKDAYS($CQ$2,$DT$2,$CV$2)- SUM(COUNTIF(CQ18:DT18,{"I";"F";"CP";"R";"P";"AC";"AM"}))</f>
        <v>19</v>
      </c>
      <c r="NR18" s="138">
        <f t="shared" si="15"/>
        <v>0.84210526315789469</v>
      </c>
      <c r="NS18" s="8">
        <f t="shared" si="4"/>
        <v>0</v>
      </c>
      <c r="NT18" s="351" cm="1">
        <f t="array" ref="NT18">NETWORKDAYS($DV$2,$EY$2)-SUM(COUNTIF(DV18:EY18,{"I";"F";"CP";"R";"P";"AC";"AM"}))</f>
        <v>16</v>
      </c>
      <c r="NU18" s="138">
        <f t="shared" si="16"/>
        <v>0</v>
      </c>
      <c r="NV18" s="8">
        <f t="shared" si="27"/>
        <v>0</v>
      </c>
      <c r="NW18" s="351" cm="1">
        <f t="array" ref="NW18">NETWORKDAYS($EZ$2,$GC$2)-SUM(COUNTIF(EZ18:GC18,{"I";"F";"CP";"R";"P";"AC";"AM"}))</f>
        <v>22</v>
      </c>
      <c r="NX18" s="138">
        <f t="shared" si="28"/>
        <v>0</v>
      </c>
      <c r="NY18" s="8">
        <f t="shared" si="29"/>
        <v>0</v>
      </c>
      <c r="NZ18" s="351" cm="1">
        <f t="array" ref="NZ18">NETWORKDAYS($GD$2,$HH$2,$GQ$2)-SUM(COUNTIF(GD18:HH18,{"I";"F";"CP";"R";"P";"AC";"AM"}))</f>
        <v>21</v>
      </c>
      <c r="OA18" s="138">
        <f t="shared" si="30"/>
        <v>0</v>
      </c>
      <c r="OB18" s="8">
        <f t="shared" si="31"/>
        <v>0</v>
      </c>
      <c r="OC18" s="351" cm="1">
        <f t="array" ref="OC18">NETWORKDAYS($HI$2,$IM$2)-SUM(COUNTIF(HI18:IM18,{"I";"F";"CP";"R";"P";"AC";"AM"}))</f>
        <v>21</v>
      </c>
      <c r="OD18" s="138">
        <f t="shared" si="32"/>
        <v>0</v>
      </c>
      <c r="OE18" s="8">
        <f t="shared" si="33"/>
        <v>0</v>
      </c>
      <c r="OF18" s="351" cm="1">
        <f t="array" ref="OF18">NETWORKDAYS($IN$2,$JQ$2)-SUM(COUNTIF(IN18:JQ18,{"I";"F";"CP";"R";"P";"AC";"AM"}))</f>
        <v>22</v>
      </c>
      <c r="OG18" s="138">
        <f t="shared" si="34"/>
        <v>0</v>
      </c>
      <c r="OH18" s="8">
        <f t="shared" si="35"/>
        <v>0</v>
      </c>
      <c r="OI18" s="351" cm="1">
        <f t="array" ref="OI18">NETWORKDAYS($JR$2,$KV$2)-SUM(COUNTIF(JR18:KV18,{"I";"F";"CP";"R";"P";"AC";"AM"}))</f>
        <v>22</v>
      </c>
      <c r="OJ18" s="138">
        <f t="shared" si="36"/>
        <v>0</v>
      </c>
      <c r="OK18" s="8">
        <f t="shared" si="37"/>
        <v>0</v>
      </c>
      <c r="OL18" s="351" cm="1">
        <f t="array" ref="OL18">NETWORKDAYS($KW$2,$LZ$2,$LG$2)-SUM(COUNTIF(KW18:LZ18,{"I";"F";"CP";"R";"P";"AC";"AM"}))</f>
        <v>19</v>
      </c>
      <c r="OM18" s="138">
        <f t="shared" si="38"/>
        <v>0</v>
      </c>
      <c r="ON18" s="8">
        <f t="shared" si="39"/>
        <v>0</v>
      </c>
      <c r="OO18" s="351" cm="1">
        <f t="array" ref="OO18">NETWORKDAYS($MA$2,$MR$2)-SUM(COUNTIF(MA18:MR18,{"I";"F";"CP";"R";"P";"AC";"AM"}))</f>
        <v>14</v>
      </c>
      <c r="OP18" s="138">
        <f t="shared" si="40"/>
        <v>0</v>
      </c>
      <c r="OQ18" s="94">
        <f t="shared" si="41"/>
        <v>64</v>
      </c>
      <c r="OR18" s="94">
        <f t="shared" si="42"/>
        <v>229</v>
      </c>
      <c r="OS18" s="138">
        <f t="shared" si="43"/>
        <v>0.27947598253275108</v>
      </c>
    </row>
    <row r="19" spans="1:409" ht="18" hidden="1" customHeight="1" x14ac:dyDescent="0.25">
      <c r="A19" s="94" t="s">
        <v>168</v>
      </c>
      <c r="B19" s="94" t="s">
        <v>168</v>
      </c>
      <c r="C19" s="27" t="s">
        <v>166</v>
      </c>
      <c r="D19" s="27" t="s">
        <v>185</v>
      </c>
      <c r="E19" s="128"/>
      <c r="F19" s="110"/>
      <c r="G19" s="110"/>
      <c r="H19" s="110"/>
      <c r="I19" s="25"/>
      <c r="J19" s="25"/>
      <c r="K19" s="25"/>
      <c r="L19" s="25"/>
      <c r="M19" s="25"/>
      <c r="N19" s="110"/>
      <c r="O19" s="110"/>
      <c r="P19" s="25"/>
      <c r="Q19" s="25"/>
      <c r="R19" s="25"/>
      <c r="S19" s="25"/>
      <c r="T19" s="25"/>
      <c r="U19" s="110"/>
      <c r="V19" s="110"/>
      <c r="W19" s="25"/>
      <c r="X19" s="25"/>
      <c r="Y19" s="25"/>
      <c r="Z19" s="25"/>
      <c r="AA19" s="25"/>
      <c r="AB19" s="110"/>
      <c r="AC19" s="110"/>
      <c r="AD19" s="25"/>
      <c r="AE19" s="25"/>
      <c r="AF19" s="25"/>
      <c r="AG19" s="25"/>
      <c r="AH19" s="25"/>
      <c r="AI19" s="110"/>
      <c r="AJ19" s="110"/>
      <c r="AK19" s="25"/>
      <c r="AL19" s="25"/>
      <c r="AM19" s="25"/>
      <c r="AN19" s="25"/>
      <c r="AO19" s="25">
        <v>1</v>
      </c>
      <c r="AP19" s="110"/>
      <c r="AQ19" s="110"/>
      <c r="AR19" s="25"/>
      <c r="AS19" s="25"/>
      <c r="AT19" s="25"/>
      <c r="AU19" s="25"/>
      <c r="AV19" s="25"/>
      <c r="AW19" s="110"/>
      <c r="AX19" s="110"/>
      <c r="AY19" s="25"/>
      <c r="AZ19" s="25"/>
      <c r="BA19" s="25"/>
      <c r="BB19" s="25"/>
      <c r="BC19" s="25"/>
      <c r="BD19" s="110"/>
      <c r="BE19" s="110"/>
      <c r="BF19" s="25"/>
      <c r="BG19" s="25"/>
      <c r="BH19" s="25"/>
      <c r="BI19" s="25"/>
      <c r="BJ19" s="25"/>
      <c r="BK19" s="110"/>
      <c r="BL19" s="110"/>
      <c r="BM19" s="25"/>
      <c r="BN19" s="25"/>
      <c r="BO19" s="25"/>
      <c r="BP19" s="25"/>
      <c r="BQ19" s="25"/>
      <c r="BR19" s="110"/>
      <c r="BS19" s="110"/>
      <c r="BT19" s="25"/>
      <c r="BU19" s="25"/>
      <c r="BV19" s="25"/>
      <c r="BW19" s="25"/>
      <c r="BX19" s="25"/>
      <c r="BY19" s="110"/>
      <c r="BZ19" s="110"/>
      <c r="CA19" s="25"/>
      <c r="CB19" s="25"/>
      <c r="CC19" s="25"/>
      <c r="CD19" s="25"/>
      <c r="CE19" s="25"/>
      <c r="CF19" s="110"/>
      <c r="CG19" s="110"/>
      <c r="CH19" s="25"/>
      <c r="CI19" s="25"/>
      <c r="CJ19" s="25"/>
      <c r="CK19" s="25"/>
      <c r="CL19" s="25"/>
      <c r="CM19" s="110"/>
      <c r="CN19" s="110"/>
      <c r="CO19" s="25"/>
      <c r="CP19" s="25"/>
      <c r="CQ19" s="25"/>
      <c r="CR19" s="25"/>
      <c r="CS19" s="25"/>
      <c r="CT19" s="110"/>
      <c r="CU19" s="110"/>
      <c r="CV19" s="110"/>
      <c r="CW19" s="25"/>
      <c r="CX19" s="25"/>
      <c r="CY19" s="25"/>
      <c r="CZ19" s="25"/>
      <c r="DA19" s="110"/>
      <c r="DB19" s="110"/>
      <c r="DC19" s="25"/>
      <c r="DD19" s="25"/>
      <c r="DE19" s="25"/>
      <c r="DF19" s="25"/>
      <c r="DG19" s="25"/>
      <c r="DH19" s="110"/>
      <c r="DI19" s="110"/>
      <c r="DJ19" s="25"/>
      <c r="DK19" s="25"/>
      <c r="DL19" s="25"/>
      <c r="DM19" s="25"/>
      <c r="DN19" s="25"/>
      <c r="DO19" s="110"/>
      <c r="DP19" s="110"/>
      <c r="DQ19" s="25"/>
      <c r="DR19" s="25"/>
      <c r="DS19" s="25"/>
      <c r="DT19" s="25"/>
      <c r="DU19" s="110" t="s">
        <v>445</v>
      </c>
      <c r="DV19" s="110"/>
      <c r="DW19" s="110"/>
      <c r="DX19" s="25"/>
      <c r="DY19" s="25"/>
      <c r="DZ19" s="25"/>
      <c r="EA19" s="25"/>
      <c r="EB19" s="110" t="s">
        <v>445</v>
      </c>
      <c r="EC19" s="110"/>
      <c r="ED19" s="110"/>
      <c r="EE19" s="25"/>
      <c r="EF19" s="25"/>
      <c r="EG19" s="25"/>
      <c r="EH19" s="110" t="s">
        <v>445</v>
      </c>
      <c r="EI19" s="110" t="s">
        <v>445</v>
      </c>
      <c r="EJ19" s="110"/>
      <c r="EK19" s="110"/>
      <c r="EL19" s="25"/>
      <c r="EM19" s="25"/>
      <c r="EN19" s="25"/>
      <c r="EO19" s="25"/>
      <c r="EP19" s="25"/>
      <c r="EQ19" s="110"/>
      <c r="ER19" s="110"/>
      <c r="ES19" s="110" t="s">
        <v>445</v>
      </c>
      <c r="ET19" s="25"/>
      <c r="EU19" s="25"/>
      <c r="EV19" s="25"/>
      <c r="EW19" s="25"/>
      <c r="EX19" s="110"/>
      <c r="EY19" s="110"/>
      <c r="EZ19" s="25"/>
      <c r="FA19" s="25"/>
      <c r="FB19" s="25"/>
      <c r="FC19" s="25"/>
      <c r="FD19" s="25"/>
      <c r="FE19" s="110"/>
      <c r="FF19" s="110"/>
      <c r="FG19" s="25"/>
      <c r="FH19" s="25"/>
      <c r="FI19" s="25"/>
      <c r="FJ19" s="25"/>
      <c r="FK19" s="25"/>
      <c r="FL19" s="110"/>
      <c r="FM19" s="110"/>
      <c r="FN19" s="25"/>
      <c r="FO19" s="25"/>
      <c r="FP19" s="25"/>
      <c r="FQ19" s="25"/>
      <c r="FR19" s="25"/>
      <c r="FS19" s="110"/>
      <c r="FT19" s="110"/>
      <c r="FU19" s="25"/>
      <c r="FV19" s="25"/>
      <c r="FW19" s="25"/>
      <c r="FX19" s="25"/>
      <c r="FY19" s="25"/>
      <c r="FZ19" s="110"/>
      <c r="GA19" s="110"/>
      <c r="GB19" s="25"/>
      <c r="GC19" s="25"/>
      <c r="GD19" s="25"/>
      <c r="GE19" s="25"/>
      <c r="GF19" s="25"/>
      <c r="GG19" s="110"/>
      <c r="GH19" s="110"/>
      <c r="GI19" s="25"/>
      <c r="GJ19" s="25"/>
      <c r="GK19" s="25"/>
      <c r="GL19" s="25"/>
      <c r="GM19" s="25"/>
      <c r="GN19" s="110"/>
      <c r="GO19" s="110"/>
      <c r="GP19" s="110" t="s">
        <v>445</v>
      </c>
      <c r="GQ19" s="110"/>
      <c r="GR19" s="25"/>
      <c r="GS19" s="25"/>
      <c r="GT19" s="25"/>
      <c r="GU19" s="110"/>
      <c r="GV19" s="110"/>
      <c r="GW19" s="25"/>
      <c r="GX19" s="25"/>
      <c r="GY19" s="25"/>
      <c r="GZ19" s="25"/>
      <c r="HA19" s="25"/>
      <c r="HB19" s="110"/>
      <c r="HC19" s="110"/>
      <c r="HD19" s="25"/>
      <c r="HE19" s="25"/>
      <c r="HF19" s="25"/>
      <c r="HG19" s="25"/>
      <c r="HH19" s="25"/>
      <c r="HI19" s="110"/>
      <c r="HJ19" s="110"/>
      <c r="HK19" s="25"/>
      <c r="HL19" s="25"/>
      <c r="HM19" s="25"/>
      <c r="HN19" s="25"/>
      <c r="HO19" s="25"/>
      <c r="HP19" s="110"/>
      <c r="HQ19" s="110"/>
      <c r="HR19" s="25"/>
      <c r="HS19" s="25"/>
      <c r="HT19" s="25"/>
      <c r="HU19" s="25"/>
      <c r="HV19" s="25"/>
      <c r="HW19" s="110"/>
      <c r="HX19" s="110"/>
      <c r="HY19" s="25"/>
      <c r="HZ19" s="25"/>
      <c r="IA19" s="25"/>
      <c r="IB19" s="25"/>
      <c r="IC19" s="25"/>
      <c r="ID19" s="110"/>
      <c r="IE19" s="110"/>
      <c r="IF19" s="25"/>
      <c r="IG19" s="25"/>
      <c r="IH19" s="25"/>
      <c r="II19" s="25"/>
      <c r="IJ19" s="25"/>
      <c r="IK19" s="110"/>
      <c r="IL19" s="110"/>
      <c r="IM19" s="25"/>
      <c r="IN19" s="25"/>
      <c r="IO19" s="25"/>
      <c r="IP19" s="25"/>
      <c r="IQ19" s="25"/>
      <c r="IR19" s="110"/>
      <c r="IS19" s="110"/>
      <c r="IT19" s="25"/>
      <c r="IU19" s="25"/>
      <c r="IV19" s="25"/>
      <c r="IW19" s="25"/>
      <c r="IX19" s="25"/>
      <c r="IY19" s="110"/>
      <c r="IZ19" s="110"/>
      <c r="JA19" s="25"/>
      <c r="JB19" s="25"/>
      <c r="JC19" s="25"/>
      <c r="JD19" s="25"/>
      <c r="JE19" s="25"/>
      <c r="JF19" s="110"/>
      <c r="JG19" s="110"/>
      <c r="JH19" s="25"/>
      <c r="JI19" s="25"/>
      <c r="JJ19" s="25"/>
      <c r="JK19" s="25"/>
      <c r="JL19" s="25"/>
      <c r="JM19" s="110"/>
      <c r="JN19" s="110"/>
      <c r="JO19" s="25"/>
      <c r="JP19" s="25"/>
      <c r="JQ19" s="25"/>
      <c r="JR19" s="25"/>
      <c r="JS19" s="25"/>
      <c r="JT19" s="110"/>
      <c r="JU19" s="110"/>
      <c r="JV19" s="25"/>
      <c r="JW19" s="25"/>
      <c r="JX19" s="25"/>
      <c r="JY19" s="25"/>
      <c r="JZ19" s="25"/>
      <c r="KA19" s="110"/>
      <c r="KB19" s="110"/>
      <c r="KC19" s="25"/>
      <c r="KD19" s="25"/>
      <c r="KE19" s="25"/>
      <c r="KF19" s="25"/>
      <c r="KG19" s="25"/>
      <c r="KH19" s="110"/>
      <c r="KI19" s="110"/>
      <c r="KJ19" s="25"/>
      <c r="KK19" s="25"/>
      <c r="KL19" s="25"/>
      <c r="KM19" s="25"/>
      <c r="KN19" s="25"/>
      <c r="KO19" s="110"/>
      <c r="KP19" s="110"/>
      <c r="KQ19" s="25"/>
      <c r="KR19" s="25"/>
      <c r="KS19" s="25"/>
      <c r="KT19" s="25"/>
      <c r="KU19" s="25"/>
      <c r="KV19" s="110"/>
      <c r="KW19" s="110"/>
      <c r="KX19" s="25"/>
      <c r="KY19" s="25"/>
      <c r="KZ19" s="25"/>
      <c r="LA19" s="25"/>
      <c r="LB19" s="25"/>
      <c r="LC19" s="110"/>
      <c r="LD19" s="110"/>
      <c r="LE19" s="25"/>
      <c r="LF19" s="25"/>
      <c r="LG19" s="110" t="s">
        <v>445</v>
      </c>
      <c r="LH19" s="25"/>
      <c r="LI19" s="25"/>
      <c r="LJ19" s="110"/>
      <c r="LK19" s="110"/>
      <c r="LL19" s="25"/>
      <c r="LM19" s="25"/>
      <c r="LN19" s="25"/>
      <c r="LO19" s="25"/>
      <c r="LP19" s="25"/>
      <c r="LQ19" s="110"/>
      <c r="LR19" s="110"/>
      <c r="LS19" s="25"/>
      <c r="LT19" s="25"/>
      <c r="LU19" s="25"/>
      <c r="LV19" s="25"/>
      <c r="LW19" s="25"/>
      <c r="LX19" s="110"/>
      <c r="LY19" s="110"/>
      <c r="LZ19" s="25"/>
      <c r="MA19" s="25"/>
      <c r="MB19" s="25"/>
      <c r="MC19" s="25"/>
      <c r="MD19" s="25"/>
      <c r="ME19" s="110"/>
      <c r="MF19" s="110"/>
      <c r="MG19" s="25"/>
      <c r="MH19" s="25"/>
      <c r="MI19" s="25"/>
      <c r="MJ19" s="25"/>
      <c r="MK19" s="25"/>
      <c r="ML19" s="110"/>
      <c r="MM19" s="110"/>
      <c r="MN19" s="25"/>
      <c r="MO19" s="25"/>
      <c r="MP19" s="25"/>
      <c r="MQ19" s="25"/>
      <c r="MR19" s="25"/>
      <c r="MS19" s="110"/>
      <c r="MT19" s="110"/>
      <c r="MU19" s="25"/>
      <c r="MV19" s="25"/>
      <c r="MW19" s="25"/>
      <c r="MX19" s="25"/>
      <c r="MY19" s="25"/>
      <c r="MZ19" s="110"/>
      <c r="NA19" s="110"/>
      <c r="NB19" s="25"/>
      <c r="NC19" s="25"/>
      <c r="ND19" s="25"/>
      <c r="NE19" s="129"/>
      <c r="NF19" s="111"/>
      <c r="NG19" s="8">
        <f t="shared" si="0"/>
        <v>0</v>
      </c>
      <c r="NH19" s="351" cm="1">
        <f t="array" ref="NH19">NETWORKDAYS($I$2,$AH$2)- SUM(COUNTIF(I19:AH19,{"I";"F";"CP";"R";"P";"AC";"AM"}))</f>
        <v>20</v>
      </c>
      <c r="NI19" s="138">
        <f t="shared" si="12"/>
        <v>0</v>
      </c>
      <c r="NJ19" s="8">
        <f t="shared" si="1"/>
        <v>1</v>
      </c>
      <c r="NK19" s="351" cm="1">
        <f t="array" ref="NK19">NETWORKDAYS($AJ$2,$BK$2)- SUM(COUNTIF(AJ19:BK19,{"I";"F";"CP";"R";"P";"AC";"AM"}))</f>
        <v>20</v>
      </c>
      <c r="NL19" s="138">
        <f t="shared" si="13"/>
        <v>0.05</v>
      </c>
      <c r="NM19" s="8">
        <f t="shared" si="2"/>
        <v>0</v>
      </c>
      <c r="NN19" s="351" cm="1">
        <f t="array" ref="NN19">NETWORKDAYS($BL$2,$CP$2)- SUM(COUNTIF(BL19:CP19,{"I";"F";"CP";"R";"P";"AC";"AM"}))</f>
        <v>22</v>
      </c>
      <c r="NO19" s="138">
        <f t="shared" si="14"/>
        <v>0</v>
      </c>
      <c r="NP19" s="8">
        <f t="shared" si="3"/>
        <v>0</v>
      </c>
      <c r="NQ19" s="351" cm="1">
        <f t="array" ref="NQ19">NETWORKDAYS($CQ$2,$DT$2,$CV$2)- SUM(COUNTIF(CQ19:DT19,{"I";"F";"CP";"R";"P";"AC";"AM"}))</f>
        <v>21</v>
      </c>
      <c r="NR19" s="138">
        <f t="shared" si="15"/>
        <v>0</v>
      </c>
      <c r="NS19" s="8">
        <f t="shared" si="4"/>
        <v>0</v>
      </c>
      <c r="NT19" s="351" cm="1">
        <f t="array" ref="NT19">NETWORKDAYS($DV$2,$EY$2)-SUM(COUNTIF(DV19:EY19,{"I";"F";"CP";"R";"P";"AC";"AM"}))</f>
        <v>16</v>
      </c>
      <c r="NU19" s="138">
        <f t="shared" si="16"/>
        <v>0</v>
      </c>
      <c r="NV19" s="8">
        <f t="shared" si="27"/>
        <v>0</v>
      </c>
      <c r="NW19" s="351" cm="1">
        <f t="array" ref="NW19">NETWORKDAYS($EZ$2,$GC$2)-SUM(COUNTIF(EZ19:GC19,{"I";"F";"CP";"R";"P";"AC";"AM"}))</f>
        <v>22</v>
      </c>
      <c r="NX19" s="138">
        <f t="shared" si="28"/>
        <v>0</v>
      </c>
      <c r="NY19" s="8">
        <f t="shared" si="29"/>
        <v>0</v>
      </c>
      <c r="NZ19" s="351" cm="1">
        <f t="array" ref="NZ19">NETWORKDAYS($GD$2,$HH$2,$GQ$2)-SUM(COUNTIF(GD19:HH19,{"I";"F";"CP";"R";"P";"AC";"AM"}))</f>
        <v>21</v>
      </c>
      <c r="OA19" s="138">
        <f t="shared" si="30"/>
        <v>0</v>
      </c>
      <c r="OB19" s="8">
        <f t="shared" si="31"/>
        <v>0</v>
      </c>
      <c r="OC19" s="351" cm="1">
        <f t="array" ref="OC19">NETWORKDAYS($HI$2,$IM$2)-SUM(COUNTIF(HI19:IM19,{"I";"F";"CP";"R";"P";"AC";"AM"}))</f>
        <v>21</v>
      </c>
      <c r="OD19" s="138">
        <f t="shared" si="32"/>
        <v>0</v>
      </c>
      <c r="OE19" s="8">
        <f t="shared" si="33"/>
        <v>0</v>
      </c>
      <c r="OF19" s="351" cm="1">
        <f t="array" ref="OF19">NETWORKDAYS($IN$2,$JQ$2)-SUM(COUNTIF(IN19:JQ19,{"I";"F";"CP";"R";"P";"AC";"AM"}))</f>
        <v>22</v>
      </c>
      <c r="OG19" s="138">
        <f t="shared" si="34"/>
        <v>0</v>
      </c>
      <c r="OH19" s="8">
        <f t="shared" si="35"/>
        <v>0</v>
      </c>
      <c r="OI19" s="351" cm="1">
        <f t="array" ref="OI19">NETWORKDAYS($JR$2,$KV$2)-SUM(COUNTIF(JR19:KV19,{"I";"F";"CP";"R";"P";"AC";"AM"}))</f>
        <v>22</v>
      </c>
      <c r="OJ19" s="138">
        <f t="shared" si="36"/>
        <v>0</v>
      </c>
      <c r="OK19" s="8">
        <f t="shared" si="37"/>
        <v>0</v>
      </c>
      <c r="OL19" s="351" cm="1">
        <f t="array" ref="OL19">NETWORKDAYS($KW$2,$LZ$2,$LG$2)-SUM(COUNTIF(KW19:LZ19,{"I";"F";"CP";"R";"P";"AC";"AM"}))</f>
        <v>19</v>
      </c>
      <c r="OM19" s="138">
        <f t="shared" si="38"/>
        <v>0</v>
      </c>
      <c r="ON19" s="8">
        <f t="shared" si="39"/>
        <v>0</v>
      </c>
      <c r="OO19" s="351" cm="1">
        <f t="array" ref="OO19">NETWORKDAYS($MA$2,$MR$2)-SUM(COUNTIF(MA19:MR19,{"I";"F";"CP";"R";"P";"AC";"AM"}))</f>
        <v>14</v>
      </c>
      <c r="OP19" s="138">
        <f t="shared" si="40"/>
        <v>0</v>
      </c>
      <c r="OQ19" s="94">
        <f t="shared" si="41"/>
        <v>1</v>
      </c>
      <c r="OR19" s="94">
        <f t="shared" si="42"/>
        <v>240</v>
      </c>
      <c r="OS19" s="138">
        <f t="shared" si="43"/>
        <v>4.1666666666666666E-3</v>
      </c>
    </row>
    <row r="20" spans="1:409" ht="18" customHeight="1" x14ac:dyDescent="0.25">
      <c r="A20" s="94" t="s">
        <v>181</v>
      </c>
      <c r="B20" s="94" t="s">
        <v>45</v>
      </c>
      <c r="C20" s="27" t="s">
        <v>160</v>
      </c>
      <c r="D20" s="27" t="s">
        <v>186</v>
      </c>
      <c r="E20" s="128"/>
      <c r="F20" s="110"/>
      <c r="G20" s="110"/>
      <c r="H20" s="110"/>
      <c r="I20" s="25" t="s">
        <v>223</v>
      </c>
      <c r="J20" s="25" t="s">
        <v>223</v>
      </c>
      <c r="K20" s="25" t="s">
        <v>223</v>
      </c>
      <c r="L20" s="25" t="s">
        <v>223</v>
      </c>
      <c r="M20" s="25" t="s">
        <v>223</v>
      </c>
      <c r="N20" s="110"/>
      <c r="O20" s="110"/>
      <c r="P20" s="25"/>
      <c r="Q20" s="25"/>
      <c r="R20" s="25"/>
      <c r="S20" s="25"/>
      <c r="T20" s="25"/>
      <c r="U20" s="110"/>
      <c r="V20" s="110"/>
      <c r="W20" s="25"/>
      <c r="X20" s="25"/>
      <c r="Y20" s="25"/>
      <c r="Z20" s="25"/>
      <c r="AA20" s="25"/>
      <c r="AB20" s="110"/>
      <c r="AC20" s="110"/>
      <c r="AD20" s="25"/>
      <c r="AE20" s="25"/>
      <c r="AF20" s="25"/>
      <c r="AG20" s="25"/>
      <c r="AH20" s="25"/>
      <c r="AI20" s="110"/>
      <c r="AJ20" s="110"/>
      <c r="AK20" s="25"/>
      <c r="AL20" s="25"/>
      <c r="AM20" s="25"/>
      <c r="AN20" s="25"/>
      <c r="AO20" s="25"/>
      <c r="AP20" s="110"/>
      <c r="AQ20" s="110"/>
      <c r="AR20" s="25"/>
      <c r="AS20" s="25"/>
      <c r="AT20" s="25"/>
      <c r="AV20" s="25"/>
      <c r="AW20" s="110"/>
      <c r="AX20" s="110"/>
      <c r="AY20" s="25"/>
      <c r="AZ20" s="25"/>
      <c r="BA20" s="25"/>
      <c r="BB20" s="25"/>
      <c r="BC20" s="25"/>
      <c r="BD20" s="110"/>
      <c r="BE20" s="110"/>
      <c r="BF20" s="25" t="s">
        <v>445</v>
      </c>
      <c r="BG20" s="25" t="s">
        <v>445</v>
      </c>
      <c r="BH20" s="25" t="s">
        <v>445</v>
      </c>
      <c r="BI20" s="25" t="s">
        <v>445</v>
      </c>
      <c r="BJ20" s="25" t="s">
        <v>445</v>
      </c>
      <c r="BK20" s="110"/>
      <c r="BL20" s="110"/>
      <c r="BM20" s="25"/>
      <c r="BN20" s="25"/>
      <c r="BO20" s="25"/>
      <c r="BP20" s="25"/>
      <c r="BQ20" s="25"/>
      <c r="BR20" s="110"/>
      <c r="BS20" s="110"/>
      <c r="BT20" s="25"/>
      <c r="BU20" s="25"/>
      <c r="BV20" s="25"/>
      <c r="BW20" s="25"/>
      <c r="BX20" s="25"/>
      <c r="BY20" s="110"/>
      <c r="BZ20" s="110"/>
      <c r="CA20" s="25"/>
      <c r="CB20" s="25"/>
      <c r="CC20" s="25"/>
      <c r="CD20" s="25"/>
      <c r="CE20" s="25"/>
      <c r="CF20" s="110"/>
      <c r="CG20" s="110"/>
      <c r="CH20" s="25" t="s">
        <v>223</v>
      </c>
      <c r="CI20" s="25"/>
      <c r="CJ20" s="25"/>
      <c r="CK20" s="25"/>
      <c r="CL20" s="25"/>
      <c r="CM20" s="110"/>
      <c r="CN20" s="110"/>
      <c r="CO20" s="25"/>
      <c r="CP20" s="25"/>
      <c r="CQ20" s="25"/>
      <c r="CR20" s="25"/>
      <c r="CS20" s="25"/>
      <c r="CT20" s="110"/>
      <c r="CU20" s="110"/>
      <c r="CV20" s="110"/>
      <c r="CW20" s="25"/>
      <c r="CX20" s="25"/>
      <c r="CY20" s="25"/>
      <c r="CZ20" s="25"/>
      <c r="DA20" s="110"/>
      <c r="DB20" s="110"/>
      <c r="DC20" s="25"/>
      <c r="DD20" s="25"/>
      <c r="DE20" s="25"/>
      <c r="DF20" s="25"/>
      <c r="DG20" s="25"/>
      <c r="DH20" s="110"/>
      <c r="DI20" s="110"/>
      <c r="DJ20" s="25"/>
      <c r="DK20" s="25"/>
      <c r="DL20" s="25"/>
      <c r="DM20" s="25"/>
      <c r="DN20" s="25"/>
      <c r="DO20" s="110"/>
      <c r="DP20" s="110"/>
      <c r="DQ20" s="25"/>
      <c r="DR20" s="25"/>
      <c r="DS20" s="25"/>
      <c r="DT20" s="25"/>
      <c r="DU20" s="110" t="s">
        <v>445</v>
      </c>
      <c r="DV20" s="110"/>
      <c r="DW20" s="110"/>
      <c r="DX20" s="25"/>
      <c r="DY20" s="25"/>
      <c r="DZ20" s="25"/>
      <c r="EA20" s="25"/>
      <c r="EB20" s="110" t="s">
        <v>445</v>
      </c>
      <c r="EC20" s="110"/>
      <c r="ED20" s="110"/>
      <c r="EE20" s="25" t="s">
        <v>223</v>
      </c>
      <c r="EF20" s="25" t="s">
        <v>223</v>
      </c>
      <c r="EG20" s="25" t="s">
        <v>223</v>
      </c>
      <c r="EH20" s="110" t="s">
        <v>445</v>
      </c>
      <c r="EI20" s="110" t="s">
        <v>445</v>
      </c>
      <c r="EJ20" s="110"/>
      <c r="EK20" s="110"/>
      <c r="EL20" s="25"/>
      <c r="EM20" s="25"/>
      <c r="EN20" s="25"/>
      <c r="EO20" s="25"/>
      <c r="EP20" s="25"/>
      <c r="EQ20" s="110"/>
      <c r="ER20" s="110"/>
      <c r="ES20" s="110" t="s">
        <v>445</v>
      </c>
      <c r="ET20" s="25"/>
      <c r="EU20" s="25"/>
      <c r="EV20" s="25"/>
      <c r="EW20" s="25"/>
      <c r="EX20" s="110"/>
      <c r="EY20" s="110"/>
      <c r="EZ20" s="25"/>
      <c r="FA20" s="25"/>
      <c r="FB20" s="25"/>
      <c r="FC20" s="25"/>
      <c r="FD20" s="25"/>
      <c r="FE20" s="110"/>
      <c r="FF20" s="110"/>
      <c r="FG20" s="25"/>
      <c r="FH20" s="25"/>
      <c r="FI20" s="25"/>
      <c r="FJ20" s="25"/>
      <c r="FK20" s="25"/>
      <c r="FL20" s="110"/>
      <c r="FM20" s="110"/>
      <c r="FN20" s="25"/>
      <c r="FO20" s="25"/>
      <c r="FP20" s="25"/>
      <c r="FQ20" s="25"/>
      <c r="FR20" s="25"/>
      <c r="FS20" s="110"/>
      <c r="FT20" s="110"/>
      <c r="FU20" s="25"/>
      <c r="FV20" s="25"/>
      <c r="FW20" s="25"/>
      <c r="FX20" s="25"/>
      <c r="FY20" s="25"/>
      <c r="FZ20" s="110"/>
      <c r="GA20" s="110"/>
      <c r="GB20" s="25"/>
      <c r="GC20" s="25"/>
      <c r="GD20" s="25"/>
      <c r="GE20" s="25"/>
      <c r="GF20" s="25"/>
      <c r="GG20" s="110"/>
      <c r="GH20" s="110"/>
      <c r="GI20" s="25"/>
      <c r="GJ20" s="25"/>
      <c r="GK20" s="25"/>
      <c r="GL20" s="25"/>
      <c r="GM20" s="25"/>
      <c r="GN20" s="110"/>
      <c r="GO20" s="110"/>
      <c r="GP20" s="110" t="s">
        <v>445</v>
      </c>
      <c r="GQ20" s="110"/>
      <c r="GR20" s="25"/>
      <c r="GS20" s="25"/>
      <c r="GT20" s="25"/>
      <c r="GU20" s="110"/>
      <c r="GV20" s="110"/>
      <c r="GW20" s="25"/>
      <c r="GX20" s="25"/>
      <c r="GY20" s="25"/>
      <c r="GZ20" s="25"/>
      <c r="HA20" s="25"/>
      <c r="HB20" s="110"/>
      <c r="HC20" s="110"/>
      <c r="HD20" s="25"/>
      <c r="HE20" s="25"/>
      <c r="HF20" s="25"/>
      <c r="HG20" s="25"/>
      <c r="HH20" s="25"/>
      <c r="HI20" s="110"/>
      <c r="HJ20" s="110"/>
      <c r="HK20" s="25"/>
      <c r="HL20" s="25"/>
      <c r="HM20" s="25"/>
      <c r="HN20" s="25"/>
      <c r="HO20" s="25"/>
      <c r="HP20" s="110"/>
      <c r="HQ20" s="110"/>
      <c r="HR20" s="25"/>
      <c r="HS20" s="25"/>
      <c r="HT20" s="25"/>
      <c r="HU20" s="25"/>
      <c r="HV20" s="25"/>
      <c r="HW20" s="110"/>
      <c r="HX20" s="110"/>
      <c r="HY20" s="25"/>
      <c r="HZ20" s="25"/>
      <c r="IA20" s="25"/>
      <c r="IB20" s="25"/>
      <c r="IC20" s="25"/>
      <c r="ID20" s="110"/>
      <c r="IE20" s="110"/>
      <c r="IF20" s="25"/>
      <c r="IG20" s="25"/>
      <c r="IH20" s="25"/>
      <c r="II20" s="25"/>
      <c r="IJ20" s="25"/>
      <c r="IK20" s="110"/>
      <c r="IL20" s="110"/>
      <c r="IM20" s="25"/>
      <c r="IN20" s="25"/>
      <c r="IO20" s="25"/>
      <c r="IP20" s="25"/>
      <c r="IQ20" s="25"/>
      <c r="IR20" s="110"/>
      <c r="IS20" s="110"/>
      <c r="IT20" s="25"/>
      <c r="IU20" s="25"/>
      <c r="IV20" s="25"/>
      <c r="IW20" s="25"/>
      <c r="IX20" s="25"/>
      <c r="IY20" s="110"/>
      <c r="IZ20" s="110"/>
      <c r="JA20" s="25"/>
      <c r="JB20" s="25"/>
      <c r="JC20" s="25"/>
      <c r="JD20" s="25"/>
      <c r="JE20" s="25"/>
      <c r="JF20" s="110"/>
      <c r="JG20" s="110"/>
      <c r="JH20" s="25"/>
      <c r="JI20" s="25"/>
      <c r="JJ20" s="25"/>
      <c r="JK20" s="25"/>
      <c r="JL20" s="25"/>
      <c r="JM20" s="110"/>
      <c r="JN20" s="110"/>
      <c r="JO20" s="25"/>
      <c r="JP20" s="25"/>
      <c r="JQ20" s="25"/>
      <c r="JR20" s="25"/>
      <c r="JS20" s="25"/>
      <c r="JT20" s="110"/>
      <c r="JU20" s="110"/>
      <c r="JV20" s="25"/>
      <c r="JW20" s="25"/>
      <c r="JX20" s="25"/>
      <c r="JY20" s="25"/>
      <c r="JZ20" s="25"/>
      <c r="KA20" s="110"/>
      <c r="KB20" s="110"/>
      <c r="KC20" s="25"/>
      <c r="KD20" s="25"/>
      <c r="KE20" s="25"/>
      <c r="KF20" s="25"/>
      <c r="KG20" s="25"/>
      <c r="KH20" s="110"/>
      <c r="KI20" s="110"/>
      <c r="KJ20" s="25"/>
      <c r="KK20" s="25"/>
      <c r="KL20" s="25"/>
      <c r="KM20" s="25"/>
      <c r="KN20" s="25"/>
      <c r="KO20" s="110"/>
      <c r="KP20" s="110"/>
      <c r="KQ20" s="25"/>
      <c r="KR20" s="25"/>
      <c r="KS20" s="25"/>
      <c r="KT20" s="25"/>
      <c r="KU20" s="25"/>
      <c r="KV20" s="110"/>
      <c r="KW20" s="110"/>
      <c r="KX20" s="25"/>
      <c r="KY20" s="25"/>
      <c r="KZ20" s="25"/>
      <c r="LA20" s="25"/>
      <c r="LB20" s="25"/>
      <c r="LC20" s="110"/>
      <c r="LD20" s="110"/>
      <c r="LE20" s="25"/>
      <c r="LF20" s="25"/>
      <c r="LG20" s="110" t="s">
        <v>445</v>
      </c>
      <c r="LH20" s="25"/>
      <c r="LI20" s="25"/>
      <c r="LJ20" s="110"/>
      <c r="LK20" s="110"/>
      <c r="LL20" s="25"/>
      <c r="LM20" s="25"/>
      <c r="LN20" s="25"/>
      <c r="LO20" s="25"/>
      <c r="LP20" s="25"/>
      <c r="LQ20" s="110"/>
      <c r="LR20" s="110"/>
      <c r="LS20" s="25"/>
      <c r="LT20" s="25"/>
      <c r="LU20" s="25"/>
      <c r="LV20" s="25"/>
      <c r="LW20" s="25"/>
      <c r="LX20" s="110"/>
      <c r="LY20" s="110"/>
      <c r="LZ20" s="25"/>
      <c r="MA20" s="25"/>
      <c r="MB20" s="25"/>
      <c r="MC20" s="25"/>
      <c r="MD20" s="25"/>
      <c r="ME20" s="110"/>
      <c r="MF20" s="110"/>
      <c r="MG20" s="25"/>
      <c r="MH20" s="25"/>
      <c r="MI20" s="25"/>
      <c r="MJ20" s="25"/>
      <c r="MK20" s="25"/>
      <c r="ML20" s="110"/>
      <c r="MM20" s="110"/>
      <c r="MN20" s="25"/>
      <c r="MO20" s="25"/>
      <c r="MP20" s="25"/>
      <c r="MQ20" s="25"/>
      <c r="MR20" s="25"/>
      <c r="MS20" s="110"/>
      <c r="MT20" s="110"/>
      <c r="MU20" s="25"/>
      <c r="MV20" s="25"/>
      <c r="MW20" s="25"/>
      <c r="MX20" s="25"/>
      <c r="MY20" s="25"/>
      <c r="MZ20" s="110"/>
      <c r="NA20" s="110"/>
      <c r="NB20" s="25"/>
      <c r="NC20" s="25"/>
      <c r="ND20" s="25"/>
      <c r="NE20" s="129"/>
      <c r="NF20" s="111"/>
      <c r="NG20" s="8">
        <f t="shared" si="0"/>
        <v>0</v>
      </c>
      <c r="NH20" s="351" cm="1">
        <f t="array" ref="NH20">NETWORKDAYS($I$2,$AH$2)- SUM(COUNTIF(I20:AH20,{"I";"F";"CP";"R";"P";"AC";"AM"}))</f>
        <v>15</v>
      </c>
      <c r="NI20" s="138">
        <f t="shared" si="12"/>
        <v>0</v>
      </c>
      <c r="NJ20" s="8">
        <f t="shared" si="1"/>
        <v>0</v>
      </c>
      <c r="NK20" s="351" cm="1">
        <f t="array" ref="NK20">NETWORKDAYS($AJ$2,$BK$2)- SUM(COUNTIF(AJ20:BK20,{"I";"F";"CP";"R";"P";"AC";"AM"}))</f>
        <v>15</v>
      </c>
      <c r="NL20" s="138">
        <f t="shared" si="13"/>
        <v>0</v>
      </c>
      <c r="NM20" s="8">
        <f t="shared" si="2"/>
        <v>0</v>
      </c>
      <c r="NN20" s="351" cm="1">
        <f t="array" ref="NN20">NETWORKDAYS($BL$2,$CP$2)- SUM(COUNTIF(BL20:CP20,{"I";"F";"CP";"R";"P";"AC";"AM"}))</f>
        <v>21</v>
      </c>
      <c r="NO20" s="138">
        <f t="shared" si="14"/>
        <v>0</v>
      </c>
      <c r="NP20" s="8">
        <f t="shared" si="3"/>
        <v>0</v>
      </c>
      <c r="NQ20" s="351" cm="1">
        <f t="array" ref="NQ20">NETWORKDAYS($CQ$2,$DT$2,$CV$2)- SUM(COUNTIF(CQ20:DT20,{"I";"F";"CP";"R";"P";"AC";"AM"}))</f>
        <v>21</v>
      </c>
      <c r="NR20" s="138">
        <f t="shared" si="15"/>
        <v>0</v>
      </c>
      <c r="NS20" s="8">
        <f t="shared" si="4"/>
        <v>0</v>
      </c>
      <c r="NT20" s="351" cm="1">
        <f t="array" ref="NT20">NETWORKDAYS($DV$2,$EY$2)-SUM(COUNTIF(DV20:EY20,{"I";"F";"CP";"R";"P";"AC";"AM"}))</f>
        <v>13</v>
      </c>
      <c r="NU20" s="138">
        <f t="shared" si="16"/>
        <v>0</v>
      </c>
      <c r="NV20" s="8">
        <f t="shared" si="27"/>
        <v>0</v>
      </c>
      <c r="NW20" s="351" cm="1">
        <f t="array" ref="NW20">NETWORKDAYS($EZ$2,$GC$2)-SUM(COUNTIF(EZ20:GC20,{"I";"F";"CP";"R";"P";"AC";"AM"}))</f>
        <v>22</v>
      </c>
      <c r="NX20" s="138">
        <f t="shared" si="28"/>
        <v>0</v>
      </c>
      <c r="NY20" s="8">
        <f t="shared" si="29"/>
        <v>0</v>
      </c>
      <c r="NZ20" s="351" cm="1">
        <f t="array" ref="NZ20">NETWORKDAYS($GD$2,$HH$2,$GQ$2)-SUM(COUNTIF(GD20:HH20,{"I";"F";"CP";"R";"P";"AC";"AM"}))</f>
        <v>21</v>
      </c>
      <c r="OA20" s="138">
        <f t="shared" si="30"/>
        <v>0</v>
      </c>
      <c r="OB20" s="8">
        <f t="shared" si="31"/>
        <v>0</v>
      </c>
      <c r="OC20" s="351" cm="1">
        <f t="array" ref="OC20">NETWORKDAYS($HI$2,$IM$2)-SUM(COUNTIF(HI20:IM20,{"I";"F";"CP";"R";"P";"AC";"AM"}))</f>
        <v>21</v>
      </c>
      <c r="OD20" s="138">
        <f t="shared" si="32"/>
        <v>0</v>
      </c>
      <c r="OE20" s="8">
        <f t="shared" si="33"/>
        <v>0</v>
      </c>
      <c r="OF20" s="351" cm="1">
        <f t="array" ref="OF20">NETWORKDAYS($IN$2,$JQ$2)-SUM(COUNTIF(IN20:JQ20,{"I";"F";"CP";"R";"P";"AC";"AM"}))</f>
        <v>22</v>
      </c>
      <c r="OG20" s="138">
        <f t="shared" si="34"/>
        <v>0</v>
      </c>
      <c r="OH20" s="8">
        <f t="shared" si="35"/>
        <v>0</v>
      </c>
      <c r="OI20" s="351" cm="1">
        <f t="array" ref="OI20">NETWORKDAYS($JR$2,$KV$2)-SUM(COUNTIF(JR20:KV20,{"I";"F";"CP";"R";"P";"AC";"AM"}))</f>
        <v>22</v>
      </c>
      <c r="OJ20" s="138">
        <f t="shared" si="36"/>
        <v>0</v>
      </c>
      <c r="OK20" s="8">
        <f t="shared" si="37"/>
        <v>0</v>
      </c>
      <c r="OL20" s="351" cm="1">
        <f t="array" ref="OL20">NETWORKDAYS($KW$2,$LZ$2,$LG$2)-SUM(COUNTIF(KW20:LZ20,{"I";"F";"CP";"R";"P";"AC";"AM"}))</f>
        <v>19</v>
      </c>
      <c r="OM20" s="138">
        <f t="shared" si="38"/>
        <v>0</v>
      </c>
      <c r="ON20" s="8">
        <f t="shared" si="39"/>
        <v>0</v>
      </c>
      <c r="OO20" s="351" cm="1">
        <f t="array" ref="OO20">NETWORKDAYS($MA$2,$MR$2)-SUM(COUNTIF(MA20:MR20,{"I";"F";"CP";"R";"P";"AC";"AM"}))</f>
        <v>14</v>
      </c>
      <c r="OP20" s="138">
        <f t="shared" si="40"/>
        <v>0</v>
      </c>
      <c r="OQ20" s="94">
        <f t="shared" si="41"/>
        <v>0</v>
      </c>
      <c r="OR20" s="94">
        <f t="shared" si="42"/>
        <v>226</v>
      </c>
      <c r="OS20" s="138">
        <f t="shared" si="43"/>
        <v>0</v>
      </c>
    </row>
    <row r="21" spans="1:409" ht="18" customHeight="1" x14ac:dyDescent="0.25">
      <c r="A21" s="94" t="s">
        <v>181</v>
      </c>
      <c r="B21" s="94" t="s">
        <v>34</v>
      </c>
      <c r="C21" s="27" t="s">
        <v>160</v>
      </c>
      <c r="D21" s="27" t="s">
        <v>187</v>
      </c>
      <c r="E21" s="128"/>
      <c r="F21" s="110"/>
      <c r="G21" s="110"/>
      <c r="H21" s="110"/>
      <c r="I21" s="25" t="s">
        <v>223</v>
      </c>
      <c r="J21" s="25"/>
      <c r="K21" s="25"/>
      <c r="L21" s="25"/>
      <c r="M21" s="25" t="s">
        <v>447</v>
      </c>
      <c r="N21" s="110"/>
      <c r="O21" s="110"/>
      <c r="P21" s="25"/>
      <c r="Q21" s="25">
        <v>1</v>
      </c>
      <c r="R21" s="25">
        <v>1</v>
      </c>
      <c r="S21" s="25">
        <v>1</v>
      </c>
      <c r="T21" s="25">
        <v>1</v>
      </c>
      <c r="U21" s="110"/>
      <c r="V21" s="110"/>
      <c r="W21" s="25">
        <v>1</v>
      </c>
      <c r="X21" s="25">
        <v>1</v>
      </c>
      <c r="Y21" s="25">
        <v>1</v>
      </c>
      <c r="Z21" s="25">
        <v>1</v>
      </c>
      <c r="AA21" s="25">
        <v>1</v>
      </c>
      <c r="AB21" s="110"/>
      <c r="AC21" s="110"/>
      <c r="AD21" s="25">
        <v>1</v>
      </c>
      <c r="AE21" s="25" t="s">
        <v>447</v>
      </c>
      <c r="AF21" s="25">
        <v>1</v>
      </c>
      <c r="AG21" s="25">
        <v>1</v>
      </c>
      <c r="AH21" s="25">
        <v>1</v>
      </c>
      <c r="AI21" s="110"/>
      <c r="AJ21" s="110"/>
      <c r="AK21" s="25">
        <v>1</v>
      </c>
      <c r="AL21" s="25">
        <v>1</v>
      </c>
      <c r="AM21" s="25">
        <v>1</v>
      </c>
      <c r="AN21" s="25">
        <v>1</v>
      </c>
      <c r="AO21" s="25"/>
      <c r="AP21" s="110"/>
      <c r="AQ21" s="110"/>
      <c r="AR21" s="25">
        <v>1</v>
      </c>
      <c r="AS21" s="25">
        <v>1</v>
      </c>
      <c r="AT21" s="25">
        <v>1</v>
      </c>
      <c r="AV21" s="25">
        <v>1</v>
      </c>
      <c r="AW21" s="110"/>
      <c r="AX21" s="110"/>
      <c r="AY21" s="25">
        <v>1</v>
      </c>
      <c r="AZ21" s="25">
        <v>1</v>
      </c>
      <c r="BA21" s="25">
        <v>1</v>
      </c>
      <c r="BB21" s="25"/>
      <c r="BC21" s="25">
        <v>1</v>
      </c>
      <c r="BD21" s="110"/>
      <c r="BE21" s="110"/>
      <c r="BF21" s="25" t="s">
        <v>445</v>
      </c>
      <c r="BG21" s="25" t="s">
        <v>445</v>
      </c>
      <c r="BH21" s="25">
        <v>1</v>
      </c>
      <c r="BI21" s="25">
        <v>1</v>
      </c>
      <c r="BJ21" s="25">
        <v>1</v>
      </c>
      <c r="BK21" s="110"/>
      <c r="BL21" s="110"/>
      <c r="BM21" s="25">
        <v>1</v>
      </c>
      <c r="BN21" s="25"/>
      <c r="BO21" s="25"/>
      <c r="BP21" s="25"/>
      <c r="BQ21" s="25"/>
      <c r="BR21" s="110"/>
      <c r="BS21" s="110"/>
      <c r="BT21" s="25">
        <v>1</v>
      </c>
      <c r="BU21" s="25">
        <v>1</v>
      </c>
      <c r="BV21" s="25">
        <v>1</v>
      </c>
      <c r="BW21" s="25">
        <v>1</v>
      </c>
      <c r="BX21" s="25">
        <v>1</v>
      </c>
      <c r="BY21" s="110"/>
      <c r="BZ21" s="110"/>
      <c r="CA21" s="25"/>
      <c r="CB21" s="25">
        <v>1</v>
      </c>
      <c r="CC21" s="25">
        <v>1</v>
      </c>
      <c r="CD21" s="25"/>
      <c r="CE21" s="25">
        <v>1</v>
      </c>
      <c r="CF21" s="110"/>
      <c r="CG21" s="110"/>
      <c r="CH21" s="25">
        <v>1</v>
      </c>
      <c r="CI21" s="25">
        <v>1</v>
      </c>
      <c r="CJ21" s="25">
        <v>1</v>
      </c>
      <c r="CK21" s="25">
        <v>1</v>
      </c>
      <c r="CL21" s="25">
        <v>1</v>
      </c>
      <c r="CM21" s="110"/>
      <c r="CN21" s="110"/>
      <c r="CO21" s="25">
        <v>1</v>
      </c>
      <c r="CP21" s="25">
        <v>1</v>
      </c>
      <c r="CQ21" s="25">
        <v>1</v>
      </c>
      <c r="CR21" s="25">
        <v>1</v>
      </c>
      <c r="CS21" s="25">
        <v>1</v>
      </c>
      <c r="CT21" s="110"/>
      <c r="CU21" s="110"/>
      <c r="CV21" s="110"/>
      <c r="CW21" s="25">
        <v>1</v>
      </c>
      <c r="CX21" s="25">
        <v>1</v>
      </c>
      <c r="CY21" s="25"/>
      <c r="CZ21" s="25"/>
      <c r="DA21" s="110"/>
      <c r="DB21" s="110"/>
      <c r="DC21" s="25">
        <v>1</v>
      </c>
      <c r="DD21" s="25">
        <v>1</v>
      </c>
      <c r="DE21" s="25">
        <v>1</v>
      </c>
      <c r="DF21" s="25">
        <v>1</v>
      </c>
      <c r="DG21" s="25">
        <v>1</v>
      </c>
      <c r="DH21" s="110"/>
      <c r="DI21" s="110"/>
      <c r="DJ21" s="25">
        <v>1</v>
      </c>
      <c r="DK21" s="25">
        <v>1</v>
      </c>
      <c r="DL21" s="25">
        <v>1</v>
      </c>
      <c r="DM21" s="25">
        <v>1</v>
      </c>
      <c r="DN21" s="25">
        <v>1</v>
      </c>
      <c r="DO21" s="110"/>
      <c r="DP21" s="110"/>
      <c r="DQ21" s="25" t="s">
        <v>223</v>
      </c>
      <c r="DR21" s="25" t="s">
        <v>223</v>
      </c>
      <c r="DS21" s="25" t="s">
        <v>223</v>
      </c>
      <c r="DT21" s="25" t="s">
        <v>223</v>
      </c>
      <c r="DU21" s="110" t="s">
        <v>445</v>
      </c>
      <c r="DV21" s="110"/>
      <c r="DW21" s="110"/>
      <c r="DX21" s="25">
        <v>1</v>
      </c>
      <c r="DY21" s="25">
        <v>1</v>
      </c>
      <c r="DZ21" s="25">
        <v>1</v>
      </c>
      <c r="EA21" s="25">
        <v>1</v>
      </c>
      <c r="EB21" s="110" t="s">
        <v>445</v>
      </c>
      <c r="EC21" s="110"/>
      <c r="ED21" s="110"/>
      <c r="EE21" s="25">
        <v>1</v>
      </c>
      <c r="EF21" s="25">
        <v>1</v>
      </c>
      <c r="EG21" s="25">
        <v>1</v>
      </c>
      <c r="EH21" s="110" t="s">
        <v>445</v>
      </c>
      <c r="EI21" s="110" t="s">
        <v>445</v>
      </c>
      <c r="EJ21" s="110"/>
      <c r="EK21" s="110"/>
      <c r="EL21" s="25">
        <v>1</v>
      </c>
      <c r="EM21" s="25"/>
      <c r="EN21" s="25"/>
      <c r="EO21" s="25"/>
      <c r="EP21" s="25"/>
      <c r="EQ21" s="110"/>
      <c r="ER21" s="110"/>
      <c r="ES21" s="110" t="s">
        <v>445</v>
      </c>
      <c r="ET21" s="25"/>
      <c r="EU21" s="25"/>
      <c r="EV21" s="25"/>
      <c r="EW21" s="25"/>
      <c r="EX21" s="110"/>
      <c r="EY21" s="110"/>
      <c r="EZ21" s="25"/>
      <c r="FA21" s="25"/>
      <c r="FB21" s="25"/>
      <c r="FC21" s="25"/>
      <c r="FD21" s="25"/>
      <c r="FE21" s="110"/>
      <c r="FF21" s="110"/>
      <c r="FG21" s="25"/>
      <c r="FH21" s="25"/>
      <c r="FI21" s="25"/>
      <c r="FJ21" s="25"/>
      <c r="FK21" s="25"/>
      <c r="FL21" s="110"/>
      <c r="FM21" s="110"/>
      <c r="FN21" s="25"/>
      <c r="FO21" s="25"/>
      <c r="FP21" s="25"/>
      <c r="FQ21" s="25"/>
      <c r="FR21" s="25"/>
      <c r="FS21" s="110"/>
      <c r="FT21" s="110"/>
      <c r="FU21" s="25"/>
      <c r="FV21" s="25"/>
      <c r="FW21" s="25"/>
      <c r="FX21" s="25"/>
      <c r="FY21" s="25"/>
      <c r="FZ21" s="110"/>
      <c r="GA21" s="110"/>
      <c r="GB21" s="25"/>
      <c r="GC21" s="25"/>
      <c r="GD21" s="25"/>
      <c r="GE21" s="25"/>
      <c r="GF21" s="25"/>
      <c r="GG21" s="110"/>
      <c r="GH21" s="110"/>
      <c r="GI21" s="25"/>
      <c r="GJ21" s="25"/>
      <c r="GK21" s="25"/>
      <c r="GL21" s="25"/>
      <c r="GM21" s="25"/>
      <c r="GN21" s="110"/>
      <c r="GO21" s="110"/>
      <c r="GP21" s="110" t="s">
        <v>445</v>
      </c>
      <c r="GQ21" s="110"/>
      <c r="GR21" s="25"/>
      <c r="GS21" s="25"/>
      <c r="GT21" s="25"/>
      <c r="GU21" s="110"/>
      <c r="GV21" s="110"/>
      <c r="GW21" s="25"/>
      <c r="GX21" s="25"/>
      <c r="GY21" s="25"/>
      <c r="GZ21" s="25"/>
      <c r="HA21" s="25"/>
      <c r="HB21" s="110"/>
      <c r="HC21" s="110"/>
      <c r="HD21" s="25"/>
      <c r="HE21" s="25"/>
      <c r="HF21" s="25"/>
      <c r="HG21" s="25"/>
      <c r="HH21" s="25"/>
      <c r="HI21" s="110"/>
      <c r="HJ21" s="110"/>
      <c r="HK21" s="25"/>
      <c r="HL21" s="25"/>
      <c r="HM21" s="25"/>
      <c r="HN21" s="25"/>
      <c r="HO21" s="25"/>
      <c r="HP21" s="110"/>
      <c r="HQ21" s="110"/>
      <c r="HR21" s="25"/>
      <c r="HS21" s="25"/>
      <c r="HT21" s="25"/>
      <c r="HU21" s="25"/>
      <c r="HV21" s="25"/>
      <c r="HW21" s="110"/>
      <c r="HX21" s="110"/>
      <c r="HY21" s="25"/>
      <c r="HZ21" s="25"/>
      <c r="IA21" s="25"/>
      <c r="IB21" s="25"/>
      <c r="IC21" s="25"/>
      <c r="ID21" s="110"/>
      <c r="IE21" s="110"/>
      <c r="IF21" s="25"/>
      <c r="IG21" s="25"/>
      <c r="IH21" s="25"/>
      <c r="II21" s="25"/>
      <c r="IJ21" s="25"/>
      <c r="IK21" s="110"/>
      <c r="IL21" s="110"/>
      <c r="IM21" s="25"/>
      <c r="IN21" s="25"/>
      <c r="IO21" s="25"/>
      <c r="IP21" s="25"/>
      <c r="IQ21" s="25"/>
      <c r="IR21" s="110"/>
      <c r="IS21" s="110"/>
      <c r="IT21" s="25"/>
      <c r="IU21" s="25"/>
      <c r="IV21" s="25"/>
      <c r="IW21" s="25"/>
      <c r="IX21" s="25"/>
      <c r="IY21" s="110"/>
      <c r="IZ21" s="110"/>
      <c r="JA21" s="25"/>
      <c r="JB21" s="25"/>
      <c r="JC21" s="25"/>
      <c r="JD21" s="25"/>
      <c r="JE21" s="25"/>
      <c r="JF21" s="110"/>
      <c r="JG21" s="110"/>
      <c r="JH21" s="25"/>
      <c r="JI21" s="25"/>
      <c r="JJ21" s="25"/>
      <c r="JK21" s="25"/>
      <c r="JL21" s="25"/>
      <c r="JM21" s="110"/>
      <c r="JN21" s="110"/>
      <c r="JO21" s="25"/>
      <c r="JP21" s="25"/>
      <c r="JQ21" s="25"/>
      <c r="JR21" s="25"/>
      <c r="JS21" s="25"/>
      <c r="JT21" s="110"/>
      <c r="JU21" s="110"/>
      <c r="JV21" s="25"/>
      <c r="JW21" s="25"/>
      <c r="JX21" s="25"/>
      <c r="JY21" s="25"/>
      <c r="JZ21" s="25"/>
      <c r="KA21" s="110"/>
      <c r="KB21" s="110"/>
      <c r="KC21" s="25"/>
      <c r="KD21" s="25"/>
      <c r="KE21" s="25"/>
      <c r="KF21" s="25"/>
      <c r="KG21" s="25"/>
      <c r="KH21" s="110"/>
      <c r="KI21" s="110"/>
      <c r="KJ21" s="25"/>
      <c r="KK21" s="25"/>
      <c r="KL21" s="25"/>
      <c r="KM21" s="25"/>
      <c r="KN21" s="25"/>
      <c r="KO21" s="110"/>
      <c r="KP21" s="110"/>
      <c r="KQ21" s="25"/>
      <c r="KR21" s="25"/>
      <c r="KS21" s="25"/>
      <c r="KT21" s="25"/>
      <c r="KU21" s="25"/>
      <c r="KV21" s="110"/>
      <c r="KW21" s="110"/>
      <c r="KX21" s="25"/>
      <c r="KY21" s="25"/>
      <c r="KZ21" s="25"/>
      <c r="LA21" s="25"/>
      <c r="LB21" s="25"/>
      <c r="LC21" s="110"/>
      <c r="LD21" s="110"/>
      <c r="LE21" s="25"/>
      <c r="LF21" s="25"/>
      <c r="LG21" s="110" t="s">
        <v>445</v>
      </c>
      <c r="LH21" s="25"/>
      <c r="LI21" s="25"/>
      <c r="LJ21" s="110"/>
      <c r="LK21" s="110"/>
      <c r="LL21" s="25"/>
      <c r="LM21" s="25"/>
      <c r="LN21" s="25"/>
      <c r="LO21" s="25"/>
      <c r="LP21" s="25"/>
      <c r="LQ21" s="110"/>
      <c r="LR21" s="110"/>
      <c r="LS21" s="25"/>
      <c r="LT21" s="25"/>
      <c r="LU21" s="25"/>
      <c r="LV21" s="25"/>
      <c r="LW21" s="25"/>
      <c r="LX21" s="110"/>
      <c r="LY21" s="110"/>
      <c r="LZ21" s="25"/>
      <c r="MA21" s="25"/>
      <c r="MB21" s="25"/>
      <c r="MC21" s="25"/>
      <c r="MD21" s="25"/>
      <c r="ME21" s="110"/>
      <c r="MF21" s="110"/>
      <c r="MG21" s="25"/>
      <c r="MH21" s="25"/>
      <c r="MI21" s="25"/>
      <c r="MJ21" s="25"/>
      <c r="MK21" s="25"/>
      <c r="ML21" s="110"/>
      <c r="MM21" s="110"/>
      <c r="MN21" s="25"/>
      <c r="MO21" s="25"/>
      <c r="MP21" s="25"/>
      <c r="MQ21" s="25"/>
      <c r="MR21" s="25"/>
      <c r="MS21" s="110"/>
      <c r="MT21" s="110"/>
      <c r="MU21" s="25"/>
      <c r="MV21" s="25"/>
      <c r="MW21" s="25"/>
      <c r="MX21" s="25"/>
      <c r="MY21" s="25"/>
      <c r="MZ21" s="110"/>
      <c r="NA21" s="110"/>
      <c r="NB21" s="25"/>
      <c r="NC21" s="25"/>
      <c r="ND21" s="25"/>
      <c r="NE21" s="129"/>
      <c r="NF21" s="111"/>
      <c r="NG21" s="8">
        <f t="shared" si="0"/>
        <v>13</v>
      </c>
      <c r="NH21" s="351" cm="1">
        <f t="array" ref="NH21">NETWORKDAYS($I$2,$AH$2)- SUM(COUNTIF(I21:AH21,{"I";"F";"CP";"R";"P";"AC";"AM"}))</f>
        <v>17</v>
      </c>
      <c r="NI21" s="138">
        <f t="shared" si="12"/>
        <v>0.76470588235294112</v>
      </c>
      <c r="NJ21" s="8">
        <f t="shared" si="1"/>
        <v>15</v>
      </c>
      <c r="NK21" s="351" cm="1">
        <f t="array" ref="NK21">NETWORKDAYS($AJ$2,$BK$2)- SUM(COUNTIF(AJ21:BK21,{"I";"F";"CP";"R";"P";"AC";"AM"}))</f>
        <v>18</v>
      </c>
      <c r="NL21" s="138">
        <f t="shared" si="13"/>
        <v>0.83333333333333337</v>
      </c>
      <c r="NM21" s="8">
        <f t="shared" si="2"/>
        <v>16</v>
      </c>
      <c r="NN21" s="351" cm="1">
        <f t="array" ref="NN21">NETWORKDAYS($BL$2,$CP$2)- SUM(COUNTIF(BL21:CP21,{"I";"F";"CP";"R";"P";"AC";"AM"}))</f>
        <v>22</v>
      </c>
      <c r="NO21" s="138">
        <f t="shared" si="14"/>
        <v>0.72727272727272729</v>
      </c>
      <c r="NP21" s="8">
        <f t="shared" si="3"/>
        <v>15</v>
      </c>
      <c r="NQ21" s="351" cm="1">
        <f t="array" ref="NQ21">NETWORKDAYS($CQ$2,$DT$2,$CV$2)- SUM(COUNTIF(CQ21:DT21,{"I";"F";"CP";"R";"P";"AC";"AM"}))</f>
        <v>17</v>
      </c>
      <c r="NR21" s="138">
        <f t="shared" si="15"/>
        <v>0.88235294117647056</v>
      </c>
      <c r="NS21" s="8">
        <f t="shared" si="4"/>
        <v>8</v>
      </c>
      <c r="NT21" s="351" cm="1">
        <f t="array" ref="NT21">NETWORKDAYS($DV$2,$EY$2)-SUM(COUNTIF(DV21:EY21,{"I";"F";"CP";"R";"P";"AC";"AM"}))</f>
        <v>16</v>
      </c>
      <c r="NU21" s="138">
        <f t="shared" si="16"/>
        <v>0.5</v>
      </c>
      <c r="NV21" s="8">
        <f t="shared" si="27"/>
        <v>0</v>
      </c>
      <c r="NW21" s="351" cm="1">
        <f t="array" ref="NW21">NETWORKDAYS($EZ$2,$GC$2)-SUM(COUNTIF(EZ21:GC21,{"I";"F";"CP";"R";"P";"AC";"AM"}))</f>
        <v>22</v>
      </c>
      <c r="NX21" s="138">
        <f t="shared" si="28"/>
        <v>0</v>
      </c>
      <c r="NY21" s="8">
        <f t="shared" si="29"/>
        <v>0</v>
      </c>
      <c r="NZ21" s="351" cm="1">
        <f t="array" ref="NZ21">NETWORKDAYS($GD$2,$HH$2,$GQ$2)-SUM(COUNTIF(GD21:HH21,{"I";"F";"CP";"R";"P";"AC";"AM"}))</f>
        <v>21</v>
      </c>
      <c r="OA21" s="138">
        <f t="shared" si="30"/>
        <v>0</v>
      </c>
      <c r="OB21" s="8">
        <f t="shared" si="31"/>
        <v>0</v>
      </c>
      <c r="OC21" s="351" cm="1">
        <f t="array" ref="OC21">NETWORKDAYS($HI$2,$IM$2)-SUM(COUNTIF(HI21:IM21,{"I";"F";"CP";"R";"P";"AC";"AM"}))</f>
        <v>21</v>
      </c>
      <c r="OD21" s="138">
        <f t="shared" si="32"/>
        <v>0</v>
      </c>
      <c r="OE21" s="8">
        <f t="shared" si="33"/>
        <v>0</v>
      </c>
      <c r="OF21" s="351" cm="1">
        <f t="array" ref="OF21">NETWORKDAYS($IN$2,$JQ$2)-SUM(COUNTIF(IN21:JQ21,{"I";"F";"CP";"R";"P";"AC";"AM"}))</f>
        <v>22</v>
      </c>
      <c r="OG21" s="138">
        <f t="shared" si="34"/>
        <v>0</v>
      </c>
      <c r="OH21" s="8">
        <f t="shared" si="35"/>
        <v>0</v>
      </c>
      <c r="OI21" s="351" cm="1">
        <f t="array" ref="OI21">NETWORKDAYS($JR$2,$KV$2)-SUM(COUNTIF(JR21:KV21,{"I";"F";"CP";"R";"P";"AC";"AM"}))</f>
        <v>22</v>
      </c>
      <c r="OJ21" s="138">
        <f t="shared" si="36"/>
        <v>0</v>
      </c>
      <c r="OK21" s="8">
        <f t="shared" si="37"/>
        <v>0</v>
      </c>
      <c r="OL21" s="351" cm="1">
        <f t="array" ref="OL21">NETWORKDAYS($KW$2,$LZ$2,$LG$2)-SUM(COUNTIF(KW21:LZ21,{"I";"F";"CP";"R";"P";"AC";"AM"}))</f>
        <v>19</v>
      </c>
      <c r="OM21" s="138">
        <f t="shared" si="38"/>
        <v>0</v>
      </c>
      <c r="ON21" s="8">
        <f t="shared" si="39"/>
        <v>0</v>
      </c>
      <c r="OO21" s="351" cm="1">
        <f t="array" ref="OO21">NETWORKDAYS($MA$2,$MR$2)-SUM(COUNTIF(MA21:MR21,{"I";"F";"CP";"R";"P";"AC";"AM"}))</f>
        <v>14</v>
      </c>
      <c r="OP21" s="138">
        <f t="shared" si="40"/>
        <v>0</v>
      </c>
      <c r="OQ21" s="94">
        <f t="shared" si="41"/>
        <v>67</v>
      </c>
      <c r="OR21" s="94">
        <f t="shared" si="42"/>
        <v>231</v>
      </c>
      <c r="OS21" s="138">
        <f t="shared" si="43"/>
        <v>0.29004329004329005</v>
      </c>
    </row>
    <row r="22" spans="1:409" ht="18" customHeight="1" x14ac:dyDescent="0.25">
      <c r="A22" s="93" t="s">
        <v>181</v>
      </c>
      <c r="B22" s="93" t="s">
        <v>45</v>
      </c>
      <c r="C22" s="27" t="s">
        <v>188</v>
      </c>
      <c r="D22" s="27" t="s">
        <v>189</v>
      </c>
      <c r="E22" s="128"/>
      <c r="F22" s="110"/>
      <c r="G22" s="110"/>
      <c r="H22" s="110"/>
      <c r="I22" s="25" t="s">
        <v>223</v>
      </c>
      <c r="J22" s="25" t="s">
        <v>223</v>
      </c>
      <c r="K22" s="25" t="s">
        <v>223</v>
      </c>
      <c r="L22" s="25" t="s">
        <v>223</v>
      </c>
      <c r="M22" s="25" t="s">
        <v>223</v>
      </c>
      <c r="N22" s="110"/>
      <c r="O22" s="110"/>
      <c r="P22" s="25"/>
      <c r="Q22" s="25">
        <v>1</v>
      </c>
      <c r="R22" s="25">
        <v>1</v>
      </c>
      <c r="S22" s="25">
        <v>1</v>
      </c>
      <c r="T22" s="25"/>
      <c r="U22" s="110"/>
      <c r="V22" s="110"/>
      <c r="W22" s="25"/>
      <c r="X22" s="25"/>
      <c r="Y22" s="25">
        <v>1</v>
      </c>
      <c r="Z22" s="25">
        <v>1</v>
      </c>
      <c r="AA22" s="25">
        <v>1</v>
      </c>
      <c r="AB22" s="110"/>
      <c r="AC22" s="110"/>
      <c r="AD22" s="25">
        <v>1</v>
      </c>
      <c r="AE22" s="25">
        <v>1</v>
      </c>
      <c r="AF22" s="25">
        <v>1</v>
      </c>
      <c r="AG22" s="25">
        <v>1</v>
      </c>
      <c r="AH22" s="25">
        <v>1</v>
      </c>
      <c r="AI22" s="110"/>
      <c r="AJ22" s="110"/>
      <c r="AK22" s="25">
        <v>1</v>
      </c>
      <c r="AL22" s="25">
        <v>1</v>
      </c>
      <c r="AM22" s="25">
        <v>1</v>
      </c>
      <c r="AN22" s="25"/>
      <c r="AO22" s="25">
        <v>1</v>
      </c>
      <c r="AP22" s="110"/>
      <c r="AQ22" s="110"/>
      <c r="AR22" s="25">
        <v>1</v>
      </c>
      <c r="AS22" s="25">
        <v>1</v>
      </c>
      <c r="AT22" s="25">
        <v>1</v>
      </c>
      <c r="AV22" s="25">
        <v>1</v>
      </c>
      <c r="AW22" s="110"/>
      <c r="AX22" s="110"/>
      <c r="AY22" s="25">
        <v>1</v>
      </c>
      <c r="AZ22" s="25">
        <v>1</v>
      </c>
      <c r="BA22" s="25">
        <v>1</v>
      </c>
      <c r="BB22" s="25">
        <v>1</v>
      </c>
      <c r="BC22" s="25"/>
      <c r="BD22" s="110"/>
      <c r="BE22" s="110"/>
      <c r="BF22" s="25">
        <v>1</v>
      </c>
      <c r="BG22" s="25">
        <v>1</v>
      </c>
      <c r="BH22" s="25">
        <v>1</v>
      </c>
      <c r="BI22" s="25">
        <v>1</v>
      </c>
      <c r="BJ22" s="25">
        <v>1</v>
      </c>
      <c r="BK22" s="110"/>
      <c r="BL22" s="110"/>
      <c r="BM22" s="25"/>
      <c r="BN22" s="25">
        <v>1</v>
      </c>
      <c r="BO22" s="25">
        <v>1</v>
      </c>
      <c r="BP22" s="25">
        <v>1</v>
      </c>
      <c r="BQ22" s="25">
        <v>1</v>
      </c>
      <c r="BR22" s="110"/>
      <c r="BS22" s="110"/>
      <c r="BT22" s="25">
        <v>1</v>
      </c>
      <c r="BU22" s="25">
        <v>1</v>
      </c>
      <c r="BV22" s="25">
        <v>1</v>
      </c>
      <c r="BW22" s="25">
        <v>1</v>
      </c>
      <c r="BX22" s="25">
        <v>1</v>
      </c>
      <c r="BY22" s="110"/>
      <c r="BZ22" s="110"/>
      <c r="CA22" s="25"/>
      <c r="CB22" s="25">
        <v>1</v>
      </c>
      <c r="CC22" s="25">
        <v>1</v>
      </c>
      <c r="CD22" s="25">
        <v>1</v>
      </c>
      <c r="CE22" s="25">
        <v>1</v>
      </c>
      <c r="CF22" s="110"/>
      <c r="CG22" s="110"/>
      <c r="CH22" s="25">
        <v>1</v>
      </c>
      <c r="CI22" s="25">
        <v>1</v>
      </c>
      <c r="CJ22" s="25">
        <v>1</v>
      </c>
      <c r="CK22" s="25">
        <v>1</v>
      </c>
      <c r="CL22" s="25">
        <v>1</v>
      </c>
      <c r="CM22" s="110"/>
      <c r="CN22" s="110"/>
      <c r="CO22" s="25">
        <v>1</v>
      </c>
      <c r="CP22" s="25">
        <v>1</v>
      </c>
      <c r="CQ22" s="25">
        <v>1</v>
      </c>
      <c r="CR22" s="25">
        <v>1</v>
      </c>
      <c r="CS22" s="25">
        <v>1</v>
      </c>
      <c r="CT22" s="110"/>
      <c r="CU22" s="110"/>
      <c r="CV22" s="110"/>
      <c r="CW22" s="25">
        <v>1</v>
      </c>
      <c r="CX22" s="25"/>
      <c r="CY22" s="25">
        <v>1</v>
      </c>
      <c r="CZ22" s="25">
        <v>1</v>
      </c>
      <c r="DA22" s="110"/>
      <c r="DB22" s="110"/>
      <c r="DC22" s="25">
        <v>1</v>
      </c>
      <c r="DD22" s="25">
        <v>1</v>
      </c>
      <c r="DE22" s="25"/>
      <c r="DF22" s="25">
        <v>1</v>
      </c>
      <c r="DG22" s="25">
        <v>1</v>
      </c>
      <c r="DH22" s="110"/>
      <c r="DI22" s="110"/>
      <c r="DJ22" s="25" t="s">
        <v>223</v>
      </c>
      <c r="DK22" s="25" t="s">
        <v>223</v>
      </c>
      <c r="DL22" s="25" t="s">
        <v>223</v>
      </c>
      <c r="DM22" s="25" t="s">
        <v>223</v>
      </c>
      <c r="DN22" s="25" t="s">
        <v>223</v>
      </c>
      <c r="DO22" s="110"/>
      <c r="DP22" s="110"/>
      <c r="DQ22" s="25" t="s">
        <v>223</v>
      </c>
      <c r="DR22" s="25" t="s">
        <v>223</v>
      </c>
      <c r="DS22" s="25" t="s">
        <v>223</v>
      </c>
      <c r="DT22" s="25" t="s">
        <v>223</v>
      </c>
      <c r="DU22" s="110" t="s">
        <v>445</v>
      </c>
      <c r="DV22" s="110"/>
      <c r="DW22" s="110"/>
      <c r="DX22" s="25" t="s">
        <v>276</v>
      </c>
      <c r="DY22" s="25" t="s">
        <v>276</v>
      </c>
      <c r="DZ22" s="25" t="s">
        <v>276</v>
      </c>
      <c r="EA22" s="25" t="s">
        <v>276</v>
      </c>
      <c r="EB22" s="110" t="s">
        <v>445</v>
      </c>
      <c r="EC22" s="110"/>
      <c r="ED22" s="110"/>
      <c r="EE22" s="25" t="s">
        <v>223</v>
      </c>
      <c r="EF22" s="25" t="s">
        <v>223</v>
      </c>
      <c r="EG22" s="25" t="s">
        <v>223</v>
      </c>
      <c r="EH22" s="110" t="s">
        <v>445</v>
      </c>
      <c r="EI22" s="110" t="s">
        <v>445</v>
      </c>
      <c r="EJ22" s="110"/>
      <c r="EK22" s="110"/>
      <c r="EL22" s="25">
        <v>1</v>
      </c>
      <c r="EM22" s="25"/>
      <c r="EN22" s="25"/>
      <c r="EO22" s="25"/>
      <c r="EP22" s="25"/>
      <c r="EQ22" s="110"/>
      <c r="ER22" s="110"/>
      <c r="ES22" s="110" t="s">
        <v>445</v>
      </c>
      <c r="ET22" s="25"/>
      <c r="EU22" s="25"/>
      <c r="EV22" s="25"/>
      <c r="EW22" s="25"/>
      <c r="EX22" s="110"/>
      <c r="EY22" s="110"/>
      <c r="EZ22" s="25"/>
      <c r="FA22" s="25"/>
      <c r="FB22" s="25"/>
      <c r="FC22" s="25"/>
      <c r="FD22" s="25"/>
      <c r="FE22" s="110"/>
      <c r="FF22" s="110"/>
      <c r="FG22" s="25"/>
      <c r="FH22" s="25"/>
      <c r="FI22" s="25"/>
      <c r="FJ22" s="25"/>
      <c r="FK22" s="25"/>
      <c r="FL22" s="110"/>
      <c r="FM22" s="110"/>
      <c r="FN22" s="25"/>
      <c r="FO22" s="25"/>
      <c r="FP22" s="25"/>
      <c r="FQ22" s="25"/>
      <c r="FR22" s="25"/>
      <c r="FS22" s="110"/>
      <c r="FT22" s="110"/>
      <c r="FU22" s="25"/>
      <c r="FV22" s="25"/>
      <c r="FW22" s="25"/>
      <c r="FX22" s="25"/>
      <c r="FY22" s="25"/>
      <c r="FZ22" s="110"/>
      <c r="GA22" s="110"/>
      <c r="GB22" s="25"/>
      <c r="GC22" s="25"/>
      <c r="GD22" s="25"/>
      <c r="GE22" s="25"/>
      <c r="GF22" s="25"/>
      <c r="GG22" s="110"/>
      <c r="GH22" s="110"/>
      <c r="GI22" s="25"/>
      <c r="GJ22" s="25"/>
      <c r="GK22" s="25"/>
      <c r="GL22" s="25"/>
      <c r="GM22" s="25"/>
      <c r="GN22" s="110"/>
      <c r="GO22" s="110"/>
      <c r="GP22" s="110" t="s">
        <v>445</v>
      </c>
      <c r="GQ22" s="110"/>
      <c r="GR22" s="25"/>
      <c r="GS22" s="25"/>
      <c r="GT22" s="25"/>
      <c r="GU22" s="110"/>
      <c r="GV22" s="110"/>
      <c r="GW22" s="25"/>
      <c r="GX22" s="25"/>
      <c r="GY22" s="25"/>
      <c r="GZ22" s="25"/>
      <c r="HA22" s="25"/>
      <c r="HB22" s="110"/>
      <c r="HC22" s="110"/>
      <c r="HD22" s="25"/>
      <c r="HE22" s="25"/>
      <c r="HF22" s="25"/>
      <c r="HG22" s="25"/>
      <c r="HH22" s="25"/>
      <c r="HI22" s="110"/>
      <c r="HJ22" s="110"/>
      <c r="HK22" s="25"/>
      <c r="HL22" s="25"/>
      <c r="HM22" s="25"/>
      <c r="HN22" s="25"/>
      <c r="HO22" s="25"/>
      <c r="HP22" s="110"/>
      <c r="HQ22" s="110"/>
      <c r="HR22" s="25"/>
      <c r="HS22" s="25"/>
      <c r="HT22" s="25"/>
      <c r="HU22" s="25"/>
      <c r="HV22" s="25"/>
      <c r="HW22" s="110"/>
      <c r="HX22" s="110"/>
      <c r="HY22" s="25"/>
      <c r="HZ22" s="25"/>
      <c r="IA22" s="25"/>
      <c r="IB22" s="25"/>
      <c r="IC22" s="25"/>
      <c r="ID22" s="110"/>
      <c r="IE22" s="110"/>
      <c r="IF22" s="25"/>
      <c r="IG22" s="25"/>
      <c r="IH22" s="25"/>
      <c r="II22" s="25"/>
      <c r="IJ22" s="25"/>
      <c r="IK22" s="110"/>
      <c r="IL22" s="110"/>
      <c r="IM22" s="25"/>
      <c r="IN22" s="25"/>
      <c r="IO22" s="25"/>
      <c r="IP22" s="25"/>
      <c r="IQ22" s="25"/>
      <c r="IR22" s="110"/>
      <c r="IS22" s="110"/>
      <c r="IT22" s="25"/>
      <c r="IU22" s="25"/>
      <c r="IV22" s="25"/>
      <c r="IW22" s="25"/>
      <c r="IX22" s="25"/>
      <c r="IY22" s="110"/>
      <c r="IZ22" s="110"/>
      <c r="JA22" s="25"/>
      <c r="JB22" s="25"/>
      <c r="JC22" s="25"/>
      <c r="JD22" s="25"/>
      <c r="JE22" s="25"/>
      <c r="JF22" s="110"/>
      <c r="JG22" s="110"/>
      <c r="JH22" s="25"/>
      <c r="JI22" s="25"/>
      <c r="JJ22" s="25"/>
      <c r="JK22" s="25"/>
      <c r="JL22" s="25"/>
      <c r="JM22" s="110"/>
      <c r="JN22" s="110"/>
      <c r="JO22" s="25"/>
      <c r="JP22" s="25"/>
      <c r="JQ22" s="25"/>
      <c r="JR22" s="25"/>
      <c r="JS22" s="25"/>
      <c r="JT22" s="110"/>
      <c r="JU22" s="110"/>
      <c r="JV22" s="25"/>
      <c r="JW22" s="25"/>
      <c r="JX22" s="25"/>
      <c r="JY22" s="25"/>
      <c r="JZ22" s="25"/>
      <c r="KA22" s="110"/>
      <c r="KB22" s="110"/>
      <c r="KC22" s="25"/>
      <c r="KD22" s="25"/>
      <c r="KE22" s="25"/>
      <c r="KF22" s="25"/>
      <c r="KG22" s="25"/>
      <c r="KH22" s="110"/>
      <c r="KI22" s="110"/>
      <c r="KJ22" s="25"/>
      <c r="KK22" s="25"/>
      <c r="KL22" s="25"/>
      <c r="KM22" s="25"/>
      <c r="KN22" s="25"/>
      <c r="KO22" s="110"/>
      <c r="KP22" s="110"/>
      <c r="KQ22" s="25"/>
      <c r="KR22" s="25"/>
      <c r="KS22" s="25"/>
      <c r="KT22" s="25"/>
      <c r="KU22" s="25"/>
      <c r="KV22" s="110"/>
      <c r="KW22" s="110"/>
      <c r="KX22" s="25"/>
      <c r="KY22" s="25"/>
      <c r="KZ22" s="25"/>
      <c r="LA22" s="25"/>
      <c r="LB22" s="25"/>
      <c r="LC22" s="110"/>
      <c r="LD22" s="110"/>
      <c r="LE22" s="25"/>
      <c r="LF22" s="25"/>
      <c r="LG22" s="110" t="s">
        <v>445</v>
      </c>
      <c r="LH22" s="25"/>
      <c r="LI22" s="25"/>
      <c r="LJ22" s="110"/>
      <c r="LK22" s="110"/>
      <c r="LL22" s="25"/>
      <c r="LM22" s="25"/>
      <c r="LN22" s="25"/>
      <c r="LO22" s="25"/>
      <c r="LP22" s="25"/>
      <c r="LQ22" s="110"/>
      <c r="LR22" s="110"/>
      <c r="LS22" s="25"/>
      <c r="LT22" s="25"/>
      <c r="LU22" s="25"/>
      <c r="LV22" s="25"/>
      <c r="LW22" s="25"/>
      <c r="LX22" s="110"/>
      <c r="LY22" s="110"/>
      <c r="LZ22" s="25"/>
      <c r="MA22" s="25"/>
      <c r="MB22" s="25"/>
      <c r="MC22" s="25"/>
      <c r="MD22" s="25"/>
      <c r="ME22" s="110"/>
      <c r="MF22" s="110"/>
      <c r="MG22" s="25"/>
      <c r="MH22" s="25"/>
      <c r="MI22" s="25"/>
      <c r="MJ22" s="25"/>
      <c r="MK22" s="25"/>
      <c r="ML22" s="110"/>
      <c r="MM22" s="110"/>
      <c r="MN22" s="25"/>
      <c r="MO22" s="25"/>
      <c r="MP22" s="25"/>
      <c r="MQ22" s="25"/>
      <c r="MR22" s="25"/>
      <c r="MS22" s="110"/>
      <c r="MT22" s="110"/>
      <c r="MU22" s="25"/>
      <c r="MV22" s="25"/>
      <c r="MW22" s="25"/>
      <c r="MX22" s="25"/>
      <c r="MY22" s="25"/>
      <c r="MZ22" s="110"/>
      <c r="NA22" s="110"/>
      <c r="NB22" s="25"/>
      <c r="NC22" s="25"/>
      <c r="ND22" s="25"/>
      <c r="NE22" s="129"/>
      <c r="NF22" s="111"/>
      <c r="NG22" s="8">
        <f t="shared" si="0"/>
        <v>11</v>
      </c>
      <c r="NH22" s="351" cm="1">
        <f t="array" ref="NH22">NETWORKDAYS($I$2,$AH$2)- SUM(COUNTIF(I22:AH22,{"I";"F";"CP";"R";"P";"AC";"AM"}))</f>
        <v>15</v>
      </c>
      <c r="NI22" s="138">
        <f t="shared" si="12"/>
        <v>0.73333333333333328</v>
      </c>
      <c r="NJ22" s="8">
        <f t="shared" si="1"/>
        <v>17</v>
      </c>
      <c r="NK22" s="351" cm="1">
        <f t="array" ref="NK22">NETWORKDAYS($AJ$2,$BK$2)- SUM(COUNTIF(AJ22:BK22,{"I";"F";"CP";"R";"P";"AC";"AM"}))</f>
        <v>20</v>
      </c>
      <c r="NL22" s="138">
        <f t="shared" si="13"/>
        <v>0.85</v>
      </c>
      <c r="NM22" s="8">
        <f t="shared" si="2"/>
        <v>20</v>
      </c>
      <c r="NN22" s="351" cm="1">
        <f t="array" ref="NN22">NETWORKDAYS($BL$2,$CP$2)- SUM(COUNTIF(BL22:CP22,{"I";"F";"CP";"R";"P";"AC";"AM"}))</f>
        <v>22</v>
      </c>
      <c r="NO22" s="138">
        <f t="shared" si="14"/>
        <v>0.90909090909090906</v>
      </c>
      <c r="NP22" s="8">
        <f t="shared" si="3"/>
        <v>10</v>
      </c>
      <c r="NQ22" s="351" cm="1">
        <f t="array" ref="NQ22">NETWORKDAYS($CQ$2,$DT$2,$CV$2)- SUM(COUNTIF(CQ22:DT22,{"I";"F";"CP";"R";"P";"AC";"AM"}))</f>
        <v>12</v>
      </c>
      <c r="NR22" s="138">
        <f t="shared" si="15"/>
        <v>0.83333333333333337</v>
      </c>
      <c r="NS22" s="8">
        <f t="shared" si="4"/>
        <v>1</v>
      </c>
      <c r="NT22" s="351" cm="1">
        <f t="array" ref="NT22">NETWORKDAYS($DV$2,$EY$2)-SUM(COUNTIF(DV22:EY22,{"I";"F";"CP";"R";"P";"AC";"AM"}))</f>
        <v>9</v>
      </c>
      <c r="NU22" s="138">
        <f t="shared" si="16"/>
        <v>0.1111111111111111</v>
      </c>
      <c r="NV22" s="8">
        <f t="shared" si="27"/>
        <v>0</v>
      </c>
      <c r="NW22" s="351" cm="1">
        <f t="array" ref="NW22">NETWORKDAYS($EZ$2,$GC$2)-SUM(COUNTIF(EZ22:GC22,{"I";"F";"CP";"R";"P";"AC";"AM"}))</f>
        <v>22</v>
      </c>
      <c r="NX22" s="138">
        <f t="shared" si="28"/>
        <v>0</v>
      </c>
      <c r="NY22" s="8">
        <f t="shared" si="29"/>
        <v>0</v>
      </c>
      <c r="NZ22" s="351" cm="1">
        <f t="array" ref="NZ22">NETWORKDAYS($GD$2,$HH$2,$GQ$2)-SUM(COUNTIF(GD22:HH22,{"I";"F";"CP";"R";"P";"AC";"AM"}))</f>
        <v>21</v>
      </c>
      <c r="OA22" s="138">
        <f t="shared" si="30"/>
        <v>0</v>
      </c>
      <c r="OB22" s="8">
        <f t="shared" si="31"/>
        <v>0</v>
      </c>
      <c r="OC22" s="351" cm="1">
        <f t="array" ref="OC22">NETWORKDAYS($HI$2,$IM$2)-SUM(COUNTIF(HI22:IM22,{"I";"F";"CP";"R";"P";"AC";"AM"}))</f>
        <v>21</v>
      </c>
      <c r="OD22" s="138">
        <f t="shared" si="32"/>
        <v>0</v>
      </c>
      <c r="OE22" s="8">
        <f t="shared" si="33"/>
        <v>0</v>
      </c>
      <c r="OF22" s="351" cm="1">
        <f t="array" ref="OF22">NETWORKDAYS($IN$2,$JQ$2)-SUM(COUNTIF(IN22:JQ22,{"I";"F";"CP";"R";"P";"AC";"AM"}))</f>
        <v>22</v>
      </c>
      <c r="OG22" s="138">
        <f t="shared" si="34"/>
        <v>0</v>
      </c>
      <c r="OH22" s="8">
        <f t="shared" si="35"/>
        <v>0</v>
      </c>
      <c r="OI22" s="351" cm="1">
        <f t="array" ref="OI22">NETWORKDAYS($JR$2,$KV$2)-SUM(COUNTIF(JR22:KV22,{"I";"F";"CP";"R";"P";"AC";"AM"}))</f>
        <v>22</v>
      </c>
      <c r="OJ22" s="138">
        <f t="shared" si="36"/>
        <v>0</v>
      </c>
      <c r="OK22" s="8">
        <f t="shared" si="37"/>
        <v>0</v>
      </c>
      <c r="OL22" s="351" cm="1">
        <f t="array" ref="OL22">NETWORKDAYS($KW$2,$LZ$2,$LG$2)-SUM(COUNTIF(KW22:LZ22,{"I";"F";"CP";"R";"P";"AC";"AM"}))</f>
        <v>19</v>
      </c>
      <c r="OM22" s="138">
        <f t="shared" si="38"/>
        <v>0</v>
      </c>
      <c r="ON22" s="8">
        <f t="shared" si="39"/>
        <v>0</v>
      </c>
      <c r="OO22" s="351" cm="1">
        <f t="array" ref="OO22">NETWORKDAYS($MA$2,$MR$2)-SUM(COUNTIF(MA22:MR22,{"I";"F";"CP";"R";"P";"AC";"AM"}))</f>
        <v>14</v>
      </c>
      <c r="OP22" s="138">
        <f t="shared" si="40"/>
        <v>0</v>
      </c>
      <c r="OQ22" s="94">
        <f t="shared" si="41"/>
        <v>59</v>
      </c>
      <c r="OR22" s="94">
        <f t="shared" si="42"/>
        <v>219</v>
      </c>
      <c r="OS22" s="138">
        <f t="shared" si="43"/>
        <v>0.26940639269406391</v>
      </c>
    </row>
    <row r="23" spans="1:409" ht="18" hidden="1" customHeight="1" x14ac:dyDescent="0.25">
      <c r="A23" s="93" t="s">
        <v>54</v>
      </c>
      <c r="B23" s="94" t="s">
        <v>34</v>
      </c>
      <c r="C23" s="27" t="s">
        <v>160</v>
      </c>
      <c r="D23" s="27" t="s">
        <v>190</v>
      </c>
      <c r="E23" s="128"/>
      <c r="F23" s="110"/>
      <c r="G23" s="110"/>
      <c r="H23" s="110"/>
      <c r="I23" s="25"/>
      <c r="J23" s="25">
        <v>1</v>
      </c>
      <c r="K23" s="25"/>
      <c r="L23" s="25"/>
      <c r="M23" s="25"/>
      <c r="N23" s="110"/>
      <c r="O23" s="110"/>
      <c r="P23" s="25"/>
      <c r="Q23" s="25"/>
      <c r="R23" s="25"/>
      <c r="S23" s="25"/>
      <c r="T23" s="25"/>
      <c r="U23" s="110"/>
      <c r="V23" s="110"/>
      <c r="W23" s="25"/>
      <c r="X23" s="25"/>
      <c r="Y23" s="25">
        <v>1</v>
      </c>
      <c r="Z23" s="25"/>
      <c r="AA23" s="25">
        <v>1</v>
      </c>
      <c r="AB23" s="110"/>
      <c r="AC23" s="110"/>
      <c r="AD23" s="25">
        <v>1</v>
      </c>
      <c r="AE23" s="25">
        <v>1</v>
      </c>
      <c r="AF23" s="25"/>
      <c r="AG23" s="25">
        <v>1</v>
      </c>
      <c r="AH23" s="25">
        <v>1</v>
      </c>
      <c r="AI23" s="110"/>
      <c r="AJ23" s="110"/>
      <c r="AK23" s="25">
        <v>1</v>
      </c>
      <c r="AL23" s="25">
        <v>1</v>
      </c>
      <c r="AM23" s="25">
        <v>1</v>
      </c>
      <c r="AN23" s="25"/>
      <c r="AO23" s="25"/>
      <c r="AP23" s="110"/>
      <c r="AQ23" s="110"/>
      <c r="AR23" s="25">
        <v>1</v>
      </c>
      <c r="AS23" s="25"/>
      <c r="AT23" s="25">
        <v>1</v>
      </c>
      <c r="AV23" s="25"/>
      <c r="AW23" s="110"/>
      <c r="AX23" s="110"/>
      <c r="AY23" s="25"/>
      <c r="AZ23" s="25"/>
      <c r="BA23" s="25">
        <v>1</v>
      </c>
      <c r="BB23" s="25">
        <v>1</v>
      </c>
      <c r="BC23" s="25">
        <v>1</v>
      </c>
      <c r="BD23" s="110"/>
      <c r="BE23" s="110"/>
      <c r="BF23" s="25">
        <v>1</v>
      </c>
      <c r="BG23" s="25"/>
      <c r="BH23" s="25">
        <v>1</v>
      </c>
      <c r="BI23" s="25">
        <v>1</v>
      </c>
      <c r="BJ23" s="25">
        <v>1</v>
      </c>
      <c r="BK23" s="110"/>
      <c r="BL23" s="110"/>
      <c r="BM23" s="25"/>
      <c r="BN23" s="25"/>
      <c r="BO23" s="25"/>
      <c r="BP23" s="25">
        <v>1</v>
      </c>
      <c r="BQ23" s="25">
        <v>1</v>
      </c>
      <c r="BR23" s="110"/>
      <c r="BS23" s="110"/>
      <c r="BT23" s="25"/>
      <c r="BU23" s="25"/>
      <c r="BV23" s="25"/>
      <c r="BW23" s="25">
        <v>1</v>
      </c>
      <c r="BX23" s="25"/>
      <c r="BY23" s="110"/>
      <c r="BZ23" s="110"/>
      <c r="CA23" s="25">
        <v>1</v>
      </c>
      <c r="CB23" s="25">
        <v>1</v>
      </c>
      <c r="CC23" s="25">
        <v>1</v>
      </c>
      <c r="CD23" s="25">
        <v>1</v>
      </c>
      <c r="CE23" s="25">
        <v>1</v>
      </c>
      <c r="CF23" s="110"/>
      <c r="CG23" s="110"/>
      <c r="CH23" s="25">
        <v>1</v>
      </c>
      <c r="CI23" s="25">
        <v>1</v>
      </c>
      <c r="CJ23" s="25">
        <v>1</v>
      </c>
      <c r="CK23" s="25">
        <v>1</v>
      </c>
      <c r="CL23" s="25">
        <v>1</v>
      </c>
      <c r="CM23" s="110"/>
      <c r="CN23" s="110"/>
      <c r="CO23" s="25">
        <v>1</v>
      </c>
      <c r="CP23" s="25"/>
      <c r="CQ23" s="25"/>
      <c r="CR23" s="25"/>
      <c r="CS23" s="25"/>
      <c r="CT23" s="110"/>
      <c r="CU23" s="110"/>
      <c r="CV23" s="110"/>
      <c r="CW23" s="25"/>
      <c r="CX23" s="25"/>
      <c r="CY23" s="25"/>
      <c r="CZ23" s="25"/>
      <c r="DA23" s="110"/>
      <c r="DB23" s="110"/>
      <c r="DC23" s="25"/>
      <c r="DD23" s="25"/>
      <c r="DE23" s="25"/>
      <c r="DF23" s="25"/>
      <c r="DG23" s="25"/>
      <c r="DH23" s="110"/>
      <c r="DI23" s="110"/>
      <c r="DJ23" s="25"/>
      <c r="DK23" s="25"/>
      <c r="DL23" s="25"/>
      <c r="DM23" s="25"/>
      <c r="DN23" s="25"/>
      <c r="DO23" s="110"/>
      <c r="DP23" s="110"/>
      <c r="DQ23" s="25">
        <v>1</v>
      </c>
      <c r="DR23" s="25"/>
      <c r="DS23" s="25">
        <v>1</v>
      </c>
      <c r="DT23" s="25"/>
      <c r="DU23" s="110" t="s">
        <v>445</v>
      </c>
      <c r="DV23" s="110"/>
      <c r="DW23" s="110"/>
      <c r="DX23" s="25"/>
      <c r="DY23" s="25"/>
      <c r="DZ23" s="25"/>
      <c r="EA23" s="25"/>
      <c r="EB23" s="110" t="s">
        <v>445</v>
      </c>
      <c r="EC23" s="110"/>
      <c r="ED23" s="110"/>
      <c r="EE23" s="25"/>
      <c r="EF23" s="25"/>
      <c r="EG23" s="25">
        <v>1</v>
      </c>
      <c r="EH23" s="110" t="s">
        <v>445</v>
      </c>
      <c r="EI23" s="110" t="s">
        <v>445</v>
      </c>
      <c r="EJ23" s="110"/>
      <c r="EK23" s="110"/>
      <c r="EL23" s="25"/>
      <c r="EM23" s="25"/>
      <c r="EN23" s="25"/>
      <c r="EO23" s="25"/>
      <c r="EP23" s="25"/>
      <c r="EQ23" s="110"/>
      <c r="ER23" s="110"/>
      <c r="ES23" s="110" t="s">
        <v>445</v>
      </c>
      <c r="ET23" s="25"/>
      <c r="EU23" s="25"/>
      <c r="EV23" s="25"/>
      <c r="EW23" s="25"/>
      <c r="EX23" s="110"/>
      <c r="EY23" s="110"/>
      <c r="EZ23" s="25"/>
      <c r="FA23" s="25"/>
      <c r="FB23" s="25"/>
      <c r="FC23" s="25"/>
      <c r="FD23" s="25"/>
      <c r="FE23" s="110"/>
      <c r="FF23" s="110"/>
      <c r="FG23" s="25"/>
      <c r="FH23" s="25"/>
      <c r="FI23" s="25"/>
      <c r="FJ23" s="25"/>
      <c r="FK23" s="25"/>
      <c r="FL23" s="110"/>
      <c r="FM23" s="110"/>
      <c r="FN23" s="25"/>
      <c r="FO23" s="25"/>
      <c r="FP23" s="25"/>
      <c r="FQ23" s="25"/>
      <c r="FR23" s="25"/>
      <c r="FS23" s="110"/>
      <c r="FT23" s="110"/>
      <c r="FU23" s="25"/>
      <c r="FV23" s="25"/>
      <c r="FW23" s="25"/>
      <c r="FX23" s="25"/>
      <c r="FY23" s="25"/>
      <c r="FZ23" s="110"/>
      <c r="GA23" s="110"/>
      <c r="GB23" s="25"/>
      <c r="GC23" s="25"/>
      <c r="GD23" s="25"/>
      <c r="GE23" s="25"/>
      <c r="GF23" s="25"/>
      <c r="GG23" s="110"/>
      <c r="GH23" s="110"/>
      <c r="GI23" s="25"/>
      <c r="GJ23" s="25"/>
      <c r="GK23" s="25"/>
      <c r="GL23" s="25"/>
      <c r="GM23" s="25"/>
      <c r="GN23" s="110"/>
      <c r="GO23" s="110"/>
      <c r="GP23" s="110" t="s">
        <v>445</v>
      </c>
      <c r="GQ23" s="110"/>
      <c r="GR23" s="25"/>
      <c r="GS23" s="25"/>
      <c r="GT23" s="25"/>
      <c r="GU23" s="110"/>
      <c r="GV23" s="110"/>
      <c r="GW23" s="25"/>
      <c r="GX23" s="25"/>
      <c r="GY23" s="25"/>
      <c r="GZ23" s="25"/>
      <c r="HA23" s="25"/>
      <c r="HB23" s="110"/>
      <c r="HC23" s="110"/>
      <c r="HD23" s="25"/>
      <c r="HE23" s="25"/>
      <c r="HF23" s="25"/>
      <c r="HG23" s="25"/>
      <c r="HH23" s="25"/>
      <c r="HI23" s="110"/>
      <c r="HJ23" s="110"/>
      <c r="HK23" s="25"/>
      <c r="HL23" s="25"/>
      <c r="HM23" s="25"/>
      <c r="HN23" s="25"/>
      <c r="HO23" s="25"/>
      <c r="HP23" s="110"/>
      <c r="HQ23" s="110"/>
      <c r="HR23" s="25"/>
      <c r="HS23" s="25"/>
      <c r="HT23" s="25"/>
      <c r="HU23" s="25"/>
      <c r="HV23" s="25"/>
      <c r="HW23" s="110"/>
      <c r="HX23" s="110"/>
      <c r="HY23" s="25"/>
      <c r="HZ23" s="25"/>
      <c r="IA23" s="25"/>
      <c r="IB23" s="25"/>
      <c r="IC23" s="25"/>
      <c r="ID23" s="110"/>
      <c r="IE23" s="110"/>
      <c r="IF23" s="25"/>
      <c r="IG23" s="25"/>
      <c r="IH23" s="25"/>
      <c r="II23" s="25"/>
      <c r="IJ23" s="25"/>
      <c r="IK23" s="110"/>
      <c r="IL23" s="110"/>
      <c r="IM23" s="25"/>
      <c r="IN23" s="25"/>
      <c r="IO23" s="25"/>
      <c r="IP23" s="25"/>
      <c r="IQ23" s="25"/>
      <c r="IR23" s="110"/>
      <c r="IS23" s="110"/>
      <c r="IT23" s="25"/>
      <c r="IU23" s="25"/>
      <c r="IV23" s="25"/>
      <c r="IW23" s="25"/>
      <c r="IX23" s="25"/>
      <c r="IY23" s="110"/>
      <c r="IZ23" s="110"/>
      <c r="JA23" s="25"/>
      <c r="JB23" s="25"/>
      <c r="JC23" s="25"/>
      <c r="JD23" s="25"/>
      <c r="JE23" s="25"/>
      <c r="JF23" s="110"/>
      <c r="JG23" s="110"/>
      <c r="JH23" s="25"/>
      <c r="JI23" s="25"/>
      <c r="JJ23" s="25"/>
      <c r="JK23" s="25"/>
      <c r="JL23" s="25"/>
      <c r="JM23" s="110"/>
      <c r="JN23" s="110"/>
      <c r="JO23" s="25"/>
      <c r="JP23" s="25"/>
      <c r="JQ23" s="25"/>
      <c r="JR23" s="25"/>
      <c r="JS23" s="25"/>
      <c r="JT23" s="110"/>
      <c r="JU23" s="110"/>
      <c r="JV23" s="25"/>
      <c r="JW23" s="25"/>
      <c r="JX23" s="25"/>
      <c r="JY23" s="25"/>
      <c r="JZ23" s="25"/>
      <c r="KA23" s="110"/>
      <c r="KB23" s="110"/>
      <c r="KC23" s="25"/>
      <c r="KD23" s="25"/>
      <c r="KE23" s="25"/>
      <c r="KF23" s="25"/>
      <c r="KG23" s="25"/>
      <c r="KH23" s="110"/>
      <c r="KI23" s="110"/>
      <c r="KJ23" s="25"/>
      <c r="KK23" s="25"/>
      <c r="KL23" s="25"/>
      <c r="KM23" s="25"/>
      <c r="KN23" s="25"/>
      <c r="KO23" s="110"/>
      <c r="KP23" s="110"/>
      <c r="KQ23" s="25"/>
      <c r="KR23" s="25"/>
      <c r="KS23" s="25"/>
      <c r="KT23" s="25"/>
      <c r="KU23" s="25"/>
      <c r="KV23" s="110"/>
      <c r="KW23" s="110"/>
      <c r="KX23" s="25"/>
      <c r="KY23" s="25"/>
      <c r="KZ23" s="25"/>
      <c r="LA23" s="25"/>
      <c r="LB23" s="25"/>
      <c r="LC23" s="110"/>
      <c r="LD23" s="110"/>
      <c r="LE23" s="25"/>
      <c r="LF23" s="25"/>
      <c r="LG23" s="110" t="s">
        <v>445</v>
      </c>
      <c r="LH23" s="25"/>
      <c r="LI23" s="25"/>
      <c r="LJ23" s="110"/>
      <c r="LK23" s="110"/>
      <c r="LL23" s="25"/>
      <c r="LM23" s="25"/>
      <c r="LN23" s="25"/>
      <c r="LO23" s="25"/>
      <c r="LP23" s="25"/>
      <c r="LQ23" s="110"/>
      <c r="LR23" s="110"/>
      <c r="LS23" s="25"/>
      <c r="LT23" s="25"/>
      <c r="LU23" s="25"/>
      <c r="LV23" s="25"/>
      <c r="LW23" s="25"/>
      <c r="LX23" s="110"/>
      <c r="LY23" s="110"/>
      <c r="LZ23" s="25"/>
      <c r="MA23" s="25"/>
      <c r="MB23" s="25"/>
      <c r="MC23" s="25"/>
      <c r="MD23" s="25"/>
      <c r="ME23" s="110"/>
      <c r="MF23" s="110"/>
      <c r="MG23" s="25"/>
      <c r="MH23" s="25"/>
      <c r="MI23" s="25"/>
      <c r="MJ23" s="25"/>
      <c r="MK23" s="25"/>
      <c r="ML23" s="110"/>
      <c r="MM23" s="110"/>
      <c r="MN23" s="25"/>
      <c r="MO23" s="25"/>
      <c r="MP23" s="25"/>
      <c r="MQ23" s="25"/>
      <c r="MR23" s="25"/>
      <c r="MS23" s="110"/>
      <c r="MT23" s="110"/>
      <c r="MU23" s="25"/>
      <c r="MV23" s="25"/>
      <c r="MW23" s="25"/>
      <c r="MX23" s="25"/>
      <c r="MY23" s="25"/>
      <c r="MZ23" s="110"/>
      <c r="NA23" s="110"/>
      <c r="NB23" s="25"/>
      <c r="NC23" s="25"/>
      <c r="ND23" s="25"/>
      <c r="NE23" s="129"/>
      <c r="NF23" s="111"/>
      <c r="NG23" s="8">
        <f t="shared" si="0"/>
        <v>7</v>
      </c>
      <c r="NH23" s="351" cm="1">
        <f t="array" ref="NH23">NETWORKDAYS($I$2,$AH$2)- SUM(COUNTIF(I23:AH23,{"I";"F";"CP";"R";"P";"AC";"AM"}))</f>
        <v>20</v>
      </c>
      <c r="NI23" s="138">
        <f t="shared" si="12"/>
        <v>0.35</v>
      </c>
      <c r="NJ23" s="8">
        <f t="shared" si="1"/>
        <v>12</v>
      </c>
      <c r="NK23" s="351" cm="1">
        <f t="array" ref="NK23">NETWORKDAYS($AJ$2,$BK$2)- SUM(COUNTIF(AJ23:BK23,{"I";"F";"CP";"R";"P";"AC";"AM"}))</f>
        <v>20</v>
      </c>
      <c r="NL23" s="138">
        <f t="shared" si="13"/>
        <v>0.6</v>
      </c>
      <c r="NM23" s="8">
        <f t="shared" si="2"/>
        <v>14</v>
      </c>
      <c r="NN23" s="351" cm="1">
        <f t="array" ref="NN23">NETWORKDAYS($BL$2,$CP$2)- SUM(COUNTIF(BL23:CP23,{"I";"F";"CP";"R";"P";"AC";"AM"}))</f>
        <v>22</v>
      </c>
      <c r="NO23" s="138">
        <f t="shared" si="14"/>
        <v>0.63636363636363635</v>
      </c>
      <c r="NP23" s="8">
        <f t="shared" si="3"/>
        <v>2</v>
      </c>
      <c r="NQ23" s="351" cm="1">
        <f t="array" ref="NQ23">NETWORKDAYS($CQ$2,$DT$2,$CV$2)- SUM(COUNTIF(CQ23:DT23,{"I";"F";"CP";"R";"P";"AC";"AM"}))</f>
        <v>21</v>
      </c>
      <c r="NR23" s="138">
        <f t="shared" si="15"/>
        <v>9.5238095238095233E-2</v>
      </c>
      <c r="NS23" s="8">
        <f t="shared" si="4"/>
        <v>1</v>
      </c>
      <c r="NT23" s="351" cm="1">
        <f t="array" ref="NT23">NETWORKDAYS($DV$2,$EY$2)-SUM(COUNTIF(DV23:EY23,{"I";"F";"CP";"R";"P";"AC";"AM"}))</f>
        <v>16</v>
      </c>
      <c r="NU23" s="138">
        <f t="shared" si="16"/>
        <v>6.25E-2</v>
      </c>
      <c r="NV23" s="8">
        <f t="shared" si="27"/>
        <v>0</v>
      </c>
      <c r="NW23" s="351" cm="1">
        <f t="array" ref="NW23">NETWORKDAYS($EZ$2,$GC$2)-SUM(COUNTIF(EZ23:GC23,{"I";"F";"CP";"R";"P";"AC";"AM"}))</f>
        <v>22</v>
      </c>
      <c r="NX23" s="138">
        <f t="shared" si="28"/>
        <v>0</v>
      </c>
      <c r="NY23" s="8">
        <f t="shared" si="29"/>
        <v>0</v>
      </c>
      <c r="NZ23" s="351" cm="1">
        <f t="array" ref="NZ23">NETWORKDAYS($GD$2,$HH$2,$GQ$2)-SUM(COUNTIF(GD23:HH23,{"I";"F";"CP";"R";"P";"AC";"AM"}))</f>
        <v>21</v>
      </c>
      <c r="OA23" s="138">
        <f t="shared" si="30"/>
        <v>0</v>
      </c>
      <c r="OB23" s="8">
        <f t="shared" si="31"/>
        <v>0</v>
      </c>
      <c r="OC23" s="351" cm="1">
        <f t="array" ref="OC23">NETWORKDAYS($HI$2,$IM$2)-SUM(COUNTIF(HI23:IM23,{"I";"F";"CP";"R";"P";"AC";"AM"}))</f>
        <v>21</v>
      </c>
      <c r="OD23" s="138">
        <f t="shared" si="32"/>
        <v>0</v>
      </c>
      <c r="OE23" s="8">
        <f t="shared" si="33"/>
        <v>0</v>
      </c>
      <c r="OF23" s="351" cm="1">
        <f t="array" ref="OF23">NETWORKDAYS($IN$2,$JQ$2)-SUM(COUNTIF(IN23:JQ23,{"I";"F";"CP";"R";"P";"AC";"AM"}))</f>
        <v>22</v>
      </c>
      <c r="OG23" s="138">
        <f t="shared" si="34"/>
        <v>0</v>
      </c>
      <c r="OH23" s="8">
        <f t="shared" si="35"/>
        <v>0</v>
      </c>
      <c r="OI23" s="351" cm="1">
        <f t="array" ref="OI23">NETWORKDAYS($JR$2,$KV$2)-SUM(COUNTIF(JR23:KV23,{"I";"F";"CP";"R";"P";"AC";"AM"}))</f>
        <v>22</v>
      </c>
      <c r="OJ23" s="138">
        <f t="shared" si="36"/>
        <v>0</v>
      </c>
      <c r="OK23" s="8">
        <f t="shared" si="37"/>
        <v>0</v>
      </c>
      <c r="OL23" s="351" cm="1">
        <f t="array" ref="OL23">NETWORKDAYS($KW$2,$LZ$2,$LG$2)-SUM(COUNTIF(KW23:LZ23,{"I";"F";"CP";"R";"P";"AC";"AM"}))</f>
        <v>19</v>
      </c>
      <c r="OM23" s="138">
        <f t="shared" si="38"/>
        <v>0</v>
      </c>
      <c r="ON23" s="8">
        <f t="shared" si="39"/>
        <v>0</v>
      </c>
      <c r="OO23" s="351" cm="1">
        <f t="array" ref="OO23">NETWORKDAYS($MA$2,$MR$2)-SUM(COUNTIF(MA23:MR23,{"I";"F";"CP";"R";"P";"AC";"AM"}))</f>
        <v>14</v>
      </c>
      <c r="OP23" s="138">
        <f t="shared" si="40"/>
        <v>0</v>
      </c>
      <c r="OQ23" s="94">
        <f t="shared" si="41"/>
        <v>36</v>
      </c>
      <c r="OR23" s="94">
        <f t="shared" si="42"/>
        <v>240</v>
      </c>
      <c r="OS23" s="138">
        <f t="shared" si="43"/>
        <v>0.15</v>
      </c>
    </row>
    <row r="24" spans="1:409" ht="18" hidden="1" customHeight="1" x14ac:dyDescent="0.25">
      <c r="A24" s="94" t="s">
        <v>100</v>
      </c>
      <c r="B24" s="94" t="s">
        <v>34</v>
      </c>
      <c r="C24" s="27" t="s">
        <v>166</v>
      </c>
      <c r="D24" s="27" t="s">
        <v>191</v>
      </c>
      <c r="E24" s="128"/>
      <c r="F24" s="110"/>
      <c r="G24" s="110"/>
      <c r="H24" s="110"/>
      <c r="I24" s="25"/>
      <c r="J24" s="25"/>
      <c r="K24" s="25"/>
      <c r="L24" s="25">
        <v>1</v>
      </c>
      <c r="M24" s="25">
        <v>1</v>
      </c>
      <c r="N24" s="110"/>
      <c r="O24" s="110"/>
      <c r="P24" s="25">
        <v>1</v>
      </c>
      <c r="Q24" s="25"/>
      <c r="R24" s="25">
        <v>1</v>
      </c>
      <c r="S24" s="25">
        <v>1</v>
      </c>
      <c r="T24" s="25">
        <v>1</v>
      </c>
      <c r="U24" s="110"/>
      <c r="V24" s="110"/>
      <c r="W24" s="25">
        <v>1</v>
      </c>
      <c r="X24" s="25">
        <v>1</v>
      </c>
      <c r="Y24" s="25">
        <v>1</v>
      </c>
      <c r="Z24" s="25"/>
      <c r="AA24" s="25"/>
      <c r="AB24" s="110"/>
      <c r="AC24" s="110"/>
      <c r="AD24" s="25">
        <v>1</v>
      </c>
      <c r="AE24" s="25">
        <v>1</v>
      </c>
      <c r="AF24" s="25">
        <v>1</v>
      </c>
      <c r="AG24" s="25">
        <v>1</v>
      </c>
      <c r="AH24" s="25">
        <v>1</v>
      </c>
      <c r="AI24" s="110"/>
      <c r="AJ24" s="110"/>
      <c r="AK24" s="25">
        <v>1</v>
      </c>
      <c r="AL24" s="25">
        <v>1</v>
      </c>
      <c r="AM24" s="25">
        <v>1</v>
      </c>
      <c r="AN24" s="25">
        <v>1</v>
      </c>
      <c r="AO24" s="25">
        <v>1</v>
      </c>
      <c r="AP24" s="110"/>
      <c r="AQ24" s="110"/>
      <c r="AR24" s="25">
        <v>1</v>
      </c>
      <c r="AS24" s="25">
        <v>1</v>
      </c>
      <c r="AT24" s="25">
        <v>1</v>
      </c>
      <c r="AU24" s="25">
        <v>1</v>
      </c>
      <c r="AV24" s="25">
        <v>1</v>
      </c>
      <c r="AW24" s="110"/>
      <c r="AX24" s="110"/>
      <c r="AY24" s="25" t="s">
        <v>448</v>
      </c>
      <c r="AZ24" s="25" t="s">
        <v>448</v>
      </c>
      <c r="BA24" s="25" t="s">
        <v>448</v>
      </c>
      <c r="BB24" s="25" t="s">
        <v>448</v>
      </c>
      <c r="BC24" s="25" t="s">
        <v>448</v>
      </c>
      <c r="BD24" s="110"/>
      <c r="BE24" s="110"/>
      <c r="BF24" s="25">
        <v>1</v>
      </c>
      <c r="BG24" s="25">
        <v>1</v>
      </c>
      <c r="BH24" s="25">
        <v>1</v>
      </c>
      <c r="BI24" s="25"/>
      <c r="BJ24" s="25">
        <v>1</v>
      </c>
      <c r="BK24" s="110"/>
      <c r="BL24" s="110"/>
      <c r="BM24" s="25">
        <v>1</v>
      </c>
      <c r="BN24" s="25">
        <v>1</v>
      </c>
      <c r="BO24" s="25">
        <v>1</v>
      </c>
      <c r="BP24" s="25">
        <v>1</v>
      </c>
      <c r="BQ24" s="25">
        <v>1</v>
      </c>
      <c r="BR24" s="110"/>
      <c r="BS24" s="110"/>
      <c r="BT24" s="25">
        <v>1</v>
      </c>
      <c r="BU24" s="25">
        <v>1</v>
      </c>
      <c r="BV24" s="25">
        <v>1</v>
      </c>
      <c r="BW24" s="25">
        <v>1</v>
      </c>
      <c r="BX24" s="25" t="s">
        <v>447</v>
      </c>
      <c r="BY24" s="110"/>
      <c r="BZ24" s="110"/>
      <c r="CA24" s="25">
        <v>1</v>
      </c>
      <c r="CB24" s="25">
        <v>1</v>
      </c>
      <c r="CC24" s="25">
        <v>1</v>
      </c>
      <c r="CD24" s="25">
        <v>1</v>
      </c>
      <c r="CE24" s="25">
        <v>1</v>
      </c>
      <c r="CF24" s="110"/>
      <c r="CG24" s="110"/>
      <c r="CH24" s="25">
        <v>1</v>
      </c>
      <c r="CI24" s="25">
        <v>1</v>
      </c>
      <c r="CJ24" s="25">
        <v>1</v>
      </c>
      <c r="CK24" s="25">
        <v>1</v>
      </c>
      <c r="CL24" s="25">
        <v>1</v>
      </c>
      <c r="CM24" s="110"/>
      <c r="CN24" s="110"/>
      <c r="CO24" s="25">
        <v>1</v>
      </c>
      <c r="CP24" s="25">
        <v>1</v>
      </c>
      <c r="CQ24" s="25">
        <v>1</v>
      </c>
      <c r="CR24" s="25">
        <v>1</v>
      </c>
      <c r="CS24" s="25">
        <v>1</v>
      </c>
      <c r="CT24" s="110"/>
      <c r="CU24" s="110"/>
      <c r="CV24" s="110"/>
      <c r="CW24" s="25"/>
      <c r="CX24" s="25"/>
      <c r="CY24" s="25"/>
      <c r="CZ24" s="25"/>
      <c r="DA24" s="110"/>
      <c r="DB24" s="110"/>
      <c r="DC24" s="25"/>
      <c r="DD24" s="25">
        <v>1</v>
      </c>
      <c r="DE24" s="25"/>
      <c r="DF24" s="25">
        <v>1</v>
      </c>
      <c r="DG24" s="25">
        <v>1</v>
      </c>
      <c r="DH24" s="110"/>
      <c r="DI24" s="110"/>
      <c r="DJ24" s="25">
        <v>1</v>
      </c>
      <c r="DK24" s="25">
        <v>1</v>
      </c>
      <c r="DL24" s="25">
        <v>1</v>
      </c>
      <c r="DM24" s="25">
        <v>1</v>
      </c>
      <c r="DN24" s="25">
        <v>1</v>
      </c>
      <c r="DO24" s="110"/>
      <c r="DP24" s="110"/>
      <c r="DQ24" s="25">
        <v>1</v>
      </c>
      <c r="DR24" s="25">
        <v>1</v>
      </c>
      <c r="DS24" s="25">
        <v>1</v>
      </c>
      <c r="DT24" s="25">
        <v>1</v>
      </c>
      <c r="DU24" s="110" t="s">
        <v>445</v>
      </c>
      <c r="DV24" s="110"/>
      <c r="DW24" s="110"/>
      <c r="DX24" s="25">
        <v>1</v>
      </c>
      <c r="DY24" s="25">
        <v>1</v>
      </c>
      <c r="DZ24" s="25">
        <v>1</v>
      </c>
      <c r="EA24" s="25">
        <v>1</v>
      </c>
      <c r="EB24" s="110" t="s">
        <v>445</v>
      </c>
      <c r="EC24" s="110"/>
      <c r="ED24" s="110"/>
      <c r="EE24" s="25">
        <v>1</v>
      </c>
      <c r="EF24" s="25">
        <v>1</v>
      </c>
      <c r="EG24" s="25">
        <v>1</v>
      </c>
      <c r="EH24" s="110" t="s">
        <v>445</v>
      </c>
      <c r="EI24" s="110" t="s">
        <v>445</v>
      </c>
      <c r="EJ24" s="110"/>
      <c r="EK24" s="110"/>
      <c r="EL24" s="25">
        <v>1</v>
      </c>
      <c r="EM24" s="25"/>
      <c r="EN24" s="25"/>
      <c r="EO24" s="25"/>
      <c r="EP24" s="25"/>
      <c r="EQ24" s="110"/>
      <c r="ER24" s="110"/>
      <c r="ES24" s="110" t="s">
        <v>445</v>
      </c>
      <c r="ET24" s="25"/>
      <c r="EU24" s="25"/>
      <c r="EV24" s="25"/>
      <c r="EW24" s="25"/>
      <c r="EX24" s="110"/>
      <c r="EY24" s="110"/>
      <c r="EZ24" s="25"/>
      <c r="FA24" s="25"/>
      <c r="FB24" s="25"/>
      <c r="FC24" s="25"/>
      <c r="FD24" s="25"/>
      <c r="FE24" s="110"/>
      <c r="FF24" s="110"/>
      <c r="FG24" s="25"/>
      <c r="FH24" s="25"/>
      <c r="FI24" s="25"/>
      <c r="FJ24" s="25"/>
      <c r="FK24" s="25"/>
      <c r="FL24" s="110"/>
      <c r="FM24" s="110"/>
      <c r="FN24" s="25"/>
      <c r="FO24" s="25"/>
      <c r="FP24" s="25"/>
      <c r="FQ24" s="25"/>
      <c r="FR24" s="25"/>
      <c r="FS24" s="110"/>
      <c r="FT24" s="110"/>
      <c r="FU24" s="25"/>
      <c r="FV24" s="25"/>
      <c r="FW24" s="25"/>
      <c r="FX24" s="25"/>
      <c r="FY24" s="25"/>
      <c r="FZ24" s="110"/>
      <c r="GA24" s="110"/>
      <c r="GB24" s="25"/>
      <c r="GC24" s="25"/>
      <c r="GD24" s="25"/>
      <c r="GE24" s="25"/>
      <c r="GF24" s="25"/>
      <c r="GG24" s="110"/>
      <c r="GH24" s="110"/>
      <c r="GI24" s="25"/>
      <c r="GJ24" s="25"/>
      <c r="GK24" s="25"/>
      <c r="GL24" s="25"/>
      <c r="GM24" s="25"/>
      <c r="GN24" s="110"/>
      <c r="GO24" s="110"/>
      <c r="GP24" s="110" t="s">
        <v>445</v>
      </c>
      <c r="GQ24" s="110"/>
      <c r="GR24" s="25"/>
      <c r="GS24" s="25"/>
      <c r="GT24" s="25"/>
      <c r="GU24" s="110"/>
      <c r="GV24" s="110"/>
      <c r="GW24" s="25"/>
      <c r="GX24" s="25"/>
      <c r="GY24" s="25"/>
      <c r="GZ24" s="25"/>
      <c r="HA24" s="25"/>
      <c r="HB24" s="110"/>
      <c r="HC24" s="110"/>
      <c r="HD24" s="25"/>
      <c r="HE24" s="25"/>
      <c r="HF24" s="25"/>
      <c r="HG24" s="25"/>
      <c r="HH24" s="25"/>
      <c r="HI24" s="110"/>
      <c r="HJ24" s="110"/>
      <c r="HK24" s="25"/>
      <c r="HL24" s="25"/>
      <c r="HM24" s="25"/>
      <c r="HN24" s="25"/>
      <c r="HO24" s="25"/>
      <c r="HP24" s="110"/>
      <c r="HQ24" s="110"/>
      <c r="HR24" s="25"/>
      <c r="HS24" s="25"/>
      <c r="HT24" s="25"/>
      <c r="HU24" s="25"/>
      <c r="HV24" s="25"/>
      <c r="HW24" s="110"/>
      <c r="HX24" s="110"/>
      <c r="HY24" s="25"/>
      <c r="HZ24" s="25"/>
      <c r="IA24" s="25"/>
      <c r="IB24" s="25"/>
      <c r="IC24" s="25"/>
      <c r="ID24" s="110"/>
      <c r="IE24" s="110"/>
      <c r="IF24" s="25"/>
      <c r="IG24" s="25"/>
      <c r="IH24" s="25"/>
      <c r="II24" s="25"/>
      <c r="IJ24" s="25"/>
      <c r="IK24" s="110"/>
      <c r="IL24" s="110"/>
      <c r="IM24" s="25"/>
      <c r="IN24" s="25"/>
      <c r="IO24" s="25"/>
      <c r="IP24" s="25"/>
      <c r="IQ24" s="25"/>
      <c r="IR24" s="110"/>
      <c r="IS24" s="110"/>
      <c r="IT24" s="25"/>
      <c r="IU24" s="25"/>
      <c r="IV24" s="25"/>
      <c r="IW24" s="25"/>
      <c r="IX24" s="25"/>
      <c r="IY24" s="110"/>
      <c r="IZ24" s="110"/>
      <c r="JA24" s="25"/>
      <c r="JB24" s="25"/>
      <c r="JC24" s="25"/>
      <c r="JD24" s="25"/>
      <c r="JE24" s="25"/>
      <c r="JF24" s="110"/>
      <c r="JG24" s="110"/>
      <c r="JH24" s="25"/>
      <c r="JI24" s="25"/>
      <c r="JJ24" s="25"/>
      <c r="JK24" s="25"/>
      <c r="JL24" s="25"/>
      <c r="JM24" s="110"/>
      <c r="JN24" s="110"/>
      <c r="JO24" s="25"/>
      <c r="JP24" s="25"/>
      <c r="JQ24" s="25"/>
      <c r="JR24" s="25"/>
      <c r="JS24" s="25"/>
      <c r="JT24" s="110"/>
      <c r="JU24" s="110"/>
      <c r="JV24" s="25"/>
      <c r="JW24" s="25"/>
      <c r="JX24" s="25"/>
      <c r="JY24" s="25"/>
      <c r="JZ24" s="25"/>
      <c r="KA24" s="110"/>
      <c r="KB24" s="110"/>
      <c r="KC24" s="25"/>
      <c r="KD24" s="25"/>
      <c r="KE24" s="25"/>
      <c r="KF24" s="25"/>
      <c r="KG24" s="25"/>
      <c r="KH24" s="110"/>
      <c r="KI24" s="110"/>
      <c r="KJ24" s="25"/>
      <c r="KK24" s="25"/>
      <c r="KL24" s="25"/>
      <c r="KM24" s="25"/>
      <c r="KN24" s="25"/>
      <c r="KO24" s="110"/>
      <c r="KP24" s="110"/>
      <c r="KQ24" s="25"/>
      <c r="KR24" s="25"/>
      <c r="KS24" s="25"/>
      <c r="KT24" s="25"/>
      <c r="KU24" s="25"/>
      <c r="KV24" s="110"/>
      <c r="KW24" s="110"/>
      <c r="KX24" s="25"/>
      <c r="KY24" s="25"/>
      <c r="KZ24" s="25"/>
      <c r="LA24" s="25"/>
      <c r="LB24" s="25"/>
      <c r="LC24" s="110"/>
      <c r="LD24" s="110"/>
      <c r="LE24" s="25"/>
      <c r="LF24" s="25"/>
      <c r="LG24" s="110" t="s">
        <v>445</v>
      </c>
      <c r="LH24" s="25"/>
      <c r="LI24" s="25"/>
      <c r="LJ24" s="110"/>
      <c r="LK24" s="110"/>
      <c r="LL24" s="25"/>
      <c r="LM24" s="25"/>
      <c r="LN24" s="25"/>
      <c r="LO24" s="25"/>
      <c r="LP24" s="25"/>
      <c r="LQ24" s="110"/>
      <c r="LR24" s="110"/>
      <c r="LS24" s="25"/>
      <c r="LT24" s="25"/>
      <c r="LU24" s="25"/>
      <c r="LV24" s="25"/>
      <c r="LW24" s="25"/>
      <c r="LX24" s="110"/>
      <c r="LY24" s="110"/>
      <c r="LZ24" s="25"/>
      <c r="MA24" s="25"/>
      <c r="MB24" s="25"/>
      <c r="MC24" s="25"/>
      <c r="MD24" s="25"/>
      <c r="ME24" s="110"/>
      <c r="MF24" s="110"/>
      <c r="MG24" s="25"/>
      <c r="MH24" s="25"/>
      <c r="MI24" s="25"/>
      <c r="MJ24" s="25"/>
      <c r="MK24" s="25"/>
      <c r="ML24" s="110"/>
      <c r="MM24" s="110"/>
      <c r="MN24" s="25"/>
      <c r="MO24" s="25"/>
      <c r="MP24" s="25"/>
      <c r="MQ24" s="25"/>
      <c r="MR24" s="25"/>
      <c r="MS24" s="110"/>
      <c r="MT24" s="110"/>
      <c r="MU24" s="25"/>
      <c r="MV24" s="25"/>
      <c r="MW24" s="25"/>
      <c r="MX24" s="25"/>
      <c r="MY24" s="25"/>
      <c r="MZ24" s="110"/>
      <c r="NA24" s="110"/>
      <c r="NB24" s="25"/>
      <c r="NC24" s="25"/>
      <c r="ND24" s="25"/>
      <c r="NE24" s="129"/>
      <c r="NF24" s="111"/>
      <c r="NG24" s="8">
        <f t="shared" si="0"/>
        <v>14</v>
      </c>
      <c r="NH24" s="351" cm="1">
        <f t="array" ref="NH24">NETWORKDAYS($I$2,$AH$2)- SUM(COUNTIF(I24:AH24,{"I";"F";"CP";"R";"P";"AC";"AM"}))</f>
        <v>20</v>
      </c>
      <c r="NI24" s="138">
        <f t="shared" si="12"/>
        <v>0.7</v>
      </c>
      <c r="NJ24" s="8">
        <f t="shared" si="1"/>
        <v>14</v>
      </c>
      <c r="NK24" s="351" cm="1">
        <f t="array" ref="NK24">NETWORKDAYS($AJ$2,$BK$2)- SUM(COUNTIF(AJ24:BK24,{"I";"F";"CP";"R";"P";"AC";"AM"}))</f>
        <v>20</v>
      </c>
      <c r="NL24" s="138">
        <f t="shared" si="13"/>
        <v>0.7</v>
      </c>
      <c r="NM24" s="8">
        <f t="shared" si="2"/>
        <v>21</v>
      </c>
      <c r="NN24" s="351" cm="1">
        <f t="array" ref="NN24">NETWORKDAYS($BL$2,$CP$2)- SUM(COUNTIF(BL24:CP24,{"I";"F";"CP";"R";"P";"AC";"AM"}))</f>
        <v>21</v>
      </c>
      <c r="NO24" s="138">
        <f t="shared" si="14"/>
        <v>1</v>
      </c>
      <c r="NP24" s="8">
        <f t="shared" si="3"/>
        <v>15</v>
      </c>
      <c r="NQ24" s="351" cm="1">
        <f t="array" ref="NQ24">NETWORKDAYS($CQ$2,$DT$2,$CV$2)- SUM(COUNTIF(CQ24:DT24,{"I";"F";"CP";"R";"P";"AC";"AM"}))</f>
        <v>21</v>
      </c>
      <c r="NR24" s="138">
        <f t="shared" si="15"/>
        <v>0.7142857142857143</v>
      </c>
      <c r="NS24" s="8">
        <f t="shared" si="4"/>
        <v>8</v>
      </c>
      <c r="NT24" s="351" cm="1">
        <f t="array" ref="NT24">NETWORKDAYS($DV$2,$EY$2)-SUM(COUNTIF(DV24:EY24,{"I";"F";"CP";"R";"P";"AC";"AM"}))</f>
        <v>16</v>
      </c>
      <c r="NU24" s="138">
        <f t="shared" si="16"/>
        <v>0.5</v>
      </c>
      <c r="NV24" s="8">
        <f t="shared" si="27"/>
        <v>0</v>
      </c>
      <c r="NW24" s="351" cm="1">
        <f t="array" ref="NW24">NETWORKDAYS($EZ$2,$GC$2)-SUM(COUNTIF(EZ24:GC24,{"I";"F";"CP";"R";"P";"AC";"AM"}))</f>
        <v>22</v>
      </c>
      <c r="NX24" s="138">
        <f t="shared" si="28"/>
        <v>0</v>
      </c>
      <c r="NY24" s="8">
        <f t="shared" si="29"/>
        <v>0</v>
      </c>
      <c r="NZ24" s="351" cm="1">
        <f t="array" ref="NZ24">NETWORKDAYS($GD$2,$HH$2,$GQ$2)-SUM(COUNTIF(GD24:HH24,{"I";"F";"CP";"R";"P";"AC";"AM"}))</f>
        <v>21</v>
      </c>
      <c r="OA24" s="138">
        <f t="shared" si="30"/>
        <v>0</v>
      </c>
      <c r="OB24" s="8">
        <f t="shared" si="31"/>
        <v>0</v>
      </c>
      <c r="OC24" s="351" cm="1">
        <f t="array" ref="OC24">NETWORKDAYS($HI$2,$IM$2)-SUM(COUNTIF(HI24:IM24,{"I";"F";"CP";"R";"P";"AC";"AM"}))</f>
        <v>21</v>
      </c>
      <c r="OD24" s="138">
        <f t="shared" si="32"/>
        <v>0</v>
      </c>
      <c r="OE24" s="8">
        <f t="shared" si="33"/>
        <v>0</v>
      </c>
      <c r="OF24" s="351" cm="1">
        <f t="array" ref="OF24">NETWORKDAYS($IN$2,$JQ$2)-SUM(COUNTIF(IN24:JQ24,{"I";"F";"CP";"R";"P";"AC";"AM"}))</f>
        <v>22</v>
      </c>
      <c r="OG24" s="138">
        <f t="shared" si="34"/>
        <v>0</v>
      </c>
      <c r="OH24" s="8">
        <f t="shared" si="35"/>
        <v>0</v>
      </c>
      <c r="OI24" s="351" cm="1">
        <f t="array" ref="OI24">NETWORKDAYS($JR$2,$KV$2)-SUM(COUNTIF(JR24:KV24,{"I";"F";"CP";"R";"P";"AC";"AM"}))</f>
        <v>22</v>
      </c>
      <c r="OJ24" s="138">
        <f t="shared" si="36"/>
        <v>0</v>
      </c>
      <c r="OK24" s="8">
        <f t="shared" si="37"/>
        <v>0</v>
      </c>
      <c r="OL24" s="351" cm="1">
        <f t="array" ref="OL24">NETWORKDAYS($KW$2,$LZ$2,$LG$2)-SUM(COUNTIF(KW24:LZ24,{"I";"F";"CP";"R";"P";"AC";"AM"}))</f>
        <v>19</v>
      </c>
      <c r="OM24" s="138">
        <f t="shared" si="38"/>
        <v>0</v>
      </c>
      <c r="ON24" s="8">
        <f t="shared" si="39"/>
        <v>0</v>
      </c>
      <c r="OO24" s="351" cm="1">
        <f t="array" ref="OO24">NETWORKDAYS($MA$2,$MR$2)-SUM(COUNTIF(MA24:MR24,{"I";"F";"CP";"R";"P";"AC";"AM"}))</f>
        <v>14</v>
      </c>
      <c r="OP24" s="138">
        <f t="shared" si="40"/>
        <v>0</v>
      </c>
      <c r="OQ24" s="94">
        <f t="shared" si="41"/>
        <v>72</v>
      </c>
      <c r="OR24" s="94">
        <f t="shared" si="42"/>
        <v>239</v>
      </c>
      <c r="OS24" s="138">
        <f t="shared" si="43"/>
        <v>0.30125523012552302</v>
      </c>
    </row>
    <row r="25" spans="1:409" ht="18" hidden="1" customHeight="1" x14ac:dyDescent="0.25">
      <c r="A25" s="94" t="s">
        <v>192</v>
      </c>
      <c r="B25" s="94" t="s">
        <v>45</v>
      </c>
      <c r="C25" s="27" t="s">
        <v>166</v>
      </c>
      <c r="D25" s="27" t="s">
        <v>193</v>
      </c>
      <c r="E25" s="128"/>
      <c r="F25" s="110"/>
      <c r="G25" s="110"/>
      <c r="H25" s="110"/>
      <c r="I25" s="25"/>
      <c r="J25" s="25"/>
      <c r="K25" s="25"/>
      <c r="L25" s="25"/>
      <c r="M25" s="25"/>
      <c r="N25" s="110"/>
      <c r="O25" s="110"/>
      <c r="P25" s="25"/>
      <c r="Q25" s="25"/>
      <c r="R25" s="25"/>
      <c r="S25" s="25"/>
      <c r="T25" s="25"/>
      <c r="U25" s="110"/>
      <c r="V25" s="110"/>
      <c r="W25" s="25"/>
      <c r="X25" s="25"/>
      <c r="Y25" s="25"/>
      <c r="Z25" s="25"/>
      <c r="AA25" s="25"/>
      <c r="AB25" s="110"/>
      <c r="AC25" s="110"/>
      <c r="AD25" s="25"/>
      <c r="AE25" s="25"/>
      <c r="AF25" s="25"/>
      <c r="AG25" s="25"/>
      <c r="AH25" s="25"/>
      <c r="AI25" s="110"/>
      <c r="AJ25" s="110"/>
      <c r="AK25" s="25"/>
      <c r="AL25" s="25"/>
      <c r="AM25" s="25"/>
      <c r="AN25" s="25"/>
      <c r="AO25" s="25"/>
      <c r="AP25" s="110"/>
      <c r="AQ25" s="110"/>
      <c r="AR25" s="25"/>
      <c r="AS25" s="25"/>
      <c r="AT25" s="25"/>
      <c r="AU25" s="2"/>
      <c r="AV25" s="25"/>
      <c r="AW25" s="110"/>
      <c r="AX25" s="110"/>
      <c r="AY25" s="25"/>
      <c r="AZ25" s="25"/>
      <c r="BA25" s="25"/>
      <c r="BB25" s="25"/>
      <c r="BC25" s="25"/>
      <c r="BD25" s="110"/>
      <c r="BE25" s="110"/>
      <c r="BF25" s="25"/>
      <c r="BG25" s="25"/>
      <c r="BH25" s="25"/>
      <c r="BI25" s="25"/>
      <c r="BJ25" s="25"/>
      <c r="BK25" s="110"/>
      <c r="BL25" s="110"/>
      <c r="BM25" s="25"/>
      <c r="BN25" s="25"/>
      <c r="BO25" s="25"/>
      <c r="BP25" s="25"/>
      <c r="BQ25" s="25"/>
      <c r="BR25" s="110"/>
      <c r="BS25" s="110"/>
      <c r="BT25" s="25"/>
      <c r="BU25" s="25"/>
      <c r="BV25" s="25"/>
      <c r="BW25" s="25"/>
      <c r="BX25" s="25"/>
      <c r="BY25" s="110"/>
      <c r="BZ25" s="110"/>
      <c r="CA25" s="25"/>
      <c r="CB25" s="25"/>
      <c r="CC25" s="25"/>
      <c r="CD25" s="25"/>
      <c r="CE25" s="25">
        <v>1</v>
      </c>
      <c r="CF25" s="110"/>
      <c r="CG25" s="110"/>
      <c r="CH25" s="25"/>
      <c r="CI25" s="25"/>
      <c r="CJ25" s="25"/>
      <c r="CK25" s="25"/>
      <c r="CL25" s="25"/>
      <c r="CM25" s="110"/>
      <c r="CN25" s="110"/>
      <c r="CO25" s="25"/>
      <c r="CP25" s="25"/>
      <c r="CQ25" s="25"/>
      <c r="CR25" s="25"/>
      <c r="CS25" s="25"/>
      <c r="CT25" s="110"/>
      <c r="CU25" s="110"/>
      <c r="CV25" s="110"/>
      <c r="CW25" s="25"/>
      <c r="CX25" s="25"/>
      <c r="CY25" s="25"/>
      <c r="CZ25" s="25"/>
      <c r="DA25" s="110"/>
      <c r="DB25" s="110"/>
      <c r="DC25" s="25"/>
      <c r="DD25" s="25"/>
      <c r="DE25" s="25"/>
      <c r="DF25" s="25"/>
      <c r="DG25" s="25"/>
      <c r="DH25" s="110"/>
      <c r="DI25" s="110"/>
      <c r="DJ25" s="25"/>
      <c r="DK25" s="25"/>
      <c r="DL25" s="25"/>
      <c r="DM25" s="25"/>
      <c r="DN25" s="25"/>
      <c r="DO25" s="110"/>
      <c r="DP25" s="110"/>
      <c r="DQ25" s="25"/>
      <c r="DR25" s="25"/>
      <c r="DS25" s="25"/>
      <c r="DT25" s="25"/>
      <c r="DU25" s="110"/>
      <c r="DV25" s="110"/>
      <c r="DW25" s="110"/>
      <c r="DX25" s="25">
        <v>1</v>
      </c>
      <c r="DY25" s="25">
        <v>1</v>
      </c>
      <c r="DZ25" s="25"/>
      <c r="EA25" s="25">
        <v>1</v>
      </c>
      <c r="EB25" s="110"/>
      <c r="EC25" s="110"/>
      <c r="ED25" s="110"/>
      <c r="EE25" s="25">
        <v>1</v>
      </c>
      <c r="EF25" s="25"/>
      <c r="EG25" s="25"/>
      <c r="EH25" s="110"/>
      <c r="EI25" s="110"/>
      <c r="EJ25" s="110"/>
      <c r="EK25" s="110"/>
      <c r="EL25" s="25">
        <v>1</v>
      </c>
      <c r="EM25" s="25"/>
      <c r="EN25" s="25"/>
      <c r="EO25" s="25"/>
      <c r="EP25" s="25"/>
      <c r="EQ25" s="110"/>
      <c r="ER25" s="110"/>
      <c r="ES25" s="110"/>
      <c r="ET25" s="25"/>
      <c r="EU25" s="25"/>
      <c r="EV25" s="25"/>
      <c r="EW25" s="25"/>
      <c r="EX25" s="110"/>
      <c r="EY25" s="110"/>
      <c r="EZ25" s="25"/>
      <c r="FA25" s="25"/>
      <c r="FB25" s="25"/>
      <c r="FC25" s="25"/>
      <c r="FD25" s="25"/>
      <c r="FE25" s="110"/>
      <c r="FF25" s="110"/>
      <c r="FG25" s="25"/>
      <c r="FH25" s="25"/>
      <c r="FI25" s="25"/>
      <c r="FJ25" s="25"/>
      <c r="FK25" s="25"/>
      <c r="FL25" s="110"/>
      <c r="FM25" s="110"/>
      <c r="FN25" s="25"/>
      <c r="FO25" s="25"/>
      <c r="FP25" s="25"/>
      <c r="FQ25" s="25"/>
      <c r="FR25" s="25"/>
      <c r="FS25" s="110"/>
      <c r="FT25" s="110"/>
      <c r="FU25" s="25"/>
      <c r="FV25" s="25"/>
      <c r="FW25" s="25"/>
      <c r="FX25" s="25"/>
      <c r="FY25" s="25"/>
      <c r="FZ25" s="110"/>
      <c r="GA25" s="110"/>
      <c r="GB25" s="25"/>
      <c r="GC25" s="25"/>
      <c r="GD25" s="25"/>
      <c r="GE25" s="25"/>
      <c r="GF25" s="25"/>
      <c r="GG25" s="110"/>
      <c r="GH25" s="110"/>
      <c r="GI25" s="25"/>
      <c r="GJ25" s="25"/>
      <c r="GK25" s="25"/>
      <c r="GL25" s="25"/>
      <c r="GM25" s="25"/>
      <c r="GN25" s="110"/>
      <c r="GO25" s="110"/>
      <c r="GP25" s="110"/>
      <c r="GQ25" s="110"/>
      <c r="GR25" s="25"/>
      <c r="GS25" s="25"/>
      <c r="GT25" s="25"/>
      <c r="GU25" s="110"/>
      <c r="GV25" s="110"/>
      <c r="GW25" s="25"/>
      <c r="GX25" s="25"/>
      <c r="GY25" s="25"/>
      <c r="GZ25" s="25"/>
      <c r="HA25" s="25"/>
      <c r="HB25" s="110"/>
      <c r="HC25" s="110"/>
      <c r="HD25" s="25"/>
      <c r="HE25" s="25"/>
      <c r="HF25" s="25"/>
      <c r="HG25" s="25"/>
      <c r="HH25" s="25"/>
      <c r="HI25" s="110"/>
      <c r="HJ25" s="110"/>
      <c r="HK25" s="25"/>
      <c r="HL25" s="25"/>
      <c r="HM25" s="25"/>
      <c r="HN25" s="25"/>
      <c r="HO25" s="25"/>
      <c r="HP25" s="110"/>
      <c r="HQ25" s="110"/>
      <c r="HR25" s="25"/>
      <c r="HS25" s="25"/>
      <c r="HT25" s="25"/>
      <c r="HU25" s="25"/>
      <c r="HV25" s="25"/>
      <c r="HW25" s="110"/>
      <c r="HX25" s="110"/>
      <c r="HY25" s="25"/>
      <c r="HZ25" s="25"/>
      <c r="IA25" s="25"/>
      <c r="IB25" s="25"/>
      <c r="IC25" s="25"/>
      <c r="ID25" s="110"/>
      <c r="IE25" s="110"/>
      <c r="IF25" s="25"/>
      <c r="IG25" s="25"/>
      <c r="IH25" s="25"/>
      <c r="II25" s="25"/>
      <c r="IJ25" s="25"/>
      <c r="IK25" s="110"/>
      <c r="IL25" s="110"/>
      <c r="IM25" s="25"/>
      <c r="IN25" s="25"/>
      <c r="IO25" s="25"/>
      <c r="IP25" s="25"/>
      <c r="IQ25" s="25"/>
      <c r="IR25" s="110"/>
      <c r="IS25" s="110"/>
      <c r="IT25" s="25"/>
      <c r="IU25" s="25"/>
      <c r="IV25" s="25"/>
      <c r="IW25" s="25"/>
      <c r="IX25" s="25"/>
      <c r="IY25" s="110"/>
      <c r="IZ25" s="110"/>
      <c r="JA25" s="25"/>
      <c r="JB25" s="25"/>
      <c r="JC25" s="25"/>
      <c r="JD25" s="25"/>
      <c r="JE25" s="25"/>
      <c r="JF25" s="110"/>
      <c r="JG25" s="110"/>
      <c r="JH25" s="25"/>
      <c r="JI25" s="25"/>
      <c r="JJ25" s="25"/>
      <c r="JK25" s="25"/>
      <c r="JL25" s="25"/>
      <c r="JM25" s="110"/>
      <c r="JN25" s="110"/>
      <c r="JO25" s="25"/>
      <c r="JP25" s="25"/>
      <c r="JQ25" s="25"/>
      <c r="JR25" s="25"/>
      <c r="JS25" s="25"/>
      <c r="JT25" s="110"/>
      <c r="JU25" s="110"/>
      <c r="JV25" s="25"/>
      <c r="JW25" s="25"/>
      <c r="JX25" s="25"/>
      <c r="JY25" s="25"/>
      <c r="JZ25" s="25"/>
      <c r="KA25" s="110"/>
      <c r="KB25" s="110"/>
      <c r="KC25" s="25"/>
      <c r="KD25" s="25"/>
      <c r="KE25" s="25"/>
      <c r="KF25" s="25"/>
      <c r="KG25" s="25"/>
      <c r="KH25" s="110"/>
      <c r="KI25" s="110"/>
      <c r="KJ25" s="25"/>
      <c r="KK25" s="25"/>
      <c r="KL25" s="25"/>
      <c r="KM25" s="25"/>
      <c r="KN25" s="25"/>
      <c r="KO25" s="110"/>
      <c r="KP25" s="110"/>
      <c r="KQ25" s="25"/>
      <c r="KR25" s="25"/>
      <c r="KS25" s="25"/>
      <c r="KT25" s="25"/>
      <c r="KU25" s="25"/>
      <c r="KV25" s="110"/>
      <c r="KW25" s="110"/>
      <c r="KX25" s="25"/>
      <c r="KY25" s="25"/>
      <c r="KZ25" s="25"/>
      <c r="LA25" s="25"/>
      <c r="LB25" s="25"/>
      <c r="LC25" s="110"/>
      <c r="LD25" s="110"/>
      <c r="LE25" s="25"/>
      <c r="LF25" s="25"/>
      <c r="LG25" s="110"/>
      <c r="LH25" s="25"/>
      <c r="LI25" s="25"/>
      <c r="LJ25" s="110"/>
      <c r="LK25" s="110"/>
      <c r="LL25" s="25"/>
      <c r="LM25" s="25"/>
      <c r="LN25" s="25"/>
      <c r="LO25" s="25"/>
      <c r="LP25" s="25"/>
      <c r="LQ25" s="110"/>
      <c r="LR25" s="110"/>
      <c r="LS25" s="25"/>
      <c r="LT25" s="25"/>
      <c r="LU25" s="25"/>
      <c r="LV25" s="25"/>
      <c r="LW25" s="25"/>
      <c r="LX25" s="110"/>
      <c r="LY25" s="110"/>
      <c r="LZ25" s="25"/>
      <c r="MA25" s="25"/>
      <c r="MB25" s="25"/>
      <c r="MC25" s="25"/>
      <c r="MD25" s="25"/>
      <c r="ME25" s="110"/>
      <c r="MF25" s="110"/>
      <c r="MG25" s="25"/>
      <c r="MH25" s="25"/>
      <c r="MI25" s="25"/>
      <c r="MJ25" s="25"/>
      <c r="MK25" s="25"/>
      <c r="ML25" s="110"/>
      <c r="MM25" s="110"/>
      <c r="MN25" s="25"/>
      <c r="MO25" s="25"/>
      <c r="MP25" s="25"/>
      <c r="MQ25" s="25"/>
      <c r="MR25" s="25"/>
      <c r="MS25" s="110"/>
      <c r="MT25" s="110"/>
      <c r="MU25" s="25"/>
      <c r="MV25" s="25"/>
      <c r="MW25" s="25"/>
      <c r="MX25" s="25"/>
      <c r="MY25" s="25"/>
      <c r="MZ25" s="110"/>
      <c r="NA25" s="110"/>
      <c r="NB25" s="25"/>
      <c r="NC25" s="25"/>
      <c r="ND25" s="25"/>
      <c r="NE25" s="129"/>
      <c r="NF25" s="111"/>
      <c r="NG25" s="8"/>
      <c r="NH25" s="351"/>
      <c r="NI25" s="138" t="str">
        <f t="shared" si="12"/>
        <v/>
      </c>
      <c r="NJ25" s="8"/>
      <c r="NK25" s="351"/>
      <c r="NL25" s="138" t="str">
        <f t="shared" si="13"/>
        <v/>
      </c>
      <c r="NM25" s="8"/>
      <c r="NN25" s="351"/>
      <c r="NO25" s="138" t="str">
        <f t="shared" si="14"/>
        <v/>
      </c>
      <c r="NP25" s="8"/>
      <c r="NQ25" s="351"/>
      <c r="NR25" s="138" t="str">
        <f t="shared" si="15"/>
        <v/>
      </c>
      <c r="NS25" s="8"/>
      <c r="NT25" s="351"/>
      <c r="NU25" s="138" t="str">
        <f t="shared" si="16"/>
        <v/>
      </c>
      <c r="NV25" s="8"/>
      <c r="NW25" s="351"/>
      <c r="NX25" s="138"/>
      <c r="NY25" s="8"/>
      <c r="NZ25" s="351"/>
      <c r="OA25" s="138"/>
      <c r="OB25" s="8"/>
      <c r="OC25" s="351"/>
      <c r="OD25" s="138"/>
      <c r="OE25" s="8"/>
      <c r="OF25" s="351"/>
      <c r="OG25" s="138"/>
      <c r="OH25" s="8"/>
      <c r="OI25" s="351"/>
      <c r="OJ25" s="138"/>
      <c r="OK25" s="8"/>
      <c r="OL25" s="351"/>
      <c r="OM25" s="138"/>
      <c r="ON25" s="8"/>
      <c r="OO25" s="351"/>
      <c r="OP25" s="138"/>
      <c r="OQ25" s="94"/>
      <c r="OR25" s="94"/>
      <c r="OS25" s="138"/>
    </row>
    <row r="26" spans="1:409" ht="18" hidden="1" customHeight="1" x14ac:dyDescent="0.25">
      <c r="A26" s="94" t="s">
        <v>192</v>
      </c>
      <c r="B26" s="94" t="s">
        <v>194</v>
      </c>
      <c r="C26" s="27" t="s">
        <v>166</v>
      </c>
      <c r="D26" s="27" t="s">
        <v>195</v>
      </c>
      <c r="E26" s="128"/>
      <c r="F26" s="110"/>
      <c r="G26" s="110"/>
      <c r="H26" s="110"/>
      <c r="I26" s="25"/>
      <c r="J26" s="25"/>
      <c r="K26" s="25"/>
      <c r="L26" s="25"/>
      <c r="M26" s="25"/>
      <c r="N26" s="110"/>
      <c r="O26" s="110"/>
      <c r="P26" s="25"/>
      <c r="Q26" s="25"/>
      <c r="R26" s="25"/>
      <c r="S26" s="25"/>
      <c r="T26" s="25"/>
      <c r="U26" s="110"/>
      <c r="V26" s="110"/>
      <c r="W26" s="25"/>
      <c r="X26" s="25"/>
      <c r="Y26" s="25"/>
      <c r="Z26" s="25"/>
      <c r="AA26" s="25"/>
      <c r="AB26" s="110"/>
      <c r="AC26" s="110"/>
      <c r="AD26" s="25"/>
      <c r="AE26" s="25"/>
      <c r="AF26" s="25"/>
      <c r="AG26" s="25"/>
      <c r="AH26" s="25"/>
      <c r="AI26" s="110"/>
      <c r="AJ26" s="110"/>
      <c r="AK26" s="25"/>
      <c r="AL26" s="25"/>
      <c r="AM26" s="25"/>
      <c r="AN26" s="25"/>
      <c r="AO26" s="25"/>
      <c r="AP26" s="110"/>
      <c r="AQ26" s="110"/>
      <c r="AR26" s="25"/>
      <c r="AS26" s="25"/>
      <c r="AT26" s="25"/>
      <c r="AV26" s="25"/>
      <c r="AW26" s="110"/>
      <c r="AX26" s="110"/>
      <c r="AY26" s="25"/>
      <c r="AZ26" s="25"/>
      <c r="BA26" s="25"/>
      <c r="BB26" s="25"/>
      <c r="BC26" s="25"/>
      <c r="BD26" s="110"/>
      <c r="BE26" s="110"/>
      <c r="BF26" s="25"/>
      <c r="BG26" s="25"/>
      <c r="BH26" s="25"/>
      <c r="BI26" s="25"/>
      <c r="BJ26" s="25"/>
      <c r="BK26" s="110"/>
      <c r="BL26" s="110"/>
      <c r="BM26" s="25"/>
      <c r="BN26" s="25"/>
      <c r="BO26" s="25"/>
      <c r="BP26" s="25"/>
      <c r="BQ26" s="25"/>
      <c r="BR26" s="110"/>
      <c r="BS26" s="110"/>
      <c r="BT26" s="25"/>
      <c r="BU26" s="25"/>
      <c r="BV26" s="25"/>
      <c r="BW26" s="25"/>
      <c r="BX26" s="25"/>
      <c r="BY26" s="110"/>
      <c r="BZ26" s="110"/>
      <c r="CA26" s="25"/>
      <c r="CB26" s="25"/>
      <c r="CC26" s="25"/>
      <c r="CD26" s="25"/>
      <c r="CE26" s="25"/>
      <c r="CF26" s="110"/>
      <c r="CG26" s="110"/>
      <c r="CH26" s="25"/>
      <c r="CI26" s="25"/>
      <c r="CJ26" s="25"/>
      <c r="CK26" s="25"/>
      <c r="CL26" s="25"/>
      <c r="CM26" s="110"/>
      <c r="CN26" s="110"/>
      <c r="CO26" s="25"/>
      <c r="CP26" s="25"/>
      <c r="CQ26" s="25"/>
      <c r="CR26" s="25"/>
      <c r="CS26" s="25"/>
      <c r="CT26" s="110"/>
      <c r="CU26" s="110"/>
      <c r="CV26" s="110"/>
      <c r="CW26" s="25"/>
      <c r="CX26" s="25"/>
      <c r="CY26" s="25"/>
      <c r="CZ26" s="25"/>
      <c r="DA26" s="110"/>
      <c r="DB26" s="110"/>
      <c r="DC26" s="25"/>
      <c r="DD26" s="25"/>
      <c r="DE26" s="25"/>
      <c r="DF26" s="25"/>
      <c r="DG26" s="25"/>
      <c r="DH26" s="110"/>
      <c r="DI26" s="110"/>
      <c r="DJ26" s="25"/>
      <c r="DK26" s="25"/>
      <c r="DL26" s="25"/>
      <c r="DM26" s="25"/>
      <c r="DN26" s="25"/>
      <c r="DO26" s="110"/>
      <c r="DP26" s="110"/>
      <c r="DQ26" s="25"/>
      <c r="DR26" s="25"/>
      <c r="DS26" s="25"/>
      <c r="DT26" s="25"/>
      <c r="DU26" s="110" t="s">
        <v>445</v>
      </c>
      <c r="DV26" s="110"/>
      <c r="DW26" s="110"/>
      <c r="DX26" s="25"/>
      <c r="DY26" s="25"/>
      <c r="DZ26" s="25"/>
      <c r="EA26" s="25"/>
      <c r="EB26" s="110" t="s">
        <v>445</v>
      </c>
      <c r="EC26" s="110"/>
      <c r="ED26" s="110"/>
      <c r="EE26" s="25"/>
      <c r="EF26" s="25"/>
      <c r="EG26" s="25"/>
      <c r="EH26" s="110" t="s">
        <v>445</v>
      </c>
      <c r="EI26" s="110" t="s">
        <v>445</v>
      </c>
      <c r="EJ26" s="110"/>
      <c r="EK26" s="110"/>
      <c r="EL26" s="25"/>
      <c r="EM26" s="25"/>
      <c r="EN26" s="25"/>
      <c r="EO26" s="25"/>
      <c r="EP26" s="25"/>
      <c r="EQ26" s="110"/>
      <c r="ER26" s="110"/>
      <c r="ES26" s="110" t="s">
        <v>445</v>
      </c>
      <c r="ET26" s="25"/>
      <c r="EU26" s="25"/>
      <c r="EV26" s="25"/>
      <c r="EW26" s="25"/>
      <c r="EX26" s="110"/>
      <c r="EY26" s="110"/>
      <c r="EZ26" s="25"/>
      <c r="FA26" s="25"/>
      <c r="FB26" s="25"/>
      <c r="FC26" s="25"/>
      <c r="FD26" s="25"/>
      <c r="FE26" s="110"/>
      <c r="FF26" s="110"/>
      <c r="FG26" s="25"/>
      <c r="FH26" s="25"/>
      <c r="FI26" s="25"/>
      <c r="FJ26" s="25"/>
      <c r="FK26" s="25"/>
      <c r="FL26" s="110"/>
      <c r="FM26" s="110"/>
      <c r="FN26" s="25"/>
      <c r="FO26" s="25"/>
      <c r="FP26" s="25"/>
      <c r="FQ26" s="25"/>
      <c r="FR26" s="25"/>
      <c r="FS26" s="110"/>
      <c r="FT26" s="110"/>
      <c r="FU26" s="25"/>
      <c r="FV26" s="25"/>
      <c r="FW26" s="25"/>
      <c r="FX26" s="25"/>
      <c r="FY26" s="25"/>
      <c r="FZ26" s="110"/>
      <c r="GA26" s="110"/>
      <c r="GB26" s="25"/>
      <c r="GC26" s="25"/>
      <c r="GD26" s="25"/>
      <c r="GE26" s="25"/>
      <c r="GF26" s="25"/>
      <c r="GG26" s="110"/>
      <c r="GH26" s="110"/>
      <c r="GI26" s="25"/>
      <c r="GJ26" s="25"/>
      <c r="GK26" s="25"/>
      <c r="GL26" s="25"/>
      <c r="GM26" s="25"/>
      <c r="GN26" s="110"/>
      <c r="GO26" s="110"/>
      <c r="GP26" s="110" t="s">
        <v>445</v>
      </c>
      <c r="GQ26" s="110"/>
      <c r="GR26" s="25"/>
      <c r="GS26" s="25"/>
      <c r="GT26" s="25"/>
      <c r="GU26" s="110"/>
      <c r="GV26" s="110"/>
      <c r="GW26" s="25"/>
      <c r="GX26" s="25"/>
      <c r="GY26" s="25"/>
      <c r="GZ26" s="25"/>
      <c r="HA26" s="25"/>
      <c r="HB26" s="110"/>
      <c r="HC26" s="110"/>
      <c r="HD26" s="25"/>
      <c r="HE26" s="25"/>
      <c r="HF26" s="25"/>
      <c r="HG26" s="25"/>
      <c r="HH26" s="25"/>
      <c r="HI26" s="110"/>
      <c r="HJ26" s="110"/>
      <c r="HK26" s="25"/>
      <c r="HL26" s="25"/>
      <c r="HM26" s="25"/>
      <c r="HN26" s="25"/>
      <c r="HO26" s="25"/>
      <c r="HP26" s="110"/>
      <c r="HQ26" s="110"/>
      <c r="HR26" s="25"/>
      <c r="HS26" s="25"/>
      <c r="HT26" s="25"/>
      <c r="HU26" s="25"/>
      <c r="HV26" s="25"/>
      <c r="HW26" s="110"/>
      <c r="HX26" s="110"/>
      <c r="HY26" s="25"/>
      <c r="HZ26" s="25"/>
      <c r="IA26" s="25"/>
      <c r="IB26" s="25"/>
      <c r="IC26" s="25"/>
      <c r="ID26" s="110"/>
      <c r="IE26" s="110"/>
      <c r="IF26" s="25"/>
      <c r="IG26" s="25"/>
      <c r="IH26" s="25"/>
      <c r="II26" s="25"/>
      <c r="IJ26" s="25"/>
      <c r="IK26" s="110"/>
      <c r="IL26" s="110"/>
      <c r="IM26" s="25"/>
      <c r="IN26" s="25"/>
      <c r="IO26" s="25"/>
      <c r="IP26" s="25"/>
      <c r="IQ26" s="25"/>
      <c r="IR26" s="110"/>
      <c r="IS26" s="110"/>
      <c r="IT26" s="25"/>
      <c r="IU26" s="25"/>
      <c r="IV26" s="25"/>
      <c r="IW26" s="25"/>
      <c r="IX26" s="25"/>
      <c r="IY26" s="110"/>
      <c r="IZ26" s="110"/>
      <c r="JA26" s="25"/>
      <c r="JB26" s="25"/>
      <c r="JC26" s="25"/>
      <c r="JD26" s="25"/>
      <c r="JE26" s="25"/>
      <c r="JF26" s="110"/>
      <c r="JG26" s="110"/>
      <c r="JH26" s="25"/>
      <c r="JI26" s="25"/>
      <c r="JJ26" s="25"/>
      <c r="JK26" s="25"/>
      <c r="JL26" s="25"/>
      <c r="JM26" s="110"/>
      <c r="JN26" s="110"/>
      <c r="JO26" s="25"/>
      <c r="JP26" s="25"/>
      <c r="JQ26" s="25"/>
      <c r="JR26" s="25"/>
      <c r="JS26" s="25"/>
      <c r="JT26" s="110"/>
      <c r="JU26" s="110"/>
      <c r="JV26" s="25"/>
      <c r="JW26" s="25"/>
      <c r="JX26" s="25"/>
      <c r="JY26" s="25"/>
      <c r="JZ26" s="25"/>
      <c r="KA26" s="110"/>
      <c r="KB26" s="110"/>
      <c r="KC26" s="25"/>
      <c r="KD26" s="25"/>
      <c r="KE26" s="25"/>
      <c r="KF26" s="25"/>
      <c r="KG26" s="25"/>
      <c r="KH26" s="110"/>
      <c r="KI26" s="110"/>
      <c r="KJ26" s="25"/>
      <c r="KK26" s="25"/>
      <c r="KL26" s="25"/>
      <c r="KM26" s="25"/>
      <c r="KN26" s="25"/>
      <c r="KO26" s="110"/>
      <c r="KP26" s="110"/>
      <c r="KQ26" s="25"/>
      <c r="KR26" s="25"/>
      <c r="KS26" s="25"/>
      <c r="KT26" s="25"/>
      <c r="KU26" s="25"/>
      <c r="KV26" s="110"/>
      <c r="KW26" s="110"/>
      <c r="KX26" s="25"/>
      <c r="KY26" s="25"/>
      <c r="KZ26" s="25"/>
      <c r="LA26" s="25"/>
      <c r="LB26" s="25"/>
      <c r="LC26" s="110"/>
      <c r="LD26" s="110"/>
      <c r="LE26" s="25"/>
      <c r="LF26" s="25"/>
      <c r="LG26" s="110" t="s">
        <v>445</v>
      </c>
      <c r="LH26" s="25"/>
      <c r="LI26" s="25"/>
      <c r="LJ26" s="110"/>
      <c r="LK26" s="110"/>
      <c r="LL26" s="25"/>
      <c r="LM26" s="25"/>
      <c r="LN26" s="25"/>
      <c r="LO26" s="25"/>
      <c r="LP26" s="25"/>
      <c r="LQ26" s="110"/>
      <c r="LR26" s="110"/>
      <c r="LS26" s="25"/>
      <c r="LT26" s="25"/>
      <c r="LU26" s="25"/>
      <c r="LV26" s="25"/>
      <c r="LW26" s="25"/>
      <c r="LX26" s="110"/>
      <c r="LY26" s="110"/>
      <c r="LZ26" s="25"/>
      <c r="MA26" s="25"/>
      <c r="MB26" s="25"/>
      <c r="MC26" s="25"/>
      <c r="MD26" s="25"/>
      <c r="ME26" s="110"/>
      <c r="MF26" s="110"/>
      <c r="MG26" s="25"/>
      <c r="MH26" s="25"/>
      <c r="MI26" s="25"/>
      <c r="MJ26" s="25"/>
      <c r="MK26" s="25"/>
      <c r="ML26" s="110"/>
      <c r="MM26" s="110"/>
      <c r="MN26" s="25"/>
      <c r="MO26" s="25"/>
      <c r="MP26" s="25"/>
      <c r="MQ26" s="25"/>
      <c r="MR26" s="25"/>
      <c r="MS26" s="110"/>
      <c r="MT26" s="110"/>
      <c r="MU26" s="25"/>
      <c r="MV26" s="25"/>
      <c r="MW26" s="25"/>
      <c r="MX26" s="25"/>
      <c r="MY26" s="25"/>
      <c r="MZ26" s="110"/>
      <c r="NA26" s="110"/>
      <c r="NB26" s="25"/>
      <c r="NC26" s="25"/>
      <c r="ND26" s="25"/>
      <c r="NE26" s="129"/>
      <c r="NF26" s="111"/>
      <c r="NG26" s="8">
        <f t="shared" si="0"/>
        <v>0</v>
      </c>
      <c r="NH26" s="351" cm="1">
        <f t="array" ref="NH26">NETWORKDAYS($I$2,$AH$2)- SUM(COUNTIF(I26:AH26,{"I";"F";"CP";"R";"P";"AC";"AM"}))</f>
        <v>20</v>
      </c>
      <c r="NI26" s="138">
        <f t="shared" si="12"/>
        <v>0</v>
      </c>
      <c r="NJ26" s="8">
        <f t="shared" si="1"/>
        <v>0</v>
      </c>
      <c r="NK26" s="351" cm="1">
        <f t="array" ref="NK26">NETWORKDAYS($AJ$2,$BK$2)- SUM(COUNTIF(AJ26:BK26,{"I";"F";"CP";"R";"P";"AC";"AM"}))</f>
        <v>20</v>
      </c>
      <c r="NL26" s="138">
        <f t="shared" si="13"/>
        <v>0</v>
      </c>
      <c r="NM26" s="8">
        <f t="shared" si="2"/>
        <v>0</v>
      </c>
      <c r="NN26" s="351" cm="1">
        <f t="array" ref="NN26">NETWORKDAYS($BL$2,$CP$2)- SUM(COUNTIF(BL26:CP26,{"I";"F";"CP";"R";"P";"AC";"AM"}))</f>
        <v>22</v>
      </c>
      <c r="NO26" s="138">
        <f t="shared" si="14"/>
        <v>0</v>
      </c>
      <c r="NP26" s="8">
        <f t="shared" si="3"/>
        <v>0</v>
      </c>
      <c r="NQ26" s="351" cm="1">
        <f t="array" ref="NQ26">NETWORKDAYS($CQ$2,$DT$2,$CV$2)- SUM(COUNTIF(CQ26:DT26,{"I";"F";"CP";"R";"P";"AC";"AM"}))</f>
        <v>21</v>
      </c>
      <c r="NR26" s="138">
        <f t="shared" si="15"/>
        <v>0</v>
      </c>
      <c r="NS26" s="8">
        <f t="shared" si="4"/>
        <v>0</v>
      </c>
      <c r="NT26" s="351" cm="1">
        <f t="array" ref="NT26">NETWORKDAYS($DV$2,$EY$2)-SUM(COUNTIF(DV26:EY26,{"I";"F";"CP";"R";"P";"AC";"AM"}))</f>
        <v>16</v>
      </c>
      <c r="NU26" s="138">
        <f t="shared" si="16"/>
        <v>0</v>
      </c>
      <c r="NV26" s="8">
        <f t="shared" si="27"/>
        <v>0</v>
      </c>
      <c r="NW26" s="351" cm="1">
        <f t="array" ref="NW26">NETWORKDAYS($EZ$2,$GC$2)-SUM(COUNTIF(EZ26:GC26,{"I";"F";"CP";"R";"P";"AC";"AM"}))</f>
        <v>22</v>
      </c>
      <c r="NX26" s="138">
        <f t="shared" si="28"/>
        <v>0</v>
      </c>
      <c r="NY26" s="8">
        <f t="shared" si="29"/>
        <v>0</v>
      </c>
      <c r="NZ26" s="351" cm="1">
        <f t="array" ref="NZ26">NETWORKDAYS($GD$2,$HH$2,$GQ$2)-SUM(COUNTIF(GD26:HH26,{"I";"F";"CP";"R";"P";"AC";"AM"}))</f>
        <v>21</v>
      </c>
      <c r="OA26" s="138">
        <f t="shared" si="30"/>
        <v>0</v>
      </c>
      <c r="OB26" s="8">
        <f t="shared" si="31"/>
        <v>0</v>
      </c>
      <c r="OC26" s="351" cm="1">
        <f t="array" ref="OC26">NETWORKDAYS($HI$2,$IM$2)-SUM(COUNTIF(HI26:IM26,{"I";"F";"CP";"R";"P";"AC";"AM"}))</f>
        <v>21</v>
      </c>
      <c r="OD26" s="138">
        <f t="shared" si="32"/>
        <v>0</v>
      </c>
      <c r="OE26" s="8">
        <f t="shared" si="33"/>
        <v>0</v>
      </c>
      <c r="OF26" s="351" cm="1">
        <f t="array" ref="OF26">NETWORKDAYS($IN$2,$JQ$2)-SUM(COUNTIF(IN26:JQ26,{"I";"F";"CP";"R";"P";"AC";"AM"}))</f>
        <v>22</v>
      </c>
      <c r="OG26" s="138">
        <f t="shared" si="34"/>
        <v>0</v>
      </c>
      <c r="OH26" s="8">
        <f t="shared" si="35"/>
        <v>0</v>
      </c>
      <c r="OI26" s="351" cm="1">
        <f t="array" ref="OI26">NETWORKDAYS($JR$2,$KV$2)-SUM(COUNTIF(JR26:KV26,{"I";"F";"CP";"R";"P";"AC";"AM"}))</f>
        <v>22</v>
      </c>
      <c r="OJ26" s="138">
        <f t="shared" si="36"/>
        <v>0</v>
      </c>
      <c r="OK26" s="8">
        <f t="shared" si="37"/>
        <v>0</v>
      </c>
      <c r="OL26" s="351" cm="1">
        <f t="array" ref="OL26">NETWORKDAYS($KW$2,$LZ$2,$LG$2)-SUM(COUNTIF(KW26:LZ26,{"I";"F";"CP";"R";"P";"AC";"AM"}))</f>
        <v>19</v>
      </c>
      <c r="OM26" s="138">
        <f t="shared" si="38"/>
        <v>0</v>
      </c>
      <c r="ON26" s="8">
        <f t="shared" si="39"/>
        <v>0</v>
      </c>
      <c r="OO26" s="351" cm="1">
        <f t="array" ref="OO26">NETWORKDAYS($MA$2,$MR$2)-SUM(COUNTIF(MA26:MR26,{"I";"F";"CP";"R";"P";"AC";"AM"}))</f>
        <v>14</v>
      </c>
      <c r="OP26" s="138">
        <f t="shared" si="40"/>
        <v>0</v>
      </c>
      <c r="OQ26" s="94">
        <f t="shared" si="41"/>
        <v>0</v>
      </c>
      <c r="OR26" s="94">
        <f t="shared" si="42"/>
        <v>240</v>
      </c>
      <c r="OS26" s="138">
        <f t="shared" si="43"/>
        <v>0</v>
      </c>
    </row>
    <row r="27" spans="1:409" ht="18" hidden="1" customHeight="1" x14ac:dyDescent="0.25">
      <c r="A27" s="93" t="s">
        <v>54</v>
      </c>
      <c r="B27" s="93" t="s">
        <v>34</v>
      </c>
      <c r="C27" s="91" t="s">
        <v>166</v>
      </c>
      <c r="D27" s="91" t="s">
        <v>196</v>
      </c>
      <c r="E27" s="128"/>
      <c r="F27" s="110"/>
      <c r="G27" s="110"/>
      <c r="H27" s="110"/>
      <c r="I27" s="25"/>
      <c r="J27" s="25">
        <v>1</v>
      </c>
      <c r="K27" s="25">
        <v>1</v>
      </c>
      <c r="L27" s="25"/>
      <c r="M27" s="25">
        <v>1</v>
      </c>
      <c r="N27" s="110"/>
      <c r="O27" s="110"/>
      <c r="P27" s="25">
        <v>1</v>
      </c>
      <c r="Q27" s="25">
        <v>1</v>
      </c>
      <c r="R27" s="25">
        <v>1</v>
      </c>
      <c r="S27" s="25">
        <v>1</v>
      </c>
      <c r="T27" s="25">
        <v>1</v>
      </c>
      <c r="U27" s="110"/>
      <c r="V27" s="110"/>
      <c r="W27" s="25">
        <v>1</v>
      </c>
      <c r="X27" s="25">
        <v>1</v>
      </c>
      <c r="Y27" s="25">
        <v>1</v>
      </c>
      <c r="Z27" s="25">
        <v>1</v>
      </c>
      <c r="AA27" s="25">
        <v>1</v>
      </c>
      <c r="AB27" s="110"/>
      <c r="AC27" s="110"/>
      <c r="AD27" s="25">
        <v>1</v>
      </c>
      <c r="AE27" s="25">
        <v>1</v>
      </c>
      <c r="AF27" s="25"/>
      <c r="AG27" s="25">
        <v>1</v>
      </c>
      <c r="AH27" s="25">
        <v>1</v>
      </c>
      <c r="AI27" s="110"/>
      <c r="AJ27" s="110"/>
      <c r="AK27" s="25"/>
      <c r="AL27" s="25"/>
      <c r="AM27" s="25">
        <v>1</v>
      </c>
      <c r="AN27" s="25">
        <v>1</v>
      </c>
      <c r="AO27" s="25">
        <v>1</v>
      </c>
      <c r="AP27" s="110"/>
      <c r="AQ27" s="110"/>
      <c r="AR27" s="25">
        <v>1</v>
      </c>
      <c r="AS27" s="25">
        <v>1</v>
      </c>
      <c r="AT27" s="25">
        <v>1</v>
      </c>
      <c r="AV27" s="25">
        <v>1</v>
      </c>
      <c r="AW27" s="110"/>
      <c r="AX27" s="110"/>
      <c r="AY27" s="25">
        <v>1</v>
      </c>
      <c r="AZ27" s="25">
        <v>1</v>
      </c>
      <c r="BA27" s="25">
        <v>1</v>
      </c>
      <c r="BB27" s="25">
        <v>1</v>
      </c>
      <c r="BC27" s="25">
        <v>1</v>
      </c>
      <c r="BD27" s="110"/>
      <c r="BE27" s="110"/>
      <c r="BF27" s="25">
        <v>1</v>
      </c>
      <c r="BG27" s="25">
        <v>1</v>
      </c>
      <c r="BH27" s="25">
        <v>1</v>
      </c>
      <c r="BI27" s="25">
        <v>1</v>
      </c>
      <c r="BJ27" s="25"/>
      <c r="BK27" s="110"/>
      <c r="BL27" s="110"/>
      <c r="BM27" s="25"/>
      <c r="BN27" s="25">
        <v>1</v>
      </c>
      <c r="BO27" s="25"/>
      <c r="BP27" s="25">
        <v>1</v>
      </c>
      <c r="BQ27" s="25">
        <v>1</v>
      </c>
      <c r="BR27" s="110"/>
      <c r="BS27" s="110"/>
      <c r="BT27" s="25">
        <v>1</v>
      </c>
      <c r="BU27" s="25">
        <v>1</v>
      </c>
      <c r="BV27" s="25">
        <v>1</v>
      </c>
      <c r="BW27" s="25">
        <v>1</v>
      </c>
      <c r="BX27" s="25">
        <v>1</v>
      </c>
      <c r="BY27" s="110"/>
      <c r="BZ27" s="110"/>
      <c r="CA27" s="25">
        <v>1</v>
      </c>
      <c r="CB27" s="25">
        <v>1</v>
      </c>
      <c r="CC27" s="25"/>
      <c r="CD27" s="25"/>
      <c r="CE27" s="25"/>
      <c r="CF27" s="110"/>
      <c r="CG27" s="110"/>
      <c r="CH27" s="25"/>
      <c r="CI27" s="25"/>
      <c r="CJ27" s="25">
        <v>1</v>
      </c>
      <c r="CK27" s="25">
        <v>1</v>
      </c>
      <c r="CL27" s="25">
        <v>1</v>
      </c>
      <c r="CM27" s="110"/>
      <c r="CN27" s="110"/>
      <c r="CO27" s="25">
        <v>1</v>
      </c>
      <c r="CP27" s="25">
        <v>1</v>
      </c>
      <c r="CQ27" s="25"/>
      <c r="CR27" s="25">
        <v>1</v>
      </c>
      <c r="CS27" s="25"/>
      <c r="CT27" s="110"/>
      <c r="CU27" s="110"/>
      <c r="CV27" s="110"/>
      <c r="CW27" s="25">
        <v>1</v>
      </c>
      <c r="CX27" s="25">
        <v>1</v>
      </c>
      <c r="CY27" s="25">
        <v>1</v>
      </c>
      <c r="CZ27" s="25">
        <v>1</v>
      </c>
      <c r="DA27" s="110"/>
      <c r="DB27" s="110"/>
      <c r="DC27" s="25"/>
      <c r="DD27" s="25"/>
      <c r="DE27" s="25"/>
      <c r="DF27" s="25"/>
      <c r="DG27" s="25"/>
      <c r="DH27" s="110"/>
      <c r="DI27" s="110"/>
      <c r="DJ27" s="25">
        <v>1</v>
      </c>
      <c r="DK27" s="25">
        <v>1</v>
      </c>
      <c r="DL27" s="25">
        <v>1</v>
      </c>
      <c r="DM27" s="25">
        <v>1</v>
      </c>
      <c r="DN27" s="25">
        <v>1</v>
      </c>
      <c r="DO27" s="110"/>
      <c r="DP27" s="110"/>
      <c r="DQ27" s="25">
        <v>1</v>
      </c>
      <c r="DR27" s="25">
        <v>1</v>
      </c>
      <c r="DS27" s="25">
        <v>1</v>
      </c>
      <c r="DT27" s="25"/>
      <c r="DU27" s="110" t="s">
        <v>445</v>
      </c>
      <c r="DV27" s="110"/>
      <c r="DW27" s="110"/>
      <c r="DX27" s="25"/>
      <c r="DY27" s="25">
        <v>1</v>
      </c>
      <c r="DZ27" s="25"/>
      <c r="EA27" s="25"/>
      <c r="EB27" s="110" t="s">
        <v>445</v>
      </c>
      <c r="EC27" s="110"/>
      <c r="ED27" s="110"/>
      <c r="EE27" s="25"/>
      <c r="EF27" s="25"/>
      <c r="EG27" s="25"/>
      <c r="EH27" s="110" t="s">
        <v>445</v>
      </c>
      <c r="EI27" s="110" t="s">
        <v>445</v>
      </c>
      <c r="EJ27" s="110"/>
      <c r="EK27" s="110"/>
      <c r="EL27" s="25"/>
      <c r="EM27" s="25"/>
      <c r="EN27" s="25"/>
      <c r="EO27" s="25"/>
      <c r="EP27" s="25"/>
      <c r="EQ27" s="110"/>
      <c r="ER27" s="110"/>
      <c r="ES27" s="110" t="s">
        <v>445</v>
      </c>
      <c r="ET27" s="25"/>
      <c r="EU27" s="25"/>
      <c r="EV27" s="25"/>
      <c r="EW27" s="25"/>
      <c r="EX27" s="110"/>
      <c r="EY27" s="110"/>
      <c r="EZ27" s="25"/>
      <c r="FA27" s="25"/>
      <c r="FB27" s="25"/>
      <c r="FC27" s="25"/>
      <c r="FD27" s="25"/>
      <c r="FE27" s="110"/>
      <c r="FF27" s="110"/>
      <c r="FG27" s="25"/>
      <c r="FH27" s="25"/>
      <c r="FI27" s="25"/>
      <c r="FJ27" s="25"/>
      <c r="FK27" s="25"/>
      <c r="FL27" s="110"/>
      <c r="FM27" s="110"/>
      <c r="FN27" s="25"/>
      <c r="FO27" s="25"/>
      <c r="FP27" s="25"/>
      <c r="FQ27" s="25"/>
      <c r="FR27" s="25"/>
      <c r="FS27" s="110"/>
      <c r="FT27" s="110"/>
      <c r="FU27" s="25"/>
      <c r="FV27" s="25"/>
      <c r="FW27" s="25"/>
      <c r="FX27" s="25"/>
      <c r="FY27" s="25"/>
      <c r="FZ27" s="110"/>
      <c r="GA27" s="110"/>
      <c r="GB27" s="25"/>
      <c r="GC27" s="25"/>
      <c r="GD27" s="25"/>
      <c r="GE27" s="25"/>
      <c r="GF27" s="25"/>
      <c r="GG27" s="110"/>
      <c r="GH27" s="110"/>
      <c r="GI27" s="25"/>
      <c r="GJ27" s="25"/>
      <c r="GK27" s="25"/>
      <c r="GL27" s="25"/>
      <c r="GM27" s="25"/>
      <c r="GN27" s="110"/>
      <c r="GO27" s="110"/>
      <c r="GP27" s="110" t="s">
        <v>445</v>
      </c>
      <c r="GQ27" s="110"/>
      <c r="GR27" s="25"/>
      <c r="GS27" s="25"/>
      <c r="GT27" s="25"/>
      <c r="GU27" s="110"/>
      <c r="GV27" s="110"/>
      <c r="GW27" s="25"/>
      <c r="GX27" s="25"/>
      <c r="GY27" s="25"/>
      <c r="GZ27" s="25"/>
      <c r="HA27" s="25"/>
      <c r="HB27" s="110"/>
      <c r="HC27" s="110"/>
      <c r="HD27" s="25"/>
      <c r="HE27" s="25"/>
      <c r="HF27" s="25"/>
      <c r="HG27" s="25"/>
      <c r="HH27" s="25"/>
      <c r="HI27" s="110"/>
      <c r="HJ27" s="110"/>
      <c r="HK27" s="25"/>
      <c r="HL27" s="25"/>
      <c r="HM27" s="25"/>
      <c r="HN27" s="25"/>
      <c r="HO27" s="25"/>
      <c r="HP27" s="110"/>
      <c r="HQ27" s="110"/>
      <c r="HR27" s="25"/>
      <c r="HS27" s="25"/>
      <c r="HT27" s="25"/>
      <c r="HU27" s="25"/>
      <c r="HV27" s="25"/>
      <c r="HW27" s="110"/>
      <c r="HX27" s="110"/>
      <c r="HY27" s="25"/>
      <c r="HZ27" s="25"/>
      <c r="IA27" s="25"/>
      <c r="IB27" s="25"/>
      <c r="IC27" s="25"/>
      <c r="ID27" s="110"/>
      <c r="IE27" s="110"/>
      <c r="IF27" s="25"/>
      <c r="IG27" s="25"/>
      <c r="IH27" s="25"/>
      <c r="II27" s="25"/>
      <c r="IJ27" s="25"/>
      <c r="IK27" s="110"/>
      <c r="IL27" s="110"/>
      <c r="IM27" s="25"/>
      <c r="IN27" s="25"/>
      <c r="IO27" s="25"/>
      <c r="IP27" s="25"/>
      <c r="IQ27" s="25"/>
      <c r="IR27" s="110"/>
      <c r="IS27" s="110"/>
      <c r="IT27" s="25"/>
      <c r="IU27" s="25"/>
      <c r="IV27" s="25"/>
      <c r="IW27" s="25"/>
      <c r="IX27" s="25"/>
      <c r="IY27" s="110"/>
      <c r="IZ27" s="110"/>
      <c r="JA27" s="25"/>
      <c r="JB27" s="25"/>
      <c r="JC27" s="25"/>
      <c r="JD27" s="25"/>
      <c r="JE27" s="25"/>
      <c r="JF27" s="110"/>
      <c r="JG27" s="110"/>
      <c r="JH27" s="25"/>
      <c r="JI27" s="25"/>
      <c r="JJ27" s="25"/>
      <c r="JK27" s="25"/>
      <c r="JL27" s="25"/>
      <c r="JM27" s="110"/>
      <c r="JN27" s="110"/>
      <c r="JO27" s="25"/>
      <c r="JP27" s="25"/>
      <c r="JQ27" s="25"/>
      <c r="JR27" s="25"/>
      <c r="JS27" s="25"/>
      <c r="JT27" s="110"/>
      <c r="JU27" s="110"/>
      <c r="JV27" s="25"/>
      <c r="JW27" s="25"/>
      <c r="JX27" s="25"/>
      <c r="JY27" s="25"/>
      <c r="JZ27" s="25"/>
      <c r="KA27" s="110"/>
      <c r="KB27" s="110"/>
      <c r="KC27" s="25"/>
      <c r="KD27" s="25"/>
      <c r="KE27" s="25"/>
      <c r="KF27" s="25"/>
      <c r="KG27" s="25"/>
      <c r="KH27" s="110"/>
      <c r="KI27" s="110"/>
      <c r="KJ27" s="25"/>
      <c r="KK27" s="25"/>
      <c r="KL27" s="25"/>
      <c r="KM27" s="25"/>
      <c r="KN27" s="25"/>
      <c r="KO27" s="110"/>
      <c r="KP27" s="110"/>
      <c r="KQ27" s="25"/>
      <c r="KR27" s="25"/>
      <c r="KS27" s="25"/>
      <c r="KT27" s="25"/>
      <c r="KU27" s="25"/>
      <c r="KV27" s="110"/>
      <c r="KW27" s="110"/>
      <c r="KX27" s="25"/>
      <c r="KY27" s="25"/>
      <c r="KZ27" s="25"/>
      <c r="LA27" s="25"/>
      <c r="LB27" s="25"/>
      <c r="LC27" s="110"/>
      <c r="LD27" s="110"/>
      <c r="LE27" s="25"/>
      <c r="LF27" s="25"/>
      <c r="LG27" s="110" t="s">
        <v>445</v>
      </c>
      <c r="LH27" s="25"/>
      <c r="LI27" s="25"/>
      <c r="LJ27" s="110"/>
      <c r="LK27" s="110"/>
      <c r="LL27" s="25"/>
      <c r="LM27" s="25"/>
      <c r="LN27" s="25"/>
      <c r="LO27" s="25"/>
      <c r="LP27" s="25"/>
      <c r="LQ27" s="110"/>
      <c r="LR27" s="110"/>
      <c r="LS27" s="25"/>
      <c r="LT27" s="25"/>
      <c r="LU27" s="25"/>
      <c r="LV27" s="25"/>
      <c r="LW27" s="25"/>
      <c r="LX27" s="110"/>
      <c r="LY27" s="110"/>
      <c r="LZ27" s="25"/>
      <c r="MA27" s="25"/>
      <c r="MB27" s="25"/>
      <c r="MC27" s="25"/>
      <c r="MD27" s="25"/>
      <c r="ME27" s="110"/>
      <c r="MF27" s="110"/>
      <c r="MG27" s="25"/>
      <c r="MH27" s="25"/>
      <c r="MI27" s="25"/>
      <c r="MJ27" s="25"/>
      <c r="MK27" s="25"/>
      <c r="ML27" s="110"/>
      <c r="MM27" s="110"/>
      <c r="MN27" s="25"/>
      <c r="MO27" s="25"/>
      <c r="MP27" s="25"/>
      <c r="MQ27" s="25"/>
      <c r="MR27" s="25"/>
      <c r="MS27" s="110"/>
      <c r="MT27" s="110"/>
      <c r="MU27" s="25"/>
      <c r="MV27" s="25"/>
      <c r="MW27" s="25"/>
      <c r="MX27" s="25"/>
      <c r="MY27" s="25"/>
      <c r="MZ27" s="110"/>
      <c r="NA27" s="110"/>
      <c r="NB27" s="25"/>
      <c r="NC27" s="25"/>
      <c r="ND27" s="25"/>
      <c r="NE27" s="129"/>
      <c r="NF27" s="111"/>
      <c r="NG27" s="8">
        <f t="shared" si="0"/>
        <v>17</v>
      </c>
      <c r="NH27" s="351" cm="1">
        <f t="array" ref="NH27">NETWORKDAYS($I$2,$AH$2)- SUM(COUNTIF(I27:AH27,{"I";"F";"CP";"R";"P";"AC";"AM"}))</f>
        <v>20</v>
      </c>
      <c r="NI27" s="138">
        <f t="shared" si="12"/>
        <v>0.85</v>
      </c>
      <c r="NJ27" s="8">
        <f t="shared" si="1"/>
        <v>16</v>
      </c>
      <c r="NK27" s="351" cm="1">
        <f t="array" ref="NK27">NETWORKDAYS($AJ$2,$BK$2)- SUM(COUNTIF(AJ27:BK27,{"I";"F";"CP";"R";"P";"AC";"AM"}))</f>
        <v>20</v>
      </c>
      <c r="NL27" s="138">
        <f t="shared" si="13"/>
        <v>0.8</v>
      </c>
      <c r="NM27" s="8">
        <f t="shared" si="2"/>
        <v>15</v>
      </c>
      <c r="NN27" s="351" cm="1">
        <f t="array" ref="NN27">NETWORKDAYS($BL$2,$CP$2)- SUM(COUNTIF(BL27:CP27,{"I";"F";"CP";"R";"P";"AC";"AM"}))</f>
        <v>22</v>
      </c>
      <c r="NO27" s="138">
        <f t="shared" si="14"/>
        <v>0.68181818181818177</v>
      </c>
      <c r="NP27" s="8">
        <f t="shared" si="3"/>
        <v>13</v>
      </c>
      <c r="NQ27" s="351" cm="1">
        <f t="array" ref="NQ27">NETWORKDAYS($CQ$2,$DT$2,$CV$2)- SUM(COUNTIF(CQ27:DT27,{"I";"F";"CP";"R";"P";"AC";"AM"}))</f>
        <v>21</v>
      </c>
      <c r="NR27" s="138">
        <f t="shared" si="15"/>
        <v>0.61904761904761907</v>
      </c>
      <c r="NS27" s="8">
        <f t="shared" si="4"/>
        <v>1</v>
      </c>
      <c r="NT27" s="351" cm="1">
        <f t="array" ref="NT27">NETWORKDAYS($DV$2,$EY$2)-SUM(COUNTIF(DV27:EY27,{"I";"F";"CP";"R";"P";"AC";"AM"}))</f>
        <v>16</v>
      </c>
      <c r="NU27" s="138">
        <f t="shared" si="16"/>
        <v>6.25E-2</v>
      </c>
      <c r="NV27" s="8">
        <f t="shared" si="27"/>
        <v>0</v>
      </c>
      <c r="NW27" s="351" cm="1">
        <f t="array" ref="NW27">NETWORKDAYS($EZ$2,$GC$2)-SUM(COUNTIF(EZ27:GC27,{"I";"F";"CP";"R";"P";"AC";"AM"}))</f>
        <v>22</v>
      </c>
      <c r="NX27" s="138">
        <f t="shared" si="28"/>
        <v>0</v>
      </c>
      <c r="NY27" s="8">
        <f t="shared" si="29"/>
        <v>0</v>
      </c>
      <c r="NZ27" s="351" cm="1">
        <f t="array" ref="NZ27">NETWORKDAYS($GD$2,$HH$2,$GQ$2)-SUM(COUNTIF(GD27:HH27,{"I";"F";"CP";"R";"P";"AC";"AM"}))</f>
        <v>21</v>
      </c>
      <c r="OA27" s="138">
        <f t="shared" si="30"/>
        <v>0</v>
      </c>
      <c r="OB27" s="8">
        <f t="shared" si="31"/>
        <v>0</v>
      </c>
      <c r="OC27" s="351" cm="1">
        <f t="array" ref="OC27">NETWORKDAYS($HI$2,$IM$2)-SUM(COUNTIF(HI27:IM27,{"I";"F";"CP";"R";"P";"AC";"AM"}))</f>
        <v>21</v>
      </c>
      <c r="OD27" s="138">
        <f t="shared" si="32"/>
        <v>0</v>
      </c>
      <c r="OE27" s="8">
        <f t="shared" si="33"/>
        <v>0</v>
      </c>
      <c r="OF27" s="351" cm="1">
        <f t="array" ref="OF27">NETWORKDAYS($IN$2,$JQ$2)-SUM(COUNTIF(IN27:JQ27,{"I";"F";"CP";"R";"P";"AC";"AM"}))</f>
        <v>22</v>
      </c>
      <c r="OG27" s="138">
        <f t="shared" si="34"/>
        <v>0</v>
      </c>
      <c r="OH27" s="8">
        <f t="shared" si="35"/>
        <v>0</v>
      </c>
      <c r="OI27" s="351" cm="1">
        <f t="array" ref="OI27">NETWORKDAYS($JR$2,$KV$2)-SUM(COUNTIF(JR27:KV27,{"I";"F";"CP";"R";"P";"AC";"AM"}))</f>
        <v>22</v>
      </c>
      <c r="OJ27" s="138">
        <f t="shared" si="36"/>
        <v>0</v>
      </c>
      <c r="OK27" s="8">
        <f t="shared" si="37"/>
        <v>0</v>
      </c>
      <c r="OL27" s="351" cm="1">
        <f t="array" ref="OL27">NETWORKDAYS($KW$2,$LZ$2,$LG$2)-SUM(COUNTIF(KW27:LZ27,{"I";"F";"CP";"R";"P";"AC";"AM"}))</f>
        <v>19</v>
      </c>
      <c r="OM27" s="138">
        <f t="shared" si="38"/>
        <v>0</v>
      </c>
      <c r="ON27" s="8">
        <f t="shared" si="39"/>
        <v>0</v>
      </c>
      <c r="OO27" s="351" cm="1">
        <f t="array" ref="OO27">NETWORKDAYS($MA$2,$MR$2)-SUM(COUNTIF(MA27:MR27,{"I";"F";"CP";"R";"P";"AC";"AM"}))</f>
        <v>14</v>
      </c>
      <c r="OP27" s="138">
        <f t="shared" si="40"/>
        <v>0</v>
      </c>
      <c r="OQ27" s="94">
        <f t="shared" si="41"/>
        <v>62</v>
      </c>
      <c r="OR27" s="94">
        <f t="shared" si="42"/>
        <v>240</v>
      </c>
      <c r="OS27" s="138">
        <f t="shared" si="43"/>
        <v>0.25833333333333336</v>
      </c>
    </row>
    <row r="28" spans="1:409" ht="18" hidden="1" customHeight="1" x14ac:dyDescent="0.25">
      <c r="A28" s="94" t="s">
        <v>192</v>
      </c>
      <c r="B28" s="94" t="s">
        <v>192</v>
      </c>
      <c r="C28" s="27" t="s">
        <v>166</v>
      </c>
      <c r="D28" s="27" t="s">
        <v>197</v>
      </c>
      <c r="E28" s="128"/>
      <c r="F28" s="110"/>
      <c r="G28" s="110"/>
      <c r="H28" s="110"/>
      <c r="I28" s="25"/>
      <c r="J28" s="25"/>
      <c r="K28" s="25"/>
      <c r="L28" s="25">
        <v>1</v>
      </c>
      <c r="M28" s="25">
        <v>1</v>
      </c>
      <c r="N28" s="110"/>
      <c r="O28" s="110"/>
      <c r="P28" s="25">
        <v>1</v>
      </c>
      <c r="Q28" s="25"/>
      <c r="R28" s="25">
        <v>1</v>
      </c>
      <c r="S28" s="25">
        <v>1</v>
      </c>
      <c r="T28" s="25">
        <v>1</v>
      </c>
      <c r="U28" s="110"/>
      <c r="V28" s="110"/>
      <c r="W28" s="25"/>
      <c r="X28" s="25"/>
      <c r="Y28" s="25"/>
      <c r="Z28" s="25"/>
      <c r="AA28" s="25"/>
      <c r="AB28" s="110"/>
      <c r="AC28" s="110"/>
      <c r="AD28" s="25"/>
      <c r="AE28" s="25"/>
      <c r="AF28" s="25"/>
      <c r="AG28" s="25"/>
      <c r="AH28" s="25"/>
      <c r="AI28" s="110"/>
      <c r="AJ28" s="110"/>
      <c r="AK28" s="25">
        <v>1</v>
      </c>
      <c r="AL28" s="25"/>
      <c r="AM28" s="25"/>
      <c r="AN28" s="25"/>
      <c r="AO28" s="25"/>
      <c r="AP28" s="110"/>
      <c r="AQ28" s="110"/>
      <c r="AR28" s="25"/>
      <c r="AS28" s="25"/>
      <c r="AT28" s="25"/>
      <c r="AV28" s="25"/>
      <c r="AW28" s="110"/>
      <c r="AX28" s="110"/>
      <c r="AY28" s="25">
        <v>1</v>
      </c>
      <c r="AZ28" s="25"/>
      <c r="BA28" s="25"/>
      <c r="BB28" s="25"/>
      <c r="BC28" s="25"/>
      <c r="BD28" s="110"/>
      <c r="BE28" s="110"/>
      <c r="BF28" s="25"/>
      <c r="BG28" s="25"/>
      <c r="BH28" s="25"/>
      <c r="BI28" s="25"/>
      <c r="BJ28" s="25"/>
      <c r="BK28" s="110"/>
      <c r="BL28" s="110"/>
      <c r="BM28" s="25"/>
      <c r="BN28" s="25"/>
      <c r="BO28" s="25"/>
      <c r="BP28" s="25"/>
      <c r="BQ28" s="25"/>
      <c r="BR28" s="110"/>
      <c r="BS28" s="110"/>
      <c r="BT28" s="25">
        <v>1</v>
      </c>
      <c r="BU28" s="25"/>
      <c r="BV28" s="25"/>
      <c r="BW28" s="25"/>
      <c r="BX28" s="25">
        <v>1</v>
      </c>
      <c r="BY28" s="110"/>
      <c r="BZ28" s="110"/>
      <c r="CA28" s="25"/>
      <c r="CB28" s="25"/>
      <c r="CC28" s="25"/>
      <c r="CD28" s="25"/>
      <c r="CE28" s="25"/>
      <c r="CF28" s="110"/>
      <c r="CG28" s="110"/>
      <c r="CH28" s="25">
        <v>1</v>
      </c>
      <c r="CI28" s="25">
        <v>1</v>
      </c>
      <c r="CJ28" s="25"/>
      <c r="CK28" s="25"/>
      <c r="CL28" s="25">
        <v>1</v>
      </c>
      <c r="CM28" s="110"/>
      <c r="CN28" s="110"/>
      <c r="CO28" s="25"/>
      <c r="CP28" s="25"/>
      <c r="CQ28" s="25"/>
      <c r="CR28" s="25">
        <v>1</v>
      </c>
      <c r="CS28" s="25"/>
      <c r="CT28" s="110"/>
      <c r="CU28" s="110"/>
      <c r="CV28" s="110"/>
      <c r="CW28" s="25"/>
      <c r="CX28" s="25">
        <v>1</v>
      </c>
      <c r="CY28" s="25">
        <v>1</v>
      </c>
      <c r="CZ28" s="25">
        <v>1</v>
      </c>
      <c r="DA28" s="110"/>
      <c r="DB28" s="110"/>
      <c r="DC28" s="25"/>
      <c r="DD28" s="25"/>
      <c r="DE28" s="25">
        <v>1</v>
      </c>
      <c r="DF28" s="25"/>
      <c r="DG28" s="25"/>
      <c r="DH28" s="110"/>
      <c r="DI28" s="110"/>
      <c r="DJ28" s="25"/>
      <c r="DK28" s="25"/>
      <c r="DL28" s="25"/>
      <c r="DM28" s="25">
        <v>1</v>
      </c>
      <c r="DN28" s="25">
        <v>1</v>
      </c>
      <c r="DO28" s="110"/>
      <c r="DP28" s="110"/>
      <c r="DQ28" s="25"/>
      <c r="DR28" s="25">
        <v>1</v>
      </c>
      <c r="DS28" s="25">
        <v>1</v>
      </c>
      <c r="DT28" s="25"/>
      <c r="DU28" s="110" t="s">
        <v>445</v>
      </c>
      <c r="DV28" s="110"/>
      <c r="DW28" s="110"/>
      <c r="DX28" s="25"/>
      <c r="DY28" s="25"/>
      <c r="DZ28" s="25"/>
      <c r="EA28" s="25"/>
      <c r="EB28" s="110" t="s">
        <v>445</v>
      </c>
      <c r="EC28" s="110"/>
      <c r="ED28" s="110"/>
      <c r="EE28" s="25"/>
      <c r="EF28" s="25"/>
      <c r="EG28" s="25"/>
      <c r="EH28" s="110" t="s">
        <v>445</v>
      </c>
      <c r="EI28" s="110" t="s">
        <v>445</v>
      </c>
      <c r="EJ28" s="110"/>
      <c r="EK28" s="110"/>
      <c r="EL28" s="25"/>
      <c r="EM28" s="25"/>
      <c r="EN28" s="25"/>
      <c r="EO28" s="25"/>
      <c r="EP28" s="25"/>
      <c r="EQ28" s="110"/>
      <c r="ER28" s="110"/>
      <c r="ES28" s="110" t="s">
        <v>445</v>
      </c>
      <c r="ET28" s="25"/>
      <c r="EU28" s="25"/>
      <c r="EV28" s="25"/>
      <c r="EW28" s="25"/>
      <c r="EX28" s="110"/>
      <c r="EY28" s="110"/>
      <c r="EZ28" s="25"/>
      <c r="FA28" s="25"/>
      <c r="FB28" s="25"/>
      <c r="FC28" s="25"/>
      <c r="FD28" s="25"/>
      <c r="FE28" s="110"/>
      <c r="FF28" s="110"/>
      <c r="FG28" s="25"/>
      <c r="FH28" s="25"/>
      <c r="FI28" s="25"/>
      <c r="FJ28" s="25"/>
      <c r="FK28" s="25"/>
      <c r="FL28" s="110"/>
      <c r="FM28" s="110"/>
      <c r="FN28" s="25"/>
      <c r="FO28" s="25"/>
      <c r="FP28" s="25"/>
      <c r="FQ28" s="25"/>
      <c r="FR28" s="25"/>
      <c r="FS28" s="110"/>
      <c r="FT28" s="110"/>
      <c r="FU28" s="25"/>
      <c r="FV28" s="25"/>
      <c r="FW28" s="25"/>
      <c r="FX28" s="25"/>
      <c r="FY28" s="25"/>
      <c r="FZ28" s="110"/>
      <c r="GA28" s="110"/>
      <c r="GB28" s="25"/>
      <c r="GC28" s="25"/>
      <c r="GD28" s="25"/>
      <c r="GE28" s="25"/>
      <c r="GF28" s="25"/>
      <c r="GG28" s="110"/>
      <c r="GH28" s="110"/>
      <c r="GI28" s="25"/>
      <c r="GJ28" s="25"/>
      <c r="GK28" s="25"/>
      <c r="GL28" s="25"/>
      <c r="GM28" s="25"/>
      <c r="GN28" s="110"/>
      <c r="GO28" s="110"/>
      <c r="GP28" s="110" t="s">
        <v>445</v>
      </c>
      <c r="GQ28" s="110"/>
      <c r="GR28" s="25"/>
      <c r="GS28" s="25"/>
      <c r="GT28" s="25"/>
      <c r="GU28" s="110"/>
      <c r="GV28" s="110"/>
      <c r="GW28" s="25"/>
      <c r="GX28" s="25"/>
      <c r="GY28" s="25"/>
      <c r="GZ28" s="25"/>
      <c r="HA28" s="25"/>
      <c r="HB28" s="110"/>
      <c r="HC28" s="110"/>
      <c r="HD28" s="25"/>
      <c r="HE28" s="25"/>
      <c r="HF28" s="25"/>
      <c r="HG28" s="25"/>
      <c r="HH28" s="25"/>
      <c r="HI28" s="110"/>
      <c r="HJ28" s="110"/>
      <c r="HK28" s="25"/>
      <c r="HL28" s="25"/>
      <c r="HM28" s="25"/>
      <c r="HN28" s="25"/>
      <c r="HO28" s="25"/>
      <c r="HP28" s="110"/>
      <c r="HQ28" s="110"/>
      <c r="HR28" s="25"/>
      <c r="HS28" s="25"/>
      <c r="HT28" s="25"/>
      <c r="HU28" s="25"/>
      <c r="HV28" s="25"/>
      <c r="HW28" s="110"/>
      <c r="HX28" s="110"/>
      <c r="HY28" s="25"/>
      <c r="HZ28" s="25"/>
      <c r="IA28" s="25"/>
      <c r="IB28" s="25"/>
      <c r="IC28" s="25"/>
      <c r="ID28" s="110"/>
      <c r="IE28" s="110"/>
      <c r="IF28" s="25"/>
      <c r="IG28" s="25"/>
      <c r="IH28" s="25"/>
      <c r="II28" s="25"/>
      <c r="IJ28" s="25"/>
      <c r="IK28" s="110"/>
      <c r="IL28" s="110"/>
      <c r="IM28" s="25"/>
      <c r="IN28" s="25"/>
      <c r="IO28" s="25"/>
      <c r="IP28" s="25"/>
      <c r="IQ28" s="25"/>
      <c r="IR28" s="110"/>
      <c r="IS28" s="110"/>
      <c r="IT28" s="25"/>
      <c r="IU28" s="25"/>
      <c r="IV28" s="25"/>
      <c r="IW28" s="25"/>
      <c r="IX28" s="25"/>
      <c r="IY28" s="110"/>
      <c r="IZ28" s="110"/>
      <c r="JA28" s="25"/>
      <c r="JB28" s="25"/>
      <c r="JC28" s="25"/>
      <c r="JD28" s="25"/>
      <c r="JE28" s="25"/>
      <c r="JF28" s="110"/>
      <c r="JG28" s="110"/>
      <c r="JH28" s="25"/>
      <c r="JI28" s="25"/>
      <c r="JJ28" s="25"/>
      <c r="JK28" s="25"/>
      <c r="JL28" s="25"/>
      <c r="JM28" s="110"/>
      <c r="JN28" s="110"/>
      <c r="JO28" s="25"/>
      <c r="JP28" s="25"/>
      <c r="JQ28" s="25"/>
      <c r="JR28" s="25"/>
      <c r="JS28" s="25"/>
      <c r="JT28" s="110"/>
      <c r="JU28" s="110"/>
      <c r="JV28" s="25"/>
      <c r="JW28" s="25"/>
      <c r="JX28" s="25"/>
      <c r="JY28" s="25"/>
      <c r="JZ28" s="25"/>
      <c r="KA28" s="110"/>
      <c r="KB28" s="110"/>
      <c r="KC28" s="25"/>
      <c r="KD28" s="25"/>
      <c r="KE28" s="25"/>
      <c r="KF28" s="25"/>
      <c r="KG28" s="25"/>
      <c r="KH28" s="110"/>
      <c r="KI28" s="110"/>
      <c r="KJ28" s="25"/>
      <c r="KK28" s="25"/>
      <c r="KL28" s="25"/>
      <c r="KM28" s="25"/>
      <c r="KN28" s="25"/>
      <c r="KO28" s="110"/>
      <c r="KP28" s="110"/>
      <c r="KQ28" s="25"/>
      <c r="KR28" s="25"/>
      <c r="KS28" s="25"/>
      <c r="KT28" s="25"/>
      <c r="KU28" s="25"/>
      <c r="KV28" s="110"/>
      <c r="KW28" s="110"/>
      <c r="KX28" s="25"/>
      <c r="KY28" s="25"/>
      <c r="KZ28" s="25"/>
      <c r="LA28" s="25"/>
      <c r="LB28" s="25"/>
      <c r="LC28" s="110"/>
      <c r="LD28" s="110"/>
      <c r="LE28" s="25"/>
      <c r="LF28" s="25"/>
      <c r="LG28" s="110" t="s">
        <v>445</v>
      </c>
      <c r="LH28" s="25"/>
      <c r="LI28" s="25"/>
      <c r="LJ28" s="110"/>
      <c r="LK28" s="110"/>
      <c r="LL28" s="25"/>
      <c r="LM28" s="25"/>
      <c r="LN28" s="25"/>
      <c r="LO28" s="25"/>
      <c r="LP28" s="25"/>
      <c r="LQ28" s="110"/>
      <c r="LR28" s="110"/>
      <c r="LS28" s="25"/>
      <c r="LT28" s="25"/>
      <c r="LU28" s="25"/>
      <c r="LV28" s="25"/>
      <c r="LW28" s="25"/>
      <c r="LX28" s="110"/>
      <c r="LY28" s="110"/>
      <c r="LZ28" s="25"/>
      <c r="MA28" s="25"/>
      <c r="MB28" s="25"/>
      <c r="MC28" s="25"/>
      <c r="MD28" s="25"/>
      <c r="ME28" s="110"/>
      <c r="MF28" s="110"/>
      <c r="MG28" s="25"/>
      <c r="MH28" s="25"/>
      <c r="MI28" s="25"/>
      <c r="MJ28" s="25"/>
      <c r="MK28" s="25"/>
      <c r="ML28" s="110"/>
      <c r="MM28" s="110"/>
      <c r="MN28" s="25"/>
      <c r="MO28" s="25"/>
      <c r="MP28" s="25"/>
      <c r="MQ28" s="25"/>
      <c r="MR28" s="25"/>
      <c r="MS28" s="110"/>
      <c r="MT28" s="110"/>
      <c r="MU28" s="25"/>
      <c r="MV28" s="25"/>
      <c r="MW28" s="25"/>
      <c r="MX28" s="25"/>
      <c r="MY28" s="25"/>
      <c r="MZ28" s="110"/>
      <c r="NA28" s="110"/>
      <c r="NB28" s="25"/>
      <c r="NC28" s="25"/>
      <c r="ND28" s="25"/>
      <c r="NE28" s="129"/>
      <c r="NF28" s="111"/>
      <c r="NG28" s="8">
        <f t="shared" si="0"/>
        <v>6</v>
      </c>
      <c r="NH28" s="351" cm="1">
        <f t="array" ref="NH28">NETWORKDAYS($I$2,$AH$2)- SUM(COUNTIF(I28:AH28,{"I";"F";"CP";"R";"P";"AC";"AM"}))</f>
        <v>20</v>
      </c>
      <c r="NI28" s="138">
        <f t="shared" si="12"/>
        <v>0.3</v>
      </c>
      <c r="NJ28" s="8">
        <f t="shared" si="1"/>
        <v>2</v>
      </c>
      <c r="NK28" s="351" cm="1">
        <f t="array" ref="NK28">NETWORKDAYS($AJ$2,$BK$2)- SUM(COUNTIF(AJ28:BK28,{"I";"F";"CP";"R";"P";"AC";"AM"}))</f>
        <v>20</v>
      </c>
      <c r="NL28" s="138">
        <f t="shared" si="13"/>
        <v>0.1</v>
      </c>
      <c r="NM28" s="8">
        <f t="shared" si="2"/>
        <v>5</v>
      </c>
      <c r="NN28" s="351" cm="1">
        <f t="array" ref="NN28">NETWORKDAYS($BL$2,$CP$2)- SUM(COUNTIF(BL28:CP28,{"I";"F";"CP";"R";"P";"AC";"AM"}))</f>
        <v>22</v>
      </c>
      <c r="NO28" s="138">
        <f t="shared" si="14"/>
        <v>0.22727272727272727</v>
      </c>
      <c r="NP28" s="8">
        <f t="shared" si="3"/>
        <v>9</v>
      </c>
      <c r="NQ28" s="351" cm="1">
        <f t="array" ref="NQ28">NETWORKDAYS($CQ$2,$DT$2,$CV$2)- SUM(COUNTIF(CQ28:DT28,{"I";"F";"CP";"R";"P";"AC";"AM"}))</f>
        <v>21</v>
      </c>
      <c r="NR28" s="138">
        <f t="shared" si="15"/>
        <v>0.42857142857142855</v>
      </c>
      <c r="NS28" s="8">
        <f t="shared" si="4"/>
        <v>0</v>
      </c>
      <c r="NT28" s="351" cm="1">
        <f t="array" ref="NT28">NETWORKDAYS($DV$2,$EY$2)-SUM(COUNTIF(DV28:EY28,{"I";"F";"CP";"R";"P";"AC";"AM"}))</f>
        <v>16</v>
      </c>
      <c r="NU28" s="138">
        <f t="shared" si="16"/>
        <v>0</v>
      </c>
      <c r="NV28" s="8">
        <f t="shared" si="27"/>
        <v>0</v>
      </c>
      <c r="NW28" s="351" cm="1">
        <f t="array" ref="NW28">NETWORKDAYS($EZ$2,$GC$2)-SUM(COUNTIF(EZ28:GC28,{"I";"F";"CP";"R";"P";"AC";"AM"}))</f>
        <v>22</v>
      </c>
      <c r="NX28" s="138">
        <f t="shared" si="28"/>
        <v>0</v>
      </c>
      <c r="NY28" s="8">
        <f t="shared" si="29"/>
        <v>0</v>
      </c>
      <c r="NZ28" s="351" cm="1">
        <f t="array" ref="NZ28">NETWORKDAYS($GD$2,$HH$2,$GQ$2)-SUM(COUNTIF(GD28:HH28,{"I";"F";"CP";"R";"P";"AC";"AM"}))</f>
        <v>21</v>
      </c>
      <c r="OA28" s="138">
        <f t="shared" si="30"/>
        <v>0</v>
      </c>
      <c r="OB28" s="8">
        <f t="shared" si="31"/>
        <v>0</v>
      </c>
      <c r="OC28" s="351" cm="1">
        <f t="array" ref="OC28">NETWORKDAYS($HI$2,$IM$2)-SUM(COUNTIF(HI28:IM28,{"I";"F";"CP";"R";"P";"AC";"AM"}))</f>
        <v>21</v>
      </c>
      <c r="OD28" s="138">
        <f t="shared" si="32"/>
        <v>0</v>
      </c>
      <c r="OE28" s="8">
        <f t="shared" si="33"/>
        <v>0</v>
      </c>
      <c r="OF28" s="351" cm="1">
        <f t="array" ref="OF28">NETWORKDAYS($IN$2,$JQ$2)-SUM(COUNTIF(IN28:JQ28,{"I";"F";"CP";"R";"P";"AC";"AM"}))</f>
        <v>22</v>
      </c>
      <c r="OG28" s="138">
        <f t="shared" si="34"/>
        <v>0</v>
      </c>
      <c r="OH28" s="8">
        <f t="shared" si="35"/>
        <v>0</v>
      </c>
      <c r="OI28" s="351" cm="1">
        <f t="array" ref="OI28">NETWORKDAYS($JR$2,$KV$2)-SUM(COUNTIF(JR28:KV28,{"I";"F";"CP";"R";"P";"AC";"AM"}))</f>
        <v>22</v>
      </c>
      <c r="OJ28" s="138">
        <f t="shared" si="36"/>
        <v>0</v>
      </c>
      <c r="OK28" s="8">
        <f t="shared" si="37"/>
        <v>0</v>
      </c>
      <c r="OL28" s="351" cm="1">
        <f t="array" ref="OL28">NETWORKDAYS($KW$2,$LZ$2,$LG$2)-SUM(COUNTIF(KW28:LZ28,{"I";"F";"CP";"R";"P";"AC";"AM"}))</f>
        <v>19</v>
      </c>
      <c r="OM28" s="138">
        <f t="shared" si="38"/>
        <v>0</v>
      </c>
      <c r="ON28" s="8">
        <f t="shared" si="39"/>
        <v>0</v>
      </c>
      <c r="OO28" s="351" cm="1">
        <f t="array" ref="OO28">NETWORKDAYS($MA$2,$MR$2)-SUM(COUNTIF(MA28:MR28,{"I";"F";"CP";"R";"P";"AC";"AM"}))</f>
        <v>14</v>
      </c>
      <c r="OP28" s="138">
        <f t="shared" si="40"/>
        <v>0</v>
      </c>
      <c r="OQ28" s="94">
        <f t="shared" si="41"/>
        <v>22</v>
      </c>
      <c r="OR28" s="94">
        <f t="shared" si="42"/>
        <v>240</v>
      </c>
      <c r="OS28" s="138">
        <f t="shared" si="43"/>
        <v>9.166666666666666E-2</v>
      </c>
    </row>
    <row r="29" spans="1:409" ht="18" hidden="1" customHeight="1" x14ac:dyDescent="0.25">
      <c r="A29" s="93" t="s">
        <v>164</v>
      </c>
      <c r="B29" s="93" t="s">
        <v>34</v>
      </c>
      <c r="C29" s="27" t="s">
        <v>160</v>
      </c>
      <c r="D29" s="27" t="s">
        <v>198</v>
      </c>
      <c r="E29" s="128"/>
      <c r="F29" s="110"/>
      <c r="G29" s="110"/>
      <c r="H29" s="110"/>
      <c r="I29" s="25"/>
      <c r="J29" s="25"/>
      <c r="K29" s="25"/>
      <c r="L29" s="25"/>
      <c r="M29" s="25"/>
      <c r="N29" s="110"/>
      <c r="O29" s="110"/>
      <c r="P29" s="25">
        <v>1</v>
      </c>
      <c r="Q29" s="25">
        <v>1</v>
      </c>
      <c r="R29" s="25">
        <v>1</v>
      </c>
      <c r="S29" s="25">
        <v>1</v>
      </c>
      <c r="T29" s="25">
        <v>1</v>
      </c>
      <c r="U29" s="110"/>
      <c r="V29" s="110"/>
      <c r="W29" s="25">
        <v>1</v>
      </c>
      <c r="X29" s="25">
        <v>1</v>
      </c>
      <c r="Y29" s="25">
        <v>1</v>
      </c>
      <c r="Z29" s="25"/>
      <c r="AA29" s="25"/>
      <c r="AB29" s="110"/>
      <c r="AC29" s="110"/>
      <c r="AD29" s="25">
        <v>1</v>
      </c>
      <c r="AE29" s="25">
        <v>1</v>
      </c>
      <c r="AF29" s="25"/>
      <c r="AG29" s="25">
        <v>1</v>
      </c>
      <c r="AH29" s="25">
        <v>1</v>
      </c>
      <c r="AI29" s="110"/>
      <c r="AJ29" s="110"/>
      <c r="AK29" s="25">
        <v>1</v>
      </c>
      <c r="AL29" s="25"/>
      <c r="AM29" s="25">
        <v>1</v>
      </c>
      <c r="AN29" s="25">
        <v>1</v>
      </c>
      <c r="AO29" s="25">
        <v>1</v>
      </c>
      <c r="AP29" s="110"/>
      <c r="AQ29" s="110"/>
      <c r="AR29" s="25">
        <v>1</v>
      </c>
      <c r="AS29" s="25">
        <v>1</v>
      </c>
      <c r="AT29" s="25">
        <v>1</v>
      </c>
      <c r="AV29" s="25"/>
      <c r="AW29" s="110"/>
      <c r="AX29" s="110"/>
      <c r="AY29" s="25"/>
      <c r="AZ29" s="25"/>
      <c r="BA29" s="25"/>
      <c r="BB29" s="25"/>
      <c r="BC29" s="25"/>
      <c r="BD29" s="110"/>
      <c r="BE29" s="110"/>
      <c r="BF29" s="25"/>
      <c r="BG29" s="25"/>
      <c r="BH29" s="25">
        <v>1</v>
      </c>
      <c r="BI29" s="25">
        <v>1</v>
      </c>
      <c r="BJ29" s="25">
        <v>1</v>
      </c>
      <c r="BK29" s="110"/>
      <c r="BL29" s="110"/>
      <c r="BM29" s="25">
        <v>1</v>
      </c>
      <c r="BN29" s="25">
        <v>1</v>
      </c>
      <c r="BO29" s="25">
        <v>1</v>
      </c>
      <c r="BP29" s="25">
        <v>1</v>
      </c>
      <c r="BQ29" s="25">
        <v>1</v>
      </c>
      <c r="BR29" s="110"/>
      <c r="BS29" s="110"/>
      <c r="BT29" s="25">
        <v>1</v>
      </c>
      <c r="BU29" s="25">
        <v>1</v>
      </c>
      <c r="BV29" s="25">
        <v>1</v>
      </c>
      <c r="BW29" s="25"/>
      <c r="BX29" s="25"/>
      <c r="BY29" s="110"/>
      <c r="BZ29" s="110"/>
      <c r="CA29" s="25"/>
      <c r="CB29" s="25">
        <v>1</v>
      </c>
      <c r="CC29" s="25">
        <v>1</v>
      </c>
      <c r="CD29" s="25">
        <v>1</v>
      </c>
      <c r="CE29" s="25">
        <v>1</v>
      </c>
      <c r="CF29" s="110"/>
      <c r="CG29" s="110"/>
      <c r="CH29" s="25">
        <v>1</v>
      </c>
      <c r="CI29" s="25">
        <v>1</v>
      </c>
      <c r="CJ29" s="25">
        <v>1</v>
      </c>
      <c r="CK29" s="25">
        <v>1</v>
      </c>
      <c r="CL29" s="25">
        <v>1</v>
      </c>
      <c r="CM29" s="110"/>
      <c r="CN29" s="110"/>
      <c r="CO29" s="25">
        <v>1</v>
      </c>
      <c r="CP29" s="25">
        <v>1</v>
      </c>
      <c r="CQ29" s="25">
        <v>1</v>
      </c>
      <c r="CR29" s="25">
        <v>1</v>
      </c>
      <c r="CS29" s="25">
        <v>1</v>
      </c>
      <c r="CT29" s="110"/>
      <c r="CU29" s="110"/>
      <c r="CV29" s="110"/>
      <c r="CW29" s="25">
        <v>1</v>
      </c>
      <c r="CX29" s="25">
        <v>1</v>
      </c>
      <c r="CY29" s="25"/>
      <c r="CZ29" s="25">
        <v>1</v>
      </c>
      <c r="DA29" s="110"/>
      <c r="DB29" s="110"/>
      <c r="DC29" s="25" t="s">
        <v>223</v>
      </c>
      <c r="DD29" s="25" t="s">
        <v>223</v>
      </c>
      <c r="DE29" s="25" t="s">
        <v>223</v>
      </c>
      <c r="DF29" s="25" t="s">
        <v>223</v>
      </c>
      <c r="DG29" s="25" t="s">
        <v>223</v>
      </c>
      <c r="DH29" s="110"/>
      <c r="DI29" s="110"/>
      <c r="DJ29" s="25">
        <v>1</v>
      </c>
      <c r="DK29" s="25">
        <v>1</v>
      </c>
      <c r="DL29" s="25">
        <v>1</v>
      </c>
      <c r="DM29" s="25">
        <v>1</v>
      </c>
      <c r="DN29" s="25">
        <v>1</v>
      </c>
      <c r="DO29" s="110"/>
      <c r="DP29" s="110"/>
      <c r="DQ29" s="25">
        <v>1</v>
      </c>
      <c r="DR29" s="25">
        <v>1</v>
      </c>
      <c r="DS29" s="25">
        <v>1</v>
      </c>
      <c r="DT29" s="25">
        <v>1</v>
      </c>
      <c r="DU29" s="110" t="s">
        <v>445</v>
      </c>
      <c r="DV29" s="110"/>
      <c r="DW29" s="110"/>
      <c r="DX29" s="25"/>
      <c r="DY29" s="25"/>
      <c r="DZ29" s="25"/>
      <c r="EA29" s="25">
        <v>1</v>
      </c>
      <c r="EB29" s="110" t="s">
        <v>445</v>
      </c>
      <c r="EC29" s="110"/>
      <c r="ED29" s="110"/>
      <c r="EE29" s="25">
        <v>1</v>
      </c>
      <c r="EF29" s="25">
        <v>1</v>
      </c>
      <c r="EG29" s="25"/>
      <c r="EH29" s="110" t="s">
        <v>445</v>
      </c>
      <c r="EI29" s="110" t="s">
        <v>445</v>
      </c>
      <c r="EJ29" s="110"/>
      <c r="EK29" s="110"/>
      <c r="EL29" s="25"/>
      <c r="EM29" s="25"/>
      <c r="EN29" s="25"/>
      <c r="EO29" s="25"/>
      <c r="EP29" s="25"/>
      <c r="EQ29" s="110"/>
      <c r="ER29" s="110"/>
      <c r="ES29" s="110" t="s">
        <v>445</v>
      </c>
      <c r="ET29" s="25"/>
      <c r="EU29" s="25"/>
      <c r="EV29" s="25"/>
      <c r="EW29" s="25"/>
      <c r="EX29" s="110"/>
      <c r="EY29" s="110"/>
      <c r="EZ29" s="25"/>
      <c r="FA29" s="25"/>
      <c r="FB29" s="25"/>
      <c r="FC29" s="25"/>
      <c r="FD29" s="25"/>
      <c r="FE29" s="110"/>
      <c r="FF29" s="110"/>
      <c r="FG29" s="25"/>
      <c r="FH29" s="25"/>
      <c r="FI29" s="25"/>
      <c r="FJ29" s="25"/>
      <c r="FK29" s="25"/>
      <c r="FL29" s="110"/>
      <c r="FM29" s="110"/>
      <c r="FN29" s="25"/>
      <c r="FO29" s="25"/>
      <c r="FP29" s="25"/>
      <c r="FQ29" s="25"/>
      <c r="FR29" s="25"/>
      <c r="FS29" s="110"/>
      <c r="FT29" s="110"/>
      <c r="FU29" s="25"/>
      <c r="FV29" s="25"/>
      <c r="FW29" s="25"/>
      <c r="FX29" s="25"/>
      <c r="FY29" s="25"/>
      <c r="FZ29" s="110"/>
      <c r="GA29" s="110"/>
      <c r="GB29" s="25"/>
      <c r="GC29" s="25"/>
      <c r="GD29" s="25"/>
      <c r="GE29" s="25"/>
      <c r="GF29" s="25"/>
      <c r="GG29" s="110"/>
      <c r="GH29" s="110"/>
      <c r="GI29" s="25"/>
      <c r="GJ29" s="25"/>
      <c r="GK29" s="25"/>
      <c r="GL29" s="25"/>
      <c r="GM29" s="25"/>
      <c r="GN29" s="110"/>
      <c r="GO29" s="110"/>
      <c r="GP29" s="110" t="s">
        <v>445</v>
      </c>
      <c r="GQ29" s="110"/>
      <c r="GR29" s="25"/>
      <c r="GS29" s="25"/>
      <c r="GT29" s="25"/>
      <c r="GU29" s="110"/>
      <c r="GV29" s="110"/>
      <c r="GW29" s="25"/>
      <c r="GX29" s="25"/>
      <c r="GY29" s="25"/>
      <c r="GZ29" s="25"/>
      <c r="HA29" s="25"/>
      <c r="HB29" s="110"/>
      <c r="HC29" s="110"/>
      <c r="HD29" s="25"/>
      <c r="HE29" s="25"/>
      <c r="HF29" s="25"/>
      <c r="HG29" s="25"/>
      <c r="HH29" s="25"/>
      <c r="HI29" s="110"/>
      <c r="HJ29" s="110"/>
      <c r="HK29" s="25"/>
      <c r="HL29" s="25"/>
      <c r="HM29" s="25"/>
      <c r="HN29" s="25"/>
      <c r="HO29" s="25"/>
      <c r="HP29" s="110"/>
      <c r="HQ29" s="110"/>
      <c r="HR29" s="25"/>
      <c r="HS29" s="25"/>
      <c r="HT29" s="25"/>
      <c r="HU29" s="25"/>
      <c r="HV29" s="25"/>
      <c r="HW29" s="110"/>
      <c r="HX29" s="110"/>
      <c r="HY29" s="25"/>
      <c r="HZ29" s="25"/>
      <c r="IA29" s="25"/>
      <c r="IB29" s="25"/>
      <c r="IC29" s="25"/>
      <c r="ID29" s="110"/>
      <c r="IE29" s="110"/>
      <c r="IF29" s="25"/>
      <c r="IG29" s="25"/>
      <c r="IH29" s="25"/>
      <c r="II29" s="25"/>
      <c r="IJ29" s="25"/>
      <c r="IK29" s="110"/>
      <c r="IL29" s="110"/>
      <c r="IM29" s="25"/>
      <c r="IN29" s="25"/>
      <c r="IO29" s="25"/>
      <c r="IP29" s="25"/>
      <c r="IQ29" s="25"/>
      <c r="IR29" s="110"/>
      <c r="IS29" s="110"/>
      <c r="IT29" s="25"/>
      <c r="IU29" s="25"/>
      <c r="IV29" s="25"/>
      <c r="IW29" s="25"/>
      <c r="IX29" s="25"/>
      <c r="IY29" s="110"/>
      <c r="IZ29" s="110"/>
      <c r="JA29" s="25"/>
      <c r="JB29" s="25"/>
      <c r="JC29" s="25"/>
      <c r="JD29" s="25"/>
      <c r="JE29" s="25"/>
      <c r="JF29" s="110"/>
      <c r="JG29" s="110"/>
      <c r="JH29" s="25"/>
      <c r="JI29" s="25"/>
      <c r="JJ29" s="25"/>
      <c r="JK29" s="25"/>
      <c r="JL29" s="25"/>
      <c r="JM29" s="110"/>
      <c r="JN29" s="110"/>
      <c r="JO29" s="25"/>
      <c r="JP29" s="25"/>
      <c r="JQ29" s="25"/>
      <c r="JR29" s="25"/>
      <c r="JS29" s="25"/>
      <c r="JT29" s="110"/>
      <c r="JU29" s="110"/>
      <c r="JV29" s="25"/>
      <c r="JW29" s="25"/>
      <c r="JX29" s="25"/>
      <c r="JY29" s="25"/>
      <c r="JZ29" s="25"/>
      <c r="KA29" s="110"/>
      <c r="KB29" s="110"/>
      <c r="KC29" s="25"/>
      <c r="KD29" s="25"/>
      <c r="KE29" s="25"/>
      <c r="KF29" s="25"/>
      <c r="KG29" s="25"/>
      <c r="KH29" s="110"/>
      <c r="KI29" s="110"/>
      <c r="KJ29" s="25"/>
      <c r="KK29" s="25"/>
      <c r="KL29" s="25"/>
      <c r="KM29" s="25"/>
      <c r="KN29" s="25"/>
      <c r="KO29" s="110"/>
      <c r="KP29" s="110"/>
      <c r="KQ29" s="25"/>
      <c r="KR29" s="25"/>
      <c r="KS29" s="25"/>
      <c r="KT29" s="25"/>
      <c r="KU29" s="25"/>
      <c r="KV29" s="110"/>
      <c r="KW29" s="110"/>
      <c r="KX29" s="25"/>
      <c r="KY29" s="25"/>
      <c r="KZ29" s="25"/>
      <c r="LA29" s="25"/>
      <c r="LB29" s="25"/>
      <c r="LC29" s="110"/>
      <c r="LD29" s="110"/>
      <c r="LE29" s="25"/>
      <c r="LF29" s="25"/>
      <c r="LG29" s="110" t="s">
        <v>445</v>
      </c>
      <c r="LH29" s="25"/>
      <c r="LI29" s="25"/>
      <c r="LJ29" s="110"/>
      <c r="LK29" s="110"/>
      <c r="LL29" s="25"/>
      <c r="LM29" s="25"/>
      <c r="LN29" s="25"/>
      <c r="LO29" s="25"/>
      <c r="LP29" s="25"/>
      <c r="LQ29" s="110"/>
      <c r="LR29" s="110"/>
      <c r="LS29" s="25"/>
      <c r="LT29" s="25"/>
      <c r="LU29" s="25"/>
      <c r="LV29" s="25"/>
      <c r="LW29" s="25"/>
      <c r="LX29" s="110"/>
      <c r="LY29" s="110"/>
      <c r="LZ29" s="25"/>
      <c r="MA29" s="25"/>
      <c r="MB29" s="25"/>
      <c r="MC29" s="25"/>
      <c r="MD29" s="25"/>
      <c r="ME29" s="110"/>
      <c r="MF29" s="110"/>
      <c r="MG29" s="25"/>
      <c r="MH29" s="25"/>
      <c r="MI29" s="25"/>
      <c r="MJ29" s="25"/>
      <c r="MK29" s="25"/>
      <c r="ML29" s="110"/>
      <c r="MM29" s="110"/>
      <c r="MN29" s="25"/>
      <c r="MO29" s="25"/>
      <c r="MP29" s="25"/>
      <c r="MQ29" s="25"/>
      <c r="MR29" s="25"/>
      <c r="MS29" s="110"/>
      <c r="MT29" s="110"/>
      <c r="MU29" s="25"/>
      <c r="MV29" s="25"/>
      <c r="MW29" s="25"/>
      <c r="MX29" s="25"/>
      <c r="MY29" s="25"/>
      <c r="MZ29" s="110"/>
      <c r="NA29" s="110"/>
      <c r="NB29" s="25"/>
      <c r="NC29" s="25"/>
      <c r="ND29" s="25"/>
      <c r="NE29" s="129"/>
      <c r="NF29" s="111"/>
      <c r="NG29" s="8">
        <f t="shared" si="0"/>
        <v>12</v>
      </c>
      <c r="NH29" s="351" cm="1">
        <f t="array" ref="NH29">NETWORKDAYS($I$2,$AH$2)- SUM(COUNTIF(I29:AH29,{"I";"F";"CP";"R";"P";"AC";"AM"}))</f>
        <v>20</v>
      </c>
      <c r="NI29" s="138">
        <f t="shared" si="12"/>
        <v>0.6</v>
      </c>
      <c r="NJ29" s="8">
        <f t="shared" si="1"/>
        <v>10</v>
      </c>
      <c r="NK29" s="351" cm="1">
        <f t="array" ref="NK29">NETWORKDAYS($AJ$2,$BK$2)- SUM(COUNTIF(AJ29:BK29,{"I";"F";"CP";"R";"P";"AC";"AM"}))</f>
        <v>20</v>
      </c>
      <c r="NL29" s="138">
        <f t="shared" si="13"/>
        <v>0.5</v>
      </c>
      <c r="NM29" s="8">
        <f t="shared" si="2"/>
        <v>19</v>
      </c>
      <c r="NN29" s="351" cm="1">
        <f t="array" ref="NN29">NETWORKDAYS($BL$2,$CP$2)- SUM(COUNTIF(BL29:CP29,{"I";"F";"CP";"R";"P";"AC";"AM"}))</f>
        <v>22</v>
      </c>
      <c r="NO29" s="138">
        <f t="shared" si="14"/>
        <v>0.86363636363636365</v>
      </c>
      <c r="NP29" s="8">
        <f t="shared" si="3"/>
        <v>15</v>
      </c>
      <c r="NQ29" s="351" cm="1">
        <f t="array" ref="NQ29">NETWORKDAYS($CQ$2,$DT$2,$CV$2)- SUM(COUNTIF(CQ29:DT29,{"I";"F";"CP";"R";"P";"AC";"AM"}))</f>
        <v>16</v>
      </c>
      <c r="NR29" s="138">
        <f t="shared" si="15"/>
        <v>0.9375</v>
      </c>
      <c r="NS29" s="8">
        <f t="shared" si="4"/>
        <v>3</v>
      </c>
      <c r="NT29" s="351" cm="1">
        <f t="array" ref="NT29">NETWORKDAYS($DV$2,$EY$2)-SUM(COUNTIF(DV29:EY29,{"I";"F";"CP";"R";"P";"AC";"AM"}))</f>
        <v>16</v>
      </c>
      <c r="NU29" s="138">
        <f t="shared" si="16"/>
        <v>0.1875</v>
      </c>
      <c r="NV29" s="8">
        <f t="shared" si="27"/>
        <v>0</v>
      </c>
      <c r="NW29" s="351" cm="1">
        <f t="array" ref="NW29">NETWORKDAYS($EZ$2,$GC$2)-SUM(COUNTIF(EZ29:GC29,{"I";"F";"CP";"R";"P";"AC";"AM"}))</f>
        <v>22</v>
      </c>
      <c r="NX29" s="138">
        <f t="shared" si="28"/>
        <v>0</v>
      </c>
      <c r="NY29" s="8">
        <f t="shared" si="29"/>
        <v>0</v>
      </c>
      <c r="NZ29" s="351" cm="1">
        <f t="array" ref="NZ29">NETWORKDAYS($GD$2,$HH$2,$GQ$2)-SUM(COUNTIF(GD29:HH29,{"I";"F";"CP";"R";"P";"AC";"AM"}))</f>
        <v>21</v>
      </c>
      <c r="OA29" s="138">
        <f t="shared" si="30"/>
        <v>0</v>
      </c>
      <c r="OB29" s="8">
        <f t="shared" si="31"/>
        <v>0</v>
      </c>
      <c r="OC29" s="351" cm="1">
        <f t="array" ref="OC29">NETWORKDAYS($HI$2,$IM$2)-SUM(COUNTIF(HI29:IM29,{"I";"F";"CP";"R";"P";"AC";"AM"}))</f>
        <v>21</v>
      </c>
      <c r="OD29" s="138">
        <f t="shared" si="32"/>
        <v>0</v>
      </c>
      <c r="OE29" s="8">
        <f t="shared" si="33"/>
        <v>0</v>
      </c>
      <c r="OF29" s="351" cm="1">
        <f t="array" ref="OF29">NETWORKDAYS($IN$2,$JQ$2)-SUM(COUNTIF(IN29:JQ29,{"I";"F";"CP";"R";"P";"AC";"AM"}))</f>
        <v>22</v>
      </c>
      <c r="OG29" s="138">
        <f t="shared" si="34"/>
        <v>0</v>
      </c>
      <c r="OH29" s="8">
        <f t="shared" si="35"/>
        <v>0</v>
      </c>
      <c r="OI29" s="351" cm="1">
        <f t="array" ref="OI29">NETWORKDAYS($JR$2,$KV$2)-SUM(COUNTIF(JR29:KV29,{"I";"F";"CP";"R";"P";"AC";"AM"}))</f>
        <v>22</v>
      </c>
      <c r="OJ29" s="138">
        <f t="shared" si="36"/>
        <v>0</v>
      </c>
      <c r="OK29" s="8">
        <f t="shared" si="37"/>
        <v>0</v>
      </c>
      <c r="OL29" s="351" cm="1">
        <f t="array" ref="OL29">NETWORKDAYS($KW$2,$LZ$2,$LG$2)-SUM(COUNTIF(KW29:LZ29,{"I";"F";"CP";"R";"P";"AC";"AM"}))</f>
        <v>19</v>
      </c>
      <c r="OM29" s="138">
        <f t="shared" si="38"/>
        <v>0</v>
      </c>
      <c r="ON29" s="8">
        <f t="shared" si="39"/>
        <v>0</v>
      </c>
      <c r="OO29" s="351" cm="1">
        <f t="array" ref="OO29">NETWORKDAYS($MA$2,$MR$2)-SUM(COUNTIF(MA29:MR29,{"I";"F";"CP";"R";"P";"AC";"AM"}))</f>
        <v>14</v>
      </c>
      <c r="OP29" s="138">
        <f t="shared" si="40"/>
        <v>0</v>
      </c>
      <c r="OQ29" s="94">
        <f t="shared" si="41"/>
        <v>59</v>
      </c>
      <c r="OR29" s="94">
        <f t="shared" si="42"/>
        <v>235</v>
      </c>
      <c r="OS29" s="138">
        <f t="shared" si="43"/>
        <v>0.25106382978723402</v>
      </c>
    </row>
    <row r="30" spans="1:409" ht="18" hidden="1" customHeight="1" x14ac:dyDescent="0.25">
      <c r="A30" s="93" t="s">
        <v>54</v>
      </c>
      <c r="B30" s="93" t="s">
        <v>34</v>
      </c>
      <c r="C30" s="91" t="s">
        <v>166</v>
      </c>
      <c r="D30" s="27" t="s">
        <v>207</v>
      </c>
      <c r="E30" s="128"/>
      <c r="F30" s="110"/>
      <c r="G30" s="110"/>
      <c r="H30" s="110"/>
      <c r="I30" s="25" t="s">
        <v>208</v>
      </c>
      <c r="J30" s="25" t="s">
        <v>208</v>
      </c>
      <c r="K30" s="25" t="s">
        <v>208</v>
      </c>
      <c r="L30" s="25" t="s">
        <v>208</v>
      </c>
      <c r="M30" s="25" t="s">
        <v>208</v>
      </c>
      <c r="N30" s="110"/>
      <c r="O30" s="110"/>
      <c r="P30" s="25" t="s">
        <v>208</v>
      </c>
      <c r="Q30" s="25" t="s">
        <v>208</v>
      </c>
      <c r="R30" s="25" t="s">
        <v>208</v>
      </c>
      <c r="S30" s="25" t="s">
        <v>208</v>
      </c>
      <c r="T30" s="25" t="s">
        <v>208</v>
      </c>
      <c r="U30" s="110"/>
      <c r="V30" s="110"/>
      <c r="W30" s="25" t="s">
        <v>208</v>
      </c>
      <c r="X30" s="25" t="s">
        <v>208</v>
      </c>
      <c r="Y30" s="25" t="s">
        <v>208</v>
      </c>
      <c r="Z30" s="25" t="s">
        <v>208</v>
      </c>
      <c r="AA30" s="25" t="s">
        <v>208</v>
      </c>
      <c r="AB30" s="110"/>
      <c r="AC30" s="110"/>
      <c r="AD30" s="25" t="s">
        <v>208</v>
      </c>
      <c r="AE30" s="25" t="s">
        <v>208</v>
      </c>
      <c r="AF30" s="25" t="s">
        <v>208</v>
      </c>
      <c r="AG30" s="25" t="s">
        <v>208</v>
      </c>
      <c r="AH30" s="25" t="s">
        <v>208</v>
      </c>
      <c r="AI30" s="110"/>
      <c r="AJ30" s="110"/>
      <c r="AK30" s="25" t="s">
        <v>208</v>
      </c>
      <c r="AL30" s="25" t="s">
        <v>208</v>
      </c>
      <c r="AM30" s="25" t="s">
        <v>208</v>
      </c>
      <c r="AN30" s="25" t="s">
        <v>208</v>
      </c>
      <c r="AO30" s="25" t="s">
        <v>208</v>
      </c>
      <c r="AP30" s="110"/>
      <c r="AQ30" s="110"/>
      <c r="AR30" s="25">
        <v>1</v>
      </c>
      <c r="AS30" s="25">
        <v>1</v>
      </c>
      <c r="AT30" s="25">
        <v>1</v>
      </c>
      <c r="AV30" s="25">
        <v>1</v>
      </c>
      <c r="AW30" s="110"/>
      <c r="AX30" s="110"/>
      <c r="AY30" s="25">
        <v>1</v>
      </c>
      <c r="AZ30" s="25">
        <v>1</v>
      </c>
      <c r="BA30" s="25">
        <v>1</v>
      </c>
      <c r="BB30" s="25"/>
      <c r="BC30" s="25"/>
      <c r="BD30" s="110"/>
      <c r="BE30" s="110"/>
      <c r="BF30" s="25">
        <v>1</v>
      </c>
      <c r="BG30" s="25">
        <v>1</v>
      </c>
      <c r="BH30" s="25">
        <v>1</v>
      </c>
      <c r="BI30" s="25">
        <v>1</v>
      </c>
      <c r="BJ30" s="25">
        <v>1</v>
      </c>
      <c r="BK30" s="110"/>
      <c r="BL30" s="110"/>
      <c r="BM30" s="25"/>
      <c r="BN30" s="25"/>
      <c r="BO30" s="25"/>
      <c r="BP30" s="25"/>
      <c r="BQ30" s="25"/>
      <c r="BR30" s="110"/>
      <c r="BS30" s="110"/>
      <c r="BT30" s="25"/>
      <c r="BU30" s="25"/>
      <c r="BV30" s="25"/>
      <c r="BW30" s="25"/>
      <c r="BX30" s="25">
        <v>1</v>
      </c>
      <c r="BY30" s="110"/>
      <c r="BZ30" s="110"/>
      <c r="CA30" s="25">
        <v>1</v>
      </c>
      <c r="CB30" s="25"/>
      <c r="CC30" s="25">
        <v>1</v>
      </c>
      <c r="CD30" s="25">
        <v>1</v>
      </c>
      <c r="CE30" s="25">
        <v>1</v>
      </c>
      <c r="CF30" s="110"/>
      <c r="CG30" s="110"/>
      <c r="CH30" s="25">
        <v>1</v>
      </c>
      <c r="CI30" s="25">
        <v>1</v>
      </c>
      <c r="CJ30" s="25"/>
      <c r="CK30" s="25">
        <v>1</v>
      </c>
      <c r="CL30" s="25"/>
      <c r="CM30" s="110"/>
      <c r="CN30" s="110"/>
      <c r="CO30" s="25">
        <v>1</v>
      </c>
      <c r="CP30" s="25">
        <v>1</v>
      </c>
      <c r="CQ30" s="25"/>
      <c r="CR30" s="25"/>
      <c r="CS30" s="25"/>
      <c r="CT30" s="110"/>
      <c r="CU30" s="110"/>
      <c r="CV30" s="110"/>
      <c r="CW30" s="25">
        <v>1</v>
      </c>
      <c r="CX30" s="25">
        <v>1</v>
      </c>
      <c r="CY30" s="25"/>
      <c r="CZ30" s="25">
        <v>1</v>
      </c>
      <c r="DA30" s="110"/>
      <c r="DB30" s="110"/>
      <c r="DC30" s="25">
        <v>1</v>
      </c>
      <c r="DD30" s="25">
        <v>1</v>
      </c>
      <c r="DE30" s="25">
        <v>1</v>
      </c>
      <c r="DF30" s="25"/>
      <c r="DG30" s="25"/>
      <c r="DH30" s="110"/>
      <c r="DI30" s="110"/>
      <c r="DJ30" s="25"/>
      <c r="DK30" s="25">
        <v>1</v>
      </c>
      <c r="DL30" s="25">
        <v>1</v>
      </c>
      <c r="DM30" s="25"/>
      <c r="DN30" s="25"/>
      <c r="DO30" s="110"/>
      <c r="DP30" s="110"/>
      <c r="DQ30" s="25">
        <v>1</v>
      </c>
      <c r="DR30" s="25"/>
      <c r="DS30" s="25"/>
      <c r="DT30" s="25"/>
      <c r="DU30" s="110" t="s">
        <v>445</v>
      </c>
      <c r="DV30" s="110"/>
      <c r="DW30" s="110"/>
      <c r="DX30" s="25"/>
      <c r="DY30" s="25"/>
      <c r="DZ30" s="25"/>
      <c r="EA30" s="25"/>
      <c r="EB30" s="110" t="s">
        <v>445</v>
      </c>
      <c r="EC30" s="110"/>
      <c r="ED30" s="110"/>
      <c r="EE30" s="25"/>
      <c r="EF30" s="25"/>
      <c r="EG30" s="25"/>
      <c r="EH30" s="110" t="s">
        <v>445</v>
      </c>
      <c r="EI30" s="110" t="s">
        <v>445</v>
      </c>
      <c r="EJ30" s="110"/>
      <c r="EK30" s="110"/>
      <c r="EL30" s="25"/>
      <c r="EM30" s="25"/>
      <c r="EN30" s="25"/>
      <c r="EO30" s="25"/>
      <c r="EP30" s="25"/>
      <c r="EQ30" s="110"/>
      <c r="ER30" s="110"/>
      <c r="ES30" s="110" t="s">
        <v>445</v>
      </c>
      <c r="ET30" s="25"/>
      <c r="EU30" s="25"/>
      <c r="EV30" s="25"/>
      <c r="EW30" s="25"/>
      <c r="EX30" s="110"/>
      <c r="EY30" s="110"/>
      <c r="EZ30" s="25"/>
      <c r="FA30" s="25"/>
      <c r="FB30" s="25"/>
      <c r="FC30" s="25"/>
      <c r="FD30" s="25"/>
      <c r="FE30" s="110"/>
      <c r="FF30" s="110"/>
      <c r="FG30" s="25"/>
      <c r="FH30" s="25"/>
      <c r="FI30" s="25"/>
      <c r="FJ30" s="25"/>
      <c r="FK30" s="25"/>
      <c r="FL30" s="110"/>
      <c r="FM30" s="110"/>
      <c r="FN30" s="25"/>
      <c r="FO30" s="25"/>
      <c r="FP30" s="25"/>
      <c r="FQ30" s="25"/>
      <c r="FR30" s="25"/>
      <c r="FS30" s="110"/>
      <c r="FT30" s="110"/>
      <c r="FU30" s="25"/>
      <c r="FV30" s="25"/>
      <c r="FW30" s="25"/>
      <c r="FX30" s="25"/>
      <c r="FY30" s="25"/>
      <c r="FZ30" s="110"/>
      <c r="GA30" s="110"/>
      <c r="GB30" s="25"/>
      <c r="GC30" s="25"/>
      <c r="GD30" s="25"/>
      <c r="GE30" s="25"/>
      <c r="GF30" s="25"/>
      <c r="GG30" s="110"/>
      <c r="GH30" s="110"/>
      <c r="GI30" s="25"/>
      <c r="GJ30" s="25"/>
      <c r="GK30" s="25"/>
      <c r="GL30" s="25"/>
      <c r="GM30" s="25"/>
      <c r="GN30" s="110"/>
      <c r="GO30" s="110"/>
      <c r="GP30" s="110" t="s">
        <v>445</v>
      </c>
      <c r="GQ30" s="110"/>
      <c r="GR30" s="25"/>
      <c r="GS30" s="25"/>
      <c r="GT30" s="25"/>
      <c r="GU30" s="110"/>
      <c r="GV30" s="110"/>
      <c r="GW30" s="25"/>
      <c r="GX30" s="25"/>
      <c r="GY30" s="25"/>
      <c r="GZ30" s="25"/>
      <c r="HA30" s="25"/>
      <c r="HB30" s="110"/>
      <c r="HC30" s="110"/>
      <c r="HD30" s="25"/>
      <c r="HE30" s="25"/>
      <c r="HF30" s="25"/>
      <c r="HG30" s="25"/>
      <c r="HH30" s="25"/>
      <c r="HI30" s="110"/>
      <c r="HJ30" s="110"/>
      <c r="HK30" s="25"/>
      <c r="HL30" s="25"/>
      <c r="HM30" s="25"/>
      <c r="HN30" s="25"/>
      <c r="HO30" s="25"/>
      <c r="HP30" s="110"/>
      <c r="HQ30" s="110"/>
      <c r="HR30" s="25"/>
      <c r="HS30" s="25"/>
      <c r="HT30" s="25"/>
      <c r="HU30" s="25"/>
      <c r="HV30" s="25"/>
      <c r="HW30" s="110"/>
      <c r="HX30" s="110"/>
      <c r="HY30" s="25"/>
      <c r="HZ30" s="25"/>
      <c r="IA30" s="25"/>
      <c r="IB30" s="25"/>
      <c r="IC30" s="25"/>
      <c r="ID30" s="110"/>
      <c r="IE30" s="110"/>
      <c r="IF30" s="25"/>
      <c r="IG30" s="25"/>
      <c r="IH30" s="25"/>
      <c r="II30" s="25"/>
      <c r="IJ30" s="25"/>
      <c r="IK30" s="110"/>
      <c r="IL30" s="110"/>
      <c r="IM30" s="25"/>
      <c r="IN30" s="25"/>
      <c r="IO30" s="25"/>
      <c r="IP30" s="25"/>
      <c r="IQ30" s="25"/>
      <c r="IR30" s="110"/>
      <c r="IS30" s="110"/>
      <c r="IT30" s="25"/>
      <c r="IU30" s="25"/>
      <c r="IV30" s="25"/>
      <c r="IW30" s="25"/>
      <c r="IX30" s="25"/>
      <c r="IY30" s="110"/>
      <c r="IZ30" s="110"/>
      <c r="JA30" s="25"/>
      <c r="JB30" s="25"/>
      <c r="JC30" s="25"/>
      <c r="JD30" s="25"/>
      <c r="JE30" s="25"/>
      <c r="JF30" s="110"/>
      <c r="JG30" s="110"/>
      <c r="JH30" s="25"/>
      <c r="JI30" s="25"/>
      <c r="JJ30" s="25"/>
      <c r="JK30" s="25"/>
      <c r="JL30" s="25"/>
      <c r="JM30" s="110"/>
      <c r="JN30" s="110"/>
      <c r="JO30" s="25"/>
      <c r="JP30" s="25"/>
      <c r="JQ30" s="25"/>
      <c r="JR30" s="25"/>
      <c r="JS30" s="25"/>
      <c r="JT30" s="110"/>
      <c r="JU30" s="110"/>
      <c r="JV30" s="25"/>
      <c r="JW30" s="25"/>
      <c r="JX30" s="25"/>
      <c r="JY30" s="25"/>
      <c r="JZ30" s="25"/>
      <c r="KA30" s="110"/>
      <c r="KB30" s="110"/>
      <c r="KC30" s="25"/>
      <c r="KD30" s="25"/>
      <c r="KE30" s="25"/>
      <c r="KF30" s="25"/>
      <c r="KG30" s="25"/>
      <c r="KH30" s="110"/>
      <c r="KI30" s="110"/>
      <c r="KJ30" s="25"/>
      <c r="KK30" s="25"/>
      <c r="KL30" s="25"/>
      <c r="KM30" s="25"/>
      <c r="KN30" s="25"/>
      <c r="KO30" s="110"/>
      <c r="KP30" s="110"/>
      <c r="KQ30" s="25"/>
      <c r="KR30" s="25"/>
      <c r="KS30" s="25"/>
      <c r="KT30" s="25"/>
      <c r="KU30" s="25"/>
      <c r="KV30" s="110"/>
      <c r="KW30" s="110"/>
      <c r="KX30" s="25"/>
      <c r="KY30" s="25"/>
      <c r="KZ30" s="25"/>
      <c r="LA30" s="25"/>
      <c r="LB30" s="25"/>
      <c r="LC30" s="110"/>
      <c r="LD30" s="110"/>
      <c r="LE30" s="25"/>
      <c r="LF30" s="25"/>
      <c r="LG30" s="110" t="s">
        <v>445</v>
      </c>
      <c r="LH30" s="25"/>
      <c r="LI30" s="25"/>
      <c r="LJ30" s="110"/>
      <c r="LK30" s="110"/>
      <c r="LL30" s="25"/>
      <c r="LM30" s="25"/>
      <c r="LN30" s="25"/>
      <c r="LO30" s="25"/>
      <c r="LP30" s="25"/>
      <c r="LQ30" s="110"/>
      <c r="LR30" s="110"/>
      <c r="LS30" s="25"/>
      <c r="LT30" s="25"/>
      <c r="LU30" s="25"/>
      <c r="LV30" s="25"/>
      <c r="LW30" s="25"/>
      <c r="LX30" s="110"/>
      <c r="LY30" s="110"/>
      <c r="LZ30" s="25"/>
      <c r="MA30" s="25"/>
      <c r="MB30" s="25"/>
      <c r="MC30" s="25"/>
      <c r="MD30" s="25"/>
      <c r="ME30" s="110"/>
      <c r="MF30" s="110"/>
      <c r="MG30" s="25"/>
      <c r="MH30" s="25"/>
      <c r="MI30" s="25"/>
      <c r="MJ30" s="25"/>
      <c r="MK30" s="25"/>
      <c r="ML30" s="110"/>
      <c r="MM30" s="110"/>
      <c r="MN30" s="25"/>
      <c r="MO30" s="25"/>
      <c r="MP30" s="25"/>
      <c r="MQ30" s="25"/>
      <c r="MR30" s="25"/>
      <c r="MS30" s="110"/>
      <c r="MT30" s="110"/>
      <c r="MU30" s="25"/>
      <c r="MV30" s="25"/>
      <c r="MW30" s="25"/>
      <c r="MX30" s="25"/>
      <c r="MY30" s="25"/>
      <c r="MZ30" s="110"/>
      <c r="NA30" s="110"/>
      <c r="NB30" s="25"/>
      <c r="NC30" s="25"/>
      <c r="ND30" s="25"/>
      <c r="NE30" s="129"/>
      <c r="NF30" s="111"/>
      <c r="NG30" s="8">
        <f t="shared" ref="NG30" si="44">SUM(E30:AI30)</f>
        <v>0</v>
      </c>
      <c r="NH30" s="351" cm="1">
        <f t="array" ref="NH30">NETWORKDAYS($I$2,$AH$2)- SUM(COUNTIF(I30:AH30,{"I";"F";"CP";"R";"P";"AC";"AM"}))</f>
        <v>20</v>
      </c>
      <c r="NI30" s="138">
        <f t="shared" si="12"/>
        <v>0</v>
      </c>
      <c r="NJ30" s="8">
        <f t="shared" si="1"/>
        <v>12</v>
      </c>
      <c r="NK30" s="351" cm="1">
        <f t="array" ref="NK30">NETWORKDAYS($AJ$2,$BK$2)- SUM(COUNTIF(AJ30:BK30,{"I";"F";"CP";"R";"P";"AC";"AM"}))</f>
        <v>20</v>
      </c>
      <c r="NL30" s="138">
        <f t="shared" si="13"/>
        <v>0.6</v>
      </c>
      <c r="NM30" s="8">
        <f t="shared" si="2"/>
        <v>10</v>
      </c>
      <c r="NN30" s="351" cm="1">
        <f t="array" ref="NN30">NETWORKDAYS($BL$2,$CP$2)- SUM(COUNTIF(BL30:CP30,{"I";"F";"CP";"R";"P";"AC";"AM"}))</f>
        <v>22</v>
      </c>
      <c r="NO30" s="138">
        <f t="shared" si="14"/>
        <v>0.45454545454545453</v>
      </c>
      <c r="NP30" s="8">
        <f t="shared" si="3"/>
        <v>9</v>
      </c>
      <c r="NQ30" s="351" cm="1">
        <f t="array" ref="NQ30">NETWORKDAYS($CQ$2,$DT$2,$CV$2)- SUM(COUNTIF(CQ30:DT30,{"I";"F";"CP";"R";"P";"AC";"AM"}))</f>
        <v>21</v>
      </c>
      <c r="NR30" s="138">
        <f t="shared" si="15"/>
        <v>0.42857142857142855</v>
      </c>
      <c r="NS30" s="8">
        <f t="shared" si="4"/>
        <v>0</v>
      </c>
      <c r="NT30" s="351" cm="1">
        <f t="array" ref="NT30">NETWORKDAYS($DV$2,$EY$2)-SUM(COUNTIF(DV30:EY30,{"I";"F";"CP";"R";"P";"AC";"AM"}))</f>
        <v>16</v>
      </c>
      <c r="NU30" s="138">
        <f t="shared" si="16"/>
        <v>0</v>
      </c>
      <c r="NV30" s="8">
        <f t="shared" si="27"/>
        <v>0</v>
      </c>
      <c r="NW30" s="351" cm="1">
        <f t="array" ref="NW30">NETWORKDAYS($EZ$2,$GC$2)-SUM(COUNTIF(EZ30:GC30,{"I";"F";"CP";"R";"P";"AC";"AM"}))</f>
        <v>22</v>
      </c>
      <c r="NX30" s="138">
        <f t="shared" si="28"/>
        <v>0</v>
      </c>
      <c r="NY30" s="8">
        <f t="shared" si="29"/>
        <v>0</v>
      </c>
      <c r="NZ30" s="351" cm="1">
        <f t="array" ref="NZ30">NETWORKDAYS($GD$2,$HH$2,$GQ$2)-SUM(COUNTIF(GD30:HH30,{"I";"F";"CP";"R";"P";"AC";"AM"}))</f>
        <v>21</v>
      </c>
      <c r="OA30" s="138">
        <f t="shared" si="30"/>
        <v>0</v>
      </c>
      <c r="OB30" s="8">
        <f t="shared" si="31"/>
        <v>0</v>
      </c>
      <c r="OC30" s="351" cm="1">
        <f t="array" ref="OC30">NETWORKDAYS($HI$2,$IM$2)-SUM(COUNTIF(HI30:IM30,{"I";"F";"CP";"R";"P";"AC";"AM"}))</f>
        <v>21</v>
      </c>
      <c r="OD30" s="138">
        <f t="shared" si="32"/>
        <v>0</v>
      </c>
      <c r="OE30" s="8">
        <f t="shared" si="33"/>
        <v>0</v>
      </c>
      <c r="OF30" s="351" cm="1">
        <f t="array" ref="OF30">NETWORKDAYS($IN$2,$JQ$2)-SUM(COUNTIF(IN30:JQ30,{"I";"F";"CP";"R";"P";"AC";"AM"}))</f>
        <v>22</v>
      </c>
      <c r="OG30" s="138">
        <f t="shared" si="34"/>
        <v>0</v>
      </c>
      <c r="OH30" s="8">
        <f t="shared" si="35"/>
        <v>0</v>
      </c>
      <c r="OI30" s="351" cm="1">
        <f t="array" ref="OI30">NETWORKDAYS($JR$2,$KV$2)-SUM(COUNTIF(JR30:KV30,{"I";"F";"CP";"R";"P";"AC";"AM"}))</f>
        <v>22</v>
      </c>
      <c r="OJ30" s="138">
        <f t="shared" si="36"/>
        <v>0</v>
      </c>
      <c r="OK30" s="8">
        <f t="shared" si="37"/>
        <v>0</v>
      </c>
      <c r="OL30" s="351" cm="1">
        <f t="array" ref="OL30">NETWORKDAYS($KW$2,$LZ$2,$LG$2)-SUM(COUNTIF(KW30:LZ30,{"I";"F";"CP";"R";"P";"AC";"AM"}))</f>
        <v>19</v>
      </c>
      <c r="OM30" s="138">
        <f t="shared" si="38"/>
        <v>0</v>
      </c>
      <c r="ON30" s="8">
        <f t="shared" si="39"/>
        <v>0</v>
      </c>
      <c r="OO30" s="351" cm="1">
        <f t="array" ref="OO30">NETWORKDAYS($MA$2,$MR$2)-SUM(COUNTIF(MA30:MR30,{"I";"F";"CP";"R";"P";"AC";"AM"}))</f>
        <v>14</v>
      </c>
      <c r="OP30" s="138">
        <f t="shared" si="40"/>
        <v>0</v>
      </c>
      <c r="OQ30" s="94">
        <f t="shared" si="41"/>
        <v>31</v>
      </c>
      <c r="OR30" s="94">
        <f t="shared" si="42"/>
        <v>240</v>
      </c>
      <c r="OS30" s="138">
        <f t="shared" si="43"/>
        <v>0.12916666666666668</v>
      </c>
    </row>
    <row r="31" spans="1:409" ht="18" hidden="1" customHeight="1" x14ac:dyDescent="0.25">
      <c r="A31" s="93" t="s">
        <v>159</v>
      </c>
      <c r="B31" s="93" t="s">
        <v>45</v>
      </c>
      <c r="C31" s="27" t="s">
        <v>160</v>
      </c>
      <c r="D31" s="27" t="s">
        <v>199</v>
      </c>
      <c r="E31" s="128"/>
      <c r="F31" s="110"/>
      <c r="G31" s="110"/>
      <c r="H31" s="110"/>
      <c r="I31" s="25"/>
      <c r="J31" s="25"/>
      <c r="K31" s="25"/>
      <c r="L31" s="25"/>
      <c r="M31" s="25"/>
      <c r="N31" s="110"/>
      <c r="O31" s="110"/>
      <c r="P31" s="25"/>
      <c r="Q31" s="25"/>
      <c r="R31" s="25"/>
      <c r="S31" s="25"/>
      <c r="T31" s="25"/>
      <c r="U31" s="110"/>
      <c r="V31" s="110"/>
      <c r="W31" s="25"/>
      <c r="X31" s="25"/>
      <c r="Y31" s="25"/>
      <c r="Z31" s="25"/>
      <c r="AA31" s="25"/>
      <c r="AB31" s="110"/>
      <c r="AC31" s="110"/>
      <c r="AD31" s="25"/>
      <c r="AE31" s="25"/>
      <c r="AF31" s="25"/>
      <c r="AG31" s="25"/>
      <c r="AH31" s="25"/>
      <c r="AI31" s="110"/>
      <c r="AJ31" s="110"/>
      <c r="AK31" s="25"/>
      <c r="AL31" s="25"/>
      <c r="AM31" s="25"/>
      <c r="AN31" s="25"/>
      <c r="AO31" s="25"/>
      <c r="AP31" s="110"/>
      <c r="AQ31" s="110"/>
      <c r="AR31" s="25"/>
      <c r="AS31" s="25"/>
      <c r="AT31" s="25"/>
      <c r="AV31" s="25"/>
      <c r="AW31" s="110"/>
      <c r="AX31" s="110"/>
      <c r="AY31" s="25"/>
      <c r="AZ31" s="25"/>
      <c r="BA31" s="25"/>
      <c r="BB31" s="25"/>
      <c r="BC31" s="25"/>
      <c r="BD31" s="110"/>
      <c r="BE31" s="110"/>
      <c r="BF31" s="25"/>
      <c r="BG31" s="25"/>
      <c r="BH31" s="25"/>
      <c r="BI31" s="25"/>
      <c r="BJ31" s="25"/>
      <c r="BK31" s="110"/>
      <c r="BL31" s="110"/>
      <c r="BM31" s="25"/>
      <c r="BN31" s="25"/>
      <c r="BO31" s="25"/>
      <c r="BP31" s="25"/>
      <c r="BQ31" s="25"/>
      <c r="BR31" s="110"/>
      <c r="BS31" s="110"/>
      <c r="BT31" s="25"/>
      <c r="BU31" s="25"/>
      <c r="BV31" s="25"/>
      <c r="BW31" s="25"/>
      <c r="BX31" s="25"/>
      <c r="BY31" s="110"/>
      <c r="BZ31" s="110"/>
      <c r="CA31" s="25"/>
      <c r="CB31" s="25"/>
      <c r="CC31" s="25"/>
      <c r="CD31" s="25"/>
      <c r="CE31" s="25"/>
      <c r="CF31" s="110"/>
      <c r="CG31" s="110"/>
      <c r="CH31" s="25"/>
      <c r="CI31" s="25"/>
      <c r="CJ31" s="25"/>
      <c r="CK31" s="25"/>
      <c r="CL31" s="25"/>
      <c r="CM31" s="110"/>
      <c r="CN31" s="110"/>
      <c r="CO31" s="25"/>
      <c r="CP31" s="25"/>
      <c r="CQ31" s="25"/>
      <c r="CR31" s="25"/>
      <c r="CS31" s="25"/>
      <c r="CT31" s="110"/>
      <c r="CU31" s="110"/>
      <c r="CV31" s="110"/>
      <c r="CW31" s="25"/>
      <c r="CX31" s="25"/>
      <c r="CY31" s="25"/>
      <c r="CZ31" s="25"/>
      <c r="DA31" s="110"/>
      <c r="DB31" s="110"/>
      <c r="DC31" s="25"/>
      <c r="DD31" s="25"/>
      <c r="DE31" s="25"/>
      <c r="DF31" s="25"/>
      <c r="DG31" s="25"/>
      <c r="DH31" s="110"/>
      <c r="DI31" s="110"/>
      <c r="DJ31" s="25"/>
      <c r="DK31" s="25"/>
      <c r="DL31" s="25"/>
      <c r="DM31" s="25"/>
      <c r="DN31" s="25"/>
      <c r="DO31" s="110"/>
      <c r="DP31" s="110"/>
      <c r="DQ31" s="25"/>
      <c r="DR31" s="25"/>
      <c r="DS31" s="25"/>
      <c r="DT31" s="25"/>
      <c r="DU31" s="110" t="s">
        <v>445</v>
      </c>
      <c r="DV31" s="110"/>
      <c r="DW31" s="110"/>
      <c r="DX31" s="25"/>
      <c r="DY31" s="25"/>
      <c r="DZ31" s="25"/>
      <c r="EA31" s="25"/>
      <c r="EB31" s="110" t="s">
        <v>445</v>
      </c>
      <c r="EC31" s="110"/>
      <c r="ED31" s="110"/>
      <c r="EE31" s="25"/>
      <c r="EF31" s="25"/>
      <c r="EG31" s="25"/>
      <c r="EH31" s="110" t="s">
        <v>445</v>
      </c>
      <c r="EI31" s="110" t="s">
        <v>445</v>
      </c>
      <c r="EJ31" s="110"/>
      <c r="EK31" s="110"/>
      <c r="EL31" s="25"/>
      <c r="EM31" s="25"/>
      <c r="EN31" s="25"/>
      <c r="EO31" s="25"/>
      <c r="EP31" s="25"/>
      <c r="EQ31" s="110"/>
      <c r="ER31" s="110"/>
      <c r="ES31" s="110" t="s">
        <v>445</v>
      </c>
      <c r="ET31" s="25"/>
      <c r="EU31" s="25"/>
      <c r="EV31" s="25"/>
      <c r="EW31" s="25"/>
      <c r="EX31" s="110"/>
      <c r="EY31" s="110"/>
      <c r="EZ31" s="25"/>
      <c r="FA31" s="25"/>
      <c r="FB31" s="25"/>
      <c r="FC31" s="25"/>
      <c r="FD31" s="25"/>
      <c r="FE31" s="110"/>
      <c r="FF31" s="110"/>
      <c r="FG31" s="25"/>
      <c r="FH31" s="25"/>
      <c r="FI31" s="25"/>
      <c r="FJ31" s="25"/>
      <c r="FK31" s="25"/>
      <c r="FL31" s="110"/>
      <c r="FM31" s="110"/>
      <c r="FN31" s="25"/>
      <c r="FO31" s="25"/>
      <c r="FP31" s="25"/>
      <c r="FQ31" s="25"/>
      <c r="FR31" s="25"/>
      <c r="FS31" s="110"/>
      <c r="FT31" s="110"/>
      <c r="FU31" s="25"/>
      <c r="FV31" s="25"/>
      <c r="FW31" s="25"/>
      <c r="FX31" s="25"/>
      <c r="FY31" s="25"/>
      <c r="FZ31" s="110"/>
      <c r="GA31" s="110"/>
      <c r="GB31" s="25"/>
      <c r="GC31" s="25"/>
      <c r="GD31" s="25"/>
      <c r="GE31" s="25"/>
      <c r="GF31" s="25"/>
      <c r="GG31" s="110"/>
      <c r="GH31" s="110"/>
      <c r="GI31" s="25"/>
      <c r="GJ31" s="25"/>
      <c r="GK31" s="25"/>
      <c r="GL31" s="25"/>
      <c r="GM31" s="25"/>
      <c r="GN31" s="110"/>
      <c r="GO31" s="110"/>
      <c r="GP31" s="110" t="s">
        <v>445</v>
      </c>
      <c r="GQ31" s="110"/>
      <c r="GR31" s="25"/>
      <c r="GS31" s="25"/>
      <c r="GT31" s="25"/>
      <c r="GU31" s="110"/>
      <c r="GV31" s="110"/>
      <c r="GW31" s="25"/>
      <c r="GX31" s="25"/>
      <c r="GY31" s="25"/>
      <c r="GZ31" s="25"/>
      <c r="HA31" s="25"/>
      <c r="HB31" s="110"/>
      <c r="HC31" s="110"/>
      <c r="HD31" s="25"/>
      <c r="HE31" s="25"/>
      <c r="HF31" s="25"/>
      <c r="HG31" s="25"/>
      <c r="HH31" s="25"/>
      <c r="HI31" s="110"/>
      <c r="HJ31" s="110"/>
      <c r="HK31" s="25"/>
      <c r="HL31" s="25"/>
      <c r="HM31" s="25"/>
      <c r="HN31" s="25"/>
      <c r="HO31" s="25"/>
      <c r="HP31" s="110"/>
      <c r="HQ31" s="110"/>
      <c r="HR31" s="25"/>
      <c r="HS31" s="25"/>
      <c r="HT31" s="25"/>
      <c r="HU31" s="25"/>
      <c r="HV31" s="25"/>
      <c r="HW31" s="110"/>
      <c r="HX31" s="110"/>
      <c r="HY31" s="25"/>
      <c r="HZ31" s="25"/>
      <c r="IA31" s="25"/>
      <c r="IB31" s="25"/>
      <c r="IC31" s="25"/>
      <c r="ID31" s="110"/>
      <c r="IE31" s="110"/>
      <c r="IF31" s="25"/>
      <c r="IG31" s="25"/>
      <c r="IH31" s="25"/>
      <c r="II31" s="25"/>
      <c r="IJ31" s="25"/>
      <c r="IK31" s="110"/>
      <c r="IL31" s="110"/>
      <c r="IM31" s="25"/>
      <c r="IN31" s="25"/>
      <c r="IO31" s="25"/>
      <c r="IP31" s="25"/>
      <c r="IQ31" s="25"/>
      <c r="IR31" s="110"/>
      <c r="IS31" s="110"/>
      <c r="IT31" s="25"/>
      <c r="IU31" s="25"/>
      <c r="IV31" s="25"/>
      <c r="IW31" s="25"/>
      <c r="IX31" s="25"/>
      <c r="IY31" s="110"/>
      <c r="IZ31" s="110"/>
      <c r="JA31" s="25"/>
      <c r="JB31" s="25"/>
      <c r="JC31" s="25"/>
      <c r="JD31" s="25"/>
      <c r="JE31" s="25"/>
      <c r="JF31" s="110"/>
      <c r="JG31" s="110"/>
      <c r="JH31" s="25"/>
      <c r="JI31" s="25"/>
      <c r="JJ31" s="25"/>
      <c r="JK31" s="25"/>
      <c r="JL31" s="25"/>
      <c r="JM31" s="110"/>
      <c r="JN31" s="110"/>
      <c r="JO31" s="25"/>
      <c r="JP31" s="25"/>
      <c r="JQ31" s="25"/>
      <c r="JR31" s="25"/>
      <c r="JS31" s="25"/>
      <c r="JT31" s="110"/>
      <c r="JU31" s="110"/>
      <c r="JV31" s="25"/>
      <c r="JW31" s="25"/>
      <c r="JX31" s="25"/>
      <c r="JY31" s="25"/>
      <c r="JZ31" s="25"/>
      <c r="KA31" s="110"/>
      <c r="KB31" s="110"/>
      <c r="KC31" s="25"/>
      <c r="KD31" s="25"/>
      <c r="KE31" s="25"/>
      <c r="KF31" s="25"/>
      <c r="KG31" s="25"/>
      <c r="KH31" s="110"/>
      <c r="KI31" s="110"/>
      <c r="KJ31" s="25"/>
      <c r="KK31" s="25"/>
      <c r="KL31" s="25"/>
      <c r="KM31" s="25"/>
      <c r="KN31" s="25"/>
      <c r="KO31" s="110"/>
      <c r="KP31" s="110"/>
      <c r="KQ31" s="25"/>
      <c r="KR31" s="25"/>
      <c r="KS31" s="25"/>
      <c r="KT31" s="25"/>
      <c r="KU31" s="25"/>
      <c r="KV31" s="110"/>
      <c r="KW31" s="110"/>
      <c r="KX31" s="25"/>
      <c r="KY31" s="25"/>
      <c r="KZ31" s="25"/>
      <c r="LA31" s="25"/>
      <c r="LB31" s="25"/>
      <c r="LC31" s="110"/>
      <c r="LD31" s="110"/>
      <c r="LE31" s="25"/>
      <c r="LF31" s="25"/>
      <c r="LG31" s="110" t="s">
        <v>445</v>
      </c>
      <c r="LH31" s="25"/>
      <c r="LI31" s="25"/>
      <c r="LJ31" s="110"/>
      <c r="LK31" s="110"/>
      <c r="LL31" s="25"/>
      <c r="LM31" s="25"/>
      <c r="LN31" s="25"/>
      <c r="LO31" s="25"/>
      <c r="LP31" s="25"/>
      <c r="LQ31" s="110"/>
      <c r="LR31" s="110"/>
      <c r="LS31" s="25"/>
      <c r="LT31" s="25"/>
      <c r="LU31" s="25"/>
      <c r="LV31" s="25"/>
      <c r="LW31" s="25"/>
      <c r="LX31" s="110"/>
      <c r="LY31" s="110"/>
      <c r="LZ31" s="25"/>
      <c r="MA31" s="25"/>
      <c r="MB31" s="25"/>
      <c r="MC31" s="25"/>
      <c r="MD31" s="25"/>
      <c r="ME31" s="110"/>
      <c r="MF31" s="110"/>
      <c r="MG31" s="25"/>
      <c r="MH31" s="25"/>
      <c r="MI31" s="25"/>
      <c r="MJ31" s="25"/>
      <c r="MK31" s="25"/>
      <c r="ML31" s="110"/>
      <c r="MM31" s="110"/>
      <c r="MN31" s="25"/>
      <c r="MO31" s="25"/>
      <c r="MP31" s="25"/>
      <c r="MQ31" s="25"/>
      <c r="MR31" s="25"/>
      <c r="MS31" s="110"/>
      <c r="MT31" s="110"/>
      <c r="MU31" s="25"/>
      <c r="MV31" s="25"/>
      <c r="MW31" s="25"/>
      <c r="MX31" s="25"/>
      <c r="MY31" s="25"/>
      <c r="MZ31" s="110"/>
      <c r="NA31" s="110"/>
      <c r="NB31" s="25"/>
      <c r="NC31" s="25"/>
      <c r="ND31" s="25"/>
      <c r="NE31" s="129"/>
      <c r="NF31" s="111"/>
      <c r="NG31" s="8">
        <f t="shared" si="0"/>
        <v>0</v>
      </c>
      <c r="NH31" s="351" cm="1">
        <f t="array" ref="NH31">NETWORKDAYS($I$2,$AH$2)- SUM(COUNTIF(I31:AH31,{"I";"F";"CP";"R";"P";"AC";"AM"}))</f>
        <v>20</v>
      </c>
      <c r="NI31" s="138">
        <f t="shared" si="12"/>
        <v>0</v>
      </c>
      <c r="NJ31" s="8">
        <f t="shared" si="1"/>
        <v>0</v>
      </c>
      <c r="NK31" s="351" cm="1">
        <f t="array" ref="NK31">NETWORKDAYS($AJ$2,$BK$2)- SUM(COUNTIF(AJ31:BK31,{"I";"F";"CP";"R";"P";"AC";"AM"}))</f>
        <v>20</v>
      </c>
      <c r="NL31" s="138">
        <f t="shared" si="13"/>
        <v>0</v>
      </c>
      <c r="NM31" s="8">
        <f t="shared" si="2"/>
        <v>0</v>
      </c>
      <c r="NN31" s="351" cm="1">
        <f t="array" ref="NN31">NETWORKDAYS($BL$2,$CP$2)- SUM(COUNTIF(BL31:CP31,{"I";"F";"CP";"R";"P";"AC";"AM"}))</f>
        <v>22</v>
      </c>
      <c r="NO31" s="138">
        <f t="shared" si="14"/>
        <v>0</v>
      </c>
      <c r="NP31" s="8">
        <f t="shared" si="3"/>
        <v>0</v>
      </c>
      <c r="NQ31" s="351" cm="1">
        <f t="array" ref="NQ31">NETWORKDAYS($CQ$2,$DT$2,$CV$2)- SUM(COUNTIF(CQ31:DT31,{"I";"F";"CP";"R";"P";"AC";"AM"}))</f>
        <v>21</v>
      </c>
      <c r="NR31" s="138">
        <f t="shared" si="15"/>
        <v>0</v>
      </c>
      <c r="NS31" s="8">
        <f t="shared" si="4"/>
        <v>0</v>
      </c>
      <c r="NT31" s="351" cm="1">
        <f t="array" ref="NT31">NETWORKDAYS($DV$2,$EY$2)-SUM(COUNTIF(DV31:EY31,{"I";"F";"CP";"R";"P";"AC";"AM"}))</f>
        <v>16</v>
      </c>
      <c r="NU31" s="138">
        <f t="shared" si="16"/>
        <v>0</v>
      </c>
      <c r="NV31" s="8">
        <f t="shared" si="27"/>
        <v>0</v>
      </c>
      <c r="NW31" s="351" cm="1">
        <f t="array" ref="NW31">NETWORKDAYS($EZ$2,$GC$2)-SUM(COUNTIF(EZ31:GC31,{"I";"F";"CP";"R";"P";"AC";"AM"}))</f>
        <v>22</v>
      </c>
      <c r="NX31" s="138">
        <f t="shared" si="28"/>
        <v>0</v>
      </c>
      <c r="NY31" s="8">
        <f t="shared" si="29"/>
        <v>0</v>
      </c>
      <c r="NZ31" s="351" cm="1">
        <f t="array" ref="NZ31">NETWORKDAYS($GD$2,$HH$2,$GQ$2)-SUM(COUNTIF(GD31:HH31,{"I";"F";"CP";"R";"P";"AC";"AM"}))</f>
        <v>21</v>
      </c>
      <c r="OA31" s="138">
        <f t="shared" si="30"/>
        <v>0</v>
      </c>
      <c r="OB31" s="8">
        <f t="shared" si="31"/>
        <v>0</v>
      </c>
      <c r="OC31" s="351" cm="1">
        <f t="array" ref="OC31">NETWORKDAYS($HI$2,$IM$2)-SUM(COUNTIF(HI31:IM31,{"I";"F";"CP";"R";"P";"AC";"AM"}))</f>
        <v>21</v>
      </c>
      <c r="OD31" s="138">
        <f t="shared" si="32"/>
        <v>0</v>
      </c>
      <c r="OE31" s="8">
        <f t="shared" si="33"/>
        <v>0</v>
      </c>
      <c r="OF31" s="351" cm="1">
        <f t="array" ref="OF31">NETWORKDAYS($IN$2,$JQ$2)-SUM(COUNTIF(IN31:JQ31,{"I";"F";"CP";"R";"P";"AC";"AM"}))</f>
        <v>22</v>
      </c>
      <c r="OG31" s="138">
        <f t="shared" si="34"/>
        <v>0</v>
      </c>
      <c r="OH31" s="8">
        <f t="shared" si="35"/>
        <v>0</v>
      </c>
      <c r="OI31" s="351" cm="1">
        <f t="array" ref="OI31">NETWORKDAYS($JR$2,$KV$2)-SUM(COUNTIF(JR31:KV31,{"I";"F";"CP";"R";"P";"AC";"AM"}))</f>
        <v>22</v>
      </c>
      <c r="OJ31" s="138">
        <f t="shared" si="36"/>
        <v>0</v>
      </c>
      <c r="OK31" s="8">
        <f t="shared" si="37"/>
        <v>0</v>
      </c>
      <c r="OL31" s="351" cm="1">
        <f t="array" ref="OL31">NETWORKDAYS($KW$2,$LZ$2,$LG$2)-SUM(COUNTIF(KW31:LZ31,{"I";"F";"CP";"R";"P";"AC";"AM"}))</f>
        <v>19</v>
      </c>
      <c r="OM31" s="138">
        <f t="shared" si="38"/>
        <v>0</v>
      </c>
      <c r="ON31" s="8">
        <f t="shared" si="39"/>
        <v>0</v>
      </c>
      <c r="OO31" s="351" cm="1">
        <f t="array" ref="OO31">NETWORKDAYS($MA$2,$MR$2)-SUM(COUNTIF(MA31:MR31,{"I";"F";"CP";"R";"P";"AC";"AM"}))</f>
        <v>14</v>
      </c>
      <c r="OP31" s="138">
        <f t="shared" si="40"/>
        <v>0</v>
      </c>
      <c r="OQ31" s="94">
        <f t="shared" si="41"/>
        <v>0</v>
      </c>
      <c r="OR31" s="94">
        <f t="shared" si="42"/>
        <v>240</v>
      </c>
      <c r="OS31" s="138">
        <f t="shared" si="43"/>
        <v>0</v>
      </c>
    </row>
    <row r="32" spans="1:409" ht="18" hidden="1" customHeight="1" x14ac:dyDescent="0.25">
      <c r="A32" s="95" t="s">
        <v>100</v>
      </c>
      <c r="B32" s="93" t="s">
        <v>34</v>
      </c>
      <c r="C32" s="89" t="s">
        <v>160</v>
      </c>
      <c r="D32" s="89" t="s">
        <v>200</v>
      </c>
      <c r="E32" s="128"/>
      <c r="F32" s="110"/>
      <c r="G32" s="110"/>
      <c r="H32" s="110"/>
      <c r="I32" s="25"/>
      <c r="J32" s="25"/>
      <c r="K32" s="25"/>
      <c r="L32" s="25"/>
      <c r="M32" s="25">
        <v>1</v>
      </c>
      <c r="N32" s="110"/>
      <c r="O32" s="110"/>
      <c r="P32" s="25"/>
      <c r="Q32" s="25">
        <v>1</v>
      </c>
      <c r="R32" s="25">
        <v>1</v>
      </c>
      <c r="S32" s="25">
        <v>1</v>
      </c>
      <c r="T32" s="25">
        <v>1</v>
      </c>
      <c r="U32" s="110"/>
      <c r="V32" s="110"/>
      <c r="W32" s="25">
        <v>1</v>
      </c>
      <c r="X32" s="25">
        <v>1</v>
      </c>
      <c r="Y32" s="25">
        <v>1</v>
      </c>
      <c r="Z32" s="25" t="s">
        <v>223</v>
      </c>
      <c r="AA32" s="25" t="s">
        <v>223</v>
      </c>
      <c r="AB32" s="110"/>
      <c r="AC32" s="110"/>
      <c r="AD32" s="25">
        <v>1</v>
      </c>
      <c r="AE32" s="25">
        <v>1</v>
      </c>
      <c r="AF32" s="25"/>
      <c r="AG32" s="25">
        <v>1</v>
      </c>
      <c r="AH32" s="25">
        <v>1</v>
      </c>
      <c r="AI32" s="110"/>
      <c r="AJ32" s="110"/>
      <c r="AK32" s="25">
        <v>1</v>
      </c>
      <c r="AL32" s="25"/>
      <c r="AM32" s="25">
        <v>1</v>
      </c>
      <c r="AN32" s="25">
        <v>1</v>
      </c>
      <c r="AO32" s="25">
        <v>1</v>
      </c>
      <c r="AP32" s="110"/>
      <c r="AQ32" s="110"/>
      <c r="AR32" s="25">
        <v>1</v>
      </c>
      <c r="AS32" s="25">
        <v>1</v>
      </c>
      <c r="AT32" s="25">
        <v>1</v>
      </c>
      <c r="AV32" s="25"/>
      <c r="AW32" s="110"/>
      <c r="AX32" s="110"/>
      <c r="AY32" s="25"/>
      <c r="AZ32" s="25">
        <v>1</v>
      </c>
      <c r="BA32" s="25">
        <v>1</v>
      </c>
      <c r="BB32" s="25">
        <v>1</v>
      </c>
      <c r="BC32" s="25">
        <v>1</v>
      </c>
      <c r="BD32" s="110"/>
      <c r="BE32" s="110"/>
      <c r="BF32" s="25" t="s">
        <v>448</v>
      </c>
      <c r="BG32" s="25" t="s">
        <v>448</v>
      </c>
      <c r="BH32" s="25" t="s">
        <v>448</v>
      </c>
      <c r="BI32" s="25" t="s">
        <v>448</v>
      </c>
      <c r="BJ32" s="25" t="s">
        <v>448</v>
      </c>
      <c r="BK32" s="110"/>
      <c r="BL32" s="110"/>
      <c r="BM32" s="25"/>
      <c r="BN32" s="25"/>
      <c r="BO32" s="25"/>
      <c r="BP32" s="25">
        <v>1</v>
      </c>
      <c r="BQ32" s="25">
        <v>1</v>
      </c>
      <c r="BR32" s="110"/>
      <c r="BS32" s="110"/>
      <c r="BT32" s="25">
        <v>1</v>
      </c>
      <c r="BU32" s="25"/>
      <c r="BV32" s="25">
        <v>1</v>
      </c>
      <c r="BW32" s="25">
        <v>1</v>
      </c>
      <c r="BX32" s="25">
        <v>1</v>
      </c>
      <c r="BY32" s="110"/>
      <c r="BZ32" s="110"/>
      <c r="CA32" s="25">
        <v>1</v>
      </c>
      <c r="CB32" s="25">
        <v>1</v>
      </c>
      <c r="CC32" s="25">
        <v>1</v>
      </c>
      <c r="CD32" s="25">
        <v>1</v>
      </c>
      <c r="CE32" s="25">
        <v>1</v>
      </c>
      <c r="CF32" s="110"/>
      <c r="CG32" s="110"/>
      <c r="CH32" s="25">
        <v>1</v>
      </c>
      <c r="CI32" s="25">
        <v>1</v>
      </c>
      <c r="CJ32" s="25"/>
      <c r="CK32" s="25"/>
      <c r="CL32" s="25">
        <v>1</v>
      </c>
      <c r="CM32" s="110"/>
      <c r="CN32" s="110"/>
      <c r="CO32" s="25">
        <v>1</v>
      </c>
      <c r="CP32" s="25">
        <v>1</v>
      </c>
      <c r="CQ32" s="25">
        <v>1</v>
      </c>
      <c r="CR32" s="25">
        <v>1</v>
      </c>
      <c r="CS32" s="25">
        <v>1</v>
      </c>
      <c r="CT32" s="110"/>
      <c r="CU32" s="110"/>
      <c r="CV32" s="110"/>
      <c r="CW32" s="25">
        <v>1</v>
      </c>
      <c r="CX32" s="25">
        <v>1</v>
      </c>
      <c r="CY32" s="25"/>
      <c r="CZ32" s="25"/>
      <c r="DA32" s="110"/>
      <c r="DB32" s="110"/>
      <c r="DC32" s="25"/>
      <c r="DD32" s="25"/>
      <c r="DE32" s="25"/>
      <c r="DF32" s="25">
        <v>1</v>
      </c>
      <c r="DG32" s="25">
        <v>1</v>
      </c>
      <c r="DH32" s="110"/>
      <c r="DI32" s="110"/>
      <c r="DJ32" s="25">
        <v>1</v>
      </c>
      <c r="DK32" s="25">
        <v>1</v>
      </c>
      <c r="DL32" s="25">
        <v>1</v>
      </c>
      <c r="DM32" s="25">
        <v>1</v>
      </c>
      <c r="DN32" s="25">
        <v>1</v>
      </c>
      <c r="DO32" s="110"/>
      <c r="DP32" s="110"/>
      <c r="DQ32" s="25">
        <v>1</v>
      </c>
      <c r="DR32" s="25" t="s">
        <v>223</v>
      </c>
      <c r="DS32" s="25" t="s">
        <v>223</v>
      </c>
      <c r="DT32" s="25" t="s">
        <v>223</v>
      </c>
      <c r="DU32" s="110" t="s">
        <v>445</v>
      </c>
      <c r="DV32" s="110"/>
      <c r="DW32" s="110"/>
      <c r="DX32" s="25"/>
      <c r="DY32" s="25">
        <v>1</v>
      </c>
      <c r="DZ32" s="25"/>
      <c r="EA32" s="25"/>
      <c r="EB32" s="110" t="s">
        <v>445</v>
      </c>
      <c r="EC32" s="110"/>
      <c r="ED32" s="110"/>
      <c r="EE32" s="25"/>
      <c r="EF32" s="25"/>
      <c r="EG32" s="25"/>
      <c r="EH32" s="110" t="s">
        <v>445</v>
      </c>
      <c r="EI32" s="110" t="s">
        <v>445</v>
      </c>
      <c r="EJ32" s="110"/>
      <c r="EK32" s="110"/>
      <c r="EL32" s="25"/>
      <c r="EM32" s="25"/>
      <c r="EN32" s="25"/>
      <c r="EO32" s="25"/>
      <c r="EP32" s="25"/>
      <c r="EQ32" s="110"/>
      <c r="ER32" s="110"/>
      <c r="ES32" s="110" t="s">
        <v>445</v>
      </c>
      <c r="ET32" s="25"/>
      <c r="EU32" s="25"/>
      <c r="EV32" s="25"/>
      <c r="EW32" s="25"/>
      <c r="EX32" s="110"/>
      <c r="EY32" s="110"/>
      <c r="EZ32" s="25"/>
      <c r="FA32" s="25"/>
      <c r="FB32" s="25"/>
      <c r="FC32" s="25"/>
      <c r="FD32" s="25"/>
      <c r="FE32" s="110"/>
      <c r="FF32" s="110"/>
      <c r="FG32" s="25"/>
      <c r="FH32" s="25"/>
      <c r="FI32" s="25"/>
      <c r="FJ32" s="25"/>
      <c r="FK32" s="25"/>
      <c r="FL32" s="110"/>
      <c r="FM32" s="110"/>
      <c r="FN32" s="25"/>
      <c r="FO32" s="25"/>
      <c r="FP32" s="25"/>
      <c r="FQ32" s="25"/>
      <c r="FR32" s="25"/>
      <c r="FS32" s="110"/>
      <c r="FT32" s="110"/>
      <c r="FU32" s="25"/>
      <c r="FV32" s="25"/>
      <c r="FW32" s="25"/>
      <c r="FX32" s="25"/>
      <c r="FY32" s="25"/>
      <c r="FZ32" s="110"/>
      <c r="GA32" s="110"/>
      <c r="GB32" s="25"/>
      <c r="GC32" s="25"/>
      <c r="GD32" s="25"/>
      <c r="GE32" s="25"/>
      <c r="GF32" s="25"/>
      <c r="GG32" s="110"/>
      <c r="GH32" s="110"/>
      <c r="GI32" s="25"/>
      <c r="GJ32" s="25"/>
      <c r="GK32" s="25"/>
      <c r="GL32" s="25"/>
      <c r="GM32" s="25"/>
      <c r="GN32" s="110"/>
      <c r="GO32" s="110"/>
      <c r="GP32" s="110" t="s">
        <v>445</v>
      </c>
      <c r="GQ32" s="110"/>
      <c r="GR32" s="25"/>
      <c r="GS32" s="25"/>
      <c r="GT32" s="25"/>
      <c r="GU32" s="110"/>
      <c r="GV32" s="110"/>
      <c r="GW32" s="25"/>
      <c r="GX32" s="25"/>
      <c r="GY32" s="25"/>
      <c r="GZ32" s="25"/>
      <c r="HA32" s="25"/>
      <c r="HB32" s="110"/>
      <c r="HC32" s="110"/>
      <c r="HD32" s="25"/>
      <c r="HE32" s="25"/>
      <c r="HF32" s="25"/>
      <c r="HG32" s="25"/>
      <c r="HH32" s="25"/>
      <c r="HI32" s="110"/>
      <c r="HJ32" s="110"/>
      <c r="HK32" s="25"/>
      <c r="HL32" s="25"/>
      <c r="HM32" s="25"/>
      <c r="HN32" s="25"/>
      <c r="HO32" s="25"/>
      <c r="HP32" s="110"/>
      <c r="HQ32" s="110"/>
      <c r="HR32" s="25"/>
      <c r="HS32" s="25"/>
      <c r="HT32" s="25"/>
      <c r="HU32" s="25"/>
      <c r="HV32" s="25"/>
      <c r="HW32" s="110"/>
      <c r="HX32" s="110"/>
      <c r="HY32" s="25"/>
      <c r="HZ32" s="25"/>
      <c r="IA32" s="25"/>
      <c r="IB32" s="25"/>
      <c r="IC32" s="25"/>
      <c r="ID32" s="110"/>
      <c r="IE32" s="110"/>
      <c r="IF32" s="25"/>
      <c r="IG32" s="25"/>
      <c r="IH32" s="25"/>
      <c r="II32" s="25"/>
      <c r="IJ32" s="25"/>
      <c r="IK32" s="110"/>
      <c r="IL32" s="110"/>
      <c r="IM32" s="25"/>
      <c r="IN32" s="25"/>
      <c r="IO32" s="25"/>
      <c r="IP32" s="25"/>
      <c r="IQ32" s="25"/>
      <c r="IR32" s="110"/>
      <c r="IS32" s="110"/>
      <c r="IT32" s="25"/>
      <c r="IU32" s="25"/>
      <c r="IV32" s="25"/>
      <c r="IW32" s="25"/>
      <c r="IX32" s="25"/>
      <c r="IY32" s="110"/>
      <c r="IZ32" s="110"/>
      <c r="JA32" s="25"/>
      <c r="JB32" s="25"/>
      <c r="JC32" s="25"/>
      <c r="JD32" s="25"/>
      <c r="JE32" s="25"/>
      <c r="JF32" s="110"/>
      <c r="JG32" s="110"/>
      <c r="JH32" s="25"/>
      <c r="JI32" s="25"/>
      <c r="JJ32" s="25"/>
      <c r="JK32" s="25"/>
      <c r="JL32" s="25"/>
      <c r="JM32" s="110"/>
      <c r="JN32" s="110"/>
      <c r="JO32" s="25"/>
      <c r="JP32" s="25"/>
      <c r="JQ32" s="25"/>
      <c r="JR32" s="25"/>
      <c r="JS32" s="25"/>
      <c r="JT32" s="110"/>
      <c r="JU32" s="110"/>
      <c r="JV32" s="25"/>
      <c r="JW32" s="25"/>
      <c r="JX32" s="25"/>
      <c r="JY32" s="25"/>
      <c r="JZ32" s="25"/>
      <c r="KA32" s="110"/>
      <c r="KB32" s="110"/>
      <c r="KC32" s="25"/>
      <c r="KD32" s="25"/>
      <c r="KE32" s="25"/>
      <c r="KF32" s="25"/>
      <c r="KG32" s="25"/>
      <c r="KH32" s="110"/>
      <c r="KI32" s="110"/>
      <c r="KJ32" s="25"/>
      <c r="KK32" s="25"/>
      <c r="KL32" s="25"/>
      <c r="KM32" s="25"/>
      <c r="KN32" s="25"/>
      <c r="KO32" s="110"/>
      <c r="KP32" s="110"/>
      <c r="KQ32" s="25"/>
      <c r="KR32" s="25"/>
      <c r="KS32" s="25"/>
      <c r="KT32" s="25"/>
      <c r="KU32" s="25"/>
      <c r="KV32" s="110"/>
      <c r="KW32" s="110"/>
      <c r="KX32" s="25"/>
      <c r="KY32" s="25"/>
      <c r="KZ32" s="25"/>
      <c r="LA32" s="25"/>
      <c r="LB32" s="25"/>
      <c r="LC32" s="110"/>
      <c r="LD32" s="110"/>
      <c r="LE32" s="25"/>
      <c r="LF32" s="25"/>
      <c r="LG32" s="110" t="s">
        <v>445</v>
      </c>
      <c r="LH32" s="25"/>
      <c r="LI32" s="25"/>
      <c r="LJ32" s="110"/>
      <c r="LK32" s="110"/>
      <c r="LL32" s="25"/>
      <c r="LM32" s="25"/>
      <c r="LN32" s="25"/>
      <c r="LO32" s="25"/>
      <c r="LP32" s="25"/>
      <c r="LQ32" s="110"/>
      <c r="LR32" s="110"/>
      <c r="LS32" s="25"/>
      <c r="LT32" s="25"/>
      <c r="LU32" s="25"/>
      <c r="LV32" s="25"/>
      <c r="LW32" s="25"/>
      <c r="LX32" s="110"/>
      <c r="LY32" s="110"/>
      <c r="LZ32" s="25"/>
      <c r="MA32" s="25"/>
      <c r="MB32" s="25"/>
      <c r="MC32" s="25"/>
      <c r="MD32" s="25"/>
      <c r="ME32" s="110"/>
      <c r="MF32" s="110"/>
      <c r="MG32" s="25"/>
      <c r="MH32" s="25"/>
      <c r="MI32" s="25"/>
      <c r="MJ32" s="25"/>
      <c r="MK32" s="25"/>
      <c r="ML32" s="110"/>
      <c r="MM32" s="110"/>
      <c r="MN32" s="25"/>
      <c r="MO32" s="25"/>
      <c r="MP32" s="25"/>
      <c r="MQ32" s="25"/>
      <c r="MR32" s="25"/>
      <c r="MS32" s="110"/>
      <c r="MT32" s="110"/>
      <c r="MU32" s="25"/>
      <c r="MV32" s="25"/>
      <c r="MW32" s="25"/>
      <c r="MX32" s="25"/>
      <c r="MY32" s="25"/>
      <c r="MZ32" s="110"/>
      <c r="NA32" s="110"/>
      <c r="NB32" s="25"/>
      <c r="NC32" s="25"/>
      <c r="ND32" s="25"/>
      <c r="NE32" s="129"/>
      <c r="NF32" s="111"/>
      <c r="NG32" s="8">
        <f t="shared" si="0"/>
        <v>12</v>
      </c>
      <c r="NH32" s="351" cm="1">
        <f t="array" ref="NH32">NETWORKDAYS($I$2,$AH$2)- SUM(COUNTIF(I32:AH32,{"I";"F";"CP";"R";"P";"AC";"AM"}))</f>
        <v>18</v>
      </c>
      <c r="NI32" s="138">
        <f t="shared" si="12"/>
        <v>0.66666666666666663</v>
      </c>
      <c r="NJ32" s="8">
        <f t="shared" si="1"/>
        <v>11</v>
      </c>
      <c r="NK32" s="351" cm="1">
        <f t="array" ref="NK32">NETWORKDAYS($AJ$2,$BK$2)- SUM(COUNTIF(AJ32:BK32,{"I";"F";"CP";"R";"P";"AC";"AM"}))</f>
        <v>20</v>
      </c>
      <c r="NL32" s="138">
        <f t="shared" si="13"/>
        <v>0.55000000000000004</v>
      </c>
      <c r="NM32" s="8">
        <f t="shared" si="2"/>
        <v>16</v>
      </c>
      <c r="NN32" s="351" cm="1">
        <f t="array" ref="NN32">NETWORKDAYS($BL$2,$CP$2)- SUM(COUNTIF(BL32:CP32,{"I";"F";"CP";"R";"P";"AC";"AM"}))</f>
        <v>22</v>
      </c>
      <c r="NO32" s="138">
        <f t="shared" si="14"/>
        <v>0.72727272727272729</v>
      </c>
      <c r="NP32" s="8">
        <f t="shared" si="3"/>
        <v>13</v>
      </c>
      <c r="NQ32" s="351" cm="1">
        <f t="array" ref="NQ32">NETWORKDAYS($CQ$2,$DT$2,$CV$2)- SUM(COUNTIF(CQ32:DT32,{"I";"F";"CP";"R";"P";"AC";"AM"}))</f>
        <v>18</v>
      </c>
      <c r="NR32" s="138">
        <f t="shared" si="15"/>
        <v>0.72222222222222221</v>
      </c>
      <c r="NS32" s="8">
        <f t="shared" si="4"/>
        <v>1</v>
      </c>
      <c r="NT32" s="351" cm="1">
        <f t="array" ref="NT32">NETWORKDAYS($DV$2,$EY$2)-SUM(COUNTIF(DV32:EY32,{"I";"F";"CP";"R";"P";"AC";"AM"}))</f>
        <v>16</v>
      </c>
      <c r="NU32" s="138">
        <f t="shared" si="16"/>
        <v>6.25E-2</v>
      </c>
      <c r="NV32" s="8">
        <f t="shared" si="27"/>
        <v>0</v>
      </c>
      <c r="NW32" s="351" cm="1">
        <f t="array" ref="NW32">NETWORKDAYS($EZ$2,$GC$2)-SUM(COUNTIF(EZ32:GC32,{"I";"F";"CP";"R";"P";"AC";"AM"}))</f>
        <v>22</v>
      </c>
      <c r="NX32" s="138">
        <f t="shared" si="28"/>
        <v>0</v>
      </c>
      <c r="NY32" s="8">
        <f t="shared" si="29"/>
        <v>0</v>
      </c>
      <c r="NZ32" s="351" cm="1">
        <f t="array" ref="NZ32">NETWORKDAYS($GD$2,$HH$2,$GQ$2)-SUM(COUNTIF(GD32:HH32,{"I";"F";"CP";"R";"P";"AC";"AM"}))</f>
        <v>21</v>
      </c>
      <c r="OA32" s="138">
        <f t="shared" si="30"/>
        <v>0</v>
      </c>
      <c r="OB32" s="8">
        <f t="shared" si="31"/>
        <v>0</v>
      </c>
      <c r="OC32" s="351" cm="1">
        <f t="array" ref="OC32">NETWORKDAYS($HI$2,$IM$2)-SUM(COUNTIF(HI32:IM32,{"I";"F";"CP";"R";"P";"AC";"AM"}))</f>
        <v>21</v>
      </c>
      <c r="OD32" s="138">
        <f t="shared" si="32"/>
        <v>0</v>
      </c>
      <c r="OE32" s="8">
        <f t="shared" si="33"/>
        <v>0</v>
      </c>
      <c r="OF32" s="351" cm="1">
        <f t="array" ref="OF32">NETWORKDAYS($IN$2,$JQ$2)-SUM(COUNTIF(IN32:JQ32,{"I";"F";"CP";"R";"P";"AC";"AM"}))</f>
        <v>22</v>
      </c>
      <c r="OG32" s="138">
        <f t="shared" si="34"/>
        <v>0</v>
      </c>
      <c r="OH32" s="8">
        <f t="shared" si="35"/>
        <v>0</v>
      </c>
      <c r="OI32" s="351" cm="1">
        <f t="array" ref="OI32">NETWORKDAYS($JR$2,$KV$2)-SUM(COUNTIF(JR32:KV32,{"I";"F";"CP";"R";"P";"AC";"AM"}))</f>
        <v>22</v>
      </c>
      <c r="OJ32" s="138">
        <f t="shared" si="36"/>
        <v>0</v>
      </c>
      <c r="OK32" s="8">
        <f t="shared" si="37"/>
        <v>0</v>
      </c>
      <c r="OL32" s="351" cm="1">
        <f t="array" ref="OL32">NETWORKDAYS($KW$2,$LZ$2,$LG$2)-SUM(COUNTIF(KW32:LZ32,{"I";"F";"CP";"R";"P";"AC";"AM"}))</f>
        <v>19</v>
      </c>
      <c r="OM32" s="138">
        <f t="shared" si="38"/>
        <v>0</v>
      </c>
      <c r="ON32" s="8">
        <f t="shared" si="39"/>
        <v>0</v>
      </c>
      <c r="OO32" s="351" cm="1">
        <f t="array" ref="OO32">NETWORKDAYS($MA$2,$MR$2)-SUM(COUNTIF(MA32:MR32,{"I";"F";"CP";"R";"P";"AC";"AM"}))</f>
        <v>14</v>
      </c>
      <c r="OP32" s="138">
        <f t="shared" si="40"/>
        <v>0</v>
      </c>
      <c r="OQ32" s="94">
        <f t="shared" si="41"/>
        <v>53</v>
      </c>
      <c r="OR32" s="94">
        <f t="shared" si="42"/>
        <v>235</v>
      </c>
      <c r="OS32" s="138">
        <f t="shared" si="43"/>
        <v>0.22553191489361701</v>
      </c>
    </row>
    <row r="33" spans="1:409" ht="18" hidden="1" customHeight="1" x14ac:dyDescent="0.25">
      <c r="A33" s="94" t="s">
        <v>109</v>
      </c>
      <c r="B33" s="94" t="s">
        <v>34</v>
      </c>
      <c r="C33" s="27" t="s">
        <v>166</v>
      </c>
      <c r="D33" s="89" t="s">
        <v>209</v>
      </c>
      <c r="E33" s="128"/>
      <c r="F33" s="110"/>
      <c r="G33" s="110"/>
      <c r="H33" s="110"/>
      <c r="I33" s="25" t="s">
        <v>208</v>
      </c>
      <c r="J33" s="25" t="s">
        <v>208</v>
      </c>
      <c r="K33" s="25" t="s">
        <v>208</v>
      </c>
      <c r="L33" s="25" t="s">
        <v>208</v>
      </c>
      <c r="M33" s="25" t="s">
        <v>208</v>
      </c>
      <c r="N33" s="110"/>
      <c r="O33" s="110"/>
      <c r="P33" s="25" t="s">
        <v>208</v>
      </c>
      <c r="Q33" s="25" t="s">
        <v>208</v>
      </c>
      <c r="R33" s="25" t="s">
        <v>208</v>
      </c>
      <c r="S33" s="25" t="s">
        <v>208</v>
      </c>
      <c r="T33" s="25" t="s">
        <v>208</v>
      </c>
      <c r="U33" s="110"/>
      <c r="V33" s="110"/>
      <c r="W33" s="25" t="s">
        <v>208</v>
      </c>
      <c r="X33" s="25" t="s">
        <v>208</v>
      </c>
      <c r="Y33" s="25" t="s">
        <v>208</v>
      </c>
      <c r="Z33" s="25" t="s">
        <v>208</v>
      </c>
      <c r="AA33" s="25" t="s">
        <v>208</v>
      </c>
      <c r="AB33" s="110"/>
      <c r="AC33" s="110"/>
      <c r="AD33" s="25" t="s">
        <v>208</v>
      </c>
      <c r="AE33" s="25" t="s">
        <v>208</v>
      </c>
      <c r="AF33" s="25" t="s">
        <v>208</v>
      </c>
      <c r="AG33" s="25" t="s">
        <v>208</v>
      </c>
      <c r="AH33" s="25" t="s">
        <v>208</v>
      </c>
      <c r="AI33" s="110"/>
      <c r="AJ33" s="110"/>
      <c r="AK33" s="25" t="s">
        <v>208</v>
      </c>
      <c r="AL33" s="25" t="s">
        <v>208</v>
      </c>
      <c r="AM33" s="25" t="s">
        <v>208</v>
      </c>
      <c r="AN33" s="25" t="s">
        <v>208</v>
      </c>
      <c r="AO33" s="25" t="s">
        <v>208</v>
      </c>
      <c r="AP33" s="110"/>
      <c r="AQ33" s="110"/>
      <c r="AR33" s="25"/>
      <c r="AS33" s="25"/>
      <c r="AT33" s="25"/>
      <c r="AV33" s="25"/>
      <c r="AW33" s="110"/>
      <c r="AX33" s="110"/>
      <c r="AY33" s="25"/>
      <c r="AZ33" s="25"/>
      <c r="BA33" s="25"/>
      <c r="BB33" s="25"/>
      <c r="BC33" s="25"/>
      <c r="BD33" s="110"/>
      <c r="BE33" s="110"/>
      <c r="BF33" s="25"/>
      <c r="BG33" s="25"/>
      <c r="BH33" s="25"/>
      <c r="BI33" s="25"/>
      <c r="BJ33" s="25"/>
      <c r="BK33" s="110"/>
      <c r="BL33" s="110"/>
      <c r="BM33" s="25"/>
      <c r="BN33" s="25"/>
      <c r="BO33" s="25"/>
      <c r="BP33" s="25"/>
      <c r="BQ33" s="25"/>
      <c r="BR33" s="110"/>
      <c r="BS33" s="110"/>
      <c r="BT33" s="25"/>
      <c r="BU33" s="25"/>
      <c r="BV33" s="25"/>
      <c r="BW33" s="25"/>
      <c r="BX33" s="25"/>
      <c r="BY33" s="110"/>
      <c r="BZ33" s="110"/>
      <c r="CA33" s="25"/>
      <c r="CB33" s="25"/>
      <c r="CC33" s="25"/>
      <c r="CD33" s="25"/>
      <c r="CE33" s="25"/>
      <c r="CF33" s="110"/>
      <c r="CG33" s="110"/>
      <c r="CH33" s="25"/>
      <c r="CI33" s="25"/>
      <c r="CJ33" s="25"/>
      <c r="CK33" s="25"/>
      <c r="CL33" s="25"/>
      <c r="CM33" s="110"/>
      <c r="CN33" s="110"/>
      <c r="CO33" s="25"/>
      <c r="CP33" s="25"/>
      <c r="CQ33" s="25"/>
      <c r="CR33" s="25"/>
      <c r="CS33" s="25">
        <v>1</v>
      </c>
      <c r="CT33" s="110"/>
      <c r="CU33" s="110"/>
      <c r="CV33" s="110"/>
      <c r="CW33" s="25"/>
      <c r="CX33" s="25"/>
      <c r="CY33" s="25"/>
      <c r="CZ33" s="25"/>
      <c r="DA33" s="110"/>
      <c r="DB33" s="110"/>
      <c r="DC33" s="25"/>
      <c r="DD33" s="25"/>
      <c r="DE33" s="25"/>
      <c r="DF33" s="25"/>
      <c r="DG33" s="25"/>
      <c r="DH33" s="110"/>
      <c r="DI33" s="110"/>
      <c r="DJ33" s="25"/>
      <c r="DK33" s="25"/>
      <c r="DL33" s="25"/>
      <c r="DM33" s="25"/>
      <c r="DN33" s="25"/>
      <c r="DO33" s="110"/>
      <c r="DP33" s="110"/>
      <c r="DQ33" s="25"/>
      <c r="DR33" s="25">
        <v>1</v>
      </c>
      <c r="DS33" s="25">
        <v>1</v>
      </c>
      <c r="DT33" s="25">
        <v>1</v>
      </c>
      <c r="DU33" s="110"/>
      <c r="DV33" s="110"/>
      <c r="DW33" s="110"/>
      <c r="DX33" s="25">
        <v>1</v>
      </c>
      <c r="DY33" s="25">
        <v>1</v>
      </c>
      <c r="DZ33" s="25"/>
      <c r="EA33" s="25">
        <v>1</v>
      </c>
      <c r="EB33" s="110"/>
      <c r="EC33" s="110"/>
      <c r="ED33" s="110"/>
      <c r="EE33" s="25">
        <v>1</v>
      </c>
      <c r="EF33" s="25">
        <v>1</v>
      </c>
      <c r="EG33" s="25">
        <v>1</v>
      </c>
      <c r="EH33" s="110"/>
      <c r="EI33" s="110"/>
      <c r="EJ33" s="110"/>
      <c r="EK33" s="110"/>
      <c r="EL33" s="25"/>
      <c r="EM33" s="25"/>
      <c r="EN33" s="25"/>
      <c r="EO33" s="25"/>
      <c r="EP33" s="25"/>
      <c r="EQ33" s="110"/>
      <c r="ER33" s="110"/>
      <c r="ES33" s="110"/>
      <c r="ET33" s="25"/>
      <c r="EU33" s="25"/>
      <c r="EV33" s="25"/>
      <c r="EW33" s="25"/>
      <c r="EX33" s="110"/>
      <c r="EY33" s="110"/>
      <c r="EZ33" s="25"/>
      <c r="FA33" s="25"/>
      <c r="FB33" s="25"/>
      <c r="FC33" s="25"/>
      <c r="FD33" s="25"/>
      <c r="FE33" s="110"/>
      <c r="FF33" s="110"/>
      <c r="FG33" s="25"/>
      <c r="FH33" s="25"/>
      <c r="FI33" s="25"/>
      <c r="FJ33" s="25"/>
      <c r="FK33" s="25"/>
      <c r="FL33" s="110"/>
      <c r="FM33" s="110"/>
      <c r="FN33" s="25"/>
      <c r="FO33" s="25"/>
      <c r="FP33" s="25"/>
      <c r="FQ33" s="25"/>
      <c r="FR33" s="25"/>
      <c r="FS33" s="110"/>
      <c r="FT33" s="110"/>
      <c r="FU33" s="25"/>
      <c r="FV33" s="25"/>
      <c r="FW33" s="25"/>
      <c r="FX33" s="25"/>
      <c r="FY33" s="25"/>
      <c r="FZ33" s="110"/>
      <c r="GA33" s="110"/>
      <c r="GB33" s="25"/>
      <c r="GC33" s="25"/>
      <c r="GD33" s="25"/>
      <c r="GE33" s="25"/>
      <c r="GF33" s="25"/>
      <c r="GG33" s="110"/>
      <c r="GH33" s="110"/>
      <c r="GI33" s="25"/>
      <c r="GJ33" s="25"/>
      <c r="GK33" s="25"/>
      <c r="GL33" s="25"/>
      <c r="GM33" s="25"/>
      <c r="GN33" s="110"/>
      <c r="GO33" s="110"/>
      <c r="GP33" s="110"/>
      <c r="GQ33" s="110"/>
      <c r="GR33" s="25"/>
      <c r="GS33" s="25"/>
      <c r="GT33" s="25"/>
      <c r="GU33" s="110"/>
      <c r="GV33" s="110"/>
      <c r="GW33" s="25"/>
      <c r="GX33" s="25"/>
      <c r="GY33" s="25"/>
      <c r="GZ33" s="25"/>
      <c r="HA33" s="25"/>
      <c r="HB33" s="110"/>
      <c r="HC33" s="110"/>
      <c r="HD33" s="25"/>
      <c r="HE33" s="25"/>
      <c r="HF33" s="25"/>
      <c r="HG33" s="25"/>
      <c r="HH33" s="25"/>
      <c r="HI33" s="110"/>
      <c r="HJ33" s="110"/>
      <c r="HK33" s="25"/>
      <c r="HL33" s="25"/>
      <c r="HM33" s="25"/>
      <c r="HN33" s="25"/>
      <c r="HO33" s="25"/>
      <c r="HP33" s="110"/>
      <c r="HQ33" s="110"/>
      <c r="HR33" s="25"/>
      <c r="HS33" s="25"/>
      <c r="HT33" s="25"/>
      <c r="HU33" s="25"/>
      <c r="HV33" s="25"/>
      <c r="HW33" s="110"/>
      <c r="HX33" s="110"/>
      <c r="HY33" s="25"/>
      <c r="HZ33" s="25"/>
      <c r="IA33" s="25"/>
      <c r="IB33" s="25"/>
      <c r="IC33" s="25"/>
      <c r="ID33" s="110"/>
      <c r="IE33" s="110"/>
      <c r="IF33" s="25"/>
      <c r="IG33" s="25"/>
      <c r="IH33" s="25"/>
      <c r="II33" s="25"/>
      <c r="IJ33" s="25"/>
      <c r="IK33" s="110"/>
      <c r="IL33" s="110"/>
      <c r="IM33" s="25"/>
      <c r="IN33" s="25"/>
      <c r="IO33" s="25"/>
      <c r="IP33" s="25"/>
      <c r="IQ33" s="25"/>
      <c r="IR33" s="110"/>
      <c r="IS33" s="110"/>
      <c r="IT33" s="25"/>
      <c r="IU33" s="25"/>
      <c r="IV33" s="25"/>
      <c r="IW33" s="25"/>
      <c r="IX33" s="25"/>
      <c r="IY33" s="110"/>
      <c r="IZ33" s="110"/>
      <c r="JA33" s="25"/>
      <c r="JB33" s="25"/>
      <c r="JC33" s="25"/>
      <c r="JD33" s="25"/>
      <c r="JE33" s="25"/>
      <c r="JF33" s="110"/>
      <c r="JG33" s="110"/>
      <c r="JH33" s="25"/>
      <c r="JI33" s="25"/>
      <c r="JJ33" s="25"/>
      <c r="JK33" s="25"/>
      <c r="JL33" s="25"/>
      <c r="JM33" s="110"/>
      <c r="JN33" s="110"/>
      <c r="JO33" s="25"/>
      <c r="JP33" s="25"/>
      <c r="JQ33" s="25"/>
      <c r="JR33" s="25"/>
      <c r="JS33" s="25"/>
      <c r="JT33" s="110"/>
      <c r="JU33" s="110"/>
      <c r="JV33" s="25"/>
      <c r="JW33" s="25"/>
      <c r="JX33" s="25"/>
      <c r="JY33" s="25"/>
      <c r="JZ33" s="25"/>
      <c r="KA33" s="110"/>
      <c r="KB33" s="110"/>
      <c r="KC33" s="25"/>
      <c r="KD33" s="25"/>
      <c r="KE33" s="25"/>
      <c r="KF33" s="25"/>
      <c r="KG33" s="25"/>
      <c r="KH33" s="110"/>
      <c r="KI33" s="110"/>
      <c r="KJ33" s="25"/>
      <c r="KK33" s="25"/>
      <c r="KL33" s="25"/>
      <c r="KM33" s="25"/>
      <c r="KN33" s="25"/>
      <c r="KO33" s="110"/>
      <c r="KP33" s="110"/>
      <c r="KQ33" s="25"/>
      <c r="KR33" s="25"/>
      <c r="KS33" s="25"/>
      <c r="KT33" s="25"/>
      <c r="KU33" s="25"/>
      <c r="KV33" s="110"/>
      <c r="KW33" s="110"/>
      <c r="KX33" s="25"/>
      <c r="KY33" s="25"/>
      <c r="KZ33" s="25"/>
      <c r="LA33" s="25"/>
      <c r="LB33" s="25"/>
      <c r="LC33" s="110"/>
      <c r="LD33" s="110"/>
      <c r="LE33" s="25"/>
      <c r="LF33" s="25"/>
      <c r="LG33" s="110"/>
      <c r="LH33" s="25"/>
      <c r="LI33" s="25"/>
      <c r="LJ33" s="110"/>
      <c r="LK33" s="110"/>
      <c r="LL33" s="25"/>
      <c r="LM33" s="25"/>
      <c r="LN33" s="25"/>
      <c r="LO33" s="25"/>
      <c r="LP33" s="25"/>
      <c r="LQ33" s="110"/>
      <c r="LR33" s="110"/>
      <c r="LS33" s="25"/>
      <c r="LT33" s="25"/>
      <c r="LU33" s="25"/>
      <c r="LV33" s="25"/>
      <c r="LW33" s="25"/>
      <c r="LX33" s="110"/>
      <c r="LY33" s="110"/>
      <c r="LZ33" s="25"/>
      <c r="MA33" s="25"/>
      <c r="MB33" s="25"/>
      <c r="MC33" s="25"/>
      <c r="MD33" s="25"/>
      <c r="ME33" s="110"/>
      <c r="MF33" s="110"/>
      <c r="MG33" s="25"/>
      <c r="MH33" s="25"/>
      <c r="MI33" s="25"/>
      <c r="MJ33" s="25"/>
      <c r="MK33" s="25"/>
      <c r="ML33" s="110"/>
      <c r="MM33" s="110"/>
      <c r="MN33" s="25"/>
      <c r="MO33" s="25"/>
      <c r="MP33" s="25"/>
      <c r="MQ33" s="25"/>
      <c r="MR33" s="25"/>
      <c r="MS33" s="110"/>
      <c r="MT33" s="110"/>
      <c r="MU33" s="25"/>
      <c r="MV33" s="25"/>
      <c r="MW33" s="25"/>
      <c r="MX33" s="25"/>
      <c r="MY33" s="25"/>
      <c r="MZ33" s="110"/>
      <c r="NA33" s="110"/>
      <c r="NB33" s="25"/>
      <c r="NC33" s="25"/>
      <c r="ND33" s="25"/>
      <c r="NE33" s="129"/>
      <c r="NF33" s="111"/>
      <c r="NG33" s="8">
        <f>SUM(E33:AI33)</f>
        <v>0</v>
      </c>
      <c r="NH33" s="351" cm="1">
        <f t="array" ref="NH33">NETWORKDAYS($I$2,$AH$2)- SUM(COUNTIF(I33:AH33,{"I";"F";"CP";"R";"P";"AC";"AM"}))</f>
        <v>20</v>
      </c>
      <c r="NI33" s="138">
        <f t="shared" si="12"/>
        <v>0</v>
      </c>
      <c r="NJ33" s="8">
        <f>SUM(AJ33:BK33)</f>
        <v>0</v>
      </c>
      <c r="NK33" s="351" cm="1">
        <f t="array" ref="NK33">NETWORKDAYS($AJ$2,$BK$2)- SUM(COUNTIF(AJ33:BK33,{"I";"F";"CP";"R";"P";"AC";"AM"}))</f>
        <v>20</v>
      </c>
      <c r="NL33" s="138">
        <f t="shared" si="13"/>
        <v>0</v>
      </c>
      <c r="NM33" s="8">
        <f>SUM(BM33:CP33)</f>
        <v>0</v>
      </c>
      <c r="NN33" s="351" cm="1">
        <f t="array" ref="NN33">NETWORKDAYS($BL$2,$CP$2)- SUM(COUNTIF(BL33:CP33,{"I";"F";"CP";"R";"P";"AC";"AM"}))</f>
        <v>22</v>
      </c>
      <c r="NO33" s="138">
        <f t="shared" si="14"/>
        <v>0</v>
      </c>
      <c r="NP33" s="8">
        <f>SUM(CQ33:DT33)</f>
        <v>4</v>
      </c>
      <c r="NQ33" s="351" cm="1">
        <f t="array" ref="NQ33">NETWORKDAYS($CQ$2,$DT$2,$CV$2)- SUM(COUNTIF(CQ33:DT33,{"I";"F";"CP";"R";"P";"AC";"AM"}))</f>
        <v>21</v>
      </c>
      <c r="NR33" s="138">
        <f t="shared" si="15"/>
        <v>0.19047619047619047</v>
      </c>
      <c r="NS33" s="8"/>
      <c r="NT33" s="351"/>
      <c r="NU33" s="138" t="str">
        <f t="shared" si="16"/>
        <v/>
      </c>
      <c r="NV33" s="8"/>
      <c r="NW33" s="351"/>
      <c r="NX33" s="138"/>
      <c r="NY33" s="8"/>
      <c r="NZ33" s="351"/>
      <c r="OA33" s="138"/>
      <c r="OB33" s="8"/>
      <c r="OC33" s="351"/>
      <c r="OD33" s="138"/>
      <c r="OE33" s="8"/>
      <c r="OF33" s="351"/>
      <c r="OG33" s="138"/>
      <c r="OH33" s="8"/>
      <c r="OI33" s="351"/>
      <c r="OJ33" s="138"/>
      <c r="OK33" s="8"/>
      <c r="OL33" s="351"/>
      <c r="OM33" s="138"/>
      <c r="ON33" s="8"/>
      <c r="OO33" s="351"/>
      <c r="OP33" s="138"/>
      <c r="OQ33" s="94"/>
      <c r="OR33" s="94"/>
      <c r="OS33" s="138"/>
    </row>
    <row r="34" spans="1:409" ht="18" hidden="1" customHeight="1" x14ac:dyDescent="0.25">
      <c r="A34" s="95" t="s">
        <v>159</v>
      </c>
      <c r="B34" s="95" t="s">
        <v>45</v>
      </c>
      <c r="C34" s="89" t="s">
        <v>160</v>
      </c>
      <c r="D34" s="89" t="s">
        <v>201</v>
      </c>
      <c r="E34" s="128"/>
      <c r="F34" s="110"/>
      <c r="G34" s="110"/>
      <c r="H34" s="110"/>
      <c r="I34" s="25"/>
      <c r="J34" s="25"/>
      <c r="K34" s="25"/>
      <c r="L34" s="25"/>
      <c r="M34" s="25"/>
      <c r="N34" s="110"/>
      <c r="O34" s="110"/>
      <c r="P34" s="25">
        <v>1</v>
      </c>
      <c r="Q34" s="25">
        <v>1</v>
      </c>
      <c r="R34" s="25">
        <v>1</v>
      </c>
      <c r="S34" s="25">
        <v>1</v>
      </c>
      <c r="T34" s="25">
        <v>1</v>
      </c>
      <c r="U34" s="110"/>
      <c r="V34" s="110"/>
      <c r="W34" s="25">
        <v>1</v>
      </c>
      <c r="X34" s="25">
        <v>1</v>
      </c>
      <c r="Y34" s="25">
        <v>1</v>
      </c>
      <c r="Z34" s="25">
        <v>1</v>
      </c>
      <c r="AA34" s="25">
        <v>1</v>
      </c>
      <c r="AB34" s="110"/>
      <c r="AC34" s="110"/>
      <c r="AD34" s="25"/>
      <c r="AE34" s="25">
        <v>1</v>
      </c>
      <c r="AF34" s="25"/>
      <c r="AG34" s="25">
        <v>1</v>
      </c>
      <c r="AH34" s="25">
        <v>1</v>
      </c>
      <c r="AI34" s="110"/>
      <c r="AJ34" s="110"/>
      <c r="AK34" s="25">
        <v>1</v>
      </c>
      <c r="AL34" s="25"/>
      <c r="AM34" s="25">
        <v>1</v>
      </c>
      <c r="AN34" s="25">
        <v>1</v>
      </c>
      <c r="AO34" s="25">
        <v>1</v>
      </c>
      <c r="AP34" s="110"/>
      <c r="AQ34" s="110"/>
      <c r="AR34" s="25"/>
      <c r="AS34" s="25">
        <v>1</v>
      </c>
      <c r="AT34" s="25">
        <v>1</v>
      </c>
      <c r="AV34" s="25">
        <v>1</v>
      </c>
      <c r="AW34" s="110"/>
      <c r="AX34" s="110"/>
      <c r="AY34" s="25"/>
      <c r="AZ34" s="25">
        <v>1</v>
      </c>
      <c r="BA34" s="25">
        <v>1</v>
      </c>
      <c r="BB34" s="25">
        <v>1</v>
      </c>
      <c r="BC34" s="25">
        <v>1</v>
      </c>
      <c r="BD34" s="110"/>
      <c r="BE34" s="110"/>
      <c r="BF34" s="25">
        <v>1</v>
      </c>
      <c r="BG34" s="25">
        <v>1</v>
      </c>
      <c r="BH34" s="25">
        <v>1</v>
      </c>
      <c r="BI34" s="25">
        <v>1</v>
      </c>
      <c r="BJ34" s="25">
        <v>1</v>
      </c>
      <c r="BK34" s="110"/>
      <c r="BL34" s="110"/>
      <c r="BM34" s="25">
        <v>1</v>
      </c>
      <c r="BN34" s="25">
        <v>1</v>
      </c>
      <c r="BO34" s="25">
        <v>1</v>
      </c>
      <c r="BP34" s="25">
        <v>1</v>
      </c>
      <c r="BQ34" s="25">
        <v>1</v>
      </c>
      <c r="BR34" s="110"/>
      <c r="BS34" s="110"/>
      <c r="BT34" s="25"/>
      <c r="BU34" s="25"/>
      <c r="BV34" s="25"/>
      <c r="BW34" s="25"/>
      <c r="BX34" s="25"/>
      <c r="BY34" s="110"/>
      <c r="BZ34" s="110"/>
      <c r="CA34" s="25"/>
      <c r="CB34" s="25">
        <v>1</v>
      </c>
      <c r="CC34" s="25">
        <v>1</v>
      </c>
      <c r="CD34" s="25">
        <v>1</v>
      </c>
      <c r="CE34" s="25">
        <v>1</v>
      </c>
      <c r="CF34" s="110"/>
      <c r="CG34" s="110"/>
      <c r="CH34" s="25">
        <v>1</v>
      </c>
      <c r="CI34" s="25">
        <v>1</v>
      </c>
      <c r="CJ34" s="25">
        <v>1</v>
      </c>
      <c r="CK34" s="25">
        <v>1</v>
      </c>
      <c r="CL34" s="25">
        <v>1</v>
      </c>
      <c r="CM34" s="110"/>
      <c r="CN34" s="110"/>
      <c r="CO34" s="25">
        <v>1</v>
      </c>
      <c r="CP34" s="25">
        <v>1</v>
      </c>
      <c r="CQ34" s="25">
        <v>1</v>
      </c>
      <c r="CR34" s="25"/>
      <c r="CS34" s="25">
        <v>1</v>
      </c>
      <c r="CT34" s="110"/>
      <c r="CU34" s="110"/>
      <c r="CV34" s="110"/>
      <c r="CW34" s="25">
        <v>1</v>
      </c>
      <c r="CX34" s="25">
        <v>1</v>
      </c>
      <c r="CY34" s="25">
        <v>1</v>
      </c>
      <c r="CZ34" s="25"/>
      <c r="DA34" s="110"/>
      <c r="DB34" s="110"/>
      <c r="DC34" s="25"/>
      <c r="DD34" s="25">
        <v>1</v>
      </c>
      <c r="DE34" s="25">
        <v>1</v>
      </c>
      <c r="DF34" s="25"/>
      <c r="DG34" s="25"/>
      <c r="DH34" s="110"/>
      <c r="DI34" s="110"/>
      <c r="DJ34" s="25">
        <v>1</v>
      </c>
      <c r="DK34" s="25">
        <v>1</v>
      </c>
      <c r="DL34" s="25">
        <v>1</v>
      </c>
      <c r="DM34" s="25">
        <v>1</v>
      </c>
      <c r="DN34" s="25">
        <v>1</v>
      </c>
      <c r="DO34" s="110"/>
      <c r="DP34" s="110"/>
      <c r="DQ34" s="25">
        <v>1</v>
      </c>
      <c r="DR34" s="25">
        <v>1</v>
      </c>
      <c r="DS34" s="25">
        <v>1</v>
      </c>
      <c r="DT34" s="25">
        <v>1</v>
      </c>
      <c r="DU34" s="110" t="s">
        <v>445</v>
      </c>
      <c r="DV34" s="110"/>
      <c r="DW34" s="110"/>
      <c r="DX34" s="25"/>
      <c r="DY34" s="25"/>
      <c r="DZ34" s="25"/>
      <c r="EA34" s="25"/>
      <c r="EB34" s="110" t="s">
        <v>445</v>
      </c>
      <c r="EC34" s="110"/>
      <c r="ED34" s="110"/>
      <c r="EE34" s="25">
        <v>1</v>
      </c>
      <c r="EF34" s="25">
        <v>1</v>
      </c>
      <c r="EG34" s="25">
        <v>1</v>
      </c>
      <c r="EH34" s="110" t="s">
        <v>445</v>
      </c>
      <c r="EI34" s="110" t="s">
        <v>445</v>
      </c>
      <c r="EJ34" s="110"/>
      <c r="EK34" s="110"/>
      <c r="EL34" s="25"/>
      <c r="EM34" s="25"/>
      <c r="EN34" s="25"/>
      <c r="EO34" s="25"/>
      <c r="EP34" s="25"/>
      <c r="EQ34" s="110"/>
      <c r="ER34" s="110"/>
      <c r="ES34" s="110" t="s">
        <v>445</v>
      </c>
      <c r="ET34" s="25"/>
      <c r="EU34" s="25"/>
      <c r="EV34" s="25"/>
      <c r="EW34" s="25"/>
      <c r="EX34" s="110"/>
      <c r="EY34" s="110"/>
      <c r="EZ34" s="25"/>
      <c r="FA34" s="25"/>
      <c r="FB34" s="25"/>
      <c r="FC34" s="25"/>
      <c r="FD34" s="25"/>
      <c r="FE34" s="110"/>
      <c r="FF34" s="110"/>
      <c r="FG34" s="25"/>
      <c r="FH34" s="25"/>
      <c r="FI34" s="25"/>
      <c r="FJ34" s="25"/>
      <c r="FK34" s="25"/>
      <c r="FL34" s="110"/>
      <c r="FM34" s="110"/>
      <c r="FN34" s="25"/>
      <c r="FO34" s="25"/>
      <c r="FP34" s="25"/>
      <c r="FQ34" s="25"/>
      <c r="FR34" s="25"/>
      <c r="FS34" s="110"/>
      <c r="FT34" s="110"/>
      <c r="FU34" s="25"/>
      <c r="FV34" s="25"/>
      <c r="FW34" s="25"/>
      <c r="FX34" s="25"/>
      <c r="FY34" s="25"/>
      <c r="FZ34" s="110"/>
      <c r="GA34" s="110"/>
      <c r="GB34" s="25"/>
      <c r="GC34" s="25"/>
      <c r="GD34" s="25"/>
      <c r="GE34" s="25"/>
      <c r="GF34" s="25"/>
      <c r="GG34" s="110"/>
      <c r="GH34" s="110"/>
      <c r="GI34" s="25"/>
      <c r="GJ34" s="25"/>
      <c r="GK34" s="25"/>
      <c r="GL34" s="25"/>
      <c r="GM34" s="25"/>
      <c r="GN34" s="110"/>
      <c r="GO34" s="110"/>
      <c r="GP34" s="110" t="s">
        <v>445</v>
      </c>
      <c r="GQ34" s="110"/>
      <c r="GR34" s="25"/>
      <c r="GS34" s="25"/>
      <c r="GT34" s="25"/>
      <c r="GU34" s="110"/>
      <c r="GV34" s="110"/>
      <c r="GW34" s="25"/>
      <c r="GX34" s="25"/>
      <c r="GY34" s="25"/>
      <c r="GZ34" s="25"/>
      <c r="HA34" s="25"/>
      <c r="HB34" s="110"/>
      <c r="HC34" s="110"/>
      <c r="HD34" s="25"/>
      <c r="HE34" s="25"/>
      <c r="HF34" s="25"/>
      <c r="HG34" s="25"/>
      <c r="HH34" s="25"/>
      <c r="HI34" s="110"/>
      <c r="HJ34" s="110"/>
      <c r="HK34" s="25"/>
      <c r="HL34" s="25"/>
      <c r="HM34" s="25"/>
      <c r="HN34" s="25"/>
      <c r="HO34" s="25"/>
      <c r="HP34" s="110"/>
      <c r="HQ34" s="110"/>
      <c r="HR34" s="25"/>
      <c r="HS34" s="25"/>
      <c r="HT34" s="25"/>
      <c r="HU34" s="25"/>
      <c r="HV34" s="25"/>
      <c r="HW34" s="110"/>
      <c r="HX34" s="110"/>
      <c r="HY34" s="25"/>
      <c r="HZ34" s="25"/>
      <c r="IA34" s="25"/>
      <c r="IB34" s="25"/>
      <c r="IC34" s="25"/>
      <c r="ID34" s="110"/>
      <c r="IE34" s="110"/>
      <c r="IF34" s="25"/>
      <c r="IG34" s="25"/>
      <c r="IH34" s="25"/>
      <c r="II34" s="25"/>
      <c r="IJ34" s="25"/>
      <c r="IK34" s="110"/>
      <c r="IL34" s="110"/>
      <c r="IM34" s="25"/>
      <c r="IN34" s="25"/>
      <c r="IO34" s="25"/>
      <c r="IP34" s="25"/>
      <c r="IQ34" s="25"/>
      <c r="IR34" s="110"/>
      <c r="IS34" s="110"/>
      <c r="IT34" s="25"/>
      <c r="IU34" s="25"/>
      <c r="IV34" s="25"/>
      <c r="IW34" s="25"/>
      <c r="IX34" s="25"/>
      <c r="IY34" s="110"/>
      <c r="IZ34" s="110"/>
      <c r="JA34" s="25"/>
      <c r="JB34" s="25"/>
      <c r="JC34" s="25"/>
      <c r="JD34" s="25"/>
      <c r="JE34" s="25"/>
      <c r="JF34" s="110"/>
      <c r="JG34" s="110"/>
      <c r="JH34" s="25"/>
      <c r="JI34" s="25"/>
      <c r="JJ34" s="25"/>
      <c r="JK34" s="25"/>
      <c r="JL34" s="25"/>
      <c r="JM34" s="110"/>
      <c r="JN34" s="110"/>
      <c r="JO34" s="25"/>
      <c r="JP34" s="25"/>
      <c r="JQ34" s="25"/>
      <c r="JR34" s="25"/>
      <c r="JS34" s="25"/>
      <c r="JT34" s="110"/>
      <c r="JU34" s="110"/>
      <c r="JV34" s="25"/>
      <c r="JW34" s="25"/>
      <c r="JX34" s="25"/>
      <c r="JY34" s="25"/>
      <c r="JZ34" s="25"/>
      <c r="KA34" s="110"/>
      <c r="KB34" s="110"/>
      <c r="KC34" s="25"/>
      <c r="KD34" s="25"/>
      <c r="KE34" s="25"/>
      <c r="KF34" s="25"/>
      <c r="KG34" s="25"/>
      <c r="KH34" s="110"/>
      <c r="KI34" s="110"/>
      <c r="KJ34" s="25"/>
      <c r="KK34" s="25"/>
      <c r="KL34" s="25"/>
      <c r="KM34" s="25"/>
      <c r="KN34" s="25"/>
      <c r="KO34" s="110"/>
      <c r="KP34" s="110"/>
      <c r="KQ34" s="25"/>
      <c r="KR34" s="25"/>
      <c r="KS34" s="25"/>
      <c r="KT34" s="25"/>
      <c r="KU34" s="25"/>
      <c r="KV34" s="110"/>
      <c r="KW34" s="110"/>
      <c r="KX34" s="25"/>
      <c r="KY34" s="25"/>
      <c r="KZ34" s="25"/>
      <c r="LA34" s="25"/>
      <c r="LB34" s="25"/>
      <c r="LC34" s="110"/>
      <c r="LD34" s="110"/>
      <c r="LE34" s="25"/>
      <c r="LF34" s="25"/>
      <c r="LG34" s="110" t="s">
        <v>445</v>
      </c>
      <c r="LH34" s="25"/>
      <c r="LI34" s="25"/>
      <c r="LJ34" s="110"/>
      <c r="LK34" s="110"/>
      <c r="LL34" s="25"/>
      <c r="LM34" s="25"/>
      <c r="LN34" s="25"/>
      <c r="LO34" s="25"/>
      <c r="LP34" s="25"/>
      <c r="LQ34" s="110"/>
      <c r="LR34" s="110"/>
      <c r="LS34" s="25"/>
      <c r="LT34" s="25"/>
      <c r="LU34" s="25"/>
      <c r="LV34" s="25"/>
      <c r="LW34" s="25"/>
      <c r="LX34" s="110"/>
      <c r="LY34" s="110"/>
      <c r="LZ34" s="25"/>
      <c r="MA34" s="25"/>
      <c r="MB34" s="25"/>
      <c r="MC34" s="25"/>
      <c r="MD34" s="25"/>
      <c r="ME34" s="110"/>
      <c r="MF34" s="110"/>
      <c r="MG34" s="25"/>
      <c r="MH34" s="25"/>
      <c r="MI34" s="25"/>
      <c r="MJ34" s="25"/>
      <c r="MK34" s="25"/>
      <c r="ML34" s="110"/>
      <c r="MM34" s="110"/>
      <c r="MN34" s="25"/>
      <c r="MO34" s="25"/>
      <c r="MP34" s="25"/>
      <c r="MQ34" s="25"/>
      <c r="MR34" s="25"/>
      <c r="MS34" s="110"/>
      <c r="MT34" s="110"/>
      <c r="MU34" s="25"/>
      <c r="MV34" s="25"/>
      <c r="MW34" s="25"/>
      <c r="MX34" s="25"/>
      <c r="MY34" s="25"/>
      <c r="MZ34" s="110"/>
      <c r="NA34" s="110"/>
      <c r="NB34" s="25"/>
      <c r="NC34" s="25"/>
      <c r="ND34" s="25"/>
      <c r="NE34" s="129"/>
      <c r="NF34" s="111"/>
      <c r="NG34" s="8">
        <f t="shared" si="0"/>
        <v>13</v>
      </c>
      <c r="NH34" s="351" cm="1">
        <f t="array" ref="NH34">NETWORKDAYS($I$2,$AH$2)- SUM(COUNTIF(I34:AH34,{"I";"F";"CP";"R";"P";"AC";"AM"}))</f>
        <v>20</v>
      </c>
      <c r="NI34" s="138">
        <f t="shared" si="12"/>
        <v>0.65</v>
      </c>
      <c r="NJ34" s="8">
        <f t="shared" si="1"/>
        <v>16</v>
      </c>
      <c r="NK34" s="351" cm="1">
        <f t="array" ref="NK34">NETWORKDAYS($AJ$2,$BK$2)- SUM(COUNTIF(AJ34:BK34,{"I";"F";"CP";"R";"P";"AC";"AM"}))</f>
        <v>20</v>
      </c>
      <c r="NL34" s="138">
        <f t="shared" si="13"/>
        <v>0.8</v>
      </c>
      <c r="NM34" s="8">
        <f t="shared" si="2"/>
        <v>16</v>
      </c>
      <c r="NN34" s="351" cm="1">
        <f t="array" ref="NN34">NETWORKDAYS($BL$2,$CP$2)- SUM(COUNTIF(BL34:CP34,{"I";"F";"CP";"R";"P";"AC";"AM"}))</f>
        <v>22</v>
      </c>
      <c r="NO34" s="138">
        <f t="shared" si="14"/>
        <v>0.72727272727272729</v>
      </c>
      <c r="NP34" s="8">
        <f t="shared" si="3"/>
        <v>16</v>
      </c>
      <c r="NQ34" s="351" cm="1">
        <f t="array" ref="NQ34">NETWORKDAYS($CQ$2,$DT$2,$CV$2)- SUM(COUNTIF(CQ34:DT34,{"I";"F";"CP";"R";"P";"AC";"AM"}))</f>
        <v>21</v>
      </c>
      <c r="NR34" s="138">
        <f t="shared" si="15"/>
        <v>0.76190476190476186</v>
      </c>
      <c r="NS34" s="8">
        <f t="shared" si="4"/>
        <v>3</v>
      </c>
      <c r="NT34" s="351" cm="1">
        <f t="array" ref="NT34">NETWORKDAYS($DV$2,$EY$2)-SUM(COUNTIF(DV34:EY34,{"I";"F";"CP";"R";"P";"AC";"AM"}))</f>
        <v>16</v>
      </c>
      <c r="NU34" s="138">
        <f t="shared" si="16"/>
        <v>0.1875</v>
      </c>
      <c r="NV34" s="8">
        <f t="shared" si="27"/>
        <v>0</v>
      </c>
      <c r="NW34" s="351" cm="1">
        <f t="array" ref="NW34">NETWORKDAYS($EZ$2,$GC$2)-SUM(COUNTIF(EZ34:GC34,{"I";"F";"CP";"R";"P";"AC";"AM"}))</f>
        <v>22</v>
      </c>
      <c r="NX34" s="138">
        <f t="shared" si="28"/>
        <v>0</v>
      </c>
      <c r="NY34" s="8">
        <f t="shared" si="29"/>
        <v>0</v>
      </c>
      <c r="NZ34" s="351" cm="1">
        <f t="array" ref="NZ34">NETWORKDAYS($GD$2,$HH$2,$GQ$2)-SUM(COUNTIF(GD34:HH34,{"I";"F";"CP";"R";"P";"AC";"AM"}))</f>
        <v>21</v>
      </c>
      <c r="OA34" s="138">
        <f t="shared" si="30"/>
        <v>0</v>
      </c>
      <c r="OB34" s="8">
        <f t="shared" si="31"/>
        <v>0</v>
      </c>
      <c r="OC34" s="351" cm="1">
        <f t="array" ref="OC34">NETWORKDAYS($HI$2,$IM$2)-SUM(COUNTIF(HI34:IM34,{"I";"F";"CP";"R";"P";"AC";"AM"}))</f>
        <v>21</v>
      </c>
      <c r="OD34" s="138">
        <f t="shared" si="32"/>
        <v>0</v>
      </c>
      <c r="OE34" s="8">
        <f t="shared" si="33"/>
        <v>0</v>
      </c>
      <c r="OF34" s="351" cm="1">
        <f t="array" ref="OF34">NETWORKDAYS($IN$2,$JQ$2)-SUM(COUNTIF(IN34:JQ34,{"I";"F";"CP";"R";"P";"AC";"AM"}))</f>
        <v>22</v>
      </c>
      <c r="OG34" s="138">
        <f t="shared" si="34"/>
        <v>0</v>
      </c>
      <c r="OH34" s="8">
        <f t="shared" si="35"/>
        <v>0</v>
      </c>
      <c r="OI34" s="351" cm="1">
        <f t="array" ref="OI34">NETWORKDAYS($JR$2,$KV$2)-SUM(COUNTIF(JR34:KV34,{"I";"F";"CP";"R";"P";"AC";"AM"}))</f>
        <v>22</v>
      </c>
      <c r="OJ34" s="138">
        <f t="shared" si="36"/>
        <v>0</v>
      </c>
      <c r="OK34" s="8">
        <f t="shared" si="37"/>
        <v>0</v>
      </c>
      <c r="OL34" s="351" cm="1">
        <f t="array" ref="OL34">NETWORKDAYS($KW$2,$LZ$2,$LG$2)-SUM(COUNTIF(KW34:LZ34,{"I";"F";"CP";"R";"P";"AC";"AM"}))</f>
        <v>19</v>
      </c>
      <c r="OM34" s="138">
        <f t="shared" si="38"/>
        <v>0</v>
      </c>
      <c r="ON34" s="8">
        <f t="shared" si="39"/>
        <v>0</v>
      </c>
      <c r="OO34" s="351" cm="1">
        <f t="array" ref="OO34">NETWORKDAYS($MA$2,$MR$2)-SUM(COUNTIF(MA34:MR34,{"I";"F";"CP";"R";"P";"AC";"AM"}))</f>
        <v>14</v>
      </c>
      <c r="OP34" s="138">
        <f t="shared" si="40"/>
        <v>0</v>
      </c>
      <c r="OQ34" s="94">
        <f t="shared" si="41"/>
        <v>64</v>
      </c>
      <c r="OR34" s="94">
        <f t="shared" si="42"/>
        <v>240</v>
      </c>
      <c r="OS34" s="138">
        <f t="shared" si="43"/>
        <v>0.26666666666666666</v>
      </c>
    </row>
    <row r="35" spans="1:409" ht="18" hidden="1" customHeight="1" x14ac:dyDescent="0.25">
      <c r="A35" s="95" t="s">
        <v>202</v>
      </c>
      <c r="B35" s="93" t="s">
        <v>45</v>
      </c>
      <c r="C35" s="89" t="s">
        <v>160</v>
      </c>
      <c r="D35" s="89" t="s">
        <v>203</v>
      </c>
      <c r="E35" s="128"/>
      <c r="F35" s="110"/>
      <c r="G35" s="110"/>
      <c r="H35" s="110"/>
      <c r="I35" s="25"/>
      <c r="J35" s="25"/>
      <c r="K35" s="25"/>
      <c r="L35" s="25"/>
      <c r="M35" s="25"/>
      <c r="N35" s="110"/>
      <c r="O35" s="110"/>
      <c r="P35" s="25"/>
      <c r="Q35" s="25"/>
      <c r="R35" s="25"/>
      <c r="S35" s="25"/>
      <c r="T35" s="25"/>
      <c r="U35" s="110"/>
      <c r="V35" s="110"/>
      <c r="W35" s="25"/>
      <c r="X35" s="25"/>
      <c r="Y35" s="25"/>
      <c r="Z35" s="25"/>
      <c r="AA35" s="25"/>
      <c r="AB35" s="110"/>
      <c r="AC35" s="110"/>
      <c r="AD35" s="25"/>
      <c r="AE35" s="25"/>
      <c r="AF35" s="25"/>
      <c r="AG35" s="25"/>
      <c r="AH35" s="25"/>
      <c r="AI35" s="110"/>
      <c r="AJ35" s="110"/>
      <c r="AK35" s="25"/>
      <c r="AL35" s="25"/>
      <c r="AM35" s="25"/>
      <c r="AN35" s="25"/>
      <c r="AO35" s="25"/>
      <c r="AP35" s="110"/>
      <c r="AQ35" s="110"/>
      <c r="AR35" s="25"/>
      <c r="AS35" s="25"/>
      <c r="AT35" s="25"/>
      <c r="AV35" s="25"/>
      <c r="AW35" s="110"/>
      <c r="AX35" s="110"/>
      <c r="AY35" s="25"/>
      <c r="AZ35" s="25"/>
      <c r="BA35" s="25"/>
      <c r="BB35" s="25"/>
      <c r="BC35" s="25"/>
      <c r="BD35" s="110"/>
      <c r="BE35" s="110"/>
      <c r="BF35" s="25"/>
      <c r="BG35" s="25"/>
      <c r="BH35" s="25"/>
      <c r="BI35" s="25"/>
      <c r="BJ35" s="25"/>
      <c r="BK35" s="110"/>
      <c r="BL35" s="110"/>
      <c r="BM35" s="25"/>
      <c r="BN35" s="25"/>
      <c r="BO35" s="25"/>
      <c r="BP35" s="25"/>
      <c r="BQ35" s="25"/>
      <c r="BR35" s="110"/>
      <c r="BS35" s="110"/>
      <c r="BT35" s="25"/>
      <c r="BU35" s="25"/>
      <c r="BV35" s="25"/>
      <c r="BW35" s="25"/>
      <c r="BX35" s="25"/>
      <c r="BY35" s="110"/>
      <c r="BZ35" s="110"/>
      <c r="CA35" s="25"/>
      <c r="CB35" s="25"/>
      <c r="CC35" s="25"/>
      <c r="CD35" s="25"/>
      <c r="CE35" s="25"/>
      <c r="CF35" s="110"/>
      <c r="CG35" s="110"/>
      <c r="CH35" s="25"/>
      <c r="CI35" s="25"/>
      <c r="CJ35" s="25"/>
      <c r="CK35" s="25"/>
      <c r="CL35" s="25"/>
      <c r="CM35" s="110"/>
      <c r="CN35" s="110"/>
      <c r="CO35" s="25"/>
      <c r="CP35" s="25"/>
      <c r="CQ35" s="25"/>
      <c r="CR35" s="25"/>
      <c r="CS35" s="25"/>
      <c r="CT35" s="110"/>
      <c r="CU35" s="110"/>
      <c r="CV35" s="110"/>
      <c r="CW35" s="25"/>
      <c r="CX35" s="25"/>
      <c r="CY35" s="25"/>
      <c r="CZ35" s="25"/>
      <c r="DA35" s="110"/>
      <c r="DB35" s="110"/>
      <c r="DC35" s="25"/>
      <c r="DD35" s="25"/>
      <c r="DE35" s="25"/>
      <c r="DF35" s="25"/>
      <c r="DG35" s="25"/>
      <c r="DH35" s="110"/>
      <c r="DI35" s="110"/>
      <c r="DJ35" s="25"/>
      <c r="DK35" s="25"/>
      <c r="DL35" s="25"/>
      <c r="DM35" s="25"/>
      <c r="DN35" s="25"/>
      <c r="DO35" s="110"/>
      <c r="DP35" s="110"/>
      <c r="DQ35" s="25"/>
      <c r="DR35" s="25"/>
      <c r="DS35" s="25"/>
      <c r="DT35" s="25"/>
      <c r="DU35" s="110" t="s">
        <v>445</v>
      </c>
      <c r="DV35" s="110"/>
      <c r="DW35" s="110"/>
      <c r="DX35" s="25"/>
      <c r="DY35" s="25"/>
      <c r="DZ35" s="25"/>
      <c r="EA35" s="25"/>
      <c r="EB35" s="110" t="s">
        <v>445</v>
      </c>
      <c r="EC35" s="110"/>
      <c r="ED35" s="110"/>
      <c r="EE35" s="25"/>
      <c r="EF35" s="25"/>
      <c r="EG35" s="25"/>
      <c r="EH35" s="110" t="s">
        <v>445</v>
      </c>
      <c r="EI35" s="110" t="s">
        <v>445</v>
      </c>
      <c r="EJ35" s="110"/>
      <c r="EK35" s="110"/>
      <c r="EL35" s="25"/>
      <c r="EM35" s="25"/>
      <c r="EN35" s="25"/>
      <c r="EO35" s="25"/>
      <c r="EP35" s="25"/>
      <c r="EQ35" s="110"/>
      <c r="ER35" s="110"/>
      <c r="ES35" s="110" t="s">
        <v>445</v>
      </c>
      <c r="ET35" s="25"/>
      <c r="EU35" s="25"/>
      <c r="EV35" s="25"/>
      <c r="EW35" s="25"/>
      <c r="EX35" s="110"/>
      <c r="EY35" s="110"/>
      <c r="EZ35" s="25"/>
      <c r="FA35" s="25"/>
      <c r="FB35" s="25"/>
      <c r="FC35" s="25"/>
      <c r="FD35" s="25"/>
      <c r="FE35" s="110"/>
      <c r="FF35" s="110"/>
      <c r="FG35" s="25"/>
      <c r="FH35" s="25"/>
      <c r="FI35" s="25"/>
      <c r="FJ35" s="25"/>
      <c r="FK35" s="25"/>
      <c r="FL35" s="110"/>
      <c r="FM35" s="110"/>
      <c r="FN35" s="25"/>
      <c r="FO35" s="25"/>
      <c r="FP35" s="25"/>
      <c r="FQ35" s="25"/>
      <c r="FR35" s="25"/>
      <c r="FS35" s="110"/>
      <c r="FT35" s="110"/>
      <c r="FU35" s="25"/>
      <c r="FV35" s="25"/>
      <c r="FW35" s="25"/>
      <c r="FX35" s="25"/>
      <c r="FY35" s="25"/>
      <c r="FZ35" s="110"/>
      <c r="GA35" s="110"/>
      <c r="GB35" s="25"/>
      <c r="GC35" s="25"/>
      <c r="GD35" s="25"/>
      <c r="GE35" s="25"/>
      <c r="GF35" s="25"/>
      <c r="GG35" s="110"/>
      <c r="GH35" s="110"/>
      <c r="GI35" s="25"/>
      <c r="GJ35" s="25"/>
      <c r="GK35" s="25"/>
      <c r="GL35" s="25"/>
      <c r="GM35" s="25"/>
      <c r="GN35" s="110"/>
      <c r="GO35" s="110"/>
      <c r="GP35" s="110" t="s">
        <v>445</v>
      </c>
      <c r="GQ35" s="110"/>
      <c r="GR35" s="25"/>
      <c r="GS35" s="25"/>
      <c r="GT35" s="25"/>
      <c r="GU35" s="110"/>
      <c r="GV35" s="110"/>
      <c r="GW35" s="25"/>
      <c r="GX35" s="25"/>
      <c r="GY35" s="25"/>
      <c r="GZ35" s="25"/>
      <c r="HA35" s="25"/>
      <c r="HB35" s="110"/>
      <c r="HC35" s="110"/>
      <c r="HD35" s="25"/>
      <c r="HE35" s="25"/>
      <c r="HF35" s="25"/>
      <c r="HG35" s="25"/>
      <c r="HH35" s="25"/>
      <c r="HI35" s="110"/>
      <c r="HJ35" s="110"/>
      <c r="HK35" s="25"/>
      <c r="HL35" s="25"/>
      <c r="HM35" s="25"/>
      <c r="HN35" s="25"/>
      <c r="HO35" s="25"/>
      <c r="HP35" s="110"/>
      <c r="HQ35" s="110"/>
      <c r="HR35" s="25"/>
      <c r="HS35" s="25"/>
      <c r="HT35" s="25"/>
      <c r="HU35" s="25"/>
      <c r="HV35" s="25"/>
      <c r="HW35" s="110"/>
      <c r="HX35" s="110"/>
      <c r="HY35" s="25"/>
      <c r="HZ35" s="25"/>
      <c r="IA35" s="25"/>
      <c r="IB35" s="25"/>
      <c r="IC35" s="25"/>
      <c r="ID35" s="110"/>
      <c r="IE35" s="110"/>
      <c r="IF35" s="25"/>
      <c r="IG35" s="25"/>
      <c r="IH35" s="25"/>
      <c r="II35" s="25"/>
      <c r="IJ35" s="25"/>
      <c r="IK35" s="110"/>
      <c r="IL35" s="110"/>
      <c r="IM35" s="25"/>
      <c r="IN35" s="25"/>
      <c r="IO35" s="25"/>
      <c r="IP35" s="25"/>
      <c r="IQ35" s="25"/>
      <c r="IR35" s="110"/>
      <c r="IS35" s="110"/>
      <c r="IT35" s="25"/>
      <c r="IU35" s="25"/>
      <c r="IV35" s="25"/>
      <c r="IW35" s="25"/>
      <c r="IX35" s="25"/>
      <c r="IY35" s="110"/>
      <c r="IZ35" s="110"/>
      <c r="JA35" s="25"/>
      <c r="JB35" s="25"/>
      <c r="JC35" s="25"/>
      <c r="JD35" s="25"/>
      <c r="JE35" s="25"/>
      <c r="JF35" s="110"/>
      <c r="JG35" s="110"/>
      <c r="JH35" s="25"/>
      <c r="JI35" s="25"/>
      <c r="JJ35" s="25"/>
      <c r="JK35" s="25"/>
      <c r="JL35" s="25"/>
      <c r="JM35" s="110"/>
      <c r="JN35" s="110"/>
      <c r="JO35" s="25"/>
      <c r="JP35" s="25"/>
      <c r="JQ35" s="25"/>
      <c r="JR35" s="25"/>
      <c r="JS35" s="25"/>
      <c r="JT35" s="110"/>
      <c r="JU35" s="110"/>
      <c r="JV35" s="25"/>
      <c r="JW35" s="25"/>
      <c r="JX35" s="25"/>
      <c r="JY35" s="25"/>
      <c r="JZ35" s="25"/>
      <c r="KA35" s="110"/>
      <c r="KB35" s="110"/>
      <c r="KC35" s="25"/>
      <c r="KD35" s="25"/>
      <c r="KE35" s="25"/>
      <c r="KF35" s="25"/>
      <c r="KG35" s="25"/>
      <c r="KH35" s="110"/>
      <c r="KI35" s="110"/>
      <c r="KJ35" s="25"/>
      <c r="KK35" s="25"/>
      <c r="KL35" s="25"/>
      <c r="KM35" s="25"/>
      <c r="KN35" s="25"/>
      <c r="KO35" s="110"/>
      <c r="KP35" s="110"/>
      <c r="KQ35" s="25"/>
      <c r="KR35" s="25"/>
      <c r="KS35" s="25"/>
      <c r="KT35" s="25"/>
      <c r="KU35" s="25"/>
      <c r="KV35" s="110"/>
      <c r="KW35" s="110"/>
      <c r="KX35" s="25"/>
      <c r="KY35" s="25"/>
      <c r="KZ35" s="25"/>
      <c r="LA35" s="25"/>
      <c r="LB35" s="25"/>
      <c r="LC35" s="110"/>
      <c r="LD35" s="110"/>
      <c r="LE35" s="25"/>
      <c r="LF35" s="25"/>
      <c r="LG35" s="110" t="s">
        <v>445</v>
      </c>
      <c r="LH35" s="25"/>
      <c r="LI35" s="25"/>
      <c r="LJ35" s="110"/>
      <c r="LK35" s="110"/>
      <c r="LL35" s="25"/>
      <c r="LM35" s="25"/>
      <c r="LN35" s="25"/>
      <c r="LO35" s="25"/>
      <c r="LP35" s="25"/>
      <c r="LQ35" s="110"/>
      <c r="LR35" s="110"/>
      <c r="LS35" s="25"/>
      <c r="LT35" s="25"/>
      <c r="LU35" s="25"/>
      <c r="LV35" s="25"/>
      <c r="LW35" s="25"/>
      <c r="LX35" s="110"/>
      <c r="LY35" s="110"/>
      <c r="LZ35" s="25"/>
      <c r="MA35" s="25"/>
      <c r="MB35" s="25"/>
      <c r="MC35" s="25"/>
      <c r="MD35" s="25"/>
      <c r="ME35" s="110"/>
      <c r="MF35" s="110"/>
      <c r="MG35" s="25"/>
      <c r="MH35" s="25"/>
      <c r="MI35" s="25"/>
      <c r="MJ35" s="25"/>
      <c r="MK35" s="25"/>
      <c r="ML35" s="110"/>
      <c r="MM35" s="110"/>
      <c r="MN35" s="25"/>
      <c r="MO35" s="25"/>
      <c r="MP35" s="25"/>
      <c r="MQ35" s="25"/>
      <c r="MR35" s="25"/>
      <c r="MS35" s="110"/>
      <c r="MT35" s="110"/>
      <c r="MU35" s="25"/>
      <c r="MV35" s="25"/>
      <c r="MW35" s="25"/>
      <c r="MX35" s="25"/>
      <c r="MY35" s="25"/>
      <c r="MZ35" s="110"/>
      <c r="NA35" s="110"/>
      <c r="NB35" s="25"/>
      <c r="NC35" s="25"/>
      <c r="ND35" s="25"/>
      <c r="NE35" s="129"/>
      <c r="NF35" s="111"/>
      <c r="NG35" s="8">
        <f t="shared" si="0"/>
        <v>0</v>
      </c>
      <c r="NH35" s="351" cm="1">
        <f t="array" ref="NH35">NETWORKDAYS($I$2,$AH$2)- SUM(COUNTIF(I35:AH35,{"I";"F";"CP";"R";"P";"AC";"AM"}))</f>
        <v>20</v>
      </c>
      <c r="NI35" s="138">
        <f t="shared" si="12"/>
        <v>0</v>
      </c>
      <c r="NJ35" s="8">
        <f t="shared" si="1"/>
        <v>0</v>
      </c>
      <c r="NK35" s="351" cm="1">
        <f t="array" ref="NK35">NETWORKDAYS($AJ$2,$BK$2)- SUM(COUNTIF(AJ35:BK35,{"I";"F";"CP";"R";"P";"AC";"AM"}))</f>
        <v>20</v>
      </c>
      <c r="NL35" s="138">
        <f t="shared" si="13"/>
        <v>0</v>
      </c>
      <c r="NM35" s="8">
        <f t="shared" si="2"/>
        <v>0</v>
      </c>
      <c r="NN35" s="351" cm="1">
        <f t="array" ref="NN35">NETWORKDAYS($BL$2,$CP$2)- SUM(COUNTIF(BL35:CP35,{"I";"F";"CP";"R";"P";"AC";"AM"}))</f>
        <v>22</v>
      </c>
      <c r="NO35" s="138">
        <f t="shared" si="14"/>
        <v>0</v>
      </c>
      <c r="NP35" s="8">
        <f t="shared" si="3"/>
        <v>0</v>
      </c>
      <c r="NQ35" s="351" cm="1">
        <f t="array" ref="NQ35">NETWORKDAYS($CQ$2,$DT$2,$CV$2)- SUM(COUNTIF(CQ35:DT35,{"I";"F";"CP";"R";"P";"AC";"AM"}))</f>
        <v>21</v>
      </c>
      <c r="NR35" s="138">
        <f t="shared" si="15"/>
        <v>0</v>
      </c>
      <c r="NS35" s="8">
        <f t="shared" si="4"/>
        <v>0</v>
      </c>
      <c r="NT35" s="351" cm="1">
        <f t="array" ref="NT35">NETWORKDAYS($DV$2,$EY$2)-SUM(COUNTIF(DV35:EY35,{"I";"F";"CP";"R";"P";"AC";"AM"}))</f>
        <v>16</v>
      </c>
      <c r="NU35" s="138">
        <f t="shared" si="16"/>
        <v>0</v>
      </c>
      <c r="NV35" s="8">
        <f t="shared" si="27"/>
        <v>0</v>
      </c>
      <c r="NW35" s="351" cm="1">
        <f t="array" ref="NW35">NETWORKDAYS($EZ$2,$GC$2)-SUM(COUNTIF(EZ35:GC35,{"I";"F";"CP";"R";"P";"AC";"AM"}))</f>
        <v>22</v>
      </c>
      <c r="NX35" s="138">
        <f t="shared" si="28"/>
        <v>0</v>
      </c>
      <c r="NY35" s="8">
        <f t="shared" si="29"/>
        <v>0</v>
      </c>
      <c r="NZ35" s="351" cm="1">
        <f t="array" ref="NZ35">NETWORKDAYS($GD$2,$HH$2,$GQ$2)-SUM(COUNTIF(GD35:HH35,{"I";"F";"CP";"R";"P";"AC";"AM"}))</f>
        <v>21</v>
      </c>
      <c r="OA35" s="138">
        <f t="shared" si="30"/>
        <v>0</v>
      </c>
      <c r="OB35" s="8">
        <f t="shared" si="31"/>
        <v>0</v>
      </c>
      <c r="OC35" s="351" cm="1">
        <f t="array" ref="OC35">NETWORKDAYS($HI$2,$IM$2)-SUM(COUNTIF(HI35:IM35,{"I";"F";"CP";"R";"P";"AC";"AM"}))</f>
        <v>21</v>
      </c>
      <c r="OD35" s="138">
        <f t="shared" si="32"/>
        <v>0</v>
      </c>
      <c r="OE35" s="8">
        <f t="shared" si="33"/>
        <v>0</v>
      </c>
      <c r="OF35" s="351" cm="1">
        <f t="array" ref="OF35">NETWORKDAYS($IN$2,$JQ$2)-SUM(COUNTIF(IN35:JQ35,{"I";"F";"CP";"R";"P";"AC";"AM"}))</f>
        <v>22</v>
      </c>
      <c r="OG35" s="138">
        <f t="shared" si="34"/>
        <v>0</v>
      </c>
      <c r="OH35" s="8">
        <f t="shared" si="35"/>
        <v>0</v>
      </c>
      <c r="OI35" s="351" cm="1">
        <f t="array" ref="OI35">NETWORKDAYS($JR$2,$KV$2)-SUM(COUNTIF(JR35:KV35,{"I";"F";"CP";"R";"P";"AC";"AM"}))</f>
        <v>22</v>
      </c>
      <c r="OJ35" s="138">
        <f t="shared" si="36"/>
        <v>0</v>
      </c>
      <c r="OK35" s="8">
        <f t="shared" si="37"/>
        <v>0</v>
      </c>
      <c r="OL35" s="351" cm="1">
        <f t="array" ref="OL35">NETWORKDAYS($KW$2,$LZ$2,$LG$2)-SUM(COUNTIF(KW35:LZ35,{"I";"F";"CP";"R";"P";"AC";"AM"}))</f>
        <v>19</v>
      </c>
      <c r="OM35" s="138">
        <f t="shared" si="38"/>
        <v>0</v>
      </c>
      <c r="ON35" s="8">
        <f t="shared" si="39"/>
        <v>0</v>
      </c>
      <c r="OO35" s="351" cm="1">
        <f t="array" ref="OO35">NETWORKDAYS($MA$2,$MR$2)-SUM(COUNTIF(MA35:MR35,{"I";"F";"CP";"R";"P";"AC";"AM"}))</f>
        <v>14</v>
      </c>
      <c r="OP35" s="138">
        <f t="shared" si="40"/>
        <v>0</v>
      </c>
      <c r="OQ35" s="94">
        <f t="shared" si="41"/>
        <v>0</v>
      </c>
      <c r="OR35" s="94">
        <f t="shared" si="42"/>
        <v>240</v>
      </c>
      <c r="OS35" s="138">
        <f t="shared" si="43"/>
        <v>0</v>
      </c>
    </row>
    <row r="36" spans="1:409" ht="18" hidden="1" customHeight="1" x14ac:dyDescent="0.25">
      <c r="A36" s="95" t="s">
        <v>168</v>
      </c>
      <c r="B36" s="93" t="s">
        <v>168</v>
      </c>
      <c r="C36" s="89" t="s">
        <v>166</v>
      </c>
      <c r="D36" s="89" t="s">
        <v>204</v>
      </c>
      <c r="E36" s="128"/>
      <c r="F36" s="110"/>
      <c r="G36" s="110"/>
      <c r="H36" s="110"/>
      <c r="I36" s="25"/>
      <c r="J36" s="25"/>
      <c r="K36" s="25"/>
      <c r="L36" s="25"/>
      <c r="M36" s="25"/>
      <c r="N36" s="110"/>
      <c r="O36" s="110"/>
      <c r="P36" s="25"/>
      <c r="Q36" s="25"/>
      <c r="R36" s="25"/>
      <c r="S36" s="25"/>
      <c r="T36" s="25"/>
      <c r="U36" s="110"/>
      <c r="V36" s="110"/>
      <c r="W36" s="25"/>
      <c r="X36" s="25"/>
      <c r="Y36" s="25"/>
      <c r="Z36" s="25"/>
      <c r="AA36" s="25"/>
      <c r="AB36" s="110"/>
      <c r="AC36" s="110"/>
      <c r="AD36" s="25"/>
      <c r="AE36" s="25"/>
      <c r="AF36" s="25"/>
      <c r="AG36" s="25"/>
      <c r="AH36" s="25"/>
      <c r="AI36" s="110"/>
      <c r="AJ36" s="110"/>
      <c r="AK36" s="25"/>
      <c r="AL36" s="25"/>
      <c r="AM36" s="25"/>
      <c r="AN36" s="25"/>
      <c r="AO36" s="25"/>
      <c r="AP36" s="110"/>
      <c r="AQ36" s="110"/>
      <c r="AR36" s="25"/>
      <c r="AS36" s="25"/>
      <c r="AT36" s="25"/>
      <c r="AU36" s="25"/>
      <c r="AV36" s="25"/>
      <c r="AW36" s="110"/>
      <c r="AX36" s="110"/>
      <c r="AY36" s="25"/>
      <c r="AZ36" s="25"/>
      <c r="BA36" s="25"/>
      <c r="BB36" s="25"/>
      <c r="BC36" s="25"/>
      <c r="BD36" s="110"/>
      <c r="BE36" s="110"/>
      <c r="BF36" s="25"/>
      <c r="BG36" s="25"/>
      <c r="BH36" s="25"/>
      <c r="BI36" s="25"/>
      <c r="BJ36" s="25"/>
      <c r="BK36" s="110"/>
      <c r="BL36" s="110"/>
      <c r="BM36" s="25"/>
      <c r="BN36" s="25"/>
      <c r="BO36" s="25"/>
      <c r="BP36" s="25"/>
      <c r="BQ36" s="25"/>
      <c r="BR36" s="110"/>
      <c r="BS36" s="110"/>
      <c r="BT36" s="25"/>
      <c r="BU36" s="25"/>
      <c r="BV36" s="25"/>
      <c r="BW36" s="25"/>
      <c r="BX36" s="25"/>
      <c r="BY36" s="110"/>
      <c r="BZ36" s="110"/>
      <c r="CA36" s="25"/>
      <c r="CB36" s="25"/>
      <c r="CC36" s="25"/>
      <c r="CD36" s="25"/>
      <c r="CE36" s="25"/>
      <c r="CF36" s="110"/>
      <c r="CG36" s="110"/>
      <c r="CH36" s="25"/>
      <c r="CI36" s="25"/>
      <c r="CJ36" s="25"/>
      <c r="CK36" s="25"/>
      <c r="CL36" s="25"/>
      <c r="CM36" s="110"/>
      <c r="CN36" s="110"/>
      <c r="CO36" s="25"/>
      <c r="CP36" s="25"/>
      <c r="CQ36" s="25"/>
      <c r="CR36" s="25"/>
      <c r="CS36" s="25"/>
      <c r="CT36" s="110"/>
      <c r="CU36" s="110"/>
      <c r="CV36" s="110"/>
      <c r="CW36" s="25"/>
      <c r="CX36" s="25"/>
      <c r="CY36" s="25"/>
      <c r="CZ36" s="25"/>
      <c r="DA36" s="110"/>
      <c r="DB36" s="110"/>
      <c r="DC36" s="25"/>
      <c r="DD36" s="25"/>
      <c r="DE36" s="25"/>
      <c r="DF36" s="25"/>
      <c r="DG36" s="25"/>
      <c r="DH36" s="110"/>
      <c r="DI36" s="110"/>
      <c r="DJ36" s="25"/>
      <c r="DK36" s="25"/>
      <c r="DL36" s="25"/>
      <c r="DM36" s="25"/>
      <c r="DN36" s="25"/>
      <c r="DO36" s="110"/>
      <c r="DP36" s="110"/>
      <c r="DQ36" s="25"/>
      <c r="DR36" s="25"/>
      <c r="DS36" s="25"/>
      <c r="DT36" s="25"/>
      <c r="DU36" s="110" t="s">
        <v>445</v>
      </c>
      <c r="DV36" s="110"/>
      <c r="DW36" s="110"/>
      <c r="DX36" s="25"/>
      <c r="DY36" s="25"/>
      <c r="DZ36" s="25"/>
      <c r="EA36" s="25"/>
      <c r="EB36" s="110" t="s">
        <v>445</v>
      </c>
      <c r="EC36" s="110"/>
      <c r="ED36" s="110"/>
      <c r="EE36" s="25"/>
      <c r="EF36" s="25"/>
      <c r="EG36" s="25"/>
      <c r="EH36" s="110" t="s">
        <v>445</v>
      </c>
      <c r="EI36" s="110" t="s">
        <v>445</v>
      </c>
      <c r="EJ36" s="110"/>
      <c r="EK36" s="110"/>
      <c r="EL36" s="25"/>
      <c r="EM36" s="25"/>
      <c r="EN36" s="25"/>
      <c r="EO36" s="25"/>
      <c r="EP36" s="25"/>
      <c r="EQ36" s="110"/>
      <c r="ER36" s="110"/>
      <c r="ES36" s="110" t="s">
        <v>445</v>
      </c>
      <c r="ET36" s="25"/>
      <c r="EU36" s="25"/>
      <c r="EV36" s="25"/>
      <c r="EW36" s="25"/>
      <c r="EX36" s="110"/>
      <c r="EY36" s="110"/>
      <c r="EZ36" s="25"/>
      <c r="FA36" s="25"/>
      <c r="FB36" s="25"/>
      <c r="FC36" s="25"/>
      <c r="FD36" s="25"/>
      <c r="FE36" s="110"/>
      <c r="FF36" s="110"/>
      <c r="FG36" s="25"/>
      <c r="FH36" s="25"/>
      <c r="FI36" s="25"/>
      <c r="FJ36" s="25"/>
      <c r="FK36" s="25"/>
      <c r="FL36" s="110"/>
      <c r="FM36" s="110"/>
      <c r="FN36" s="25"/>
      <c r="FO36" s="25"/>
      <c r="FP36" s="25"/>
      <c r="FQ36" s="25"/>
      <c r="FR36" s="25"/>
      <c r="FS36" s="110"/>
      <c r="FT36" s="110"/>
      <c r="FU36" s="25"/>
      <c r="FV36" s="25"/>
      <c r="FW36" s="25"/>
      <c r="FX36" s="25"/>
      <c r="FY36" s="25"/>
      <c r="FZ36" s="110"/>
      <c r="GA36" s="110"/>
      <c r="GB36" s="25"/>
      <c r="GC36" s="25"/>
      <c r="GD36" s="25"/>
      <c r="GE36" s="25"/>
      <c r="GF36" s="25"/>
      <c r="GG36" s="110"/>
      <c r="GH36" s="110"/>
      <c r="GI36" s="25"/>
      <c r="GJ36" s="25"/>
      <c r="GK36" s="25"/>
      <c r="GL36" s="25"/>
      <c r="GM36" s="25"/>
      <c r="GN36" s="110"/>
      <c r="GO36" s="110"/>
      <c r="GP36" s="110" t="s">
        <v>445</v>
      </c>
      <c r="GQ36" s="110"/>
      <c r="GR36" s="25"/>
      <c r="GS36" s="25"/>
      <c r="GT36" s="25"/>
      <c r="GU36" s="110"/>
      <c r="GV36" s="110"/>
      <c r="GW36" s="25"/>
      <c r="GX36" s="25"/>
      <c r="GY36" s="25"/>
      <c r="GZ36" s="25"/>
      <c r="HA36" s="25"/>
      <c r="HB36" s="110"/>
      <c r="HC36" s="110"/>
      <c r="HD36" s="25"/>
      <c r="HE36" s="25"/>
      <c r="HF36" s="25"/>
      <c r="HG36" s="25"/>
      <c r="HH36" s="25"/>
      <c r="HI36" s="110"/>
      <c r="HJ36" s="110"/>
      <c r="HK36" s="25"/>
      <c r="HL36" s="25"/>
      <c r="HM36" s="25"/>
      <c r="HN36" s="25"/>
      <c r="HO36" s="25"/>
      <c r="HP36" s="110"/>
      <c r="HQ36" s="110"/>
      <c r="HR36" s="25"/>
      <c r="HS36" s="25"/>
      <c r="HT36" s="25"/>
      <c r="HU36" s="25"/>
      <c r="HV36" s="25"/>
      <c r="HW36" s="110"/>
      <c r="HX36" s="110"/>
      <c r="HY36" s="25"/>
      <c r="HZ36" s="25"/>
      <c r="IA36" s="25"/>
      <c r="IB36" s="25"/>
      <c r="IC36" s="25"/>
      <c r="ID36" s="110"/>
      <c r="IE36" s="110"/>
      <c r="IF36" s="25"/>
      <c r="IG36" s="25"/>
      <c r="IH36" s="25"/>
      <c r="II36" s="25"/>
      <c r="IJ36" s="25"/>
      <c r="IK36" s="110"/>
      <c r="IL36" s="110"/>
      <c r="IM36" s="25"/>
      <c r="IN36" s="25"/>
      <c r="IO36" s="25"/>
      <c r="IP36" s="25"/>
      <c r="IQ36" s="25"/>
      <c r="IR36" s="110"/>
      <c r="IS36" s="110"/>
      <c r="IT36" s="25"/>
      <c r="IU36" s="25"/>
      <c r="IV36" s="25"/>
      <c r="IW36" s="25"/>
      <c r="IX36" s="25"/>
      <c r="IY36" s="110"/>
      <c r="IZ36" s="110"/>
      <c r="JA36" s="25"/>
      <c r="JB36" s="25"/>
      <c r="JC36" s="25"/>
      <c r="JD36" s="25"/>
      <c r="JE36" s="25"/>
      <c r="JF36" s="110"/>
      <c r="JG36" s="110"/>
      <c r="JH36" s="25"/>
      <c r="JI36" s="25"/>
      <c r="JJ36" s="25"/>
      <c r="JK36" s="25"/>
      <c r="JL36" s="25"/>
      <c r="JM36" s="110"/>
      <c r="JN36" s="110"/>
      <c r="JO36" s="25"/>
      <c r="JP36" s="25"/>
      <c r="JQ36" s="25"/>
      <c r="JR36" s="25"/>
      <c r="JS36" s="25"/>
      <c r="JT36" s="110"/>
      <c r="JU36" s="110"/>
      <c r="JV36" s="25"/>
      <c r="JW36" s="25"/>
      <c r="JX36" s="25"/>
      <c r="JY36" s="25"/>
      <c r="JZ36" s="25"/>
      <c r="KA36" s="110"/>
      <c r="KB36" s="110"/>
      <c r="KC36" s="25"/>
      <c r="KD36" s="25"/>
      <c r="KE36" s="25"/>
      <c r="KF36" s="25"/>
      <c r="KG36" s="25"/>
      <c r="KH36" s="110"/>
      <c r="KI36" s="110"/>
      <c r="KJ36" s="25"/>
      <c r="KK36" s="25"/>
      <c r="KL36" s="25"/>
      <c r="KM36" s="25"/>
      <c r="KN36" s="25"/>
      <c r="KO36" s="110"/>
      <c r="KP36" s="110"/>
      <c r="KQ36" s="25"/>
      <c r="KR36" s="25"/>
      <c r="KS36" s="25"/>
      <c r="KT36" s="25"/>
      <c r="KU36" s="25"/>
      <c r="KV36" s="110"/>
      <c r="KW36" s="110"/>
      <c r="KX36" s="25"/>
      <c r="KY36" s="25"/>
      <c r="KZ36" s="25"/>
      <c r="LA36" s="25"/>
      <c r="LB36" s="25"/>
      <c r="LC36" s="110"/>
      <c r="LD36" s="110"/>
      <c r="LE36" s="25"/>
      <c r="LF36" s="25"/>
      <c r="LG36" s="110" t="s">
        <v>445</v>
      </c>
      <c r="LH36" s="25"/>
      <c r="LI36" s="25"/>
      <c r="LJ36" s="110"/>
      <c r="LK36" s="110"/>
      <c r="LL36" s="25"/>
      <c r="LM36" s="25"/>
      <c r="LN36" s="25"/>
      <c r="LO36" s="25"/>
      <c r="LP36" s="25"/>
      <c r="LQ36" s="110"/>
      <c r="LR36" s="110"/>
      <c r="LS36" s="25"/>
      <c r="LT36" s="25"/>
      <c r="LU36" s="25"/>
      <c r="LV36" s="25"/>
      <c r="LW36" s="25"/>
      <c r="LX36" s="110"/>
      <c r="LY36" s="110"/>
      <c r="LZ36" s="25"/>
      <c r="MA36" s="25"/>
      <c r="MB36" s="25"/>
      <c r="MC36" s="25"/>
      <c r="MD36" s="25"/>
      <c r="ME36" s="110"/>
      <c r="MF36" s="110"/>
      <c r="MG36" s="25"/>
      <c r="MH36" s="25"/>
      <c r="MI36" s="25"/>
      <c r="MJ36" s="25"/>
      <c r="MK36" s="25"/>
      <c r="ML36" s="110"/>
      <c r="MM36" s="110"/>
      <c r="MN36" s="25"/>
      <c r="MO36" s="25"/>
      <c r="MP36" s="25"/>
      <c r="MQ36" s="25"/>
      <c r="MR36" s="25"/>
      <c r="MS36" s="110"/>
      <c r="MT36" s="110"/>
      <c r="MU36" s="25"/>
      <c r="MV36" s="25"/>
      <c r="MW36" s="25"/>
      <c r="MX36" s="25"/>
      <c r="MY36" s="25"/>
      <c r="MZ36" s="110"/>
      <c r="NA36" s="110"/>
      <c r="NB36" s="25"/>
      <c r="NC36" s="25"/>
      <c r="ND36" s="25"/>
      <c r="NE36" s="129"/>
      <c r="NF36" s="111"/>
      <c r="NG36" s="8">
        <f t="shared" si="0"/>
        <v>0</v>
      </c>
      <c r="NH36" s="351" cm="1">
        <f t="array" ref="NH36">NETWORKDAYS($I$2,$AH$2)- SUM(COUNTIF(I36:AH36,{"I";"F";"CP";"R";"P";"AC";"AM"}))</f>
        <v>20</v>
      </c>
      <c r="NI36" s="138">
        <f t="shared" si="12"/>
        <v>0</v>
      </c>
      <c r="NJ36" s="8">
        <f t="shared" si="1"/>
        <v>0</v>
      </c>
      <c r="NK36" s="351" cm="1">
        <f t="array" ref="NK36">NETWORKDAYS($AJ$2,$BK$2)- SUM(COUNTIF(AJ36:BK36,{"I";"F";"CP";"R";"P";"AC";"AM"}))</f>
        <v>20</v>
      </c>
      <c r="NL36" s="138">
        <f t="shared" si="13"/>
        <v>0</v>
      </c>
      <c r="NM36" s="8">
        <f t="shared" si="2"/>
        <v>0</v>
      </c>
      <c r="NN36" s="351" cm="1">
        <f t="array" ref="NN36">NETWORKDAYS($BL$2,$CP$2)- SUM(COUNTIF(BL36:CP36,{"I";"F";"CP";"R";"P";"AC";"AM"}))</f>
        <v>22</v>
      </c>
      <c r="NO36" s="138">
        <f t="shared" si="14"/>
        <v>0</v>
      </c>
      <c r="NP36" s="8">
        <f t="shared" si="3"/>
        <v>0</v>
      </c>
      <c r="NQ36" s="351" cm="1">
        <f t="array" ref="NQ36">NETWORKDAYS($CQ$2,$DT$2,$CV$2)- SUM(COUNTIF(CQ36:DT36,{"I";"F";"CP";"R";"P";"AC";"AM"}))</f>
        <v>21</v>
      </c>
      <c r="NR36" s="138">
        <f t="shared" si="15"/>
        <v>0</v>
      </c>
      <c r="NS36" s="8">
        <f t="shared" si="4"/>
        <v>0</v>
      </c>
      <c r="NT36" s="351" cm="1">
        <f t="array" ref="NT36">NETWORKDAYS($DV$2,$EY$2)-SUM(COUNTIF(DV36:EY36,{"I";"F";"CP";"R";"P";"AC";"AM"}))</f>
        <v>16</v>
      </c>
      <c r="NU36" s="138">
        <f t="shared" si="16"/>
        <v>0</v>
      </c>
      <c r="NV36" s="8">
        <f t="shared" si="27"/>
        <v>0</v>
      </c>
      <c r="NW36" s="351" cm="1">
        <f t="array" ref="NW36">NETWORKDAYS($EZ$2,$GC$2)-SUM(COUNTIF(EZ36:GC36,{"I";"F";"CP";"R";"P";"AC";"AM"}))</f>
        <v>22</v>
      </c>
      <c r="NX36" s="138">
        <f t="shared" si="28"/>
        <v>0</v>
      </c>
      <c r="NY36" s="8">
        <f t="shared" si="29"/>
        <v>0</v>
      </c>
      <c r="NZ36" s="351" cm="1">
        <f t="array" ref="NZ36">NETWORKDAYS($GD$2,$HH$2,$GQ$2)-SUM(COUNTIF(GD36:HH36,{"I";"F";"CP";"R";"P";"AC";"AM"}))</f>
        <v>21</v>
      </c>
      <c r="OA36" s="138">
        <f t="shared" si="30"/>
        <v>0</v>
      </c>
      <c r="OB36" s="8">
        <f t="shared" si="31"/>
        <v>0</v>
      </c>
      <c r="OC36" s="351" cm="1">
        <f t="array" ref="OC36">NETWORKDAYS($HI$2,$IM$2)-SUM(COUNTIF(HI36:IM36,{"I";"F";"CP";"R";"P";"AC";"AM"}))</f>
        <v>21</v>
      </c>
      <c r="OD36" s="138">
        <f t="shared" si="32"/>
        <v>0</v>
      </c>
      <c r="OE36" s="8">
        <f t="shared" si="33"/>
        <v>0</v>
      </c>
      <c r="OF36" s="351" cm="1">
        <f t="array" ref="OF36">NETWORKDAYS($IN$2,$JQ$2)-SUM(COUNTIF(IN36:JQ36,{"I";"F";"CP";"R";"P";"AC";"AM"}))</f>
        <v>22</v>
      </c>
      <c r="OG36" s="138">
        <f t="shared" si="34"/>
        <v>0</v>
      </c>
      <c r="OH36" s="8">
        <f t="shared" si="35"/>
        <v>0</v>
      </c>
      <c r="OI36" s="351" cm="1">
        <f t="array" ref="OI36">NETWORKDAYS($JR$2,$KV$2)-SUM(COUNTIF(JR36:KV36,{"I";"F";"CP";"R";"P";"AC";"AM"}))</f>
        <v>22</v>
      </c>
      <c r="OJ36" s="138">
        <f t="shared" si="36"/>
        <v>0</v>
      </c>
      <c r="OK36" s="8">
        <f t="shared" si="37"/>
        <v>0</v>
      </c>
      <c r="OL36" s="351" cm="1">
        <f t="array" ref="OL36">NETWORKDAYS($KW$2,$LZ$2,$LG$2)-SUM(COUNTIF(KW36:LZ36,{"I";"F";"CP";"R";"P";"AC";"AM"}))</f>
        <v>19</v>
      </c>
      <c r="OM36" s="138">
        <f t="shared" si="38"/>
        <v>0</v>
      </c>
      <c r="ON36" s="8">
        <f t="shared" si="39"/>
        <v>0</v>
      </c>
      <c r="OO36" s="351" cm="1">
        <f t="array" ref="OO36">NETWORKDAYS($MA$2,$MR$2)-SUM(COUNTIF(MA36:MR36,{"I";"F";"CP";"R";"P";"AC";"AM"}))</f>
        <v>14</v>
      </c>
      <c r="OP36" s="138">
        <f t="shared" si="40"/>
        <v>0</v>
      </c>
      <c r="OQ36" s="94">
        <f t="shared" si="41"/>
        <v>0</v>
      </c>
      <c r="OR36" s="94">
        <f t="shared" si="42"/>
        <v>240</v>
      </c>
      <c r="OS36" s="138">
        <f t="shared" si="43"/>
        <v>0</v>
      </c>
    </row>
    <row r="37" spans="1:409" ht="18" hidden="1" customHeight="1" x14ac:dyDescent="0.25">
      <c r="A37" s="95" t="s">
        <v>168</v>
      </c>
      <c r="B37" s="95" t="s">
        <v>168</v>
      </c>
      <c r="C37" s="89" t="s">
        <v>166</v>
      </c>
      <c r="D37" s="89" t="s">
        <v>205</v>
      </c>
      <c r="E37" s="128"/>
      <c r="F37" s="110"/>
      <c r="G37" s="110"/>
      <c r="H37" s="110"/>
      <c r="I37" s="25"/>
      <c r="J37" s="25"/>
      <c r="K37" s="25"/>
      <c r="L37" s="25"/>
      <c r="M37" s="25"/>
      <c r="N37" s="110"/>
      <c r="O37" s="110"/>
      <c r="P37" s="25"/>
      <c r="Q37" s="25"/>
      <c r="R37" s="25"/>
      <c r="S37" s="25"/>
      <c r="T37" s="25"/>
      <c r="U37" s="110"/>
      <c r="V37" s="110"/>
      <c r="W37" s="25"/>
      <c r="X37" s="25"/>
      <c r="Y37" s="25"/>
      <c r="Z37" s="25"/>
      <c r="AA37" s="25"/>
      <c r="AB37" s="110"/>
      <c r="AC37" s="110"/>
      <c r="AD37" s="25"/>
      <c r="AE37" s="25"/>
      <c r="AF37" s="25"/>
      <c r="AG37" s="25"/>
      <c r="AH37" s="25"/>
      <c r="AI37" s="110"/>
      <c r="AJ37" s="110"/>
      <c r="AK37" s="25"/>
      <c r="AL37" s="25"/>
      <c r="AM37" s="25"/>
      <c r="AN37" s="25"/>
      <c r="AO37" s="25"/>
      <c r="AP37" s="110"/>
      <c r="AQ37" s="110"/>
      <c r="AR37" s="25"/>
      <c r="AS37" s="25"/>
      <c r="AT37" s="25"/>
      <c r="AU37" s="25"/>
      <c r="AV37" s="25"/>
      <c r="AW37" s="110"/>
      <c r="AX37" s="110"/>
      <c r="AY37" s="25"/>
      <c r="AZ37" s="25"/>
      <c r="BA37" s="25"/>
      <c r="BB37" s="25"/>
      <c r="BC37" s="25"/>
      <c r="BD37" s="110"/>
      <c r="BE37" s="110"/>
      <c r="BF37" s="25"/>
      <c r="BG37" s="25"/>
      <c r="BH37" s="25"/>
      <c r="BI37" s="25"/>
      <c r="BJ37" s="25"/>
      <c r="BK37" s="110"/>
      <c r="BL37" s="110"/>
      <c r="BM37" s="25"/>
      <c r="BN37" s="25"/>
      <c r="BO37" s="25"/>
      <c r="BP37" s="25"/>
      <c r="BQ37" s="25"/>
      <c r="BR37" s="110"/>
      <c r="BS37" s="110"/>
      <c r="BT37" s="25"/>
      <c r="BU37" s="25"/>
      <c r="BV37" s="25"/>
      <c r="BW37" s="25"/>
      <c r="BX37" s="25"/>
      <c r="BY37" s="110"/>
      <c r="BZ37" s="110"/>
      <c r="CA37" s="25"/>
      <c r="CB37" s="25"/>
      <c r="CC37" s="25"/>
      <c r="CD37" s="25"/>
      <c r="CE37" s="25"/>
      <c r="CF37" s="110"/>
      <c r="CG37" s="110"/>
      <c r="CH37" s="25"/>
      <c r="CI37" s="25"/>
      <c r="CJ37" s="25"/>
      <c r="CK37" s="25"/>
      <c r="CL37" s="25"/>
      <c r="CM37" s="110"/>
      <c r="CN37" s="110"/>
      <c r="CO37" s="25"/>
      <c r="CP37" s="25"/>
      <c r="CQ37" s="25"/>
      <c r="CR37" s="25"/>
      <c r="CS37" s="25"/>
      <c r="CT37" s="110"/>
      <c r="CU37" s="110"/>
      <c r="CV37" s="110"/>
      <c r="CW37" s="25"/>
      <c r="CX37" s="25"/>
      <c r="CY37" s="25"/>
      <c r="CZ37" s="25"/>
      <c r="DA37" s="110"/>
      <c r="DB37" s="110"/>
      <c r="DC37" s="25"/>
      <c r="DD37" s="25"/>
      <c r="DE37" s="25"/>
      <c r="DF37" s="25"/>
      <c r="DG37" s="25"/>
      <c r="DH37" s="110"/>
      <c r="DI37" s="110"/>
      <c r="DJ37" s="25"/>
      <c r="DK37" s="25"/>
      <c r="DL37" s="25"/>
      <c r="DM37" s="25"/>
      <c r="DN37" s="25"/>
      <c r="DO37" s="110"/>
      <c r="DP37" s="110"/>
      <c r="DQ37" s="25"/>
      <c r="DR37" s="25"/>
      <c r="DS37" s="25"/>
      <c r="DT37" s="25"/>
      <c r="DU37" s="110" t="s">
        <v>445</v>
      </c>
      <c r="DV37" s="110"/>
      <c r="DW37" s="110"/>
      <c r="DX37" s="25"/>
      <c r="DY37" s="25"/>
      <c r="DZ37" s="25"/>
      <c r="EA37" s="25"/>
      <c r="EB37" s="110" t="s">
        <v>445</v>
      </c>
      <c r="EC37" s="110"/>
      <c r="ED37" s="110"/>
      <c r="EE37" s="25"/>
      <c r="EF37" s="25"/>
      <c r="EG37" s="25"/>
      <c r="EH37" s="110" t="s">
        <v>445</v>
      </c>
      <c r="EI37" s="110" t="s">
        <v>445</v>
      </c>
      <c r="EJ37" s="110"/>
      <c r="EK37" s="110"/>
      <c r="EL37" s="25"/>
      <c r="EM37" s="25"/>
      <c r="EN37" s="25"/>
      <c r="EO37" s="25"/>
      <c r="EP37" s="25"/>
      <c r="EQ37" s="110"/>
      <c r="ER37" s="110"/>
      <c r="ES37" s="110" t="s">
        <v>445</v>
      </c>
      <c r="ET37" s="25"/>
      <c r="EU37" s="25"/>
      <c r="EV37" s="25"/>
      <c r="EW37" s="25"/>
      <c r="EX37" s="110"/>
      <c r="EY37" s="110"/>
      <c r="EZ37" s="25"/>
      <c r="FA37" s="25"/>
      <c r="FB37" s="25"/>
      <c r="FC37" s="25"/>
      <c r="FD37" s="25"/>
      <c r="FE37" s="110"/>
      <c r="FF37" s="110"/>
      <c r="FG37" s="25"/>
      <c r="FH37" s="25"/>
      <c r="FI37" s="25"/>
      <c r="FJ37" s="25"/>
      <c r="FK37" s="25"/>
      <c r="FL37" s="110"/>
      <c r="FM37" s="110"/>
      <c r="FN37" s="25"/>
      <c r="FO37" s="25"/>
      <c r="FP37" s="25"/>
      <c r="FQ37" s="25"/>
      <c r="FR37" s="25"/>
      <c r="FS37" s="110"/>
      <c r="FT37" s="110"/>
      <c r="FU37" s="25"/>
      <c r="FV37" s="25"/>
      <c r="FW37" s="25"/>
      <c r="FX37" s="25"/>
      <c r="FY37" s="25"/>
      <c r="FZ37" s="110"/>
      <c r="GA37" s="110"/>
      <c r="GB37" s="25"/>
      <c r="GC37" s="25"/>
      <c r="GD37" s="25"/>
      <c r="GE37" s="25"/>
      <c r="GF37" s="25"/>
      <c r="GG37" s="110"/>
      <c r="GH37" s="110"/>
      <c r="GI37" s="25"/>
      <c r="GJ37" s="25"/>
      <c r="GK37" s="25"/>
      <c r="GL37" s="25"/>
      <c r="GM37" s="25"/>
      <c r="GN37" s="110"/>
      <c r="GO37" s="110"/>
      <c r="GP37" s="110" t="s">
        <v>445</v>
      </c>
      <c r="GQ37" s="110"/>
      <c r="GR37" s="25"/>
      <c r="GS37" s="25"/>
      <c r="GT37" s="25"/>
      <c r="GU37" s="110"/>
      <c r="GV37" s="110"/>
      <c r="GW37" s="25"/>
      <c r="GX37" s="25"/>
      <c r="GY37" s="25"/>
      <c r="GZ37" s="25"/>
      <c r="HA37" s="25"/>
      <c r="HB37" s="110"/>
      <c r="HC37" s="110"/>
      <c r="HD37" s="25"/>
      <c r="HE37" s="25"/>
      <c r="HF37" s="25"/>
      <c r="HG37" s="25"/>
      <c r="HH37" s="25"/>
      <c r="HI37" s="110"/>
      <c r="HJ37" s="110"/>
      <c r="HK37" s="25"/>
      <c r="HL37" s="25"/>
      <c r="HM37" s="25"/>
      <c r="HN37" s="25"/>
      <c r="HO37" s="25"/>
      <c r="HP37" s="110"/>
      <c r="HQ37" s="110"/>
      <c r="HR37" s="25"/>
      <c r="HS37" s="25"/>
      <c r="HT37" s="25"/>
      <c r="HU37" s="25"/>
      <c r="HV37" s="25"/>
      <c r="HW37" s="110"/>
      <c r="HX37" s="110"/>
      <c r="HY37" s="25"/>
      <c r="HZ37" s="25"/>
      <c r="IA37" s="25"/>
      <c r="IB37" s="25"/>
      <c r="IC37" s="25"/>
      <c r="ID37" s="110"/>
      <c r="IE37" s="110"/>
      <c r="IF37" s="25"/>
      <c r="IG37" s="25"/>
      <c r="IH37" s="25"/>
      <c r="II37" s="25"/>
      <c r="IJ37" s="25"/>
      <c r="IK37" s="110"/>
      <c r="IL37" s="110"/>
      <c r="IM37" s="25"/>
      <c r="IN37" s="25"/>
      <c r="IO37" s="25"/>
      <c r="IP37" s="25"/>
      <c r="IQ37" s="25"/>
      <c r="IR37" s="110"/>
      <c r="IS37" s="110"/>
      <c r="IT37" s="25"/>
      <c r="IU37" s="25"/>
      <c r="IV37" s="25"/>
      <c r="IW37" s="25"/>
      <c r="IX37" s="25"/>
      <c r="IY37" s="110"/>
      <c r="IZ37" s="110"/>
      <c r="JA37" s="25"/>
      <c r="JB37" s="25"/>
      <c r="JC37" s="25"/>
      <c r="JD37" s="25"/>
      <c r="JE37" s="25"/>
      <c r="JF37" s="110"/>
      <c r="JG37" s="110"/>
      <c r="JH37" s="25"/>
      <c r="JI37" s="25"/>
      <c r="JJ37" s="25"/>
      <c r="JK37" s="25"/>
      <c r="JL37" s="25"/>
      <c r="JM37" s="110"/>
      <c r="JN37" s="110"/>
      <c r="JO37" s="25"/>
      <c r="JP37" s="25"/>
      <c r="JQ37" s="25"/>
      <c r="JR37" s="25"/>
      <c r="JS37" s="25"/>
      <c r="JT37" s="110"/>
      <c r="JU37" s="110"/>
      <c r="JV37" s="25"/>
      <c r="JW37" s="25"/>
      <c r="JX37" s="25"/>
      <c r="JY37" s="25"/>
      <c r="JZ37" s="25"/>
      <c r="KA37" s="110"/>
      <c r="KB37" s="110"/>
      <c r="KC37" s="25"/>
      <c r="KD37" s="25"/>
      <c r="KE37" s="25"/>
      <c r="KF37" s="25"/>
      <c r="KG37" s="25"/>
      <c r="KH37" s="110"/>
      <c r="KI37" s="110"/>
      <c r="KJ37" s="25"/>
      <c r="KK37" s="25"/>
      <c r="KL37" s="25"/>
      <c r="KM37" s="25"/>
      <c r="KN37" s="25"/>
      <c r="KO37" s="110"/>
      <c r="KP37" s="110"/>
      <c r="KQ37" s="25"/>
      <c r="KR37" s="25"/>
      <c r="KS37" s="25"/>
      <c r="KT37" s="25"/>
      <c r="KU37" s="25"/>
      <c r="KV37" s="110"/>
      <c r="KW37" s="110"/>
      <c r="KX37" s="25"/>
      <c r="KY37" s="25"/>
      <c r="KZ37" s="25"/>
      <c r="LA37" s="25"/>
      <c r="LB37" s="25"/>
      <c r="LC37" s="110"/>
      <c r="LD37" s="110"/>
      <c r="LE37" s="25"/>
      <c r="LF37" s="25"/>
      <c r="LG37" s="110" t="s">
        <v>445</v>
      </c>
      <c r="LH37" s="25"/>
      <c r="LI37" s="25"/>
      <c r="LJ37" s="110"/>
      <c r="LK37" s="110"/>
      <c r="LL37" s="25"/>
      <c r="LM37" s="25"/>
      <c r="LN37" s="25"/>
      <c r="LO37" s="25"/>
      <c r="LP37" s="25"/>
      <c r="LQ37" s="110"/>
      <c r="LR37" s="110"/>
      <c r="LS37" s="25"/>
      <c r="LT37" s="25"/>
      <c r="LU37" s="25"/>
      <c r="LV37" s="25"/>
      <c r="LW37" s="25"/>
      <c r="LX37" s="110"/>
      <c r="LY37" s="110"/>
      <c r="LZ37" s="25"/>
      <c r="MA37" s="25"/>
      <c r="MB37" s="25"/>
      <c r="MC37" s="25"/>
      <c r="MD37" s="25"/>
      <c r="ME37" s="110"/>
      <c r="MF37" s="110"/>
      <c r="MG37" s="25"/>
      <c r="MH37" s="25"/>
      <c r="MI37" s="25"/>
      <c r="MJ37" s="25"/>
      <c r="MK37" s="25"/>
      <c r="ML37" s="110"/>
      <c r="MM37" s="110"/>
      <c r="MN37" s="25"/>
      <c r="MO37" s="25"/>
      <c r="MP37" s="25"/>
      <c r="MQ37" s="25"/>
      <c r="MR37" s="25"/>
      <c r="MS37" s="110"/>
      <c r="MT37" s="110"/>
      <c r="MU37" s="25"/>
      <c r="MV37" s="25"/>
      <c r="MW37" s="25"/>
      <c r="MX37" s="25"/>
      <c r="MY37" s="25"/>
      <c r="MZ37" s="110"/>
      <c r="NA37" s="110"/>
      <c r="NB37" s="25"/>
      <c r="NC37" s="25"/>
      <c r="ND37" s="25"/>
      <c r="NE37" s="129"/>
      <c r="NF37" s="111"/>
      <c r="NG37" s="8">
        <f t="shared" si="0"/>
        <v>0</v>
      </c>
      <c r="NH37" s="351" cm="1">
        <f t="array" ref="NH37">NETWORKDAYS($I$2,$AH$2)- SUM(COUNTIF(I37:AH37,{"I";"F";"CP";"R";"P";"AC";"AM"}))</f>
        <v>20</v>
      </c>
      <c r="NI37" s="138">
        <f t="shared" si="12"/>
        <v>0</v>
      </c>
      <c r="NJ37" s="8">
        <f t="shared" si="1"/>
        <v>0</v>
      </c>
      <c r="NK37" s="351" cm="1">
        <f t="array" ref="NK37">NETWORKDAYS($AJ$2,$BK$2)- SUM(COUNTIF(AJ37:BK37,{"I";"F";"CP";"R";"P";"AC";"AM"}))</f>
        <v>20</v>
      </c>
      <c r="NL37" s="138">
        <f t="shared" si="13"/>
        <v>0</v>
      </c>
      <c r="NM37" s="8">
        <f t="shared" si="2"/>
        <v>0</v>
      </c>
      <c r="NN37" s="351" cm="1">
        <f t="array" ref="NN37">NETWORKDAYS($BL$2,$CP$2)- SUM(COUNTIF(BL37:CP37,{"I";"F";"CP";"R";"P";"AC";"AM"}))</f>
        <v>22</v>
      </c>
      <c r="NO37" s="138">
        <f t="shared" si="14"/>
        <v>0</v>
      </c>
      <c r="NP37" s="8">
        <f t="shared" si="3"/>
        <v>0</v>
      </c>
      <c r="NQ37" s="351" cm="1">
        <f t="array" ref="NQ37">NETWORKDAYS($CQ$2,$DT$2,$CV$2)- SUM(COUNTIF(CQ37:DT37,{"I";"F";"CP";"R";"P";"AC";"AM"}))</f>
        <v>21</v>
      </c>
      <c r="NR37" s="138">
        <f t="shared" si="15"/>
        <v>0</v>
      </c>
      <c r="NS37" s="8">
        <f t="shared" si="4"/>
        <v>0</v>
      </c>
      <c r="NT37" s="351" cm="1">
        <f t="array" ref="NT37">NETWORKDAYS($DV$2,$EY$2)-SUM(COUNTIF(DV37:EY37,{"I";"F";"CP";"R";"P";"AC";"AM"}))</f>
        <v>16</v>
      </c>
      <c r="NU37" s="138">
        <f t="shared" si="16"/>
        <v>0</v>
      </c>
      <c r="NV37" s="8">
        <f t="shared" si="27"/>
        <v>0</v>
      </c>
      <c r="NW37" s="351" cm="1">
        <f t="array" ref="NW37">NETWORKDAYS($EZ$2,$GC$2)-SUM(COUNTIF(EZ37:GC37,{"I";"F";"CP";"R";"P";"AC";"AM"}))</f>
        <v>22</v>
      </c>
      <c r="NX37" s="138">
        <f t="shared" si="28"/>
        <v>0</v>
      </c>
      <c r="NY37" s="8">
        <f t="shared" si="29"/>
        <v>0</v>
      </c>
      <c r="NZ37" s="351" cm="1">
        <f t="array" ref="NZ37">NETWORKDAYS($GD$2,$HH$2,$GQ$2)-SUM(COUNTIF(GD37:HH37,{"I";"F";"CP";"R";"P";"AC";"AM"}))</f>
        <v>21</v>
      </c>
      <c r="OA37" s="138">
        <f t="shared" si="30"/>
        <v>0</v>
      </c>
      <c r="OB37" s="8">
        <f t="shared" si="31"/>
        <v>0</v>
      </c>
      <c r="OC37" s="351" cm="1">
        <f t="array" ref="OC37">NETWORKDAYS($HI$2,$IM$2)-SUM(COUNTIF(HI37:IM37,{"I";"F";"CP";"R";"P";"AC";"AM"}))</f>
        <v>21</v>
      </c>
      <c r="OD37" s="138">
        <f t="shared" si="32"/>
        <v>0</v>
      </c>
      <c r="OE37" s="8">
        <f t="shared" si="33"/>
        <v>0</v>
      </c>
      <c r="OF37" s="351" cm="1">
        <f t="array" ref="OF37">NETWORKDAYS($IN$2,$JQ$2)-SUM(COUNTIF(IN37:JQ37,{"I";"F";"CP";"R";"P";"AC";"AM"}))</f>
        <v>22</v>
      </c>
      <c r="OG37" s="138">
        <f t="shared" si="34"/>
        <v>0</v>
      </c>
      <c r="OH37" s="8">
        <f t="shared" si="35"/>
        <v>0</v>
      </c>
      <c r="OI37" s="351" cm="1">
        <f t="array" ref="OI37">NETWORKDAYS($JR$2,$KV$2)-SUM(COUNTIF(JR37:KV37,{"I";"F";"CP";"R";"P";"AC";"AM"}))</f>
        <v>22</v>
      </c>
      <c r="OJ37" s="138">
        <f t="shared" si="36"/>
        <v>0</v>
      </c>
      <c r="OK37" s="8">
        <f t="shared" si="37"/>
        <v>0</v>
      </c>
      <c r="OL37" s="351" cm="1">
        <f t="array" ref="OL37">NETWORKDAYS($KW$2,$LZ$2,$LG$2)-SUM(COUNTIF(KW37:LZ37,{"I";"F";"CP";"R";"P";"AC";"AM"}))</f>
        <v>19</v>
      </c>
      <c r="OM37" s="138">
        <f t="shared" si="38"/>
        <v>0</v>
      </c>
      <c r="ON37" s="8">
        <f t="shared" si="39"/>
        <v>0</v>
      </c>
      <c r="OO37" s="351" cm="1">
        <f t="array" ref="OO37">NETWORKDAYS($MA$2,$MR$2)-SUM(COUNTIF(MA37:MR37,{"I";"F";"CP";"R";"P";"AC";"AM"}))</f>
        <v>14</v>
      </c>
      <c r="OP37" s="138">
        <f t="shared" si="40"/>
        <v>0</v>
      </c>
      <c r="OQ37" s="94">
        <f t="shared" si="41"/>
        <v>0</v>
      </c>
      <c r="OR37" s="94">
        <f t="shared" si="42"/>
        <v>240</v>
      </c>
      <c r="OS37" s="138">
        <f t="shared" si="43"/>
        <v>0</v>
      </c>
    </row>
    <row r="38" spans="1:409" ht="18" customHeight="1" x14ac:dyDescent="0.25">
      <c r="A38" s="95" t="s">
        <v>181</v>
      </c>
      <c r="B38" s="95" t="s">
        <v>34</v>
      </c>
      <c r="C38" s="89" t="s">
        <v>160</v>
      </c>
      <c r="D38" s="89" t="s">
        <v>206</v>
      </c>
      <c r="E38" s="128"/>
      <c r="F38" s="110"/>
      <c r="G38" s="110"/>
      <c r="H38" s="110"/>
      <c r="I38" s="25">
        <v>1</v>
      </c>
      <c r="J38" s="25">
        <v>1</v>
      </c>
      <c r="K38" s="25" t="s">
        <v>449</v>
      </c>
      <c r="L38" s="25" t="s">
        <v>449</v>
      </c>
      <c r="M38" s="25" t="s">
        <v>223</v>
      </c>
      <c r="N38" s="110"/>
      <c r="O38" s="110"/>
      <c r="P38" s="25">
        <v>1</v>
      </c>
      <c r="Q38" s="25">
        <v>1</v>
      </c>
      <c r="R38" s="25">
        <v>1</v>
      </c>
      <c r="S38" s="25">
        <v>1</v>
      </c>
      <c r="T38" s="25">
        <v>1</v>
      </c>
      <c r="U38" s="110"/>
      <c r="V38" s="110"/>
      <c r="W38" s="25">
        <v>1</v>
      </c>
      <c r="X38" s="25">
        <v>1</v>
      </c>
      <c r="Y38" s="25" t="s">
        <v>447</v>
      </c>
      <c r="Z38" s="25" t="s">
        <v>447</v>
      </c>
      <c r="AA38" s="25">
        <v>1</v>
      </c>
      <c r="AB38" s="110"/>
      <c r="AC38" s="110"/>
      <c r="AD38" s="25">
        <v>1</v>
      </c>
      <c r="AE38" s="25">
        <v>1</v>
      </c>
      <c r="AF38" s="25">
        <v>1</v>
      </c>
      <c r="AG38" s="25">
        <v>1</v>
      </c>
      <c r="AH38" s="25">
        <v>1</v>
      </c>
      <c r="AI38" s="110"/>
      <c r="AJ38" s="110"/>
      <c r="AK38" s="25">
        <v>1</v>
      </c>
      <c r="AL38" s="25">
        <v>1</v>
      </c>
      <c r="AM38" s="25">
        <v>1</v>
      </c>
      <c r="AN38" s="25">
        <v>1</v>
      </c>
      <c r="AO38" s="25">
        <v>1</v>
      </c>
      <c r="AP38" s="110"/>
      <c r="AQ38" s="110"/>
      <c r="AR38" s="25">
        <v>1</v>
      </c>
      <c r="AS38" s="25" t="s">
        <v>449</v>
      </c>
      <c r="AT38" s="25">
        <v>1</v>
      </c>
      <c r="AV38" s="25">
        <v>1</v>
      </c>
      <c r="AW38" s="110"/>
      <c r="AX38" s="110"/>
      <c r="AY38" s="25">
        <v>1</v>
      </c>
      <c r="AZ38" s="25">
        <v>1</v>
      </c>
      <c r="BA38" s="25" t="s">
        <v>445</v>
      </c>
      <c r="BB38" s="25" t="s">
        <v>445</v>
      </c>
      <c r="BC38" s="25" t="s">
        <v>445</v>
      </c>
      <c r="BD38" s="110"/>
      <c r="BE38" s="110"/>
      <c r="BF38" s="25">
        <v>1</v>
      </c>
      <c r="BG38" s="25">
        <v>1</v>
      </c>
      <c r="BH38" s="25">
        <v>1</v>
      </c>
      <c r="BI38" s="25">
        <v>1</v>
      </c>
      <c r="BJ38" s="25">
        <v>1</v>
      </c>
      <c r="BK38" s="110"/>
      <c r="BL38" s="110"/>
      <c r="BM38" s="25">
        <v>1</v>
      </c>
      <c r="BN38" s="25">
        <v>1</v>
      </c>
      <c r="BO38" s="25">
        <v>1</v>
      </c>
      <c r="BP38" s="25">
        <v>1</v>
      </c>
      <c r="BQ38" s="25">
        <v>1</v>
      </c>
      <c r="BR38" s="110"/>
      <c r="BS38" s="110"/>
      <c r="BT38" s="25">
        <v>1</v>
      </c>
      <c r="BU38" s="25">
        <v>1</v>
      </c>
      <c r="BV38" s="25">
        <v>1</v>
      </c>
      <c r="BW38" s="25">
        <v>1</v>
      </c>
      <c r="BX38" s="25"/>
      <c r="BY38" s="110"/>
      <c r="BZ38" s="110"/>
      <c r="CA38" s="25">
        <v>1</v>
      </c>
      <c r="CB38" s="25">
        <v>1</v>
      </c>
      <c r="CC38" s="25">
        <v>1</v>
      </c>
      <c r="CD38" s="25"/>
      <c r="CE38" s="25">
        <v>1</v>
      </c>
      <c r="CF38" s="110"/>
      <c r="CG38" s="110"/>
      <c r="CH38" s="25">
        <v>1</v>
      </c>
      <c r="CI38" s="25">
        <v>1</v>
      </c>
      <c r="CJ38" s="25">
        <v>1</v>
      </c>
      <c r="CK38" s="25">
        <v>1</v>
      </c>
      <c r="CL38" s="25">
        <v>1</v>
      </c>
      <c r="CM38" s="110"/>
      <c r="CN38" s="110"/>
      <c r="CO38" s="25">
        <v>1</v>
      </c>
      <c r="CP38" s="25">
        <v>1</v>
      </c>
      <c r="CQ38" s="25">
        <v>1</v>
      </c>
      <c r="CR38" s="25">
        <v>1</v>
      </c>
      <c r="CS38" s="25">
        <v>1</v>
      </c>
      <c r="CT38" s="110"/>
      <c r="CU38" s="110"/>
      <c r="CV38" s="110"/>
      <c r="CW38" s="25">
        <v>1</v>
      </c>
      <c r="CX38" s="25">
        <v>1</v>
      </c>
      <c r="CY38" s="25">
        <v>1</v>
      </c>
      <c r="CZ38" s="25">
        <v>1</v>
      </c>
      <c r="DA38" s="110"/>
      <c r="DB38" s="110"/>
      <c r="DC38" s="25">
        <v>1</v>
      </c>
      <c r="DD38" s="25">
        <v>1</v>
      </c>
      <c r="DE38" s="25">
        <v>1</v>
      </c>
      <c r="DF38" s="25">
        <v>1</v>
      </c>
      <c r="DG38" s="25">
        <v>1</v>
      </c>
      <c r="DH38" s="110"/>
      <c r="DI38" s="110"/>
      <c r="DJ38" s="25" t="s">
        <v>223</v>
      </c>
      <c r="DK38" s="25" t="s">
        <v>223</v>
      </c>
      <c r="DL38" s="25" t="s">
        <v>223</v>
      </c>
      <c r="DM38" s="25" t="s">
        <v>223</v>
      </c>
      <c r="DN38" s="25" t="s">
        <v>223</v>
      </c>
      <c r="DO38" s="110"/>
      <c r="DP38" s="110"/>
      <c r="DQ38" s="25" t="s">
        <v>223</v>
      </c>
      <c r="DR38" s="25" t="s">
        <v>223</v>
      </c>
      <c r="DS38" s="25" t="s">
        <v>223</v>
      </c>
      <c r="DT38" s="25" t="s">
        <v>223</v>
      </c>
      <c r="DU38" s="110" t="s">
        <v>445</v>
      </c>
      <c r="DV38" s="110"/>
      <c r="DW38" s="110"/>
      <c r="DX38" s="25" t="s">
        <v>223</v>
      </c>
      <c r="DY38" s="25" t="s">
        <v>223</v>
      </c>
      <c r="DZ38" s="25" t="s">
        <v>223</v>
      </c>
      <c r="EA38" s="25" t="s">
        <v>223</v>
      </c>
      <c r="EB38" s="110" t="s">
        <v>445</v>
      </c>
      <c r="EC38" s="110"/>
      <c r="ED38" s="110"/>
      <c r="EE38" s="25" t="s">
        <v>223</v>
      </c>
      <c r="EF38" s="25" t="s">
        <v>223</v>
      </c>
      <c r="EG38" s="25" t="s">
        <v>223</v>
      </c>
      <c r="EH38" s="110" t="s">
        <v>445</v>
      </c>
      <c r="EI38" s="110" t="s">
        <v>445</v>
      </c>
      <c r="EJ38" s="110"/>
      <c r="EK38" s="110"/>
      <c r="EL38" s="25">
        <v>1</v>
      </c>
      <c r="EM38" s="25"/>
      <c r="EN38" s="25"/>
      <c r="EO38" s="25"/>
      <c r="EP38" s="25"/>
      <c r="EQ38" s="110"/>
      <c r="ER38" s="110"/>
      <c r="ES38" s="110" t="s">
        <v>445</v>
      </c>
      <c r="ET38" s="25"/>
      <c r="EU38" s="25"/>
      <c r="EV38" s="25"/>
      <c r="EW38" s="25"/>
      <c r="EX38" s="110"/>
      <c r="EY38" s="110"/>
      <c r="EZ38" s="25"/>
      <c r="FA38" s="25"/>
      <c r="FB38" s="25"/>
      <c r="FC38" s="25"/>
      <c r="FD38" s="25"/>
      <c r="FE38" s="110"/>
      <c r="FF38" s="110"/>
      <c r="FG38" s="25"/>
      <c r="FH38" s="25"/>
      <c r="FI38" s="25"/>
      <c r="FJ38" s="25"/>
      <c r="FK38" s="25"/>
      <c r="FL38" s="110"/>
      <c r="FM38" s="110"/>
      <c r="FN38" s="25"/>
      <c r="FO38" s="25"/>
      <c r="FP38" s="25"/>
      <c r="FQ38" s="25"/>
      <c r="FR38" s="25"/>
      <c r="FS38" s="110"/>
      <c r="FT38" s="110"/>
      <c r="FU38" s="25"/>
      <c r="FV38" s="25"/>
      <c r="FW38" s="25"/>
      <c r="FX38" s="25"/>
      <c r="FY38" s="25"/>
      <c r="FZ38" s="110"/>
      <c r="GA38" s="110"/>
      <c r="GB38" s="25"/>
      <c r="GC38" s="25"/>
      <c r="GD38" s="25"/>
      <c r="GE38" s="25"/>
      <c r="GF38" s="25"/>
      <c r="GG38" s="110"/>
      <c r="GH38" s="110"/>
      <c r="GI38" s="25"/>
      <c r="GJ38" s="25"/>
      <c r="GK38" s="25"/>
      <c r="GL38" s="25"/>
      <c r="GM38" s="25"/>
      <c r="GN38" s="110"/>
      <c r="GO38" s="110"/>
      <c r="GP38" s="110" t="s">
        <v>445</v>
      </c>
      <c r="GQ38" s="110"/>
      <c r="GR38" s="25"/>
      <c r="GS38" s="25"/>
      <c r="GT38" s="25"/>
      <c r="GU38" s="110"/>
      <c r="GV38" s="110"/>
      <c r="GW38" s="25"/>
      <c r="GX38" s="25"/>
      <c r="GY38" s="25"/>
      <c r="GZ38" s="25"/>
      <c r="HA38" s="25"/>
      <c r="HB38" s="110"/>
      <c r="HC38" s="110"/>
      <c r="HD38" s="25"/>
      <c r="HE38" s="25"/>
      <c r="HF38" s="25"/>
      <c r="HG38" s="25"/>
      <c r="HH38" s="25"/>
      <c r="HI38" s="110"/>
      <c r="HJ38" s="110"/>
      <c r="HK38" s="25"/>
      <c r="HL38" s="25"/>
      <c r="HM38" s="25"/>
      <c r="HN38" s="25"/>
      <c r="HO38" s="25"/>
      <c r="HP38" s="110"/>
      <c r="HQ38" s="110"/>
      <c r="HR38" s="25"/>
      <c r="HS38" s="25"/>
      <c r="HT38" s="25"/>
      <c r="HU38" s="25"/>
      <c r="HV38" s="25"/>
      <c r="HW38" s="110"/>
      <c r="HX38" s="110"/>
      <c r="HY38" s="25"/>
      <c r="HZ38" s="25"/>
      <c r="IA38" s="25"/>
      <c r="IB38" s="25"/>
      <c r="IC38" s="25"/>
      <c r="ID38" s="110"/>
      <c r="IE38" s="110"/>
      <c r="IF38" s="25"/>
      <c r="IG38" s="25"/>
      <c r="IH38" s="25"/>
      <c r="II38" s="25"/>
      <c r="IJ38" s="25"/>
      <c r="IK38" s="110"/>
      <c r="IL38" s="110"/>
      <c r="IM38" s="25"/>
      <c r="IN38" s="25"/>
      <c r="IO38" s="25"/>
      <c r="IP38" s="25"/>
      <c r="IQ38" s="25"/>
      <c r="IR38" s="110"/>
      <c r="IS38" s="110"/>
      <c r="IT38" s="25"/>
      <c r="IU38" s="25"/>
      <c r="IV38" s="25"/>
      <c r="IW38" s="25"/>
      <c r="IX38" s="25"/>
      <c r="IY38" s="110"/>
      <c r="IZ38" s="110"/>
      <c r="JA38" s="25"/>
      <c r="JB38" s="25"/>
      <c r="JC38" s="25"/>
      <c r="JD38" s="25"/>
      <c r="JE38" s="25"/>
      <c r="JF38" s="110"/>
      <c r="JG38" s="110"/>
      <c r="JH38" s="25"/>
      <c r="JI38" s="25"/>
      <c r="JJ38" s="25"/>
      <c r="JK38" s="25"/>
      <c r="JL38" s="25"/>
      <c r="JM38" s="110"/>
      <c r="JN38" s="110"/>
      <c r="JO38" s="25"/>
      <c r="JP38" s="25"/>
      <c r="JQ38" s="25"/>
      <c r="JR38" s="25"/>
      <c r="JS38" s="25"/>
      <c r="JT38" s="110"/>
      <c r="JU38" s="110"/>
      <c r="JV38" s="25"/>
      <c r="JW38" s="25"/>
      <c r="JX38" s="25"/>
      <c r="JY38" s="25"/>
      <c r="JZ38" s="25"/>
      <c r="KA38" s="110"/>
      <c r="KB38" s="110"/>
      <c r="KC38" s="25"/>
      <c r="KD38" s="25"/>
      <c r="KE38" s="25"/>
      <c r="KF38" s="25"/>
      <c r="KG38" s="25"/>
      <c r="KH38" s="110"/>
      <c r="KI38" s="110"/>
      <c r="KJ38" s="25"/>
      <c r="KK38" s="25"/>
      <c r="KL38" s="25"/>
      <c r="KM38" s="25"/>
      <c r="KN38" s="25"/>
      <c r="KO38" s="110"/>
      <c r="KP38" s="110"/>
      <c r="KQ38" s="25"/>
      <c r="KR38" s="25"/>
      <c r="KS38" s="25"/>
      <c r="KT38" s="25"/>
      <c r="KU38" s="25"/>
      <c r="KV38" s="110"/>
      <c r="KW38" s="110"/>
      <c r="KX38" s="25"/>
      <c r="KY38" s="25"/>
      <c r="KZ38" s="25"/>
      <c r="LA38" s="25"/>
      <c r="LB38" s="25"/>
      <c r="LC38" s="110"/>
      <c r="LD38" s="110"/>
      <c r="LE38" s="25"/>
      <c r="LF38" s="25"/>
      <c r="LG38" s="110" t="s">
        <v>445</v>
      </c>
      <c r="LH38" s="25"/>
      <c r="LI38" s="25"/>
      <c r="LJ38" s="110"/>
      <c r="LK38" s="110"/>
      <c r="LL38" s="25"/>
      <c r="LM38" s="25"/>
      <c r="LN38" s="25"/>
      <c r="LO38" s="25"/>
      <c r="LP38" s="25"/>
      <c r="LQ38" s="110"/>
      <c r="LR38" s="110"/>
      <c r="LS38" s="25"/>
      <c r="LT38" s="25"/>
      <c r="LU38" s="25"/>
      <c r="LV38" s="25"/>
      <c r="LW38" s="25"/>
      <c r="LX38" s="110"/>
      <c r="LY38" s="110"/>
      <c r="LZ38" s="25"/>
      <c r="MA38" s="25"/>
      <c r="MB38" s="25"/>
      <c r="MC38" s="25"/>
      <c r="MD38" s="25"/>
      <c r="ME38" s="110"/>
      <c r="MF38" s="110"/>
      <c r="MG38" s="25"/>
      <c r="MH38" s="25"/>
      <c r="MI38" s="25"/>
      <c r="MJ38" s="25"/>
      <c r="MK38" s="25"/>
      <c r="ML38" s="110"/>
      <c r="MM38" s="110"/>
      <c r="MN38" s="25"/>
      <c r="MO38" s="25"/>
      <c r="MP38" s="25"/>
      <c r="MQ38" s="25"/>
      <c r="MR38" s="25"/>
      <c r="MS38" s="110"/>
      <c r="MT38" s="110"/>
      <c r="MU38" s="25"/>
      <c r="MV38" s="25"/>
      <c r="MW38" s="25"/>
      <c r="MX38" s="25"/>
      <c r="MY38" s="25"/>
      <c r="MZ38" s="110"/>
      <c r="NA38" s="110"/>
      <c r="NB38" s="25"/>
      <c r="NC38" s="25"/>
      <c r="ND38" s="25"/>
      <c r="NE38" s="129"/>
      <c r="NF38" s="111"/>
      <c r="NG38" s="8">
        <f t="shared" si="0"/>
        <v>15</v>
      </c>
      <c r="NH38" s="351" cm="1">
        <f t="array" ref="NH38">NETWORKDAYS($I$2,$AH$2)- SUM(COUNTIF(I38:AH38,{"I";"F";"CP";"R";"P";"AC";"AM"}))</f>
        <v>15</v>
      </c>
      <c r="NI38" s="138">
        <f t="shared" si="12"/>
        <v>1</v>
      </c>
      <c r="NJ38" s="8">
        <f t="shared" si="1"/>
        <v>15</v>
      </c>
      <c r="NK38" s="351" cm="1">
        <f t="array" ref="NK38">NETWORKDAYS($AJ$2,$BK$2)- SUM(COUNTIF(AJ38:BK38,{"I";"F";"CP";"R";"P";"AC";"AM"}))</f>
        <v>16</v>
      </c>
      <c r="NL38" s="138">
        <f t="shared" si="13"/>
        <v>0.9375</v>
      </c>
      <c r="NM38" s="8">
        <f t="shared" si="2"/>
        <v>20</v>
      </c>
      <c r="NN38" s="351" cm="1">
        <f t="array" ref="NN38">NETWORKDAYS($BL$2,$CP$2)- SUM(COUNTIF(BL38:CP38,{"I";"F";"CP";"R";"P";"AC";"AM"}))</f>
        <v>22</v>
      </c>
      <c r="NO38" s="138">
        <f t="shared" si="14"/>
        <v>0.90909090909090906</v>
      </c>
      <c r="NP38" s="8">
        <f t="shared" si="3"/>
        <v>12</v>
      </c>
      <c r="NQ38" s="351" cm="1">
        <f t="array" ref="NQ38">NETWORKDAYS($CQ$2,$DT$2,$CV$2)- SUM(COUNTIF(CQ38:DT38,{"I";"F";"CP";"R";"P";"AC";"AM"}))</f>
        <v>12</v>
      </c>
      <c r="NR38" s="138">
        <f t="shared" si="15"/>
        <v>1</v>
      </c>
      <c r="NS38" s="8">
        <f t="shared" si="4"/>
        <v>1</v>
      </c>
      <c r="NT38" s="351" cm="1">
        <f t="array" ref="NT38">NETWORKDAYS($DV$2,$EY$2)-SUM(COUNTIF(DV38:EY38,{"I";"F";"CP";"R";"P";"AC";"AM"}))</f>
        <v>9</v>
      </c>
      <c r="NU38" s="138">
        <f t="shared" si="16"/>
        <v>0.1111111111111111</v>
      </c>
      <c r="NV38" s="8">
        <f t="shared" si="27"/>
        <v>0</v>
      </c>
      <c r="NW38" s="351" cm="1">
        <f t="array" ref="NW38">NETWORKDAYS($EZ$2,$GC$2)-SUM(COUNTIF(EZ38:GC38,{"I";"F";"CP";"R";"P";"AC";"AM"}))</f>
        <v>22</v>
      </c>
      <c r="NX38" s="138">
        <f t="shared" si="28"/>
        <v>0</v>
      </c>
      <c r="NY38" s="8">
        <f t="shared" si="29"/>
        <v>0</v>
      </c>
      <c r="NZ38" s="351" cm="1">
        <f t="array" ref="NZ38">NETWORKDAYS($GD$2,$HH$2,$GQ$2)-SUM(COUNTIF(GD38:HH38,{"I";"F";"CP";"R";"P";"AC";"AM"}))</f>
        <v>21</v>
      </c>
      <c r="OA38" s="138">
        <f t="shared" si="30"/>
        <v>0</v>
      </c>
      <c r="OB38" s="8">
        <f t="shared" si="31"/>
        <v>0</v>
      </c>
      <c r="OC38" s="351" cm="1">
        <f t="array" ref="OC38">NETWORKDAYS($HI$2,$IM$2)-SUM(COUNTIF(HI38:IM38,{"I";"F";"CP";"R";"P";"AC";"AM"}))</f>
        <v>21</v>
      </c>
      <c r="OD38" s="138">
        <f t="shared" si="32"/>
        <v>0</v>
      </c>
      <c r="OE38" s="8">
        <f t="shared" si="33"/>
        <v>0</v>
      </c>
      <c r="OF38" s="351" cm="1">
        <f t="array" ref="OF38">NETWORKDAYS($IN$2,$JQ$2)-SUM(COUNTIF(IN38:JQ38,{"I";"F";"CP";"R";"P";"AC";"AM"}))</f>
        <v>22</v>
      </c>
      <c r="OG38" s="138">
        <f t="shared" si="34"/>
        <v>0</v>
      </c>
      <c r="OH38" s="8">
        <f t="shared" si="35"/>
        <v>0</v>
      </c>
      <c r="OI38" s="351" cm="1">
        <f t="array" ref="OI38">NETWORKDAYS($JR$2,$KV$2)-SUM(COUNTIF(JR38:KV38,{"I";"F";"CP";"R";"P";"AC";"AM"}))</f>
        <v>22</v>
      </c>
      <c r="OJ38" s="138">
        <f t="shared" si="36"/>
        <v>0</v>
      </c>
      <c r="OK38" s="8">
        <f t="shared" si="37"/>
        <v>0</v>
      </c>
      <c r="OL38" s="351" cm="1">
        <f t="array" ref="OL38">NETWORKDAYS($KW$2,$LZ$2,$LG$2)-SUM(COUNTIF(KW38:LZ38,{"I";"F";"CP";"R";"P";"AC";"AM"}))</f>
        <v>19</v>
      </c>
      <c r="OM38" s="138">
        <f t="shared" si="38"/>
        <v>0</v>
      </c>
      <c r="ON38" s="8">
        <f t="shared" si="39"/>
        <v>0</v>
      </c>
      <c r="OO38" s="351" cm="1">
        <f t="array" ref="OO38">NETWORKDAYS($MA$2,$MR$2)-SUM(COUNTIF(MA38:MR38,{"I";"F";"CP";"R";"P";"AC";"AM"}))</f>
        <v>14</v>
      </c>
      <c r="OP38" s="138">
        <f t="shared" si="40"/>
        <v>0</v>
      </c>
      <c r="OQ38" s="94">
        <f t="shared" si="41"/>
        <v>63</v>
      </c>
      <c r="OR38" s="94">
        <f t="shared" si="42"/>
        <v>215</v>
      </c>
      <c r="OS38" s="138">
        <f t="shared" si="43"/>
        <v>0.2930232558139535</v>
      </c>
    </row>
    <row r="39" spans="1:409" ht="18" hidden="1" customHeight="1" x14ac:dyDescent="0.25">
      <c r="A39" s="93" t="s">
        <v>109</v>
      </c>
      <c r="B39" s="95" t="s">
        <v>34</v>
      </c>
      <c r="C39" s="89" t="s">
        <v>166</v>
      </c>
      <c r="D39" s="89" t="s">
        <v>210</v>
      </c>
      <c r="E39" s="128"/>
      <c r="F39" s="110"/>
      <c r="G39" s="110"/>
      <c r="H39" s="110"/>
      <c r="I39" s="25"/>
      <c r="J39" s="25">
        <v>1</v>
      </c>
      <c r="K39" s="25">
        <v>1</v>
      </c>
      <c r="L39" s="25">
        <v>1</v>
      </c>
      <c r="M39" s="25">
        <v>1</v>
      </c>
      <c r="N39" s="110"/>
      <c r="O39" s="110"/>
      <c r="P39" s="25"/>
      <c r="Q39" s="25">
        <v>1</v>
      </c>
      <c r="R39" s="25"/>
      <c r="S39" s="25">
        <v>1</v>
      </c>
      <c r="T39" s="25">
        <v>1</v>
      </c>
      <c r="U39" s="110"/>
      <c r="V39" s="110"/>
      <c r="W39" s="25"/>
      <c r="X39" s="25">
        <v>1</v>
      </c>
      <c r="Y39" s="25">
        <v>1</v>
      </c>
      <c r="Z39" s="25"/>
      <c r="AA39" s="25">
        <v>1</v>
      </c>
      <c r="AB39" s="110"/>
      <c r="AC39" s="110"/>
      <c r="AD39" s="25">
        <v>1</v>
      </c>
      <c r="AE39" s="25">
        <v>1</v>
      </c>
      <c r="AF39" s="25"/>
      <c r="AG39" s="25">
        <v>1</v>
      </c>
      <c r="AH39" s="25">
        <v>1</v>
      </c>
      <c r="AI39" s="110"/>
      <c r="AJ39" s="110"/>
      <c r="AK39" s="25">
        <v>1</v>
      </c>
      <c r="AL39" s="25"/>
      <c r="AM39" s="25"/>
      <c r="AN39" s="25">
        <v>1</v>
      </c>
      <c r="AO39" s="25"/>
      <c r="AP39" s="110"/>
      <c r="AQ39" s="110"/>
      <c r="AR39" s="25"/>
      <c r="AS39" s="25"/>
      <c r="AT39" s="25"/>
      <c r="AV39" s="25"/>
      <c r="AW39" s="110"/>
      <c r="AX39" s="110"/>
      <c r="AY39" s="25"/>
      <c r="AZ39" s="25"/>
      <c r="BA39" s="25">
        <v>1</v>
      </c>
      <c r="BB39" s="25"/>
      <c r="BC39" s="25"/>
      <c r="BD39" s="110"/>
      <c r="BE39" s="110"/>
      <c r="BF39" s="25"/>
      <c r="BG39" s="25"/>
      <c r="BH39" s="25"/>
      <c r="BI39" s="25"/>
      <c r="BJ39" s="25"/>
      <c r="BK39" s="110"/>
      <c r="BL39" s="110"/>
      <c r="BM39" s="25"/>
      <c r="BN39" s="25"/>
      <c r="BO39" s="25"/>
      <c r="BP39" s="25"/>
      <c r="BQ39" s="25"/>
      <c r="BR39" s="110"/>
      <c r="BS39" s="110"/>
      <c r="BT39" s="25"/>
      <c r="BU39" s="25"/>
      <c r="BV39" s="25"/>
      <c r="BW39" s="25"/>
      <c r="BX39" s="25"/>
      <c r="BY39" s="110"/>
      <c r="BZ39" s="110"/>
      <c r="CA39" s="25"/>
      <c r="CB39" s="25">
        <v>1</v>
      </c>
      <c r="CC39" s="25">
        <v>1</v>
      </c>
      <c r="CD39" s="25">
        <v>1</v>
      </c>
      <c r="CE39" s="25">
        <v>1</v>
      </c>
      <c r="CF39" s="110"/>
      <c r="CG39" s="110"/>
      <c r="CH39" s="25">
        <v>1</v>
      </c>
      <c r="CI39" s="25"/>
      <c r="CJ39" s="25"/>
      <c r="CK39" s="25">
        <v>1</v>
      </c>
      <c r="CL39" s="25">
        <v>1</v>
      </c>
      <c r="CM39" s="110"/>
      <c r="CN39" s="110"/>
      <c r="CO39" s="25">
        <v>1</v>
      </c>
      <c r="CP39" s="25">
        <v>1</v>
      </c>
      <c r="CQ39" s="25">
        <v>1</v>
      </c>
      <c r="CR39" s="25">
        <v>1</v>
      </c>
      <c r="CS39" s="25">
        <v>1</v>
      </c>
      <c r="CT39" s="110"/>
      <c r="CU39" s="110"/>
      <c r="CV39" s="110"/>
      <c r="CW39" s="25">
        <v>1</v>
      </c>
      <c r="CX39" s="25"/>
      <c r="CY39" s="25"/>
      <c r="CZ39" s="25">
        <v>1</v>
      </c>
      <c r="DA39" s="110"/>
      <c r="DB39" s="110"/>
      <c r="DC39" s="25">
        <v>1</v>
      </c>
      <c r="DD39" s="25"/>
      <c r="DE39" s="25"/>
      <c r="DF39" s="25"/>
      <c r="DG39" s="25"/>
      <c r="DH39" s="110"/>
      <c r="DI39" s="110"/>
      <c r="DJ39" s="25">
        <v>1</v>
      </c>
      <c r="DK39" s="25">
        <v>1</v>
      </c>
      <c r="DL39" s="25">
        <v>1</v>
      </c>
      <c r="DM39" s="25"/>
      <c r="DN39" s="25">
        <v>1</v>
      </c>
      <c r="DO39" s="110"/>
      <c r="DP39" s="110"/>
      <c r="DQ39" s="25"/>
      <c r="DR39" s="25">
        <v>1</v>
      </c>
      <c r="DS39" s="25">
        <v>1</v>
      </c>
      <c r="DT39" s="25"/>
      <c r="DU39" s="110" t="s">
        <v>445</v>
      </c>
      <c r="DV39" s="110"/>
      <c r="DW39" s="110"/>
      <c r="DX39" s="25"/>
      <c r="DY39" s="25"/>
      <c r="DZ39" s="25"/>
      <c r="EA39" s="25"/>
      <c r="EB39" s="110" t="s">
        <v>445</v>
      </c>
      <c r="EC39" s="110"/>
      <c r="ED39" s="110"/>
      <c r="EE39" s="25"/>
      <c r="EF39" s="25"/>
      <c r="EG39" s="25"/>
      <c r="EH39" s="110" t="s">
        <v>445</v>
      </c>
      <c r="EI39" s="110" t="s">
        <v>445</v>
      </c>
      <c r="EJ39" s="110"/>
      <c r="EK39" s="110"/>
      <c r="EL39" s="25"/>
      <c r="EM39" s="25"/>
      <c r="EN39" s="25"/>
      <c r="EO39" s="25"/>
      <c r="EP39" s="25"/>
      <c r="EQ39" s="110"/>
      <c r="ER39" s="110"/>
      <c r="ES39" s="110" t="s">
        <v>445</v>
      </c>
      <c r="ET39" s="25"/>
      <c r="EU39" s="25"/>
      <c r="EV39" s="25"/>
      <c r="EW39" s="25"/>
      <c r="EX39" s="110"/>
      <c r="EY39" s="110"/>
      <c r="EZ39" s="25"/>
      <c r="FA39" s="25"/>
      <c r="FB39" s="25"/>
      <c r="FC39" s="25"/>
      <c r="FD39" s="25"/>
      <c r="FE39" s="110"/>
      <c r="FF39" s="110"/>
      <c r="FG39" s="25"/>
      <c r="FH39" s="25"/>
      <c r="FI39" s="25"/>
      <c r="FJ39" s="25"/>
      <c r="FK39" s="25"/>
      <c r="FL39" s="110"/>
      <c r="FM39" s="110"/>
      <c r="FN39" s="25"/>
      <c r="FO39" s="25"/>
      <c r="FP39" s="25"/>
      <c r="FQ39" s="25"/>
      <c r="FR39" s="25"/>
      <c r="FS39" s="110"/>
      <c r="FT39" s="110"/>
      <c r="FU39" s="25"/>
      <c r="FV39" s="25"/>
      <c r="FW39" s="25"/>
      <c r="FX39" s="25"/>
      <c r="FY39" s="25"/>
      <c r="FZ39" s="110"/>
      <c r="GA39" s="110"/>
      <c r="GB39" s="25"/>
      <c r="GC39" s="25"/>
      <c r="GD39" s="25"/>
      <c r="GE39" s="25"/>
      <c r="GF39" s="25"/>
      <c r="GG39" s="110"/>
      <c r="GH39" s="110"/>
      <c r="GI39" s="25"/>
      <c r="GJ39" s="25"/>
      <c r="GK39" s="25"/>
      <c r="GL39" s="25"/>
      <c r="GM39" s="25"/>
      <c r="GN39" s="110"/>
      <c r="GO39" s="110"/>
      <c r="GP39" s="110" t="s">
        <v>445</v>
      </c>
      <c r="GQ39" s="110"/>
      <c r="GR39" s="25"/>
      <c r="GS39" s="25"/>
      <c r="GT39" s="25"/>
      <c r="GU39" s="110"/>
      <c r="GV39" s="110"/>
      <c r="GW39" s="25"/>
      <c r="GX39" s="25"/>
      <c r="GY39" s="25"/>
      <c r="GZ39" s="25"/>
      <c r="HA39" s="25"/>
      <c r="HB39" s="110"/>
      <c r="HC39" s="110"/>
      <c r="HD39" s="25"/>
      <c r="HE39" s="25"/>
      <c r="HF39" s="25"/>
      <c r="HG39" s="25"/>
      <c r="HH39" s="25"/>
      <c r="HI39" s="110"/>
      <c r="HJ39" s="110"/>
      <c r="HK39" s="25"/>
      <c r="HL39" s="25"/>
      <c r="HM39" s="25"/>
      <c r="HN39" s="25"/>
      <c r="HO39" s="25"/>
      <c r="HP39" s="110"/>
      <c r="HQ39" s="110"/>
      <c r="HR39" s="25"/>
      <c r="HS39" s="25"/>
      <c r="HT39" s="25"/>
      <c r="HU39" s="25"/>
      <c r="HV39" s="25"/>
      <c r="HW39" s="110"/>
      <c r="HX39" s="110"/>
      <c r="HY39" s="25"/>
      <c r="HZ39" s="25"/>
      <c r="IA39" s="25"/>
      <c r="IB39" s="25"/>
      <c r="IC39" s="25"/>
      <c r="ID39" s="110"/>
      <c r="IE39" s="110"/>
      <c r="IF39" s="25"/>
      <c r="IG39" s="25"/>
      <c r="IH39" s="25"/>
      <c r="II39" s="25"/>
      <c r="IJ39" s="25"/>
      <c r="IK39" s="110"/>
      <c r="IL39" s="110"/>
      <c r="IM39" s="25"/>
      <c r="IN39" s="25"/>
      <c r="IO39" s="25"/>
      <c r="IP39" s="25"/>
      <c r="IQ39" s="25"/>
      <c r="IR39" s="110"/>
      <c r="IS39" s="110"/>
      <c r="IT39" s="25"/>
      <c r="IU39" s="25"/>
      <c r="IV39" s="25"/>
      <c r="IW39" s="25"/>
      <c r="IX39" s="25"/>
      <c r="IY39" s="110"/>
      <c r="IZ39" s="110"/>
      <c r="JA39" s="25"/>
      <c r="JB39" s="25"/>
      <c r="JC39" s="25"/>
      <c r="JD39" s="25"/>
      <c r="JE39" s="25"/>
      <c r="JF39" s="110"/>
      <c r="JG39" s="110"/>
      <c r="JH39" s="25"/>
      <c r="JI39" s="25"/>
      <c r="JJ39" s="25"/>
      <c r="JK39" s="25"/>
      <c r="JL39" s="25"/>
      <c r="JM39" s="110"/>
      <c r="JN39" s="110"/>
      <c r="JO39" s="25"/>
      <c r="JP39" s="25"/>
      <c r="JQ39" s="25"/>
      <c r="JR39" s="25"/>
      <c r="JS39" s="25"/>
      <c r="JT39" s="110"/>
      <c r="JU39" s="110"/>
      <c r="JV39" s="25"/>
      <c r="JW39" s="25"/>
      <c r="JX39" s="25"/>
      <c r="JY39" s="25"/>
      <c r="JZ39" s="25"/>
      <c r="KA39" s="110"/>
      <c r="KB39" s="110"/>
      <c r="KC39" s="25"/>
      <c r="KD39" s="25"/>
      <c r="KE39" s="25"/>
      <c r="KF39" s="25"/>
      <c r="KG39" s="25"/>
      <c r="KH39" s="110"/>
      <c r="KI39" s="110"/>
      <c r="KJ39" s="25"/>
      <c r="KK39" s="25"/>
      <c r="KL39" s="25"/>
      <c r="KM39" s="25"/>
      <c r="KN39" s="25"/>
      <c r="KO39" s="110"/>
      <c r="KP39" s="110"/>
      <c r="KQ39" s="25"/>
      <c r="KR39" s="25"/>
      <c r="KS39" s="25"/>
      <c r="KT39" s="25"/>
      <c r="KU39" s="25"/>
      <c r="KV39" s="110"/>
      <c r="KW39" s="110"/>
      <c r="KX39" s="25"/>
      <c r="KY39" s="25"/>
      <c r="KZ39" s="25"/>
      <c r="LA39" s="25"/>
      <c r="LB39" s="25"/>
      <c r="LC39" s="110"/>
      <c r="LD39" s="110"/>
      <c r="LE39" s="25"/>
      <c r="LF39" s="25"/>
      <c r="LG39" s="110" t="s">
        <v>445</v>
      </c>
      <c r="LH39" s="25"/>
      <c r="LI39" s="25"/>
      <c r="LJ39" s="110"/>
      <c r="LK39" s="110"/>
      <c r="LL39" s="25"/>
      <c r="LM39" s="25"/>
      <c r="LN39" s="25"/>
      <c r="LO39" s="25"/>
      <c r="LP39" s="25"/>
      <c r="LQ39" s="110"/>
      <c r="LR39" s="110"/>
      <c r="LS39" s="25"/>
      <c r="LT39" s="25"/>
      <c r="LU39" s="25"/>
      <c r="LV39" s="25"/>
      <c r="LW39" s="25"/>
      <c r="LX39" s="110"/>
      <c r="LY39" s="110"/>
      <c r="LZ39" s="25"/>
      <c r="MA39" s="25"/>
      <c r="MB39" s="25"/>
      <c r="MC39" s="25"/>
      <c r="MD39" s="25"/>
      <c r="ME39" s="110"/>
      <c r="MF39" s="110"/>
      <c r="MG39" s="25"/>
      <c r="MH39" s="25"/>
      <c r="MI39" s="25"/>
      <c r="MJ39" s="25"/>
      <c r="MK39" s="25"/>
      <c r="ML39" s="110"/>
      <c r="MM39" s="110"/>
      <c r="MN39" s="25"/>
      <c r="MO39" s="25"/>
      <c r="MP39" s="25"/>
      <c r="MQ39" s="25"/>
      <c r="MR39" s="25"/>
      <c r="MS39" s="110"/>
      <c r="MT39" s="110"/>
      <c r="MU39" s="25"/>
      <c r="MV39" s="25"/>
      <c r="MW39" s="25"/>
      <c r="MX39" s="25"/>
      <c r="MY39" s="25"/>
      <c r="MZ39" s="110"/>
      <c r="NA39" s="110"/>
      <c r="NB39" s="25"/>
      <c r="NC39" s="25"/>
      <c r="ND39" s="25"/>
      <c r="NE39" s="129"/>
      <c r="NF39" s="111"/>
      <c r="NG39" s="8">
        <f t="shared" ref="NG39:NG71" si="45">SUM(E39:AI39)</f>
        <v>14</v>
      </c>
      <c r="NH39" s="351" cm="1">
        <f t="array" ref="NH39">NETWORKDAYS($I$2,$AH$2)- SUM(COUNTIF(I39:AH39,{"I";"F";"CP";"R";"P";"AC";"AM"}))</f>
        <v>20</v>
      </c>
      <c r="NI39" s="138">
        <f t="shared" si="12"/>
        <v>0.7</v>
      </c>
      <c r="NJ39" s="8">
        <f t="shared" ref="NJ39:NJ71" si="46">SUM(AJ39:BK39)</f>
        <v>3</v>
      </c>
      <c r="NK39" s="351" cm="1">
        <f t="array" ref="NK39">NETWORKDAYS($AJ$2,$BK$2)- SUM(COUNTIF(AJ39:BK39,{"I";"F";"CP";"R";"P";"AC";"AM"}))</f>
        <v>20</v>
      </c>
      <c r="NL39" s="138">
        <f t="shared" si="13"/>
        <v>0.15</v>
      </c>
      <c r="NM39" s="8">
        <f t="shared" ref="NM39:NM71" si="47">SUM(BM39:CP39)</f>
        <v>9</v>
      </c>
      <c r="NN39" s="351" cm="1">
        <f t="array" ref="NN39">NETWORKDAYS($BL$2,$CP$2)- SUM(COUNTIF(BL39:CP39,{"I";"F";"CP";"R";"P";"AC";"AM"}))</f>
        <v>22</v>
      </c>
      <c r="NO39" s="138">
        <f t="shared" si="14"/>
        <v>0.40909090909090912</v>
      </c>
      <c r="NP39" s="8">
        <f t="shared" ref="NP39:NP71" si="48">SUM(CQ39:DT39)</f>
        <v>12</v>
      </c>
      <c r="NQ39" s="351" cm="1">
        <f t="array" ref="NQ39">NETWORKDAYS($CQ$2,$DT$2,$CV$2)- SUM(COUNTIF(CQ39:DT39,{"I";"F";"CP";"R";"P";"AC";"AM"}))</f>
        <v>21</v>
      </c>
      <c r="NR39" s="138">
        <f t="shared" si="15"/>
        <v>0.5714285714285714</v>
      </c>
      <c r="NS39" s="8">
        <f t="shared" ref="NS39:NS71" si="49">SUM(DV39:EY39)</f>
        <v>0</v>
      </c>
      <c r="NT39" s="351" cm="1">
        <f t="array" ref="NT39">NETWORKDAYS($DV$2,$EY$2)-SUM(COUNTIF(DV39:EY39,{"I";"F";"CP";"R";"P";"AC";"AM"}))</f>
        <v>16</v>
      </c>
      <c r="NU39" s="138">
        <f t="shared" si="16"/>
        <v>0</v>
      </c>
      <c r="NV39" s="8">
        <f t="shared" si="27"/>
        <v>0</v>
      </c>
      <c r="NW39" s="351" cm="1">
        <f t="array" ref="NW39">NETWORKDAYS($EZ$2,$GC$2)-SUM(COUNTIF(EZ39:GC39,{"I";"F";"CP";"R";"P";"AC";"AM"}))</f>
        <v>22</v>
      </c>
      <c r="NX39" s="138">
        <f t="shared" si="28"/>
        <v>0</v>
      </c>
      <c r="NY39" s="8">
        <f t="shared" si="29"/>
        <v>0</v>
      </c>
      <c r="NZ39" s="351" cm="1">
        <f t="array" ref="NZ39">NETWORKDAYS($GD$2,$HH$2,$GQ$2)-SUM(COUNTIF(GD39:HH39,{"I";"F";"CP";"R";"P";"AC";"AM"}))</f>
        <v>21</v>
      </c>
      <c r="OA39" s="138">
        <f t="shared" si="30"/>
        <v>0</v>
      </c>
      <c r="OB39" s="8">
        <f t="shared" si="31"/>
        <v>0</v>
      </c>
      <c r="OC39" s="351" cm="1">
        <f t="array" ref="OC39">NETWORKDAYS($HI$2,$IM$2)-SUM(COUNTIF(HI39:IM39,{"I";"F";"CP";"R";"P";"AC";"AM"}))</f>
        <v>21</v>
      </c>
      <c r="OD39" s="138">
        <f t="shared" si="32"/>
        <v>0</v>
      </c>
      <c r="OE39" s="8">
        <f t="shared" si="33"/>
        <v>0</v>
      </c>
      <c r="OF39" s="351" cm="1">
        <f t="array" ref="OF39">NETWORKDAYS($IN$2,$JQ$2)-SUM(COUNTIF(IN39:JQ39,{"I";"F";"CP";"R";"P";"AC";"AM"}))</f>
        <v>22</v>
      </c>
      <c r="OG39" s="138">
        <f t="shared" si="34"/>
        <v>0</v>
      </c>
      <c r="OH39" s="8">
        <f t="shared" si="35"/>
        <v>0</v>
      </c>
      <c r="OI39" s="351" cm="1">
        <f t="array" ref="OI39">NETWORKDAYS($JR$2,$KV$2)-SUM(COUNTIF(JR39:KV39,{"I";"F";"CP";"R";"P";"AC";"AM"}))</f>
        <v>22</v>
      </c>
      <c r="OJ39" s="138">
        <f t="shared" si="36"/>
        <v>0</v>
      </c>
      <c r="OK39" s="8">
        <f t="shared" si="37"/>
        <v>0</v>
      </c>
      <c r="OL39" s="351" cm="1">
        <f t="array" ref="OL39">NETWORKDAYS($KW$2,$LZ$2,$LG$2)-SUM(COUNTIF(KW39:LZ39,{"I";"F";"CP";"R";"P";"AC";"AM"}))</f>
        <v>19</v>
      </c>
      <c r="OM39" s="138">
        <f t="shared" si="38"/>
        <v>0</v>
      </c>
      <c r="ON39" s="8">
        <f t="shared" si="39"/>
        <v>0</v>
      </c>
      <c r="OO39" s="351" cm="1">
        <f t="array" ref="OO39">NETWORKDAYS($MA$2,$MR$2)-SUM(COUNTIF(MA39:MR39,{"I";"F";"CP";"R";"P";"AC";"AM"}))</f>
        <v>14</v>
      </c>
      <c r="OP39" s="138">
        <f t="shared" si="40"/>
        <v>0</v>
      </c>
      <c r="OQ39" s="94">
        <f t="shared" si="41"/>
        <v>38</v>
      </c>
      <c r="OR39" s="94">
        <f t="shared" si="42"/>
        <v>240</v>
      </c>
      <c r="OS39" s="138">
        <f t="shared" si="43"/>
        <v>0.15833333333333333</v>
      </c>
    </row>
    <row r="40" spans="1:409" ht="18" customHeight="1" x14ac:dyDescent="0.25">
      <c r="A40" s="95" t="s">
        <v>181</v>
      </c>
      <c r="B40" s="95" t="s">
        <v>34</v>
      </c>
      <c r="C40" s="89" t="s">
        <v>160</v>
      </c>
      <c r="D40" s="89" t="s">
        <v>211</v>
      </c>
      <c r="E40" s="128"/>
      <c r="F40" s="110"/>
      <c r="G40" s="110"/>
      <c r="H40" s="110"/>
      <c r="I40" s="25" t="s">
        <v>223</v>
      </c>
      <c r="J40" s="25" t="s">
        <v>223</v>
      </c>
      <c r="K40" s="25" t="s">
        <v>223</v>
      </c>
      <c r="L40" s="25" t="s">
        <v>223</v>
      </c>
      <c r="M40" s="25" t="s">
        <v>223</v>
      </c>
      <c r="N40" s="110"/>
      <c r="O40" s="110"/>
      <c r="P40" s="25">
        <v>1</v>
      </c>
      <c r="Q40" s="25" t="s">
        <v>447</v>
      </c>
      <c r="R40" s="25" t="s">
        <v>447</v>
      </c>
      <c r="S40" s="25">
        <v>1</v>
      </c>
      <c r="T40" s="25"/>
      <c r="U40" s="110"/>
      <c r="V40" s="110"/>
      <c r="W40" s="25">
        <v>1</v>
      </c>
      <c r="X40" s="25">
        <v>1</v>
      </c>
      <c r="Y40" s="25">
        <v>1</v>
      </c>
      <c r="Z40" s="25" t="s">
        <v>447</v>
      </c>
      <c r="AA40" s="25" t="s">
        <v>447</v>
      </c>
      <c r="AB40" s="110"/>
      <c r="AC40" s="110"/>
      <c r="AD40" s="25">
        <v>1</v>
      </c>
      <c r="AE40" s="25" t="s">
        <v>447</v>
      </c>
      <c r="AF40" s="25"/>
      <c r="AG40" s="25"/>
      <c r="AH40" s="25">
        <v>1</v>
      </c>
      <c r="AI40" s="110"/>
      <c r="AJ40" s="110"/>
      <c r="AK40" s="25"/>
      <c r="AL40" s="25">
        <v>1</v>
      </c>
      <c r="AM40" s="25"/>
      <c r="AN40" s="25"/>
      <c r="AO40" s="25"/>
      <c r="AP40" s="110"/>
      <c r="AQ40" s="110"/>
      <c r="AR40" s="25">
        <v>1</v>
      </c>
      <c r="AS40" s="25" t="s">
        <v>223</v>
      </c>
      <c r="AT40" s="25" t="s">
        <v>447</v>
      </c>
      <c r="AV40" s="25" t="s">
        <v>223</v>
      </c>
      <c r="AW40" s="110"/>
      <c r="AX40" s="110"/>
      <c r="AY40" s="25"/>
      <c r="AZ40" s="25">
        <v>1</v>
      </c>
      <c r="BA40" s="25" t="s">
        <v>445</v>
      </c>
      <c r="BB40" s="25">
        <v>1</v>
      </c>
      <c r="BC40" s="25">
        <v>1</v>
      </c>
      <c r="BD40" s="110"/>
      <c r="BE40" s="110"/>
      <c r="BF40" s="25">
        <v>1</v>
      </c>
      <c r="BG40" s="25"/>
      <c r="BH40" s="25"/>
      <c r="BI40" s="25"/>
      <c r="BJ40" s="25"/>
      <c r="BK40" s="110"/>
      <c r="BL40" s="110"/>
      <c r="BM40" s="25">
        <v>1</v>
      </c>
      <c r="BN40" s="25"/>
      <c r="BO40" s="25">
        <v>1</v>
      </c>
      <c r="BP40" s="25">
        <v>1</v>
      </c>
      <c r="BQ40" s="25"/>
      <c r="BR40" s="110"/>
      <c r="BS40" s="110"/>
      <c r="BT40" s="25"/>
      <c r="BU40" s="25">
        <v>1</v>
      </c>
      <c r="BV40" s="25">
        <v>1</v>
      </c>
      <c r="BW40" s="25">
        <v>1</v>
      </c>
      <c r="BX40" s="25"/>
      <c r="BY40" s="110"/>
      <c r="BZ40" s="110"/>
      <c r="CA40" s="25"/>
      <c r="CB40" s="25">
        <v>1</v>
      </c>
      <c r="CC40" s="25"/>
      <c r="CD40" s="25"/>
      <c r="CE40" s="25">
        <v>1</v>
      </c>
      <c r="CF40" s="110"/>
      <c r="CG40" s="110"/>
      <c r="CH40" s="25">
        <v>1</v>
      </c>
      <c r="CI40" s="25">
        <v>1</v>
      </c>
      <c r="CJ40" s="25"/>
      <c r="CK40" s="25">
        <v>1</v>
      </c>
      <c r="CL40" s="25"/>
      <c r="CM40" s="110"/>
      <c r="CN40" s="110"/>
      <c r="CO40" s="25"/>
      <c r="CP40" s="25"/>
      <c r="CQ40" s="25">
        <v>1</v>
      </c>
      <c r="CR40" s="25"/>
      <c r="CS40" s="25"/>
      <c r="CT40" s="110"/>
      <c r="CU40" s="110"/>
      <c r="CV40" s="110"/>
      <c r="CW40" s="25" t="s">
        <v>223</v>
      </c>
      <c r="CX40" s="25" t="s">
        <v>223</v>
      </c>
      <c r="CY40" s="25" t="s">
        <v>223</v>
      </c>
      <c r="CZ40" s="25" t="s">
        <v>223</v>
      </c>
      <c r="DA40" s="110"/>
      <c r="DB40" s="110"/>
      <c r="DC40" s="25"/>
      <c r="DD40" s="25">
        <v>1</v>
      </c>
      <c r="DE40" s="25">
        <v>1</v>
      </c>
      <c r="DF40" s="25">
        <v>1</v>
      </c>
      <c r="DG40" s="25">
        <v>1</v>
      </c>
      <c r="DH40" s="110"/>
      <c r="DI40" s="110"/>
      <c r="DJ40" s="25">
        <v>1</v>
      </c>
      <c r="DK40" s="25">
        <v>1</v>
      </c>
      <c r="DL40" s="25">
        <v>1</v>
      </c>
      <c r="DM40" s="25">
        <v>1</v>
      </c>
      <c r="DN40" s="25">
        <v>1</v>
      </c>
      <c r="DO40" s="110"/>
      <c r="DP40" s="110"/>
      <c r="DQ40" s="25"/>
      <c r="DR40" s="25"/>
      <c r="DS40" s="25"/>
      <c r="DT40" s="25"/>
      <c r="DU40" s="110" t="s">
        <v>445</v>
      </c>
      <c r="DV40" s="110"/>
      <c r="DW40" s="110"/>
      <c r="DX40" s="25"/>
      <c r="DY40" s="25"/>
      <c r="DZ40" s="25">
        <v>1</v>
      </c>
      <c r="EA40" s="25"/>
      <c r="EB40" s="110" t="s">
        <v>445</v>
      </c>
      <c r="EC40" s="110"/>
      <c r="ED40" s="110"/>
      <c r="EE40" s="25"/>
      <c r="EF40" s="25"/>
      <c r="EG40" s="25"/>
      <c r="EH40" s="110" t="s">
        <v>445</v>
      </c>
      <c r="EI40" s="110" t="s">
        <v>445</v>
      </c>
      <c r="EJ40" s="110"/>
      <c r="EK40" s="110"/>
      <c r="EL40" s="25">
        <v>1</v>
      </c>
      <c r="EM40" s="25"/>
      <c r="EN40" s="25"/>
      <c r="EO40" s="25"/>
      <c r="EP40" s="25"/>
      <c r="EQ40" s="110"/>
      <c r="ER40" s="110"/>
      <c r="ES40" s="110" t="s">
        <v>445</v>
      </c>
      <c r="ET40" s="25"/>
      <c r="EU40" s="25"/>
      <c r="EV40" s="25"/>
      <c r="EW40" s="25"/>
      <c r="EX40" s="110"/>
      <c r="EY40" s="110"/>
      <c r="EZ40" s="25"/>
      <c r="FA40" s="25"/>
      <c r="FB40" s="25"/>
      <c r="FC40" s="25"/>
      <c r="FD40" s="25"/>
      <c r="FE40" s="110"/>
      <c r="FF40" s="110"/>
      <c r="FG40" s="25"/>
      <c r="FH40" s="25"/>
      <c r="FI40" s="25"/>
      <c r="FJ40" s="25"/>
      <c r="FK40" s="25"/>
      <c r="FL40" s="110"/>
      <c r="FM40" s="110"/>
      <c r="FN40" s="25"/>
      <c r="FO40" s="25"/>
      <c r="FP40" s="25"/>
      <c r="FQ40" s="25"/>
      <c r="FR40" s="25"/>
      <c r="FS40" s="110"/>
      <c r="FT40" s="110"/>
      <c r="FU40" s="25"/>
      <c r="FV40" s="25"/>
      <c r="FW40" s="25"/>
      <c r="FX40" s="25"/>
      <c r="FY40" s="25"/>
      <c r="FZ40" s="110"/>
      <c r="GA40" s="110"/>
      <c r="GB40" s="25"/>
      <c r="GC40" s="25"/>
      <c r="GD40" s="25"/>
      <c r="GE40" s="25"/>
      <c r="GF40" s="25"/>
      <c r="GG40" s="110"/>
      <c r="GH40" s="110"/>
      <c r="GI40" s="25"/>
      <c r="GJ40" s="25"/>
      <c r="GK40" s="25"/>
      <c r="GL40" s="25"/>
      <c r="GM40" s="25"/>
      <c r="GN40" s="110"/>
      <c r="GO40" s="110"/>
      <c r="GP40" s="110" t="s">
        <v>445</v>
      </c>
      <c r="GQ40" s="110"/>
      <c r="GR40" s="25"/>
      <c r="GS40" s="25"/>
      <c r="GT40" s="25"/>
      <c r="GU40" s="110"/>
      <c r="GV40" s="110"/>
      <c r="GW40" s="25"/>
      <c r="GX40" s="25"/>
      <c r="GY40" s="25"/>
      <c r="GZ40" s="25"/>
      <c r="HA40" s="25"/>
      <c r="HB40" s="110"/>
      <c r="HC40" s="110"/>
      <c r="HD40" s="25"/>
      <c r="HE40" s="25"/>
      <c r="HF40" s="25"/>
      <c r="HG40" s="25"/>
      <c r="HH40" s="25"/>
      <c r="HI40" s="110"/>
      <c r="HJ40" s="110"/>
      <c r="HK40" s="25"/>
      <c r="HL40" s="25"/>
      <c r="HM40" s="25"/>
      <c r="HN40" s="25"/>
      <c r="HO40" s="25"/>
      <c r="HP40" s="110"/>
      <c r="HQ40" s="110"/>
      <c r="HR40" s="25"/>
      <c r="HS40" s="25"/>
      <c r="HT40" s="25"/>
      <c r="HU40" s="25"/>
      <c r="HV40" s="25"/>
      <c r="HW40" s="110"/>
      <c r="HX40" s="110"/>
      <c r="HY40" s="25"/>
      <c r="HZ40" s="25"/>
      <c r="IA40" s="25"/>
      <c r="IB40" s="25"/>
      <c r="IC40" s="25"/>
      <c r="ID40" s="110"/>
      <c r="IE40" s="110"/>
      <c r="IF40" s="25"/>
      <c r="IG40" s="25"/>
      <c r="IH40" s="25"/>
      <c r="II40" s="25"/>
      <c r="IJ40" s="25"/>
      <c r="IK40" s="110"/>
      <c r="IL40" s="110"/>
      <c r="IM40" s="25"/>
      <c r="IN40" s="25"/>
      <c r="IO40" s="25"/>
      <c r="IP40" s="25"/>
      <c r="IQ40" s="25"/>
      <c r="IR40" s="110"/>
      <c r="IS40" s="110"/>
      <c r="IT40" s="25"/>
      <c r="IU40" s="25"/>
      <c r="IV40" s="25"/>
      <c r="IW40" s="25"/>
      <c r="IX40" s="25"/>
      <c r="IY40" s="110"/>
      <c r="IZ40" s="110"/>
      <c r="JA40" s="25"/>
      <c r="JB40" s="25"/>
      <c r="JC40" s="25"/>
      <c r="JD40" s="25"/>
      <c r="JE40" s="25"/>
      <c r="JF40" s="110"/>
      <c r="JG40" s="110"/>
      <c r="JH40" s="25"/>
      <c r="JI40" s="25"/>
      <c r="JJ40" s="25"/>
      <c r="JK40" s="25"/>
      <c r="JL40" s="25"/>
      <c r="JM40" s="110"/>
      <c r="JN40" s="110"/>
      <c r="JO40" s="25"/>
      <c r="JP40" s="25"/>
      <c r="JQ40" s="25"/>
      <c r="JR40" s="25"/>
      <c r="JS40" s="25"/>
      <c r="JT40" s="110"/>
      <c r="JU40" s="110"/>
      <c r="JV40" s="25"/>
      <c r="JW40" s="25"/>
      <c r="JX40" s="25"/>
      <c r="JY40" s="25"/>
      <c r="JZ40" s="25"/>
      <c r="KA40" s="110"/>
      <c r="KB40" s="110"/>
      <c r="KC40" s="25"/>
      <c r="KD40" s="25"/>
      <c r="KE40" s="25"/>
      <c r="KF40" s="25"/>
      <c r="KG40" s="25"/>
      <c r="KH40" s="110"/>
      <c r="KI40" s="110"/>
      <c r="KJ40" s="25"/>
      <c r="KK40" s="25"/>
      <c r="KL40" s="25"/>
      <c r="KM40" s="25"/>
      <c r="KN40" s="25"/>
      <c r="KO40" s="110"/>
      <c r="KP40" s="110"/>
      <c r="KQ40" s="25"/>
      <c r="KR40" s="25"/>
      <c r="KS40" s="25"/>
      <c r="KT40" s="25"/>
      <c r="KU40" s="25"/>
      <c r="KV40" s="110"/>
      <c r="KW40" s="110"/>
      <c r="KX40" s="25"/>
      <c r="KY40" s="25"/>
      <c r="KZ40" s="25"/>
      <c r="LA40" s="25"/>
      <c r="LB40" s="25"/>
      <c r="LC40" s="110"/>
      <c r="LD40" s="110"/>
      <c r="LE40" s="25"/>
      <c r="LF40" s="25"/>
      <c r="LG40" s="110" t="s">
        <v>445</v>
      </c>
      <c r="LH40" s="25"/>
      <c r="LI40" s="25"/>
      <c r="LJ40" s="110"/>
      <c r="LK40" s="110"/>
      <c r="LL40" s="25"/>
      <c r="LM40" s="25"/>
      <c r="LN40" s="25"/>
      <c r="LO40" s="25"/>
      <c r="LP40" s="25"/>
      <c r="LQ40" s="110"/>
      <c r="LR40" s="110"/>
      <c r="LS40" s="25"/>
      <c r="LT40" s="25"/>
      <c r="LU40" s="25"/>
      <c r="LV40" s="25"/>
      <c r="LW40" s="25"/>
      <c r="LX40" s="110"/>
      <c r="LY40" s="110"/>
      <c r="LZ40" s="25"/>
      <c r="MA40" s="25"/>
      <c r="MB40" s="25"/>
      <c r="MC40" s="25"/>
      <c r="MD40" s="25"/>
      <c r="ME40" s="110"/>
      <c r="MF40" s="110"/>
      <c r="MG40" s="25"/>
      <c r="MH40" s="25"/>
      <c r="MI40" s="25"/>
      <c r="MJ40" s="25"/>
      <c r="MK40" s="25"/>
      <c r="ML40" s="110"/>
      <c r="MM40" s="110"/>
      <c r="MN40" s="25"/>
      <c r="MO40" s="25"/>
      <c r="MP40" s="25"/>
      <c r="MQ40" s="25"/>
      <c r="MR40" s="25"/>
      <c r="MS40" s="110"/>
      <c r="MT40" s="110"/>
      <c r="MU40" s="25"/>
      <c r="MV40" s="25"/>
      <c r="MW40" s="25"/>
      <c r="MX40" s="25"/>
      <c r="MY40" s="25"/>
      <c r="MZ40" s="110"/>
      <c r="NA40" s="110"/>
      <c r="NB40" s="25"/>
      <c r="NC40" s="25"/>
      <c r="ND40" s="25"/>
      <c r="NE40" s="129"/>
      <c r="NF40" s="111"/>
      <c r="NG40" s="8">
        <f t="shared" si="45"/>
        <v>7</v>
      </c>
      <c r="NH40" s="351" cm="1">
        <f t="array" ref="NH40">NETWORKDAYS($I$2,$AH$2)- SUM(COUNTIF(I40:AH40,{"I";"F";"CP";"R";"P";"AC";"AM"}))</f>
        <v>10</v>
      </c>
      <c r="NI40" s="138">
        <f t="shared" si="12"/>
        <v>0.7</v>
      </c>
      <c r="NJ40" s="8">
        <f t="shared" si="46"/>
        <v>6</v>
      </c>
      <c r="NK40" s="351" cm="1">
        <f t="array" ref="NK40">NETWORKDAYS($AJ$2,$BK$2)- SUM(COUNTIF(AJ40:BK40,{"I";"F";"CP";"R";"P";"AC";"AM"}))</f>
        <v>16</v>
      </c>
      <c r="NL40" s="138">
        <f t="shared" si="13"/>
        <v>0.375</v>
      </c>
      <c r="NM40" s="8">
        <f t="shared" si="47"/>
        <v>11</v>
      </c>
      <c r="NN40" s="351" cm="1">
        <f t="array" ref="NN40">NETWORKDAYS($BL$2,$CP$2)- SUM(COUNTIF(BL40:CP40,{"I";"F";"CP";"R";"P";"AC";"AM"}))</f>
        <v>22</v>
      </c>
      <c r="NO40" s="138">
        <f t="shared" si="14"/>
        <v>0.5</v>
      </c>
      <c r="NP40" s="8">
        <f t="shared" si="3"/>
        <v>10</v>
      </c>
      <c r="NQ40" s="351" cm="1">
        <f t="array" ref="NQ40">NETWORKDAYS($CQ$2,$DT$2,$CV$2)- SUM(COUNTIF(CQ40:DT40,{"I";"F";"CP";"R";"P";"AC";"AM"}))</f>
        <v>17</v>
      </c>
      <c r="NR40" s="138">
        <f t="shared" si="15"/>
        <v>0.58823529411764708</v>
      </c>
      <c r="NS40" s="8">
        <f t="shared" si="49"/>
        <v>2</v>
      </c>
      <c r="NT40" s="351" cm="1">
        <f t="array" ref="NT40">NETWORKDAYS($DV$2,$EY$2)-SUM(COUNTIF(DV40:EY40,{"I";"F";"CP";"R";"P";"AC";"AM"}))</f>
        <v>16</v>
      </c>
      <c r="NU40" s="138">
        <f t="shared" si="16"/>
        <v>0.125</v>
      </c>
      <c r="NV40" s="8">
        <f t="shared" si="27"/>
        <v>0</v>
      </c>
      <c r="NW40" s="351" cm="1">
        <f t="array" ref="NW40">NETWORKDAYS($EZ$2,$GC$2)-SUM(COUNTIF(EZ40:GC40,{"I";"F";"CP";"R";"P";"AC";"AM"}))</f>
        <v>22</v>
      </c>
      <c r="NX40" s="138">
        <f t="shared" si="28"/>
        <v>0</v>
      </c>
      <c r="NY40" s="8">
        <f t="shared" si="29"/>
        <v>0</v>
      </c>
      <c r="NZ40" s="351" cm="1">
        <f t="array" ref="NZ40">NETWORKDAYS($GD$2,$HH$2,$GQ$2)-SUM(COUNTIF(GD40:HH40,{"I";"F";"CP";"R";"P";"AC";"AM"}))</f>
        <v>21</v>
      </c>
      <c r="OA40" s="138">
        <f t="shared" si="30"/>
        <v>0</v>
      </c>
      <c r="OB40" s="8">
        <f t="shared" si="31"/>
        <v>0</v>
      </c>
      <c r="OC40" s="351" cm="1">
        <f t="array" ref="OC40">NETWORKDAYS($HI$2,$IM$2)-SUM(COUNTIF(HI40:IM40,{"I";"F";"CP";"R";"P";"AC";"AM"}))</f>
        <v>21</v>
      </c>
      <c r="OD40" s="138">
        <f t="shared" si="32"/>
        <v>0</v>
      </c>
      <c r="OE40" s="8">
        <f t="shared" si="33"/>
        <v>0</v>
      </c>
      <c r="OF40" s="351" cm="1">
        <f t="array" ref="OF40">NETWORKDAYS($IN$2,$JQ$2)-SUM(COUNTIF(IN40:JQ40,{"I";"F";"CP";"R";"P";"AC";"AM"}))</f>
        <v>22</v>
      </c>
      <c r="OG40" s="138">
        <f t="shared" si="34"/>
        <v>0</v>
      </c>
      <c r="OH40" s="8">
        <f t="shared" si="35"/>
        <v>0</v>
      </c>
      <c r="OI40" s="351" cm="1">
        <f t="array" ref="OI40">NETWORKDAYS($JR$2,$KV$2)-SUM(COUNTIF(JR40:KV40,{"I";"F";"CP";"R";"P";"AC";"AM"}))</f>
        <v>22</v>
      </c>
      <c r="OJ40" s="138">
        <f t="shared" si="36"/>
        <v>0</v>
      </c>
      <c r="OK40" s="8">
        <f t="shared" si="37"/>
        <v>0</v>
      </c>
      <c r="OL40" s="351" cm="1">
        <f t="array" ref="OL40">NETWORKDAYS($KW$2,$LZ$2,$LG$2)-SUM(COUNTIF(KW40:LZ40,{"I";"F";"CP";"R";"P";"AC";"AM"}))</f>
        <v>19</v>
      </c>
      <c r="OM40" s="138">
        <f t="shared" si="38"/>
        <v>0</v>
      </c>
      <c r="ON40" s="8">
        <f t="shared" si="39"/>
        <v>0</v>
      </c>
      <c r="OO40" s="351" cm="1">
        <f t="array" ref="OO40">NETWORKDAYS($MA$2,$MR$2)-SUM(COUNTIF(MA40:MR40,{"I";"F";"CP";"R";"P";"AC";"AM"}))</f>
        <v>14</v>
      </c>
      <c r="OP40" s="138">
        <f t="shared" si="40"/>
        <v>0</v>
      </c>
      <c r="OQ40" s="94">
        <f t="shared" si="41"/>
        <v>36</v>
      </c>
      <c r="OR40" s="94">
        <f t="shared" si="42"/>
        <v>222</v>
      </c>
      <c r="OS40" s="138">
        <f t="shared" si="43"/>
        <v>0.16216216216216217</v>
      </c>
    </row>
    <row r="41" spans="1:409" ht="18" hidden="1" customHeight="1" x14ac:dyDescent="0.25">
      <c r="A41" s="93" t="s">
        <v>54</v>
      </c>
      <c r="B41" s="95" t="s">
        <v>34</v>
      </c>
      <c r="C41" s="89" t="s">
        <v>166</v>
      </c>
      <c r="D41" s="89" t="s">
        <v>212</v>
      </c>
      <c r="E41" s="128"/>
      <c r="F41" s="110"/>
      <c r="G41" s="110"/>
      <c r="H41" s="110"/>
      <c r="I41" s="25">
        <v>1</v>
      </c>
      <c r="J41" s="25">
        <v>1</v>
      </c>
      <c r="K41" s="25">
        <v>1</v>
      </c>
      <c r="L41" s="25"/>
      <c r="M41" s="25">
        <v>1</v>
      </c>
      <c r="N41" s="110"/>
      <c r="O41" s="110"/>
      <c r="P41" s="25">
        <v>1</v>
      </c>
      <c r="Q41" s="25">
        <v>1</v>
      </c>
      <c r="R41" s="25">
        <v>1</v>
      </c>
      <c r="S41" s="25"/>
      <c r="T41" s="25">
        <v>1</v>
      </c>
      <c r="U41" s="110"/>
      <c r="V41" s="110"/>
      <c r="W41" s="25">
        <v>1</v>
      </c>
      <c r="X41" s="25">
        <v>1</v>
      </c>
      <c r="Y41" s="25">
        <v>1</v>
      </c>
      <c r="Z41" s="25">
        <v>1</v>
      </c>
      <c r="AA41" s="25">
        <v>1</v>
      </c>
      <c r="AB41" s="110"/>
      <c r="AC41" s="110"/>
      <c r="AD41" s="25">
        <v>1</v>
      </c>
      <c r="AE41" s="25">
        <v>1</v>
      </c>
      <c r="AF41" s="25"/>
      <c r="AG41" s="25">
        <v>1</v>
      </c>
      <c r="AH41" s="25">
        <v>1</v>
      </c>
      <c r="AI41" s="110"/>
      <c r="AJ41" s="110"/>
      <c r="AK41" s="25">
        <v>1</v>
      </c>
      <c r="AL41" s="25">
        <v>1</v>
      </c>
      <c r="AM41" s="25">
        <v>1</v>
      </c>
      <c r="AN41" s="25">
        <v>1</v>
      </c>
      <c r="AO41" s="25">
        <v>1</v>
      </c>
      <c r="AP41" s="110"/>
      <c r="AQ41" s="110"/>
      <c r="AR41" s="25">
        <v>1</v>
      </c>
      <c r="AS41" s="25">
        <v>1</v>
      </c>
      <c r="AT41" s="25"/>
      <c r="AV41" s="25">
        <v>1</v>
      </c>
      <c r="AW41" s="110"/>
      <c r="AX41" s="110"/>
      <c r="AY41" s="25">
        <v>1</v>
      </c>
      <c r="AZ41" s="25">
        <v>1</v>
      </c>
      <c r="BA41" s="25"/>
      <c r="BB41" s="25">
        <v>1</v>
      </c>
      <c r="BC41" s="25">
        <v>1</v>
      </c>
      <c r="BD41" s="110"/>
      <c r="BE41" s="110"/>
      <c r="BF41" s="25">
        <v>1</v>
      </c>
      <c r="BG41" s="25">
        <v>1</v>
      </c>
      <c r="BH41" s="25">
        <v>1</v>
      </c>
      <c r="BI41" s="25">
        <v>1</v>
      </c>
      <c r="BJ41" s="25">
        <v>1</v>
      </c>
      <c r="BK41" s="110"/>
      <c r="BL41" s="110"/>
      <c r="BM41" s="25">
        <v>1</v>
      </c>
      <c r="BN41" s="25"/>
      <c r="BO41" s="25">
        <v>1</v>
      </c>
      <c r="BP41" s="25">
        <v>1</v>
      </c>
      <c r="BQ41" s="25">
        <v>1</v>
      </c>
      <c r="BR41" s="110"/>
      <c r="BS41" s="110"/>
      <c r="BT41" s="25">
        <v>1</v>
      </c>
      <c r="BU41" s="25"/>
      <c r="BV41" s="25">
        <v>1</v>
      </c>
      <c r="BW41" s="25">
        <v>1</v>
      </c>
      <c r="BX41" s="25">
        <v>1</v>
      </c>
      <c r="BY41" s="110"/>
      <c r="BZ41" s="110"/>
      <c r="CA41" s="25">
        <v>1</v>
      </c>
      <c r="CB41" s="25">
        <v>1</v>
      </c>
      <c r="CC41" s="25">
        <v>1</v>
      </c>
      <c r="CD41" s="25">
        <v>1</v>
      </c>
      <c r="CE41" s="25">
        <v>1</v>
      </c>
      <c r="CF41" s="110"/>
      <c r="CG41" s="110"/>
      <c r="CH41" s="25">
        <v>1</v>
      </c>
      <c r="CI41" s="25">
        <v>1</v>
      </c>
      <c r="CJ41" s="25">
        <v>1</v>
      </c>
      <c r="CK41" s="25">
        <v>1</v>
      </c>
      <c r="CL41" s="25">
        <v>1</v>
      </c>
      <c r="CM41" s="110"/>
      <c r="CN41" s="110"/>
      <c r="CO41" s="25">
        <v>1</v>
      </c>
      <c r="CP41" s="25">
        <v>1</v>
      </c>
      <c r="CQ41" s="25">
        <v>1</v>
      </c>
      <c r="CR41" s="25">
        <v>1</v>
      </c>
      <c r="CS41" s="25">
        <v>1</v>
      </c>
      <c r="CT41" s="110"/>
      <c r="CU41" s="110"/>
      <c r="CV41" s="110"/>
      <c r="CW41" s="25" t="s">
        <v>223</v>
      </c>
      <c r="CX41" s="25" t="s">
        <v>223</v>
      </c>
      <c r="CY41" s="25" t="s">
        <v>223</v>
      </c>
      <c r="CZ41" s="25" t="s">
        <v>223</v>
      </c>
      <c r="DA41" s="110"/>
      <c r="DB41" s="110"/>
      <c r="DC41" s="25" t="s">
        <v>449</v>
      </c>
      <c r="DD41" s="25">
        <v>1</v>
      </c>
      <c r="DE41" s="25">
        <v>1</v>
      </c>
      <c r="DF41" s="25">
        <v>1</v>
      </c>
      <c r="DG41" s="25">
        <v>1</v>
      </c>
      <c r="DH41" s="110"/>
      <c r="DI41" s="110"/>
      <c r="DJ41" s="25">
        <v>1</v>
      </c>
      <c r="DK41" s="25">
        <v>1</v>
      </c>
      <c r="DL41" s="25">
        <v>1</v>
      </c>
      <c r="DM41" s="25">
        <v>1</v>
      </c>
      <c r="DN41" s="25">
        <v>1</v>
      </c>
      <c r="DO41" s="110"/>
      <c r="DP41" s="110"/>
      <c r="DQ41" s="25">
        <v>1</v>
      </c>
      <c r="DR41" s="25"/>
      <c r="DS41" s="25">
        <v>1</v>
      </c>
      <c r="DT41" s="25"/>
      <c r="DU41" s="110" t="s">
        <v>445</v>
      </c>
      <c r="DV41" s="110"/>
      <c r="DW41" s="110"/>
      <c r="DX41" s="25"/>
      <c r="DY41" s="25"/>
      <c r="DZ41" s="25"/>
      <c r="EA41" s="25"/>
      <c r="EB41" s="110" t="s">
        <v>445</v>
      </c>
      <c r="EC41" s="110"/>
      <c r="ED41" s="110"/>
      <c r="EE41" s="25"/>
      <c r="EF41" s="25"/>
      <c r="EG41" s="25"/>
      <c r="EH41" s="110" t="s">
        <v>445</v>
      </c>
      <c r="EI41" s="110" t="s">
        <v>445</v>
      </c>
      <c r="EJ41" s="110"/>
      <c r="EK41" s="110"/>
      <c r="EL41" s="25"/>
      <c r="EM41" s="25"/>
      <c r="EN41" s="25"/>
      <c r="EO41" s="25"/>
      <c r="EP41" s="25"/>
      <c r="EQ41" s="110"/>
      <c r="ER41" s="110"/>
      <c r="ES41" s="110" t="s">
        <v>445</v>
      </c>
      <c r="ET41" s="25"/>
      <c r="EU41" s="25"/>
      <c r="EV41" s="25"/>
      <c r="EW41" s="25"/>
      <c r="EX41" s="110"/>
      <c r="EY41" s="110"/>
      <c r="EZ41" s="25"/>
      <c r="FA41" s="25"/>
      <c r="FB41" s="25"/>
      <c r="FC41" s="25"/>
      <c r="FD41" s="25"/>
      <c r="FE41" s="110"/>
      <c r="FF41" s="110"/>
      <c r="FG41" s="25"/>
      <c r="FH41" s="25"/>
      <c r="FI41" s="25"/>
      <c r="FJ41" s="25"/>
      <c r="FK41" s="25"/>
      <c r="FL41" s="110"/>
      <c r="FM41" s="110"/>
      <c r="FN41" s="25"/>
      <c r="FO41" s="25"/>
      <c r="FP41" s="25"/>
      <c r="FQ41" s="25"/>
      <c r="FR41" s="25"/>
      <c r="FS41" s="110"/>
      <c r="FT41" s="110"/>
      <c r="FU41" s="25"/>
      <c r="FV41" s="25"/>
      <c r="FW41" s="25"/>
      <c r="FX41" s="25"/>
      <c r="FY41" s="25"/>
      <c r="FZ41" s="110"/>
      <c r="GA41" s="110"/>
      <c r="GB41" s="25"/>
      <c r="GC41" s="25"/>
      <c r="GD41" s="25"/>
      <c r="GE41" s="25"/>
      <c r="GF41" s="25"/>
      <c r="GG41" s="110"/>
      <c r="GH41" s="110"/>
      <c r="GI41" s="25"/>
      <c r="GJ41" s="25"/>
      <c r="GK41" s="25"/>
      <c r="GL41" s="25"/>
      <c r="GM41" s="25"/>
      <c r="GN41" s="110"/>
      <c r="GO41" s="110"/>
      <c r="GP41" s="110" t="s">
        <v>445</v>
      </c>
      <c r="GQ41" s="110"/>
      <c r="GR41" s="25"/>
      <c r="GS41" s="25"/>
      <c r="GT41" s="25"/>
      <c r="GU41" s="110"/>
      <c r="GV41" s="110"/>
      <c r="GW41" s="25"/>
      <c r="GX41" s="25"/>
      <c r="GY41" s="25"/>
      <c r="GZ41" s="25"/>
      <c r="HA41" s="25"/>
      <c r="HB41" s="110"/>
      <c r="HC41" s="110"/>
      <c r="HD41" s="25"/>
      <c r="HE41" s="25"/>
      <c r="HF41" s="25"/>
      <c r="HG41" s="25"/>
      <c r="HH41" s="25"/>
      <c r="HI41" s="110"/>
      <c r="HJ41" s="110"/>
      <c r="HK41" s="25"/>
      <c r="HL41" s="25"/>
      <c r="HM41" s="25"/>
      <c r="HN41" s="25"/>
      <c r="HO41" s="25"/>
      <c r="HP41" s="110"/>
      <c r="HQ41" s="110"/>
      <c r="HR41" s="25"/>
      <c r="HS41" s="25"/>
      <c r="HT41" s="25"/>
      <c r="HU41" s="25"/>
      <c r="HV41" s="25"/>
      <c r="HW41" s="110"/>
      <c r="HX41" s="110"/>
      <c r="HY41" s="25"/>
      <c r="HZ41" s="25"/>
      <c r="IA41" s="25"/>
      <c r="IB41" s="25"/>
      <c r="IC41" s="25"/>
      <c r="ID41" s="110"/>
      <c r="IE41" s="110"/>
      <c r="IF41" s="25"/>
      <c r="IG41" s="25"/>
      <c r="IH41" s="25"/>
      <c r="II41" s="25"/>
      <c r="IJ41" s="25"/>
      <c r="IK41" s="110"/>
      <c r="IL41" s="110"/>
      <c r="IM41" s="25"/>
      <c r="IN41" s="25"/>
      <c r="IO41" s="25"/>
      <c r="IP41" s="25"/>
      <c r="IQ41" s="25"/>
      <c r="IR41" s="110"/>
      <c r="IS41" s="110"/>
      <c r="IT41" s="25"/>
      <c r="IU41" s="25"/>
      <c r="IV41" s="25"/>
      <c r="IW41" s="25"/>
      <c r="IX41" s="25"/>
      <c r="IY41" s="110"/>
      <c r="IZ41" s="110"/>
      <c r="JA41" s="25"/>
      <c r="JB41" s="25"/>
      <c r="JC41" s="25"/>
      <c r="JD41" s="25"/>
      <c r="JE41" s="25"/>
      <c r="JF41" s="110"/>
      <c r="JG41" s="110"/>
      <c r="JH41" s="25"/>
      <c r="JI41" s="25"/>
      <c r="JJ41" s="25"/>
      <c r="JK41" s="25"/>
      <c r="JL41" s="25"/>
      <c r="JM41" s="110"/>
      <c r="JN41" s="110"/>
      <c r="JO41" s="25"/>
      <c r="JP41" s="25"/>
      <c r="JQ41" s="25"/>
      <c r="JR41" s="25"/>
      <c r="JS41" s="25"/>
      <c r="JT41" s="110"/>
      <c r="JU41" s="110"/>
      <c r="JV41" s="25"/>
      <c r="JW41" s="25"/>
      <c r="JX41" s="25"/>
      <c r="JY41" s="25"/>
      <c r="JZ41" s="25"/>
      <c r="KA41" s="110"/>
      <c r="KB41" s="110"/>
      <c r="KC41" s="25"/>
      <c r="KD41" s="25"/>
      <c r="KE41" s="25"/>
      <c r="KF41" s="25"/>
      <c r="KG41" s="25"/>
      <c r="KH41" s="110"/>
      <c r="KI41" s="110"/>
      <c r="KJ41" s="25"/>
      <c r="KK41" s="25"/>
      <c r="KL41" s="25"/>
      <c r="KM41" s="25"/>
      <c r="KN41" s="25"/>
      <c r="KO41" s="110"/>
      <c r="KP41" s="110"/>
      <c r="KQ41" s="25"/>
      <c r="KR41" s="25"/>
      <c r="KS41" s="25"/>
      <c r="KT41" s="25"/>
      <c r="KU41" s="25"/>
      <c r="KV41" s="110"/>
      <c r="KW41" s="110"/>
      <c r="KX41" s="25"/>
      <c r="KY41" s="25"/>
      <c r="KZ41" s="25"/>
      <c r="LA41" s="25"/>
      <c r="LB41" s="25"/>
      <c r="LC41" s="110"/>
      <c r="LD41" s="110"/>
      <c r="LE41" s="25"/>
      <c r="LF41" s="25"/>
      <c r="LG41" s="110" t="s">
        <v>445</v>
      </c>
      <c r="LH41" s="25"/>
      <c r="LI41" s="25"/>
      <c r="LJ41" s="110"/>
      <c r="LK41" s="110"/>
      <c r="LL41" s="25"/>
      <c r="LM41" s="25"/>
      <c r="LN41" s="25"/>
      <c r="LO41" s="25"/>
      <c r="LP41" s="25"/>
      <c r="LQ41" s="110"/>
      <c r="LR41" s="110"/>
      <c r="LS41" s="25"/>
      <c r="LT41" s="25"/>
      <c r="LU41" s="25"/>
      <c r="LV41" s="25"/>
      <c r="LW41" s="25"/>
      <c r="LX41" s="110"/>
      <c r="LY41" s="110"/>
      <c r="LZ41" s="25"/>
      <c r="MA41" s="25"/>
      <c r="MB41" s="25"/>
      <c r="MC41" s="25"/>
      <c r="MD41" s="25"/>
      <c r="ME41" s="110"/>
      <c r="MF41" s="110"/>
      <c r="MG41" s="25"/>
      <c r="MH41" s="25"/>
      <c r="MI41" s="25"/>
      <c r="MJ41" s="25"/>
      <c r="MK41" s="25"/>
      <c r="ML41" s="110"/>
      <c r="MM41" s="110"/>
      <c r="MN41" s="25"/>
      <c r="MO41" s="25"/>
      <c r="MP41" s="25"/>
      <c r="MQ41" s="25"/>
      <c r="MR41" s="25"/>
      <c r="MS41" s="110"/>
      <c r="MT41" s="110"/>
      <c r="MU41" s="25"/>
      <c r="MV41" s="25"/>
      <c r="MW41" s="25"/>
      <c r="MX41" s="25"/>
      <c r="MY41" s="25"/>
      <c r="MZ41" s="110"/>
      <c r="NA41" s="110"/>
      <c r="NB41" s="25"/>
      <c r="NC41" s="25"/>
      <c r="ND41" s="25"/>
      <c r="NE41" s="129"/>
      <c r="NF41" s="111"/>
      <c r="NG41" s="8">
        <f t="shared" si="45"/>
        <v>17</v>
      </c>
      <c r="NH41" s="351" cm="1">
        <f t="array" ref="NH41">NETWORKDAYS($I$2,$AH$2)- SUM(COUNTIF(I41:AH41,{"I";"F";"CP";"R";"P";"AC";"AM"}))</f>
        <v>20</v>
      </c>
      <c r="NI41" s="138">
        <f t="shared" si="12"/>
        <v>0.85</v>
      </c>
      <c r="NJ41" s="8">
        <f t="shared" si="46"/>
        <v>17</v>
      </c>
      <c r="NK41" s="351" cm="1">
        <f t="array" ref="NK41">NETWORKDAYS($AJ$2,$BK$2)- SUM(COUNTIF(AJ41:BK41,{"I";"F";"CP";"R";"P";"AC";"AM"}))</f>
        <v>20</v>
      </c>
      <c r="NL41" s="138">
        <f t="shared" si="13"/>
        <v>0.85</v>
      </c>
      <c r="NM41" s="8">
        <f t="shared" si="47"/>
        <v>20</v>
      </c>
      <c r="NN41" s="351" cm="1">
        <f t="array" ref="NN41">NETWORKDAYS($BL$2,$CP$2)- SUM(COUNTIF(BL41:CP41,{"I";"F";"CP";"R";"P";"AC";"AM"}))</f>
        <v>22</v>
      </c>
      <c r="NO41" s="138">
        <f t="shared" si="14"/>
        <v>0.90909090909090906</v>
      </c>
      <c r="NP41" s="8">
        <f t="shared" si="48"/>
        <v>14</v>
      </c>
      <c r="NQ41" s="351" cm="1">
        <f t="array" ref="NQ41">NETWORKDAYS($CQ$2,$DT$2,$CV$2)- SUM(COUNTIF(CQ41:DT41,{"I";"F";"CP";"R";"P";"AC";"AM"}))</f>
        <v>16</v>
      </c>
      <c r="NR41" s="138">
        <f t="shared" si="15"/>
        <v>0.875</v>
      </c>
      <c r="NS41" s="8">
        <f t="shared" si="49"/>
        <v>0</v>
      </c>
      <c r="NT41" s="351" cm="1">
        <f t="array" ref="NT41">NETWORKDAYS($DV$2,$EY$2)-SUM(COUNTIF(DV41:EY41,{"I";"F";"CP";"R";"P";"AC";"AM"}))</f>
        <v>16</v>
      </c>
      <c r="NU41" s="138">
        <f t="shared" si="16"/>
        <v>0</v>
      </c>
      <c r="NV41" s="8">
        <f t="shared" si="27"/>
        <v>0</v>
      </c>
      <c r="NW41" s="351" cm="1">
        <f t="array" ref="NW41">NETWORKDAYS($EZ$2,$GC$2)-SUM(COUNTIF(EZ41:GC41,{"I";"F";"CP";"R";"P";"AC";"AM"}))</f>
        <v>22</v>
      </c>
      <c r="NX41" s="138">
        <f t="shared" si="28"/>
        <v>0</v>
      </c>
      <c r="NY41" s="8">
        <f t="shared" si="29"/>
        <v>0</v>
      </c>
      <c r="NZ41" s="351" cm="1">
        <f t="array" ref="NZ41">NETWORKDAYS($GD$2,$HH$2,$GQ$2)-SUM(COUNTIF(GD41:HH41,{"I";"F";"CP";"R";"P";"AC";"AM"}))</f>
        <v>21</v>
      </c>
      <c r="OA41" s="138">
        <f t="shared" si="30"/>
        <v>0</v>
      </c>
      <c r="OB41" s="8">
        <f t="shared" si="31"/>
        <v>0</v>
      </c>
      <c r="OC41" s="351" cm="1">
        <f t="array" ref="OC41">NETWORKDAYS($HI$2,$IM$2)-SUM(COUNTIF(HI41:IM41,{"I";"F";"CP";"R";"P";"AC";"AM"}))</f>
        <v>21</v>
      </c>
      <c r="OD41" s="138">
        <f t="shared" si="32"/>
        <v>0</v>
      </c>
      <c r="OE41" s="8">
        <f t="shared" si="33"/>
        <v>0</v>
      </c>
      <c r="OF41" s="351" cm="1">
        <f t="array" ref="OF41">NETWORKDAYS($IN$2,$JQ$2)-SUM(COUNTIF(IN41:JQ41,{"I";"F";"CP";"R";"P";"AC";"AM"}))</f>
        <v>22</v>
      </c>
      <c r="OG41" s="138">
        <f t="shared" si="34"/>
        <v>0</v>
      </c>
      <c r="OH41" s="8">
        <f t="shared" si="35"/>
        <v>0</v>
      </c>
      <c r="OI41" s="351" cm="1">
        <f t="array" ref="OI41">NETWORKDAYS($JR$2,$KV$2)-SUM(COUNTIF(JR41:KV41,{"I";"F";"CP";"R";"P";"AC";"AM"}))</f>
        <v>22</v>
      </c>
      <c r="OJ41" s="138">
        <f t="shared" si="36"/>
        <v>0</v>
      </c>
      <c r="OK41" s="8">
        <f t="shared" si="37"/>
        <v>0</v>
      </c>
      <c r="OL41" s="351" cm="1">
        <f t="array" ref="OL41">NETWORKDAYS($KW$2,$LZ$2,$LG$2)-SUM(COUNTIF(KW41:LZ41,{"I";"F";"CP";"R";"P";"AC";"AM"}))</f>
        <v>19</v>
      </c>
      <c r="OM41" s="138">
        <f t="shared" si="38"/>
        <v>0</v>
      </c>
      <c r="ON41" s="8">
        <f t="shared" si="39"/>
        <v>0</v>
      </c>
      <c r="OO41" s="351" cm="1">
        <f t="array" ref="OO41">NETWORKDAYS($MA$2,$MR$2)-SUM(COUNTIF(MA41:MR41,{"I";"F";"CP";"R";"P";"AC";"AM"}))</f>
        <v>14</v>
      </c>
      <c r="OP41" s="138">
        <f t="shared" si="40"/>
        <v>0</v>
      </c>
      <c r="OQ41" s="94">
        <f t="shared" si="41"/>
        <v>68</v>
      </c>
      <c r="OR41" s="94">
        <f t="shared" si="42"/>
        <v>235</v>
      </c>
      <c r="OS41" s="138">
        <f t="shared" si="43"/>
        <v>0.28936170212765955</v>
      </c>
    </row>
    <row r="42" spans="1:409" ht="18" hidden="1" customHeight="1" x14ac:dyDescent="0.25">
      <c r="A42" s="95" t="s">
        <v>168</v>
      </c>
      <c r="B42" s="95" t="s">
        <v>168</v>
      </c>
      <c r="C42" s="89" t="s">
        <v>160</v>
      </c>
      <c r="D42" s="89" t="s">
        <v>213</v>
      </c>
      <c r="E42" s="128"/>
      <c r="F42" s="110"/>
      <c r="G42" s="110"/>
      <c r="H42" s="110"/>
      <c r="I42" s="25"/>
      <c r="J42" s="25"/>
      <c r="K42" s="25"/>
      <c r="L42" s="25"/>
      <c r="M42" s="25"/>
      <c r="N42" s="110"/>
      <c r="O42" s="110"/>
      <c r="P42" s="25"/>
      <c r="Q42" s="25">
        <v>1</v>
      </c>
      <c r="R42" s="25">
        <v>1</v>
      </c>
      <c r="S42" s="25"/>
      <c r="T42" s="25"/>
      <c r="U42" s="110"/>
      <c r="V42" s="110"/>
      <c r="W42" s="25" t="s">
        <v>447</v>
      </c>
      <c r="X42" s="25">
        <v>1</v>
      </c>
      <c r="Y42" s="25">
        <v>1</v>
      </c>
      <c r="Z42" s="25">
        <v>1</v>
      </c>
      <c r="AA42" s="25">
        <v>1</v>
      </c>
      <c r="AB42" s="110"/>
      <c r="AC42" s="110"/>
      <c r="AD42" s="25"/>
      <c r="AE42" s="25"/>
      <c r="AF42" s="25"/>
      <c r="AG42" s="25">
        <v>1</v>
      </c>
      <c r="AH42" s="25">
        <v>1</v>
      </c>
      <c r="AI42" s="110"/>
      <c r="AJ42" s="110"/>
      <c r="AK42" s="25">
        <v>1</v>
      </c>
      <c r="AL42" s="25">
        <v>1</v>
      </c>
      <c r="AM42" s="25">
        <v>1</v>
      </c>
      <c r="AN42" s="25">
        <v>1</v>
      </c>
      <c r="AO42" s="25"/>
      <c r="AP42" s="110"/>
      <c r="AQ42" s="110"/>
      <c r="AR42" s="25" t="s">
        <v>445</v>
      </c>
      <c r="AS42" s="25">
        <v>1</v>
      </c>
      <c r="AT42" s="25">
        <v>1</v>
      </c>
      <c r="AU42" s="25">
        <v>1</v>
      </c>
      <c r="AV42" s="25"/>
      <c r="AW42" s="110"/>
      <c r="AX42" s="110"/>
      <c r="AY42" s="25">
        <v>1</v>
      </c>
      <c r="AZ42" s="25">
        <v>1</v>
      </c>
      <c r="BA42" s="25"/>
      <c r="BB42" s="25"/>
      <c r="BC42" s="25"/>
      <c r="BD42" s="110"/>
      <c r="BE42" s="110"/>
      <c r="BF42" s="25" t="s">
        <v>445</v>
      </c>
      <c r="BG42" s="25" t="s">
        <v>445</v>
      </c>
      <c r="BH42" s="25" t="s">
        <v>447</v>
      </c>
      <c r="BI42" s="25" t="s">
        <v>447</v>
      </c>
      <c r="BJ42" s="25" t="s">
        <v>447</v>
      </c>
      <c r="BK42" s="110"/>
      <c r="BL42" s="110"/>
      <c r="BM42" s="25">
        <v>1</v>
      </c>
      <c r="BN42" s="25">
        <v>1</v>
      </c>
      <c r="BO42" s="25">
        <v>1</v>
      </c>
      <c r="BP42" s="25">
        <v>1</v>
      </c>
      <c r="BQ42" s="25">
        <v>1</v>
      </c>
      <c r="BR42" s="110"/>
      <c r="BS42" s="110"/>
      <c r="BT42" s="25">
        <v>1</v>
      </c>
      <c r="BU42" s="25">
        <v>1</v>
      </c>
      <c r="BV42" s="25">
        <v>1</v>
      </c>
      <c r="BW42" s="25">
        <v>1</v>
      </c>
      <c r="BX42" s="25">
        <v>1</v>
      </c>
      <c r="BY42" s="110"/>
      <c r="BZ42" s="110"/>
      <c r="CA42" s="25">
        <v>1</v>
      </c>
      <c r="CB42" s="25">
        <v>1</v>
      </c>
      <c r="CC42" s="25">
        <v>1</v>
      </c>
      <c r="CD42" s="25">
        <v>1</v>
      </c>
      <c r="CE42" s="25"/>
      <c r="CF42" s="110"/>
      <c r="CG42" s="110"/>
      <c r="CH42" s="25"/>
      <c r="CI42" s="25"/>
      <c r="CJ42" s="25"/>
      <c r="CK42" s="25"/>
      <c r="CL42" s="25"/>
      <c r="CM42" s="110"/>
      <c r="CN42" s="110"/>
      <c r="CO42" s="25">
        <v>1</v>
      </c>
      <c r="CP42" s="25" t="s">
        <v>450</v>
      </c>
      <c r="CQ42" s="25" t="s">
        <v>450</v>
      </c>
      <c r="CR42" s="25">
        <v>1</v>
      </c>
      <c r="CS42" s="25">
        <v>3</v>
      </c>
      <c r="CT42" s="110"/>
      <c r="CU42" s="110"/>
      <c r="CV42" s="110">
        <v>1</v>
      </c>
      <c r="CW42" s="25">
        <v>1</v>
      </c>
      <c r="CX42" s="25">
        <v>1</v>
      </c>
      <c r="CY42" s="25">
        <v>1</v>
      </c>
      <c r="CZ42" s="25">
        <v>1</v>
      </c>
      <c r="DA42" s="110"/>
      <c r="DB42" s="110"/>
      <c r="DC42" s="25">
        <v>1</v>
      </c>
      <c r="DD42" s="25">
        <v>1</v>
      </c>
      <c r="DE42" s="25">
        <v>1</v>
      </c>
      <c r="DF42" s="25">
        <v>1</v>
      </c>
      <c r="DG42" s="25">
        <v>1</v>
      </c>
      <c r="DH42" s="110"/>
      <c r="DI42" s="110"/>
      <c r="DJ42" s="25">
        <v>1</v>
      </c>
      <c r="DK42" s="25">
        <v>1</v>
      </c>
      <c r="DL42" s="25">
        <v>1</v>
      </c>
      <c r="DM42" s="25">
        <v>1</v>
      </c>
      <c r="DN42" s="25">
        <v>1</v>
      </c>
      <c r="DO42" s="110"/>
      <c r="DP42" s="110"/>
      <c r="DQ42" s="25">
        <v>1</v>
      </c>
      <c r="DR42" s="25">
        <v>1</v>
      </c>
      <c r="DS42" s="25">
        <v>1</v>
      </c>
      <c r="DT42" s="25">
        <v>1</v>
      </c>
      <c r="DU42" s="110" t="s">
        <v>445</v>
      </c>
      <c r="DV42" s="110"/>
      <c r="DW42" s="110"/>
      <c r="DX42" s="25"/>
      <c r="DY42" s="25"/>
      <c r="DZ42" s="25"/>
      <c r="EA42" s="25"/>
      <c r="EB42" s="110" t="s">
        <v>445</v>
      </c>
      <c r="EC42" s="110"/>
      <c r="ED42" s="110"/>
      <c r="EE42" s="25"/>
      <c r="EF42" s="25"/>
      <c r="EG42" s="25"/>
      <c r="EH42" s="110" t="s">
        <v>445</v>
      </c>
      <c r="EI42" s="110" t="s">
        <v>445</v>
      </c>
      <c r="EJ42" s="110"/>
      <c r="EK42" s="110"/>
      <c r="EL42" s="25"/>
      <c r="EM42" s="25"/>
      <c r="EN42" s="25"/>
      <c r="EO42" s="25"/>
      <c r="EP42" s="25"/>
      <c r="EQ42" s="110"/>
      <c r="ER42" s="110"/>
      <c r="ES42" s="110" t="s">
        <v>445</v>
      </c>
      <c r="ET42" s="25"/>
      <c r="EU42" s="25"/>
      <c r="EV42" s="25"/>
      <c r="EW42" s="25"/>
      <c r="EX42" s="110"/>
      <c r="EY42" s="110"/>
      <c r="EZ42" s="25"/>
      <c r="FA42" s="25"/>
      <c r="FB42" s="25"/>
      <c r="FC42" s="25"/>
      <c r="FD42" s="25"/>
      <c r="FE42" s="110"/>
      <c r="FF42" s="110"/>
      <c r="FG42" s="25"/>
      <c r="FH42" s="25"/>
      <c r="FI42" s="25"/>
      <c r="FJ42" s="25"/>
      <c r="FK42" s="25"/>
      <c r="FL42" s="110"/>
      <c r="FM42" s="110"/>
      <c r="FN42" s="25"/>
      <c r="FO42" s="25"/>
      <c r="FP42" s="25"/>
      <c r="FQ42" s="25"/>
      <c r="FR42" s="25"/>
      <c r="FS42" s="110"/>
      <c r="FT42" s="110"/>
      <c r="FU42" s="25"/>
      <c r="FV42" s="25"/>
      <c r="FW42" s="25"/>
      <c r="FX42" s="25"/>
      <c r="FY42" s="25"/>
      <c r="FZ42" s="110"/>
      <c r="GA42" s="110"/>
      <c r="GB42" s="25"/>
      <c r="GC42" s="25"/>
      <c r="GD42" s="25"/>
      <c r="GE42" s="25"/>
      <c r="GF42" s="25"/>
      <c r="GG42" s="110"/>
      <c r="GH42" s="110"/>
      <c r="GI42" s="25"/>
      <c r="GJ42" s="25"/>
      <c r="GK42" s="25"/>
      <c r="GL42" s="25"/>
      <c r="GM42" s="25"/>
      <c r="GN42" s="110"/>
      <c r="GO42" s="110"/>
      <c r="GP42" s="110" t="s">
        <v>445</v>
      </c>
      <c r="GQ42" s="110"/>
      <c r="GR42" s="25"/>
      <c r="GS42" s="25"/>
      <c r="GT42" s="25"/>
      <c r="GU42" s="110"/>
      <c r="GV42" s="110"/>
      <c r="GW42" s="25"/>
      <c r="GX42" s="25"/>
      <c r="GY42" s="25"/>
      <c r="GZ42" s="25"/>
      <c r="HA42" s="25"/>
      <c r="HB42" s="110"/>
      <c r="HC42" s="110"/>
      <c r="HD42" s="25"/>
      <c r="HE42" s="25"/>
      <c r="HF42" s="25"/>
      <c r="HG42" s="25"/>
      <c r="HH42" s="25"/>
      <c r="HI42" s="110"/>
      <c r="HJ42" s="110"/>
      <c r="HK42" s="25"/>
      <c r="HL42" s="25"/>
      <c r="HM42" s="25"/>
      <c r="HN42" s="25"/>
      <c r="HO42" s="25"/>
      <c r="HP42" s="110"/>
      <c r="HQ42" s="110"/>
      <c r="HR42" s="25"/>
      <c r="HS42" s="25"/>
      <c r="HT42" s="25"/>
      <c r="HU42" s="25"/>
      <c r="HV42" s="25"/>
      <c r="HW42" s="110"/>
      <c r="HX42" s="110"/>
      <c r="HY42" s="25"/>
      <c r="HZ42" s="25"/>
      <c r="IA42" s="25"/>
      <c r="IB42" s="25"/>
      <c r="IC42" s="25"/>
      <c r="ID42" s="110"/>
      <c r="IE42" s="110"/>
      <c r="IF42" s="25"/>
      <c r="IG42" s="25"/>
      <c r="IH42" s="25"/>
      <c r="II42" s="25"/>
      <c r="IJ42" s="25"/>
      <c r="IK42" s="110"/>
      <c r="IL42" s="110"/>
      <c r="IM42" s="25"/>
      <c r="IN42" s="25"/>
      <c r="IO42" s="25"/>
      <c r="IP42" s="25"/>
      <c r="IQ42" s="25"/>
      <c r="IR42" s="110"/>
      <c r="IS42" s="110"/>
      <c r="IT42" s="25"/>
      <c r="IU42" s="25"/>
      <c r="IV42" s="25"/>
      <c r="IW42" s="25"/>
      <c r="IX42" s="25"/>
      <c r="IY42" s="110"/>
      <c r="IZ42" s="110"/>
      <c r="JA42" s="25"/>
      <c r="JB42" s="25"/>
      <c r="JC42" s="25"/>
      <c r="JD42" s="25"/>
      <c r="JE42" s="25"/>
      <c r="JF42" s="110"/>
      <c r="JG42" s="110"/>
      <c r="JH42" s="25"/>
      <c r="JI42" s="25"/>
      <c r="JJ42" s="25"/>
      <c r="JK42" s="25"/>
      <c r="JL42" s="25"/>
      <c r="JM42" s="110"/>
      <c r="JN42" s="110"/>
      <c r="JO42" s="25"/>
      <c r="JP42" s="25"/>
      <c r="JQ42" s="25"/>
      <c r="JR42" s="25"/>
      <c r="JS42" s="25"/>
      <c r="JT42" s="110"/>
      <c r="JU42" s="110"/>
      <c r="JV42" s="25"/>
      <c r="JW42" s="25"/>
      <c r="JX42" s="25"/>
      <c r="JY42" s="25"/>
      <c r="JZ42" s="25"/>
      <c r="KA42" s="110"/>
      <c r="KB42" s="110"/>
      <c r="KC42" s="25"/>
      <c r="KD42" s="25"/>
      <c r="KE42" s="25"/>
      <c r="KF42" s="25"/>
      <c r="KG42" s="25"/>
      <c r="KH42" s="110"/>
      <c r="KI42" s="110"/>
      <c r="KJ42" s="25"/>
      <c r="KK42" s="25"/>
      <c r="KL42" s="25"/>
      <c r="KM42" s="25"/>
      <c r="KN42" s="25"/>
      <c r="KO42" s="110"/>
      <c r="KP42" s="110"/>
      <c r="KQ42" s="25"/>
      <c r="KR42" s="25"/>
      <c r="KS42" s="25"/>
      <c r="KT42" s="25"/>
      <c r="KU42" s="25"/>
      <c r="KV42" s="110"/>
      <c r="KW42" s="110"/>
      <c r="KX42" s="25"/>
      <c r="KY42" s="25"/>
      <c r="KZ42" s="25"/>
      <c r="LA42" s="25"/>
      <c r="LB42" s="25"/>
      <c r="LC42" s="110"/>
      <c r="LD42" s="110"/>
      <c r="LE42" s="25"/>
      <c r="LF42" s="25"/>
      <c r="LG42" s="110" t="s">
        <v>445</v>
      </c>
      <c r="LH42" s="25"/>
      <c r="LI42" s="25"/>
      <c r="LJ42" s="110"/>
      <c r="LK42" s="110"/>
      <c r="LL42" s="25"/>
      <c r="LM42" s="25"/>
      <c r="LN42" s="25"/>
      <c r="LO42" s="25"/>
      <c r="LP42" s="25"/>
      <c r="LQ42" s="110"/>
      <c r="LR42" s="110"/>
      <c r="LS42" s="25"/>
      <c r="LT42" s="25"/>
      <c r="LU42" s="25"/>
      <c r="LV42" s="25"/>
      <c r="LW42" s="25"/>
      <c r="LX42" s="110"/>
      <c r="LY42" s="110"/>
      <c r="LZ42" s="25"/>
      <c r="MA42" s="25"/>
      <c r="MB42" s="25"/>
      <c r="MC42" s="25"/>
      <c r="MD42" s="25"/>
      <c r="ME42" s="110"/>
      <c r="MF42" s="110"/>
      <c r="MG42" s="25"/>
      <c r="MH42" s="25"/>
      <c r="MI42" s="25"/>
      <c r="MJ42" s="25"/>
      <c r="MK42" s="25"/>
      <c r="ML42" s="110"/>
      <c r="MM42" s="110"/>
      <c r="MN42" s="25"/>
      <c r="MO42" s="25"/>
      <c r="MP42" s="25"/>
      <c r="MQ42" s="25"/>
      <c r="MR42" s="25"/>
      <c r="MS42" s="110"/>
      <c r="MT42" s="110"/>
      <c r="MU42" s="25"/>
      <c r="MV42" s="25"/>
      <c r="MW42" s="25"/>
      <c r="MX42" s="25"/>
      <c r="MY42" s="25"/>
      <c r="MZ42" s="110"/>
      <c r="NA42" s="110"/>
      <c r="NB42" s="25"/>
      <c r="NC42" s="25"/>
      <c r="ND42" s="25"/>
      <c r="NE42" s="129"/>
      <c r="NF42" s="111"/>
      <c r="NG42" s="8">
        <f t="shared" si="45"/>
        <v>8</v>
      </c>
      <c r="NH42" s="351" cm="1">
        <f t="array" ref="NH42">NETWORKDAYS($I$2,$AH$2)- SUM(COUNTIF(I42:AH42,{"I";"F";"CP";"R";"P";"AC";"AM"}))</f>
        <v>19</v>
      </c>
      <c r="NI42" s="138">
        <f t="shared" si="12"/>
        <v>0.42105263157894735</v>
      </c>
      <c r="NJ42" s="8">
        <f t="shared" si="46"/>
        <v>9</v>
      </c>
      <c r="NK42" s="351" cm="1">
        <f t="array" ref="NK42">NETWORKDAYS($AJ$2,$BK$2)- SUM(COUNTIF(AJ42:BK42,{"I";"F";"CP";"R";"P";"AC";"AM"}))</f>
        <v>14</v>
      </c>
      <c r="NL42" s="138">
        <f t="shared" si="13"/>
        <v>0.6428571428571429</v>
      </c>
      <c r="NM42" s="8">
        <f t="shared" si="47"/>
        <v>15</v>
      </c>
      <c r="NN42" s="351" cm="1">
        <f t="array" ref="NN42">NETWORKDAYS($BL$2,$CP$2)- SUM(COUNTIF(BL42:CP42,{"I";"F";"CP";"R";"P";"AC";"AM"}))</f>
        <v>21</v>
      </c>
      <c r="NO42" s="138">
        <f t="shared" si="14"/>
        <v>0.7142857142857143</v>
      </c>
      <c r="NP42" s="8">
        <f t="shared" si="48"/>
        <v>23</v>
      </c>
      <c r="NQ42" s="351" cm="1">
        <f t="array" ref="NQ42">NETWORKDAYS($CQ$2,$DT$2,$CV$2)- SUM(COUNTIF(CQ42:DT42,{"I";"F";"CP";"R";"P";"AC";"AM"}))</f>
        <v>20</v>
      </c>
      <c r="NR42" s="138">
        <f t="shared" si="15"/>
        <v>1.1499999999999999</v>
      </c>
      <c r="NS42" s="8">
        <f t="shared" si="49"/>
        <v>0</v>
      </c>
      <c r="NT42" s="351" cm="1">
        <f t="array" ref="NT42">NETWORKDAYS($DV$2,$EY$2)-SUM(COUNTIF(DV42:EY42,{"I";"F";"CP";"R";"P";"AC";"AM"}))</f>
        <v>16</v>
      </c>
      <c r="NU42" s="138">
        <f t="shared" si="16"/>
        <v>0</v>
      </c>
      <c r="NV42" s="8">
        <f t="shared" si="27"/>
        <v>0</v>
      </c>
      <c r="NW42" s="351" cm="1">
        <f t="array" ref="NW42">NETWORKDAYS($EZ$2,$GC$2)-SUM(COUNTIF(EZ42:GC42,{"I";"F";"CP";"R";"P";"AC";"AM"}))</f>
        <v>22</v>
      </c>
      <c r="NX42" s="138">
        <f t="shared" si="28"/>
        <v>0</v>
      </c>
      <c r="NY42" s="8">
        <f t="shared" si="29"/>
        <v>0</v>
      </c>
      <c r="NZ42" s="351" cm="1">
        <f t="array" ref="NZ42">NETWORKDAYS($GD$2,$HH$2,$GQ$2)-SUM(COUNTIF(GD42:HH42,{"I";"F";"CP";"R";"P";"AC";"AM"}))</f>
        <v>21</v>
      </c>
      <c r="OA42" s="138">
        <f t="shared" si="30"/>
        <v>0</v>
      </c>
      <c r="OB42" s="8">
        <f t="shared" si="31"/>
        <v>0</v>
      </c>
      <c r="OC42" s="351" cm="1">
        <f t="array" ref="OC42">NETWORKDAYS($HI$2,$IM$2)-SUM(COUNTIF(HI42:IM42,{"I";"F";"CP";"R";"P";"AC";"AM"}))</f>
        <v>21</v>
      </c>
      <c r="OD42" s="138">
        <f t="shared" si="32"/>
        <v>0</v>
      </c>
      <c r="OE42" s="8">
        <f t="shared" si="33"/>
        <v>0</v>
      </c>
      <c r="OF42" s="351" cm="1">
        <f t="array" ref="OF42">NETWORKDAYS($IN$2,$JQ$2)-SUM(COUNTIF(IN42:JQ42,{"I";"F";"CP";"R";"P";"AC";"AM"}))</f>
        <v>22</v>
      </c>
      <c r="OG42" s="138">
        <f t="shared" si="34"/>
        <v>0</v>
      </c>
      <c r="OH42" s="8">
        <f t="shared" si="35"/>
        <v>0</v>
      </c>
      <c r="OI42" s="351" cm="1">
        <f t="array" ref="OI42">NETWORKDAYS($JR$2,$KV$2)-SUM(COUNTIF(JR42:KV42,{"I";"F";"CP";"R";"P";"AC";"AM"}))</f>
        <v>22</v>
      </c>
      <c r="OJ42" s="138">
        <f t="shared" si="36"/>
        <v>0</v>
      </c>
      <c r="OK42" s="8">
        <f t="shared" si="37"/>
        <v>0</v>
      </c>
      <c r="OL42" s="351" cm="1">
        <f t="array" ref="OL42">NETWORKDAYS($KW$2,$LZ$2,$LG$2)-SUM(COUNTIF(KW42:LZ42,{"I";"F";"CP";"R";"P";"AC";"AM"}))</f>
        <v>19</v>
      </c>
      <c r="OM42" s="138">
        <f t="shared" si="38"/>
        <v>0</v>
      </c>
      <c r="ON42" s="8">
        <f t="shared" si="39"/>
        <v>0</v>
      </c>
      <c r="OO42" s="351" cm="1">
        <f t="array" ref="OO42">NETWORKDAYS($MA$2,$MR$2)-SUM(COUNTIF(MA42:MR42,{"I";"F";"CP";"R";"P";"AC";"AM"}))</f>
        <v>14</v>
      </c>
      <c r="OP42" s="138">
        <f t="shared" si="40"/>
        <v>0</v>
      </c>
      <c r="OQ42" s="94">
        <f t="shared" si="41"/>
        <v>55</v>
      </c>
      <c r="OR42" s="94">
        <f t="shared" si="42"/>
        <v>231</v>
      </c>
      <c r="OS42" s="138">
        <f t="shared" si="43"/>
        <v>0.23809523809523808</v>
      </c>
    </row>
    <row r="43" spans="1:409" ht="18" hidden="1" customHeight="1" x14ac:dyDescent="0.25">
      <c r="A43" s="93" t="s">
        <v>54</v>
      </c>
      <c r="B43" s="95" t="s">
        <v>34</v>
      </c>
      <c r="C43" s="89" t="s">
        <v>160</v>
      </c>
      <c r="D43" s="89" t="s">
        <v>214</v>
      </c>
      <c r="E43" s="128"/>
      <c r="F43" s="110"/>
      <c r="G43" s="110"/>
      <c r="H43" s="110"/>
      <c r="I43" s="25">
        <v>1</v>
      </c>
      <c r="J43" s="25">
        <v>1</v>
      </c>
      <c r="K43" s="25">
        <v>1</v>
      </c>
      <c r="L43" s="25"/>
      <c r="M43" s="25"/>
      <c r="N43" s="110"/>
      <c r="O43" s="110"/>
      <c r="P43" s="25">
        <v>1</v>
      </c>
      <c r="Q43" s="25">
        <v>1</v>
      </c>
      <c r="R43" s="25">
        <v>1</v>
      </c>
      <c r="S43" s="25">
        <v>1</v>
      </c>
      <c r="T43" s="25"/>
      <c r="U43" s="110"/>
      <c r="V43" s="110"/>
      <c r="W43" s="25">
        <v>1</v>
      </c>
      <c r="X43" s="25"/>
      <c r="Y43" s="25">
        <v>1</v>
      </c>
      <c r="Z43" s="25"/>
      <c r="AA43" s="25">
        <v>1</v>
      </c>
      <c r="AB43" s="110"/>
      <c r="AC43" s="110"/>
      <c r="AD43" s="25">
        <v>1</v>
      </c>
      <c r="AE43" s="25">
        <v>1</v>
      </c>
      <c r="AF43" s="25">
        <v>1</v>
      </c>
      <c r="AG43" s="25">
        <v>1</v>
      </c>
      <c r="AH43" s="25"/>
      <c r="AI43" s="110"/>
      <c r="AJ43" s="110"/>
      <c r="AK43" s="25">
        <v>1</v>
      </c>
      <c r="AL43" s="25"/>
      <c r="AM43" s="25">
        <v>1</v>
      </c>
      <c r="AN43" s="25">
        <v>1</v>
      </c>
      <c r="AO43" s="25"/>
      <c r="AP43" s="110"/>
      <c r="AQ43" s="110"/>
      <c r="AR43" s="25">
        <v>1</v>
      </c>
      <c r="AS43" s="25">
        <v>1</v>
      </c>
      <c r="AT43" s="25">
        <v>1</v>
      </c>
      <c r="AV43" s="25">
        <v>1</v>
      </c>
      <c r="AW43" s="110"/>
      <c r="AX43" s="110"/>
      <c r="AY43" s="25">
        <v>1</v>
      </c>
      <c r="AZ43" s="25"/>
      <c r="BA43" s="25"/>
      <c r="BB43" s="25">
        <v>1</v>
      </c>
      <c r="BC43" s="25">
        <v>1</v>
      </c>
      <c r="BD43" s="110"/>
      <c r="BE43" s="110"/>
      <c r="BF43" s="25">
        <v>1</v>
      </c>
      <c r="BG43" s="25">
        <v>1</v>
      </c>
      <c r="BH43" s="25">
        <v>1</v>
      </c>
      <c r="BI43" s="25">
        <v>1</v>
      </c>
      <c r="BJ43" s="25">
        <v>1</v>
      </c>
      <c r="BK43" s="110"/>
      <c r="BL43" s="110"/>
      <c r="BM43" s="25">
        <v>1</v>
      </c>
      <c r="BN43" s="25">
        <v>1</v>
      </c>
      <c r="BO43" s="25">
        <v>1</v>
      </c>
      <c r="BP43" s="25">
        <v>1</v>
      </c>
      <c r="BQ43" s="25">
        <v>1</v>
      </c>
      <c r="BR43" s="110"/>
      <c r="BS43" s="110"/>
      <c r="BT43" s="25">
        <v>1</v>
      </c>
      <c r="BU43" s="25"/>
      <c r="BV43" s="25">
        <v>1</v>
      </c>
      <c r="BW43" s="25">
        <v>1</v>
      </c>
      <c r="BX43" s="25"/>
      <c r="BY43" s="110"/>
      <c r="BZ43" s="110"/>
      <c r="CA43" s="25">
        <v>1</v>
      </c>
      <c r="CB43" s="25">
        <v>1</v>
      </c>
      <c r="CC43" s="25">
        <v>1</v>
      </c>
      <c r="CD43" s="25">
        <v>1</v>
      </c>
      <c r="CE43" s="25">
        <v>1</v>
      </c>
      <c r="CF43" s="110"/>
      <c r="CG43" s="110"/>
      <c r="CH43" s="25">
        <v>1</v>
      </c>
      <c r="CI43" s="25">
        <v>1</v>
      </c>
      <c r="CJ43" s="25">
        <v>1</v>
      </c>
      <c r="CK43" s="25">
        <v>1</v>
      </c>
      <c r="CL43" s="25">
        <v>1</v>
      </c>
      <c r="CM43" s="110"/>
      <c r="CN43" s="110"/>
      <c r="CO43" s="25">
        <v>1</v>
      </c>
      <c r="CP43" s="25">
        <v>1</v>
      </c>
      <c r="CQ43" s="25">
        <v>1</v>
      </c>
      <c r="CR43" s="25">
        <v>1</v>
      </c>
      <c r="CS43" s="25">
        <v>1</v>
      </c>
      <c r="CT43" s="110"/>
      <c r="CU43" s="110"/>
      <c r="CV43" s="110"/>
      <c r="CW43" s="25">
        <v>1</v>
      </c>
      <c r="CX43" s="25">
        <v>1</v>
      </c>
      <c r="CY43" s="25">
        <v>1</v>
      </c>
      <c r="CZ43" s="25">
        <v>1</v>
      </c>
      <c r="DA43" s="110"/>
      <c r="DB43" s="110"/>
      <c r="DC43" s="25" t="s">
        <v>449</v>
      </c>
      <c r="DD43" s="25">
        <v>1</v>
      </c>
      <c r="DE43" s="25">
        <v>1</v>
      </c>
      <c r="DF43" s="25">
        <v>1</v>
      </c>
      <c r="DG43" s="25">
        <v>1</v>
      </c>
      <c r="DH43" s="110"/>
      <c r="DI43" s="110"/>
      <c r="DJ43" s="25">
        <v>1</v>
      </c>
      <c r="DK43" s="25">
        <v>1</v>
      </c>
      <c r="DL43" s="25"/>
      <c r="DM43" s="25">
        <v>1</v>
      </c>
      <c r="DN43" s="25">
        <v>1</v>
      </c>
      <c r="DO43" s="110"/>
      <c r="DP43" s="110"/>
      <c r="DQ43" s="25">
        <v>1</v>
      </c>
      <c r="DR43" s="25">
        <v>1</v>
      </c>
      <c r="DS43" s="25">
        <v>1</v>
      </c>
      <c r="DT43" s="25">
        <v>1</v>
      </c>
      <c r="DU43" s="110" t="s">
        <v>445</v>
      </c>
      <c r="DV43" s="110"/>
      <c r="DW43" s="110"/>
      <c r="DX43" s="25"/>
      <c r="DY43" s="25"/>
      <c r="DZ43" s="25"/>
      <c r="EA43" s="25"/>
      <c r="EB43" s="110" t="s">
        <v>445</v>
      </c>
      <c r="EC43" s="110"/>
      <c r="ED43" s="110"/>
      <c r="EE43" s="25"/>
      <c r="EF43" s="25"/>
      <c r="EG43" s="25"/>
      <c r="EH43" s="110" t="s">
        <v>445</v>
      </c>
      <c r="EI43" s="110" t="s">
        <v>445</v>
      </c>
      <c r="EJ43" s="110"/>
      <c r="EK43" s="110"/>
      <c r="EL43" s="25"/>
      <c r="EM43" s="25"/>
      <c r="EN43" s="25"/>
      <c r="EO43" s="25"/>
      <c r="EP43" s="25"/>
      <c r="EQ43" s="110"/>
      <c r="ER43" s="110"/>
      <c r="ES43" s="110" t="s">
        <v>445</v>
      </c>
      <c r="ET43" s="25"/>
      <c r="EU43" s="25"/>
      <c r="EV43" s="25"/>
      <c r="EW43" s="25"/>
      <c r="EX43" s="110"/>
      <c r="EY43" s="110"/>
      <c r="EZ43" s="25"/>
      <c r="FA43" s="25"/>
      <c r="FB43" s="25"/>
      <c r="FC43" s="25"/>
      <c r="FD43" s="25"/>
      <c r="FE43" s="110"/>
      <c r="FF43" s="110"/>
      <c r="FG43" s="25"/>
      <c r="FH43" s="25"/>
      <c r="FI43" s="25"/>
      <c r="FJ43" s="25"/>
      <c r="FK43" s="25"/>
      <c r="FL43" s="110"/>
      <c r="FM43" s="110"/>
      <c r="FN43" s="25"/>
      <c r="FO43" s="25"/>
      <c r="FP43" s="25"/>
      <c r="FQ43" s="25"/>
      <c r="FR43" s="25"/>
      <c r="FS43" s="110"/>
      <c r="FT43" s="110"/>
      <c r="FU43" s="25"/>
      <c r="FV43" s="25"/>
      <c r="FW43" s="25"/>
      <c r="FX43" s="25"/>
      <c r="FY43" s="25"/>
      <c r="FZ43" s="110"/>
      <c r="GA43" s="110"/>
      <c r="GB43" s="25"/>
      <c r="GC43" s="25"/>
      <c r="GD43" s="25"/>
      <c r="GE43" s="25"/>
      <c r="GF43" s="25"/>
      <c r="GG43" s="110"/>
      <c r="GH43" s="110"/>
      <c r="GI43" s="25"/>
      <c r="GJ43" s="25"/>
      <c r="GK43" s="25"/>
      <c r="GL43" s="25"/>
      <c r="GM43" s="25"/>
      <c r="GN43" s="110"/>
      <c r="GO43" s="110"/>
      <c r="GP43" s="110" t="s">
        <v>445</v>
      </c>
      <c r="GQ43" s="110"/>
      <c r="GR43" s="25"/>
      <c r="GS43" s="25"/>
      <c r="GT43" s="25"/>
      <c r="GU43" s="110"/>
      <c r="GV43" s="110"/>
      <c r="GW43" s="25"/>
      <c r="GX43" s="25"/>
      <c r="GY43" s="25"/>
      <c r="GZ43" s="25"/>
      <c r="HA43" s="25"/>
      <c r="HB43" s="110"/>
      <c r="HC43" s="110"/>
      <c r="HD43" s="25"/>
      <c r="HE43" s="25"/>
      <c r="HF43" s="25"/>
      <c r="HG43" s="25"/>
      <c r="HH43" s="25"/>
      <c r="HI43" s="110"/>
      <c r="HJ43" s="110"/>
      <c r="HK43" s="25"/>
      <c r="HL43" s="25"/>
      <c r="HM43" s="25"/>
      <c r="HN43" s="25"/>
      <c r="HO43" s="25"/>
      <c r="HP43" s="110"/>
      <c r="HQ43" s="110"/>
      <c r="HR43" s="25"/>
      <c r="HS43" s="25"/>
      <c r="HT43" s="25"/>
      <c r="HU43" s="25"/>
      <c r="HV43" s="25"/>
      <c r="HW43" s="110"/>
      <c r="HX43" s="110"/>
      <c r="HY43" s="25"/>
      <c r="HZ43" s="25"/>
      <c r="IA43" s="25"/>
      <c r="IB43" s="25"/>
      <c r="IC43" s="25"/>
      <c r="ID43" s="110"/>
      <c r="IE43" s="110"/>
      <c r="IF43" s="25"/>
      <c r="IG43" s="25"/>
      <c r="IH43" s="25"/>
      <c r="II43" s="25"/>
      <c r="IJ43" s="25"/>
      <c r="IK43" s="110"/>
      <c r="IL43" s="110"/>
      <c r="IM43" s="25"/>
      <c r="IN43" s="25"/>
      <c r="IO43" s="25"/>
      <c r="IP43" s="25"/>
      <c r="IQ43" s="25"/>
      <c r="IR43" s="110"/>
      <c r="IS43" s="110"/>
      <c r="IT43" s="25"/>
      <c r="IU43" s="25"/>
      <c r="IV43" s="25"/>
      <c r="IW43" s="25"/>
      <c r="IX43" s="25"/>
      <c r="IY43" s="110"/>
      <c r="IZ43" s="110"/>
      <c r="JA43" s="25"/>
      <c r="JB43" s="25"/>
      <c r="JC43" s="25"/>
      <c r="JD43" s="25"/>
      <c r="JE43" s="25"/>
      <c r="JF43" s="110"/>
      <c r="JG43" s="110"/>
      <c r="JH43" s="25"/>
      <c r="JI43" s="25"/>
      <c r="JJ43" s="25"/>
      <c r="JK43" s="25"/>
      <c r="JL43" s="25"/>
      <c r="JM43" s="110"/>
      <c r="JN43" s="110"/>
      <c r="JO43" s="25"/>
      <c r="JP43" s="25"/>
      <c r="JQ43" s="25"/>
      <c r="JR43" s="25"/>
      <c r="JS43" s="25"/>
      <c r="JT43" s="110"/>
      <c r="JU43" s="110"/>
      <c r="JV43" s="25"/>
      <c r="JW43" s="25"/>
      <c r="JX43" s="25"/>
      <c r="JY43" s="25"/>
      <c r="JZ43" s="25"/>
      <c r="KA43" s="110"/>
      <c r="KB43" s="110"/>
      <c r="KC43" s="25"/>
      <c r="KD43" s="25"/>
      <c r="KE43" s="25"/>
      <c r="KF43" s="25"/>
      <c r="KG43" s="25"/>
      <c r="KH43" s="110"/>
      <c r="KI43" s="110"/>
      <c r="KJ43" s="25"/>
      <c r="KK43" s="25"/>
      <c r="KL43" s="25"/>
      <c r="KM43" s="25"/>
      <c r="KN43" s="25"/>
      <c r="KO43" s="110"/>
      <c r="KP43" s="110"/>
      <c r="KQ43" s="25"/>
      <c r="KR43" s="25"/>
      <c r="KS43" s="25"/>
      <c r="KT43" s="25"/>
      <c r="KU43" s="25"/>
      <c r="KV43" s="110"/>
      <c r="KW43" s="110"/>
      <c r="KX43" s="25"/>
      <c r="KY43" s="25"/>
      <c r="KZ43" s="25"/>
      <c r="LA43" s="25"/>
      <c r="LB43" s="25"/>
      <c r="LC43" s="110"/>
      <c r="LD43" s="110"/>
      <c r="LE43" s="25"/>
      <c r="LF43" s="25"/>
      <c r="LG43" s="110" t="s">
        <v>445</v>
      </c>
      <c r="LH43" s="25"/>
      <c r="LI43" s="25"/>
      <c r="LJ43" s="110"/>
      <c r="LK43" s="110"/>
      <c r="LL43" s="25"/>
      <c r="LM43" s="25"/>
      <c r="LN43" s="25"/>
      <c r="LO43" s="25"/>
      <c r="LP43" s="25"/>
      <c r="LQ43" s="110"/>
      <c r="LR43" s="110"/>
      <c r="LS43" s="25"/>
      <c r="LT43" s="25"/>
      <c r="LU43" s="25"/>
      <c r="LV43" s="25"/>
      <c r="LW43" s="25"/>
      <c r="LX43" s="110"/>
      <c r="LY43" s="110"/>
      <c r="LZ43" s="25"/>
      <c r="MA43" s="25"/>
      <c r="MB43" s="25"/>
      <c r="MC43" s="25"/>
      <c r="MD43" s="25"/>
      <c r="ME43" s="110"/>
      <c r="MF43" s="110"/>
      <c r="MG43" s="25"/>
      <c r="MH43" s="25"/>
      <c r="MI43" s="25"/>
      <c r="MJ43" s="25"/>
      <c r="MK43" s="25"/>
      <c r="ML43" s="110"/>
      <c r="MM43" s="110"/>
      <c r="MN43" s="25"/>
      <c r="MO43" s="25"/>
      <c r="MP43" s="25"/>
      <c r="MQ43" s="25"/>
      <c r="MR43" s="25"/>
      <c r="MS43" s="110"/>
      <c r="MT43" s="110"/>
      <c r="MU43" s="25"/>
      <c r="MV43" s="25"/>
      <c r="MW43" s="25"/>
      <c r="MX43" s="25"/>
      <c r="MY43" s="25"/>
      <c r="MZ43" s="110"/>
      <c r="NA43" s="110"/>
      <c r="NB43" s="25"/>
      <c r="NC43" s="25"/>
      <c r="ND43" s="25"/>
      <c r="NE43" s="129"/>
      <c r="NF43" s="111"/>
      <c r="NG43" s="8">
        <f t="shared" si="45"/>
        <v>14</v>
      </c>
      <c r="NH43" s="351" cm="1">
        <f t="array" ref="NH43">NETWORKDAYS($I$2,$AH$2)- SUM(COUNTIF(I43:AH43,{"I";"F";"CP";"R";"P";"AC";"AM"}))</f>
        <v>20</v>
      </c>
      <c r="NI43" s="138">
        <f t="shared" si="12"/>
        <v>0.7</v>
      </c>
      <c r="NJ43" s="8">
        <f t="shared" si="46"/>
        <v>15</v>
      </c>
      <c r="NK43" s="351" cm="1">
        <f t="array" ref="NK43">NETWORKDAYS($AJ$2,$BK$2)- SUM(COUNTIF(AJ43:BK43,{"I";"F";"CP";"R";"P";"AC";"AM"}))</f>
        <v>20</v>
      </c>
      <c r="NL43" s="138">
        <f t="shared" si="13"/>
        <v>0.75</v>
      </c>
      <c r="NM43" s="8">
        <f t="shared" si="47"/>
        <v>20</v>
      </c>
      <c r="NN43" s="351" cm="1">
        <f t="array" ref="NN43">NETWORKDAYS($BL$2,$CP$2)- SUM(COUNTIF(BL43:CP43,{"I";"F";"CP";"R";"P";"AC";"AM"}))</f>
        <v>22</v>
      </c>
      <c r="NO43" s="138">
        <f t="shared" si="14"/>
        <v>0.90909090909090906</v>
      </c>
      <c r="NP43" s="8">
        <f t="shared" si="48"/>
        <v>19</v>
      </c>
      <c r="NQ43" s="351" cm="1">
        <f t="array" ref="NQ43">NETWORKDAYS($CQ$2,$DT$2,$CV$2)- SUM(COUNTIF(CQ43:DT43,{"I";"F";"CP";"R";"P";"AC";"AM"}))</f>
        <v>20</v>
      </c>
      <c r="NR43" s="138">
        <f t="shared" si="15"/>
        <v>0.95</v>
      </c>
      <c r="NS43" s="8">
        <f t="shared" si="49"/>
        <v>0</v>
      </c>
      <c r="NT43" s="351" cm="1">
        <f t="array" ref="NT43">NETWORKDAYS($DV$2,$EY$2)-SUM(COUNTIF(DV43:EY43,{"I";"F";"CP";"R";"P";"AC";"AM"}))</f>
        <v>16</v>
      </c>
      <c r="NU43" s="138">
        <f t="shared" si="16"/>
        <v>0</v>
      </c>
      <c r="NV43" s="8">
        <f t="shared" si="27"/>
        <v>0</v>
      </c>
      <c r="NW43" s="351" cm="1">
        <f t="array" ref="NW43">NETWORKDAYS($EZ$2,$GC$2)-SUM(COUNTIF(EZ43:GC43,{"I";"F";"CP";"R";"P";"AC";"AM"}))</f>
        <v>22</v>
      </c>
      <c r="NX43" s="138">
        <f t="shared" si="28"/>
        <v>0</v>
      </c>
      <c r="NY43" s="8">
        <f t="shared" si="29"/>
        <v>0</v>
      </c>
      <c r="NZ43" s="351" cm="1">
        <f t="array" ref="NZ43">NETWORKDAYS($GD$2,$HH$2,$GQ$2)-SUM(COUNTIF(GD43:HH43,{"I";"F";"CP";"R";"P";"AC";"AM"}))</f>
        <v>21</v>
      </c>
      <c r="OA43" s="138">
        <f t="shared" si="30"/>
        <v>0</v>
      </c>
      <c r="OB43" s="8">
        <f t="shared" si="31"/>
        <v>0</v>
      </c>
      <c r="OC43" s="351" cm="1">
        <f t="array" ref="OC43">NETWORKDAYS($HI$2,$IM$2)-SUM(COUNTIF(HI43:IM43,{"I";"F";"CP";"R";"P";"AC";"AM"}))</f>
        <v>21</v>
      </c>
      <c r="OD43" s="138">
        <f t="shared" si="32"/>
        <v>0</v>
      </c>
      <c r="OE43" s="8">
        <f t="shared" si="33"/>
        <v>0</v>
      </c>
      <c r="OF43" s="351" cm="1">
        <f t="array" ref="OF43">NETWORKDAYS($IN$2,$JQ$2)-SUM(COUNTIF(IN43:JQ43,{"I";"F";"CP";"R";"P";"AC";"AM"}))</f>
        <v>22</v>
      </c>
      <c r="OG43" s="138">
        <f t="shared" si="34"/>
        <v>0</v>
      </c>
      <c r="OH43" s="8">
        <f t="shared" si="35"/>
        <v>0</v>
      </c>
      <c r="OI43" s="351" cm="1">
        <f t="array" ref="OI43">NETWORKDAYS($JR$2,$KV$2)-SUM(COUNTIF(JR43:KV43,{"I";"F";"CP";"R";"P";"AC";"AM"}))</f>
        <v>22</v>
      </c>
      <c r="OJ43" s="138">
        <f t="shared" si="36"/>
        <v>0</v>
      </c>
      <c r="OK43" s="8">
        <f t="shared" si="37"/>
        <v>0</v>
      </c>
      <c r="OL43" s="351" cm="1">
        <f t="array" ref="OL43">NETWORKDAYS($KW$2,$LZ$2,$LG$2)-SUM(COUNTIF(KW43:LZ43,{"I";"F";"CP";"R";"P";"AC";"AM"}))</f>
        <v>19</v>
      </c>
      <c r="OM43" s="138">
        <f t="shared" si="38"/>
        <v>0</v>
      </c>
      <c r="ON43" s="8">
        <f t="shared" si="39"/>
        <v>0</v>
      </c>
      <c r="OO43" s="351" cm="1">
        <f t="array" ref="OO43">NETWORKDAYS($MA$2,$MR$2)-SUM(COUNTIF(MA43:MR43,{"I";"F";"CP";"R";"P";"AC";"AM"}))</f>
        <v>14</v>
      </c>
      <c r="OP43" s="138">
        <f t="shared" si="40"/>
        <v>0</v>
      </c>
      <c r="OQ43" s="94">
        <f t="shared" si="41"/>
        <v>68</v>
      </c>
      <c r="OR43" s="94">
        <f t="shared" si="42"/>
        <v>239</v>
      </c>
      <c r="OS43" s="138">
        <f t="shared" si="43"/>
        <v>0.28451882845188287</v>
      </c>
    </row>
    <row r="44" spans="1:409" ht="18" hidden="1" customHeight="1" x14ac:dyDescent="0.25">
      <c r="A44" s="93" t="s">
        <v>54</v>
      </c>
      <c r="B44" s="95" t="s">
        <v>34</v>
      </c>
      <c r="C44" s="89" t="s">
        <v>160</v>
      </c>
      <c r="D44" s="89" t="s">
        <v>215</v>
      </c>
      <c r="E44" s="128"/>
      <c r="F44" s="110"/>
      <c r="G44" s="110"/>
      <c r="H44" s="110"/>
      <c r="I44" s="25">
        <v>1</v>
      </c>
      <c r="J44" s="25">
        <v>1</v>
      </c>
      <c r="K44" s="25">
        <v>1</v>
      </c>
      <c r="L44" s="25"/>
      <c r="M44" s="25"/>
      <c r="N44" s="110"/>
      <c r="O44" s="110"/>
      <c r="P44" s="25">
        <v>1</v>
      </c>
      <c r="Q44" s="25">
        <v>1</v>
      </c>
      <c r="R44" s="25">
        <v>1</v>
      </c>
      <c r="S44" s="25">
        <v>1</v>
      </c>
      <c r="T44" s="25"/>
      <c r="U44" s="110"/>
      <c r="V44" s="110"/>
      <c r="W44" s="25">
        <v>1</v>
      </c>
      <c r="X44" s="25">
        <v>1</v>
      </c>
      <c r="Y44" s="25">
        <v>1</v>
      </c>
      <c r="Z44" s="25"/>
      <c r="AA44" s="25"/>
      <c r="AB44" s="110"/>
      <c r="AC44" s="110"/>
      <c r="AD44" s="25">
        <v>1</v>
      </c>
      <c r="AE44" s="25">
        <v>1</v>
      </c>
      <c r="AF44" s="25"/>
      <c r="AG44" s="25">
        <v>1</v>
      </c>
      <c r="AH44" s="25">
        <v>1</v>
      </c>
      <c r="AI44" s="110"/>
      <c r="AJ44" s="110"/>
      <c r="AK44" s="25">
        <v>1</v>
      </c>
      <c r="AL44" s="25">
        <v>1</v>
      </c>
      <c r="AM44" s="25">
        <v>1</v>
      </c>
      <c r="AN44" s="25"/>
      <c r="AO44" s="25">
        <v>1</v>
      </c>
      <c r="AP44" s="110"/>
      <c r="AQ44" s="110"/>
      <c r="AR44" s="25">
        <v>1</v>
      </c>
      <c r="AS44" s="25"/>
      <c r="AT44" s="25"/>
      <c r="AV44" s="25">
        <v>1</v>
      </c>
      <c r="AW44" s="110"/>
      <c r="AX44" s="110"/>
      <c r="AY44" s="25">
        <v>1</v>
      </c>
      <c r="AZ44" s="25">
        <v>1</v>
      </c>
      <c r="BA44" s="25">
        <v>1</v>
      </c>
      <c r="BB44" s="25"/>
      <c r="BC44" s="25">
        <v>1</v>
      </c>
      <c r="BD44" s="110"/>
      <c r="BE44" s="110"/>
      <c r="BF44" s="25"/>
      <c r="BG44" s="25"/>
      <c r="BH44" s="25"/>
      <c r="BI44" s="25"/>
      <c r="BJ44" s="25"/>
      <c r="BK44" s="110"/>
      <c r="BL44" s="110"/>
      <c r="BM44" s="25">
        <v>1</v>
      </c>
      <c r="BN44" s="25">
        <v>1</v>
      </c>
      <c r="BO44" s="25">
        <v>1</v>
      </c>
      <c r="BP44" s="25">
        <v>1</v>
      </c>
      <c r="BQ44" s="25">
        <v>1</v>
      </c>
      <c r="BR44" s="110"/>
      <c r="BS44" s="110"/>
      <c r="BT44" s="25"/>
      <c r="BU44" s="25">
        <v>1</v>
      </c>
      <c r="BV44" s="25">
        <v>1</v>
      </c>
      <c r="BW44" s="25">
        <v>1</v>
      </c>
      <c r="BX44" s="25">
        <v>1</v>
      </c>
      <c r="BY44" s="110"/>
      <c r="BZ44" s="110"/>
      <c r="CA44" s="25">
        <v>1</v>
      </c>
      <c r="CB44" s="25">
        <v>1</v>
      </c>
      <c r="CC44" s="25">
        <v>1</v>
      </c>
      <c r="CD44" s="25">
        <v>1</v>
      </c>
      <c r="CE44" s="25">
        <v>1</v>
      </c>
      <c r="CF44" s="110"/>
      <c r="CG44" s="110"/>
      <c r="CH44" s="25">
        <v>1</v>
      </c>
      <c r="CI44" s="25">
        <v>1</v>
      </c>
      <c r="CJ44" s="25">
        <v>1</v>
      </c>
      <c r="CK44" s="25">
        <v>1</v>
      </c>
      <c r="CL44" s="25">
        <v>1</v>
      </c>
      <c r="CM44" s="110"/>
      <c r="CN44" s="110"/>
      <c r="CO44" s="25">
        <v>1</v>
      </c>
      <c r="CP44" s="25">
        <v>1</v>
      </c>
      <c r="CQ44" s="25">
        <v>1</v>
      </c>
      <c r="CR44" s="25">
        <v>1</v>
      </c>
      <c r="CS44" s="25">
        <v>1</v>
      </c>
      <c r="CT44" s="110"/>
      <c r="CU44" s="110"/>
      <c r="CV44" s="110"/>
      <c r="CW44" s="25">
        <v>1</v>
      </c>
      <c r="CX44" s="25">
        <v>1</v>
      </c>
      <c r="CY44" s="25">
        <v>1</v>
      </c>
      <c r="CZ44" s="25">
        <v>1</v>
      </c>
      <c r="DA44" s="110"/>
      <c r="DB44" s="110"/>
      <c r="DC44" s="25" t="s">
        <v>449</v>
      </c>
      <c r="DD44" s="25">
        <v>1</v>
      </c>
      <c r="DE44" s="25"/>
      <c r="DF44" s="25">
        <v>1</v>
      </c>
      <c r="DG44" s="25"/>
      <c r="DH44" s="110"/>
      <c r="DI44" s="110"/>
      <c r="DJ44" s="25" t="s">
        <v>223</v>
      </c>
      <c r="DK44" s="25"/>
      <c r="DL44" s="25">
        <v>1</v>
      </c>
      <c r="DM44" s="25">
        <v>1</v>
      </c>
      <c r="DN44" s="25">
        <v>1</v>
      </c>
      <c r="DO44" s="110"/>
      <c r="DP44" s="110"/>
      <c r="DQ44" s="25">
        <v>1</v>
      </c>
      <c r="DR44" s="25"/>
      <c r="DS44" s="25">
        <v>1</v>
      </c>
      <c r="DT44" s="25"/>
      <c r="DU44" s="110" t="s">
        <v>445</v>
      </c>
      <c r="DV44" s="110"/>
      <c r="DW44" s="110"/>
      <c r="DX44" s="25"/>
      <c r="DY44" s="25"/>
      <c r="DZ44" s="25"/>
      <c r="EA44" s="25"/>
      <c r="EB44" s="110" t="s">
        <v>445</v>
      </c>
      <c r="EC44" s="110"/>
      <c r="ED44" s="110"/>
      <c r="EE44" s="25"/>
      <c r="EF44" s="25"/>
      <c r="EG44" s="25"/>
      <c r="EH44" s="110" t="s">
        <v>445</v>
      </c>
      <c r="EI44" s="110" t="s">
        <v>445</v>
      </c>
      <c r="EJ44" s="110"/>
      <c r="EK44" s="110"/>
      <c r="EL44" s="25"/>
      <c r="EM44" s="25"/>
      <c r="EN44" s="25"/>
      <c r="EO44" s="25"/>
      <c r="EP44" s="25"/>
      <c r="EQ44" s="110"/>
      <c r="ER44" s="110"/>
      <c r="ES44" s="110" t="s">
        <v>445</v>
      </c>
      <c r="ET44" s="25"/>
      <c r="EU44" s="25"/>
      <c r="EV44" s="25"/>
      <c r="EW44" s="25"/>
      <c r="EX44" s="110"/>
      <c r="EY44" s="110"/>
      <c r="EZ44" s="25"/>
      <c r="FA44" s="25"/>
      <c r="FB44" s="25"/>
      <c r="FC44" s="25"/>
      <c r="FD44" s="25"/>
      <c r="FE44" s="110"/>
      <c r="FF44" s="110"/>
      <c r="FG44" s="25"/>
      <c r="FH44" s="25"/>
      <c r="FI44" s="25"/>
      <c r="FJ44" s="25"/>
      <c r="FK44" s="25"/>
      <c r="FL44" s="110"/>
      <c r="FM44" s="110"/>
      <c r="FN44" s="25"/>
      <c r="FO44" s="25"/>
      <c r="FP44" s="25"/>
      <c r="FQ44" s="25"/>
      <c r="FR44" s="25"/>
      <c r="FS44" s="110"/>
      <c r="FT44" s="110"/>
      <c r="FU44" s="25"/>
      <c r="FV44" s="25"/>
      <c r="FW44" s="25"/>
      <c r="FX44" s="25"/>
      <c r="FY44" s="25"/>
      <c r="FZ44" s="110"/>
      <c r="GA44" s="110"/>
      <c r="GB44" s="25"/>
      <c r="GC44" s="25"/>
      <c r="GD44" s="25"/>
      <c r="GE44" s="25"/>
      <c r="GF44" s="25"/>
      <c r="GG44" s="110"/>
      <c r="GH44" s="110"/>
      <c r="GI44" s="25"/>
      <c r="GJ44" s="25"/>
      <c r="GK44" s="25"/>
      <c r="GL44" s="25"/>
      <c r="GM44" s="25"/>
      <c r="GN44" s="110"/>
      <c r="GO44" s="110"/>
      <c r="GP44" s="110" t="s">
        <v>445</v>
      </c>
      <c r="GQ44" s="110"/>
      <c r="GR44" s="25"/>
      <c r="GS44" s="25"/>
      <c r="GT44" s="25"/>
      <c r="GU44" s="110"/>
      <c r="GV44" s="110"/>
      <c r="GW44" s="25"/>
      <c r="GX44" s="25"/>
      <c r="GY44" s="25"/>
      <c r="GZ44" s="25"/>
      <c r="HA44" s="25"/>
      <c r="HB44" s="110"/>
      <c r="HC44" s="110"/>
      <c r="HD44" s="25"/>
      <c r="HE44" s="25"/>
      <c r="HF44" s="25"/>
      <c r="HG44" s="25"/>
      <c r="HH44" s="25"/>
      <c r="HI44" s="110"/>
      <c r="HJ44" s="110"/>
      <c r="HK44" s="25"/>
      <c r="HL44" s="25"/>
      <c r="HM44" s="25"/>
      <c r="HN44" s="25"/>
      <c r="HO44" s="25"/>
      <c r="HP44" s="110"/>
      <c r="HQ44" s="110"/>
      <c r="HR44" s="25"/>
      <c r="HS44" s="25"/>
      <c r="HT44" s="25"/>
      <c r="HU44" s="25"/>
      <c r="HV44" s="25"/>
      <c r="HW44" s="110"/>
      <c r="HX44" s="110"/>
      <c r="HY44" s="25"/>
      <c r="HZ44" s="25"/>
      <c r="IA44" s="25"/>
      <c r="IB44" s="25"/>
      <c r="IC44" s="25"/>
      <c r="ID44" s="110"/>
      <c r="IE44" s="110"/>
      <c r="IF44" s="25"/>
      <c r="IG44" s="25"/>
      <c r="IH44" s="25"/>
      <c r="II44" s="25"/>
      <c r="IJ44" s="25"/>
      <c r="IK44" s="110"/>
      <c r="IL44" s="110"/>
      <c r="IM44" s="25"/>
      <c r="IN44" s="25"/>
      <c r="IO44" s="25"/>
      <c r="IP44" s="25"/>
      <c r="IQ44" s="25"/>
      <c r="IR44" s="110"/>
      <c r="IS44" s="110"/>
      <c r="IT44" s="25"/>
      <c r="IU44" s="25"/>
      <c r="IV44" s="25"/>
      <c r="IW44" s="25"/>
      <c r="IX44" s="25"/>
      <c r="IY44" s="110"/>
      <c r="IZ44" s="110"/>
      <c r="JA44" s="25"/>
      <c r="JB44" s="25"/>
      <c r="JC44" s="25"/>
      <c r="JD44" s="25"/>
      <c r="JE44" s="25"/>
      <c r="JF44" s="110"/>
      <c r="JG44" s="110"/>
      <c r="JH44" s="25"/>
      <c r="JI44" s="25"/>
      <c r="JJ44" s="25"/>
      <c r="JK44" s="25"/>
      <c r="JL44" s="25"/>
      <c r="JM44" s="110"/>
      <c r="JN44" s="110"/>
      <c r="JO44" s="25"/>
      <c r="JP44" s="25"/>
      <c r="JQ44" s="25"/>
      <c r="JR44" s="25"/>
      <c r="JS44" s="25"/>
      <c r="JT44" s="110"/>
      <c r="JU44" s="110"/>
      <c r="JV44" s="25"/>
      <c r="JW44" s="25"/>
      <c r="JX44" s="25"/>
      <c r="JY44" s="25"/>
      <c r="JZ44" s="25"/>
      <c r="KA44" s="110"/>
      <c r="KB44" s="110"/>
      <c r="KC44" s="25"/>
      <c r="KD44" s="25"/>
      <c r="KE44" s="25"/>
      <c r="KF44" s="25"/>
      <c r="KG44" s="25"/>
      <c r="KH44" s="110"/>
      <c r="KI44" s="110"/>
      <c r="KJ44" s="25"/>
      <c r="KK44" s="25"/>
      <c r="KL44" s="25"/>
      <c r="KM44" s="25"/>
      <c r="KN44" s="25"/>
      <c r="KO44" s="110"/>
      <c r="KP44" s="110"/>
      <c r="KQ44" s="25"/>
      <c r="KR44" s="25"/>
      <c r="KS44" s="25"/>
      <c r="KT44" s="25"/>
      <c r="KU44" s="25"/>
      <c r="KV44" s="110"/>
      <c r="KW44" s="110"/>
      <c r="KX44" s="25"/>
      <c r="KY44" s="25"/>
      <c r="KZ44" s="25"/>
      <c r="LA44" s="25"/>
      <c r="LB44" s="25"/>
      <c r="LC44" s="110"/>
      <c r="LD44" s="110"/>
      <c r="LE44" s="25"/>
      <c r="LF44" s="25"/>
      <c r="LG44" s="110" t="s">
        <v>445</v>
      </c>
      <c r="LH44" s="25"/>
      <c r="LI44" s="25"/>
      <c r="LJ44" s="110"/>
      <c r="LK44" s="110"/>
      <c r="LL44" s="25"/>
      <c r="LM44" s="25"/>
      <c r="LN44" s="25"/>
      <c r="LO44" s="25"/>
      <c r="LP44" s="25"/>
      <c r="LQ44" s="110"/>
      <c r="LR44" s="110"/>
      <c r="LS44" s="25"/>
      <c r="LT44" s="25"/>
      <c r="LU44" s="25"/>
      <c r="LV44" s="25"/>
      <c r="LW44" s="25"/>
      <c r="LX44" s="110"/>
      <c r="LY44" s="110"/>
      <c r="LZ44" s="25"/>
      <c r="MA44" s="25"/>
      <c r="MB44" s="25"/>
      <c r="MC44" s="25"/>
      <c r="MD44" s="25"/>
      <c r="ME44" s="110"/>
      <c r="MF44" s="110"/>
      <c r="MG44" s="25"/>
      <c r="MH44" s="25"/>
      <c r="MI44" s="25"/>
      <c r="MJ44" s="25"/>
      <c r="MK44" s="25"/>
      <c r="ML44" s="110"/>
      <c r="MM44" s="110"/>
      <c r="MN44" s="25"/>
      <c r="MO44" s="25"/>
      <c r="MP44" s="25"/>
      <c r="MQ44" s="25"/>
      <c r="MR44" s="25"/>
      <c r="MS44" s="110"/>
      <c r="MT44" s="110"/>
      <c r="MU44" s="25"/>
      <c r="MV44" s="25"/>
      <c r="MW44" s="25"/>
      <c r="MX44" s="25"/>
      <c r="MY44" s="25"/>
      <c r="MZ44" s="110"/>
      <c r="NA44" s="110"/>
      <c r="NB44" s="25"/>
      <c r="NC44" s="25"/>
      <c r="ND44" s="25"/>
      <c r="NE44" s="129"/>
      <c r="NF44" s="111"/>
      <c r="NG44" s="8">
        <f t="shared" si="45"/>
        <v>14</v>
      </c>
      <c r="NH44" s="351" cm="1">
        <f t="array" ref="NH44">NETWORKDAYS($I$2,$AH$2)- SUM(COUNTIF(I44:AH44,{"I";"F";"CP";"R";"P";"AC";"AM"}))</f>
        <v>20</v>
      </c>
      <c r="NI44" s="138">
        <f t="shared" si="12"/>
        <v>0.7</v>
      </c>
      <c r="NJ44" s="8">
        <f t="shared" si="46"/>
        <v>10</v>
      </c>
      <c r="NK44" s="351" cm="1">
        <f t="array" ref="NK44">NETWORKDAYS($AJ$2,$BK$2)- SUM(COUNTIF(AJ44:BK44,{"I";"F";"CP";"R";"P";"AC";"AM"}))</f>
        <v>20</v>
      </c>
      <c r="NL44" s="138">
        <f t="shared" si="13"/>
        <v>0.5</v>
      </c>
      <c r="NM44" s="8">
        <f t="shared" si="47"/>
        <v>21</v>
      </c>
      <c r="NN44" s="351" cm="1">
        <f t="array" ref="NN44">NETWORKDAYS($BL$2,$CP$2)- SUM(COUNTIF(BL44:CP44,{"I";"F";"CP";"R";"P";"AC";"AM"}))</f>
        <v>22</v>
      </c>
      <c r="NO44" s="138">
        <f t="shared" si="14"/>
        <v>0.95454545454545459</v>
      </c>
      <c r="NP44" s="8">
        <f t="shared" si="48"/>
        <v>14</v>
      </c>
      <c r="NQ44" s="351" cm="1">
        <f t="array" ref="NQ44">NETWORKDAYS($CQ$2,$DT$2,$CV$2)- SUM(COUNTIF(CQ44:DT44,{"I";"F";"CP";"R";"P";"AC";"AM"}))</f>
        <v>19</v>
      </c>
      <c r="NR44" s="138">
        <f t="shared" si="15"/>
        <v>0.73684210526315785</v>
      </c>
      <c r="NS44" s="8">
        <f t="shared" si="49"/>
        <v>0</v>
      </c>
      <c r="NT44" s="351" cm="1">
        <f t="array" ref="NT44">NETWORKDAYS($DV$2,$EY$2)-SUM(COUNTIF(DV44:EY44,{"I";"F";"CP";"R";"P";"AC";"AM"}))</f>
        <v>16</v>
      </c>
      <c r="NU44" s="138">
        <f t="shared" si="16"/>
        <v>0</v>
      </c>
      <c r="NV44" s="8">
        <f t="shared" si="27"/>
        <v>0</v>
      </c>
      <c r="NW44" s="351" cm="1">
        <f t="array" ref="NW44">NETWORKDAYS($EZ$2,$GC$2)-SUM(COUNTIF(EZ44:GC44,{"I";"F";"CP";"R";"P";"AC";"AM"}))</f>
        <v>22</v>
      </c>
      <c r="NX44" s="138">
        <f t="shared" si="28"/>
        <v>0</v>
      </c>
      <c r="NY44" s="8">
        <f t="shared" si="29"/>
        <v>0</v>
      </c>
      <c r="NZ44" s="351" cm="1">
        <f t="array" ref="NZ44">NETWORKDAYS($GD$2,$HH$2,$GQ$2)-SUM(COUNTIF(GD44:HH44,{"I";"F";"CP";"R";"P";"AC";"AM"}))</f>
        <v>21</v>
      </c>
      <c r="OA44" s="138">
        <f t="shared" si="30"/>
        <v>0</v>
      </c>
      <c r="OB44" s="8">
        <f t="shared" si="31"/>
        <v>0</v>
      </c>
      <c r="OC44" s="351" cm="1">
        <f t="array" ref="OC44">NETWORKDAYS($HI$2,$IM$2)-SUM(COUNTIF(HI44:IM44,{"I";"F";"CP";"R";"P";"AC";"AM"}))</f>
        <v>21</v>
      </c>
      <c r="OD44" s="138">
        <f t="shared" si="32"/>
        <v>0</v>
      </c>
      <c r="OE44" s="8">
        <f t="shared" si="33"/>
        <v>0</v>
      </c>
      <c r="OF44" s="351" cm="1">
        <f t="array" ref="OF44">NETWORKDAYS($IN$2,$JQ$2)-SUM(COUNTIF(IN44:JQ44,{"I";"F";"CP";"R";"P";"AC";"AM"}))</f>
        <v>22</v>
      </c>
      <c r="OG44" s="138">
        <f t="shared" si="34"/>
        <v>0</v>
      </c>
      <c r="OH44" s="8">
        <f t="shared" si="35"/>
        <v>0</v>
      </c>
      <c r="OI44" s="351" cm="1">
        <f t="array" ref="OI44">NETWORKDAYS($JR$2,$KV$2)-SUM(COUNTIF(JR44:KV44,{"I";"F";"CP";"R";"P";"AC";"AM"}))</f>
        <v>22</v>
      </c>
      <c r="OJ44" s="138">
        <f t="shared" si="36"/>
        <v>0</v>
      </c>
      <c r="OK44" s="8">
        <f t="shared" si="37"/>
        <v>0</v>
      </c>
      <c r="OL44" s="351" cm="1">
        <f t="array" ref="OL44">NETWORKDAYS($KW$2,$LZ$2,$LG$2)-SUM(COUNTIF(KW44:LZ44,{"I";"F";"CP";"R";"P";"AC";"AM"}))</f>
        <v>19</v>
      </c>
      <c r="OM44" s="138">
        <f t="shared" si="38"/>
        <v>0</v>
      </c>
      <c r="ON44" s="8">
        <f t="shared" si="39"/>
        <v>0</v>
      </c>
      <c r="OO44" s="351" cm="1">
        <f t="array" ref="OO44">NETWORKDAYS($MA$2,$MR$2)-SUM(COUNTIF(MA44:MR44,{"I";"F";"CP";"R";"P";"AC";"AM"}))</f>
        <v>14</v>
      </c>
      <c r="OP44" s="138">
        <f t="shared" si="40"/>
        <v>0</v>
      </c>
      <c r="OQ44" s="94">
        <f t="shared" si="41"/>
        <v>59</v>
      </c>
      <c r="OR44" s="94">
        <f t="shared" si="42"/>
        <v>238</v>
      </c>
      <c r="OS44" s="138">
        <f t="shared" si="43"/>
        <v>0.24789915966386555</v>
      </c>
    </row>
    <row r="45" spans="1:409" ht="18" hidden="1" customHeight="1" x14ac:dyDescent="0.25">
      <c r="A45" s="93" t="s">
        <v>109</v>
      </c>
      <c r="B45" s="95" t="s">
        <v>34</v>
      </c>
      <c r="C45" s="89" t="s">
        <v>166</v>
      </c>
      <c r="D45" s="89" t="s">
        <v>451</v>
      </c>
      <c r="E45" s="128"/>
      <c r="F45" s="110"/>
      <c r="G45" s="110"/>
      <c r="H45" s="110"/>
      <c r="I45" s="25"/>
      <c r="J45" s="25"/>
      <c r="K45" s="25"/>
      <c r="L45" s="25"/>
      <c r="M45" s="25"/>
      <c r="N45" s="110"/>
      <c r="O45" s="110"/>
      <c r="P45" s="25">
        <v>1</v>
      </c>
      <c r="Q45" s="25">
        <v>1</v>
      </c>
      <c r="R45" s="25">
        <v>1</v>
      </c>
      <c r="S45" s="25">
        <v>1</v>
      </c>
      <c r="T45" s="25">
        <v>1</v>
      </c>
      <c r="U45" s="110"/>
      <c r="V45" s="110"/>
      <c r="W45" s="25">
        <v>1</v>
      </c>
      <c r="X45" s="25">
        <v>1</v>
      </c>
      <c r="Y45" s="25">
        <v>1</v>
      </c>
      <c r="Z45" s="25"/>
      <c r="AA45" s="25"/>
      <c r="AB45" s="110"/>
      <c r="AC45" s="110"/>
      <c r="AD45" s="25">
        <v>1</v>
      </c>
      <c r="AE45" s="25">
        <v>1</v>
      </c>
      <c r="AF45" s="25"/>
      <c r="AG45" s="25">
        <v>1</v>
      </c>
      <c r="AH45" s="25">
        <v>1</v>
      </c>
      <c r="AI45" s="110"/>
      <c r="AJ45" s="110"/>
      <c r="AK45" s="25">
        <v>1</v>
      </c>
      <c r="AL45" s="25">
        <v>1</v>
      </c>
      <c r="AM45" s="25"/>
      <c r="AN45" s="25">
        <v>1</v>
      </c>
      <c r="AO45" s="25">
        <v>1</v>
      </c>
      <c r="AP45" s="110"/>
      <c r="AQ45" s="110"/>
      <c r="AR45" s="25">
        <v>1</v>
      </c>
      <c r="AS45" s="25">
        <v>1</v>
      </c>
      <c r="AT45" s="25">
        <v>1</v>
      </c>
      <c r="AV45" s="25">
        <v>1</v>
      </c>
      <c r="AW45" s="110"/>
      <c r="AX45" s="110"/>
      <c r="AY45" s="25">
        <v>1</v>
      </c>
      <c r="AZ45" s="25"/>
      <c r="BA45" s="25">
        <v>1</v>
      </c>
      <c r="BB45" s="25">
        <v>1</v>
      </c>
      <c r="BC45" s="25">
        <v>1</v>
      </c>
      <c r="BD45" s="110"/>
      <c r="BE45" s="110"/>
      <c r="BF45" s="25">
        <v>1</v>
      </c>
      <c r="BG45" s="25">
        <v>1</v>
      </c>
      <c r="BH45" s="25">
        <v>1</v>
      </c>
      <c r="BI45" s="25">
        <v>1</v>
      </c>
      <c r="BJ45" s="25">
        <v>1</v>
      </c>
      <c r="BK45" s="110"/>
      <c r="BL45" s="110"/>
      <c r="BM45" s="25"/>
      <c r="BN45" s="25"/>
      <c r="BO45" s="25"/>
      <c r="BP45" s="25"/>
      <c r="BQ45" s="25"/>
      <c r="BR45" s="110"/>
      <c r="BS45" s="110"/>
      <c r="BT45" s="25">
        <v>1</v>
      </c>
      <c r="BU45" s="25">
        <v>1</v>
      </c>
      <c r="BV45" s="25">
        <v>1</v>
      </c>
      <c r="BW45" s="25">
        <v>1</v>
      </c>
      <c r="BX45" s="25">
        <v>1</v>
      </c>
      <c r="BY45" s="110"/>
      <c r="BZ45" s="110"/>
      <c r="CA45" s="25">
        <v>1</v>
      </c>
      <c r="CB45" s="25">
        <v>1</v>
      </c>
      <c r="CC45" s="25">
        <v>1</v>
      </c>
      <c r="CD45" s="25">
        <v>1</v>
      </c>
      <c r="CE45" s="25">
        <v>1</v>
      </c>
      <c r="CF45" s="110"/>
      <c r="CG45" s="110"/>
      <c r="CH45" s="25"/>
      <c r="CI45" s="25"/>
      <c r="CJ45" s="25">
        <v>1</v>
      </c>
      <c r="CK45" s="25">
        <v>1</v>
      </c>
      <c r="CL45" s="25">
        <v>1</v>
      </c>
      <c r="CM45" s="110"/>
      <c r="CN45" s="110"/>
      <c r="CO45" s="25"/>
      <c r="CP45" s="25"/>
      <c r="CQ45" s="25"/>
      <c r="CR45" s="25"/>
      <c r="CS45" s="25"/>
      <c r="CT45" s="110"/>
      <c r="CU45" s="110"/>
      <c r="CV45" s="110"/>
      <c r="CW45" s="25"/>
      <c r="CX45" s="25">
        <v>1</v>
      </c>
      <c r="CY45" s="25">
        <v>1</v>
      </c>
      <c r="CZ45" s="25">
        <v>1</v>
      </c>
      <c r="DA45" s="110"/>
      <c r="DB45" s="110"/>
      <c r="DC45" s="25">
        <v>1</v>
      </c>
      <c r="DD45" s="25">
        <v>1</v>
      </c>
      <c r="DE45" s="25">
        <v>1</v>
      </c>
      <c r="DF45" s="25">
        <v>1</v>
      </c>
      <c r="DG45" s="25">
        <v>1</v>
      </c>
      <c r="DH45" s="110"/>
      <c r="DI45" s="110"/>
      <c r="DJ45" s="25">
        <v>1</v>
      </c>
      <c r="DK45" s="25">
        <v>1</v>
      </c>
      <c r="DL45" s="25">
        <v>1</v>
      </c>
      <c r="DM45" s="25">
        <v>1</v>
      </c>
      <c r="DN45" s="25">
        <v>1</v>
      </c>
      <c r="DO45" s="110"/>
      <c r="DP45" s="110"/>
      <c r="DQ45" s="25">
        <v>1</v>
      </c>
      <c r="DR45" s="25">
        <v>1</v>
      </c>
      <c r="DS45" s="25">
        <v>1</v>
      </c>
      <c r="DT45" s="25"/>
      <c r="DU45" s="110" t="s">
        <v>445</v>
      </c>
      <c r="DV45" s="110"/>
      <c r="DW45" s="110"/>
      <c r="DX45" s="25"/>
      <c r="DY45" s="25">
        <v>1</v>
      </c>
      <c r="DZ45" s="25"/>
      <c r="EA45" s="25"/>
      <c r="EB45" s="110" t="s">
        <v>445</v>
      </c>
      <c r="EC45" s="110"/>
      <c r="ED45" s="110"/>
      <c r="EE45" s="25"/>
      <c r="EF45" s="25"/>
      <c r="EG45" s="25"/>
      <c r="EH45" s="110" t="s">
        <v>445</v>
      </c>
      <c r="EI45" s="110" t="s">
        <v>445</v>
      </c>
      <c r="EJ45" s="110"/>
      <c r="EK45" s="110"/>
      <c r="EL45" s="25"/>
      <c r="EM45" s="25"/>
      <c r="EN45" s="25"/>
      <c r="EO45" s="25"/>
      <c r="EP45" s="25"/>
      <c r="EQ45" s="110"/>
      <c r="ER45" s="110"/>
      <c r="ES45" s="110" t="s">
        <v>445</v>
      </c>
      <c r="ET45" s="25"/>
      <c r="EU45" s="25"/>
      <c r="EV45" s="25"/>
      <c r="EW45" s="25"/>
      <c r="EX45" s="110"/>
      <c r="EY45" s="110"/>
      <c r="EZ45" s="25"/>
      <c r="FA45" s="25"/>
      <c r="FB45" s="25"/>
      <c r="FC45" s="25"/>
      <c r="FD45" s="25"/>
      <c r="FE45" s="110"/>
      <c r="FF45" s="110"/>
      <c r="FG45" s="25"/>
      <c r="FH45" s="25"/>
      <c r="FI45" s="25"/>
      <c r="FJ45" s="25"/>
      <c r="FK45" s="25"/>
      <c r="FL45" s="110"/>
      <c r="FM45" s="110"/>
      <c r="FN45" s="25"/>
      <c r="FO45" s="25"/>
      <c r="FP45" s="25"/>
      <c r="FQ45" s="25"/>
      <c r="FR45" s="25"/>
      <c r="FS45" s="110"/>
      <c r="FT45" s="110"/>
      <c r="FU45" s="25"/>
      <c r="FV45" s="25"/>
      <c r="FW45" s="25"/>
      <c r="FX45" s="25"/>
      <c r="FY45" s="25"/>
      <c r="FZ45" s="110"/>
      <c r="GA45" s="110"/>
      <c r="GB45" s="25"/>
      <c r="GC45" s="25"/>
      <c r="GD45" s="25"/>
      <c r="GE45" s="25"/>
      <c r="GF45" s="25"/>
      <c r="GG45" s="110"/>
      <c r="GH45" s="110"/>
      <c r="GI45" s="25"/>
      <c r="GJ45" s="25"/>
      <c r="GK45" s="25"/>
      <c r="GL45" s="25"/>
      <c r="GM45" s="25"/>
      <c r="GN45" s="110"/>
      <c r="GO45" s="110"/>
      <c r="GP45" s="110" t="s">
        <v>445</v>
      </c>
      <c r="GQ45" s="110"/>
      <c r="GR45" s="25"/>
      <c r="GS45" s="25"/>
      <c r="GT45" s="25"/>
      <c r="GU45" s="110"/>
      <c r="GV45" s="110"/>
      <c r="GW45" s="25"/>
      <c r="GX45" s="25"/>
      <c r="GY45" s="25"/>
      <c r="GZ45" s="25"/>
      <c r="HA45" s="25"/>
      <c r="HB45" s="110"/>
      <c r="HC45" s="110"/>
      <c r="HD45" s="25"/>
      <c r="HE45" s="25"/>
      <c r="HF45" s="25"/>
      <c r="HG45" s="25"/>
      <c r="HH45" s="25"/>
      <c r="HI45" s="110"/>
      <c r="HJ45" s="110"/>
      <c r="HK45" s="25"/>
      <c r="HL45" s="25"/>
      <c r="HM45" s="25"/>
      <c r="HN45" s="25"/>
      <c r="HO45" s="25"/>
      <c r="HP45" s="110"/>
      <c r="HQ45" s="110"/>
      <c r="HR45" s="25"/>
      <c r="HS45" s="25"/>
      <c r="HT45" s="25"/>
      <c r="HU45" s="25"/>
      <c r="HV45" s="25"/>
      <c r="HW45" s="110"/>
      <c r="HX45" s="110"/>
      <c r="HY45" s="25"/>
      <c r="HZ45" s="25"/>
      <c r="IA45" s="25"/>
      <c r="IB45" s="25"/>
      <c r="IC45" s="25"/>
      <c r="ID45" s="110"/>
      <c r="IE45" s="110"/>
      <c r="IF45" s="25"/>
      <c r="IG45" s="25"/>
      <c r="IH45" s="25"/>
      <c r="II45" s="25"/>
      <c r="IJ45" s="25"/>
      <c r="IK45" s="110"/>
      <c r="IL45" s="110"/>
      <c r="IM45" s="25"/>
      <c r="IN45" s="25"/>
      <c r="IO45" s="25"/>
      <c r="IP45" s="25"/>
      <c r="IQ45" s="25"/>
      <c r="IR45" s="110"/>
      <c r="IS45" s="110"/>
      <c r="IT45" s="25"/>
      <c r="IU45" s="25"/>
      <c r="IV45" s="25"/>
      <c r="IW45" s="25"/>
      <c r="IX45" s="25"/>
      <c r="IY45" s="110"/>
      <c r="IZ45" s="110"/>
      <c r="JA45" s="25"/>
      <c r="JB45" s="25"/>
      <c r="JC45" s="25"/>
      <c r="JD45" s="25"/>
      <c r="JE45" s="25"/>
      <c r="JF45" s="110"/>
      <c r="JG45" s="110"/>
      <c r="JH45" s="25"/>
      <c r="JI45" s="25"/>
      <c r="JJ45" s="25"/>
      <c r="JK45" s="25"/>
      <c r="JL45" s="25"/>
      <c r="JM45" s="110"/>
      <c r="JN45" s="110"/>
      <c r="JO45" s="25"/>
      <c r="JP45" s="25"/>
      <c r="JQ45" s="25"/>
      <c r="JR45" s="25"/>
      <c r="JS45" s="25"/>
      <c r="JT45" s="110"/>
      <c r="JU45" s="110"/>
      <c r="JV45" s="25"/>
      <c r="JW45" s="25"/>
      <c r="JX45" s="25"/>
      <c r="JY45" s="25"/>
      <c r="JZ45" s="25"/>
      <c r="KA45" s="110"/>
      <c r="KB45" s="110"/>
      <c r="KC45" s="25"/>
      <c r="KD45" s="25"/>
      <c r="KE45" s="25"/>
      <c r="KF45" s="25"/>
      <c r="KG45" s="25"/>
      <c r="KH45" s="110"/>
      <c r="KI45" s="110"/>
      <c r="KJ45" s="25"/>
      <c r="KK45" s="25"/>
      <c r="KL45" s="25"/>
      <c r="KM45" s="25"/>
      <c r="KN45" s="25"/>
      <c r="KO45" s="110"/>
      <c r="KP45" s="110"/>
      <c r="KQ45" s="25"/>
      <c r="KR45" s="25"/>
      <c r="KS45" s="25"/>
      <c r="KT45" s="25"/>
      <c r="KU45" s="25"/>
      <c r="KV45" s="110"/>
      <c r="KW45" s="110"/>
      <c r="KX45" s="25"/>
      <c r="KY45" s="25"/>
      <c r="KZ45" s="25"/>
      <c r="LA45" s="25"/>
      <c r="LB45" s="25"/>
      <c r="LC45" s="110"/>
      <c r="LD45" s="110"/>
      <c r="LE45" s="25"/>
      <c r="LF45" s="25"/>
      <c r="LG45" s="110" t="s">
        <v>445</v>
      </c>
      <c r="LH45" s="25"/>
      <c r="LI45" s="25"/>
      <c r="LJ45" s="110"/>
      <c r="LK45" s="110"/>
      <c r="LL45" s="25"/>
      <c r="LM45" s="25"/>
      <c r="LN45" s="25"/>
      <c r="LO45" s="25"/>
      <c r="LP45" s="25"/>
      <c r="LQ45" s="110"/>
      <c r="LR45" s="110"/>
      <c r="LS45" s="25"/>
      <c r="LT45" s="25"/>
      <c r="LU45" s="25"/>
      <c r="LV45" s="25"/>
      <c r="LW45" s="25"/>
      <c r="LX45" s="110"/>
      <c r="LY45" s="110"/>
      <c r="LZ45" s="25"/>
      <c r="MA45" s="25"/>
      <c r="MB45" s="25"/>
      <c r="MC45" s="25"/>
      <c r="MD45" s="25"/>
      <c r="ME45" s="110"/>
      <c r="MF45" s="110"/>
      <c r="MG45" s="25"/>
      <c r="MH45" s="25"/>
      <c r="MI45" s="25"/>
      <c r="MJ45" s="25"/>
      <c r="MK45" s="25"/>
      <c r="ML45" s="110"/>
      <c r="MM45" s="110"/>
      <c r="MN45" s="25"/>
      <c r="MO45" s="25"/>
      <c r="MP45" s="25"/>
      <c r="MQ45" s="25"/>
      <c r="MR45" s="25"/>
      <c r="MS45" s="110"/>
      <c r="MT45" s="110"/>
      <c r="MU45" s="25"/>
      <c r="MV45" s="25"/>
      <c r="MW45" s="25"/>
      <c r="MX45" s="25"/>
      <c r="MY45" s="25"/>
      <c r="MZ45" s="110"/>
      <c r="NA45" s="110"/>
      <c r="NB45" s="25"/>
      <c r="NC45" s="25"/>
      <c r="ND45" s="25"/>
      <c r="NE45" s="129"/>
      <c r="NF45" s="111"/>
      <c r="NG45" s="8">
        <f t="shared" si="45"/>
        <v>12</v>
      </c>
      <c r="NH45" s="351" cm="1">
        <f t="array" ref="NH45">NETWORKDAYS($I$2,$AH$2)- SUM(COUNTIF(I45:AH45,{"I";"F";"CP";"R";"P";"AC";"AM"}))</f>
        <v>20</v>
      </c>
      <c r="NI45" s="138">
        <f t="shared" si="12"/>
        <v>0.6</v>
      </c>
      <c r="NJ45" s="8">
        <f t="shared" si="46"/>
        <v>17</v>
      </c>
      <c r="NK45" s="351" cm="1">
        <f t="array" ref="NK45">NETWORKDAYS($AJ$2,$BK$2)- SUM(COUNTIF(AJ45:BK45,{"I";"F";"CP";"R";"P";"AC";"AM"}))</f>
        <v>20</v>
      </c>
      <c r="NL45" s="138">
        <f t="shared" si="13"/>
        <v>0.85</v>
      </c>
      <c r="NM45" s="8">
        <f t="shared" si="47"/>
        <v>13</v>
      </c>
      <c r="NN45" s="351" cm="1">
        <f t="array" ref="NN45">NETWORKDAYS($BL$2,$CP$2)- SUM(COUNTIF(BL45:CP45,{"I";"F";"CP";"R";"P";"AC";"AM"}))</f>
        <v>22</v>
      </c>
      <c r="NO45" s="138">
        <f t="shared" si="14"/>
        <v>0.59090909090909094</v>
      </c>
      <c r="NP45" s="8">
        <f t="shared" si="48"/>
        <v>16</v>
      </c>
      <c r="NQ45" s="351" cm="1">
        <f t="array" ref="NQ45">NETWORKDAYS($CQ$2,$DT$2,$CV$2)- SUM(COUNTIF(CQ45:DT45,{"I";"F";"CP";"R";"P";"AC";"AM"}))</f>
        <v>21</v>
      </c>
      <c r="NR45" s="138">
        <f t="shared" si="15"/>
        <v>0.76190476190476186</v>
      </c>
      <c r="NS45" s="8">
        <f t="shared" si="49"/>
        <v>1</v>
      </c>
      <c r="NT45" s="351" cm="1">
        <f t="array" ref="NT45">NETWORKDAYS($DV$2,$EY$2)-SUM(COUNTIF(DV45:EY45,{"I";"F";"CP";"R";"P";"AC";"AM"}))</f>
        <v>16</v>
      </c>
      <c r="NU45" s="138">
        <f t="shared" si="16"/>
        <v>6.25E-2</v>
      </c>
      <c r="NV45" s="8">
        <f t="shared" si="27"/>
        <v>0</v>
      </c>
      <c r="NW45" s="351" cm="1">
        <f t="array" ref="NW45">NETWORKDAYS($EZ$2,$GC$2)-SUM(COUNTIF(EZ45:GC45,{"I";"F";"CP";"R";"P";"AC";"AM"}))</f>
        <v>22</v>
      </c>
      <c r="NX45" s="138">
        <f t="shared" si="28"/>
        <v>0</v>
      </c>
      <c r="NY45" s="8">
        <f t="shared" si="29"/>
        <v>0</v>
      </c>
      <c r="NZ45" s="351" cm="1">
        <f t="array" ref="NZ45">NETWORKDAYS($GD$2,$HH$2,$GQ$2)-SUM(COUNTIF(GD45:HH45,{"I";"F";"CP";"R";"P";"AC";"AM"}))</f>
        <v>21</v>
      </c>
      <c r="OA45" s="138">
        <f t="shared" si="30"/>
        <v>0</v>
      </c>
      <c r="OB45" s="8">
        <f t="shared" si="31"/>
        <v>0</v>
      </c>
      <c r="OC45" s="351" cm="1">
        <f t="array" ref="OC45">NETWORKDAYS($HI$2,$IM$2)-SUM(COUNTIF(HI45:IM45,{"I";"F";"CP";"R";"P";"AC";"AM"}))</f>
        <v>21</v>
      </c>
      <c r="OD45" s="138">
        <f t="shared" si="32"/>
        <v>0</v>
      </c>
      <c r="OE45" s="8">
        <f t="shared" si="33"/>
        <v>0</v>
      </c>
      <c r="OF45" s="351" cm="1">
        <f t="array" ref="OF45">NETWORKDAYS($IN$2,$JQ$2)-SUM(COUNTIF(IN45:JQ45,{"I";"F";"CP";"R";"P";"AC";"AM"}))</f>
        <v>22</v>
      </c>
      <c r="OG45" s="138">
        <f t="shared" si="34"/>
        <v>0</v>
      </c>
      <c r="OH45" s="8">
        <f t="shared" si="35"/>
        <v>0</v>
      </c>
      <c r="OI45" s="351" cm="1">
        <f t="array" ref="OI45">NETWORKDAYS($JR$2,$KV$2)-SUM(COUNTIF(JR45:KV45,{"I";"F";"CP";"R";"P";"AC";"AM"}))</f>
        <v>22</v>
      </c>
      <c r="OJ45" s="138">
        <f t="shared" si="36"/>
        <v>0</v>
      </c>
      <c r="OK45" s="8">
        <f t="shared" si="37"/>
        <v>0</v>
      </c>
      <c r="OL45" s="351" cm="1">
        <f t="array" ref="OL45">NETWORKDAYS($KW$2,$LZ$2,$LG$2)-SUM(COUNTIF(KW45:LZ45,{"I";"F";"CP";"R";"P";"AC";"AM"}))</f>
        <v>19</v>
      </c>
      <c r="OM45" s="138">
        <f t="shared" si="38"/>
        <v>0</v>
      </c>
      <c r="ON45" s="8">
        <f t="shared" si="39"/>
        <v>0</v>
      </c>
      <c r="OO45" s="351" cm="1">
        <f t="array" ref="OO45">NETWORKDAYS($MA$2,$MR$2)-SUM(COUNTIF(MA45:MR45,{"I";"F";"CP";"R";"P";"AC";"AM"}))</f>
        <v>14</v>
      </c>
      <c r="OP45" s="138">
        <f t="shared" si="40"/>
        <v>0</v>
      </c>
      <c r="OQ45" s="94">
        <f t="shared" si="41"/>
        <v>59</v>
      </c>
      <c r="OR45" s="94">
        <f t="shared" si="42"/>
        <v>240</v>
      </c>
      <c r="OS45" s="138">
        <f t="shared" si="43"/>
        <v>0.24583333333333332</v>
      </c>
    </row>
    <row r="46" spans="1:409" ht="18" hidden="1" customHeight="1" x14ac:dyDescent="0.25">
      <c r="A46" s="95" t="s">
        <v>100</v>
      </c>
      <c r="B46" s="95" t="s">
        <v>34</v>
      </c>
      <c r="C46" s="89" t="s">
        <v>166</v>
      </c>
      <c r="D46" s="89" t="s">
        <v>217</v>
      </c>
      <c r="E46" s="128"/>
      <c r="F46" s="110"/>
      <c r="G46" s="110"/>
      <c r="H46" s="110"/>
      <c r="I46" s="25"/>
      <c r="J46" s="25"/>
      <c r="K46" s="25"/>
      <c r="L46" s="25"/>
      <c r="M46" s="25">
        <v>1</v>
      </c>
      <c r="N46" s="110"/>
      <c r="O46" s="110"/>
      <c r="P46" s="25">
        <v>1</v>
      </c>
      <c r="Q46" s="25">
        <v>1</v>
      </c>
      <c r="R46" s="25">
        <v>1</v>
      </c>
      <c r="S46" s="25">
        <v>1</v>
      </c>
      <c r="T46" s="25">
        <v>1</v>
      </c>
      <c r="U46" s="110"/>
      <c r="V46" s="110"/>
      <c r="W46" s="25">
        <v>1</v>
      </c>
      <c r="X46" s="25">
        <v>1</v>
      </c>
      <c r="Y46" s="25">
        <v>1</v>
      </c>
      <c r="Z46" s="25">
        <v>1</v>
      </c>
      <c r="AA46" s="25">
        <v>1</v>
      </c>
      <c r="AB46" s="110"/>
      <c r="AC46" s="110"/>
      <c r="AD46" s="25">
        <v>1</v>
      </c>
      <c r="AE46" s="25">
        <v>1</v>
      </c>
      <c r="AF46" s="25">
        <v>1</v>
      </c>
      <c r="AG46" s="25">
        <v>1</v>
      </c>
      <c r="AH46" s="25">
        <v>1</v>
      </c>
      <c r="AI46" s="110"/>
      <c r="AJ46" s="110"/>
      <c r="AK46" s="25">
        <v>1</v>
      </c>
      <c r="AL46" s="25"/>
      <c r="AM46" s="25">
        <v>1</v>
      </c>
      <c r="AN46" s="25">
        <v>1</v>
      </c>
      <c r="AO46" s="25">
        <v>1</v>
      </c>
      <c r="AP46" s="110"/>
      <c r="AQ46" s="110"/>
      <c r="AR46" s="25" t="s">
        <v>447</v>
      </c>
      <c r="AS46" s="25" t="s">
        <v>447</v>
      </c>
      <c r="AT46" s="25">
        <v>1</v>
      </c>
      <c r="AU46" s="25">
        <v>1</v>
      </c>
      <c r="AV46" s="25"/>
      <c r="AW46" s="110"/>
      <c r="AX46" s="110"/>
      <c r="AY46" s="25"/>
      <c r="AZ46" s="25"/>
      <c r="BA46" s="25"/>
      <c r="BB46" s="25"/>
      <c r="BC46" s="25"/>
      <c r="BD46" s="110"/>
      <c r="BE46" s="110"/>
      <c r="BF46" s="25">
        <v>1</v>
      </c>
      <c r="BG46" s="25"/>
      <c r="BH46" s="25"/>
      <c r="BI46" s="25">
        <v>1</v>
      </c>
      <c r="BJ46" s="25">
        <v>1</v>
      </c>
      <c r="BK46" s="110"/>
      <c r="BL46" s="110"/>
      <c r="BM46" s="25">
        <v>1</v>
      </c>
      <c r="BN46" s="25">
        <v>1</v>
      </c>
      <c r="BO46" s="25">
        <v>1</v>
      </c>
      <c r="BP46" s="25" t="s">
        <v>223</v>
      </c>
      <c r="BQ46" s="25" t="s">
        <v>223</v>
      </c>
      <c r="BR46" s="110"/>
      <c r="BS46" s="110"/>
      <c r="BT46" s="25" t="s">
        <v>223</v>
      </c>
      <c r="BU46" s="25" t="s">
        <v>223</v>
      </c>
      <c r="BV46" s="25" t="s">
        <v>223</v>
      </c>
      <c r="BW46" s="25" t="s">
        <v>223</v>
      </c>
      <c r="BX46" s="25" t="s">
        <v>223</v>
      </c>
      <c r="BY46" s="110"/>
      <c r="BZ46" s="110"/>
      <c r="CA46" s="25"/>
      <c r="CB46" s="25"/>
      <c r="CC46" s="25"/>
      <c r="CD46" s="25"/>
      <c r="CE46" s="25"/>
      <c r="CF46" s="110"/>
      <c r="CG46" s="110"/>
      <c r="CH46" s="25"/>
      <c r="CI46" s="25"/>
      <c r="CJ46" s="25">
        <v>1</v>
      </c>
      <c r="CK46" s="25"/>
      <c r="CL46" s="25"/>
      <c r="CM46" s="110"/>
      <c r="CN46" s="110"/>
      <c r="CO46" s="25"/>
      <c r="CP46" s="25"/>
      <c r="CQ46" s="25"/>
      <c r="CR46" s="25"/>
      <c r="CS46" s="25"/>
      <c r="CT46" s="110"/>
      <c r="CU46" s="110"/>
      <c r="CV46" s="110"/>
      <c r="CW46" s="25"/>
      <c r="CX46" s="25"/>
      <c r="CY46" s="25"/>
      <c r="CZ46" s="25"/>
      <c r="DA46" s="110"/>
      <c r="DB46" s="110"/>
      <c r="DC46" s="25"/>
      <c r="DD46" s="25"/>
      <c r="DE46" s="25"/>
      <c r="DF46" s="25"/>
      <c r="DG46" s="25">
        <v>1</v>
      </c>
      <c r="DH46" s="110"/>
      <c r="DI46" s="110"/>
      <c r="DJ46" s="25"/>
      <c r="DK46" s="25"/>
      <c r="DL46" s="25"/>
      <c r="DM46" s="25"/>
      <c r="DN46" s="25"/>
      <c r="DO46" s="110"/>
      <c r="DP46" s="110"/>
      <c r="DQ46" s="25"/>
      <c r="DR46" s="25"/>
      <c r="DS46" s="25"/>
      <c r="DT46" s="25"/>
      <c r="DU46" s="110" t="s">
        <v>445</v>
      </c>
      <c r="DV46" s="110"/>
      <c r="DW46" s="110"/>
      <c r="DX46" s="25"/>
      <c r="DY46" s="25"/>
      <c r="DZ46" s="25"/>
      <c r="EA46" s="25"/>
      <c r="EB46" s="110" t="s">
        <v>445</v>
      </c>
      <c r="EC46" s="110"/>
      <c r="ED46" s="110"/>
      <c r="EE46" s="25"/>
      <c r="EF46" s="25"/>
      <c r="EG46" s="25"/>
      <c r="EH46" s="110" t="s">
        <v>445</v>
      </c>
      <c r="EI46" s="110" t="s">
        <v>445</v>
      </c>
      <c r="EJ46" s="110"/>
      <c r="EK46" s="110"/>
      <c r="EL46" s="25"/>
      <c r="EM46" s="25"/>
      <c r="EN46" s="25"/>
      <c r="EO46" s="25"/>
      <c r="EP46" s="25"/>
      <c r="EQ46" s="110"/>
      <c r="ER46" s="110"/>
      <c r="ES46" s="110" t="s">
        <v>445</v>
      </c>
      <c r="ET46" s="25"/>
      <c r="EU46" s="25"/>
      <c r="EV46" s="25"/>
      <c r="EW46" s="25"/>
      <c r="EX46" s="110"/>
      <c r="EY46" s="110"/>
      <c r="EZ46" s="25"/>
      <c r="FA46" s="25"/>
      <c r="FB46" s="25"/>
      <c r="FC46" s="25"/>
      <c r="FD46" s="25"/>
      <c r="FE46" s="110"/>
      <c r="FF46" s="110"/>
      <c r="FG46" s="25"/>
      <c r="FH46" s="25"/>
      <c r="FI46" s="25"/>
      <c r="FJ46" s="25"/>
      <c r="FK46" s="25"/>
      <c r="FL46" s="110"/>
      <c r="FM46" s="110"/>
      <c r="FN46" s="25"/>
      <c r="FO46" s="25"/>
      <c r="FP46" s="25"/>
      <c r="FQ46" s="25"/>
      <c r="FR46" s="25"/>
      <c r="FS46" s="110"/>
      <c r="FT46" s="110"/>
      <c r="FU46" s="25"/>
      <c r="FV46" s="25"/>
      <c r="FW46" s="25"/>
      <c r="FX46" s="25"/>
      <c r="FY46" s="25"/>
      <c r="FZ46" s="110"/>
      <c r="GA46" s="110"/>
      <c r="GB46" s="25"/>
      <c r="GC46" s="25"/>
      <c r="GD46" s="25"/>
      <c r="GE46" s="25"/>
      <c r="GF46" s="25"/>
      <c r="GG46" s="110"/>
      <c r="GH46" s="110"/>
      <c r="GI46" s="25"/>
      <c r="GJ46" s="25"/>
      <c r="GK46" s="25"/>
      <c r="GL46" s="25"/>
      <c r="GM46" s="25"/>
      <c r="GN46" s="110"/>
      <c r="GO46" s="110"/>
      <c r="GP46" s="110" t="s">
        <v>445</v>
      </c>
      <c r="GQ46" s="110"/>
      <c r="GR46" s="25"/>
      <c r="GS46" s="25"/>
      <c r="GT46" s="25"/>
      <c r="GU46" s="110"/>
      <c r="GV46" s="110"/>
      <c r="GW46" s="25"/>
      <c r="GX46" s="25"/>
      <c r="GY46" s="25"/>
      <c r="GZ46" s="25"/>
      <c r="HA46" s="25"/>
      <c r="HB46" s="110"/>
      <c r="HC46" s="110"/>
      <c r="HD46" s="25"/>
      <c r="HE46" s="25"/>
      <c r="HF46" s="25"/>
      <c r="HG46" s="25"/>
      <c r="HH46" s="25"/>
      <c r="HI46" s="110"/>
      <c r="HJ46" s="110"/>
      <c r="HK46" s="25"/>
      <c r="HL46" s="25"/>
      <c r="HM46" s="25"/>
      <c r="HN46" s="25"/>
      <c r="HO46" s="25"/>
      <c r="HP46" s="110"/>
      <c r="HQ46" s="110"/>
      <c r="HR46" s="25"/>
      <c r="HS46" s="25"/>
      <c r="HT46" s="25"/>
      <c r="HU46" s="25"/>
      <c r="HV46" s="25"/>
      <c r="HW46" s="110"/>
      <c r="HX46" s="110"/>
      <c r="HY46" s="25"/>
      <c r="HZ46" s="25"/>
      <c r="IA46" s="25"/>
      <c r="IB46" s="25"/>
      <c r="IC46" s="25"/>
      <c r="ID46" s="110"/>
      <c r="IE46" s="110"/>
      <c r="IF46" s="25"/>
      <c r="IG46" s="25"/>
      <c r="IH46" s="25"/>
      <c r="II46" s="25"/>
      <c r="IJ46" s="25"/>
      <c r="IK46" s="110"/>
      <c r="IL46" s="110"/>
      <c r="IM46" s="25"/>
      <c r="IN46" s="25"/>
      <c r="IO46" s="25"/>
      <c r="IP46" s="25"/>
      <c r="IQ46" s="25"/>
      <c r="IR46" s="110"/>
      <c r="IS46" s="110"/>
      <c r="IT46" s="25"/>
      <c r="IU46" s="25"/>
      <c r="IV46" s="25"/>
      <c r="IW46" s="25"/>
      <c r="IX46" s="25"/>
      <c r="IY46" s="110"/>
      <c r="IZ46" s="110"/>
      <c r="JA46" s="25"/>
      <c r="JB46" s="25"/>
      <c r="JC46" s="25"/>
      <c r="JD46" s="25"/>
      <c r="JE46" s="25"/>
      <c r="JF46" s="110"/>
      <c r="JG46" s="110"/>
      <c r="JH46" s="25"/>
      <c r="JI46" s="25"/>
      <c r="JJ46" s="25"/>
      <c r="JK46" s="25"/>
      <c r="JL46" s="25"/>
      <c r="JM46" s="110"/>
      <c r="JN46" s="110"/>
      <c r="JO46" s="25"/>
      <c r="JP46" s="25"/>
      <c r="JQ46" s="25"/>
      <c r="JR46" s="25"/>
      <c r="JS46" s="25"/>
      <c r="JT46" s="110"/>
      <c r="JU46" s="110"/>
      <c r="JV46" s="25"/>
      <c r="JW46" s="25"/>
      <c r="JX46" s="25"/>
      <c r="JY46" s="25"/>
      <c r="JZ46" s="25"/>
      <c r="KA46" s="110"/>
      <c r="KB46" s="110"/>
      <c r="KC46" s="25"/>
      <c r="KD46" s="25"/>
      <c r="KE46" s="25"/>
      <c r="KF46" s="25"/>
      <c r="KG46" s="25"/>
      <c r="KH46" s="110"/>
      <c r="KI46" s="110"/>
      <c r="KJ46" s="25"/>
      <c r="KK46" s="25"/>
      <c r="KL46" s="25"/>
      <c r="KM46" s="25"/>
      <c r="KN46" s="25"/>
      <c r="KO46" s="110"/>
      <c r="KP46" s="110"/>
      <c r="KQ46" s="25"/>
      <c r="KR46" s="25"/>
      <c r="KS46" s="25"/>
      <c r="KT46" s="25"/>
      <c r="KU46" s="25"/>
      <c r="KV46" s="110"/>
      <c r="KW46" s="110"/>
      <c r="KX46" s="25"/>
      <c r="KY46" s="25"/>
      <c r="KZ46" s="25"/>
      <c r="LA46" s="25"/>
      <c r="LB46" s="25"/>
      <c r="LC46" s="110"/>
      <c r="LD46" s="110"/>
      <c r="LE46" s="25"/>
      <c r="LF46" s="25"/>
      <c r="LG46" s="110" t="s">
        <v>445</v>
      </c>
      <c r="LH46" s="25"/>
      <c r="LI46" s="25"/>
      <c r="LJ46" s="110"/>
      <c r="LK46" s="110"/>
      <c r="LL46" s="25"/>
      <c r="LM46" s="25"/>
      <c r="LN46" s="25"/>
      <c r="LO46" s="25"/>
      <c r="LP46" s="25"/>
      <c r="LQ46" s="110"/>
      <c r="LR46" s="110"/>
      <c r="LS46" s="25"/>
      <c r="LT46" s="25"/>
      <c r="LU46" s="25"/>
      <c r="LV46" s="25"/>
      <c r="LW46" s="25"/>
      <c r="LX46" s="110"/>
      <c r="LY46" s="110"/>
      <c r="LZ46" s="25"/>
      <c r="MA46" s="25"/>
      <c r="MB46" s="25"/>
      <c r="MC46" s="25"/>
      <c r="MD46" s="25"/>
      <c r="ME46" s="110"/>
      <c r="MF46" s="110"/>
      <c r="MG46" s="25"/>
      <c r="MH46" s="25"/>
      <c r="MI46" s="25"/>
      <c r="MJ46" s="25"/>
      <c r="MK46" s="25"/>
      <c r="ML46" s="110"/>
      <c r="MM46" s="110"/>
      <c r="MN46" s="25"/>
      <c r="MO46" s="25"/>
      <c r="MP46" s="25"/>
      <c r="MQ46" s="25"/>
      <c r="MR46" s="25"/>
      <c r="MS46" s="110"/>
      <c r="MT46" s="110"/>
      <c r="MU46" s="25"/>
      <c r="MV46" s="25"/>
      <c r="MW46" s="25"/>
      <c r="MX46" s="25"/>
      <c r="MY46" s="25"/>
      <c r="MZ46" s="110"/>
      <c r="NA46" s="110"/>
      <c r="NB46" s="25"/>
      <c r="NC46" s="25"/>
      <c r="ND46" s="25"/>
      <c r="NE46" s="129"/>
      <c r="NF46" s="111"/>
      <c r="NG46" s="8">
        <f t="shared" si="45"/>
        <v>16</v>
      </c>
      <c r="NH46" s="351" cm="1">
        <f t="array" ref="NH46">NETWORKDAYS($I$2,$AH$2)- SUM(COUNTIF(I46:AH46,{"I";"F";"CP";"R";"P";"AC";"AM"}))</f>
        <v>20</v>
      </c>
      <c r="NI46" s="138">
        <f t="shared" si="12"/>
        <v>0.8</v>
      </c>
      <c r="NJ46" s="8">
        <f t="shared" si="46"/>
        <v>9</v>
      </c>
      <c r="NK46" s="351" cm="1">
        <f t="array" ref="NK46">NETWORKDAYS($AJ$2,$BK$2)- SUM(COUNTIF(AJ46:BK46,{"I";"F";"CP";"R";"P";"AC";"AM"}))</f>
        <v>18</v>
      </c>
      <c r="NL46" s="138">
        <f t="shared" si="13"/>
        <v>0.5</v>
      </c>
      <c r="NM46" s="8">
        <f t="shared" si="47"/>
        <v>4</v>
      </c>
      <c r="NN46" s="351" cm="1">
        <f t="array" ref="NN46">NETWORKDAYS($BL$2,$CP$2)- SUM(COUNTIF(BL46:CP46,{"I";"F";"CP";"R";"P";"AC";"AM"}))</f>
        <v>15</v>
      </c>
      <c r="NO46" s="138">
        <f t="shared" si="14"/>
        <v>0.26666666666666666</v>
      </c>
      <c r="NP46" s="8">
        <f t="shared" si="48"/>
        <v>1</v>
      </c>
      <c r="NQ46" s="351" cm="1">
        <f t="array" ref="NQ46">NETWORKDAYS($CQ$2,$DT$2,$CV$2)- SUM(COUNTIF(CQ46:DT46,{"I";"F";"CP";"R";"P";"AC";"AM"}))</f>
        <v>21</v>
      </c>
      <c r="NR46" s="138">
        <f t="shared" si="15"/>
        <v>4.7619047619047616E-2</v>
      </c>
      <c r="NS46" s="8">
        <f t="shared" si="49"/>
        <v>0</v>
      </c>
      <c r="NT46" s="351" cm="1">
        <f t="array" ref="NT46">NETWORKDAYS($DV$2,$EY$2)-SUM(COUNTIF(DV46:EY46,{"I";"F";"CP";"R";"P";"AC";"AM"}))</f>
        <v>16</v>
      </c>
      <c r="NU46" s="138">
        <f t="shared" si="16"/>
        <v>0</v>
      </c>
      <c r="NV46" s="8">
        <f t="shared" si="27"/>
        <v>0</v>
      </c>
      <c r="NW46" s="351" cm="1">
        <f t="array" ref="NW46">NETWORKDAYS($EZ$2,$GC$2)-SUM(COUNTIF(EZ46:GC46,{"I";"F";"CP";"R";"P";"AC";"AM"}))</f>
        <v>22</v>
      </c>
      <c r="NX46" s="138">
        <f t="shared" si="28"/>
        <v>0</v>
      </c>
      <c r="NY46" s="8">
        <f t="shared" si="29"/>
        <v>0</v>
      </c>
      <c r="NZ46" s="351" cm="1">
        <f t="array" ref="NZ46">NETWORKDAYS($GD$2,$HH$2,$GQ$2)-SUM(COUNTIF(GD46:HH46,{"I";"F";"CP";"R";"P";"AC";"AM"}))</f>
        <v>21</v>
      </c>
      <c r="OA46" s="138">
        <f t="shared" si="30"/>
        <v>0</v>
      </c>
      <c r="OB46" s="8">
        <f t="shared" si="31"/>
        <v>0</v>
      </c>
      <c r="OC46" s="351" cm="1">
        <f t="array" ref="OC46">NETWORKDAYS($HI$2,$IM$2)-SUM(COUNTIF(HI46:IM46,{"I";"F";"CP";"R";"P";"AC";"AM"}))</f>
        <v>21</v>
      </c>
      <c r="OD46" s="138">
        <f t="shared" si="32"/>
        <v>0</v>
      </c>
      <c r="OE46" s="8">
        <f t="shared" si="33"/>
        <v>0</v>
      </c>
      <c r="OF46" s="351" cm="1">
        <f t="array" ref="OF46">NETWORKDAYS($IN$2,$JQ$2)-SUM(COUNTIF(IN46:JQ46,{"I";"F";"CP";"R";"P";"AC";"AM"}))</f>
        <v>22</v>
      </c>
      <c r="OG46" s="138">
        <f t="shared" si="34"/>
        <v>0</v>
      </c>
      <c r="OH46" s="8">
        <f t="shared" si="35"/>
        <v>0</v>
      </c>
      <c r="OI46" s="351" cm="1">
        <f t="array" ref="OI46">NETWORKDAYS($JR$2,$KV$2)-SUM(COUNTIF(JR46:KV46,{"I";"F";"CP";"R";"P";"AC";"AM"}))</f>
        <v>22</v>
      </c>
      <c r="OJ46" s="138">
        <f t="shared" si="36"/>
        <v>0</v>
      </c>
      <c r="OK46" s="8">
        <f t="shared" si="37"/>
        <v>0</v>
      </c>
      <c r="OL46" s="351" cm="1">
        <f t="array" ref="OL46">NETWORKDAYS($KW$2,$LZ$2,$LG$2)-SUM(COUNTIF(KW46:LZ46,{"I";"F";"CP";"R";"P";"AC";"AM"}))</f>
        <v>19</v>
      </c>
      <c r="OM46" s="138">
        <f t="shared" si="38"/>
        <v>0</v>
      </c>
      <c r="ON46" s="8">
        <f t="shared" si="39"/>
        <v>0</v>
      </c>
      <c r="OO46" s="351" cm="1">
        <f t="array" ref="OO46">NETWORKDAYS($MA$2,$MR$2)-SUM(COUNTIF(MA46:MR46,{"I";"F";"CP";"R";"P";"AC";"AM"}))</f>
        <v>14</v>
      </c>
      <c r="OP46" s="138">
        <f t="shared" si="40"/>
        <v>0</v>
      </c>
      <c r="OQ46" s="94">
        <f t="shared" si="41"/>
        <v>30</v>
      </c>
      <c r="OR46" s="94">
        <f t="shared" si="42"/>
        <v>231</v>
      </c>
      <c r="OS46" s="138">
        <f t="shared" si="43"/>
        <v>0.12987012987012986</v>
      </c>
    </row>
    <row r="47" spans="1:409" ht="18" hidden="1" customHeight="1" x14ac:dyDescent="0.25">
      <c r="A47" s="93" t="s">
        <v>109</v>
      </c>
      <c r="B47" s="95" t="s">
        <v>34</v>
      </c>
      <c r="C47" s="89" t="s">
        <v>166</v>
      </c>
      <c r="D47" s="89" t="s">
        <v>218</v>
      </c>
      <c r="E47" s="128"/>
      <c r="F47" s="110"/>
      <c r="G47" s="110"/>
      <c r="H47" s="110"/>
      <c r="I47" s="25"/>
      <c r="J47" s="25"/>
      <c r="K47" s="25"/>
      <c r="L47" s="25"/>
      <c r="M47" s="25"/>
      <c r="N47" s="110"/>
      <c r="O47" s="110"/>
      <c r="P47" s="25">
        <v>1</v>
      </c>
      <c r="Q47" s="25"/>
      <c r="R47" s="25"/>
      <c r="S47" s="25"/>
      <c r="T47" s="25">
        <v>1</v>
      </c>
      <c r="U47" s="110"/>
      <c r="V47" s="110"/>
      <c r="W47" s="25"/>
      <c r="X47" s="25"/>
      <c r="Y47" s="25"/>
      <c r="Z47" s="25"/>
      <c r="AA47" s="25"/>
      <c r="AB47" s="110"/>
      <c r="AC47" s="110"/>
      <c r="AD47" s="25">
        <v>1</v>
      </c>
      <c r="AE47" s="25"/>
      <c r="AF47" s="25"/>
      <c r="AG47" s="25">
        <v>1</v>
      </c>
      <c r="AH47" s="25"/>
      <c r="AI47" s="110"/>
      <c r="AJ47" s="110"/>
      <c r="AK47" s="25">
        <v>1</v>
      </c>
      <c r="AL47" s="25">
        <v>1</v>
      </c>
      <c r="AM47" s="25">
        <v>1</v>
      </c>
      <c r="AN47" s="25">
        <v>1</v>
      </c>
      <c r="AO47" s="25">
        <v>1</v>
      </c>
      <c r="AP47" s="110"/>
      <c r="AQ47" s="110"/>
      <c r="AR47" s="25">
        <v>1</v>
      </c>
      <c r="AS47" s="25"/>
      <c r="AT47" s="25"/>
      <c r="AV47" s="25"/>
      <c r="AW47" s="110"/>
      <c r="AX47" s="110"/>
      <c r="AY47" s="25"/>
      <c r="AZ47" s="25"/>
      <c r="BA47" s="25"/>
      <c r="BB47" s="25"/>
      <c r="BC47" s="25"/>
      <c r="BD47" s="110"/>
      <c r="BE47" s="110"/>
      <c r="BF47" s="25"/>
      <c r="BG47" s="25"/>
      <c r="BH47" s="25"/>
      <c r="BI47" s="25"/>
      <c r="BJ47" s="25"/>
      <c r="BK47" s="110"/>
      <c r="BL47" s="110"/>
      <c r="BM47" s="25"/>
      <c r="BN47" s="25"/>
      <c r="BO47" s="25"/>
      <c r="BP47" s="25"/>
      <c r="BQ47" s="25"/>
      <c r="BR47" s="110"/>
      <c r="BS47" s="110"/>
      <c r="BT47" s="25">
        <v>1</v>
      </c>
      <c r="BU47" s="25">
        <v>1</v>
      </c>
      <c r="BV47" s="25">
        <v>1</v>
      </c>
      <c r="BW47" s="25">
        <v>1</v>
      </c>
      <c r="BX47" s="25">
        <v>1</v>
      </c>
      <c r="BY47" s="110"/>
      <c r="BZ47" s="110"/>
      <c r="CA47" s="25">
        <v>1</v>
      </c>
      <c r="CB47" s="25">
        <v>1</v>
      </c>
      <c r="CC47" s="25">
        <v>1</v>
      </c>
      <c r="CD47" s="25">
        <v>1</v>
      </c>
      <c r="CE47" s="25"/>
      <c r="CF47" s="110"/>
      <c r="CG47" s="110"/>
      <c r="CH47" s="25">
        <v>1</v>
      </c>
      <c r="CI47" s="25">
        <v>1</v>
      </c>
      <c r="CJ47" s="25">
        <v>1</v>
      </c>
      <c r="CK47" s="25">
        <v>1</v>
      </c>
      <c r="CL47" s="25"/>
      <c r="CM47" s="110"/>
      <c r="CN47" s="110"/>
      <c r="CO47" s="25">
        <v>1</v>
      </c>
      <c r="CP47" s="25">
        <v>1</v>
      </c>
      <c r="CQ47" s="25">
        <v>1</v>
      </c>
      <c r="CR47" s="25">
        <v>1</v>
      </c>
      <c r="CS47" s="25"/>
      <c r="CT47" s="110"/>
      <c r="CU47" s="110"/>
      <c r="CV47" s="110"/>
      <c r="CW47" s="25"/>
      <c r="CX47" s="25">
        <v>1</v>
      </c>
      <c r="CY47" s="25">
        <v>1</v>
      </c>
      <c r="CZ47" s="25"/>
      <c r="DA47" s="110"/>
      <c r="DB47" s="110"/>
      <c r="DC47" s="25"/>
      <c r="DD47" s="25"/>
      <c r="DE47" s="25"/>
      <c r="DF47" s="25"/>
      <c r="DG47" s="25"/>
      <c r="DH47" s="110"/>
      <c r="DI47" s="110"/>
      <c r="DJ47" s="25"/>
      <c r="DK47" s="25">
        <v>1</v>
      </c>
      <c r="DL47" s="25">
        <v>1</v>
      </c>
      <c r="DM47" s="25">
        <v>1</v>
      </c>
      <c r="DN47" s="25">
        <v>1</v>
      </c>
      <c r="DO47" s="110"/>
      <c r="DP47" s="110"/>
      <c r="DQ47" s="25"/>
      <c r="DR47" s="25">
        <v>1</v>
      </c>
      <c r="DS47" s="25"/>
      <c r="DT47" s="25"/>
      <c r="DU47" s="110" t="s">
        <v>445</v>
      </c>
      <c r="DV47" s="110"/>
      <c r="DW47" s="110"/>
      <c r="DX47" s="25"/>
      <c r="DY47" s="25"/>
      <c r="DZ47" s="25"/>
      <c r="EA47" s="25"/>
      <c r="EB47" s="110" t="s">
        <v>445</v>
      </c>
      <c r="EC47" s="110"/>
      <c r="ED47" s="110"/>
      <c r="EE47" s="25"/>
      <c r="EF47" s="25"/>
      <c r="EG47" s="25"/>
      <c r="EH47" s="110" t="s">
        <v>445</v>
      </c>
      <c r="EI47" s="110" t="s">
        <v>445</v>
      </c>
      <c r="EJ47" s="110"/>
      <c r="EK47" s="110"/>
      <c r="EL47" s="25"/>
      <c r="EM47" s="25"/>
      <c r="EN47" s="25"/>
      <c r="EO47" s="25"/>
      <c r="EP47" s="25"/>
      <c r="EQ47" s="110"/>
      <c r="ER47" s="110"/>
      <c r="ES47" s="110" t="s">
        <v>445</v>
      </c>
      <c r="ET47" s="25"/>
      <c r="EU47" s="25"/>
      <c r="EV47" s="25"/>
      <c r="EW47" s="25"/>
      <c r="EX47" s="110"/>
      <c r="EY47" s="110"/>
      <c r="EZ47" s="25"/>
      <c r="FA47" s="25"/>
      <c r="FB47" s="25"/>
      <c r="FC47" s="25"/>
      <c r="FD47" s="25"/>
      <c r="FE47" s="110"/>
      <c r="FF47" s="110"/>
      <c r="FG47" s="25"/>
      <c r="FH47" s="25"/>
      <c r="FI47" s="25"/>
      <c r="FJ47" s="25"/>
      <c r="FK47" s="25"/>
      <c r="FL47" s="110"/>
      <c r="FM47" s="110"/>
      <c r="FN47" s="25"/>
      <c r="FO47" s="25"/>
      <c r="FP47" s="25"/>
      <c r="FQ47" s="25"/>
      <c r="FR47" s="25"/>
      <c r="FS47" s="110"/>
      <c r="FT47" s="110"/>
      <c r="FU47" s="25"/>
      <c r="FV47" s="25"/>
      <c r="FW47" s="25"/>
      <c r="FX47" s="25"/>
      <c r="FY47" s="25"/>
      <c r="FZ47" s="110"/>
      <c r="GA47" s="110"/>
      <c r="GB47" s="25"/>
      <c r="GC47" s="25"/>
      <c r="GD47" s="25"/>
      <c r="GE47" s="25"/>
      <c r="GF47" s="25"/>
      <c r="GG47" s="110"/>
      <c r="GH47" s="110"/>
      <c r="GI47" s="25"/>
      <c r="GJ47" s="25"/>
      <c r="GK47" s="25"/>
      <c r="GL47" s="25"/>
      <c r="GM47" s="25"/>
      <c r="GN47" s="110"/>
      <c r="GO47" s="110"/>
      <c r="GP47" s="110" t="s">
        <v>445</v>
      </c>
      <c r="GQ47" s="110"/>
      <c r="GR47" s="25"/>
      <c r="GS47" s="25"/>
      <c r="GT47" s="25"/>
      <c r="GU47" s="110"/>
      <c r="GV47" s="110"/>
      <c r="GW47" s="25"/>
      <c r="GX47" s="25"/>
      <c r="GY47" s="25"/>
      <c r="GZ47" s="25"/>
      <c r="HA47" s="25"/>
      <c r="HB47" s="110"/>
      <c r="HC47" s="110"/>
      <c r="HD47" s="25"/>
      <c r="HE47" s="25"/>
      <c r="HF47" s="25"/>
      <c r="HG47" s="25"/>
      <c r="HH47" s="25"/>
      <c r="HI47" s="110"/>
      <c r="HJ47" s="110"/>
      <c r="HK47" s="25"/>
      <c r="HL47" s="25"/>
      <c r="HM47" s="25"/>
      <c r="HN47" s="25"/>
      <c r="HO47" s="25"/>
      <c r="HP47" s="110"/>
      <c r="HQ47" s="110"/>
      <c r="HR47" s="25"/>
      <c r="HS47" s="25"/>
      <c r="HT47" s="25"/>
      <c r="HU47" s="25"/>
      <c r="HV47" s="25"/>
      <c r="HW47" s="110"/>
      <c r="HX47" s="110"/>
      <c r="HY47" s="25"/>
      <c r="HZ47" s="25"/>
      <c r="IA47" s="25"/>
      <c r="IB47" s="25"/>
      <c r="IC47" s="25"/>
      <c r="ID47" s="110"/>
      <c r="IE47" s="110"/>
      <c r="IF47" s="25"/>
      <c r="IG47" s="25"/>
      <c r="IH47" s="25"/>
      <c r="II47" s="25"/>
      <c r="IJ47" s="25"/>
      <c r="IK47" s="110"/>
      <c r="IL47" s="110"/>
      <c r="IM47" s="25"/>
      <c r="IN47" s="25"/>
      <c r="IO47" s="25"/>
      <c r="IP47" s="25"/>
      <c r="IQ47" s="25"/>
      <c r="IR47" s="110"/>
      <c r="IS47" s="110"/>
      <c r="IT47" s="25"/>
      <c r="IU47" s="25"/>
      <c r="IV47" s="25"/>
      <c r="IW47" s="25"/>
      <c r="IX47" s="25"/>
      <c r="IY47" s="110"/>
      <c r="IZ47" s="110"/>
      <c r="JA47" s="25"/>
      <c r="JB47" s="25"/>
      <c r="JC47" s="25"/>
      <c r="JD47" s="25"/>
      <c r="JE47" s="25"/>
      <c r="JF47" s="110"/>
      <c r="JG47" s="110"/>
      <c r="JH47" s="25"/>
      <c r="JI47" s="25"/>
      <c r="JJ47" s="25"/>
      <c r="JK47" s="25"/>
      <c r="JL47" s="25"/>
      <c r="JM47" s="110"/>
      <c r="JN47" s="110"/>
      <c r="JO47" s="25"/>
      <c r="JP47" s="25"/>
      <c r="JQ47" s="25"/>
      <c r="JR47" s="25"/>
      <c r="JS47" s="25"/>
      <c r="JT47" s="110"/>
      <c r="JU47" s="110"/>
      <c r="JV47" s="25"/>
      <c r="JW47" s="25"/>
      <c r="JX47" s="25"/>
      <c r="JY47" s="25"/>
      <c r="JZ47" s="25"/>
      <c r="KA47" s="110"/>
      <c r="KB47" s="110"/>
      <c r="KC47" s="25"/>
      <c r="KD47" s="25"/>
      <c r="KE47" s="25"/>
      <c r="KF47" s="25"/>
      <c r="KG47" s="25"/>
      <c r="KH47" s="110"/>
      <c r="KI47" s="110"/>
      <c r="KJ47" s="25"/>
      <c r="KK47" s="25"/>
      <c r="KL47" s="25"/>
      <c r="KM47" s="25"/>
      <c r="KN47" s="25"/>
      <c r="KO47" s="110"/>
      <c r="KP47" s="110"/>
      <c r="KQ47" s="25"/>
      <c r="KR47" s="25"/>
      <c r="KS47" s="25"/>
      <c r="KT47" s="25"/>
      <c r="KU47" s="25"/>
      <c r="KV47" s="110"/>
      <c r="KW47" s="110"/>
      <c r="KX47" s="25"/>
      <c r="KY47" s="25"/>
      <c r="KZ47" s="25"/>
      <c r="LA47" s="25"/>
      <c r="LB47" s="25"/>
      <c r="LC47" s="110"/>
      <c r="LD47" s="110"/>
      <c r="LE47" s="25"/>
      <c r="LF47" s="25"/>
      <c r="LG47" s="110" t="s">
        <v>445</v>
      </c>
      <c r="LH47" s="25"/>
      <c r="LI47" s="25"/>
      <c r="LJ47" s="110"/>
      <c r="LK47" s="110"/>
      <c r="LL47" s="25"/>
      <c r="LM47" s="25"/>
      <c r="LN47" s="25"/>
      <c r="LO47" s="25"/>
      <c r="LP47" s="25"/>
      <c r="LQ47" s="110"/>
      <c r="LR47" s="110"/>
      <c r="LS47" s="25"/>
      <c r="LT47" s="25"/>
      <c r="LU47" s="25"/>
      <c r="LV47" s="25"/>
      <c r="LW47" s="25"/>
      <c r="LX47" s="110"/>
      <c r="LY47" s="110"/>
      <c r="LZ47" s="25"/>
      <c r="MA47" s="25"/>
      <c r="MB47" s="25"/>
      <c r="MC47" s="25"/>
      <c r="MD47" s="25"/>
      <c r="ME47" s="110"/>
      <c r="MF47" s="110"/>
      <c r="MG47" s="25"/>
      <c r="MH47" s="25"/>
      <c r="MI47" s="25"/>
      <c r="MJ47" s="25"/>
      <c r="MK47" s="25"/>
      <c r="ML47" s="110"/>
      <c r="MM47" s="110"/>
      <c r="MN47" s="25"/>
      <c r="MO47" s="25"/>
      <c r="MP47" s="25"/>
      <c r="MQ47" s="25"/>
      <c r="MR47" s="25"/>
      <c r="MS47" s="110"/>
      <c r="MT47" s="110"/>
      <c r="MU47" s="25"/>
      <c r="MV47" s="25"/>
      <c r="MW47" s="25"/>
      <c r="MX47" s="25"/>
      <c r="MY47" s="25"/>
      <c r="MZ47" s="110"/>
      <c r="NA47" s="110"/>
      <c r="NB47" s="25"/>
      <c r="NC47" s="25"/>
      <c r="ND47" s="25"/>
      <c r="NE47" s="129"/>
      <c r="NF47" s="111"/>
      <c r="NG47" s="8">
        <f t="shared" si="45"/>
        <v>4</v>
      </c>
      <c r="NH47" s="351" cm="1">
        <f t="array" ref="NH47">NETWORKDAYS($I$2,$AH$2)- SUM(COUNTIF(I47:AH47,{"I";"F";"CP";"R";"P";"AC";"AM"}))</f>
        <v>20</v>
      </c>
      <c r="NI47" s="138">
        <f t="shared" si="12"/>
        <v>0.2</v>
      </c>
      <c r="NJ47" s="8">
        <f t="shared" si="46"/>
        <v>6</v>
      </c>
      <c r="NK47" s="351" cm="1">
        <f t="array" ref="NK47">NETWORKDAYS($AJ$2,$BK$2)- SUM(COUNTIF(AJ47:BK47,{"I";"F";"CP";"R";"P";"AC";"AM"}))</f>
        <v>20</v>
      </c>
      <c r="NL47" s="138">
        <f t="shared" si="13"/>
        <v>0.3</v>
      </c>
      <c r="NM47" s="8">
        <f t="shared" si="47"/>
        <v>15</v>
      </c>
      <c r="NN47" s="351" cm="1">
        <f t="array" ref="NN47">NETWORKDAYS($BL$2,$CP$2)- SUM(COUNTIF(BL47:CP47,{"I";"F";"CP";"R";"P";"AC";"AM"}))</f>
        <v>22</v>
      </c>
      <c r="NO47" s="138">
        <f t="shared" si="14"/>
        <v>0.68181818181818177</v>
      </c>
      <c r="NP47" s="8">
        <f t="shared" si="48"/>
        <v>9</v>
      </c>
      <c r="NQ47" s="351" cm="1">
        <f t="array" ref="NQ47">NETWORKDAYS($CQ$2,$DT$2,$CV$2)- SUM(COUNTIF(CQ47:DT47,{"I";"F";"CP";"R";"P";"AC";"AM"}))</f>
        <v>21</v>
      </c>
      <c r="NR47" s="138">
        <f t="shared" si="15"/>
        <v>0.42857142857142855</v>
      </c>
      <c r="NS47" s="8">
        <f t="shared" si="49"/>
        <v>0</v>
      </c>
      <c r="NT47" s="351" cm="1">
        <f t="array" ref="NT47">NETWORKDAYS($DV$2,$EY$2)-SUM(COUNTIF(DV47:EY47,{"I";"F";"CP";"R";"P";"AC";"AM"}))</f>
        <v>16</v>
      </c>
      <c r="NU47" s="138">
        <f t="shared" si="16"/>
        <v>0</v>
      </c>
      <c r="NV47" s="8">
        <f t="shared" si="27"/>
        <v>0</v>
      </c>
      <c r="NW47" s="351" cm="1">
        <f t="array" ref="NW47">NETWORKDAYS($EZ$2,$GC$2)-SUM(COUNTIF(EZ47:GC47,{"I";"F";"CP";"R";"P";"AC";"AM"}))</f>
        <v>22</v>
      </c>
      <c r="NX47" s="138">
        <f t="shared" si="28"/>
        <v>0</v>
      </c>
      <c r="NY47" s="8">
        <f t="shared" si="29"/>
        <v>0</v>
      </c>
      <c r="NZ47" s="351" cm="1">
        <f t="array" ref="NZ47">NETWORKDAYS($GD$2,$HH$2,$GQ$2)-SUM(COUNTIF(GD47:HH47,{"I";"F";"CP";"R";"P";"AC";"AM"}))</f>
        <v>21</v>
      </c>
      <c r="OA47" s="138">
        <f t="shared" si="30"/>
        <v>0</v>
      </c>
      <c r="OB47" s="8">
        <f t="shared" si="31"/>
        <v>0</v>
      </c>
      <c r="OC47" s="351" cm="1">
        <f t="array" ref="OC47">NETWORKDAYS($HI$2,$IM$2)-SUM(COUNTIF(HI47:IM47,{"I";"F";"CP";"R";"P";"AC";"AM"}))</f>
        <v>21</v>
      </c>
      <c r="OD47" s="138">
        <f t="shared" si="32"/>
        <v>0</v>
      </c>
      <c r="OE47" s="8">
        <f t="shared" si="33"/>
        <v>0</v>
      </c>
      <c r="OF47" s="351" cm="1">
        <f t="array" ref="OF47">NETWORKDAYS($IN$2,$JQ$2)-SUM(COUNTIF(IN47:JQ47,{"I";"F";"CP";"R";"P";"AC";"AM"}))</f>
        <v>22</v>
      </c>
      <c r="OG47" s="138">
        <f t="shared" si="34"/>
        <v>0</v>
      </c>
      <c r="OH47" s="8">
        <f t="shared" si="35"/>
        <v>0</v>
      </c>
      <c r="OI47" s="351" cm="1">
        <f t="array" ref="OI47">NETWORKDAYS($JR$2,$KV$2)-SUM(COUNTIF(JR47:KV47,{"I";"F";"CP";"R";"P";"AC";"AM"}))</f>
        <v>22</v>
      </c>
      <c r="OJ47" s="138">
        <f t="shared" si="36"/>
        <v>0</v>
      </c>
      <c r="OK47" s="8">
        <f t="shared" si="37"/>
        <v>0</v>
      </c>
      <c r="OL47" s="351" cm="1">
        <f t="array" ref="OL47">NETWORKDAYS($KW$2,$LZ$2,$LG$2)-SUM(COUNTIF(KW47:LZ47,{"I";"F";"CP";"R";"P";"AC";"AM"}))</f>
        <v>19</v>
      </c>
      <c r="OM47" s="138">
        <f t="shared" si="38"/>
        <v>0</v>
      </c>
      <c r="ON47" s="8">
        <f t="shared" si="39"/>
        <v>0</v>
      </c>
      <c r="OO47" s="351" cm="1">
        <f t="array" ref="OO47">NETWORKDAYS($MA$2,$MR$2)-SUM(COUNTIF(MA47:MR47,{"I";"F";"CP";"R";"P";"AC";"AM"}))</f>
        <v>14</v>
      </c>
      <c r="OP47" s="138">
        <f t="shared" si="40"/>
        <v>0</v>
      </c>
      <c r="OQ47" s="94">
        <f t="shared" si="41"/>
        <v>34</v>
      </c>
      <c r="OR47" s="94">
        <f t="shared" si="42"/>
        <v>240</v>
      </c>
      <c r="OS47" s="138">
        <f t="shared" si="43"/>
        <v>0.14166666666666666</v>
      </c>
    </row>
    <row r="48" spans="1:409" ht="18" customHeight="1" x14ac:dyDescent="0.25">
      <c r="A48" s="95" t="s">
        <v>181</v>
      </c>
      <c r="B48" s="95" t="s">
        <v>34</v>
      </c>
      <c r="C48" s="89" t="s">
        <v>160</v>
      </c>
      <c r="D48" s="89" t="s">
        <v>219</v>
      </c>
      <c r="E48" s="128"/>
      <c r="F48" s="110"/>
      <c r="G48" s="110"/>
      <c r="H48" s="110"/>
      <c r="I48" s="25" t="s">
        <v>223</v>
      </c>
      <c r="J48" s="25" t="s">
        <v>223</v>
      </c>
      <c r="K48" s="25" t="s">
        <v>223</v>
      </c>
      <c r="L48" s="25" t="s">
        <v>223</v>
      </c>
      <c r="M48" s="25" t="s">
        <v>223</v>
      </c>
      <c r="N48" s="110"/>
      <c r="O48" s="110"/>
      <c r="P48" s="25"/>
      <c r="Q48" s="25">
        <v>1</v>
      </c>
      <c r="R48" s="25">
        <v>1</v>
      </c>
      <c r="S48" s="25"/>
      <c r="T48" s="25">
        <v>1</v>
      </c>
      <c r="U48" s="110"/>
      <c r="V48" s="110"/>
      <c r="W48" s="25"/>
      <c r="X48" s="25"/>
      <c r="Y48" s="25"/>
      <c r="Z48" s="25"/>
      <c r="AA48" s="25"/>
      <c r="AB48" s="110"/>
      <c r="AC48" s="110"/>
      <c r="AD48" s="25"/>
      <c r="AE48" s="25"/>
      <c r="AF48" s="25">
        <v>1</v>
      </c>
      <c r="AG48" s="25">
        <v>1</v>
      </c>
      <c r="AH48" s="25">
        <v>1</v>
      </c>
      <c r="AI48" s="110"/>
      <c r="AJ48" s="110"/>
      <c r="AK48" s="25">
        <v>1</v>
      </c>
      <c r="AL48" s="25">
        <v>1</v>
      </c>
      <c r="AM48" s="25">
        <v>1</v>
      </c>
      <c r="AN48" s="25">
        <v>1</v>
      </c>
      <c r="AO48" s="25"/>
      <c r="AP48" s="110"/>
      <c r="AQ48" s="110"/>
      <c r="AR48" s="25"/>
      <c r="AS48" s="25"/>
      <c r="AT48" s="25"/>
      <c r="AV48" s="25"/>
      <c r="AW48" s="110"/>
      <c r="AX48" s="110"/>
      <c r="AY48" s="25">
        <v>1</v>
      </c>
      <c r="AZ48" s="25">
        <v>1</v>
      </c>
      <c r="BA48" s="25">
        <v>1</v>
      </c>
      <c r="BB48" s="25">
        <v>1</v>
      </c>
      <c r="BC48" s="25">
        <v>1</v>
      </c>
      <c r="BD48" s="110"/>
      <c r="BE48" s="110"/>
      <c r="BF48" s="25">
        <v>1</v>
      </c>
      <c r="BG48" s="25">
        <v>1</v>
      </c>
      <c r="BH48" s="25"/>
      <c r="BI48" s="25"/>
      <c r="BJ48" s="25"/>
      <c r="BK48" s="110"/>
      <c r="BL48" s="110"/>
      <c r="BM48" s="25"/>
      <c r="BN48" s="25">
        <v>1</v>
      </c>
      <c r="BO48" s="25">
        <v>1</v>
      </c>
      <c r="BP48" s="25"/>
      <c r="BQ48" s="25">
        <v>1</v>
      </c>
      <c r="BR48" s="110"/>
      <c r="BS48" s="110"/>
      <c r="BT48" s="25">
        <v>1</v>
      </c>
      <c r="BU48" s="25">
        <v>1</v>
      </c>
      <c r="BV48" s="25">
        <v>1</v>
      </c>
      <c r="BW48" s="25">
        <v>1</v>
      </c>
      <c r="BX48" s="25">
        <v>1</v>
      </c>
      <c r="BY48" s="110"/>
      <c r="BZ48" s="110"/>
      <c r="CA48" s="25">
        <v>1</v>
      </c>
      <c r="CB48" s="25">
        <v>1</v>
      </c>
      <c r="CC48" s="25">
        <v>1</v>
      </c>
      <c r="CD48" s="25"/>
      <c r="CE48" s="25"/>
      <c r="CF48" s="110"/>
      <c r="CG48" s="110"/>
      <c r="CH48" s="25"/>
      <c r="CI48" s="25"/>
      <c r="CJ48" s="25">
        <v>1</v>
      </c>
      <c r="CK48" s="25">
        <v>1</v>
      </c>
      <c r="CL48" s="25">
        <v>1</v>
      </c>
      <c r="CM48" s="110"/>
      <c r="CN48" s="110"/>
      <c r="CO48" s="25">
        <v>1</v>
      </c>
      <c r="CP48" s="25">
        <v>1</v>
      </c>
      <c r="CQ48" s="25">
        <v>1</v>
      </c>
      <c r="CR48" s="25">
        <v>1</v>
      </c>
      <c r="CS48" s="25">
        <v>1</v>
      </c>
      <c r="CT48" s="110"/>
      <c r="CU48" s="110"/>
      <c r="CV48" s="110"/>
      <c r="CW48" s="25" t="s">
        <v>223</v>
      </c>
      <c r="CX48" s="25" t="s">
        <v>223</v>
      </c>
      <c r="CY48" s="25" t="s">
        <v>223</v>
      </c>
      <c r="CZ48" s="25" t="s">
        <v>223</v>
      </c>
      <c r="DA48" s="110"/>
      <c r="DB48" s="110"/>
      <c r="DC48" s="25" t="s">
        <v>223</v>
      </c>
      <c r="DD48" s="25">
        <v>1</v>
      </c>
      <c r="DE48" s="25">
        <v>1</v>
      </c>
      <c r="DF48" s="25">
        <v>1</v>
      </c>
      <c r="DG48" s="25">
        <v>1</v>
      </c>
      <c r="DH48" s="110"/>
      <c r="DI48" s="110"/>
      <c r="DJ48" s="25">
        <v>1</v>
      </c>
      <c r="DK48" s="25">
        <v>1</v>
      </c>
      <c r="DL48" s="25"/>
      <c r="DM48" s="25"/>
      <c r="DN48" s="25"/>
      <c r="DO48" s="110"/>
      <c r="DP48" s="110"/>
      <c r="DQ48" s="25"/>
      <c r="DR48" s="25"/>
      <c r="DS48" s="25"/>
      <c r="DT48" s="25"/>
      <c r="DU48" s="110" t="s">
        <v>445</v>
      </c>
      <c r="DV48" s="110"/>
      <c r="DW48" s="110"/>
      <c r="DX48" s="25"/>
      <c r="DY48" s="25"/>
      <c r="DZ48" s="25">
        <v>1</v>
      </c>
      <c r="EA48" s="25">
        <v>1</v>
      </c>
      <c r="EB48" s="110" t="s">
        <v>445</v>
      </c>
      <c r="EC48" s="110"/>
      <c r="ED48" s="110"/>
      <c r="EE48" s="25">
        <v>1</v>
      </c>
      <c r="EF48" s="25">
        <v>1</v>
      </c>
      <c r="EG48" s="25">
        <v>1</v>
      </c>
      <c r="EH48" s="110" t="s">
        <v>445</v>
      </c>
      <c r="EI48" s="110" t="s">
        <v>445</v>
      </c>
      <c r="EJ48" s="110"/>
      <c r="EK48" s="110"/>
      <c r="EL48" s="25"/>
      <c r="EM48" s="25"/>
      <c r="EN48" s="25"/>
      <c r="EO48" s="25"/>
      <c r="EP48" s="25"/>
      <c r="EQ48" s="110"/>
      <c r="ER48" s="110"/>
      <c r="ES48" s="110" t="s">
        <v>445</v>
      </c>
      <c r="ET48" s="25"/>
      <c r="EU48" s="25"/>
      <c r="EV48" s="25"/>
      <c r="EW48" s="25"/>
      <c r="EX48" s="110"/>
      <c r="EY48" s="110"/>
      <c r="EZ48" s="25"/>
      <c r="FA48" s="25"/>
      <c r="FB48" s="25"/>
      <c r="FC48" s="25"/>
      <c r="FD48" s="25"/>
      <c r="FE48" s="110"/>
      <c r="FF48" s="110"/>
      <c r="FG48" s="25"/>
      <c r="FH48" s="25"/>
      <c r="FI48" s="25"/>
      <c r="FJ48" s="25"/>
      <c r="FK48" s="25"/>
      <c r="FL48" s="110"/>
      <c r="FM48" s="110"/>
      <c r="FN48" s="25"/>
      <c r="FO48" s="25"/>
      <c r="FP48" s="25"/>
      <c r="FQ48" s="25"/>
      <c r="FR48" s="25"/>
      <c r="FS48" s="110"/>
      <c r="FT48" s="110"/>
      <c r="FU48" s="25"/>
      <c r="FV48" s="25"/>
      <c r="FW48" s="25"/>
      <c r="FX48" s="25"/>
      <c r="FY48" s="25"/>
      <c r="FZ48" s="110"/>
      <c r="GA48" s="110"/>
      <c r="GB48" s="25"/>
      <c r="GC48" s="25"/>
      <c r="GD48" s="25"/>
      <c r="GE48" s="25"/>
      <c r="GF48" s="25"/>
      <c r="GG48" s="110"/>
      <c r="GH48" s="110"/>
      <c r="GI48" s="25"/>
      <c r="GJ48" s="25"/>
      <c r="GK48" s="25"/>
      <c r="GL48" s="25"/>
      <c r="GM48" s="25"/>
      <c r="GN48" s="110"/>
      <c r="GO48" s="110"/>
      <c r="GP48" s="110" t="s">
        <v>445</v>
      </c>
      <c r="GQ48" s="110"/>
      <c r="GR48" s="25"/>
      <c r="GS48" s="25"/>
      <c r="GT48" s="25"/>
      <c r="GU48" s="110"/>
      <c r="GV48" s="110"/>
      <c r="GW48" s="25"/>
      <c r="GX48" s="25"/>
      <c r="GY48" s="25"/>
      <c r="GZ48" s="25"/>
      <c r="HA48" s="25"/>
      <c r="HB48" s="110"/>
      <c r="HC48" s="110"/>
      <c r="HD48" s="25"/>
      <c r="HE48" s="25"/>
      <c r="HF48" s="25"/>
      <c r="HG48" s="25"/>
      <c r="HH48" s="25"/>
      <c r="HI48" s="110"/>
      <c r="HJ48" s="110"/>
      <c r="HK48" s="25"/>
      <c r="HL48" s="25"/>
      <c r="HM48" s="25"/>
      <c r="HN48" s="25"/>
      <c r="HO48" s="25"/>
      <c r="HP48" s="110"/>
      <c r="HQ48" s="110"/>
      <c r="HR48" s="25"/>
      <c r="HS48" s="25"/>
      <c r="HT48" s="25"/>
      <c r="HU48" s="25"/>
      <c r="HV48" s="25"/>
      <c r="HW48" s="110"/>
      <c r="HX48" s="110"/>
      <c r="HY48" s="25"/>
      <c r="HZ48" s="25"/>
      <c r="IA48" s="25"/>
      <c r="IB48" s="25"/>
      <c r="IC48" s="25"/>
      <c r="ID48" s="110"/>
      <c r="IE48" s="110"/>
      <c r="IF48" s="25"/>
      <c r="IG48" s="25"/>
      <c r="IH48" s="25"/>
      <c r="II48" s="25"/>
      <c r="IJ48" s="25"/>
      <c r="IK48" s="110"/>
      <c r="IL48" s="110"/>
      <c r="IM48" s="25"/>
      <c r="IN48" s="25"/>
      <c r="IO48" s="25"/>
      <c r="IP48" s="25"/>
      <c r="IQ48" s="25"/>
      <c r="IR48" s="110"/>
      <c r="IS48" s="110"/>
      <c r="IT48" s="25"/>
      <c r="IU48" s="25"/>
      <c r="IV48" s="25"/>
      <c r="IW48" s="25"/>
      <c r="IX48" s="25"/>
      <c r="IY48" s="110"/>
      <c r="IZ48" s="110"/>
      <c r="JA48" s="25"/>
      <c r="JB48" s="25"/>
      <c r="JC48" s="25"/>
      <c r="JD48" s="25"/>
      <c r="JE48" s="25"/>
      <c r="JF48" s="110"/>
      <c r="JG48" s="110"/>
      <c r="JH48" s="25"/>
      <c r="JI48" s="25"/>
      <c r="JJ48" s="25"/>
      <c r="JK48" s="25"/>
      <c r="JL48" s="25"/>
      <c r="JM48" s="110"/>
      <c r="JN48" s="110"/>
      <c r="JO48" s="25"/>
      <c r="JP48" s="25"/>
      <c r="JQ48" s="25"/>
      <c r="JR48" s="25"/>
      <c r="JS48" s="25"/>
      <c r="JT48" s="110"/>
      <c r="JU48" s="110"/>
      <c r="JV48" s="25"/>
      <c r="JW48" s="25"/>
      <c r="JX48" s="25"/>
      <c r="JY48" s="25"/>
      <c r="JZ48" s="25"/>
      <c r="KA48" s="110"/>
      <c r="KB48" s="110"/>
      <c r="KC48" s="25"/>
      <c r="KD48" s="25"/>
      <c r="KE48" s="25"/>
      <c r="KF48" s="25"/>
      <c r="KG48" s="25"/>
      <c r="KH48" s="110"/>
      <c r="KI48" s="110"/>
      <c r="KJ48" s="25"/>
      <c r="KK48" s="25"/>
      <c r="KL48" s="25"/>
      <c r="KM48" s="25"/>
      <c r="KN48" s="25"/>
      <c r="KO48" s="110"/>
      <c r="KP48" s="110"/>
      <c r="KQ48" s="25"/>
      <c r="KR48" s="25"/>
      <c r="KS48" s="25"/>
      <c r="KT48" s="25"/>
      <c r="KU48" s="25"/>
      <c r="KV48" s="110"/>
      <c r="KW48" s="110"/>
      <c r="KX48" s="25"/>
      <c r="KY48" s="25"/>
      <c r="KZ48" s="25"/>
      <c r="LA48" s="25"/>
      <c r="LB48" s="25"/>
      <c r="LC48" s="110"/>
      <c r="LD48" s="110"/>
      <c r="LE48" s="25"/>
      <c r="LF48" s="25"/>
      <c r="LG48" s="110" t="s">
        <v>445</v>
      </c>
      <c r="LH48" s="25"/>
      <c r="LI48" s="25"/>
      <c r="LJ48" s="110"/>
      <c r="LK48" s="110"/>
      <c r="LL48" s="25"/>
      <c r="LM48" s="25"/>
      <c r="LN48" s="25"/>
      <c r="LO48" s="25"/>
      <c r="LP48" s="25"/>
      <c r="LQ48" s="110"/>
      <c r="LR48" s="110"/>
      <c r="LS48" s="25"/>
      <c r="LT48" s="25"/>
      <c r="LU48" s="25"/>
      <c r="LV48" s="25"/>
      <c r="LW48" s="25"/>
      <c r="LX48" s="110"/>
      <c r="LY48" s="110"/>
      <c r="LZ48" s="25"/>
      <c r="MA48" s="25"/>
      <c r="MB48" s="25"/>
      <c r="MC48" s="25"/>
      <c r="MD48" s="25"/>
      <c r="ME48" s="110"/>
      <c r="MF48" s="110"/>
      <c r="MG48" s="25"/>
      <c r="MH48" s="25"/>
      <c r="MI48" s="25"/>
      <c r="MJ48" s="25"/>
      <c r="MK48" s="25"/>
      <c r="ML48" s="110"/>
      <c r="MM48" s="110"/>
      <c r="MN48" s="25"/>
      <c r="MO48" s="25"/>
      <c r="MP48" s="25"/>
      <c r="MQ48" s="25"/>
      <c r="MR48" s="25"/>
      <c r="MS48" s="110"/>
      <c r="MT48" s="110"/>
      <c r="MU48" s="25"/>
      <c r="MV48" s="25"/>
      <c r="MW48" s="25"/>
      <c r="MX48" s="25"/>
      <c r="MY48" s="25"/>
      <c r="MZ48" s="110"/>
      <c r="NA48" s="110"/>
      <c r="NB48" s="25"/>
      <c r="NC48" s="25"/>
      <c r="ND48" s="25"/>
      <c r="NE48" s="129"/>
      <c r="NF48" s="111"/>
      <c r="NG48" s="8">
        <f t="shared" si="45"/>
        <v>6</v>
      </c>
      <c r="NH48" s="351" cm="1">
        <f t="array" ref="NH48">NETWORKDAYS($I$2,$AH$2)- SUM(COUNTIF(I48:AH48,{"I";"F";"CP";"R";"P";"AC";"AM"}))</f>
        <v>15</v>
      </c>
      <c r="NI48" s="138">
        <f t="shared" si="12"/>
        <v>0.4</v>
      </c>
      <c r="NJ48" s="8">
        <f t="shared" si="46"/>
        <v>11</v>
      </c>
      <c r="NK48" s="351" cm="1">
        <f t="array" ref="NK48">NETWORKDAYS($AJ$2,$BK$2)- SUM(COUNTIF(AJ48:BK48,{"I";"F";"CP";"R";"P";"AC";"AM"}))</f>
        <v>20</v>
      </c>
      <c r="NL48" s="138">
        <f t="shared" si="13"/>
        <v>0.55000000000000004</v>
      </c>
      <c r="NM48" s="8">
        <f t="shared" si="47"/>
        <v>16</v>
      </c>
      <c r="NN48" s="351" cm="1">
        <f t="array" ref="NN48">NETWORKDAYS($BL$2,$CP$2)- SUM(COUNTIF(BL48:CP48,{"I";"F";"CP";"R";"P";"AC";"AM"}))</f>
        <v>22</v>
      </c>
      <c r="NO48" s="138">
        <f t="shared" si="14"/>
        <v>0.72727272727272729</v>
      </c>
      <c r="NP48" s="8">
        <f t="shared" si="48"/>
        <v>9</v>
      </c>
      <c r="NQ48" s="351" cm="1">
        <f t="array" ref="NQ48">NETWORKDAYS($CQ$2,$DT$2,$CV$2)- SUM(COUNTIF(CQ48:DT48,{"I";"F";"CP";"R";"P";"AC";"AM"}))</f>
        <v>16</v>
      </c>
      <c r="NR48" s="138">
        <f t="shared" si="15"/>
        <v>0.5625</v>
      </c>
      <c r="NS48" s="8">
        <f t="shared" si="49"/>
        <v>5</v>
      </c>
      <c r="NT48" s="351" cm="1">
        <f t="array" ref="NT48">NETWORKDAYS($DV$2,$EY$2)-SUM(COUNTIF(DV48:EY48,{"I";"F";"CP";"R";"P";"AC";"AM"}))</f>
        <v>16</v>
      </c>
      <c r="NU48" s="138">
        <f t="shared" si="16"/>
        <v>0.3125</v>
      </c>
      <c r="NV48" s="8">
        <f t="shared" si="27"/>
        <v>0</v>
      </c>
      <c r="NW48" s="351" cm="1">
        <f t="array" ref="NW48">NETWORKDAYS($EZ$2,$GC$2)-SUM(COUNTIF(EZ48:GC48,{"I";"F";"CP";"R";"P";"AC";"AM"}))</f>
        <v>22</v>
      </c>
      <c r="NX48" s="138">
        <f t="shared" si="28"/>
        <v>0</v>
      </c>
      <c r="NY48" s="8">
        <f t="shared" si="29"/>
        <v>0</v>
      </c>
      <c r="NZ48" s="351" cm="1">
        <f t="array" ref="NZ48">NETWORKDAYS($GD$2,$HH$2,$GQ$2)-SUM(COUNTIF(GD48:HH48,{"I";"F";"CP";"R";"P";"AC";"AM"}))</f>
        <v>21</v>
      </c>
      <c r="OA48" s="138">
        <f t="shared" si="30"/>
        <v>0</v>
      </c>
      <c r="OB48" s="8">
        <f t="shared" si="31"/>
        <v>0</v>
      </c>
      <c r="OC48" s="351" cm="1">
        <f t="array" ref="OC48">NETWORKDAYS($HI$2,$IM$2)-SUM(COUNTIF(HI48:IM48,{"I";"F";"CP";"R";"P";"AC";"AM"}))</f>
        <v>21</v>
      </c>
      <c r="OD48" s="138">
        <f t="shared" si="32"/>
        <v>0</v>
      </c>
      <c r="OE48" s="8">
        <f t="shared" si="33"/>
        <v>0</v>
      </c>
      <c r="OF48" s="351" cm="1">
        <f t="array" ref="OF48">NETWORKDAYS($IN$2,$JQ$2)-SUM(COUNTIF(IN48:JQ48,{"I";"F";"CP";"R";"P";"AC";"AM"}))</f>
        <v>22</v>
      </c>
      <c r="OG48" s="138">
        <f t="shared" si="34"/>
        <v>0</v>
      </c>
      <c r="OH48" s="8">
        <f t="shared" si="35"/>
        <v>0</v>
      </c>
      <c r="OI48" s="351" cm="1">
        <f t="array" ref="OI48">NETWORKDAYS($JR$2,$KV$2)-SUM(COUNTIF(JR48:KV48,{"I";"F";"CP";"R";"P";"AC";"AM"}))</f>
        <v>22</v>
      </c>
      <c r="OJ48" s="138">
        <f t="shared" si="36"/>
        <v>0</v>
      </c>
      <c r="OK48" s="8">
        <f t="shared" si="37"/>
        <v>0</v>
      </c>
      <c r="OL48" s="351" cm="1">
        <f t="array" ref="OL48">NETWORKDAYS($KW$2,$LZ$2,$LG$2)-SUM(COUNTIF(KW48:LZ48,{"I";"F";"CP";"R";"P";"AC";"AM"}))</f>
        <v>19</v>
      </c>
      <c r="OM48" s="138">
        <f t="shared" si="38"/>
        <v>0</v>
      </c>
      <c r="ON48" s="8">
        <f t="shared" si="39"/>
        <v>0</v>
      </c>
      <c r="OO48" s="351" cm="1">
        <f t="array" ref="OO48">NETWORKDAYS($MA$2,$MR$2)-SUM(COUNTIF(MA48:MR48,{"I";"F";"CP";"R";"P";"AC";"AM"}))</f>
        <v>14</v>
      </c>
      <c r="OP48" s="138">
        <f t="shared" si="40"/>
        <v>0</v>
      </c>
      <c r="OQ48" s="94">
        <f t="shared" si="41"/>
        <v>47</v>
      </c>
      <c r="OR48" s="94">
        <f t="shared" si="42"/>
        <v>230</v>
      </c>
      <c r="OS48" s="138">
        <f t="shared" si="43"/>
        <v>0.20434782608695654</v>
      </c>
    </row>
    <row r="49" spans="1:409" ht="18" customHeight="1" x14ac:dyDescent="0.25">
      <c r="A49" s="95" t="s">
        <v>181</v>
      </c>
      <c r="B49" s="95" t="s">
        <v>34</v>
      </c>
      <c r="C49" s="89" t="s">
        <v>166</v>
      </c>
      <c r="D49" s="89" t="s">
        <v>222</v>
      </c>
      <c r="E49" s="128"/>
      <c r="F49" s="110"/>
      <c r="G49" s="110"/>
      <c r="H49" s="110"/>
      <c r="I49" s="25" t="s">
        <v>223</v>
      </c>
      <c r="J49" s="25" t="s">
        <v>223</v>
      </c>
      <c r="K49" s="25" t="s">
        <v>223</v>
      </c>
      <c r="L49" s="25" t="s">
        <v>223</v>
      </c>
      <c r="M49" s="25" t="s">
        <v>223</v>
      </c>
      <c r="N49" s="110"/>
      <c r="O49" s="110"/>
      <c r="P49" s="25">
        <v>1</v>
      </c>
      <c r="Q49" s="25">
        <v>1</v>
      </c>
      <c r="R49" s="25">
        <v>1</v>
      </c>
      <c r="S49" s="25">
        <v>1</v>
      </c>
      <c r="T49" s="25">
        <v>1</v>
      </c>
      <c r="U49" s="110"/>
      <c r="V49" s="110"/>
      <c r="W49" s="25"/>
      <c r="X49" s="25">
        <v>1</v>
      </c>
      <c r="Y49" s="25">
        <v>1</v>
      </c>
      <c r="Z49" s="25">
        <v>1</v>
      </c>
      <c r="AA49" s="25" t="s">
        <v>447</v>
      </c>
      <c r="AB49" s="110"/>
      <c r="AC49" s="110"/>
      <c r="AD49" s="25"/>
      <c r="AE49" s="25">
        <v>1</v>
      </c>
      <c r="AF49" s="25">
        <v>1</v>
      </c>
      <c r="AG49" s="25">
        <v>1</v>
      </c>
      <c r="AH49" s="25">
        <v>1</v>
      </c>
      <c r="AI49" s="110"/>
      <c r="AJ49" s="110"/>
      <c r="AK49" s="25">
        <v>1</v>
      </c>
      <c r="AL49" s="25">
        <v>1</v>
      </c>
      <c r="AM49" s="25">
        <v>1</v>
      </c>
      <c r="AN49" s="25">
        <v>1</v>
      </c>
      <c r="AO49" s="25">
        <v>1</v>
      </c>
      <c r="AP49" s="110"/>
      <c r="AQ49" s="110"/>
      <c r="AR49" s="25">
        <v>1</v>
      </c>
      <c r="AS49" s="25">
        <v>1</v>
      </c>
      <c r="AT49" s="25">
        <v>1</v>
      </c>
      <c r="AV49" s="25">
        <v>1</v>
      </c>
      <c r="AW49" s="110"/>
      <c r="AX49" s="110"/>
      <c r="AY49" s="25">
        <v>1</v>
      </c>
      <c r="AZ49" s="25">
        <v>1</v>
      </c>
      <c r="BA49" s="25">
        <v>1</v>
      </c>
      <c r="BB49" s="25">
        <v>1</v>
      </c>
      <c r="BC49" s="25">
        <v>1</v>
      </c>
      <c r="BD49" s="110"/>
      <c r="BE49" s="110"/>
      <c r="BF49" s="25" t="s">
        <v>445</v>
      </c>
      <c r="BG49" s="25" t="s">
        <v>445</v>
      </c>
      <c r="BH49" s="25">
        <v>1</v>
      </c>
      <c r="BI49" s="25">
        <v>1</v>
      </c>
      <c r="BJ49" s="25">
        <v>1</v>
      </c>
      <c r="BK49" s="110"/>
      <c r="BL49" s="110"/>
      <c r="BM49" s="25">
        <v>1</v>
      </c>
      <c r="BN49" s="25">
        <v>1</v>
      </c>
      <c r="BO49" s="25">
        <v>1</v>
      </c>
      <c r="BP49" s="25">
        <v>1</v>
      </c>
      <c r="BQ49" s="25">
        <v>1</v>
      </c>
      <c r="BR49" s="110"/>
      <c r="BS49" s="110"/>
      <c r="BT49" s="25" t="s">
        <v>223</v>
      </c>
      <c r="BU49" s="25" t="s">
        <v>223</v>
      </c>
      <c r="BV49" s="25" t="s">
        <v>223</v>
      </c>
      <c r="BW49" s="25" t="s">
        <v>223</v>
      </c>
      <c r="BX49" s="25" t="s">
        <v>223</v>
      </c>
      <c r="BY49" s="110"/>
      <c r="BZ49" s="110"/>
      <c r="CA49" s="25">
        <v>1</v>
      </c>
      <c r="CB49" s="25">
        <v>1</v>
      </c>
      <c r="CC49" s="25">
        <v>1</v>
      </c>
      <c r="CD49" s="25">
        <v>1</v>
      </c>
      <c r="CE49" s="25">
        <v>1</v>
      </c>
      <c r="CF49" s="110"/>
      <c r="CG49" s="110"/>
      <c r="CH49" s="25">
        <v>1</v>
      </c>
      <c r="CI49" s="25">
        <v>1</v>
      </c>
      <c r="CJ49" s="25">
        <v>1</v>
      </c>
      <c r="CK49" s="25">
        <v>1</v>
      </c>
      <c r="CL49" s="25">
        <v>1</v>
      </c>
      <c r="CM49" s="110"/>
      <c r="CN49" s="110"/>
      <c r="CO49" s="25">
        <v>1</v>
      </c>
      <c r="CP49" s="25">
        <v>1</v>
      </c>
      <c r="CQ49" s="25">
        <v>1</v>
      </c>
      <c r="CR49" s="25">
        <v>1</v>
      </c>
      <c r="CS49" s="25">
        <v>1</v>
      </c>
      <c r="CT49" s="110"/>
      <c r="CU49" s="110"/>
      <c r="CV49" s="110"/>
      <c r="CW49" s="25">
        <v>1</v>
      </c>
      <c r="CX49" s="25">
        <v>1</v>
      </c>
      <c r="CY49" s="25">
        <v>1</v>
      </c>
      <c r="CZ49" s="25">
        <v>1</v>
      </c>
      <c r="DA49" s="110"/>
      <c r="DB49" s="110"/>
      <c r="DC49" s="25">
        <v>1</v>
      </c>
      <c r="DD49" s="25">
        <v>1</v>
      </c>
      <c r="DE49" s="25">
        <v>1</v>
      </c>
      <c r="DF49" s="25">
        <v>1</v>
      </c>
      <c r="DG49" s="25">
        <v>1</v>
      </c>
      <c r="DH49" s="110"/>
      <c r="DI49" s="110"/>
      <c r="DJ49" s="25">
        <v>1</v>
      </c>
      <c r="DK49" s="25">
        <v>1</v>
      </c>
      <c r="DL49" s="25">
        <v>1</v>
      </c>
      <c r="DM49" s="25"/>
      <c r="DN49" s="25"/>
      <c r="DO49" s="110"/>
      <c r="DP49" s="110"/>
      <c r="DQ49" s="25" t="s">
        <v>223</v>
      </c>
      <c r="DR49" s="25" t="s">
        <v>223</v>
      </c>
      <c r="DS49" s="25" t="s">
        <v>223</v>
      </c>
      <c r="DT49" s="25" t="s">
        <v>223</v>
      </c>
      <c r="DU49" s="110" t="s">
        <v>445</v>
      </c>
      <c r="DV49" s="110"/>
      <c r="DW49" s="110"/>
      <c r="DX49" s="25"/>
      <c r="DY49" s="25">
        <v>1</v>
      </c>
      <c r="DZ49" s="25">
        <v>1</v>
      </c>
      <c r="EA49" s="25">
        <v>1</v>
      </c>
      <c r="EB49" s="110" t="s">
        <v>445</v>
      </c>
      <c r="EC49" s="110"/>
      <c r="ED49" s="110"/>
      <c r="EE49" s="25">
        <v>1</v>
      </c>
      <c r="EF49" s="25">
        <v>1</v>
      </c>
      <c r="EG49" s="25">
        <v>1</v>
      </c>
      <c r="EH49" s="110" t="s">
        <v>445</v>
      </c>
      <c r="EI49" s="110" t="s">
        <v>445</v>
      </c>
      <c r="EJ49" s="110"/>
      <c r="EK49" s="110"/>
      <c r="EL49" s="25">
        <v>1</v>
      </c>
      <c r="EM49" s="25"/>
      <c r="EN49" s="25"/>
      <c r="EO49" s="25"/>
      <c r="EP49" s="25"/>
      <c r="EQ49" s="110"/>
      <c r="ER49" s="110"/>
      <c r="ES49" s="110" t="s">
        <v>445</v>
      </c>
      <c r="ET49" s="25"/>
      <c r="EU49" s="25"/>
      <c r="EV49" s="25"/>
      <c r="EW49" s="25"/>
      <c r="EX49" s="110"/>
      <c r="EY49" s="110"/>
      <c r="EZ49" s="25"/>
      <c r="FA49" s="25"/>
      <c r="FB49" s="25"/>
      <c r="FC49" s="25"/>
      <c r="FD49" s="25"/>
      <c r="FE49" s="110"/>
      <c r="FF49" s="110"/>
      <c r="FG49" s="25"/>
      <c r="FH49" s="25"/>
      <c r="FI49" s="25"/>
      <c r="FJ49" s="25"/>
      <c r="FK49" s="25"/>
      <c r="FL49" s="110"/>
      <c r="FM49" s="110"/>
      <c r="FN49" s="25"/>
      <c r="FO49" s="25"/>
      <c r="FP49" s="25"/>
      <c r="FQ49" s="25"/>
      <c r="FR49" s="25"/>
      <c r="FS49" s="110"/>
      <c r="FT49" s="110"/>
      <c r="FU49" s="25"/>
      <c r="FV49" s="25"/>
      <c r="FW49" s="25"/>
      <c r="FX49" s="25"/>
      <c r="FY49" s="25"/>
      <c r="FZ49" s="110"/>
      <c r="GA49" s="110"/>
      <c r="GB49" s="25"/>
      <c r="GC49" s="25"/>
      <c r="GD49" s="25"/>
      <c r="GE49" s="25"/>
      <c r="GF49" s="25"/>
      <c r="GG49" s="110"/>
      <c r="GH49" s="110"/>
      <c r="GI49" s="25"/>
      <c r="GJ49" s="25"/>
      <c r="GK49" s="25"/>
      <c r="GL49" s="25"/>
      <c r="GM49" s="25"/>
      <c r="GN49" s="110"/>
      <c r="GO49" s="110"/>
      <c r="GP49" s="110" t="s">
        <v>445</v>
      </c>
      <c r="GQ49" s="110"/>
      <c r="GR49" s="25"/>
      <c r="GS49" s="25"/>
      <c r="GT49" s="25"/>
      <c r="GU49" s="110"/>
      <c r="GV49" s="110"/>
      <c r="GW49" s="25"/>
      <c r="GX49" s="25"/>
      <c r="GY49" s="25"/>
      <c r="GZ49" s="25"/>
      <c r="HA49" s="25"/>
      <c r="HB49" s="110"/>
      <c r="HC49" s="110"/>
      <c r="HD49" s="25"/>
      <c r="HE49" s="25"/>
      <c r="HF49" s="25"/>
      <c r="HG49" s="25"/>
      <c r="HH49" s="25"/>
      <c r="HI49" s="110"/>
      <c r="HJ49" s="110"/>
      <c r="HK49" s="25"/>
      <c r="HL49" s="25"/>
      <c r="HM49" s="25"/>
      <c r="HN49" s="25"/>
      <c r="HO49" s="25"/>
      <c r="HP49" s="110"/>
      <c r="HQ49" s="110"/>
      <c r="HR49" s="25"/>
      <c r="HS49" s="25"/>
      <c r="HT49" s="25"/>
      <c r="HU49" s="25"/>
      <c r="HV49" s="25"/>
      <c r="HW49" s="110"/>
      <c r="HX49" s="110"/>
      <c r="HY49" s="25"/>
      <c r="HZ49" s="25"/>
      <c r="IA49" s="25"/>
      <c r="IB49" s="25"/>
      <c r="IC49" s="25"/>
      <c r="ID49" s="110"/>
      <c r="IE49" s="110"/>
      <c r="IF49" s="25"/>
      <c r="IG49" s="25"/>
      <c r="IH49" s="25"/>
      <c r="II49" s="25"/>
      <c r="IJ49" s="25"/>
      <c r="IK49" s="110"/>
      <c r="IL49" s="110"/>
      <c r="IM49" s="25"/>
      <c r="IN49" s="25"/>
      <c r="IO49" s="25"/>
      <c r="IP49" s="25"/>
      <c r="IQ49" s="25"/>
      <c r="IR49" s="110"/>
      <c r="IS49" s="110"/>
      <c r="IT49" s="25"/>
      <c r="IU49" s="25"/>
      <c r="IV49" s="25"/>
      <c r="IW49" s="25"/>
      <c r="IX49" s="25"/>
      <c r="IY49" s="110"/>
      <c r="IZ49" s="110"/>
      <c r="JA49" s="25"/>
      <c r="JB49" s="25"/>
      <c r="JC49" s="25"/>
      <c r="JD49" s="25"/>
      <c r="JE49" s="25"/>
      <c r="JF49" s="110"/>
      <c r="JG49" s="110"/>
      <c r="JH49" s="25"/>
      <c r="JI49" s="25"/>
      <c r="JJ49" s="25"/>
      <c r="JK49" s="25"/>
      <c r="JL49" s="25"/>
      <c r="JM49" s="110"/>
      <c r="JN49" s="110"/>
      <c r="JO49" s="25"/>
      <c r="JP49" s="25"/>
      <c r="JQ49" s="25"/>
      <c r="JR49" s="25"/>
      <c r="JS49" s="25"/>
      <c r="JT49" s="110"/>
      <c r="JU49" s="110"/>
      <c r="JV49" s="25"/>
      <c r="JW49" s="25"/>
      <c r="JX49" s="25"/>
      <c r="JY49" s="25"/>
      <c r="JZ49" s="25"/>
      <c r="KA49" s="110"/>
      <c r="KB49" s="110"/>
      <c r="KC49" s="25"/>
      <c r="KD49" s="25"/>
      <c r="KE49" s="25"/>
      <c r="KF49" s="25"/>
      <c r="KG49" s="25"/>
      <c r="KH49" s="110"/>
      <c r="KI49" s="110"/>
      <c r="KJ49" s="25"/>
      <c r="KK49" s="25"/>
      <c r="KL49" s="25"/>
      <c r="KM49" s="25"/>
      <c r="KN49" s="25"/>
      <c r="KO49" s="110"/>
      <c r="KP49" s="110"/>
      <c r="KQ49" s="25"/>
      <c r="KR49" s="25"/>
      <c r="KS49" s="25"/>
      <c r="KT49" s="25"/>
      <c r="KU49" s="25"/>
      <c r="KV49" s="110"/>
      <c r="KW49" s="110"/>
      <c r="KX49" s="25"/>
      <c r="KY49" s="25"/>
      <c r="KZ49" s="25"/>
      <c r="LA49" s="25"/>
      <c r="LB49" s="25"/>
      <c r="LC49" s="110"/>
      <c r="LD49" s="110"/>
      <c r="LE49" s="25"/>
      <c r="LF49" s="25"/>
      <c r="LG49" s="110" t="s">
        <v>445</v>
      </c>
      <c r="LH49" s="25"/>
      <c r="LI49" s="25"/>
      <c r="LJ49" s="110"/>
      <c r="LK49" s="110"/>
      <c r="LL49" s="25"/>
      <c r="LM49" s="25"/>
      <c r="LN49" s="25"/>
      <c r="LO49" s="25"/>
      <c r="LP49" s="25"/>
      <c r="LQ49" s="110"/>
      <c r="LR49" s="110"/>
      <c r="LS49" s="25"/>
      <c r="LT49" s="25"/>
      <c r="LU49" s="25"/>
      <c r="LV49" s="25"/>
      <c r="LW49" s="25"/>
      <c r="LX49" s="110"/>
      <c r="LY49" s="110"/>
      <c r="LZ49" s="25"/>
      <c r="MA49" s="25"/>
      <c r="MB49" s="25"/>
      <c r="MC49" s="25"/>
      <c r="MD49" s="25"/>
      <c r="ME49" s="110"/>
      <c r="MF49" s="110"/>
      <c r="MG49" s="25"/>
      <c r="MH49" s="25"/>
      <c r="MI49" s="25"/>
      <c r="MJ49" s="25"/>
      <c r="MK49" s="25"/>
      <c r="ML49" s="110"/>
      <c r="MM49" s="110"/>
      <c r="MN49" s="25"/>
      <c r="MO49" s="25"/>
      <c r="MP49" s="25"/>
      <c r="MQ49" s="25"/>
      <c r="MR49" s="25"/>
      <c r="MS49" s="110"/>
      <c r="MT49" s="110"/>
      <c r="MU49" s="25"/>
      <c r="MV49" s="25"/>
      <c r="MW49" s="25"/>
      <c r="MX49" s="25"/>
      <c r="MY49" s="25"/>
      <c r="MZ49" s="110"/>
      <c r="NA49" s="110"/>
      <c r="NB49" s="25"/>
      <c r="NC49" s="25"/>
      <c r="ND49" s="25"/>
      <c r="NE49" s="129"/>
      <c r="NF49" s="111"/>
      <c r="NG49" s="8">
        <f t="shared" si="45"/>
        <v>12</v>
      </c>
      <c r="NH49" s="351" cm="1">
        <f t="array" ref="NH49">NETWORKDAYS($I$2,$AH$2)- SUM(COUNTIF(I49:AH49,{"I";"F";"CP";"R";"P";"AC";"AM"}))</f>
        <v>14</v>
      </c>
      <c r="NI49" s="138">
        <f t="shared" si="12"/>
        <v>0.8571428571428571</v>
      </c>
      <c r="NJ49" s="8">
        <f t="shared" si="46"/>
        <v>17</v>
      </c>
      <c r="NK49" s="351" cm="1">
        <f t="array" ref="NK49">NETWORKDAYS($AJ$2,$BK$2)- SUM(COUNTIF(AJ49:BK49,{"I";"F";"CP";"R";"P";"AC";"AM"}))</f>
        <v>18</v>
      </c>
      <c r="NL49" s="138">
        <f t="shared" si="13"/>
        <v>0.94444444444444442</v>
      </c>
      <c r="NM49" s="8">
        <f t="shared" si="47"/>
        <v>17</v>
      </c>
      <c r="NN49" s="351" cm="1">
        <f t="array" ref="NN49">NETWORKDAYS($BL$2,$CP$2)- SUM(COUNTIF(BL49:CP49,{"I";"F";"CP";"R";"P";"AC";"AM"}))</f>
        <v>17</v>
      </c>
      <c r="NO49" s="138">
        <f t="shared" si="14"/>
        <v>1</v>
      </c>
      <c r="NP49" s="8">
        <f t="shared" si="48"/>
        <v>15</v>
      </c>
      <c r="NQ49" s="351" cm="1">
        <f t="array" ref="NQ49">NETWORKDAYS($CQ$2,$DT$2,$CV$2)- SUM(COUNTIF(CQ49:DT49,{"I";"F";"CP";"R";"P";"AC";"AM"}))</f>
        <v>17</v>
      </c>
      <c r="NR49" s="138">
        <f t="shared" si="15"/>
        <v>0.88235294117647056</v>
      </c>
      <c r="NS49" s="8">
        <f t="shared" si="49"/>
        <v>7</v>
      </c>
      <c r="NT49" s="351" cm="1">
        <f t="array" ref="NT49">NETWORKDAYS($DV$2,$EY$2)-SUM(COUNTIF(DV49:EY49,{"I";"F";"CP";"R";"P";"AC";"AM"}))</f>
        <v>16</v>
      </c>
      <c r="NU49" s="138">
        <f t="shared" si="16"/>
        <v>0.4375</v>
      </c>
      <c r="NV49" s="8">
        <f t="shared" si="27"/>
        <v>0</v>
      </c>
      <c r="NW49" s="351" cm="1">
        <f t="array" ref="NW49">NETWORKDAYS($EZ$2,$GC$2)-SUM(COUNTIF(EZ49:GC49,{"I";"F";"CP";"R";"P";"AC";"AM"}))</f>
        <v>22</v>
      </c>
      <c r="NX49" s="138">
        <f t="shared" si="28"/>
        <v>0</v>
      </c>
      <c r="NY49" s="8">
        <f t="shared" si="29"/>
        <v>0</v>
      </c>
      <c r="NZ49" s="351" cm="1">
        <f t="array" ref="NZ49">NETWORKDAYS($GD$2,$HH$2,$GQ$2)-SUM(COUNTIF(GD49:HH49,{"I";"F";"CP";"R";"P";"AC";"AM"}))</f>
        <v>21</v>
      </c>
      <c r="OA49" s="138">
        <f t="shared" si="30"/>
        <v>0</v>
      </c>
      <c r="OB49" s="8">
        <f t="shared" si="31"/>
        <v>0</v>
      </c>
      <c r="OC49" s="351" cm="1">
        <f t="array" ref="OC49">NETWORKDAYS($HI$2,$IM$2)-SUM(COUNTIF(HI49:IM49,{"I";"F";"CP";"R";"P";"AC";"AM"}))</f>
        <v>21</v>
      </c>
      <c r="OD49" s="138">
        <f t="shared" si="32"/>
        <v>0</v>
      </c>
      <c r="OE49" s="8">
        <f t="shared" si="33"/>
        <v>0</v>
      </c>
      <c r="OF49" s="351" cm="1">
        <f t="array" ref="OF49">NETWORKDAYS($IN$2,$JQ$2)-SUM(COUNTIF(IN49:JQ49,{"I";"F";"CP";"R";"P";"AC";"AM"}))</f>
        <v>22</v>
      </c>
      <c r="OG49" s="138">
        <f t="shared" si="34"/>
        <v>0</v>
      </c>
      <c r="OH49" s="8">
        <f t="shared" si="35"/>
        <v>0</v>
      </c>
      <c r="OI49" s="351" cm="1">
        <f t="array" ref="OI49">NETWORKDAYS($JR$2,$KV$2)-SUM(COUNTIF(JR49:KV49,{"I";"F";"CP";"R";"P";"AC";"AM"}))</f>
        <v>22</v>
      </c>
      <c r="OJ49" s="138">
        <f t="shared" si="36"/>
        <v>0</v>
      </c>
      <c r="OK49" s="8">
        <f t="shared" si="37"/>
        <v>0</v>
      </c>
      <c r="OL49" s="351" cm="1">
        <f t="array" ref="OL49">NETWORKDAYS($KW$2,$LZ$2,$LG$2)-SUM(COUNTIF(KW49:LZ49,{"I";"F";"CP";"R";"P";"AC";"AM"}))</f>
        <v>19</v>
      </c>
      <c r="OM49" s="138">
        <f t="shared" si="38"/>
        <v>0</v>
      </c>
      <c r="ON49" s="8">
        <f t="shared" si="39"/>
        <v>0</v>
      </c>
      <c r="OO49" s="351" cm="1">
        <f t="array" ref="OO49">NETWORKDAYS($MA$2,$MR$2)-SUM(COUNTIF(MA49:MR49,{"I";"F";"CP";"R";"P";"AC";"AM"}))</f>
        <v>14</v>
      </c>
      <c r="OP49" s="138">
        <f t="shared" si="40"/>
        <v>0</v>
      </c>
      <c r="OQ49" s="94">
        <f t="shared" si="41"/>
        <v>68</v>
      </c>
      <c r="OR49" s="94">
        <f t="shared" si="42"/>
        <v>223</v>
      </c>
      <c r="OS49" s="138">
        <f t="shared" si="43"/>
        <v>0.30493273542600896</v>
      </c>
    </row>
    <row r="50" spans="1:409" ht="18" hidden="1" customHeight="1" x14ac:dyDescent="0.25">
      <c r="A50" s="95" t="s">
        <v>168</v>
      </c>
      <c r="B50" s="95" t="s">
        <v>168</v>
      </c>
      <c r="C50" s="89" t="s">
        <v>166</v>
      </c>
      <c r="D50" s="89" t="s">
        <v>220</v>
      </c>
      <c r="E50" s="128"/>
      <c r="F50" s="110"/>
      <c r="G50" s="110"/>
      <c r="H50" s="110"/>
      <c r="I50" s="25"/>
      <c r="J50" s="25"/>
      <c r="K50" s="25"/>
      <c r="L50" s="25"/>
      <c r="M50" s="25"/>
      <c r="N50" s="110"/>
      <c r="O50" s="110"/>
      <c r="P50" s="25"/>
      <c r="Q50" s="25"/>
      <c r="R50" s="25"/>
      <c r="S50" s="25"/>
      <c r="T50" s="25"/>
      <c r="U50" s="110"/>
      <c r="V50" s="110"/>
      <c r="W50" s="25"/>
      <c r="X50" s="25"/>
      <c r="Y50" s="25"/>
      <c r="Z50" s="25"/>
      <c r="AA50" s="25"/>
      <c r="AB50" s="110"/>
      <c r="AC50" s="110"/>
      <c r="AD50" s="25"/>
      <c r="AE50" s="25"/>
      <c r="AF50" s="25"/>
      <c r="AG50" s="25"/>
      <c r="AH50" s="25"/>
      <c r="AI50" s="110"/>
      <c r="AJ50" s="110"/>
      <c r="AK50" s="25"/>
      <c r="AL50" s="25"/>
      <c r="AM50" s="25"/>
      <c r="AN50" s="25"/>
      <c r="AO50" s="25"/>
      <c r="AP50" s="110"/>
      <c r="AQ50" s="110"/>
      <c r="AR50" s="25"/>
      <c r="AS50" s="25"/>
      <c r="AT50" s="25"/>
      <c r="AU50" s="25"/>
      <c r="AV50" s="25"/>
      <c r="AW50" s="110"/>
      <c r="AX50" s="110"/>
      <c r="AY50" s="25"/>
      <c r="AZ50" s="25"/>
      <c r="BA50" s="25"/>
      <c r="BB50" s="25"/>
      <c r="BC50" s="25"/>
      <c r="BD50" s="110"/>
      <c r="BE50" s="110"/>
      <c r="BF50" s="25"/>
      <c r="BG50" s="25"/>
      <c r="BH50" s="25"/>
      <c r="BI50" s="25"/>
      <c r="BJ50" s="25"/>
      <c r="BK50" s="110"/>
      <c r="BL50" s="110"/>
      <c r="BM50" s="25"/>
      <c r="BN50" s="25"/>
      <c r="BO50" s="25"/>
      <c r="BP50" s="25"/>
      <c r="BQ50" s="25"/>
      <c r="BR50" s="110"/>
      <c r="BS50" s="110"/>
      <c r="BT50" s="25"/>
      <c r="BU50" s="25"/>
      <c r="BV50" s="25"/>
      <c r="BW50" s="25"/>
      <c r="BX50" s="25"/>
      <c r="BY50" s="110"/>
      <c r="BZ50" s="110"/>
      <c r="CA50" s="25"/>
      <c r="CB50" s="25"/>
      <c r="CC50" s="25"/>
      <c r="CD50" s="25"/>
      <c r="CE50" s="25"/>
      <c r="CF50" s="110"/>
      <c r="CG50" s="110"/>
      <c r="CH50" s="25"/>
      <c r="CI50" s="25"/>
      <c r="CJ50" s="25"/>
      <c r="CK50" s="25"/>
      <c r="CL50" s="25"/>
      <c r="CM50" s="110"/>
      <c r="CN50" s="110"/>
      <c r="CO50" s="25"/>
      <c r="CP50" s="25"/>
      <c r="CQ50" s="25"/>
      <c r="CR50" s="25"/>
      <c r="CS50" s="25"/>
      <c r="CT50" s="110"/>
      <c r="CU50" s="110"/>
      <c r="CV50" s="110"/>
      <c r="CW50" s="25"/>
      <c r="CX50" s="25"/>
      <c r="CY50" s="25"/>
      <c r="CZ50" s="25"/>
      <c r="DA50" s="110"/>
      <c r="DB50" s="110"/>
      <c r="DC50" s="25"/>
      <c r="DD50" s="25"/>
      <c r="DE50" s="25"/>
      <c r="DF50" s="25"/>
      <c r="DG50" s="25"/>
      <c r="DH50" s="110"/>
      <c r="DI50" s="110"/>
      <c r="DJ50" s="25"/>
      <c r="DK50" s="25"/>
      <c r="DL50" s="25"/>
      <c r="DM50" s="25"/>
      <c r="DN50" s="25"/>
      <c r="DO50" s="110"/>
      <c r="DP50" s="110"/>
      <c r="DQ50" s="25"/>
      <c r="DR50" s="25"/>
      <c r="DS50" s="25"/>
      <c r="DT50" s="25"/>
      <c r="DU50" s="110" t="s">
        <v>445</v>
      </c>
      <c r="DV50" s="110"/>
      <c r="DW50" s="110"/>
      <c r="DX50" s="25"/>
      <c r="DY50" s="25"/>
      <c r="DZ50" s="25"/>
      <c r="EA50" s="25"/>
      <c r="EB50" s="110" t="s">
        <v>445</v>
      </c>
      <c r="EC50" s="110"/>
      <c r="ED50" s="110"/>
      <c r="EE50" s="25"/>
      <c r="EF50" s="25"/>
      <c r="EG50" s="25"/>
      <c r="EH50" s="110" t="s">
        <v>445</v>
      </c>
      <c r="EI50" s="110" t="s">
        <v>445</v>
      </c>
      <c r="EJ50" s="110"/>
      <c r="EK50" s="110"/>
      <c r="EL50" s="25"/>
      <c r="EM50" s="25"/>
      <c r="EN50" s="25"/>
      <c r="EO50" s="25"/>
      <c r="EP50" s="25"/>
      <c r="EQ50" s="110"/>
      <c r="ER50" s="110"/>
      <c r="ES50" s="110" t="s">
        <v>445</v>
      </c>
      <c r="ET50" s="25"/>
      <c r="EU50" s="25"/>
      <c r="EV50" s="25"/>
      <c r="EW50" s="25"/>
      <c r="EX50" s="110"/>
      <c r="EY50" s="110"/>
      <c r="EZ50" s="25"/>
      <c r="FA50" s="25"/>
      <c r="FB50" s="25"/>
      <c r="FC50" s="25"/>
      <c r="FD50" s="25"/>
      <c r="FE50" s="110"/>
      <c r="FF50" s="110"/>
      <c r="FG50" s="25"/>
      <c r="FH50" s="25"/>
      <c r="FI50" s="25"/>
      <c r="FJ50" s="25"/>
      <c r="FK50" s="25"/>
      <c r="FL50" s="110"/>
      <c r="FM50" s="110"/>
      <c r="FN50" s="25"/>
      <c r="FO50" s="25"/>
      <c r="FP50" s="25"/>
      <c r="FQ50" s="25"/>
      <c r="FR50" s="25"/>
      <c r="FS50" s="110"/>
      <c r="FT50" s="110"/>
      <c r="FU50" s="25"/>
      <c r="FV50" s="25"/>
      <c r="FW50" s="25"/>
      <c r="FX50" s="25"/>
      <c r="FY50" s="25"/>
      <c r="FZ50" s="110"/>
      <c r="GA50" s="110"/>
      <c r="GB50" s="25"/>
      <c r="GC50" s="25"/>
      <c r="GD50" s="25"/>
      <c r="GE50" s="25"/>
      <c r="GF50" s="25"/>
      <c r="GG50" s="110"/>
      <c r="GH50" s="110"/>
      <c r="GI50" s="25"/>
      <c r="GJ50" s="25"/>
      <c r="GK50" s="25"/>
      <c r="GL50" s="25"/>
      <c r="GM50" s="25"/>
      <c r="GN50" s="110"/>
      <c r="GO50" s="110"/>
      <c r="GP50" s="110" t="s">
        <v>445</v>
      </c>
      <c r="GQ50" s="110"/>
      <c r="GR50" s="25"/>
      <c r="GS50" s="25"/>
      <c r="GT50" s="25"/>
      <c r="GU50" s="110"/>
      <c r="GV50" s="110"/>
      <c r="GW50" s="25"/>
      <c r="GX50" s="25"/>
      <c r="GY50" s="25"/>
      <c r="GZ50" s="25"/>
      <c r="HA50" s="25"/>
      <c r="HB50" s="110"/>
      <c r="HC50" s="110"/>
      <c r="HD50" s="25"/>
      <c r="HE50" s="25"/>
      <c r="HF50" s="25"/>
      <c r="HG50" s="25"/>
      <c r="HH50" s="25"/>
      <c r="HI50" s="110"/>
      <c r="HJ50" s="110"/>
      <c r="HK50" s="25"/>
      <c r="HL50" s="25"/>
      <c r="HM50" s="25"/>
      <c r="HN50" s="25"/>
      <c r="HO50" s="25"/>
      <c r="HP50" s="110"/>
      <c r="HQ50" s="110"/>
      <c r="HR50" s="25"/>
      <c r="HS50" s="25"/>
      <c r="HT50" s="25"/>
      <c r="HU50" s="25"/>
      <c r="HV50" s="25"/>
      <c r="HW50" s="110"/>
      <c r="HX50" s="110"/>
      <c r="HY50" s="25"/>
      <c r="HZ50" s="25"/>
      <c r="IA50" s="25"/>
      <c r="IB50" s="25"/>
      <c r="IC50" s="25"/>
      <c r="ID50" s="110"/>
      <c r="IE50" s="110"/>
      <c r="IF50" s="25"/>
      <c r="IG50" s="25"/>
      <c r="IH50" s="25"/>
      <c r="II50" s="25"/>
      <c r="IJ50" s="25"/>
      <c r="IK50" s="110"/>
      <c r="IL50" s="110"/>
      <c r="IM50" s="25"/>
      <c r="IN50" s="25"/>
      <c r="IO50" s="25"/>
      <c r="IP50" s="25"/>
      <c r="IQ50" s="25"/>
      <c r="IR50" s="110"/>
      <c r="IS50" s="110"/>
      <c r="IT50" s="25"/>
      <c r="IU50" s="25"/>
      <c r="IV50" s="25"/>
      <c r="IW50" s="25"/>
      <c r="IX50" s="25"/>
      <c r="IY50" s="110"/>
      <c r="IZ50" s="110"/>
      <c r="JA50" s="25"/>
      <c r="JB50" s="25"/>
      <c r="JC50" s="25"/>
      <c r="JD50" s="25"/>
      <c r="JE50" s="25"/>
      <c r="JF50" s="110"/>
      <c r="JG50" s="110"/>
      <c r="JH50" s="25"/>
      <c r="JI50" s="25"/>
      <c r="JJ50" s="25"/>
      <c r="JK50" s="25"/>
      <c r="JL50" s="25"/>
      <c r="JM50" s="110"/>
      <c r="JN50" s="110"/>
      <c r="JO50" s="25"/>
      <c r="JP50" s="25"/>
      <c r="JQ50" s="25"/>
      <c r="JR50" s="25"/>
      <c r="JS50" s="25"/>
      <c r="JT50" s="110"/>
      <c r="JU50" s="110"/>
      <c r="JV50" s="25"/>
      <c r="JW50" s="25"/>
      <c r="JX50" s="25"/>
      <c r="JY50" s="25"/>
      <c r="JZ50" s="25"/>
      <c r="KA50" s="110"/>
      <c r="KB50" s="110"/>
      <c r="KC50" s="25"/>
      <c r="KD50" s="25"/>
      <c r="KE50" s="25"/>
      <c r="KF50" s="25"/>
      <c r="KG50" s="25"/>
      <c r="KH50" s="110"/>
      <c r="KI50" s="110"/>
      <c r="KJ50" s="25"/>
      <c r="KK50" s="25"/>
      <c r="KL50" s="25"/>
      <c r="KM50" s="25"/>
      <c r="KN50" s="25"/>
      <c r="KO50" s="110"/>
      <c r="KP50" s="110"/>
      <c r="KQ50" s="25"/>
      <c r="KR50" s="25"/>
      <c r="KS50" s="25"/>
      <c r="KT50" s="25"/>
      <c r="KU50" s="25"/>
      <c r="KV50" s="110"/>
      <c r="KW50" s="110"/>
      <c r="KX50" s="25"/>
      <c r="KY50" s="25"/>
      <c r="KZ50" s="25"/>
      <c r="LA50" s="25"/>
      <c r="LB50" s="25"/>
      <c r="LC50" s="110"/>
      <c r="LD50" s="110"/>
      <c r="LE50" s="25"/>
      <c r="LF50" s="25"/>
      <c r="LG50" s="110" t="s">
        <v>445</v>
      </c>
      <c r="LH50" s="25"/>
      <c r="LI50" s="25"/>
      <c r="LJ50" s="110"/>
      <c r="LK50" s="110"/>
      <c r="LL50" s="25"/>
      <c r="LM50" s="25"/>
      <c r="LN50" s="25"/>
      <c r="LO50" s="25"/>
      <c r="LP50" s="25"/>
      <c r="LQ50" s="110"/>
      <c r="LR50" s="110"/>
      <c r="LS50" s="25"/>
      <c r="LT50" s="25"/>
      <c r="LU50" s="25"/>
      <c r="LV50" s="25"/>
      <c r="LW50" s="25"/>
      <c r="LX50" s="110"/>
      <c r="LY50" s="110"/>
      <c r="LZ50" s="25"/>
      <c r="MA50" s="25"/>
      <c r="MB50" s="25"/>
      <c r="MC50" s="25"/>
      <c r="MD50" s="25"/>
      <c r="ME50" s="110"/>
      <c r="MF50" s="110"/>
      <c r="MG50" s="25"/>
      <c r="MH50" s="25"/>
      <c r="MI50" s="25"/>
      <c r="MJ50" s="25"/>
      <c r="MK50" s="25"/>
      <c r="ML50" s="110"/>
      <c r="MM50" s="110"/>
      <c r="MN50" s="25"/>
      <c r="MO50" s="25"/>
      <c r="MP50" s="25"/>
      <c r="MQ50" s="25"/>
      <c r="MR50" s="25"/>
      <c r="MS50" s="110"/>
      <c r="MT50" s="110"/>
      <c r="MU50" s="25"/>
      <c r="MV50" s="25"/>
      <c r="MW50" s="25"/>
      <c r="MX50" s="25"/>
      <c r="MY50" s="25"/>
      <c r="MZ50" s="110"/>
      <c r="NA50" s="110"/>
      <c r="NB50" s="25"/>
      <c r="NC50" s="25"/>
      <c r="ND50" s="25"/>
      <c r="NE50" s="129"/>
      <c r="NF50" s="111"/>
      <c r="NG50" s="8">
        <f t="shared" si="45"/>
        <v>0</v>
      </c>
      <c r="NH50" s="351" cm="1">
        <f t="array" ref="NH50">NETWORKDAYS($I$2,$AH$2)- SUM(COUNTIF(I50:AH50,{"I";"F";"CP";"R";"P";"AC";"AM"}))</f>
        <v>20</v>
      </c>
      <c r="NI50" s="138">
        <f t="shared" si="12"/>
        <v>0</v>
      </c>
      <c r="NJ50" s="8">
        <f t="shared" si="46"/>
        <v>0</v>
      </c>
      <c r="NK50" s="351" cm="1">
        <f t="array" ref="NK50">NETWORKDAYS($AJ$2,$BK$2)- SUM(COUNTIF(AJ50:BK50,{"I";"F";"CP";"R";"P";"AC";"AM"}))</f>
        <v>20</v>
      </c>
      <c r="NL50" s="138">
        <f t="shared" si="13"/>
        <v>0</v>
      </c>
      <c r="NM50" s="8">
        <f t="shared" si="47"/>
        <v>0</v>
      </c>
      <c r="NN50" s="351" cm="1">
        <f t="array" ref="NN50">NETWORKDAYS($BL$2,$CP$2)- SUM(COUNTIF(BL50:CP50,{"I";"F";"CP";"R";"P";"AC";"AM"}))</f>
        <v>22</v>
      </c>
      <c r="NO50" s="138">
        <f t="shared" si="14"/>
        <v>0</v>
      </c>
      <c r="NP50" s="8">
        <f t="shared" si="48"/>
        <v>0</v>
      </c>
      <c r="NQ50" s="351" cm="1">
        <f t="array" ref="NQ50">NETWORKDAYS($CQ$2,$DT$2,$CV$2)- SUM(COUNTIF(CQ50:DT50,{"I";"F";"CP";"R";"P";"AC";"AM"}))</f>
        <v>21</v>
      </c>
      <c r="NR50" s="138">
        <f t="shared" si="15"/>
        <v>0</v>
      </c>
      <c r="NS50" s="8">
        <f t="shared" si="49"/>
        <v>0</v>
      </c>
      <c r="NT50" s="351" cm="1">
        <f t="array" ref="NT50">NETWORKDAYS($DV$2,$EY$2)-SUM(COUNTIF(DV50:EY50,{"I";"F";"CP";"R";"P";"AC";"AM"}))</f>
        <v>16</v>
      </c>
      <c r="NU50" s="138">
        <f t="shared" si="16"/>
        <v>0</v>
      </c>
      <c r="NV50" s="8">
        <f t="shared" ref="NV50:NV83" si="50">SUM(EZ50:GC50)</f>
        <v>0</v>
      </c>
      <c r="NW50" s="351" cm="1">
        <f t="array" ref="NW50">NETWORKDAYS($EZ$2,$GC$2)-SUM(COUNTIF(EZ50:GC50,{"I";"F";"CP";"R";"P";"AC";"AM"}))</f>
        <v>22</v>
      </c>
      <c r="NX50" s="138">
        <f t="shared" ref="NX50:NX83" si="51">NV50/NW50</f>
        <v>0</v>
      </c>
      <c r="NY50" s="8">
        <f t="shared" ref="NY50:NY83" si="52">SUM(GD50:HH50)</f>
        <v>0</v>
      </c>
      <c r="NZ50" s="351" cm="1">
        <f t="array" ref="NZ50">NETWORKDAYS($GD$2,$HH$2,$GQ$2)-SUM(COUNTIF(GD50:HH50,{"I";"F";"CP";"R";"P";"AC";"AM"}))</f>
        <v>21</v>
      </c>
      <c r="OA50" s="138">
        <f t="shared" ref="OA50:OA83" si="53">NY50/NZ50</f>
        <v>0</v>
      </c>
      <c r="OB50" s="8">
        <f t="shared" ref="OB50:OB83" si="54">SUM(HI50:IM50)</f>
        <v>0</v>
      </c>
      <c r="OC50" s="351" cm="1">
        <f t="array" ref="OC50">NETWORKDAYS($HI$2,$IM$2)-SUM(COUNTIF(HI50:IM50,{"I";"F";"CP";"R";"P";"AC";"AM"}))</f>
        <v>21</v>
      </c>
      <c r="OD50" s="138">
        <f t="shared" ref="OD50:OD83" si="55">OB50/OC50</f>
        <v>0</v>
      </c>
      <c r="OE50" s="8">
        <f t="shared" ref="OE50:OE83" si="56">SUM(IN50:JQ50)</f>
        <v>0</v>
      </c>
      <c r="OF50" s="351" cm="1">
        <f t="array" ref="OF50">NETWORKDAYS($IN$2,$JQ$2)-SUM(COUNTIF(IN50:JQ50,{"I";"F";"CP";"R";"P";"AC";"AM"}))</f>
        <v>22</v>
      </c>
      <c r="OG50" s="138">
        <f t="shared" ref="OG50:OG83" si="57">OE50/OF50</f>
        <v>0</v>
      </c>
      <c r="OH50" s="8">
        <f t="shared" ref="OH50:OH83" si="58">SUM(JR50:KV50)</f>
        <v>0</v>
      </c>
      <c r="OI50" s="351" cm="1">
        <f t="array" ref="OI50">NETWORKDAYS($JR$2,$KV$2)-SUM(COUNTIF(JR50:KV50,{"I";"F";"CP";"R";"P";"AC";"AM"}))</f>
        <v>22</v>
      </c>
      <c r="OJ50" s="138">
        <f t="shared" ref="OJ50:OJ83" si="59">OH50/OI50</f>
        <v>0</v>
      </c>
      <c r="OK50" s="8">
        <f t="shared" ref="OK50:OK83" si="60">SUM(KW50:LZ50)</f>
        <v>0</v>
      </c>
      <c r="OL50" s="351" cm="1">
        <f t="array" ref="OL50">NETWORKDAYS($KW$2,$LZ$2,$LG$2)-SUM(COUNTIF(KW50:LZ50,{"I";"F";"CP";"R";"P";"AC";"AM"}))</f>
        <v>19</v>
      </c>
      <c r="OM50" s="138">
        <f t="shared" ref="OM50:OM83" si="61">OK50/OL50</f>
        <v>0</v>
      </c>
      <c r="ON50" s="8">
        <f t="shared" ref="ON50:ON83" si="62">SUM(MA50:NE50)</f>
        <v>0</v>
      </c>
      <c r="OO50" s="351" cm="1">
        <f t="array" ref="OO50">NETWORKDAYS($MA$2,$MR$2)-SUM(COUNTIF(MA50:MR50,{"I";"F";"CP";"R";"P";"AC";"AM"}))</f>
        <v>14</v>
      </c>
      <c r="OP50" s="138">
        <f t="shared" ref="OP50:OP83" si="63">ON50/OO50</f>
        <v>0</v>
      </c>
      <c r="OQ50" s="94">
        <f t="shared" ref="OQ50:OQ83" si="64">NG50+NJ50+NM50+NP50+NS50+NV50+NY50+OB50+OE50+OH50+OK50+ON50</f>
        <v>0</v>
      </c>
      <c r="OR50" s="94">
        <f t="shared" ref="OR50:OR83" si="65">NH50+NK50+NN50+NQ50+NT50+NW50+NZ50+OC50+OF50+OI50+OL50+OO50</f>
        <v>240</v>
      </c>
      <c r="OS50" s="138">
        <f t="shared" ref="OS50:OS83" si="66">OQ50/OR50</f>
        <v>0</v>
      </c>
    </row>
    <row r="51" spans="1:409" ht="18" hidden="1" customHeight="1" x14ac:dyDescent="0.25">
      <c r="A51" s="95" t="s">
        <v>159</v>
      </c>
      <c r="B51" s="95" t="s">
        <v>45</v>
      </c>
      <c r="C51" s="89" t="s">
        <v>160</v>
      </c>
      <c r="D51" s="89" t="s">
        <v>221</v>
      </c>
      <c r="E51" s="128"/>
      <c r="F51" s="110"/>
      <c r="G51" s="110"/>
      <c r="H51" s="110"/>
      <c r="I51" s="25"/>
      <c r="J51" s="25"/>
      <c r="K51" s="25"/>
      <c r="L51" s="25"/>
      <c r="M51" s="25"/>
      <c r="N51" s="110"/>
      <c r="O51" s="110"/>
      <c r="P51" s="25"/>
      <c r="Q51" s="25"/>
      <c r="R51" s="25"/>
      <c r="S51" s="25"/>
      <c r="T51" s="25"/>
      <c r="U51" s="110"/>
      <c r="V51" s="110"/>
      <c r="W51" s="25"/>
      <c r="X51" s="25"/>
      <c r="Y51" s="25"/>
      <c r="Z51" s="25"/>
      <c r="AA51" s="25"/>
      <c r="AB51" s="110"/>
      <c r="AC51" s="110"/>
      <c r="AD51" s="25"/>
      <c r="AE51" s="25"/>
      <c r="AF51" s="25"/>
      <c r="AG51" s="25"/>
      <c r="AH51" s="25"/>
      <c r="AI51" s="110"/>
      <c r="AJ51" s="110"/>
      <c r="AK51" s="25"/>
      <c r="AL51" s="25"/>
      <c r="AM51" s="25"/>
      <c r="AN51" s="25"/>
      <c r="AO51" s="25"/>
      <c r="AP51" s="110"/>
      <c r="AQ51" s="110"/>
      <c r="AR51" s="25"/>
      <c r="AS51" s="25"/>
      <c r="AT51" s="25"/>
      <c r="AV51" s="25"/>
      <c r="AW51" s="110"/>
      <c r="AX51" s="110"/>
      <c r="AY51" s="25"/>
      <c r="AZ51" s="25"/>
      <c r="BA51" s="25"/>
      <c r="BB51" s="25"/>
      <c r="BC51" s="25"/>
      <c r="BD51" s="110"/>
      <c r="BE51" s="110"/>
      <c r="BF51" s="25"/>
      <c r="BG51" s="25"/>
      <c r="BH51" s="25"/>
      <c r="BI51" s="25"/>
      <c r="BJ51" s="25"/>
      <c r="BK51" s="110"/>
      <c r="BL51" s="110"/>
      <c r="BM51" s="25">
        <v>1</v>
      </c>
      <c r="BN51" s="25">
        <v>1</v>
      </c>
      <c r="BO51" s="25">
        <v>1</v>
      </c>
      <c r="BP51" s="25">
        <v>1</v>
      </c>
      <c r="BQ51" s="25">
        <v>1</v>
      </c>
      <c r="BR51" s="110"/>
      <c r="BS51" s="110"/>
      <c r="BT51" s="25">
        <v>1</v>
      </c>
      <c r="BU51" s="25">
        <v>1</v>
      </c>
      <c r="BV51" s="25">
        <v>1</v>
      </c>
      <c r="BW51" s="25">
        <v>1</v>
      </c>
      <c r="BX51" s="25">
        <v>1</v>
      </c>
      <c r="BY51" s="110"/>
      <c r="BZ51" s="110"/>
      <c r="CA51" s="25">
        <v>1</v>
      </c>
      <c r="CB51" s="25">
        <v>1</v>
      </c>
      <c r="CC51" s="25"/>
      <c r="CD51" s="25"/>
      <c r="CE51" s="25"/>
      <c r="CF51" s="110"/>
      <c r="CG51" s="110"/>
      <c r="CH51" s="25">
        <v>1</v>
      </c>
      <c r="CI51" s="25">
        <v>1</v>
      </c>
      <c r="CJ51" s="25">
        <v>1</v>
      </c>
      <c r="CK51" s="25">
        <v>1</v>
      </c>
      <c r="CL51" s="25">
        <v>1</v>
      </c>
      <c r="CM51" s="110"/>
      <c r="CN51" s="110"/>
      <c r="CO51" s="25"/>
      <c r="CP51" s="25">
        <v>1</v>
      </c>
      <c r="CQ51" s="25"/>
      <c r="CR51" s="25"/>
      <c r="CS51" s="25">
        <v>1</v>
      </c>
      <c r="CT51" s="110"/>
      <c r="CU51" s="110"/>
      <c r="CV51" s="110"/>
      <c r="CW51" s="25">
        <v>1</v>
      </c>
      <c r="CX51" s="25">
        <v>1</v>
      </c>
      <c r="CY51" s="25">
        <v>1</v>
      </c>
      <c r="CZ51" s="25"/>
      <c r="DA51" s="110"/>
      <c r="DB51" s="110"/>
      <c r="DC51" s="25">
        <v>1</v>
      </c>
      <c r="DD51" s="25">
        <v>1</v>
      </c>
      <c r="DE51" s="25">
        <v>1</v>
      </c>
      <c r="DF51" s="25">
        <v>1</v>
      </c>
      <c r="DG51" s="25">
        <v>1</v>
      </c>
      <c r="DH51" s="110"/>
      <c r="DI51" s="110"/>
      <c r="DJ51" s="25"/>
      <c r="DK51" s="25"/>
      <c r="DL51" s="25"/>
      <c r="DM51" s="25"/>
      <c r="DN51" s="25"/>
      <c r="DO51" s="110"/>
      <c r="DP51" s="110"/>
      <c r="DQ51" s="25">
        <v>1</v>
      </c>
      <c r="DR51" s="25">
        <v>1</v>
      </c>
      <c r="DS51" s="25">
        <v>1</v>
      </c>
      <c r="DT51" s="25">
        <v>1</v>
      </c>
      <c r="DU51" s="110" t="s">
        <v>445</v>
      </c>
      <c r="DV51" s="110"/>
      <c r="DW51" s="110"/>
      <c r="DX51" s="25">
        <v>1</v>
      </c>
      <c r="DY51" s="25">
        <v>1</v>
      </c>
      <c r="DZ51" s="25"/>
      <c r="EA51" s="25">
        <v>1</v>
      </c>
      <c r="EB51" s="110" t="s">
        <v>445</v>
      </c>
      <c r="EC51" s="110"/>
      <c r="ED51" s="110"/>
      <c r="EE51" s="25">
        <v>1</v>
      </c>
      <c r="EF51" s="25">
        <v>1</v>
      </c>
      <c r="EG51" s="25">
        <v>1</v>
      </c>
      <c r="EH51" s="110" t="s">
        <v>445</v>
      </c>
      <c r="EI51" s="110" t="s">
        <v>445</v>
      </c>
      <c r="EJ51" s="110"/>
      <c r="EK51" s="110"/>
      <c r="EL51" s="25"/>
      <c r="EM51" s="25"/>
      <c r="EN51" s="25"/>
      <c r="EO51" s="25"/>
      <c r="EP51" s="25"/>
      <c r="EQ51" s="110"/>
      <c r="ER51" s="110"/>
      <c r="ES51" s="110" t="s">
        <v>445</v>
      </c>
      <c r="ET51" s="25"/>
      <c r="EU51" s="25"/>
      <c r="EV51" s="25"/>
      <c r="EW51" s="25"/>
      <c r="EX51" s="110"/>
      <c r="EY51" s="110"/>
      <c r="EZ51" s="25"/>
      <c r="FA51" s="25"/>
      <c r="FB51" s="25"/>
      <c r="FC51" s="25"/>
      <c r="FD51" s="25"/>
      <c r="FE51" s="110"/>
      <c r="FF51" s="110"/>
      <c r="FG51" s="25"/>
      <c r="FH51" s="25"/>
      <c r="FI51" s="25"/>
      <c r="FJ51" s="25"/>
      <c r="FK51" s="25"/>
      <c r="FL51" s="110"/>
      <c r="FM51" s="110"/>
      <c r="FN51" s="25"/>
      <c r="FO51" s="25"/>
      <c r="FP51" s="25"/>
      <c r="FQ51" s="25"/>
      <c r="FR51" s="25"/>
      <c r="FS51" s="110"/>
      <c r="FT51" s="110"/>
      <c r="FU51" s="25"/>
      <c r="FV51" s="25"/>
      <c r="FW51" s="25"/>
      <c r="FX51" s="25"/>
      <c r="FY51" s="25"/>
      <c r="FZ51" s="110"/>
      <c r="GA51" s="110"/>
      <c r="GB51" s="25"/>
      <c r="GC51" s="25"/>
      <c r="GD51" s="25"/>
      <c r="GE51" s="25"/>
      <c r="GF51" s="25"/>
      <c r="GG51" s="110"/>
      <c r="GH51" s="110"/>
      <c r="GI51" s="25"/>
      <c r="GJ51" s="25"/>
      <c r="GK51" s="25"/>
      <c r="GL51" s="25"/>
      <c r="GM51" s="25"/>
      <c r="GN51" s="110"/>
      <c r="GO51" s="110"/>
      <c r="GP51" s="110" t="s">
        <v>445</v>
      </c>
      <c r="GQ51" s="110"/>
      <c r="GR51" s="25"/>
      <c r="GS51" s="25"/>
      <c r="GT51" s="25"/>
      <c r="GU51" s="110"/>
      <c r="GV51" s="110"/>
      <c r="GW51" s="25"/>
      <c r="GX51" s="25"/>
      <c r="GY51" s="25"/>
      <c r="GZ51" s="25"/>
      <c r="HA51" s="25"/>
      <c r="HB51" s="110"/>
      <c r="HC51" s="110"/>
      <c r="HD51" s="25"/>
      <c r="HE51" s="25"/>
      <c r="HF51" s="25"/>
      <c r="HG51" s="25"/>
      <c r="HH51" s="25"/>
      <c r="HI51" s="110"/>
      <c r="HJ51" s="110"/>
      <c r="HK51" s="25"/>
      <c r="HL51" s="25"/>
      <c r="HM51" s="25"/>
      <c r="HN51" s="25"/>
      <c r="HO51" s="25"/>
      <c r="HP51" s="110"/>
      <c r="HQ51" s="110"/>
      <c r="HR51" s="25"/>
      <c r="HS51" s="25"/>
      <c r="HT51" s="25"/>
      <c r="HU51" s="25"/>
      <c r="HV51" s="25"/>
      <c r="HW51" s="110"/>
      <c r="HX51" s="110"/>
      <c r="HY51" s="25"/>
      <c r="HZ51" s="25"/>
      <c r="IA51" s="25"/>
      <c r="IB51" s="25"/>
      <c r="IC51" s="25"/>
      <c r="ID51" s="110"/>
      <c r="IE51" s="110"/>
      <c r="IF51" s="25"/>
      <c r="IG51" s="25"/>
      <c r="IH51" s="25"/>
      <c r="II51" s="25"/>
      <c r="IJ51" s="25"/>
      <c r="IK51" s="110"/>
      <c r="IL51" s="110"/>
      <c r="IM51" s="25"/>
      <c r="IN51" s="25"/>
      <c r="IO51" s="25"/>
      <c r="IP51" s="25"/>
      <c r="IQ51" s="25"/>
      <c r="IR51" s="110"/>
      <c r="IS51" s="110"/>
      <c r="IT51" s="25"/>
      <c r="IU51" s="25"/>
      <c r="IV51" s="25"/>
      <c r="IW51" s="25"/>
      <c r="IX51" s="25"/>
      <c r="IY51" s="110"/>
      <c r="IZ51" s="110"/>
      <c r="JA51" s="25"/>
      <c r="JB51" s="25"/>
      <c r="JC51" s="25"/>
      <c r="JD51" s="25"/>
      <c r="JE51" s="25"/>
      <c r="JF51" s="110"/>
      <c r="JG51" s="110"/>
      <c r="JH51" s="25"/>
      <c r="JI51" s="25"/>
      <c r="JJ51" s="25"/>
      <c r="JK51" s="25"/>
      <c r="JL51" s="25"/>
      <c r="JM51" s="110"/>
      <c r="JN51" s="110"/>
      <c r="JO51" s="25"/>
      <c r="JP51" s="25"/>
      <c r="JQ51" s="25"/>
      <c r="JR51" s="25"/>
      <c r="JS51" s="25"/>
      <c r="JT51" s="110"/>
      <c r="JU51" s="110"/>
      <c r="JV51" s="25"/>
      <c r="JW51" s="25"/>
      <c r="JX51" s="25"/>
      <c r="JY51" s="25"/>
      <c r="JZ51" s="25"/>
      <c r="KA51" s="110"/>
      <c r="KB51" s="110"/>
      <c r="KC51" s="25"/>
      <c r="KD51" s="25"/>
      <c r="KE51" s="25"/>
      <c r="KF51" s="25"/>
      <c r="KG51" s="25"/>
      <c r="KH51" s="110"/>
      <c r="KI51" s="110"/>
      <c r="KJ51" s="25"/>
      <c r="KK51" s="25"/>
      <c r="KL51" s="25"/>
      <c r="KM51" s="25"/>
      <c r="KN51" s="25"/>
      <c r="KO51" s="110"/>
      <c r="KP51" s="110"/>
      <c r="KQ51" s="25"/>
      <c r="KR51" s="25"/>
      <c r="KS51" s="25"/>
      <c r="KT51" s="25"/>
      <c r="KU51" s="25"/>
      <c r="KV51" s="110"/>
      <c r="KW51" s="110"/>
      <c r="KX51" s="25"/>
      <c r="KY51" s="25"/>
      <c r="KZ51" s="25"/>
      <c r="LA51" s="25"/>
      <c r="LB51" s="25"/>
      <c r="LC51" s="110"/>
      <c r="LD51" s="110"/>
      <c r="LE51" s="25"/>
      <c r="LF51" s="25"/>
      <c r="LG51" s="110" t="s">
        <v>445</v>
      </c>
      <c r="LH51" s="25"/>
      <c r="LI51" s="25"/>
      <c r="LJ51" s="110"/>
      <c r="LK51" s="110"/>
      <c r="LL51" s="25"/>
      <c r="LM51" s="25"/>
      <c r="LN51" s="25"/>
      <c r="LO51" s="25"/>
      <c r="LP51" s="25"/>
      <c r="LQ51" s="110"/>
      <c r="LR51" s="110"/>
      <c r="LS51" s="25"/>
      <c r="LT51" s="25"/>
      <c r="LU51" s="25"/>
      <c r="LV51" s="25"/>
      <c r="LW51" s="25"/>
      <c r="LX51" s="110"/>
      <c r="LY51" s="110"/>
      <c r="LZ51" s="25"/>
      <c r="MA51" s="25"/>
      <c r="MB51" s="25"/>
      <c r="MC51" s="25"/>
      <c r="MD51" s="25"/>
      <c r="ME51" s="110"/>
      <c r="MF51" s="110"/>
      <c r="MG51" s="25"/>
      <c r="MH51" s="25"/>
      <c r="MI51" s="25"/>
      <c r="MJ51" s="25"/>
      <c r="MK51" s="25"/>
      <c r="ML51" s="110"/>
      <c r="MM51" s="110"/>
      <c r="MN51" s="25"/>
      <c r="MO51" s="25"/>
      <c r="MP51" s="25"/>
      <c r="MQ51" s="25"/>
      <c r="MR51" s="25"/>
      <c r="MS51" s="110"/>
      <c r="MT51" s="110"/>
      <c r="MU51" s="25"/>
      <c r="MV51" s="25"/>
      <c r="MW51" s="25"/>
      <c r="MX51" s="25"/>
      <c r="MY51" s="25"/>
      <c r="MZ51" s="110"/>
      <c r="NA51" s="110"/>
      <c r="NB51" s="25"/>
      <c r="NC51" s="25"/>
      <c r="ND51" s="25"/>
      <c r="NE51" s="129"/>
      <c r="NF51" s="111"/>
      <c r="NG51" s="8">
        <f t="shared" si="45"/>
        <v>0</v>
      </c>
      <c r="NH51" s="351" cm="1">
        <f t="array" ref="NH51">NETWORKDAYS($I$2,$AH$2)- SUM(COUNTIF(I51:AH51,{"I";"F";"CP";"R";"P";"AC";"AM"}))</f>
        <v>20</v>
      </c>
      <c r="NI51" s="138">
        <f t="shared" si="12"/>
        <v>0</v>
      </c>
      <c r="NJ51" s="8">
        <f t="shared" si="46"/>
        <v>0</v>
      </c>
      <c r="NK51" s="351" cm="1">
        <f t="array" ref="NK51">NETWORKDAYS($AJ$2,$BK$2)- SUM(COUNTIF(AJ51:BK51,{"I";"F";"CP";"R";"P";"AC";"AM"}))</f>
        <v>20</v>
      </c>
      <c r="NL51" s="138">
        <f t="shared" si="13"/>
        <v>0</v>
      </c>
      <c r="NM51" s="8">
        <f t="shared" si="47"/>
        <v>18</v>
      </c>
      <c r="NN51" s="351" cm="1">
        <f t="array" ref="NN51">NETWORKDAYS($BL$2,$CP$2)- SUM(COUNTIF(BL51:CP51,{"I";"F";"CP";"R";"P";"AC";"AM"}))</f>
        <v>22</v>
      </c>
      <c r="NO51" s="138">
        <f t="shared" si="14"/>
        <v>0.81818181818181823</v>
      </c>
      <c r="NP51" s="8">
        <f t="shared" si="48"/>
        <v>13</v>
      </c>
      <c r="NQ51" s="351" cm="1">
        <f t="array" ref="NQ51">NETWORKDAYS($CQ$2,$DT$2,$CV$2)- SUM(COUNTIF(CQ51:DT51,{"I";"F";"CP";"R";"P";"AC";"AM"}))</f>
        <v>21</v>
      </c>
      <c r="NR51" s="138">
        <f t="shared" si="15"/>
        <v>0.61904761904761907</v>
      </c>
      <c r="NS51" s="8">
        <f t="shared" si="49"/>
        <v>6</v>
      </c>
      <c r="NT51" s="351" cm="1">
        <f t="array" ref="NT51">NETWORKDAYS($DV$2,$EY$2)-SUM(COUNTIF(DV51:EY51,{"I";"F";"CP";"R";"P";"AC";"AM"}))</f>
        <v>16</v>
      </c>
      <c r="NU51" s="138">
        <f t="shared" si="16"/>
        <v>0.375</v>
      </c>
      <c r="NV51" s="8">
        <f t="shared" si="50"/>
        <v>0</v>
      </c>
      <c r="NW51" s="351" cm="1">
        <f t="array" ref="NW51">NETWORKDAYS($EZ$2,$GC$2)-SUM(COUNTIF(EZ51:GC51,{"I";"F";"CP";"R";"P";"AC";"AM"}))</f>
        <v>22</v>
      </c>
      <c r="NX51" s="138">
        <f t="shared" si="51"/>
        <v>0</v>
      </c>
      <c r="NY51" s="8">
        <f t="shared" si="52"/>
        <v>0</v>
      </c>
      <c r="NZ51" s="351" cm="1">
        <f t="array" ref="NZ51">NETWORKDAYS($GD$2,$HH$2,$GQ$2)-SUM(COUNTIF(GD51:HH51,{"I";"F";"CP";"R";"P";"AC";"AM"}))</f>
        <v>21</v>
      </c>
      <c r="OA51" s="138">
        <f t="shared" si="53"/>
        <v>0</v>
      </c>
      <c r="OB51" s="8">
        <f t="shared" si="54"/>
        <v>0</v>
      </c>
      <c r="OC51" s="351" cm="1">
        <f t="array" ref="OC51">NETWORKDAYS($HI$2,$IM$2)-SUM(COUNTIF(HI51:IM51,{"I";"F";"CP";"R";"P";"AC";"AM"}))</f>
        <v>21</v>
      </c>
      <c r="OD51" s="138">
        <f t="shared" si="55"/>
        <v>0</v>
      </c>
      <c r="OE51" s="8">
        <f t="shared" si="56"/>
        <v>0</v>
      </c>
      <c r="OF51" s="351" cm="1">
        <f t="array" ref="OF51">NETWORKDAYS($IN$2,$JQ$2)-SUM(COUNTIF(IN51:JQ51,{"I";"F";"CP";"R";"P";"AC";"AM"}))</f>
        <v>22</v>
      </c>
      <c r="OG51" s="138">
        <f t="shared" si="57"/>
        <v>0</v>
      </c>
      <c r="OH51" s="8">
        <f t="shared" si="58"/>
        <v>0</v>
      </c>
      <c r="OI51" s="351" cm="1">
        <f t="array" ref="OI51">NETWORKDAYS($JR$2,$KV$2)-SUM(COUNTIF(JR51:KV51,{"I";"F";"CP";"R";"P";"AC";"AM"}))</f>
        <v>22</v>
      </c>
      <c r="OJ51" s="138">
        <f t="shared" si="59"/>
        <v>0</v>
      </c>
      <c r="OK51" s="8">
        <f t="shared" si="60"/>
        <v>0</v>
      </c>
      <c r="OL51" s="351" cm="1">
        <f t="array" ref="OL51">NETWORKDAYS($KW$2,$LZ$2,$LG$2)-SUM(COUNTIF(KW51:LZ51,{"I";"F";"CP";"R";"P";"AC";"AM"}))</f>
        <v>19</v>
      </c>
      <c r="OM51" s="138">
        <f t="shared" si="61"/>
        <v>0</v>
      </c>
      <c r="ON51" s="8">
        <f t="shared" si="62"/>
        <v>0</v>
      </c>
      <c r="OO51" s="351" cm="1">
        <f t="array" ref="OO51">NETWORKDAYS($MA$2,$MR$2)-SUM(COUNTIF(MA51:MR51,{"I";"F";"CP";"R";"P";"AC";"AM"}))</f>
        <v>14</v>
      </c>
      <c r="OP51" s="138">
        <f t="shared" si="63"/>
        <v>0</v>
      </c>
      <c r="OQ51" s="94">
        <f t="shared" si="64"/>
        <v>37</v>
      </c>
      <c r="OR51" s="94">
        <f t="shared" si="65"/>
        <v>240</v>
      </c>
      <c r="OS51" s="138">
        <f t="shared" si="66"/>
        <v>0.15416666666666667</v>
      </c>
    </row>
    <row r="52" spans="1:409" ht="18" customHeight="1" x14ac:dyDescent="0.25">
      <c r="A52" s="95" t="s">
        <v>181</v>
      </c>
      <c r="B52" s="95" t="s">
        <v>45</v>
      </c>
      <c r="C52" s="89" t="s">
        <v>160</v>
      </c>
      <c r="D52" s="89" t="s">
        <v>226</v>
      </c>
      <c r="E52" s="128"/>
      <c r="F52" s="110"/>
      <c r="G52" s="110"/>
      <c r="H52" s="110"/>
      <c r="I52" s="25" t="s">
        <v>223</v>
      </c>
      <c r="J52" s="25" t="s">
        <v>223</v>
      </c>
      <c r="K52" s="25" t="s">
        <v>223</v>
      </c>
      <c r="L52" s="25" t="s">
        <v>223</v>
      </c>
      <c r="M52" s="25" t="s">
        <v>223</v>
      </c>
      <c r="N52" s="110"/>
      <c r="O52" s="110"/>
      <c r="P52" s="25"/>
      <c r="Q52" s="25"/>
      <c r="R52" s="25"/>
      <c r="S52" s="25"/>
      <c r="T52" s="25"/>
      <c r="U52" s="110"/>
      <c r="V52" s="110"/>
      <c r="W52" s="25"/>
      <c r="X52" s="25"/>
      <c r="Y52" s="25"/>
      <c r="Z52" s="25"/>
      <c r="AA52" s="25"/>
      <c r="AB52" s="110"/>
      <c r="AC52" s="110"/>
      <c r="AD52" s="25"/>
      <c r="AE52" s="25"/>
      <c r="AF52" s="25"/>
      <c r="AG52" s="25"/>
      <c r="AH52" s="25"/>
      <c r="AI52" s="110"/>
      <c r="AJ52" s="110"/>
      <c r="AK52" s="25"/>
      <c r="AL52" s="25"/>
      <c r="AM52" s="25"/>
      <c r="AN52" s="25"/>
      <c r="AO52" s="25"/>
      <c r="AP52" s="110"/>
      <c r="AQ52" s="110"/>
      <c r="AR52" s="25"/>
      <c r="AS52" s="25"/>
      <c r="AT52" s="25"/>
      <c r="AV52" s="25"/>
      <c r="AW52" s="110"/>
      <c r="AX52" s="110"/>
      <c r="AY52" s="25"/>
      <c r="AZ52" s="25"/>
      <c r="BA52" s="25"/>
      <c r="BB52" s="25"/>
      <c r="BC52" s="25"/>
      <c r="BD52" s="110"/>
      <c r="BE52" s="110"/>
      <c r="BF52" s="25"/>
      <c r="BG52" s="25">
        <v>1</v>
      </c>
      <c r="BH52" s="25"/>
      <c r="BI52" s="25"/>
      <c r="BJ52" s="25"/>
      <c r="BK52" s="110"/>
      <c r="BL52" s="110"/>
      <c r="BM52" s="25"/>
      <c r="BN52" s="25"/>
      <c r="BO52" s="25"/>
      <c r="BP52" s="25"/>
      <c r="BQ52" s="25"/>
      <c r="BR52" s="110"/>
      <c r="BS52" s="110"/>
      <c r="BT52" s="25"/>
      <c r="BU52" s="25"/>
      <c r="BV52" s="25"/>
      <c r="BW52" s="25"/>
      <c r="BX52" s="25"/>
      <c r="BY52" s="110"/>
      <c r="BZ52" s="110"/>
      <c r="CA52" s="25"/>
      <c r="CB52" s="25" t="s">
        <v>447</v>
      </c>
      <c r="CC52" s="25" t="s">
        <v>447</v>
      </c>
      <c r="CD52" s="25"/>
      <c r="CE52" s="25"/>
      <c r="CF52" s="110"/>
      <c r="CG52" s="110"/>
      <c r="CH52" s="25"/>
      <c r="CI52" s="25"/>
      <c r="CJ52" s="25"/>
      <c r="CK52" s="25"/>
      <c r="CL52" s="25"/>
      <c r="CM52" s="110"/>
      <c r="CN52" s="110"/>
      <c r="CO52" s="25" t="s">
        <v>447</v>
      </c>
      <c r="CP52" s="25"/>
      <c r="CQ52" s="25"/>
      <c r="CR52" s="25"/>
      <c r="CS52" s="25"/>
      <c r="CT52" s="110"/>
      <c r="CU52" s="110"/>
      <c r="CV52" s="110"/>
      <c r="CW52" s="25" t="s">
        <v>223</v>
      </c>
      <c r="CX52" s="25" t="s">
        <v>223</v>
      </c>
      <c r="CY52" s="25"/>
      <c r="CZ52" s="25"/>
      <c r="DA52" s="110"/>
      <c r="DB52" s="110"/>
      <c r="DC52" s="25"/>
      <c r="DD52" s="25"/>
      <c r="DE52" s="25"/>
      <c r="DF52" s="25"/>
      <c r="DG52" s="25"/>
      <c r="DH52" s="110"/>
      <c r="DI52" s="110"/>
      <c r="DJ52" s="25"/>
      <c r="DK52" s="25"/>
      <c r="DL52" s="25"/>
      <c r="DM52" s="25"/>
      <c r="DN52" s="25"/>
      <c r="DO52" s="110"/>
      <c r="DP52" s="110"/>
      <c r="DQ52" s="25"/>
      <c r="DR52" s="25"/>
      <c r="DS52" s="25"/>
      <c r="DT52" s="25"/>
      <c r="DU52" s="110" t="s">
        <v>445</v>
      </c>
      <c r="DV52" s="110"/>
      <c r="DW52" s="110"/>
      <c r="DX52" s="25"/>
      <c r="DY52" s="25"/>
      <c r="DZ52" s="25"/>
      <c r="EA52" s="25"/>
      <c r="EB52" s="110" t="s">
        <v>445</v>
      </c>
      <c r="EC52" s="110"/>
      <c r="ED52" s="110"/>
      <c r="EE52" s="25" t="s">
        <v>223</v>
      </c>
      <c r="EF52" s="25" t="s">
        <v>223</v>
      </c>
      <c r="EG52" s="25" t="s">
        <v>223</v>
      </c>
      <c r="EH52" s="110" t="s">
        <v>445</v>
      </c>
      <c r="EI52" s="110" t="s">
        <v>445</v>
      </c>
      <c r="EJ52" s="110"/>
      <c r="EK52" s="110"/>
      <c r="EL52" s="25"/>
      <c r="EM52" s="25"/>
      <c r="EN52" s="25"/>
      <c r="EO52" s="25"/>
      <c r="EP52" s="25"/>
      <c r="EQ52" s="110"/>
      <c r="ER52" s="110"/>
      <c r="ES52" s="110" t="s">
        <v>445</v>
      </c>
      <c r="ET52" s="25"/>
      <c r="EU52" s="25"/>
      <c r="EV52" s="25"/>
      <c r="EW52" s="25"/>
      <c r="EX52" s="110"/>
      <c r="EY52" s="110"/>
      <c r="EZ52" s="25"/>
      <c r="FA52" s="25"/>
      <c r="FB52" s="25"/>
      <c r="FC52" s="25"/>
      <c r="FD52" s="25"/>
      <c r="FE52" s="110"/>
      <c r="FF52" s="110"/>
      <c r="FG52" s="25"/>
      <c r="FH52" s="25"/>
      <c r="FI52" s="25"/>
      <c r="FJ52" s="25"/>
      <c r="FK52" s="25"/>
      <c r="FL52" s="110"/>
      <c r="FM52" s="110"/>
      <c r="FN52" s="25"/>
      <c r="FO52" s="25"/>
      <c r="FP52" s="25"/>
      <c r="FQ52" s="25"/>
      <c r="FR52" s="25"/>
      <c r="FS52" s="110"/>
      <c r="FT52" s="110"/>
      <c r="FU52" s="25"/>
      <c r="FV52" s="25"/>
      <c r="FW52" s="25"/>
      <c r="FX52" s="25"/>
      <c r="FY52" s="25"/>
      <c r="FZ52" s="110"/>
      <c r="GA52" s="110"/>
      <c r="GB52" s="25"/>
      <c r="GC52" s="25"/>
      <c r="GD52" s="25"/>
      <c r="GE52" s="25"/>
      <c r="GF52" s="25"/>
      <c r="GG52" s="110"/>
      <c r="GH52" s="110"/>
      <c r="GI52" s="25"/>
      <c r="GJ52" s="25"/>
      <c r="GK52" s="25"/>
      <c r="GL52" s="25"/>
      <c r="GM52" s="25"/>
      <c r="GN52" s="110"/>
      <c r="GO52" s="110"/>
      <c r="GP52" s="110" t="s">
        <v>445</v>
      </c>
      <c r="GQ52" s="110"/>
      <c r="GR52" s="25"/>
      <c r="GS52" s="25"/>
      <c r="GT52" s="25"/>
      <c r="GU52" s="110"/>
      <c r="GV52" s="110"/>
      <c r="GW52" s="25"/>
      <c r="GX52" s="25"/>
      <c r="GY52" s="25"/>
      <c r="GZ52" s="25"/>
      <c r="HA52" s="25"/>
      <c r="HB52" s="110"/>
      <c r="HC52" s="110"/>
      <c r="HD52" s="25"/>
      <c r="HE52" s="25"/>
      <c r="HF52" s="25"/>
      <c r="HG52" s="25"/>
      <c r="HH52" s="25"/>
      <c r="HI52" s="110"/>
      <c r="HJ52" s="110"/>
      <c r="HK52" s="25"/>
      <c r="HL52" s="25"/>
      <c r="HM52" s="25"/>
      <c r="HN52" s="25"/>
      <c r="HO52" s="25"/>
      <c r="HP52" s="110"/>
      <c r="HQ52" s="110"/>
      <c r="HR52" s="25"/>
      <c r="HS52" s="25"/>
      <c r="HT52" s="25"/>
      <c r="HU52" s="25"/>
      <c r="HV52" s="25"/>
      <c r="HW52" s="110"/>
      <c r="HX52" s="110"/>
      <c r="HY52" s="25"/>
      <c r="HZ52" s="25"/>
      <c r="IA52" s="25"/>
      <c r="IB52" s="25"/>
      <c r="IC52" s="25"/>
      <c r="ID52" s="110"/>
      <c r="IE52" s="110"/>
      <c r="IF52" s="25"/>
      <c r="IG52" s="25"/>
      <c r="IH52" s="25"/>
      <c r="II52" s="25"/>
      <c r="IJ52" s="25"/>
      <c r="IK52" s="110"/>
      <c r="IL52" s="110"/>
      <c r="IM52" s="25"/>
      <c r="IN52" s="25"/>
      <c r="IO52" s="25"/>
      <c r="IP52" s="25"/>
      <c r="IQ52" s="25"/>
      <c r="IR52" s="110"/>
      <c r="IS52" s="110"/>
      <c r="IT52" s="25"/>
      <c r="IU52" s="25"/>
      <c r="IV52" s="25"/>
      <c r="IW52" s="25"/>
      <c r="IX52" s="25"/>
      <c r="IY52" s="110"/>
      <c r="IZ52" s="110"/>
      <c r="JA52" s="25"/>
      <c r="JB52" s="25"/>
      <c r="JC52" s="25"/>
      <c r="JD52" s="25"/>
      <c r="JE52" s="25"/>
      <c r="JF52" s="110"/>
      <c r="JG52" s="110"/>
      <c r="JH52" s="25"/>
      <c r="JI52" s="25"/>
      <c r="JJ52" s="25"/>
      <c r="JK52" s="25"/>
      <c r="JL52" s="25"/>
      <c r="JM52" s="110"/>
      <c r="JN52" s="110"/>
      <c r="JO52" s="25"/>
      <c r="JP52" s="25"/>
      <c r="JQ52" s="25"/>
      <c r="JR52" s="25"/>
      <c r="JS52" s="25"/>
      <c r="JT52" s="110"/>
      <c r="JU52" s="110"/>
      <c r="JV52" s="25"/>
      <c r="JW52" s="25"/>
      <c r="JX52" s="25"/>
      <c r="JY52" s="25"/>
      <c r="JZ52" s="25"/>
      <c r="KA52" s="110"/>
      <c r="KB52" s="110"/>
      <c r="KC52" s="25"/>
      <c r="KD52" s="25"/>
      <c r="KE52" s="25"/>
      <c r="KF52" s="25"/>
      <c r="KG52" s="25"/>
      <c r="KH52" s="110"/>
      <c r="KI52" s="110"/>
      <c r="KJ52" s="25"/>
      <c r="KK52" s="25"/>
      <c r="KL52" s="25"/>
      <c r="KM52" s="25"/>
      <c r="KN52" s="25"/>
      <c r="KO52" s="110"/>
      <c r="KP52" s="110"/>
      <c r="KQ52" s="25"/>
      <c r="KR52" s="25"/>
      <c r="KS52" s="25"/>
      <c r="KT52" s="25"/>
      <c r="KU52" s="25"/>
      <c r="KV52" s="110"/>
      <c r="KW52" s="110"/>
      <c r="KX52" s="25"/>
      <c r="KY52" s="25"/>
      <c r="KZ52" s="25"/>
      <c r="LA52" s="25"/>
      <c r="LB52" s="25"/>
      <c r="LC52" s="110"/>
      <c r="LD52" s="110"/>
      <c r="LE52" s="25"/>
      <c r="LF52" s="25"/>
      <c r="LG52" s="110" t="s">
        <v>445</v>
      </c>
      <c r="LH52" s="25"/>
      <c r="LI52" s="25"/>
      <c r="LJ52" s="110"/>
      <c r="LK52" s="110"/>
      <c r="LL52" s="25"/>
      <c r="LM52" s="25"/>
      <c r="LN52" s="25"/>
      <c r="LO52" s="25"/>
      <c r="LP52" s="25"/>
      <c r="LQ52" s="110"/>
      <c r="LR52" s="110"/>
      <c r="LS52" s="25"/>
      <c r="LT52" s="25"/>
      <c r="LU52" s="25"/>
      <c r="LV52" s="25"/>
      <c r="LW52" s="25"/>
      <c r="LX52" s="110"/>
      <c r="LY52" s="110"/>
      <c r="LZ52" s="25"/>
      <c r="MA52" s="25"/>
      <c r="MB52" s="25"/>
      <c r="MC52" s="25"/>
      <c r="MD52" s="25"/>
      <c r="ME52" s="110"/>
      <c r="MF52" s="110"/>
      <c r="MG52" s="25"/>
      <c r="MH52" s="25"/>
      <c r="MI52" s="25"/>
      <c r="MJ52" s="25"/>
      <c r="MK52" s="25"/>
      <c r="ML52" s="110"/>
      <c r="MM52" s="110"/>
      <c r="MN52" s="25"/>
      <c r="MO52" s="25"/>
      <c r="MP52" s="25"/>
      <c r="MQ52" s="25"/>
      <c r="MR52" s="25"/>
      <c r="MS52" s="110"/>
      <c r="MT52" s="110"/>
      <c r="MU52" s="25"/>
      <c r="MV52" s="25"/>
      <c r="MW52" s="25"/>
      <c r="MX52" s="25"/>
      <c r="MY52" s="25"/>
      <c r="MZ52" s="110"/>
      <c r="NA52" s="110"/>
      <c r="NB52" s="25"/>
      <c r="NC52" s="25"/>
      <c r="ND52" s="25"/>
      <c r="NE52" s="129"/>
      <c r="NF52" s="111"/>
      <c r="NG52" s="8">
        <f t="shared" si="45"/>
        <v>0</v>
      </c>
      <c r="NH52" s="351" cm="1">
        <f t="array" ref="NH52">NETWORKDAYS($I$2,$AH$2)- SUM(COUNTIF(I52:AH52,{"I";"F";"CP";"R";"P";"AC";"AM"}))</f>
        <v>15</v>
      </c>
      <c r="NI52" s="138">
        <f t="shared" si="12"/>
        <v>0</v>
      </c>
      <c r="NJ52" s="8">
        <f t="shared" si="46"/>
        <v>1</v>
      </c>
      <c r="NK52" s="351" cm="1">
        <f t="array" ref="NK52">NETWORKDAYS($AJ$2,$BK$2)- SUM(COUNTIF(AJ52:BK52,{"I";"F";"CP";"R";"P";"AC";"AM"}))</f>
        <v>20</v>
      </c>
      <c r="NL52" s="138">
        <f t="shared" si="13"/>
        <v>0.05</v>
      </c>
      <c r="NM52" s="8">
        <f t="shared" si="47"/>
        <v>0</v>
      </c>
      <c r="NN52" s="351" cm="1">
        <f t="array" ref="NN52">NETWORKDAYS($BL$2,$CP$2)- SUM(COUNTIF(BL52:CP52,{"I";"F";"CP";"R";"P";"AC";"AM"}))</f>
        <v>19</v>
      </c>
      <c r="NO52" s="138">
        <f t="shared" si="14"/>
        <v>0</v>
      </c>
      <c r="NP52" s="8">
        <f t="shared" si="48"/>
        <v>0</v>
      </c>
      <c r="NQ52" s="351" cm="1">
        <f t="array" ref="NQ52">NETWORKDAYS($CQ$2,$DT$2,$CV$2)- SUM(COUNTIF(CQ52:DT52,{"I";"F";"CP";"R";"P";"AC";"AM"}))</f>
        <v>19</v>
      </c>
      <c r="NR52" s="138">
        <f t="shared" si="15"/>
        <v>0</v>
      </c>
      <c r="NS52" s="8">
        <f t="shared" si="49"/>
        <v>0</v>
      </c>
      <c r="NT52" s="351" cm="1">
        <f t="array" ref="NT52">NETWORKDAYS($DV$2,$EY$2)-SUM(COUNTIF(DV52:EY52,{"I";"F";"CP";"R";"P";"AC";"AM"}))</f>
        <v>13</v>
      </c>
      <c r="NU52" s="138">
        <f t="shared" si="16"/>
        <v>0</v>
      </c>
      <c r="NV52" s="8">
        <f t="shared" si="50"/>
        <v>0</v>
      </c>
      <c r="NW52" s="351" cm="1">
        <f t="array" ref="NW52">NETWORKDAYS($EZ$2,$GC$2)-SUM(COUNTIF(EZ52:GC52,{"I";"F";"CP";"R";"P";"AC";"AM"}))</f>
        <v>22</v>
      </c>
      <c r="NX52" s="138">
        <f t="shared" si="51"/>
        <v>0</v>
      </c>
      <c r="NY52" s="8">
        <f t="shared" si="52"/>
        <v>0</v>
      </c>
      <c r="NZ52" s="351" cm="1">
        <f t="array" ref="NZ52">NETWORKDAYS($GD$2,$HH$2,$GQ$2)-SUM(COUNTIF(GD52:HH52,{"I";"F";"CP";"R";"P";"AC";"AM"}))</f>
        <v>21</v>
      </c>
      <c r="OA52" s="138">
        <f t="shared" si="53"/>
        <v>0</v>
      </c>
      <c r="OB52" s="8">
        <f t="shared" si="54"/>
        <v>0</v>
      </c>
      <c r="OC52" s="351" cm="1">
        <f t="array" ref="OC52">NETWORKDAYS($HI$2,$IM$2)-SUM(COUNTIF(HI52:IM52,{"I";"F";"CP";"R";"P";"AC";"AM"}))</f>
        <v>21</v>
      </c>
      <c r="OD52" s="138">
        <f t="shared" si="55"/>
        <v>0</v>
      </c>
      <c r="OE52" s="8">
        <f t="shared" si="56"/>
        <v>0</v>
      </c>
      <c r="OF52" s="351" cm="1">
        <f t="array" ref="OF52">NETWORKDAYS($IN$2,$JQ$2)-SUM(COUNTIF(IN52:JQ52,{"I";"F";"CP";"R";"P";"AC";"AM"}))</f>
        <v>22</v>
      </c>
      <c r="OG52" s="138">
        <f t="shared" si="57"/>
        <v>0</v>
      </c>
      <c r="OH52" s="8">
        <f t="shared" si="58"/>
        <v>0</v>
      </c>
      <c r="OI52" s="351" cm="1">
        <f t="array" ref="OI52">NETWORKDAYS($JR$2,$KV$2)-SUM(COUNTIF(JR52:KV52,{"I";"F";"CP";"R";"P";"AC";"AM"}))</f>
        <v>22</v>
      </c>
      <c r="OJ52" s="138">
        <f t="shared" si="59"/>
        <v>0</v>
      </c>
      <c r="OK52" s="8">
        <f t="shared" si="60"/>
        <v>0</v>
      </c>
      <c r="OL52" s="351" cm="1">
        <f t="array" ref="OL52">NETWORKDAYS($KW$2,$LZ$2,$LG$2)-SUM(COUNTIF(KW52:LZ52,{"I";"F";"CP";"R";"P";"AC";"AM"}))</f>
        <v>19</v>
      </c>
      <c r="OM52" s="138">
        <f t="shared" si="61"/>
        <v>0</v>
      </c>
      <c r="ON52" s="8">
        <f t="shared" si="62"/>
        <v>0</v>
      </c>
      <c r="OO52" s="351" cm="1">
        <f t="array" ref="OO52">NETWORKDAYS($MA$2,$MR$2)-SUM(COUNTIF(MA52:MR52,{"I";"F";"CP";"R";"P";"AC";"AM"}))</f>
        <v>14</v>
      </c>
      <c r="OP52" s="138">
        <f t="shared" si="63"/>
        <v>0</v>
      </c>
      <c r="OQ52" s="94">
        <f t="shared" si="64"/>
        <v>1</v>
      </c>
      <c r="OR52" s="94">
        <f t="shared" si="65"/>
        <v>227</v>
      </c>
      <c r="OS52" s="138">
        <f t="shared" si="66"/>
        <v>4.4052863436123352E-3</v>
      </c>
    </row>
    <row r="53" spans="1:409" ht="18" hidden="1" customHeight="1" x14ac:dyDescent="0.25">
      <c r="A53" s="93" t="s">
        <v>54</v>
      </c>
      <c r="B53" s="95" t="s">
        <v>34</v>
      </c>
      <c r="C53" s="89" t="s">
        <v>166</v>
      </c>
      <c r="D53" s="89" t="s">
        <v>225</v>
      </c>
      <c r="E53" s="128"/>
      <c r="F53" s="110"/>
      <c r="G53" s="110"/>
      <c r="H53" s="110"/>
      <c r="I53" s="25">
        <v>1</v>
      </c>
      <c r="J53" s="25"/>
      <c r="K53" s="25">
        <v>1</v>
      </c>
      <c r="L53" s="25"/>
      <c r="M53" s="25">
        <v>1</v>
      </c>
      <c r="N53" s="110"/>
      <c r="O53" s="110"/>
      <c r="P53" s="25">
        <v>1</v>
      </c>
      <c r="Q53" s="25"/>
      <c r="R53" s="25">
        <v>1</v>
      </c>
      <c r="S53" s="25">
        <v>1</v>
      </c>
      <c r="T53" s="25"/>
      <c r="U53" s="110"/>
      <c r="V53" s="110"/>
      <c r="W53" s="25"/>
      <c r="X53" s="25">
        <v>1</v>
      </c>
      <c r="Y53" s="25"/>
      <c r="Z53" s="25">
        <v>1</v>
      </c>
      <c r="AA53" s="25"/>
      <c r="AB53" s="110"/>
      <c r="AC53" s="110"/>
      <c r="AD53" s="25"/>
      <c r="AE53" s="25">
        <v>1</v>
      </c>
      <c r="AF53" s="25"/>
      <c r="AG53" s="25"/>
      <c r="AH53" s="25"/>
      <c r="AI53" s="110"/>
      <c r="AJ53" s="110"/>
      <c r="AK53" s="25">
        <v>1</v>
      </c>
      <c r="AL53" s="25">
        <v>1</v>
      </c>
      <c r="AM53" s="25"/>
      <c r="AN53" s="25">
        <v>1</v>
      </c>
      <c r="AO53" s="25"/>
      <c r="AP53" s="110"/>
      <c r="AQ53" s="110"/>
      <c r="AR53" s="25"/>
      <c r="AS53" s="25"/>
      <c r="AT53" s="25"/>
      <c r="AV53" s="25"/>
      <c r="AW53" s="110"/>
      <c r="AX53" s="110"/>
      <c r="AY53" s="25"/>
      <c r="AZ53" s="25">
        <v>1</v>
      </c>
      <c r="BA53" s="25">
        <v>1</v>
      </c>
      <c r="BB53" s="25"/>
      <c r="BC53" s="25"/>
      <c r="BD53" s="110"/>
      <c r="BE53" s="110"/>
      <c r="BF53" s="25">
        <v>1</v>
      </c>
      <c r="BG53" s="25"/>
      <c r="BH53" s="25">
        <v>1</v>
      </c>
      <c r="BI53" s="25">
        <v>1</v>
      </c>
      <c r="BJ53" s="25">
        <v>1</v>
      </c>
      <c r="BK53" s="110"/>
      <c r="BL53" s="110"/>
      <c r="BM53" s="25">
        <v>1</v>
      </c>
      <c r="BN53" s="25"/>
      <c r="BO53" s="25">
        <v>1</v>
      </c>
      <c r="BP53" s="25"/>
      <c r="BQ53" s="25"/>
      <c r="BR53" s="110"/>
      <c r="BS53" s="110"/>
      <c r="BT53" s="25"/>
      <c r="BU53" s="25">
        <v>1</v>
      </c>
      <c r="BV53" s="25"/>
      <c r="BW53" s="25"/>
      <c r="BX53" s="25"/>
      <c r="BY53" s="110"/>
      <c r="BZ53" s="110"/>
      <c r="CA53" s="25">
        <v>1</v>
      </c>
      <c r="CB53" s="25"/>
      <c r="CC53" s="25"/>
      <c r="CD53" s="25">
        <v>1</v>
      </c>
      <c r="CE53" s="25"/>
      <c r="CF53" s="110"/>
      <c r="CG53" s="110"/>
      <c r="CH53" s="25"/>
      <c r="CI53" s="25">
        <v>1</v>
      </c>
      <c r="CJ53" s="25">
        <v>1</v>
      </c>
      <c r="CK53" s="25"/>
      <c r="CL53" s="25">
        <v>1</v>
      </c>
      <c r="CM53" s="110"/>
      <c r="CN53" s="110"/>
      <c r="CO53" s="25"/>
      <c r="CP53" s="25"/>
      <c r="CQ53" s="25">
        <v>1</v>
      </c>
      <c r="CR53" s="25">
        <v>1</v>
      </c>
      <c r="CS53" s="25">
        <v>1</v>
      </c>
      <c r="CT53" s="110"/>
      <c r="CU53" s="110"/>
      <c r="CV53" s="110"/>
      <c r="CW53" s="25">
        <v>1</v>
      </c>
      <c r="CX53" s="25"/>
      <c r="CY53" s="25">
        <v>1</v>
      </c>
      <c r="CZ53" s="25"/>
      <c r="DA53" s="110"/>
      <c r="DB53" s="110"/>
      <c r="DC53" s="25">
        <v>1</v>
      </c>
      <c r="DD53" s="25">
        <v>1</v>
      </c>
      <c r="DE53" s="25">
        <v>1</v>
      </c>
      <c r="DF53" s="25"/>
      <c r="DG53" s="25"/>
      <c r="DH53" s="110"/>
      <c r="DI53" s="110"/>
      <c r="DJ53" s="25"/>
      <c r="DK53" s="25">
        <v>1</v>
      </c>
      <c r="DL53" s="25">
        <v>1</v>
      </c>
      <c r="DM53" s="25"/>
      <c r="DN53" s="25"/>
      <c r="DO53" s="110"/>
      <c r="DP53" s="110"/>
      <c r="DQ53" s="25">
        <v>1</v>
      </c>
      <c r="DR53" s="25"/>
      <c r="DS53" s="25"/>
      <c r="DT53" s="25"/>
      <c r="DU53" s="110" t="s">
        <v>445</v>
      </c>
      <c r="DV53" s="110"/>
      <c r="DW53" s="110"/>
      <c r="DX53" s="25"/>
      <c r="DY53" s="25"/>
      <c r="DZ53" s="25"/>
      <c r="EA53" s="25"/>
      <c r="EB53" s="110" t="s">
        <v>445</v>
      </c>
      <c r="EC53" s="110"/>
      <c r="ED53" s="110"/>
      <c r="EE53" s="25"/>
      <c r="EF53" s="25"/>
      <c r="EG53" s="25"/>
      <c r="EH53" s="110" t="s">
        <v>445</v>
      </c>
      <c r="EI53" s="110" t="s">
        <v>445</v>
      </c>
      <c r="EJ53" s="110"/>
      <c r="EK53" s="110"/>
      <c r="EL53" s="25"/>
      <c r="EM53" s="25"/>
      <c r="EN53" s="25"/>
      <c r="EO53" s="25"/>
      <c r="EP53" s="25"/>
      <c r="EQ53" s="110"/>
      <c r="ER53" s="110"/>
      <c r="ES53" s="110" t="s">
        <v>445</v>
      </c>
      <c r="ET53" s="25"/>
      <c r="EU53" s="25"/>
      <c r="EV53" s="25"/>
      <c r="EW53" s="25"/>
      <c r="EX53" s="110"/>
      <c r="EY53" s="110"/>
      <c r="EZ53" s="25"/>
      <c r="FA53" s="25"/>
      <c r="FB53" s="25"/>
      <c r="FC53" s="25"/>
      <c r="FD53" s="25"/>
      <c r="FE53" s="110"/>
      <c r="FF53" s="110"/>
      <c r="FG53" s="25"/>
      <c r="FH53" s="25"/>
      <c r="FI53" s="25"/>
      <c r="FJ53" s="25"/>
      <c r="FK53" s="25"/>
      <c r="FL53" s="110"/>
      <c r="FM53" s="110"/>
      <c r="FN53" s="25"/>
      <c r="FO53" s="25"/>
      <c r="FP53" s="25"/>
      <c r="FQ53" s="25"/>
      <c r="FR53" s="25"/>
      <c r="FS53" s="110"/>
      <c r="FT53" s="110"/>
      <c r="FU53" s="25"/>
      <c r="FV53" s="25"/>
      <c r="FW53" s="25"/>
      <c r="FX53" s="25"/>
      <c r="FY53" s="25"/>
      <c r="FZ53" s="110"/>
      <c r="GA53" s="110"/>
      <c r="GB53" s="25"/>
      <c r="GC53" s="25"/>
      <c r="GD53" s="25"/>
      <c r="GE53" s="25"/>
      <c r="GF53" s="25"/>
      <c r="GG53" s="110"/>
      <c r="GH53" s="110"/>
      <c r="GI53" s="25"/>
      <c r="GJ53" s="25"/>
      <c r="GK53" s="25"/>
      <c r="GL53" s="25"/>
      <c r="GM53" s="25"/>
      <c r="GN53" s="110"/>
      <c r="GO53" s="110"/>
      <c r="GP53" s="110" t="s">
        <v>445</v>
      </c>
      <c r="GQ53" s="110"/>
      <c r="GR53" s="25"/>
      <c r="GS53" s="25"/>
      <c r="GT53" s="25"/>
      <c r="GU53" s="110"/>
      <c r="GV53" s="110"/>
      <c r="GW53" s="25"/>
      <c r="GX53" s="25"/>
      <c r="GY53" s="25"/>
      <c r="GZ53" s="25"/>
      <c r="HA53" s="25"/>
      <c r="HB53" s="110"/>
      <c r="HC53" s="110"/>
      <c r="HD53" s="25"/>
      <c r="HE53" s="25"/>
      <c r="HF53" s="25"/>
      <c r="HG53" s="25"/>
      <c r="HH53" s="25"/>
      <c r="HI53" s="110"/>
      <c r="HJ53" s="110"/>
      <c r="HK53" s="25"/>
      <c r="HL53" s="25"/>
      <c r="HM53" s="25"/>
      <c r="HN53" s="25"/>
      <c r="HO53" s="25"/>
      <c r="HP53" s="110"/>
      <c r="HQ53" s="110"/>
      <c r="HR53" s="25"/>
      <c r="HS53" s="25"/>
      <c r="HT53" s="25"/>
      <c r="HU53" s="25"/>
      <c r="HV53" s="25"/>
      <c r="HW53" s="110"/>
      <c r="HX53" s="110"/>
      <c r="HY53" s="25"/>
      <c r="HZ53" s="25"/>
      <c r="IA53" s="25"/>
      <c r="IB53" s="25"/>
      <c r="IC53" s="25"/>
      <c r="ID53" s="110"/>
      <c r="IE53" s="110"/>
      <c r="IF53" s="25"/>
      <c r="IG53" s="25"/>
      <c r="IH53" s="25"/>
      <c r="II53" s="25"/>
      <c r="IJ53" s="25"/>
      <c r="IK53" s="110"/>
      <c r="IL53" s="110"/>
      <c r="IM53" s="25"/>
      <c r="IN53" s="25"/>
      <c r="IO53" s="25"/>
      <c r="IP53" s="25"/>
      <c r="IQ53" s="25"/>
      <c r="IR53" s="110"/>
      <c r="IS53" s="110"/>
      <c r="IT53" s="25"/>
      <c r="IU53" s="25"/>
      <c r="IV53" s="25"/>
      <c r="IW53" s="25"/>
      <c r="IX53" s="25"/>
      <c r="IY53" s="110"/>
      <c r="IZ53" s="110"/>
      <c r="JA53" s="25"/>
      <c r="JB53" s="25"/>
      <c r="JC53" s="25"/>
      <c r="JD53" s="25"/>
      <c r="JE53" s="25"/>
      <c r="JF53" s="110"/>
      <c r="JG53" s="110"/>
      <c r="JH53" s="25"/>
      <c r="JI53" s="25"/>
      <c r="JJ53" s="25"/>
      <c r="JK53" s="25"/>
      <c r="JL53" s="25"/>
      <c r="JM53" s="110"/>
      <c r="JN53" s="110"/>
      <c r="JO53" s="25"/>
      <c r="JP53" s="25"/>
      <c r="JQ53" s="25"/>
      <c r="JR53" s="25"/>
      <c r="JS53" s="25"/>
      <c r="JT53" s="110"/>
      <c r="JU53" s="110"/>
      <c r="JV53" s="25"/>
      <c r="JW53" s="25"/>
      <c r="JX53" s="25"/>
      <c r="JY53" s="25"/>
      <c r="JZ53" s="25"/>
      <c r="KA53" s="110"/>
      <c r="KB53" s="110"/>
      <c r="KC53" s="25"/>
      <c r="KD53" s="25"/>
      <c r="KE53" s="25"/>
      <c r="KF53" s="25"/>
      <c r="KG53" s="25"/>
      <c r="KH53" s="110"/>
      <c r="KI53" s="110"/>
      <c r="KJ53" s="25"/>
      <c r="KK53" s="25"/>
      <c r="KL53" s="25"/>
      <c r="KM53" s="25"/>
      <c r="KN53" s="25"/>
      <c r="KO53" s="110"/>
      <c r="KP53" s="110"/>
      <c r="KQ53" s="25"/>
      <c r="KR53" s="25"/>
      <c r="KS53" s="25"/>
      <c r="KT53" s="25"/>
      <c r="KU53" s="25"/>
      <c r="KV53" s="110"/>
      <c r="KW53" s="110"/>
      <c r="KX53" s="25"/>
      <c r="KY53" s="25"/>
      <c r="KZ53" s="25"/>
      <c r="LA53" s="25"/>
      <c r="LB53" s="25"/>
      <c r="LC53" s="110"/>
      <c r="LD53" s="110"/>
      <c r="LE53" s="25"/>
      <c r="LF53" s="25"/>
      <c r="LG53" s="110" t="s">
        <v>445</v>
      </c>
      <c r="LH53" s="25"/>
      <c r="LI53" s="25"/>
      <c r="LJ53" s="110"/>
      <c r="LK53" s="110"/>
      <c r="LL53" s="25"/>
      <c r="LM53" s="25"/>
      <c r="LN53" s="25"/>
      <c r="LO53" s="25"/>
      <c r="LP53" s="25"/>
      <c r="LQ53" s="110"/>
      <c r="LR53" s="110"/>
      <c r="LS53" s="25"/>
      <c r="LT53" s="25"/>
      <c r="LU53" s="25"/>
      <c r="LV53" s="25"/>
      <c r="LW53" s="25"/>
      <c r="LX53" s="110"/>
      <c r="LY53" s="110"/>
      <c r="LZ53" s="25"/>
      <c r="MA53" s="25"/>
      <c r="MB53" s="25"/>
      <c r="MC53" s="25"/>
      <c r="MD53" s="25"/>
      <c r="ME53" s="110"/>
      <c r="MF53" s="110"/>
      <c r="MG53" s="25"/>
      <c r="MH53" s="25"/>
      <c r="MI53" s="25"/>
      <c r="MJ53" s="25"/>
      <c r="MK53" s="25"/>
      <c r="ML53" s="110"/>
      <c r="MM53" s="110"/>
      <c r="MN53" s="25"/>
      <c r="MO53" s="25"/>
      <c r="MP53" s="25"/>
      <c r="MQ53" s="25"/>
      <c r="MR53" s="25"/>
      <c r="MS53" s="110"/>
      <c r="MT53" s="110"/>
      <c r="MU53" s="25"/>
      <c r="MV53" s="25"/>
      <c r="MW53" s="25"/>
      <c r="MX53" s="25"/>
      <c r="MY53" s="25"/>
      <c r="MZ53" s="110"/>
      <c r="NA53" s="110"/>
      <c r="NB53" s="25"/>
      <c r="NC53" s="25"/>
      <c r="ND53" s="25"/>
      <c r="NE53" s="129"/>
      <c r="NF53" s="111"/>
      <c r="NG53" s="8">
        <f t="shared" si="45"/>
        <v>9</v>
      </c>
      <c r="NH53" s="351" cm="1">
        <f t="array" ref="NH53">NETWORKDAYS($I$2,$AH$2)- SUM(COUNTIF(I53:AH53,{"I";"F";"CP";"R";"P";"AC";"AM"}))</f>
        <v>20</v>
      </c>
      <c r="NI53" s="138">
        <f t="shared" si="12"/>
        <v>0.45</v>
      </c>
      <c r="NJ53" s="8">
        <f t="shared" si="46"/>
        <v>9</v>
      </c>
      <c r="NK53" s="351" cm="1">
        <f t="array" ref="NK53">NETWORKDAYS($AJ$2,$BK$2)- SUM(COUNTIF(AJ53:BK53,{"I";"F";"CP";"R";"P";"AC";"AM"}))</f>
        <v>20</v>
      </c>
      <c r="NL53" s="138">
        <f t="shared" si="13"/>
        <v>0.45</v>
      </c>
      <c r="NM53" s="8">
        <f t="shared" si="47"/>
        <v>8</v>
      </c>
      <c r="NN53" s="351" cm="1">
        <f t="array" ref="NN53">NETWORKDAYS($BL$2,$CP$2)- SUM(COUNTIF(BL53:CP53,{"I";"F";"CP";"R";"P";"AC";"AM"}))</f>
        <v>22</v>
      </c>
      <c r="NO53" s="138">
        <f t="shared" si="14"/>
        <v>0.36363636363636365</v>
      </c>
      <c r="NP53" s="8">
        <f t="shared" si="48"/>
        <v>11</v>
      </c>
      <c r="NQ53" s="351" cm="1">
        <f t="array" ref="NQ53">NETWORKDAYS($CQ$2,$DT$2,$CV$2)- SUM(COUNTIF(CQ53:DT53,{"I";"F";"CP";"R";"P";"AC";"AM"}))</f>
        <v>21</v>
      </c>
      <c r="NR53" s="138">
        <f t="shared" si="15"/>
        <v>0.52380952380952384</v>
      </c>
      <c r="NS53" s="8">
        <f t="shared" si="49"/>
        <v>0</v>
      </c>
      <c r="NT53" s="351" cm="1">
        <f t="array" ref="NT53">NETWORKDAYS($DV$2,$EY$2)-SUM(COUNTIF(DV53:EY53,{"I";"F";"CP";"R";"P";"AC";"AM"}))</f>
        <v>16</v>
      </c>
      <c r="NU53" s="138">
        <f t="shared" si="16"/>
        <v>0</v>
      </c>
      <c r="NV53" s="8">
        <f t="shared" si="50"/>
        <v>0</v>
      </c>
      <c r="NW53" s="351" cm="1">
        <f t="array" ref="NW53">NETWORKDAYS($EZ$2,$GC$2)-SUM(COUNTIF(EZ53:GC53,{"I";"F";"CP";"R";"P";"AC";"AM"}))</f>
        <v>22</v>
      </c>
      <c r="NX53" s="138">
        <f t="shared" si="51"/>
        <v>0</v>
      </c>
      <c r="NY53" s="8">
        <f t="shared" si="52"/>
        <v>0</v>
      </c>
      <c r="NZ53" s="351" cm="1">
        <f t="array" ref="NZ53">NETWORKDAYS($GD$2,$HH$2,$GQ$2)-SUM(COUNTIF(GD53:HH53,{"I";"F";"CP";"R";"P";"AC";"AM"}))</f>
        <v>21</v>
      </c>
      <c r="OA53" s="138">
        <f t="shared" si="53"/>
        <v>0</v>
      </c>
      <c r="OB53" s="8">
        <f t="shared" si="54"/>
        <v>0</v>
      </c>
      <c r="OC53" s="351" cm="1">
        <f t="array" ref="OC53">NETWORKDAYS($HI$2,$IM$2)-SUM(COUNTIF(HI53:IM53,{"I";"F";"CP";"R";"P";"AC";"AM"}))</f>
        <v>21</v>
      </c>
      <c r="OD53" s="138">
        <f t="shared" si="55"/>
        <v>0</v>
      </c>
      <c r="OE53" s="8">
        <f t="shared" si="56"/>
        <v>0</v>
      </c>
      <c r="OF53" s="351" cm="1">
        <f t="array" ref="OF53">NETWORKDAYS($IN$2,$JQ$2)-SUM(COUNTIF(IN53:JQ53,{"I";"F";"CP";"R";"P";"AC";"AM"}))</f>
        <v>22</v>
      </c>
      <c r="OG53" s="138">
        <f t="shared" si="57"/>
        <v>0</v>
      </c>
      <c r="OH53" s="8">
        <f t="shared" si="58"/>
        <v>0</v>
      </c>
      <c r="OI53" s="351" cm="1">
        <f t="array" ref="OI53">NETWORKDAYS($JR$2,$KV$2)-SUM(COUNTIF(JR53:KV53,{"I";"F";"CP";"R";"P";"AC";"AM"}))</f>
        <v>22</v>
      </c>
      <c r="OJ53" s="138">
        <f t="shared" si="59"/>
        <v>0</v>
      </c>
      <c r="OK53" s="8">
        <f t="shared" si="60"/>
        <v>0</v>
      </c>
      <c r="OL53" s="351" cm="1">
        <f t="array" ref="OL53">NETWORKDAYS($KW$2,$LZ$2,$LG$2)-SUM(COUNTIF(KW53:LZ53,{"I";"F";"CP";"R";"P";"AC";"AM"}))</f>
        <v>19</v>
      </c>
      <c r="OM53" s="138">
        <f t="shared" si="61"/>
        <v>0</v>
      </c>
      <c r="ON53" s="8">
        <f t="shared" si="62"/>
        <v>0</v>
      </c>
      <c r="OO53" s="351" cm="1">
        <f t="array" ref="OO53">NETWORKDAYS($MA$2,$MR$2)-SUM(COUNTIF(MA53:MR53,{"I";"F";"CP";"R";"P";"AC";"AM"}))</f>
        <v>14</v>
      </c>
      <c r="OP53" s="138">
        <f t="shared" si="63"/>
        <v>0</v>
      </c>
      <c r="OQ53" s="94">
        <f t="shared" si="64"/>
        <v>37</v>
      </c>
      <c r="OR53" s="94">
        <f t="shared" si="65"/>
        <v>240</v>
      </c>
      <c r="OS53" s="138">
        <f t="shared" si="66"/>
        <v>0.15416666666666667</v>
      </c>
    </row>
    <row r="54" spans="1:409" ht="18" customHeight="1" x14ac:dyDescent="0.25">
      <c r="A54" s="95" t="s">
        <v>181</v>
      </c>
      <c r="B54" s="93" t="s">
        <v>45</v>
      </c>
      <c r="C54" s="89" t="s">
        <v>166</v>
      </c>
      <c r="D54" s="89" t="s">
        <v>227</v>
      </c>
      <c r="E54" s="128"/>
      <c r="F54" s="110"/>
      <c r="G54" s="110"/>
      <c r="H54" s="110"/>
      <c r="I54" s="25" t="s">
        <v>223</v>
      </c>
      <c r="J54" s="25" t="s">
        <v>223</v>
      </c>
      <c r="K54" s="25" t="s">
        <v>223</v>
      </c>
      <c r="L54" s="25" t="s">
        <v>223</v>
      </c>
      <c r="M54" s="25" t="s">
        <v>223</v>
      </c>
      <c r="N54" s="110"/>
      <c r="O54" s="110"/>
      <c r="P54" s="25"/>
      <c r="Q54" s="25"/>
      <c r="R54" s="25"/>
      <c r="S54" s="25"/>
      <c r="T54" s="25"/>
      <c r="U54" s="110"/>
      <c r="V54" s="110"/>
      <c r="W54" s="25"/>
      <c r="X54" s="25"/>
      <c r="Y54" s="25"/>
      <c r="Z54" s="25"/>
      <c r="AA54" s="25"/>
      <c r="AB54" s="110"/>
      <c r="AC54" s="110"/>
      <c r="AD54" s="25"/>
      <c r="AE54" s="25"/>
      <c r="AF54" s="25"/>
      <c r="AG54" s="25"/>
      <c r="AH54" s="25"/>
      <c r="AI54" s="110"/>
      <c r="AJ54" s="110"/>
      <c r="AK54" s="25"/>
      <c r="AL54" s="25"/>
      <c r="AM54" s="25"/>
      <c r="AN54" s="25"/>
      <c r="AO54" s="25"/>
      <c r="AP54" s="110"/>
      <c r="AQ54" s="110"/>
      <c r="AR54" s="25"/>
      <c r="AS54" s="25"/>
      <c r="AT54" s="25"/>
      <c r="AV54" s="25"/>
      <c r="AW54" s="110"/>
      <c r="AX54" s="110"/>
      <c r="AY54" s="25"/>
      <c r="AZ54" s="25"/>
      <c r="BA54" s="25"/>
      <c r="BB54" s="25"/>
      <c r="BC54" s="25"/>
      <c r="BD54" s="110"/>
      <c r="BE54" s="110"/>
      <c r="BF54" s="25"/>
      <c r="BG54" s="25"/>
      <c r="BH54" s="25"/>
      <c r="BI54" s="25"/>
      <c r="BJ54" s="25"/>
      <c r="BK54" s="110"/>
      <c r="BL54" s="110"/>
      <c r="BM54" s="25"/>
      <c r="BN54" s="25"/>
      <c r="BO54" s="25"/>
      <c r="BP54" s="25"/>
      <c r="BQ54" s="25"/>
      <c r="BR54" s="110"/>
      <c r="BS54" s="110"/>
      <c r="BT54" s="25"/>
      <c r="BU54" s="25"/>
      <c r="BV54" s="25"/>
      <c r="BW54" s="25"/>
      <c r="BX54" s="25"/>
      <c r="BY54" s="110"/>
      <c r="BZ54" s="110"/>
      <c r="CA54" s="25"/>
      <c r="CB54" s="25"/>
      <c r="CC54" s="25"/>
      <c r="CD54" s="25"/>
      <c r="CE54" s="25"/>
      <c r="CF54" s="110"/>
      <c r="CG54" s="110"/>
      <c r="CH54" s="25"/>
      <c r="CI54" s="25"/>
      <c r="CJ54" s="25"/>
      <c r="CK54" s="25"/>
      <c r="CL54" s="25"/>
      <c r="CM54" s="110"/>
      <c r="CN54" s="110"/>
      <c r="CO54" s="25"/>
      <c r="CP54" s="25"/>
      <c r="CQ54" s="25"/>
      <c r="CR54" s="25"/>
      <c r="CS54" s="25"/>
      <c r="CT54" s="110"/>
      <c r="CU54" s="110"/>
      <c r="CV54" s="110"/>
      <c r="CW54" s="25"/>
      <c r="CX54" s="25"/>
      <c r="CY54" s="25"/>
      <c r="CZ54" s="25"/>
      <c r="DA54" s="110"/>
      <c r="DB54" s="110"/>
      <c r="DC54" s="25"/>
      <c r="DD54" s="25"/>
      <c r="DE54" s="25"/>
      <c r="DF54" s="25"/>
      <c r="DG54" s="25"/>
      <c r="DH54" s="110"/>
      <c r="DI54" s="110"/>
      <c r="DJ54" s="25"/>
      <c r="DK54" s="25"/>
      <c r="DL54" s="25"/>
      <c r="DM54" s="25"/>
      <c r="DN54" s="25"/>
      <c r="DO54" s="110"/>
      <c r="DP54" s="110"/>
      <c r="DQ54" s="25"/>
      <c r="DR54" s="25"/>
      <c r="DS54" s="25"/>
      <c r="DT54" s="25"/>
      <c r="DU54" s="110" t="s">
        <v>445</v>
      </c>
      <c r="DV54" s="110"/>
      <c r="DW54" s="110"/>
      <c r="DX54" s="25"/>
      <c r="DY54" s="25"/>
      <c r="DZ54" s="25"/>
      <c r="EA54" s="25"/>
      <c r="EB54" s="110" t="s">
        <v>445</v>
      </c>
      <c r="EC54" s="110"/>
      <c r="ED54" s="110"/>
      <c r="EE54" s="25" t="s">
        <v>223</v>
      </c>
      <c r="EF54" s="25" t="s">
        <v>223</v>
      </c>
      <c r="EG54" s="25" t="s">
        <v>223</v>
      </c>
      <c r="EH54" s="110" t="s">
        <v>445</v>
      </c>
      <c r="EI54" s="110" t="s">
        <v>445</v>
      </c>
      <c r="EJ54" s="110"/>
      <c r="EK54" s="110"/>
      <c r="EL54" s="25"/>
      <c r="EM54" s="25"/>
      <c r="EN54" s="25"/>
      <c r="EO54" s="25"/>
      <c r="EP54" s="25"/>
      <c r="EQ54" s="110"/>
      <c r="ER54" s="110"/>
      <c r="ES54" s="110" t="s">
        <v>445</v>
      </c>
      <c r="ET54" s="25"/>
      <c r="EU54" s="25"/>
      <c r="EV54" s="25"/>
      <c r="EW54" s="25"/>
      <c r="EX54" s="110"/>
      <c r="EY54" s="110"/>
      <c r="EZ54" s="25"/>
      <c r="FA54" s="25"/>
      <c r="FB54" s="25"/>
      <c r="FC54" s="25"/>
      <c r="FD54" s="25"/>
      <c r="FE54" s="110"/>
      <c r="FF54" s="110"/>
      <c r="FG54" s="25"/>
      <c r="FH54" s="25"/>
      <c r="FI54" s="25"/>
      <c r="FJ54" s="25"/>
      <c r="FK54" s="25"/>
      <c r="FL54" s="110"/>
      <c r="FM54" s="110"/>
      <c r="FN54" s="25"/>
      <c r="FO54" s="25"/>
      <c r="FP54" s="25"/>
      <c r="FQ54" s="25"/>
      <c r="FR54" s="25"/>
      <c r="FS54" s="110"/>
      <c r="FT54" s="110"/>
      <c r="FU54" s="25"/>
      <c r="FV54" s="25"/>
      <c r="FW54" s="25"/>
      <c r="FX54" s="25"/>
      <c r="FY54" s="25"/>
      <c r="FZ54" s="110"/>
      <c r="GA54" s="110"/>
      <c r="GB54" s="25"/>
      <c r="GC54" s="25"/>
      <c r="GD54" s="25"/>
      <c r="GE54" s="25"/>
      <c r="GF54" s="25"/>
      <c r="GG54" s="110"/>
      <c r="GH54" s="110"/>
      <c r="GI54" s="25"/>
      <c r="GJ54" s="25"/>
      <c r="GK54" s="25"/>
      <c r="GL54" s="25"/>
      <c r="GM54" s="25"/>
      <c r="GN54" s="110"/>
      <c r="GO54" s="110"/>
      <c r="GP54" s="110" t="s">
        <v>445</v>
      </c>
      <c r="GQ54" s="110"/>
      <c r="GR54" s="25"/>
      <c r="GS54" s="25"/>
      <c r="GT54" s="25"/>
      <c r="GU54" s="110"/>
      <c r="GV54" s="110"/>
      <c r="GW54" s="25"/>
      <c r="GX54" s="25"/>
      <c r="GY54" s="25"/>
      <c r="GZ54" s="25"/>
      <c r="HA54" s="25"/>
      <c r="HB54" s="110"/>
      <c r="HC54" s="110"/>
      <c r="HD54" s="25"/>
      <c r="HE54" s="25"/>
      <c r="HF54" s="25"/>
      <c r="HG54" s="25"/>
      <c r="HH54" s="25"/>
      <c r="HI54" s="110"/>
      <c r="HJ54" s="110"/>
      <c r="HK54" s="25"/>
      <c r="HL54" s="25"/>
      <c r="HM54" s="25"/>
      <c r="HN54" s="25"/>
      <c r="HO54" s="25"/>
      <c r="HP54" s="110"/>
      <c r="HQ54" s="110"/>
      <c r="HR54" s="25"/>
      <c r="HS54" s="25"/>
      <c r="HT54" s="25"/>
      <c r="HU54" s="25"/>
      <c r="HV54" s="25"/>
      <c r="HW54" s="110"/>
      <c r="HX54" s="110"/>
      <c r="HY54" s="25"/>
      <c r="HZ54" s="25"/>
      <c r="IA54" s="25"/>
      <c r="IB54" s="25"/>
      <c r="IC54" s="25"/>
      <c r="ID54" s="110"/>
      <c r="IE54" s="110"/>
      <c r="IF54" s="25"/>
      <c r="IG54" s="25"/>
      <c r="IH54" s="25"/>
      <c r="II54" s="25"/>
      <c r="IJ54" s="25"/>
      <c r="IK54" s="110"/>
      <c r="IL54" s="110"/>
      <c r="IM54" s="25"/>
      <c r="IN54" s="25"/>
      <c r="IO54" s="25"/>
      <c r="IP54" s="25"/>
      <c r="IQ54" s="25"/>
      <c r="IR54" s="110"/>
      <c r="IS54" s="110"/>
      <c r="IT54" s="25"/>
      <c r="IU54" s="25"/>
      <c r="IV54" s="25"/>
      <c r="IW54" s="25"/>
      <c r="IX54" s="25"/>
      <c r="IY54" s="110"/>
      <c r="IZ54" s="110"/>
      <c r="JA54" s="25"/>
      <c r="JB54" s="25"/>
      <c r="JC54" s="25"/>
      <c r="JD54" s="25"/>
      <c r="JE54" s="25"/>
      <c r="JF54" s="110"/>
      <c r="JG54" s="110"/>
      <c r="JH54" s="25"/>
      <c r="JI54" s="25"/>
      <c r="JJ54" s="25"/>
      <c r="JK54" s="25"/>
      <c r="JL54" s="25"/>
      <c r="JM54" s="110"/>
      <c r="JN54" s="110"/>
      <c r="JO54" s="25"/>
      <c r="JP54" s="25"/>
      <c r="JQ54" s="25"/>
      <c r="JR54" s="25"/>
      <c r="JS54" s="25"/>
      <c r="JT54" s="110"/>
      <c r="JU54" s="110"/>
      <c r="JV54" s="25"/>
      <c r="JW54" s="25"/>
      <c r="JX54" s="25"/>
      <c r="JY54" s="25"/>
      <c r="JZ54" s="25"/>
      <c r="KA54" s="110"/>
      <c r="KB54" s="110"/>
      <c r="KC54" s="25"/>
      <c r="KD54" s="25"/>
      <c r="KE54" s="25"/>
      <c r="KF54" s="25"/>
      <c r="KG54" s="25"/>
      <c r="KH54" s="110"/>
      <c r="KI54" s="110"/>
      <c r="KJ54" s="25"/>
      <c r="KK54" s="25"/>
      <c r="KL54" s="25"/>
      <c r="KM54" s="25"/>
      <c r="KN54" s="25"/>
      <c r="KO54" s="110"/>
      <c r="KP54" s="110"/>
      <c r="KQ54" s="25"/>
      <c r="KR54" s="25"/>
      <c r="KS54" s="25"/>
      <c r="KT54" s="25"/>
      <c r="KU54" s="25"/>
      <c r="KV54" s="110"/>
      <c r="KW54" s="110"/>
      <c r="KX54" s="25"/>
      <c r="KY54" s="25"/>
      <c r="KZ54" s="25"/>
      <c r="LA54" s="25"/>
      <c r="LB54" s="25"/>
      <c r="LC54" s="110"/>
      <c r="LD54" s="110"/>
      <c r="LE54" s="25"/>
      <c r="LF54" s="25"/>
      <c r="LG54" s="110" t="s">
        <v>445</v>
      </c>
      <c r="LH54" s="25"/>
      <c r="LI54" s="25"/>
      <c r="LJ54" s="110"/>
      <c r="LK54" s="110"/>
      <c r="LL54" s="25"/>
      <c r="LM54" s="25"/>
      <c r="LN54" s="25"/>
      <c r="LO54" s="25"/>
      <c r="LP54" s="25"/>
      <c r="LQ54" s="110"/>
      <c r="LR54" s="110"/>
      <c r="LS54" s="25"/>
      <c r="LT54" s="25"/>
      <c r="LU54" s="25"/>
      <c r="LV54" s="25"/>
      <c r="LW54" s="25"/>
      <c r="LX54" s="110"/>
      <c r="LY54" s="110"/>
      <c r="LZ54" s="25"/>
      <c r="MA54" s="25"/>
      <c r="MB54" s="25"/>
      <c r="MC54" s="25"/>
      <c r="MD54" s="25"/>
      <c r="ME54" s="110"/>
      <c r="MF54" s="110"/>
      <c r="MG54" s="25"/>
      <c r="MH54" s="25"/>
      <c r="MI54" s="25"/>
      <c r="MJ54" s="25"/>
      <c r="MK54" s="25"/>
      <c r="ML54" s="110"/>
      <c r="MM54" s="110"/>
      <c r="MN54" s="25"/>
      <c r="MO54" s="25"/>
      <c r="MP54" s="25"/>
      <c r="MQ54" s="25"/>
      <c r="MR54" s="25"/>
      <c r="MS54" s="110"/>
      <c r="MT54" s="110"/>
      <c r="MU54" s="25"/>
      <c r="MV54" s="25"/>
      <c r="MW54" s="25"/>
      <c r="MX54" s="25"/>
      <c r="MY54" s="25"/>
      <c r="MZ54" s="110"/>
      <c r="NA54" s="110"/>
      <c r="NB54" s="25"/>
      <c r="NC54" s="25"/>
      <c r="ND54" s="25"/>
      <c r="NE54" s="129"/>
      <c r="NF54" s="111"/>
      <c r="NG54" s="8">
        <f t="shared" si="45"/>
        <v>0</v>
      </c>
      <c r="NH54" s="351" cm="1">
        <f t="array" ref="NH54">NETWORKDAYS($I$2,$AH$2)- SUM(COUNTIF(I54:AH54,{"I";"F";"CP";"R";"P";"AC";"AM"}))</f>
        <v>15</v>
      </c>
      <c r="NI54" s="138">
        <f t="shared" si="12"/>
        <v>0</v>
      </c>
      <c r="NJ54" s="8">
        <f t="shared" si="46"/>
        <v>0</v>
      </c>
      <c r="NK54" s="351" cm="1">
        <f t="array" ref="NK54">NETWORKDAYS($AJ$2,$BK$2)- SUM(COUNTIF(AJ54:BK54,{"I";"F";"CP";"R";"P";"AC";"AM"}))</f>
        <v>20</v>
      </c>
      <c r="NL54" s="138">
        <f t="shared" si="13"/>
        <v>0</v>
      </c>
      <c r="NM54" s="8">
        <f t="shared" si="47"/>
        <v>0</v>
      </c>
      <c r="NN54" s="351" cm="1">
        <f t="array" ref="NN54">NETWORKDAYS($BL$2,$CP$2)- SUM(COUNTIF(BL54:CP54,{"I";"F";"CP";"R";"P";"AC";"AM"}))</f>
        <v>22</v>
      </c>
      <c r="NO54" s="138">
        <f t="shared" si="14"/>
        <v>0</v>
      </c>
      <c r="NP54" s="8">
        <f t="shared" si="48"/>
        <v>0</v>
      </c>
      <c r="NQ54" s="351" cm="1">
        <f t="array" ref="NQ54">NETWORKDAYS($CQ$2,$DT$2,$CV$2)- SUM(COUNTIF(CQ54:DT54,{"I";"F";"CP";"R";"P";"AC";"AM"}))</f>
        <v>21</v>
      </c>
      <c r="NR54" s="138">
        <f t="shared" si="15"/>
        <v>0</v>
      </c>
      <c r="NS54" s="8">
        <f t="shared" si="49"/>
        <v>0</v>
      </c>
      <c r="NT54" s="351" cm="1">
        <f t="array" ref="NT54">NETWORKDAYS($DV$2,$EY$2)-SUM(COUNTIF(DV54:EY54,{"I";"F";"CP";"R";"P";"AC";"AM"}))</f>
        <v>13</v>
      </c>
      <c r="NU54" s="138">
        <f t="shared" si="16"/>
        <v>0</v>
      </c>
      <c r="NV54" s="8">
        <f t="shared" si="50"/>
        <v>0</v>
      </c>
      <c r="NW54" s="351" cm="1">
        <f t="array" ref="NW54">NETWORKDAYS($EZ$2,$GC$2)-SUM(COUNTIF(EZ54:GC54,{"I";"F";"CP";"R";"P";"AC";"AM"}))</f>
        <v>22</v>
      </c>
      <c r="NX54" s="138">
        <f t="shared" si="51"/>
        <v>0</v>
      </c>
      <c r="NY54" s="8">
        <f t="shared" si="52"/>
        <v>0</v>
      </c>
      <c r="NZ54" s="351" cm="1">
        <f t="array" ref="NZ54">NETWORKDAYS($GD$2,$HH$2,$GQ$2)-SUM(COUNTIF(GD54:HH54,{"I";"F";"CP";"R";"P";"AC";"AM"}))</f>
        <v>21</v>
      </c>
      <c r="OA54" s="138">
        <f t="shared" si="53"/>
        <v>0</v>
      </c>
      <c r="OB54" s="8">
        <f t="shared" si="54"/>
        <v>0</v>
      </c>
      <c r="OC54" s="351" cm="1">
        <f t="array" ref="OC54">NETWORKDAYS($HI$2,$IM$2)-SUM(COUNTIF(HI54:IM54,{"I";"F";"CP";"R";"P";"AC";"AM"}))</f>
        <v>21</v>
      </c>
      <c r="OD54" s="138">
        <f t="shared" si="55"/>
        <v>0</v>
      </c>
      <c r="OE54" s="8">
        <f t="shared" si="56"/>
        <v>0</v>
      </c>
      <c r="OF54" s="351" cm="1">
        <f t="array" ref="OF54">NETWORKDAYS($IN$2,$JQ$2)-SUM(COUNTIF(IN54:JQ54,{"I";"F";"CP";"R";"P";"AC";"AM"}))</f>
        <v>22</v>
      </c>
      <c r="OG54" s="138">
        <f t="shared" si="57"/>
        <v>0</v>
      </c>
      <c r="OH54" s="8">
        <f t="shared" si="58"/>
        <v>0</v>
      </c>
      <c r="OI54" s="351" cm="1">
        <f t="array" ref="OI54">NETWORKDAYS($JR$2,$KV$2)-SUM(COUNTIF(JR54:KV54,{"I";"F";"CP";"R";"P";"AC";"AM"}))</f>
        <v>22</v>
      </c>
      <c r="OJ54" s="138">
        <f t="shared" si="59"/>
        <v>0</v>
      </c>
      <c r="OK54" s="8">
        <f t="shared" si="60"/>
        <v>0</v>
      </c>
      <c r="OL54" s="351" cm="1">
        <f t="array" ref="OL54">NETWORKDAYS($KW$2,$LZ$2,$LG$2)-SUM(COUNTIF(KW54:LZ54,{"I";"F";"CP";"R";"P";"AC";"AM"}))</f>
        <v>19</v>
      </c>
      <c r="OM54" s="138">
        <f t="shared" si="61"/>
        <v>0</v>
      </c>
      <c r="ON54" s="8">
        <f t="shared" si="62"/>
        <v>0</v>
      </c>
      <c r="OO54" s="351" cm="1">
        <f t="array" ref="OO54">NETWORKDAYS($MA$2,$MR$2)-SUM(COUNTIF(MA54:MR54,{"I";"F";"CP";"R";"P";"AC";"AM"}))</f>
        <v>14</v>
      </c>
      <c r="OP54" s="138">
        <f t="shared" si="63"/>
        <v>0</v>
      </c>
      <c r="OQ54" s="94">
        <f t="shared" si="64"/>
        <v>0</v>
      </c>
      <c r="OR54" s="94">
        <f t="shared" si="65"/>
        <v>232</v>
      </c>
      <c r="OS54" s="138">
        <f t="shared" si="66"/>
        <v>0</v>
      </c>
    </row>
    <row r="55" spans="1:409" ht="18" customHeight="1" x14ac:dyDescent="0.25">
      <c r="A55" s="95" t="s">
        <v>178</v>
      </c>
      <c r="B55" s="95" t="s">
        <v>34</v>
      </c>
      <c r="C55" s="89" t="s">
        <v>166</v>
      </c>
      <c r="D55" s="89" t="s">
        <v>234</v>
      </c>
      <c r="E55" s="128"/>
      <c r="F55" s="110"/>
      <c r="G55" s="110"/>
      <c r="H55" s="110"/>
      <c r="I55" s="25" t="s">
        <v>223</v>
      </c>
      <c r="J55" s="25" t="s">
        <v>223</v>
      </c>
      <c r="K55" s="25" t="s">
        <v>223</v>
      </c>
      <c r="L55" s="25" t="s">
        <v>223</v>
      </c>
      <c r="M55" s="25" t="s">
        <v>223</v>
      </c>
      <c r="N55" s="110"/>
      <c r="O55" s="110"/>
      <c r="P55" s="25" t="s">
        <v>276</v>
      </c>
      <c r="Q55" s="25" t="s">
        <v>276</v>
      </c>
      <c r="R55" s="25" t="s">
        <v>276</v>
      </c>
      <c r="S55" s="25" t="s">
        <v>276</v>
      </c>
      <c r="T55" s="25" t="s">
        <v>276</v>
      </c>
      <c r="U55" s="110"/>
      <c r="V55" s="110"/>
      <c r="W55" s="25" t="s">
        <v>276</v>
      </c>
      <c r="X55" s="25" t="s">
        <v>276</v>
      </c>
      <c r="Y55" s="25" t="s">
        <v>276</v>
      </c>
      <c r="Z55" s="25" t="s">
        <v>276</v>
      </c>
      <c r="AA55" s="25" t="s">
        <v>276</v>
      </c>
      <c r="AB55" s="110"/>
      <c r="AC55" s="110"/>
      <c r="AD55" s="25" t="s">
        <v>276</v>
      </c>
      <c r="AE55" s="25" t="s">
        <v>276</v>
      </c>
      <c r="AF55" s="25" t="s">
        <v>276</v>
      </c>
      <c r="AG55" s="25" t="s">
        <v>276</v>
      </c>
      <c r="AH55" s="25" t="s">
        <v>276</v>
      </c>
      <c r="AI55" s="110"/>
      <c r="AJ55" s="110"/>
      <c r="AK55" s="25" t="s">
        <v>162</v>
      </c>
      <c r="AL55" s="25" t="s">
        <v>162</v>
      </c>
      <c r="AM55" s="25" t="s">
        <v>162</v>
      </c>
      <c r="AN55" s="25" t="s">
        <v>162</v>
      </c>
      <c r="AO55" s="25" t="s">
        <v>162</v>
      </c>
      <c r="AP55" s="110"/>
      <c r="AQ55" s="110"/>
      <c r="AR55" s="25" t="s">
        <v>162</v>
      </c>
      <c r="AS55" s="25" t="s">
        <v>162</v>
      </c>
      <c r="AT55" s="25" t="s">
        <v>162</v>
      </c>
      <c r="AV55" s="25" t="s">
        <v>162</v>
      </c>
      <c r="AW55" s="110"/>
      <c r="AX55" s="110"/>
      <c r="AY55" s="25" t="s">
        <v>162</v>
      </c>
      <c r="AZ55" s="25" t="s">
        <v>162</v>
      </c>
      <c r="BA55" s="25" t="s">
        <v>162</v>
      </c>
      <c r="BB55" s="25" t="s">
        <v>162</v>
      </c>
      <c r="BC55" s="25" t="s">
        <v>162</v>
      </c>
      <c r="BD55" s="110"/>
      <c r="BE55" s="110"/>
      <c r="BF55" s="25" t="s">
        <v>162</v>
      </c>
      <c r="BG55" s="25" t="s">
        <v>162</v>
      </c>
      <c r="BH55" s="25" t="s">
        <v>162</v>
      </c>
      <c r="BI55" s="25" t="s">
        <v>162</v>
      </c>
      <c r="BJ55" s="25" t="s">
        <v>162</v>
      </c>
      <c r="BK55" s="110"/>
      <c r="BL55" s="110"/>
      <c r="BM55" s="25" t="s">
        <v>162</v>
      </c>
      <c r="BN55" s="25" t="s">
        <v>162</v>
      </c>
      <c r="BO55" s="25" t="s">
        <v>162</v>
      </c>
      <c r="BP55" s="25" t="s">
        <v>162</v>
      </c>
      <c r="BQ55" s="25" t="s">
        <v>162</v>
      </c>
      <c r="BR55" s="110"/>
      <c r="BS55" s="110"/>
      <c r="BT55" s="25" t="s">
        <v>162</v>
      </c>
      <c r="BU55" s="25" t="s">
        <v>162</v>
      </c>
      <c r="BV55" s="25" t="s">
        <v>162</v>
      </c>
      <c r="BW55" s="25" t="s">
        <v>162</v>
      </c>
      <c r="BX55" s="25" t="s">
        <v>162</v>
      </c>
      <c r="BY55" s="110"/>
      <c r="BZ55" s="110"/>
      <c r="CA55" s="25" t="s">
        <v>162</v>
      </c>
      <c r="CB55" s="25" t="s">
        <v>162</v>
      </c>
      <c r="CC55" s="25" t="s">
        <v>162</v>
      </c>
      <c r="CD55" s="25" t="s">
        <v>162</v>
      </c>
      <c r="CE55" s="25" t="s">
        <v>162</v>
      </c>
      <c r="CF55" s="110"/>
      <c r="CG55" s="110"/>
      <c r="CH55" s="25" t="s">
        <v>162</v>
      </c>
      <c r="CI55" s="25" t="s">
        <v>162</v>
      </c>
      <c r="CJ55" s="25" t="s">
        <v>162</v>
      </c>
      <c r="CK55" s="25" t="s">
        <v>162</v>
      </c>
      <c r="CL55" s="25" t="s">
        <v>162</v>
      </c>
      <c r="CM55" s="110"/>
      <c r="CN55" s="110"/>
      <c r="CO55" s="25"/>
      <c r="CP55" s="25"/>
      <c r="CQ55" s="25" t="s">
        <v>162</v>
      </c>
      <c r="CR55" s="25" t="s">
        <v>162</v>
      </c>
      <c r="CS55" s="25" t="s">
        <v>162</v>
      </c>
      <c r="CT55" s="110"/>
      <c r="CU55" s="110"/>
      <c r="CV55" s="110"/>
      <c r="CW55" s="25" t="s">
        <v>162</v>
      </c>
      <c r="CX55" s="25" t="s">
        <v>162</v>
      </c>
      <c r="CY55" s="25" t="s">
        <v>162</v>
      </c>
      <c r="CZ55" s="25" t="s">
        <v>162</v>
      </c>
      <c r="DA55" s="110"/>
      <c r="DB55" s="110"/>
      <c r="DC55" s="25" t="s">
        <v>162</v>
      </c>
      <c r="DD55" s="25" t="s">
        <v>162</v>
      </c>
      <c r="DE55" s="25" t="s">
        <v>162</v>
      </c>
      <c r="DF55" s="25" t="s">
        <v>162</v>
      </c>
      <c r="DG55" s="25" t="s">
        <v>162</v>
      </c>
      <c r="DH55" s="110"/>
      <c r="DI55" s="110"/>
      <c r="DJ55" s="25" t="s">
        <v>162</v>
      </c>
      <c r="DK55" s="25" t="s">
        <v>162</v>
      </c>
      <c r="DL55" s="25" t="s">
        <v>162</v>
      </c>
      <c r="DM55" s="25" t="s">
        <v>162</v>
      </c>
      <c r="DN55" s="25" t="s">
        <v>162</v>
      </c>
      <c r="DO55" s="110"/>
      <c r="DP55" s="110"/>
      <c r="DQ55" s="25" t="s">
        <v>162</v>
      </c>
      <c r="DR55" s="25" t="s">
        <v>162</v>
      </c>
      <c r="DS55" s="25" t="s">
        <v>162</v>
      </c>
      <c r="DT55" s="25" t="s">
        <v>162</v>
      </c>
      <c r="DU55" s="110" t="s">
        <v>445</v>
      </c>
      <c r="DV55" s="110"/>
      <c r="DW55" s="110"/>
      <c r="DX55" s="25" t="s">
        <v>162</v>
      </c>
      <c r="DY55" s="25" t="s">
        <v>162</v>
      </c>
      <c r="DZ55" s="25" t="s">
        <v>162</v>
      </c>
      <c r="EA55" s="25" t="s">
        <v>162</v>
      </c>
      <c r="EB55" s="110" t="s">
        <v>445</v>
      </c>
      <c r="EC55" s="110"/>
      <c r="ED55" s="110"/>
      <c r="EE55" s="25" t="s">
        <v>162</v>
      </c>
      <c r="EF55" s="25" t="s">
        <v>162</v>
      </c>
      <c r="EG55" s="25" t="s">
        <v>162</v>
      </c>
      <c r="EH55" s="110" t="s">
        <v>445</v>
      </c>
      <c r="EI55" s="110" t="s">
        <v>445</v>
      </c>
      <c r="EJ55" s="110"/>
      <c r="EK55" s="110"/>
      <c r="EL55" s="25" t="s">
        <v>162</v>
      </c>
      <c r="EM55" s="25" t="s">
        <v>162</v>
      </c>
      <c r="EN55" s="25" t="s">
        <v>162</v>
      </c>
      <c r="EO55" s="25" t="s">
        <v>162</v>
      </c>
      <c r="EP55" s="25" t="s">
        <v>162</v>
      </c>
      <c r="EQ55" s="110"/>
      <c r="ER55" s="110"/>
      <c r="ES55" s="110" t="s">
        <v>445</v>
      </c>
      <c r="ET55" s="25" t="s">
        <v>162</v>
      </c>
      <c r="EU55" s="25" t="s">
        <v>162</v>
      </c>
      <c r="EV55" s="25" t="s">
        <v>162</v>
      </c>
      <c r="EW55" s="25" t="s">
        <v>162</v>
      </c>
      <c r="EX55" s="110"/>
      <c r="EY55" s="110"/>
      <c r="EZ55" s="25"/>
      <c r="FA55" s="25"/>
      <c r="FB55" s="25"/>
      <c r="FC55" s="25"/>
      <c r="FD55" s="25"/>
      <c r="FE55" s="110"/>
      <c r="FF55" s="110"/>
      <c r="FG55" s="25"/>
      <c r="FH55" s="25"/>
      <c r="FI55" s="25"/>
      <c r="FJ55" s="25"/>
      <c r="FK55" s="25"/>
      <c r="FL55" s="110"/>
      <c r="FM55" s="110"/>
      <c r="FN55" s="25"/>
      <c r="FO55" s="25"/>
      <c r="FP55" s="25"/>
      <c r="FQ55" s="25"/>
      <c r="FR55" s="25"/>
      <c r="FS55" s="110"/>
      <c r="FT55" s="110"/>
      <c r="FU55" s="25"/>
      <c r="FV55" s="25"/>
      <c r="FW55" s="25"/>
      <c r="FX55" s="25"/>
      <c r="FY55" s="25"/>
      <c r="FZ55" s="110"/>
      <c r="GA55" s="110"/>
      <c r="GB55" s="25"/>
      <c r="GC55" s="25"/>
      <c r="GD55" s="25"/>
      <c r="GE55" s="25"/>
      <c r="GF55" s="25"/>
      <c r="GG55" s="110"/>
      <c r="GH55" s="110"/>
      <c r="GI55" s="25"/>
      <c r="GJ55" s="25"/>
      <c r="GK55" s="25"/>
      <c r="GL55" s="25"/>
      <c r="GM55" s="25"/>
      <c r="GN55" s="110"/>
      <c r="GO55" s="110"/>
      <c r="GP55" s="110" t="s">
        <v>445</v>
      </c>
      <c r="GQ55" s="110"/>
      <c r="GR55" s="25"/>
      <c r="GS55" s="25"/>
      <c r="GT55" s="25"/>
      <c r="GU55" s="110"/>
      <c r="GV55" s="110"/>
      <c r="GW55" s="25"/>
      <c r="GX55" s="25"/>
      <c r="GY55" s="25"/>
      <c r="GZ55" s="25"/>
      <c r="HA55" s="25"/>
      <c r="HB55" s="110"/>
      <c r="HC55" s="110"/>
      <c r="HD55" s="25"/>
      <c r="HE55" s="25"/>
      <c r="HF55" s="25"/>
      <c r="HG55" s="25"/>
      <c r="HH55" s="25"/>
      <c r="HI55" s="110"/>
      <c r="HJ55" s="110"/>
      <c r="HK55" s="25"/>
      <c r="HL55" s="25"/>
      <c r="HM55" s="25"/>
      <c r="HN55" s="25"/>
      <c r="HO55" s="25"/>
      <c r="HP55" s="110"/>
      <c r="HQ55" s="110"/>
      <c r="HR55" s="25"/>
      <c r="HS55" s="25"/>
      <c r="HT55" s="25"/>
      <c r="HU55" s="25"/>
      <c r="HV55" s="25"/>
      <c r="HW55" s="110"/>
      <c r="HX55" s="110"/>
      <c r="HY55" s="25"/>
      <c r="HZ55" s="25"/>
      <c r="IA55" s="25"/>
      <c r="IB55" s="25"/>
      <c r="IC55" s="25"/>
      <c r="ID55" s="110"/>
      <c r="IE55" s="110"/>
      <c r="IF55" s="25"/>
      <c r="IG55" s="25"/>
      <c r="IH55" s="25"/>
      <c r="II55" s="25"/>
      <c r="IJ55" s="25"/>
      <c r="IK55" s="110"/>
      <c r="IL55" s="110"/>
      <c r="IM55" s="25"/>
      <c r="IN55" s="25"/>
      <c r="IO55" s="25"/>
      <c r="IP55" s="25"/>
      <c r="IQ55" s="25"/>
      <c r="IR55" s="110"/>
      <c r="IS55" s="110"/>
      <c r="IT55" s="25"/>
      <c r="IU55" s="25"/>
      <c r="IV55" s="25"/>
      <c r="IW55" s="25"/>
      <c r="IX55" s="25"/>
      <c r="IY55" s="110"/>
      <c r="IZ55" s="110"/>
      <c r="JA55" s="25"/>
      <c r="JB55" s="25"/>
      <c r="JC55" s="25"/>
      <c r="JD55" s="25"/>
      <c r="JE55" s="25"/>
      <c r="JF55" s="110"/>
      <c r="JG55" s="110"/>
      <c r="JH55" s="25"/>
      <c r="JI55" s="25"/>
      <c r="JJ55" s="25"/>
      <c r="JK55" s="25"/>
      <c r="JL55" s="25"/>
      <c r="JM55" s="110"/>
      <c r="JN55" s="110"/>
      <c r="JO55" s="25"/>
      <c r="JP55" s="25"/>
      <c r="JQ55" s="25"/>
      <c r="JR55" s="25"/>
      <c r="JS55" s="25"/>
      <c r="JT55" s="110"/>
      <c r="JU55" s="110"/>
      <c r="JV55" s="25"/>
      <c r="JW55" s="25"/>
      <c r="JX55" s="25"/>
      <c r="JY55" s="25"/>
      <c r="JZ55" s="25"/>
      <c r="KA55" s="110"/>
      <c r="KB55" s="110"/>
      <c r="KC55" s="25"/>
      <c r="KD55" s="25"/>
      <c r="KE55" s="25"/>
      <c r="KF55" s="25"/>
      <c r="KG55" s="25"/>
      <c r="KH55" s="110"/>
      <c r="KI55" s="110"/>
      <c r="KJ55" s="25"/>
      <c r="KK55" s="25"/>
      <c r="KL55" s="25"/>
      <c r="KM55" s="25"/>
      <c r="KN55" s="25"/>
      <c r="KO55" s="110"/>
      <c r="KP55" s="110"/>
      <c r="KQ55" s="25"/>
      <c r="KR55" s="25"/>
      <c r="KS55" s="25"/>
      <c r="KT55" s="25"/>
      <c r="KU55" s="25"/>
      <c r="KV55" s="110"/>
      <c r="KW55" s="110"/>
      <c r="KX55" s="25"/>
      <c r="KY55" s="25"/>
      <c r="KZ55" s="25"/>
      <c r="LA55" s="25"/>
      <c r="LB55" s="25"/>
      <c r="LC55" s="110"/>
      <c r="LD55" s="110"/>
      <c r="LE55" s="25"/>
      <c r="LF55" s="25"/>
      <c r="LG55" s="110" t="s">
        <v>445</v>
      </c>
      <c r="LH55" s="25"/>
      <c r="LI55" s="25"/>
      <c r="LJ55" s="110"/>
      <c r="LK55" s="110"/>
      <c r="LL55" s="25"/>
      <c r="LM55" s="25"/>
      <c r="LN55" s="25"/>
      <c r="LO55" s="25"/>
      <c r="LP55" s="25"/>
      <c r="LQ55" s="110"/>
      <c r="LR55" s="110"/>
      <c r="LS55" s="25"/>
      <c r="LT55" s="25"/>
      <c r="LU55" s="25"/>
      <c r="LV55" s="25"/>
      <c r="LW55" s="25"/>
      <c r="LX55" s="110"/>
      <c r="LY55" s="110"/>
      <c r="LZ55" s="25"/>
      <c r="MA55" s="25"/>
      <c r="MB55" s="25"/>
      <c r="MC55" s="25"/>
      <c r="MD55" s="25"/>
      <c r="ME55" s="110"/>
      <c r="MF55" s="110"/>
      <c r="MG55" s="25"/>
      <c r="MH55" s="25"/>
      <c r="MI55" s="25"/>
      <c r="MJ55" s="25"/>
      <c r="MK55" s="25"/>
      <c r="ML55" s="110"/>
      <c r="MM55" s="110"/>
      <c r="MN55" s="25"/>
      <c r="MO55" s="25"/>
      <c r="MP55" s="25"/>
      <c r="MQ55" s="25"/>
      <c r="MR55" s="25"/>
      <c r="MS55" s="110"/>
      <c r="MT55" s="110"/>
      <c r="MU55" s="25"/>
      <c r="MV55" s="25"/>
      <c r="MW55" s="25"/>
      <c r="MX55" s="25"/>
      <c r="MY55" s="25"/>
      <c r="MZ55" s="110"/>
      <c r="NA55" s="110"/>
      <c r="NB55" s="25"/>
      <c r="NC55" s="25"/>
      <c r="ND55" s="25"/>
      <c r="NE55" s="129"/>
      <c r="NF55" s="111"/>
      <c r="NG55" s="8">
        <f t="shared" si="45"/>
        <v>0</v>
      </c>
      <c r="NH55" s="351" cm="1">
        <f t="array" ref="NH55">NETWORKDAYS($I$2,$AH$2)- SUM(COUNTIF(I55:AH55,{"I";"F";"CP";"R";"P";"AC";"AM"}))</f>
        <v>0</v>
      </c>
      <c r="NI55" s="138" t="str">
        <f t="shared" si="12"/>
        <v/>
      </c>
      <c r="NJ55" s="8">
        <f t="shared" si="46"/>
        <v>0</v>
      </c>
      <c r="NK55" s="351" cm="1">
        <f t="array" ref="NK55">NETWORKDAYS($AJ$2,$BK$2)- SUM(COUNTIF(AJ55:BK55,{"I";"F";"CP";"R";"P";"AC";"AM"}))</f>
        <v>1</v>
      </c>
      <c r="NL55" s="138">
        <f t="shared" si="13"/>
        <v>0</v>
      </c>
      <c r="NM55" s="8">
        <f t="shared" si="47"/>
        <v>0</v>
      </c>
      <c r="NN55" s="351" cm="1">
        <f t="array" ref="NN55">NETWORKDAYS($BL$2,$CP$2)- SUM(COUNTIF(BL55:CP55,{"I";"F";"CP";"R";"P";"AC";"AM"}))</f>
        <v>2</v>
      </c>
      <c r="NO55" s="138">
        <f t="shared" si="14"/>
        <v>0</v>
      </c>
      <c r="NP55" s="8">
        <f t="shared" si="48"/>
        <v>0</v>
      </c>
      <c r="NQ55" s="351" cm="1">
        <f t="array" ref="NQ55">NETWORKDAYS($CQ$2,$DT$2,$CV$2)- SUM(COUNTIF(CQ55:DT55,{"I";"F";"CP";"R";"P";"AC";"AM"}))</f>
        <v>0</v>
      </c>
      <c r="NR55" s="138" t="str">
        <f t="shared" si="15"/>
        <v/>
      </c>
      <c r="NS55" s="8">
        <f t="shared" si="49"/>
        <v>0</v>
      </c>
      <c r="NT55" s="351" cm="1">
        <f t="array" ref="NT55">NETWORKDAYS($DV$2,$EY$2)-SUM(COUNTIF(DV55:EY55,{"I";"F";"CP";"R";"P";"AC";"AM"}))</f>
        <v>0</v>
      </c>
      <c r="NU55" s="138" t="str">
        <f t="shared" si="16"/>
        <v/>
      </c>
      <c r="NV55" s="8">
        <f t="shared" si="50"/>
        <v>0</v>
      </c>
      <c r="NW55" s="351" cm="1">
        <f t="array" ref="NW55">NETWORKDAYS($EZ$2,$GC$2)-SUM(COUNTIF(EZ55:GC55,{"I";"F";"CP";"R";"P";"AC";"AM"}))</f>
        <v>22</v>
      </c>
      <c r="NX55" s="138">
        <f t="shared" si="51"/>
        <v>0</v>
      </c>
      <c r="NY55" s="8">
        <f t="shared" si="52"/>
        <v>0</v>
      </c>
      <c r="NZ55" s="351" cm="1">
        <f t="array" ref="NZ55">NETWORKDAYS($GD$2,$HH$2,$GQ$2)-SUM(COUNTIF(GD55:HH55,{"I";"F";"CP";"R";"P";"AC";"AM"}))</f>
        <v>21</v>
      </c>
      <c r="OA55" s="138">
        <f t="shared" si="53"/>
        <v>0</v>
      </c>
      <c r="OB55" s="8">
        <f t="shared" si="54"/>
        <v>0</v>
      </c>
      <c r="OC55" s="351" cm="1">
        <f t="array" ref="OC55">NETWORKDAYS($HI$2,$IM$2)-SUM(COUNTIF(HI55:IM55,{"I";"F";"CP";"R";"P";"AC";"AM"}))</f>
        <v>21</v>
      </c>
      <c r="OD55" s="138">
        <f t="shared" si="55"/>
        <v>0</v>
      </c>
      <c r="OE55" s="8">
        <f t="shared" si="56"/>
        <v>0</v>
      </c>
      <c r="OF55" s="351" cm="1">
        <f t="array" ref="OF55">NETWORKDAYS($IN$2,$JQ$2)-SUM(COUNTIF(IN55:JQ55,{"I";"F";"CP";"R";"P";"AC";"AM"}))</f>
        <v>22</v>
      </c>
      <c r="OG55" s="138">
        <f t="shared" si="57"/>
        <v>0</v>
      </c>
      <c r="OH55" s="8">
        <f t="shared" si="58"/>
        <v>0</v>
      </c>
      <c r="OI55" s="351" cm="1">
        <f t="array" ref="OI55">NETWORKDAYS($JR$2,$KV$2)-SUM(COUNTIF(JR55:KV55,{"I";"F";"CP";"R";"P";"AC";"AM"}))</f>
        <v>22</v>
      </c>
      <c r="OJ55" s="138">
        <f t="shared" si="59"/>
        <v>0</v>
      </c>
      <c r="OK55" s="8">
        <f t="shared" si="60"/>
        <v>0</v>
      </c>
      <c r="OL55" s="351" cm="1">
        <f t="array" ref="OL55">NETWORKDAYS($KW$2,$LZ$2,$LG$2)-SUM(COUNTIF(KW55:LZ55,{"I";"F";"CP";"R";"P";"AC";"AM"}))</f>
        <v>19</v>
      </c>
      <c r="OM55" s="138">
        <f t="shared" si="61"/>
        <v>0</v>
      </c>
      <c r="ON55" s="8">
        <f t="shared" si="62"/>
        <v>0</v>
      </c>
      <c r="OO55" s="351" cm="1">
        <f t="array" ref="OO55">NETWORKDAYS($MA$2,$MR$2)-SUM(COUNTIF(MA55:MR55,{"I";"F";"CP";"R";"P";"AC";"AM"}))</f>
        <v>14</v>
      </c>
      <c r="OP55" s="138">
        <f t="shared" si="63"/>
        <v>0</v>
      </c>
      <c r="OQ55" s="94">
        <f t="shared" si="64"/>
        <v>0</v>
      </c>
      <c r="OR55" s="94">
        <f t="shared" si="65"/>
        <v>144</v>
      </c>
      <c r="OS55" s="138">
        <f t="shared" si="66"/>
        <v>0</v>
      </c>
    </row>
    <row r="56" spans="1:409" ht="18" hidden="1" customHeight="1" x14ac:dyDescent="0.25">
      <c r="A56" s="95" t="s">
        <v>168</v>
      </c>
      <c r="B56" s="95" t="s">
        <v>168</v>
      </c>
      <c r="C56" s="89" t="s">
        <v>160</v>
      </c>
      <c r="D56" s="89" t="s">
        <v>228</v>
      </c>
      <c r="E56" s="128"/>
      <c r="F56" s="110"/>
      <c r="G56" s="110"/>
      <c r="H56" s="110"/>
      <c r="I56" s="25" t="s">
        <v>447</v>
      </c>
      <c r="J56" s="25" t="s">
        <v>447</v>
      </c>
      <c r="K56" s="25"/>
      <c r="L56" s="25"/>
      <c r="M56" s="25"/>
      <c r="N56" s="110"/>
      <c r="O56" s="110"/>
      <c r="P56" s="25">
        <v>1</v>
      </c>
      <c r="Q56" s="25">
        <v>1</v>
      </c>
      <c r="R56" s="25">
        <v>1</v>
      </c>
      <c r="S56" s="25">
        <v>1</v>
      </c>
      <c r="T56" s="25">
        <v>1</v>
      </c>
      <c r="U56" s="110"/>
      <c r="V56" s="110"/>
      <c r="W56" s="25">
        <v>1</v>
      </c>
      <c r="X56" s="25" t="s">
        <v>447</v>
      </c>
      <c r="Y56" s="25">
        <v>1</v>
      </c>
      <c r="Z56" s="25" t="s">
        <v>447</v>
      </c>
      <c r="AA56" s="25" t="s">
        <v>447</v>
      </c>
      <c r="AB56" s="110"/>
      <c r="AC56" s="110"/>
      <c r="AD56" s="25">
        <v>1</v>
      </c>
      <c r="AE56" s="25">
        <v>1</v>
      </c>
      <c r="AF56" s="25">
        <v>1</v>
      </c>
      <c r="AG56" s="25">
        <v>1</v>
      </c>
      <c r="AH56" s="25">
        <v>1</v>
      </c>
      <c r="AI56" s="110"/>
      <c r="AJ56" s="110"/>
      <c r="AK56" s="25">
        <v>1</v>
      </c>
      <c r="AL56" s="25">
        <v>1</v>
      </c>
      <c r="AM56" s="25">
        <v>1</v>
      </c>
      <c r="AN56" s="25">
        <v>1</v>
      </c>
      <c r="AO56" s="25">
        <v>1</v>
      </c>
      <c r="AP56" s="110"/>
      <c r="AQ56" s="110"/>
      <c r="AR56" s="25">
        <v>1</v>
      </c>
      <c r="AS56" s="25" t="s">
        <v>447</v>
      </c>
      <c r="AT56" s="25">
        <v>1</v>
      </c>
      <c r="AU56" s="25">
        <v>1</v>
      </c>
      <c r="AV56" s="25" t="s">
        <v>447</v>
      </c>
      <c r="AW56" s="110"/>
      <c r="AX56" s="110"/>
      <c r="AY56" s="25">
        <v>1</v>
      </c>
      <c r="AZ56" s="25">
        <v>1</v>
      </c>
      <c r="BA56" s="25">
        <v>1</v>
      </c>
      <c r="BB56" s="25">
        <v>1</v>
      </c>
      <c r="BC56" s="25">
        <v>1</v>
      </c>
      <c r="BD56" s="110"/>
      <c r="BE56" s="110"/>
      <c r="BF56" s="25">
        <v>1</v>
      </c>
      <c r="BG56" s="25">
        <v>1</v>
      </c>
      <c r="BH56" s="25">
        <v>1</v>
      </c>
      <c r="BI56" s="25">
        <v>1</v>
      </c>
      <c r="BJ56" s="25">
        <v>1</v>
      </c>
      <c r="BK56" s="110"/>
      <c r="BL56" s="110"/>
      <c r="BM56" s="25">
        <v>1</v>
      </c>
      <c r="BN56" s="25" t="s">
        <v>162</v>
      </c>
      <c r="BO56" s="25" t="s">
        <v>162</v>
      </c>
      <c r="BP56" s="25" t="s">
        <v>162</v>
      </c>
      <c r="BQ56" s="25" t="s">
        <v>162</v>
      </c>
      <c r="BR56" s="110"/>
      <c r="BS56" s="110"/>
      <c r="BT56" s="25"/>
      <c r="BU56" s="25"/>
      <c r="BV56" s="25">
        <v>1</v>
      </c>
      <c r="BW56" s="25">
        <v>1</v>
      </c>
      <c r="BX56" s="25">
        <v>1</v>
      </c>
      <c r="BY56" s="110"/>
      <c r="BZ56" s="110"/>
      <c r="CA56" s="25">
        <v>1</v>
      </c>
      <c r="CB56" s="25">
        <v>1</v>
      </c>
      <c r="CC56" s="25">
        <v>1</v>
      </c>
      <c r="CD56" s="25"/>
      <c r="CE56" s="25"/>
      <c r="CF56" s="110"/>
      <c r="CG56" s="110"/>
      <c r="CH56" s="25">
        <v>1</v>
      </c>
      <c r="CI56" s="25">
        <v>1</v>
      </c>
      <c r="CJ56" s="25">
        <v>1</v>
      </c>
      <c r="CK56" s="25">
        <v>1</v>
      </c>
      <c r="CL56" s="25">
        <v>1</v>
      </c>
      <c r="CM56" s="110"/>
      <c r="CN56" s="110"/>
      <c r="CO56" s="25" t="s">
        <v>445</v>
      </c>
      <c r="CP56" s="25" t="s">
        <v>445</v>
      </c>
      <c r="CQ56" s="25"/>
      <c r="CR56" s="25"/>
      <c r="CS56" s="25"/>
      <c r="CT56" s="110"/>
      <c r="CU56" s="110"/>
      <c r="CV56" s="110"/>
      <c r="CW56" s="25"/>
      <c r="CX56" s="25"/>
      <c r="CY56" s="25"/>
      <c r="CZ56" s="25">
        <v>1</v>
      </c>
      <c r="DA56" s="110"/>
      <c r="DB56" s="110"/>
      <c r="DC56" s="25">
        <v>1</v>
      </c>
      <c r="DD56" s="25"/>
      <c r="DE56" s="25"/>
      <c r="DF56" s="25"/>
      <c r="DG56" s="25">
        <v>1</v>
      </c>
      <c r="DH56" s="110"/>
      <c r="DI56" s="110"/>
      <c r="DJ56" s="25">
        <v>1</v>
      </c>
      <c r="DK56" s="25">
        <v>1</v>
      </c>
      <c r="DL56" s="25">
        <v>1</v>
      </c>
      <c r="DM56" s="25">
        <v>1</v>
      </c>
      <c r="DN56" s="25">
        <v>1</v>
      </c>
      <c r="DO56" s="110"/>
      <c r="DP56" s="110"/>
      <c r="DQ56" s="25">
        <v>1</v>
      </c>
      <c r="DR56" s="25">
        <v>1</v>
      </c>
      <c r="DS56" s="25">
        <v>1</v>
      </c>
      <c r="DT56" s="25">
        <v>1</v>
      </c>
      <c r="DU56" s="110" t="s">
        <v>445</v>
      </c>
      <c r="DV56" s="110"/>
      <c r="DW56" s="110"/>
      <c r="DX56" s="25"/>
      <c r="DY56" s="25"/>
      <c r="DZ56" s="25"/>
      <c r="EA56" s="25"/>
      <c r="EB56" s="110" t="s">
        <v>445</v>
      </c>
      <c r="EC56" s="110"/>
      <c r="ED56" s="110"/>
      <c r="EE56" s="25"/>
      <c r="EF56" s="25"/>
      <c r="EG56" s="25"/>
      <c r="EH56" s="110" t="s">
        <v>445</v>
      </c>
      <c r="EI56" s="110" t="s">
        <v>445</v>
      </c>
      <c r="EJ56" s="110"/>
      <c r="EK56" s="110"/>
      <c r="EL56" s="25"/>
      <c r="EM56" s="25"/>
      <c r="EN56" s="25"/>
      <c r="EO56" s="25"/>
      <c r="EP56" s="25"/>
      <c r="EQ56" s="110"/>
      <c r="ER56" s="110"/>
      <c r="ES56" s="110" t="s">
        <v>445</v>
      </c>
      <c r="ET56" s="25"/>
      <c r="EU56" s="25"/>
      <c r="EV56" s="25"/>
      <c r="EW56" s="25"/>
      <c r="EX56" s="110"/>
      <c r="EY56" s="110"/>
      <c r="EZ56" s="25"/>
      <c r="FA56" s="25"/>
      <c r="FB56" s="25"/>
      <c r="FC56" s="25"/>
      <c r="FD56" s="25"/>
      <c r="FE56" s="110"/>
      <c r="FF56" s="110"/>
      <c r="FG56" s="25"/>
      <c r="FH56" s="25"/>
      <c r="FI56" s="25"/>
      <c r="FJ56" s="25"/>
      <c r="FK56" s="25"/>
      <c r="FL56" s="110"/>
      <c r="FM56" s="110"/>
      <c r="FN56" s="25"/>
      <c r="FO56" s="25"/>
      <c r="FP56" s="25"/>
      <c r="FQ56" s="25"/>
      <c r="FR56" s="25"/>
      <c r="FS56" s="110"/>
      <c r="FT56" s="110"/>
      <c r="FU56" s="25"/>
      <c r="FV56" s="25"/>
      <c r="FW56" s="25"/>
      <c r="FX56" s="25"/>
      <c r="FY56" s="25"/>
      <c r="FZ56" s="110"/>
      <c r="GA56" s="110"/>
      <c r="GB56" s="25"/>
      <c r="GC56" s="25"/>
      <c r="GD56" s="25"/>
      <c r="GE56" s="25"/>
      <c r="GF56" s="25"/>
      <c r="GG56" s="110"/>
      <c r="GH56" s="110"/>
      <c r="GI56" s="25"/>
      <c r="GJ56" s="25"/>
      <c r="GK56" s="25"/>
      <c r="GL56" s="25"/>
      <c r="GM56" s="25"/>
      <c r="GN56" s="110"/>
      <c r="GO56" s="110"/>
      <c r="GP56" s="110" t="s">
        <v>445</v>
      </c>
      <c r="GQ56" s="110"/>
      <c r="GR56" s="25"/>
      <c r="GS56" s="25"/>
      <c r="GT56" s="25"/>
      <c r="GU56" s="110"/>
      <c r="GV56" s="110"/>
      <c r="GW56" s="25"/>
      <c r="GX56" s="25"/>
      <c r="GY56" s="25"/>
      <c r="GZ56" s="25"/>
      <c r="HA56" s="25"/>
      <c r="HB56" s="110"/>
      <c r="HC56" s="110"/>
      <c r="HD56" s="25"/>
      <c r="HE56" s="25"/>
      <c r="HF56" s="25"/>
      <c r="HG56" s="25"/>
      <c r="HH56" s="25"/>
      <c r="HI56" s="110"/>
      <c r="HJ56" s="110"/>
      <c r="HK56" s="25"/>
      <c r="HL56" s="25"/>
      <c r="HM56" s="25"/>
      <c r="HN56" s="25"/>
      <c r="HO56" s="25"/>
      <c r="HP56" s="110"/>
      <c r="HQ56" s="110"/>
      <c r="HR56" s="25"/>
      <c r="HS56" s="25"/>
      <c r="HT56" s="25"/>
      <c r="HU56" s="25"/>
      <c r="HV56" s="25"/>
      <c r="HW56" s="110"/>
      <c r="HX56" s="110"/>
      <c r="HY56" s="25"/>
      <c r="HZ56" s="25"/>
      <c r="IA56" s="25"/>
      <c r="IB56" s="25"/>
      <c r="IC56" s="25"/>
      <c r="ID56" s="110"/>
      <c r="IE56" s="110"/>
      <c r="IF56" s="25"/>
      <c r="IG56" s="25"/>
      <c r="IH56" s="25"/>
      <c r="II56" s="25"/>
      <c r="IJ56" s="25"/>
      <c r="IK56" s="110"/>
      <c r="IL56" s="110"/>
      <c r="IM56" s="25"/>
      <c r="IN56" s="25"/>
      <c r="IO56" s="25"/>
      <c r="IP56" s="25"/>
      <c r="IQ56" s="25"/>
      <c r="IR56" s="110"/>
      <c r="IS56" s="110"/>
      <c r="IT56" s="25"/>
      <c r="IU56" s="25"/>
      <c r="IV56" s="25"/>
      <c r="IW56" s="25"/>
      <c r="IX56" s="25"/>
      <c r="IY56" s="110"/>
      <c r="IZ56" s="110"/>
      <c r="JA56" s="25"/>
      <c r="JB56" s="25"/>
      <c r="JC56" s="25"/>
      <c r="JD56" s="25"/>
      <c r="JE56" s="25"/>
      <c r="JF56" s="110"/>
      <c r="JG56" s="110"/>
      <c r="JH56" s="25"/>
      <c r="JI56" s="25"/>
      <c r="JJ56" s="25"/>
      <c r="JK56" s="25"/>
      <c r="JL56" s="25"/>
      <c r="JM56" s="110"/>
      <c r="JN56" s="110"/>
      <c r="JO56" s="25"/>
      <c r="JP56" s="25"/>
      <c r="JQ56" s="25"/>
      <c r="JR56" s="25"/>
      <c r="JS56" s="25"/>
      <c r="JT56" s="110"/>
      <c r="JU56" s="110"/>
      <c r="JV56" s="25"/>
      <c r="JW56" s="25"/>
      <c r="JX56" s="25"/>
      <c r="JY56" s="25"/>
      <c r="JZ56" s="25"/>
      <c r="KA56" s="110"/>
      <c r="KB56" s="110"/>
      <c r="KC56" s="25"/>
      <c r="KD56" s="25"/>
      <c r="KE56" s="25"/>
      <c r="KF56" s="25"/>
      <c r="KG56" s="25"/>
      <c r="KH56" s="110"/>
      <c r="KI56" s="110"/>
      <c r="KJ56" s="25"/>
      <c r="KK56" s="25"/>
      <c r="KL56" s="25"/>
      <c r="KM56" s="25"/>
      <c r="KN56" s="25"/>
      <c r="KO56" s="110"/>
      <c r="KP56" s="110"/>
      <c r="KQ56" s="25"/>
      <c r="KR56" s="25"/>
      <c r="KS56" s="25"/>
      <c r="KT56" s="25"/>
      <c r="KU56" s="25"/>
      <c r="KV56" s="110"/>
      <c r="KW56" s="110"/>
      <c r="KX56" s="25"/>
      <c r="KY56" s="25"/>
      <c r="KZ56" s="25"/>
      <c r="LA56" s="25"/>
      <c r="LB56" s="25"/>
      <c r="LC56" s="110"/>
      <c r="LD56" s="110"/>
      <c r="LE56" s="25"/>
      <c r="LF56" s="25"/>
      <c r="LG56" s="110" t="s">
        <v>445</v>
      </c>
      <c r="LH56" s="25"/>
      <c r="LI56" s="25"/>
      <c r="LJ56" s="110"/>
      <c r="LK56" s="110"/>
      <c r="LL56" s="25"/>
      <c r="LM56" s="25"/>
      <c r="LN56" s="25"/>
      <c r="LO56" s="25"/>
      <c r="LP56" s="25"/>
      <c r="LQ56" s="110"/>
      <c r="LR56" s="110"/>
      <c r="LS56" s="25"/>
      <c r="LT56" s="25"/>
      <c r="LU56" s="25"/>
      <c r="LV56" s="25"/>
      <c r="LW56" s="25"/>
      <c r="LX56" s="110"/>
      <c r="LY56" s="110"/>
      <c r="LZ56" s="25"/>
      <c r="MA56" s="25"/>
      <c r="MB56" s="25"/>
      <c r="MC56" s="25"/>
      <c r="MD56" s="25"/>
      <c r="ME56" s="110"/>
      <c r="MF56" s="110"/>
      <c r="MG56" s="25"/>
      <c r="MH56" s="25"/>
      <c r="MI56" s="25"/>
      <c r="MJ56" s="25"/>
      <c r="MK56" s="25"/>
      <c r="ML56" s="110"/>
      <c r="MM56" s="110"/>
      <c r="MN56" s="25"/>
      <c r="MO56" s="25"/>
      <c r="MP56" s="25"/>
      <c r="MQ56" s="25"/>
      <c r="MR56" s="25"/>
      <c r="MS56" s="110"/>
      <c r="MT56" s="110"/>
      <c r="MU56" s="25"/>
      <c r="MV56" s="25"/>
      <c r="MW56" s="25"/>
      <c r="MX56" s="25"/>
      <c r="MY56" s="25"/>
      <c r="MZ56" s="110"/>
      <c r="NA56" s="110"/>
      <c r="NB56" s="25"/>
      <c r="NC56" s="25"/>
      <c r="ND56" s="25"/>
      <c r="NE56" s="129"/>
      <c r="NF56" s="111"/>
      <c r="NG56" s="8">
        <f t="shared" si="45"/>
        <v>12</v>
      </c>
      <c r="NH56" s="351" cm="1">
        <f t="array" ref="NH56">NETWORKDAYS($I$2,$AH$2)- SUM(COUNTIF(I56:AH56,{"I";"F";"CP";"R";"P";"AC";"AM"}))</f>
        <v>15</v>
      </c>
      <c r="NI56" s="138">
        <f t="shared" si="12"/>
        <v>0.8</v>
      </c>
      <c r="NJ56" s="8">
        <f t="shared" si="46"/>
        <v>18</v>
      </c>
      <c r="NK56" s="351" cm="1">
        <f t="array" ref="NK56">NETWORKDAYS($AJ$2,$BK$2)- SUM(COUNTIF(AJ56:BK56,{"I";"F";"CP";"R";"P";"AC";"AM"}))</f>
        <v>18</v>
      </c>
      <c r="NL56" s="138">
        <f t="shared" si="13"/>
        <v>1</v>
      </c>
      <c r="NM56" s="8">
        <f t="shared" si="47"/>
        <v>12</v>
      </c>
      <c r="NN56" s="351" cm="1">
        <f t="array" ref="NN56">NETWORKDAYS($BL$2,$CP$2)- SUM(COUNTIF(BL56:CP56,{"I";"F";"CP";"R";"P";"AC";"AM"}))</f>
        <v>16</v>
      </c>
      <c r="NO56" s="138">
        <f t="shared" si="14"/>
        <v>0.75</v>
      </c>
      <c r="NP56" s="8">
        <f t="shared" si="48"/>
        <v>12</v>
      </c>
      <c r="NQ56" s="351" cm="1">
        <f t="array" ref="NQ56">NETWORKDAYS($CQ$2,$DT$2,$CV$2)- SUM(COUNTIF(CQ56:DT56,{"I";"F";"CP";"R";"P";"AC";"AM"}))</f>
        <v>21</v>
      </c>
      <c r="NR56" s="138">
        <f t="shared" si="15"/>
        <v>0.5714285714285714</v>
      </c>
      <c r="NS56" s="8">
        <f t="shared" si="49"/>
        <v>0</v>
      </c>
      <c r="NT56" s="351" cm="1">
        <f t="array" ref="NT56">NETWORKDAYS($DV$2,$EY$2)-SUM(COUNTIF(DV56:EY56,{"I";"F";"CP";"R";"P";"AC";"AM"}))</f>
        <v>16</v>
      </c>
      <c r="NU56" s="138">
        <f t="shared" si="16"/>
        <v>0</v>
      </c>
      <c r="NV56" s="8">
        <f t="shared" si="50"/>
        <v>0</v>
      </c>
      <c r="NW56" s="351" cm="1">
        <f t="array" ref="NW56">NETWORKDAYS($EZ$2,$GC$2)-SUM(COUNTIF(EZ56:GC56,{"I";"F";"CP";"R";"P";"AC";"AM"}))</f>
        <v>22</v>
      </c>
      <c r="NX56" s="138">
        <f t="shared" si="51"/>
        <v>0</v>
      </c>
      <c r="NY56" s="8">
        <f t="shared" si="52"/>
        <v>0</v>
      </c>
      <c r="NZ56" s="351" cm="1">
        <f t="array" ref="NZ56">NETWORKDAYS($GD$2,$HH$2,$GQ$2)-SUM(COUNTIF(GD56:HH56,{"I";"F";"CP";"R";"P";"AC";"AM"}))</f>
        <v>21</v>
      </c>
      <c r="OA56" s="138">
        <f t="shared" si="53"/>
        <v>0</v>
      </c>
      <c r="OB56" s="8">
        <f t="shared" si="54"/>
        <v>0</v>
      </c>
      <c r="OC56" s="351" cm="1">
        <f t="array" ref="OC56">NETWORKDAYS($HI$2,$IM$2)-SUM(COUNTIF(HI56:IM56,{"I";"F";"CP";"R";"P";"AC";"AM"}))</f>
        <v>21</v>
      </c>
      <c r="OD56" s="138">
        <f t="shared" si="55"/>
        <v>0</v>
      </c>
      <c r="OE56" s="8">
        <f t="shared" si="56"/>
        <v>0</v>
      </c>
      <c r="OF56" s="351" cm="1">
        <f t="array" ref="OF56">NETWORKDAYS($IN$2,$JQ$2)-SUM(COUNTIF(IN56:JQ56,{"I";"F";"CP";"R";"P";"AC";"AM"}))</f>
        <v>22</v>
      </c>
      <c r="OG56" s="138">
        <f t="shared" si="57"/>
        <v>0</v>
      </c>
      <c r="OH56" s="8">
        <f t="shared" si="58"/>
        <v>0</v>
      </c>
      <c r="OI56" s="351" cm="1">
        <f t="array" ref="OI56">NETWORKDAYS($JR$2,$KV$2)-SUM(COUNTIF(JR56:KV56,{"I";"F";"CP";"R";"P";"AC";"AM"}))</f>
        <v>22</v>
      </c>
      <c r="OJ56" s="138">
        <f t="shared" si="59"/>
        <v>0</v>
      </c>
      <c r="OK56" s="8">
        <f t="shared" si="60"/>
        <v>0</v>
      </c>
      <c r="OL56" s="351" cm="1">
        <f t="array" ref="OL56">NETWORKDAYS($KW$2,$LZ$2,$LG$2)-SUM(COUNTIF(KW56:LZ56,{"I";"F";"CP";"R";"P";"AC";"AM"}))</f>
        <v>19</v>
      </c>
      <c r="OM56" s="138">
        <f t="shared" si="61"/>
        <v>0</v>
      </c>
      <c r="ON56" s="8">
        <f t="shared" si="62"/>
        <v>0</v>
      </c>
      <c r="OO56" s="351" cm="1">
        <f t="array" ref="OO56">NETWORKDAYS($MA$2,$MR$2)-SUM(COUNTIF(MA56:MR56,{"I";"F";"CP";"R";"P";"AC";"AM"}))</f>
        <v>14</v>
      </c>
      <c r="OP56" s="138">
        <f t="shared" si="63"/>
        <v>0</v>
      </c>
      <c r="OQ56" s="94">
        <f t="shared" si="64"/>
        <v>54</v>
      </c>
      <c r="OR56" s="94">
        <f t="shared" si="65"/>
        <v>227</v>
      </c>
      <c r="OS56" s="138">
        <f t="shared" si="66"/>
        <v>0.23788546255506607</v>
      </c>
    </row>
    <row r="57" spans="1:409" ht="18" hidden="1" customHeight="1" x14ac:dyDescent="0.25">
      <c r="A57" s="95" t="s">
        <v>168</v>
      </c>
      <c r="B57" s="95" t="s">
        <v>168</v>
      </c>
      <c r="C57" s="89" t="s">
        <v>160</v>
      </c>
      <c r="D57" s="89" t="s">
        <v>229</v>
      </c>
      <c r="E57" s="128"/>
      <c r="F57" s="110"/>
      <c r="G57" s="110"/>
      <c r="H57" s="110"/>
      <c r="I57" s="25">
        <v>1</v>
      </c>
      <c r="J57" s="25">
        <v>1</v>
      </c>
      <c r="K57" s="25">
        <v>1</v>
      </c>
      <c r="L57" s="25">
        <v>1</v>
      </c>
      <c r="M57" s="25">
        <v>1</v>
      </c>
      <c r="N57" s="110"/>
      <c r="O57" s="110"/>
      <c r="P57" s="25" t="s">
        <v>447</v>
      </c>
      <c r="Q57" s="25" t="s">
        <v>447</v>
      </c>
      <c r="R57" s="25" t="s">
        <v>447</v>
      </c>
      <c r="S57" s="25">
        <v>1</v>
      </c>
      <c r="T57" s="25">
        <v>1</v>
      </c>
      <c r="U57" s="110"/>
      <c r="V57" s="110"/>
      <c r="W57" s="25"/>
      <c r="X57" s="25">
        <v>1</v>
      </c>
      <c r="Y57" s="25">
        <v>1</v>
      </c>
      <c r="Z57" s="25">
        <v>1</v>
      </c>
      <c r="AA57" s="25">
        <v>1</v>
      </c>
      <c r="AB57" s="110"/>
      <c r="AC57" s="110"/>
      <c r="AD57" s="25">
        <v>1</v>
      </c>
      <c r="AE57" s="25">
        <v>1</v>
      </c>
      <c r="AF57" s="25">
        <v>1</v>
      </c>
      <c r="AG57" s="25">
        <v>1</v>
      </c>
      <c r="AH57" s="25">
        <v>1</v>
      </c>
      <c r="AI57" s="110"/>
      <c r="AJ57" s="110"/>
      <c r="AK57" s="25" t="s">
        <v>445</v>
      </c>
      <c r="AL57" s="25" t="s">
        <v>445</v>
      </c>
      <c r="AM57" s="25" t="s">
        <v>445</v>
      </c>
      <c r="AN57" s="25" t="s">
        <v>445</v>
      </c>
      <c r="AO57" s="25" t="s">
        <v>445</v>
      </c>
      <c r="AP57" s="110"/>
      <c r="AQ57" s="110"/>
      <c r="AR57" s="25">
        <v>1</v>
      </c>
      <c r="AS57" s="25">
        <v>1</v>
      </c>
      <c r="AT57" s="25">
        <v>1</v>
      </c>
      <c r="AU57" s="25">
        <v>1</v>
      </c>
      <c r="AV57" s="25">
        <v>1</v>
      </c>
      <c r="AW57" s="110"/>
      <c r="AX57" s="110"/>
      <c r="AY57" s="25">
        <v>1</v>
      </c>
      <c r="AZ57" s="25">
        <v>1</v>
      </c>
      <c r="BA57" s="25">
        <v>1</v>
      </c>
      <c r="BB57" s="25">
        <v>1</v>
      </c>
      <c r="BC57" s="25">
        <v>1</v>
      </c>
      <c r="BD57" s="110"/>
      <c r="BE57" s="110"/>
      <c r="BF57" s="25">
        <v>1</v>
      </c>
      <c r="BG57" s="25">
        <v>1</v>
      </c>
      <c r="BH57" s="25">
        <v>1</v>
      </c>
      <c r="BI57" s="25" t="s">
        <v>447</v>
      </c>
      <c r="BJ57" s="25">
        <v>1</v>
      </c>
      <c r="BK57" s="110"/>
      <c r="BL57" s="110"/>
      <c r="BM57" s="25">
        <v>1</v>
      </c>
      <c r="BN57" s="25">
        <v>1</v>
      </c>
      <c r="BO57" s="25">
        <v>1</v>
      </c>
      <c r="BP57" s="25">
        <v>1</v>
      </c>
      <c r="BQ57" s="25">
        <v>1</v>
      </c>
      <c r="BR57" s="110"/>
      <c r="BS57" s="110"/>
      <c r="BT57" s="25">
        <v>1</v>
      </c>
      <c r="BU57" s="25">
        <v>1</v>
      </c>
      <c r="BV57" s="25">
        <v>1</v>
      </c>
      <c r="BW57" s="25">
        <v>1</v>
      </c>
      <c r="BX57" s="25">
        <v>1</v>
      </c>
      <c r="BY57" s="110"/>
      <c r="BZ57" s="110"/>
      <c r="CA57" s="25">
        <v>1</v>
      </c>
      <c r="CB57" s="25">
        <v>1</v>
      </c>
      <c r="CC57" s="25">
        <v>1</v>
      </c>
      <c r="CD57" s="25">
        <v>1</v>
      </c>
      <c r="CE57" s="25">
        <v>1</v>
      </c>
      <c r="CF57" s="110"/>
      <c r="CG57" s="110"/>
      <c r="CH57" s="25">
        <v>1</v>
      </c>
      <c r="CI57" s="25">
        <v>1</v>
      </c>
      <c r="CJ57" s="25">
        <v>1</v>
      </c>
      <c r="CK57" s="25">
        <v>1</v>
      </c>
      <c r="CL57" s="25">
        <v>1</v>
      </c>
      <c r="CM57" s="110"/>
      <c r="CN57" s="110"/>
      <c r="CO57" s="25">
        <v>1</v>
      </c>
      <c r="CP57" s="25">
        <v>1</v>
      </c>
      <c r="CQ57" s="25">
        <v>1</v>
      </c>
      <c r="CR57" s="25">
        <v>1</v>
      </c>
      <c r="CS57" s="25">
        <v>1</v>
      </c>
      <c r="CT57" s="110"/>
      <c r="CU57" s="110"/>
      <c r="CV57" s="110"/>
      <c r="CW57" s="25">
        <v>1</v>
      </c>
      <c r="CX57" s="25">
        <v>1</v>
      </c>
      <c r="CY57" s="25">
        <v>1</v>
      </c>
      <c r="CZ57" s="25">
        <v>1</v>
      </c>
      <c r="DA57" s="110"/>
      <c r="DB57" s="110"/>
      <c r="DC57" s="25"/>
      <c r="DD57" s="25"/>
      <c r="DE57" s="25"/>
      <c r="DF57" s="25"/>
      <c r="DG57" s="25"/>
      <c r="DH57" s="110"/>
      <c r="DI57" s="110"/>
      <c r="DJ57" s="25">
        <v>1</v>
      </c>
      <c r="DK57" s="25">
        <v>1</v>
      </c>
      <c r="DL57" s="25">
        <v>1</v>
      </c>
      <c r="DM57" s="25">
        <v>1</v>
      </c>
      <c r="DN57" s="25">
        <v>1</v>
      </c>
      <c r="DO57" s="110"/>
      <c r="DP57" s="110"/>
      <c r="DQ57" s="25">
        <v>1</v>
      </c>
      <c r="DR57" s="25">
        <v>1</v>
      </c>
      <c r="DS57" s="25">
        <v>1</v>
      </c>
      <c r="DT57" s="25">
        <v>1</v>
      </c>
      <c r="DU57" s="110" t="s">
        <v>445</v>
      </c>
      <c r="DV57" s="110"/>
      <c r="DW57" s="110"/>
      <c r="DX57" s="25"/>
      <c r="DY57" s="25"/>
      <c r="DZ57" s="25"/>
      <c r="EA57" s="25"/>
      <c r="EB57" s="110" t="s">
        <v>445</v>
      </c>
      <c r="EC57" s="110"/>
      <c r="ED57" s="110"/>
      <c r="EE57" s="25"/>
      <c r="EF57" s="25"/>
      <c r="EG57" s="25"/>
      <c r="EH57" s="110" t="s">
        <v>445</v>
      </c>
      <c r="EI57" s="110" t="s">
        <v>445</v>
      </c>
      <c r="EJ57" s="110"/>
      <c r="EK57" s="110"/>
      <c r="EL57" s="25"/>
      <c r="EM57" s="25"/>
      <c r="EN57" s="25"/>
      <c r="EO57" s="25"/>
      <c r="EP57" s="25"/>
      <c r="EQ57" s="110"/>
      <c r="ER57" s="110"/>
      <c r="ES57" s="110" t="s">
        <v>445</v>
      </c>
      <c r="ET57" s="25"/>
      <c r="EU57" s="25"/>
      <c r="EV57" s="25"/>
      <c r="EW57" s="25"/>
      <c r="EX57" s="110"/>
      <c r="EY57" s="110"/>
      <c r="EZ57" s="25"/>
      <c r="FA57" s="25"/>
      <c r="FB57" s="25"/>
      <c r="FC57" s="25"/>
      <c r="FD57" s="25"/>
      <c r="FE57" s="110"/>
      <c r="FF57" s="110"/>
      <c r="FG57" s="25"/>
      <c r="FH57" s="25"/>
      <c r="FI57" s="25"/>
      <c r="FJ57" s="25"/>
      <c r="FK57" s="25"/>
      <c r="FL57" s="110"/>
      <c r="FM57" s="110"/>
      <c r="FN57" s="25"/>
      <c r="FO57" s="25"/>
      <c r="FP57" s="25"/>
      <c r="FQ57" s="25"/>
      <c r="FR57" s="25"/>
      <c r="FS57" s="110"/>
      <c r="FT57" s="110"/>
      <c r="FU57" s="25"/>
      <c r="FV57" s="25"/>
      <c r="FW57" s="25"/>
      <c r="FX57" s="25"/>
      <c r="FY57" s="25"/>
      <c r="FZ57" s="110"/>
      <c r="GA57" s="110"/>
      <c r="GB57" s="25"/>
      <c r="GC57" s="25"/>
      <c r="GD57" s="25"/>
      <c r="GE57" s="25"/>
      <c r="GF57" s="25"/>
      <c r="GG57" s="110"/>
      <c r="GH57" s="110"/>
      <c r="GI57" s="25"/>
      <c r="GJ57" s="25"/>
      <c r="GK57" s="25"/>
      <c r="GL57" s="25"/>
      <c r="GM57" s="25"/>
      <c r="GN57" s="110"/>
      <c r="GO57" s="110"/>
      <c r="GP57" s="110" t="s">
        <v>445</v>
      </c>
      <c r="GQ57" s="110"/>
      <c r="GR57" s="25"/>
      <c r="GS57" s="25"/>
      <c r="GT57" s="25"/>
      <c r="GU57" s="110"/>
      <c r="GV57" s="110"/>
      <c r="GW57" s="25"/>
      <c r="GX57" s="25"/>
      <c r="GY57" s="25"/>
      <c r="GZ57" s="25"/>
      <c r="HA57" s="25"/>
      <c r="HB57" s="110"/>
      <c r="HC57" s="110"/>
      <c r="HD57" s="25"/>
      <c r="HE57" s="25"/>
      <c r="HF57" s="25"/>
      <c r="HG57" s="25"/>
      <c r="HH57" s="25"/>
      <c r="HI57" s="110"/>
      <c r="HJ57" s="110"/>
      <c r="HK57" s="25"/>
      <c r="HL57" s="25"/>
      <c r="HM57" s="25"/>
      <c r="HN57" s="25"/>
      <c r="HO57" s="25"/>
      <c r="HP57" s="110"/>
      <c r="HQ57" s="110"/>
      <c r="HR57" s="25"/>
      <c r="HS57" s="25"/>
      <c r="HT57" s="25"/>
      <c r="HU57" s="25"/>
      <c r="HV57" s="25"/>
      <c r="HW57" s="110"/>
      <c r="HX57" s="110"/>
      <c r="HY57" s="25"/>
      <c r="HZ57" s="25"/>
      <c r="IA57" s="25"/>
      <c r="IB57" s="25"/>
      <c r="IC57" s="25"/>
      <c r="ID57" s="110"/>
      <c r="IE57" s="110"/>
      <c r="IF57" s="25"/>
      <c r="IG57" s="25"/>
      <c r="IH57" s="25"/>
      <c r="II57" s="25"/>
      <c r="IJ57" s="25"/>
      <c r="IK57" s="110"/>
      <c r="IL57" s="110"/>
      <c r="IM57" s="25"/>
      <c r="IN57" s="25"/>
      <c r="IO57" s="25"/>
      <c r="IP57" s="25"/>
      <c r="IQ57" s="25"/>
      <c r="IR57" s="110"/>
      <c r="IS57" s="110"/>
      <c r="IT57" s="25"/>
      <c r="IU57" s="25"/>
      <c r="IV57" s="25"/>
      <c r="IW57" s="25"/>
      <c r="IX57" s="25"/>
      <c r="IY57" s="110"/>
      <c r="IZ57" s="110"/>
      <c r="JA57" s="25"/>
      <c r="JB57" s="25"/>
      <c r="JC57" s="25"/>
      <c r="JD57" s="25"/>
      <c r="JE57" s="25"/>
      <c r="JF57" s="110"/>
      <c r="JG57" s="110"/>
      <c r="JH57" s="25"/>
      <c r="JI57" s="25"/>
      <c r="JJ57" s="25"/>
      <c r="JK57" s="25"/>
      <c r="JL57" s="25"/>
      <c r="JM57" s="110"/>
      <c r="JN57" s="110"/>
      <c r="JO57" s="25"/>
      <c r="JP57" s="25"/>
      <c r="JQ57" s="25"/>
      <c r="JR57" s="25"/>
      <c r="JS57" s="25"/>
      <c r="JT57" s="110"/>
      <c r="JU57" s="110"/>
      <c r="JV57" s="25"/>
      <c r="JW57" s="25"/>
      <c r="JX57" s="25"/>
      <c r="JY57" s="25"/>
      <c r="JZ57" s="25"/>
      <c r="KA57" s="110"/>
      <c r="KB57" s="110"/>
      <c r="KC57" s="25"/>
      <c r="KD57" s="25"/>
      <c r="KE57" s="25"/>
      <c r="KF57" s="25"/>
      <c r="KG57" s="25"/>
      <c r="KH57" s="110"/>
      <c r="KI57" s="110"/>
      <c r="KJ57" s="25"/>
      <c r="KK57" s="25"/>
      <c r="KL57" s="25"/>
      <c r="KM57" s="25"/>
      <c r="KN57" s="25"/>
      <c r="KO57" s="110"/>
      <c r="KP57" s="110"/>
      <c r="KQ57" s="25"/>
      <c r="KR57" s="25"/>
      <c r="KS57" s="25"/>
      <c r="KT57" s="25"/>
      <c r="KU57" s="25"/>
      <c r="KV57" s="110"/>
      <c r="KW57" s="110"/>
      <c r="KX57" s="25"/>
      <c r="KY57" s="25"/>
      <c r="KZ57" s="25"/>
      <c r="LA57" s="25"/>
      <c r="LB57" s="25"/>
      <c r="LC57" s="110"/>
      <c r="LD57" s="110"/>
      <c r="LE57" s="25"/>
      <c r="LF57" s="25"/>
      <c r="LG57" s="110" t="s">
        <v>445</v>
      </c>
      <c r="LH57" s="25"/>
      <c r="LI57" s="25"/>
      <c r="LJ57" s="110"/>
      <c r="LK57" s="110"/>
      <c r="LL57" s="25"/>
      <c r="LM57" s="25"/>
      <c r="LN57" s="25"/>
      <c r="LO57" s="25"/>
      <c r="LP57" s="25"/>
      <c r="LQ57" s="110"/>
      <c r="LR57" s="110"/>
      <c r="LS57" s="25"/>
      <c r="LT57" s="25"/>
      <c r="LU57" s="25"/>
      <c r="LV57" s="25"/>
      <c r="LW57" s="25"/>
      <c r="LX57" s="110"/>
      <c r="LY57" s="110"/>
      <c r="LZ57" s="25"/>
      <c r="MA57" s="25"/>
      <c r="MB57" s="25"/>
      <c r="MC57" s="25"/>
      <c r="MD57" s="25"/>
      <c r="ME57" s="110"/>
      <c r="MF57" s="110"/>
      <c r="MG57" s="25"/>
      <c r="MH57" s="25"/>
      <c r="MI57" s="25"/>
      <c r="MJ57" s="25"/>
      <c r="MK57" s="25"/>
      <c r="ML57" s="110"/>
      <c r="MM57" s="110"/>
      <c r="MN57" s="25"/>
      <c r="MO57" s="25"/>
      <c r="MP57" s="25"/>
      <c r="MQ57" s="25"/>
      <c r="MR57" s="25"/>
      <c r="MS57" s="110"/>
      <c r="MT57" s="110"/>
      <c r="MU57" s="25"/>
      <c r="MV57" s="25"/>
      <c r="MW57" s="25"/>
      <c r="MX57" s="25"/>
      <c r="MY57" s="25"/>
      <c r="MZ57" s="110"/>
      <c r="NA57" s="110"/>
      <c r="NB57" s="25"/>
      <c r="NC57" s="25"/>
      <c r="ND57" s="25"/>
      <c r="NE57" s="129"/>
      <c r="NF57" s="111"/>
      <c r="NG57" s="8">
        <f t="shared" si="45"/>
        <v>16</v>
      </c>
      <c r="NH57" s="351" cm="1">
        <f t="array" ref="NH57">NETWORKDAYS($I$2,$AH$2)- SUM(COUNTIF(I57:AH57,{"I";"F";"CP";"R";"P";"AC";"AM"}))</f>
        <v>17</v>
      </c>
      <c r="NI57" s="138">
        <f t="shared" si="12"/>
        <v>0.94117647058823528</v>
      </c>
      <c r="NJ57" s="8">
        <f t="shared" si="46"/>
        <v>14</v>
      </c>
      <c r="NK57" s="351" cm="1">
        <f t="array" ref="NK57">NETWORKDAYS($AJ$2,$BK$2)- SUM(COUNTIF(AJ57:BK57,{"I";"F";"CP";"R";"P";"AC";"AM"}))</f>
        <v>14</v>
      </c>
      <c r="NL57" s="138">
        <f t="shared" si="13"/>
        <v>1</v>
      </c>
      <c r="NM57" s="8">
        <f t="shared" si="47"/>
        <v>22</v>
      </c>
      <c r="NN57" s="351" cm="1">
        <f t="array" ref="NN57">NETWORKDAYS($BL$2,$CP$2)- SUM(COUNTIF(BL57:CP57,{"I";"F";"CP";"R";"P";"AC";"AM"}))</f>
        <v>22</v>
      </c>
      <c r="NO57" s="138">
        <f t="shared" si="14"/>
        <v>1</v>
      </c>
      <c r="NP57" s="8">
        <f t="shared" si="48"/>
        <v>16</v>
      </c>
      <c r="NQ57" s="351" cm="1">
        <f t="array" ref="NQ57">NETWORKDAYS($CQ$2,$DT$2,$CV$2)- SUM(COUNTIF(CQ57:DT57,{"I";"F";"CP";"R";"P";"AC";"AM"}))</f>
        <v>21</v>
      </c>
      <c r="NR57" s="138">
        <f t="shared" si="15"/>
        <v>0.76190476190476186</v>
      </c>
      <c r="NS57" s="8">
        <f t="shared" si="49"/>
        <v>0</v>
      </c>
      <c r="NT57" s="351" cm="1">
        <f t="array" ref="NT57">NETWORKDAYS($DV$2,$EY$2)-SUM(COUNTIF(DV57:EY57,{"I";"F";"CP";"R";"P";"AC";"AM"}))</f>
        <v>16</v>
      </c>
      <c r="NU57" s="138">
        <f t="shared" si="16"/>
        <v>0</v>
      </c>
      <c r="NV57" s="8">
        <f t="shared" si="50"/>
        <v>0</v>
      </c>
      <c r="NW57" s="351" cm="1">
        <f t="array" ref="NW57">NETWORKDAYS($EZ$2,$GC$2)-SUM(COUNTIF(EZ57:GC57,{"I";"F";"CP";"R";"P";"AC";"AM"}))</f>
        <v>22</v>
      </c>
      <c r="NX57" s="138">
        <f t="shared" si="51"/>
        <v>0</v>
      </c>
      <c r="NY57" s="8">
        <f t="shared" si="52"/>
        <v>0</v>
      </c>
      <c r="NZ57" s="351" cm="1">
        <f t="array" ref="NZ57">NETWORKDAYS($GD$2,$HH$2,$GQ$2)-SUM(COUNTIF(GD57:HH57,{"I";"F";"CP";"R";"P";"AC";"AM"}))</f>
        <v>21</v>
      </c>
      <c r="OA57" s="138">
        <f t="shared" si="53"/>
        <v>0</v>
      </c>
      <c r="OB57" s="8">
        <f t="shared" si="54"/>
        <v>0</v>
      </c>
      <c r="OC57" s="351" cm="1">
        <f t="array" ref="OC57">NETWORKDAYS($HI$2,$IM$2)-SUM(COUNTIF(HI57:IM57,{"I";"F";"CP";"R";"P";"AC";"AM"}))</f>
        <v>21</v>
      </c>
      <c r="OD57" s="138">
        <f t="shared" si="55"/>
        <v>0</v>
      </c>
      <c r="OE57" s="8">
        <f t="shared" si="56"/>
        <v>0</v>
      </c>
      <c r="OF57" s="351" cm="1">
        <f t="array" ref="OF57">NETWORKDAYS($IN$2,$JQ$2)-SUM(COUNTIF(IN57:JQ57,{"I";"F";"CP";"R";"P";"AC";"AM"}))</f>
        <v>22</v>
      </c>
      <c r="OG57" s="138">
        <f t="shared" si="57"/>
        <v>0</v>
      </c>
      <c r="OH57" s="8">
        <f t="shared" si="58"/>
        <v>0</v>
      </c>
      <c r="OI57" s="351" cm="1">
        <f t="array" ref="OI57">NETWORKDAYS($JR$2,$KV$2)-SUM(COUNTIF(JR57:KV57,{"I";"F";"CP";"R";"P";"AC";"AM"}))</f>
        <v>22</v>
      </c>
      <c r="OJ57" s="138">
        <f t="shared" si="59"/>
        <v>0</v>
      </c>
      <c r="OK57" s="8">
        <f t="shared" si="60"/>
        <v>0</v>
      </c>
      <c r="OL57" s="351" cm="1">
        <f t="array" ref="OL57">NETWORKDAYS($KW$2,$LZ$2,$LG$2)-SUM(COUNTIF(KW57:LZ57,{"I";"F";"CP";"R";"P";"AC";"AM"}))</f>
        <v>19</v>
      </c>
      <c r="OM57" s="138">
        <f t="shared" si="61"/>
        <v>0</v>
      </c>
      <c r="ON57" s="8">
        <f t="shared" si="62"/>
        <v>0</v>
      </c>
      <c r="OO57" s="351" cm="1">
        <f t="array" ref="OO57">NETWORKDAYS($MA$2,$MR$2)-SUM(COUNTIF(MA57:MR57,{"I";"F";"CP";"R";"P";"AC";"AM"}))</f>
        <v>14</v>
      </c>
      <c r="OP57" s="138">
        <f t="shared" si="63"/>
        <v>0</v>
      </c>
      <c r="OQ57" s="94">
        <f t="shared" si="64"/>
        <v>68</v>
      </c>
      <c r="OR57" s="94">
        <f t="shared" si="65"/>
        <v>231</v>
      </c>
      <c r="OS57" s="138">
        <f t="shared" si="66"/>
        <v>0.2943722943722944</v>
      </c>
    </row>
    <row r="58" spans="1:409" ht="18" hidden="1" customHeight="1" x14ac:dyDescent="0.25">
      <c r="A58" s="95" t="s">
        <v>164</v>
      </c>
      <c r="B58" s="95" t="s">
        <v>34</v>
      </c>
      <c r="C58" s="89" t="s">
        <v>166</v>
      </c>
      <c r="D58" s="89" t="s">
        <v>92</v>
      </c>
      <c r="E58" s="128"/>
      <c r="F58" s="110"/>
      <c r="G58" s="110"/>
      <c r="H58" s="110"/>
      <c r="I58" s="25"/>
      <c r="J58" s="25"/>
      <c r="K58" s="25"/>
      <c r="L58" s="25"/>
      <c r="M58" s="25"/>
      <c r="N58" s="110"/>
      <c r="O58" s="110"/>
      <c r="P58" s="25"/>
      <c r="Q58" s="25"/>
      <c r="R58" s="25">
        <v>1</v>
      </c>
      <c r="S58" s="25"/>
      <c r="T58" s="25"/>
      <c r="U58" s="110"/>
      <c r="V58" s="110"/>
      <c r="W58" s="25">
        <v>1</v>
      </c>
      <c r="X58" s="25"/>
      <c r="Y58" s="25"/>
      <c r="Z58" s="25">
        <v>1</v>
      </c>
      <c r="AA58" s="25"/>
      <c r="AB58" s="110"/>
      <c r="AC58" s="110"/>
      <c r="AD58" s="25"/>
      <c r="AE58" s="25">
        <v>1</v>
      </c>
      <c r="AF58" s="25"/>
      <c r="AG58" s="25">
        <v>1</v>
      </c>
      <c r="AH58" s="25">
        <v>1</v>
      </c>
      <c r="AI58" s="110"/>
      <c r="AJ58" s="110"/>
      <c r="AK58" s="25"/>
      <c r="AL58" s="25"/>
      <c r="AM58" s="25">
        <v>1</v>
      </c>
      <c r="AN58" s="25">
        <v>1</v>
      </c>
      <c r="AO58" s="25">
        <v>1</v>
      </c>
      <c r="AP58" s="110"/>
      <c r="AQ58" s="110"/>
      <c r="AR58" s="25">
        <v>1</v>
      </c>
      <c r="AS58" s="25">
        <v>1</v>
      </c>
      <c r="AT58" s="25">
        <v>1</v>
      </c>
      <c r="AV58" s="25">
        <v>1</v>
      </c>
      <c r="AW58" s="110"/>
      <c r="AX58" s="110"/>
      <c r="AY58" s="25"/>
      <c r="AZ58" s="25">
        <v>1</v>
      </c>
      <c r="BA58" s="25">
        <v>1</v>
      </c>
      <c r="BB58" s="25">
        <v>1</v>
      </c>
      <c r="BC58" s="25">
        <v>1</v>
      </c>
      <c r="BD58" s="110"/>
      <c r="BE58" s="110"/>
      <c r="BF58" s="25"/>
      <c r="BG58" s="25"/>
      <c r="BH58" s="25"/>
      <c r="BI58" s="25"/>
      <c r="BJ58" s="25"/>
      <c r="BK58" s="110"/>
      <c r="BL58" s="110"/>
      <c r="BM58" s="25"/>
      <c r="BN58" s="25"/>
      <c r="BO58" s="25"/>
      <c r="BP58" s="25"/>
      <c r="BQ58" s="25"/>
      <c r="BR58" s="110"/>
      <c r="BS58" s="110"/>
      <c r="BT58" s="25"/>
      <c r="BU58" s="25"/>
      <c r="BV58" s="25"/>
      <c r="BW58" s="25"/>
      <c r="BX58" s="25">
        <v>1</v>
      </c>
      <c r="BY58" s="110"/>
      <c r="BZ58" s="110"/>
      <c r="CA58" s="25"/>
      <c r="CB58" s="25"/>
      <c r="CC58" s="25"/>
      <c r="CD58" s="25"/>
      <c r="CE58" s="25"/>
      <c r="CF58" s="110"/>
      <c r="CG58" s="110"/>
      <c r="CH58" s="25"/>
      <c r="CI58" s="25">
        <v>1</v>
      </c>
      <c r="CJ58" s="25">
        <v>1</v>
      </c>
      <c r="CK58" s="25">
        <v>1</v>
      </c>
      <c r="CL58" s="25"/>
      <c r="CM58" s="110"/>
      <c r="CN58" s="110"/>
      <c r="CO58" s="25"/>
      <c r="CP58" s="25"/>
      <c r="CQ58" s="25"/>
      <c r="CR58" s="25">
        <v>1</v>
      </c>
      <c r="CS58" s="25">
        <v>1</v>
      </c>
      <c r="CT58" s="110"/>
      <c r="CU58" s="110"/>
      <c r="CV58" s="110"/>
      <c r="CW58" s="25"/>
      <c r="CX58" s="25">
        <v>1</v>
      </c>
      <c r="CY58" s="25">
        <v>1</v>
      </c>
      <c r="CZ58" s="25"/>
      <c r="DA58" s="110"/>
      <c r="DB58" s="110"/>
      <c r="DC58" s="25"/>
      <c r="DD58" s="25"/>
      <c r="DE58" s="25"/>
      <c r="DF58" s="25"/>
      <c r="DG58" s="25"/>
      <c r="DH58" s="110"/>
      <c r="DI58" s="110"/>
      <c r="DJ58" s="25"/>
      <c r="DK58" s="25"/>
      <c r="DL58" s="25"/>
      <c r="DM58" s="25"/>
      <c r="DN58" s="25"/>
      <c r="DO58" s="110"/>
      <c r="DP58" s="110"/>
      <c r="DQ58" s="25"/>
      <c r="DR58" s="25"/>
      <c r="DS58" s="25"/>
      <c r="DT58" s="25"/>
      <c r="DU58" s="110" t="s">
        <v>445</v>
      </c>
      <c r="DV58" s="110"/>
      <c r="DW58" s="110"/>
      <c r="DX58" s="25"/>
      <c r="DY58" s="25"/>
      <c r="DZ58" s="25"/>
      <c r="EA58" s="25"/>
      <c r="EB58" s="110" t="s">
        <v>445</v>
      </c>
      <c r="EC58" s="110"/>
      <c r="ED58" s="110"/>
      <c r="EE58" s="25"/>
      <c r="EF58" s="25"/>
      <c r="EG58" s="25"/>
      <c r="EH58" s="110" t="s">
        <v>445</v>
      </c>
      <c r="EI58" s="110" t="s">
        <v>445</v>
      </c>
      <c r="EJ58" s="110"/>
      <c r="EK58" s="110"/>
      <c r="EL58" s="25"/>
      <c r="EM58" s="25"/>
      <c r="EN58" s="25"/>
      <c r="EO58" s="25"/>
      <c r="EP58" s="25"/>
      <c r="EQ58" s="110"/>
      <c r="ER58" s="110"/>
      <c r="ES58" s="110" t="s">
        <v>445</v>
      </c>
      <c r="ET58" s="25"/>
      <c r="EU58" s="25"/>
      <c r="EV58" s="25"/>
      <c r="EW58" s="25"/>
      <c r="EX58" s="110"/>
      <c r="EY58" s="110"/>
      <c r="EZ58" s="25"/>
      <c r="FA58" s="25"/>
      <c r="FB58" s="25"/>
      <c r="FC58" s="25"/>
      <c r="FD58" s="25"/>
      <c r="FE58" s="110"/>
      <c r="FF58" s="110"/>
      <c r="FG58" s="25"/>
      <c r="FH58" s="25"/>
      <c r="FI58" s="25"/>
      <c r="FJ58" s="25"/>
      <c r="FK58" s="25"/>
      <c r="FL58" s="110"/>
      <c r="FM58" s="110"/>
      <c r="FN58" s="25"/>
      <c r="FO58" s="25"/>
      <c r="FP58" s="25"/>
      <c r="FQ58" s="25"/>
      <c r="FR58" s="25"/>
      <c r="FS58" s="110"/>
      <c r="FT58" s="110"/>
      <c r="FU58" s="25"/>
      <c r="FV58" s="25"/>
      <c r="FW58" s="25"/>
      <c r="FX58" s="25"/>
      <c r="FY58" s="25"/>
      <c r="FZ58" s="110"/>
      <c r="GA58" s="110"/>
      <c r="GB58" s="25"/>
      <c r="GC58" s="25"/>
      <c r="GD58" s="25"/>
      <c r="GE58" s="25"/>
      <c r="GF58" s="25"/>
      <c r="GG58" s="110"/>
      <c r="GH58" s="110"/>
      <c r="GI58" s="25"/>
      <c r="GJ58" s="25"/>
      <c r="GK58" s="25"/>
      <c r="GL58" s="25"/>
      <c r="GM58" s="25"/>
      <c r="GN58" s="110"/>
      <c r="GO58" s="110"/>
      <c r="GP58" s="110" t="s">
        <v>445</v>
      </c>
      <c r="GQ58" s="110"/>
      <c r="GR58" s="25"/>
      <c r="GS58" s="25"/>
      <c r="GT58" s="25"/>
      <c r="GU58" s="110"/>
      <c r="GV58" s="110"/>
      <c r="GW58" s="25"/>
      <c r="GX58" s="25"/>
      <c r="GY58" s="25"/>
      <c r="GZ58" s="25"/>
      <c r="HA58" s="25"/>
      <c r="HB58" s="110"/>
      <c r="HC58" s="110"/>
      <c r="HD58" s="25"/>
      <c r="HE58" s="25"/>
      <c r="HF58" s="25"/>
      <c r="HG58" s="25"/>
      <c r="HH58" s="25"/>
      <c r="HI58" s="110"/>
      <c r="HJ58" s="110"/>
      <c r="HK58" s="25"/>
      <c r="HL58" s="25"/>
      <c r="HM58" s="25"/>
      <c r="HN58" s="25"/>
      <c r="HO58" s="25"/>
      <c r="HP58" s="110"/>
      <c r="HQ58" s="110"/>
      <c r="HR58" s="25"/>
      <c r="HS58" s="25"/>
      <c r="HT58" s="25"/>
      <c r="HU58" s="25"/>
      <c r="HV58" s="25"/>
      <c r="HW58" s="110"/>
      <c r="HX58" s="110"/>
      <c r="HY58" s="25"/>
      <c r="HZ58" s="25"/>
      <c r="IA58" s="25"/>
      <c r="IB58" s="25"/>
      <c r="IC58" s="25"/>
      <c r="ID58" s="110"/>
      <c r="IE58" s="110"/>
      <c r="IF58" s="25"/>
      <c r="IG58" s="25"/>
      <c r="IH58" s="25"/>
      <c r="II58" s="25"/>
      <c r="IJ58" s="25"/>
      <c r="IK58" s="110"/>
      <c r="IL58" s="110"/>
      <c r="IM58" s="25"/>
      <c r="IN58" s="25"/>
      <c r="IO58" s="25"/>
      <c r="IP58" s="25"/>
      <c r="IQ58" s="25"/>
      <c r="IR58" s="110"/>
      <c r="IS58" s="110"/>
      <c r="IT58" s="25"/>
      <c r="IU58" s="25"/>
      <c r="IV58" s="25"/>
      <c r="IW58" s="25"/>
      <c r="IX58" s="25"/>
      <c r="IY58" s="110"/>
      <c r="IZ58" s="110"/>
      <c r="JA58" s="25"/>
      <c r="JB58" s="25"/>
      <c r="JC58" s="25"/>
      <c r="JD58" s="25"/>
      <c r="JE58" s="25"/>
      <c r="JF58" s="110"/>
      <c r="JG58" s="110"/>
      <c r="JH58" s="25"/>
      <c r="JI58" s="25"/>
      <c r="JJ58" s="25"/>
      <c r="JK58" s="25"/>
      <c r="JL58" s="25"/>
      <c r="JM58" s="110"/>
      <c r="JN58" s="110"/>
      <c r="JO58" s="25"/>
      <c r="JP58" s="25"/>
      <c r="JQ58" s="25"/>
      <c r="JR58" s="25"/>
      <c r="JS58" s="25"/>
      <c r="JT58" s="110"/>
      <c r="JU58" s="110"/>
      <c r="JV58" s="25"/>
      <c r="JW58" s="25"/>
      <c r="JX58" s="25"/>
      <c r="JY58" s="25"/>
      <c r="JZ58" s="25"/>
      <c r="KA58" s="110"/>
      <c r="KB58" s="110"/>
      <c r="KC58" s="25"/>
      <c r="KD58" s="25"/>
      <c r="KE58" s="25"/>
      <c r="KF58" s="25"/>
      <c r="KG58" s="25"/>
      <c r="KH58" s="110"/>
      <c r="KI58" s="110"/>
      <c r="KJ58" s="25"/>
      <c r="KK58" s="25"/>
      <c r="KL58" s="25"/>
      <c r="KM58" s="25"/>
      <c r="KN58" s="25"/>
      <c r="KO58" s="110"/>
      <c r="KP58" s="110"/>
      <c r="KQ58" s="25"/>
      <c r="KR58" s="25"/>
      <c r="KS58" s="25"/>
      <c r="KT58" s="25"/>
      <c r="KU58" s="25"/>
      <c r="KV58" s="110"/>
      <c r="KW58" s="110"/>
      <c r="KX58" s="25"/>
      <c r="KY58" s="25"/>
      <c r="KZ58" s="25"/>
      <c r="LA58" s="25"/>
      <c r="LB58" s="25"/>
      <c r="LC58" s="110"/>
      <c r="LD58" s="110"/>
      <c r="LE58" s="25"/>
      <c r="LF58" s="25"/>
      <c r="LG58" s="110" t="s">
        <v>445</v>
      </c>
      <c r="LH58" s="25"/>
      <c r="LI58" s="25"/>
      <c r="LJ58" s="110"/>
      <c r="LK58" s="110"/>
      <c r="LL58" s="25"/>
      <c r="LM58" s="25"/>
      <c r="LN58" s="25"/>
      <c r="LO58" s="25"/>
      <c r="LP58" s="25"/>
      <c r="LQ58" s="110"/>
      <c r="LR58" s="110"/>
      <c r="LS58" s="25"/>
      <c r="LT58" s="25"/>
      <c r="LU58" s="25"/>
      <c r="LV58" s="25"/>
      <c r="LW58" s="25"/>
      <c r="LX58" s="110"/>
      <c r="LY58" s="110"/>
      <c r="LZ58" s="25"/>
      <c r="MA58" s="25"/>
      <c r="MB58" s="25"/>
      <c r="MC58" s="25"/>
      <c r="MD58" s="25"/>
      <c r="ME58" s="110"/>
      <c r="MF58" s="110"/>
      <c r="MG58" s="25"/>
      <c r="MH58" s="25"/>
      <c r="MI58" s="25"/>
      <c r="MJ58" s="25"/>
      <c r="MK58" s="25"/>
      <c r="ML58" s="110"/>
      <c r="MM58" s="110"/>
      <c r="MN58" s="25"/>
      <c r="MO58" s="25"/>
      <c r="MP58" s="25"/>
      <c r="MQ58" s="25"/>
      <c r="MR58" s="25"/>
      <c r="MS58" s="110"/>
      <c r="MT58" s="110"/>
      <c r="MU58" s="25"/>
      <c r="MV58" s="25"/>
      <c r="MW58" s="25"/>
      <c r="MX58" s="25"/>
      <c r="MY58" s="25"/>
      <c r="MZ58" s="110"/>
      <c r="NA58" s="110"/>
      <c r="NB58" s="25"/>
      <c r="NC58" s="25"/>
      <c r="ND58" s="25"/>
      <c r="NE58" s="129"/>
      <c r="NF58" s="111"/>
      <c r="NG58" s="8">
        <f t="shared" si="45"/>
        <v>6</v>
      </c>
      <c r="NH58" s="351" cm="1">
        <f t="array" ref="NH58">NETWORKDAYS($I$2,$AH$2)- SUM(COUNTIF(I58:AH58,{"I";"F";"CP";"R";"P";"AC";"AM"}))</f>
        <v>20</v>
      </c>
      <c r="NI58" s="138">
        <f t="shared" si="12"/>
        <v>0.3</v>
      </c>
      <c r="NJ58" s="8">
        <f t="shared" si="46"/>
        <v>11</v>
      </c>
      <c r="NK58" s="351" cm="1">
        <f t="array" ref="NK58">NETWORKDAYS($AJ$2,$BK$2)- SUM(COUNTIF(AJ58:BK58,{"I";"F";"CP";"R";"P";"AC";"AM"}))</f>
        <v>20</v>
      </c>
      <c r="NL58" s="138">
        <f t="shared" si="13"/>
        <v>0.55000000000000004</v>
      </c>
      <c r="NM58" s="8">
        <f t="shared" si="47"/>
        <v>4</v>
      </c>
      <c r="NN58" s="351" cm="1">
        <f t="array" ref="NN58">NETWORKDAYS($BL$2,$CP$2)- SUM(COUNTIF(BL58:CP58,{"I";"F";"CP";"R";"P";"AC";"AM"}))</f>
        <v>22</v>
      </c>
      <c r="NO58" s="138">
        <f t="shared" si="14"/>
        <v>0.18181818181818182</v>
      </c>
      <c r="NP58" s="8">
        <f t="shared" si="48"/>
        <v>4</v>
      </c>
      <c r="NQ58" s="351" cm="1">
        <f t="array" ref="NQ58">NETWORKDAYS($CQ$2,$DT$2,$CV$2)- SUM(COUNTIF(CQ58:DT58,{"I";"F";"CP";"R";"P";"AC";"AM"}))</f>
        <v>21</v>
      </c>
      <c r="NR58" s="138">
        <f t="shared" si="15"/>
        <v>0.19047619047619047</v>
      </c>
      <c r="NS58" s="8">
        <f t="shared" si="49"/>
        <v>0</v>
      </c>
      <c r="NT58" s="351" cm="1">
        <f t="array" ref="NT58">NETWORKDAYS($DV$2,$EY$2)-SUM(COUNTIF(DV58:EY58,{"I";"F";"CP";"R";"P";"AC";"AM"}))</f>
        <v>16</v>
      </c>
      <c r="NU58" s="138">
        <f t="shared" si="16"/>
        <v>0</v>
      </c>
      <c r="NV58" s="8">
        <f t="shared" si="50"/>
        <v>0</v>
      </c>
      <c r="NW58" s="351" cm="1">
        <f t="array" ref="NW58">NETWORKDAYS($EZ$2,$GC$2)-SUM(COUNTIF(EZ58:GC58,{"I";"F";"CP";"R";"P";"AC";"AM"}))</f>
        <v>22</v>
      </c>
      <c r="NX58" s="138">
        <f t="shared" si="51"/>
        <v>0</v>
      </c>
      <c r="NY58" s="8">
        <f t="shared" si="52"/>
        <v>0</v>
      </c>
      <c r="NZ58" s="351" cm="1">
        <f t="array" ref="NZ58">NETWORKDAYS($GD$2,$HH$2,$GQ$2)-SUM(COUNTIF(GD58:HH58,{"I";"F";"CP";"R";"P";"AC";"AM"}))</f>
        <v>21</v>
      </c>
      <c r="OA58" s="138">
        <f t="shared" si="53"/>
        <v>0</v>
      </c>
      <c r="OB58" s="8">
        <f t="shared" si="54"/>
        <v>0</v>
      </c>
      <c r="OC58" s="351" cm="1">
        <f t="array" ref="OC58">NETWORKDAYS($HI$2,$IM$2)-SUM(COUNTIF(HI58:IM58,{"I";"F";"CP";"R";"P";"AC";"AM"}))</f>
        <v>21</v>
      </c>
      <c r="OD58" s="138">
        <f t="shared" si="55"/>
        <v>0</v>
      </c>
      <c r="OE58" s="8">
        <f t="shared" si="56"/>
        <v>0</v>
      </c>
      <c r="OF58" s="351" cm="1">
        <f t="array" ref="OF58">NETWORKDAYS($IN$2,$JQ$2)-SUM(COUNTIF(IN58:JQ58,{"I";"F";"CP";"R";"P";"AC";"AM"}))</f>
        <v>22</v>
      </c>
      <c r="OG58" s="138">
        <f t="shared" si="57"/>
        <v>0</v>
      </c>
      <c r="OH58" s="8">
        <f t="shared" si="58"/>
        <v>0</v>
      </c>
      <c r="OI58" s="351" cm="1">
        <f t="array" ref="OI58">NETWORKDAYS($JR$2,$KV$2)-SUM(COUNTIF(JR58:KV58,{"I";"F";"CP";"R";"P";"AC";"AM"}))</f>
        <v>22</v>
      </c>
      <c r="OJ58" s="138">
        <f t="shared" si="59"/>
        <v>0</v>
      </c>
      <c r="OK58" s="8">
        <f t="shared" si="60"/>
        <v>0</v>
      </c>
      <c r="OL58" s="351" cm="1">
        <f t="array" ref="OL58">NETWORKDAYS($KW$2,$LZ$2,$LG$2)-SUM(COUNTIF(KW58:LZ58,{"I";"F";"CP";"R";"P";"AC";"AM"}))</f>
        <v>19</v>
      </c>
      <c r="OM58" s="138">
        <f t="shared" si="61"/>
        <v>0</v>
      </c>
      <c r="ON58" s="8">
        <f t="shared" si="62"/>
        <v>0</v>
      </c>
      <c r="OO58" s="351" cm="1">
        <f t="array" ref="OO58">NETWORKDAYS($MA$2,$MR$2)-SUM(COUNTIF(MA58:MR58,{"I";"F";"CP";"R";"P";"AC";"AM"}))</f>
        <v>14</v>
      </c>
      <c r="OP58" s="138">
        <f t="shared" si="63"/>
        <v>0</v>
      </c>
      <c r="OQ58" s="94">
        <f t="shared" si="64"/>
        <v>25</v>
      </c>
      <c r="OR58" s="94">
        <f t="shared" si="65"/>
        <v>240</v>
      </c>
      <c r="OS58" s="138">
        <f t="shared" si="66"/>
        <v>0.10416666666666667</v>
      </c>
    </row>
    <row r="59" spans="1:409" ht="18" hidden="1" customHeight="1" x14ac:dyDescent="0.25">
      <c r="A59" s="93" t="s">
        <v>54</v>
      </c>
      <c r="B59" s="95" t="s">
        <v>230</v>
      </c>
      <c r="C59" s="89" t="s">
        <v>160</v>
      </c>
      <c r="D59" s="89" t="s">
        <v>231</v>
      </c>
      <c r="E59" s="128"/>
      <c r="F59" s="110"/>
      <c r="G59" s="110"/>
      <c r="H59" s="110"/>
      <c r="I59" s="25" t="s">
        <v>208</v>
      </c>
      <c r="J59" s="25" t="s">
        <v>208</v>
      </c>
      <c r="K59" s="25" t="s">
        <v>208</v>
      </c>
      <c r="L59" s="25" t="s">
        <v>208</v>
      </c>
      <c r="M59" s="25" t="s">
        <v>208</v>
      </c>
      <c r="N59" s="110"/>
      <c r="O59" s="110"/>
      <c r="P59" s="25" t="s">
        <v>208</v>
      </c>
      <c r="Q59" s="25" t="s">
        <v>208</v>
      </c>
      <c r="R59" s="25" t="s">
        <v>208</v>
      </c>
      <c r="S59" s="25" t="s">
        <v>208</v>
      </c>
      <c r="T59" s="25" t="s">
        <v>208</v>
      </c>
      <c r="U59" s="110"/>
      <c r="V59" s="110"/>
      <c r="W59" s="25" t="s">
        <v>208</v>
      </c>
      <c r="X59" s="25" t="s">
        <v>208</v>
      </c>
      <c r="Y59" s="25" t="s">
        <v>208</v>
      </c>
      <c r="Z59" s="25" t="s">
        <v>208</v>
      </c>
      <c r="AA59" s="25" t="s">
        <v>208</v>
      </c>
      <c r="AB59" s="110"/>
      <c r="AC59" s="110"/>
      <c r="AD59" s="25" t="s">
        <v>208</v>
      </c>
      <c r="AE59" s="25" t="s">
        <v>208</v>
      </c>
      <c r="AF59" s="25" t="s">
        <v>208</v>
      </c>
      <c r="AG59" s="25" t="s">
        <v>208</v>
      </c>
      <c r="AH59" s="25" t="s">
        <v>208</v>
      </c>
      <c r="AI59" s="110"/>
      <c r="AJ59" s="110"/>
      <c r="AK59" s="25" t="s">
        <v>208</v>
      </c>
      <c r="AL59" s="25" t="s">
        <v>208</v>
      </c>
      <c r="AM59" s="25" t="s">
        <v>208</v>
      </c>
      <c r="AN59" s="25" t="s">
        <v>208</v>
      </c>
      <c r="AO59" s="25" t="s">
        <v>208</v>
      </c>
      <c r="AP59" s="110"/>
      <c r="AQ59" s="110"/>
      <c r="AR59" s="25" t="s">
        <v>208</v>
      </c>
      <c r="AS59" s="25" t="s">
        <v>208</v>
      </c>
      <c r="AT59" s="25" t="s">
        <v>208</v>
      </c>
      <c r="AV59" s="25" t="s">
        <v>208</v>
      </c>
      <c r="AW59" s="110"/>
      <c r="AX59" s="110"/>
      <c r="AY59" s="25" t="s">
        <v>208</v>
      </c>
      <c r="AZ59" s="25" t="s">
        <v>208</v>
      </c>
      <c r="BA59" s="25" t="s">
        <v>208</v>
      </c>
      <c r="BB59" s="25" t="s">
        <v>208</v>
      </c>
      <c r="BC59" s="25" t="s">
        <v>208</v>
      </c>
      <c r="BD59" s="110"/>
      <c r="BE59" s="110"/>
      <c r="BF59" s="25" t="s">
        <v>208</v>
      </c>
      <c r="BG59" s="25" t="s">
        <v>208</v>
      </c>
      <c r="BH59" s="25" t="s">
        <v>208</v>
      </c>
      <c r="BI59" s="25" t="s">
        <v>208</v>
      </c>
      <c r="BJ59" s="25" t="s">
        <v>208</v>
      </c>
      <c r="BK59" s="110"/>
      <c r="BL59" s="110"/>
      <c r="BM59" s="25" t="s">
        <v>208</v>
      </c>
      <c r="BN59" s="25" t="s">
        <v>208</v>
      </c>
      <c r="BO59" s="25" t="s">
        <v>208</v>
      </c>
      <c r="BP59" s="25" t="s">
        <v>208</v>
      </c>
      <c r="BQ59" s="25" t="s">
        <v>208</v>
      </c>
      <c r="BR59" s="110"/>
      <c r="BS59" s="110"/>
      <c r="BT59" s="25" t="s">
        <v>208</v>
      </c>
      <c r="BU59" s="25" t="s">
        <v>208</v>
      </c>
      <c r="BV59" s="25" t="s">
        <v>208</v>
      </c>
      <c r="BW59" s="25" t="s">
        <v>208</v>
      </c>
      <c r="BX59" s="25">
        <v>1</v>
      </c>
      <c r="BY59" s="110"/>
      <c r="BZ59" s="110"/>
      <c r="CA59" s="25" t="s">
        <v>208</v>
      </c>
      <c r="CB59" s="25" t="s">
        <v>208</v>
      </c>
      <c r="CC59" s="25">
        <v>1</v>
      </c>
      <c r="CD59" s="25" t="s">
        <v>208</v>
      </c>
      <c r="CE59" s="25" t="s">
        <v>208</v>
      </c>
      <c r="CF59" s="110"/>
      <c r="CG59" s="110"/>
      <c r="CH59" s="25" t="s">
        <v>208</v>
      </c>
      <c r="CI59" s="25" t="s">
        <v>208</v>
      </c>
      <c r="CJ59" s="25" t="s">
        <v>208</v>
      </c>
      <c r="CK59" s="25" t="s">
        <v>208</v>
      </c>
      <c r="CL59" s="25" t="s">
        <v>208</v>
      </c>
      <c r="CM59" s="110"/>
      <c r="CN59" s="110"/>
      <c r="CO59" s="25" t="s">
        <v>208</v>
      </c>
      <c r="CP59" s="25" t="s">
        <v>208</v>
      </c>
      <c r="CQ59" s="25" t="s">
        <v>208</v>
      </c>
      <c r="CR59" s="25" t="s">
        <v>208</v>
      </c>
      <c r="CS59" s="25" t="s">
        <v>208</v>
      </c>
      <c r="CT59" s="110"/>
      <c r="CU59" s="110"/>
      <c r="CV59" s="110"/>
      <c r="CW59" s="25" t="s">
        <v>208</v>
      </c>
      <c r="CX59" s="25" t="s">
        <v>208</v>
      </c>
      <c r="CY59" s="25" t="s">
        <v>208</v>
      </c>
      <c r="CZ59" s="25" t="s">
        <v>208</v>
      </c>
      <c r="DA59" s="110"/>
      <c r="DB59" s="110"/>
      <c r="DC59" s="25"/>
      <c r="DD59" s="25"/>
      <c r="DE59" s="25">
        <v>1</v>
      </c>
      <c r="DF59" s="25"/>
      <c r="DG59" s="25"/>
      <c r="DH59" s="110"/>
      <c r="DI59" s="110"/>
      <c r="DJ59" s="25"/>
      <c r="DK59" s="25">
        <v>1</v>
      </c>
      <c r="DL59" s="25"/>
      <c r="DM59" s="25"/>
      <c r="DN59" s="25"/>
      <c r="DO59" s="110"/>
      <c r="DP59" s="110"/>
      <c r="DQ59" s="25"/>
      <c r="DR59" s="25"/>
      <c r="DS59" s="25"/>
      <c r="DT59" s="25"/>
      <c r="DU59" s="110" t="s">
        <v>445</v>
      </c>
      <c r="DV59" s="110"/>
      <c r="DW59" s="110"/>
      <c r="DX59" s="25"/>
      <c r="DY59" s="25"/>
      <c r="DZ59" s="25"/>
      <c r="EA59" s="25"/>
      <c r="EB59" s="110" t="s">
        <v>445</v>
      </c>
      <c r="EC59" s="110"/>
      <c r="ED59" s="110"/>
      <c r="EE59" s="25"/>
      <c r="EF59" s="25"/>
      <c r="EG59" s="25"/>
      <c r="EH59" s="110" t="s">
        <v>445</v>
      </c>
      <c r="EI59" s="110" t="s">
        <v>445</v>
      </c>
      <c r="EJ59" s="110"/>
      <c r="EK59" s="110"/>
      <c r="EL59" s="25"/>
      <c r="EM59" s="25"/>
      <c r="EN59" s="25"/>
      <c r="EO59" s="25"/>
      <c r="EP59" s="25"/>
      <c r="EQ59" s="110"/>
      <c r="ER59" s="110"/>
      <c r="ES59" s="110" t="s">
        <v>445</v>
      </c>
      <c r="ET59" s="25"/>
      <c r="EU59" s="25"/>
      <c r="EV59" s="25"/>
      <c r="EW59" s="25"/>
      <c r="EX59" s="110"/>
      <c r="EY59" s="110"/>
      <c r="EZ59" s="25"/>
      <c r="FA59" s="25"/>
      <c r="FB59" s="25"/>
      <c r="FC59" s="25"/>
      <c r="FD59" s="25"/>
      <c r="FE59" s="110"/>
      <c r="FF59" s="110"/>
      <c r="FG59" s="25"/>
      <c r="FH59" s="25"/>
      <c r="FI59" s="25"/>
      <c r="FJ59" s="25"/>
      <c r="FK59" s="25"/>
      <c r="FL59" s="110"/>
      <c r="FM59" s="110"/>
      <c r="FN59" s="25"/>
      <c r="FO59" s="25"/>
      <c r="FP59" s="25"/>
      <c r="FQ59" s="25"/>
      <c r="FR59" s="25"/>
      <c r="FS59" s="110"/>
      <c r="FT59" s="110"/>
      <c r="FU59" s="25"/>
      <c r="FV59" s="25"/>
      <c r="FW59" s="25"/>
      <c r="FX59" s="25"/>
      <c r="FY59" s="25"/>
      <c r="FZ59" s="110"/>
      <c r="GA59" s="110"/>
      <c r="GB59" s="25"/>
      <c r="GC59" s="25"/>
      <c r="GD59" s="25"/>
      <c r="GE59" s="25"/>
      <c r="GF59" s="25"/>
      <c r="GG59" s="110"/>
      <c r="GH59" s="110"/>
      <c r="GI59" s="25"/>
      <c r="GJ59" s="25"/>
      <c r="GK59" s="25"/>
      <c r="GL59" s="25"/>
      <c r="GM59" s="25"/>
      <c r="GN59" s="110"/>
      <c r="GO59" s="110"/>
      <c r="GP59" s="110" t="s">
        <v>445</v>
      </c>
      <c r="GQ59" s="110"/>
      <c r="GR59" s="25"/>
      <c r="GS59" s="25"/>
      <c r="GT59" s="25"/>
      <c r="GU59" s="110"/>
      <c r="GV59" s="110"/>
      <c r="GW59" s="25"/>
      <c r="GX59" s="25"/>
      <c r="GY59" s="25"/>
      <c r="GZ59" s="25"/>
      <c r="HA59" s="25"/>
      <c r="HB59" s="110"/>
      <c r="HC59" s="110"/>
      <c r="HD59" s="25"/>
      <c r="HE59" s="25"/>
      <c r="HF59" s="25"/>
      <c r="HG59" s="25"/>
      <c r="HH59" s="25"/>
      <c r="HI59" s="110"/>
      <c r="HJ59" s="110"/>
      <c r="HK59" s="25"/>
      <c r="HL59" s="25"/>
      <c r="HM59" s="25"/>
      <c r="HN59" s="25"/>
      <c r="HO59" s="25"/>
      <c r="HP59" s="110"/>
      <c r="HQ59" s="110"/>
      <c r="HR59" s="25"/>
      <c r="HS59" s="25"/>
      <c r="HT59" s="25"/>
      <c r="HU59" s="25"/>
      <c r="HV59" s="25"/>
      <c r="HW59" s="110"/>
      <c r="HX59" s="110"/>
      <c r="HY59" s="25"/>
      <c r="HZ59" s="25"/>
      <c r="IA59" s="25"/>
      <c r="IB59" s="25"/>
      <c r="IC59" s="25"/>
      <c r="ID59" s="110"/>
      <c r="IE59" s="110"/>
      <c r="IF59" s="25"/>
      <c r="IG59" s="25"/>
      <c r="IH59" s="25"/>
      <c r="II59" s="25"/>
      <c r="IJ59" s="25"/>
      <c r="IK59" s="110"/>
      <c r="IL59" s="110"/>
      <c r="IM59" s="25"/>
      <c r="IN59" s="25"/>
      <c r="IO59" s="25"/>
      <c r="IP59" s="25"/>
      <c r="IQ59" s="25"/>
      <c r="IR59" s="110"/>
      <c r="IS59" s="110"/>
      <c r="IT59" s="25"/>
      <c r="IU59" s="25"/>
      <c r="IV59" s="25"/>
      <c r="IW59" s="25"/>
      <c r="IX59" s="25"/>
      <c r="IY59" s="110"/>
      <c r="IZ59" s="110"/>
      <c r="JA59" s="25"/>
      <c r="JB59" s="25"/>
      <c r="JC59" s="25"/>
      <c r="JD59" s="25"/>
      <c r="JE59" s="25"/>
      <c r="JF59" s="110"/>
      <c r="JG59" s="110"/>
      <c r="JH59" s="25"/>
      <c r="JI59" s="25"/>
      <c r="JJ59" s="25"/>
      <c r="JK59" s="25"/>
      <c r="JL59" s="25"/>
      <c r="JM59" s="110"/>
      <c r="JN59" s="110"/>
      <c r="JO59" s="25"/>
      <c r="JP59" s="25"/>
      <c r="JQ59" s="25"/>
      <c r="JR59" s="25"/>
      <c r="JS59" s="25"/>
      <c r="JT59" s="110"/>
      <c r="JU59" s="110"/>
      <c r="JV59" s="25"/>
      <c r="JW59" s="25"/>
      <c r="JX59" s="25"/>
      <c r="JY59" s="25"/>
      <c r="JZ59" s="25"/>
      <c r="KA59" s="110"/>
      <c r="KB59" s="110"/>
      <c r="KC59" s="25"/>
      <c r="KD59" s="25"/>
      <c r="KE59" s="25"/>
      <c r="KF59" s="25"/>
      <c r="KG59" s="25"/>
      <c r="KH59" s="110"/>
      <c r="KI59" s="110"/>
      <c r="KJ59" s="25"/>
      <c r="KK59" s="25"/>
      <c r="KL59" s="25"/>
      <c r="KM59" s="25"/>
      <c r="KN59" s="25"/>
      <c r="KO59" s="110"/>
      <c r="KP59" s="110"/>
      <c r="KQ59" s="25"/>
      <c r="KR59" s="25"/>
      <c r="KS59" s="25"/>
      <c r="KT59" s="25"/>
      <c r="KU59" s="25"/>
      <c r="KV59" s="110"/>
      <c r="KW59" s="110"/>
      <c r="KX59" s="25"/>
      <c r="KY59" s="25"/>
      <c r="KZ59" s="25"/>
      <c r="LA59" s="25"/>
      <c r="LB59" s="25"/>
      <c r="LC59" s="110"/>
      <c r="LD59" s="110"/>
      <c r="LE59" s="25"/>
      <c r="LF59" s="25"/>
      <c r="LG59" s="110" t="s">
        <v>445</v>
      </c>
      <c r="LH59" s="25"/>
      <c r="LI59" s="25"/>
      <c r="LJ59" s="110"/>
      <c r="LK59" s="110"/>
      <c r="LL59" s="25"/>
      <c r="LM59" s="25"/>
      <c r="LN59" s="25"/>
      <c r="LO59" s="25"/>
      <c r="LP59" s="25"/>
      <c r="LQ59" s="110"/>
      <c r="LR59" s="110"/>
      <c r="LS59" s="25"/>
      <c r="LT59" s="25"/>
      <c r="LU59" s="25"/>
      <c r="LV59" s="25"/>
      <c r="LW59" s="25"/>
      <c r="LX59" s="110"/>
      <c r="LY59" s="110"/>
      <c r="LZ59" s="25"/>
      <c r="MA59" s="25"/>
      <c r="MB59" s="25"/>
      <c r="MC59" s="25"/>
      <c r="MD59" s="25"/>
      <c r="ME59" s="110"/>
      <c r="MF59" s="110"/>
      <c r="MG59" s="25"/>
      <c r="MH59" s="25"/>
      <c r="MI59" s="25"/>
      <c r="MJ59" s="25"/>
      <c r="MK59" s="25"/>
      <c r="ML59" s="110"/>
      <c r="MM59" s="110"/>
      <c r="MN59" s="25"/>
      <c r="MO59" s="25"/>
      <c r="MP59" s="25"/>
      <c r="MQ59" s="25"/>
      <c r="MR59" s="25"/>
      <c r="MS59" s="110"/>
      <c r="MT59" s="110"/>
      <c r="MU59" s="25"/>
      <c r="MV59" s="25"/>
      <c r="MW59" s="25"/>
      <c r="MX59" s="25"/>
      <c r="MY59" s="25"/>
      <c r="MZ59" s="110"/>
      <c r="NA59" s="110"/>
      <c r="NB59" s="25"/>
      <c r="NC59" s="25"/>
      <c r="ND59" s="25"/>
      <c r="NE59" s="129"/>
      <c r="NF59" s="111"/>
      <c r="NG59" s="8">
        <f t="shared" si="45"/>
        <v>0</v>
      </c>
      <c r="NH59" s="351" cm="1">
        <f t="array" ref="NH59">NETWORKDAYS($I$2,$AH$2)- SUM(COUNTIF(I59:AH59,{"I";"F";"CP";"R";"P";"AC";"AM"}))</f>
        <v>20</v>
      </c>
      <c r="NI59" s="138">
        <f t="shared" si="12"/>
        <v>0</v>
      </c>
      <c r="NJ59" s="8">
        <f t="shared" si="46"/>
        <v>0</v>
      </c>
      <c r="NK59" s="351" cm="1">
        <f t="array" ref="NK59">NETWORKDAYS($AJ$2,$BK$2)- SUM(COUNTIF(AJ59:BK59,{"I";"F";"CP";"R";"P";"AC";"AM"}))</f>
        <v>20</v>
      </c>
      <c r="NL59" s="138">
        <f t="shared" si="13"/>
        <v>0</v>
      </c>
      <c r="NM59" s="8">
        <f t="shared" si="47"/>
        <v>2</v>
      </c>
      <c r="NN59" s="351" cm="1">
        <f t="array" ref="NN59">NETWORKDAYS($BL$2,$CP$2)- SUM(COUNTIF(BL59:CP59,{"I";"F";"CP";"R";"P";"AC";"AM"}))</f>
        <v>22</v>
      </c>
      <c r="NO59" s="138">
        <f t="shared" si="14"/>
        <v>9.0909090909090912E-2</v>
      </c>
      <c r="NP59" s="8">
        <f t="shared" si="48"/>
        <v>2</v>
      </c>
      <c r="NQ59" s="351" cm="1">
        <f t="array" ref="NQ59">NETWORKDAYS($CQ$2,$DT$2,$CV$2)- SUM(COUNTIF(CQ59:DT59,{"I";"F";"CP";"R";"P";"AC";"AM"}))</f>
        <v>21</v>
      </c>
      <c r="NR59" s="138">
        <f t="shared" si="15"/>
        <v>9.5238095238095233E-2</v>
      </c>
      <c r="NS59" s="8">
        <f t="shared" si="49"/>
        <v>0</v>
      </c>
      <c r="NT59" s="351" cm="1">
        <f t="array" ref="NT59">NETWORKDAYS($DV$2,$EY$2)-SUM(COUNTIF(DV59:EY59,{"I";"F";"CP";"R";"P";"AC";"AM"}))</f>
        <v>16</v>
      </c>
      <c r="NU59" s="138">
        <f t="shared" si="16"/>
        <v>0</v>
      </c>
      <c r="NV59" s="8">
        <f t="shared" si="50"/>
        <v>0</v>
      </c>
      <c r="NW59" s="351" cm="1">
        <f t="array" ref="NW59">NETWORKDAYS($EZ$2,$GC$2)-SUM(COUNTIF(EZ59:GC59,{"I";"F";"CP";"R";"P";"AC";"AM"}))</f>
        <v>22</v>
      </c>
      <c r="NX59" s="138">
        <f t="shared" si="51"/>
        <v>0</v>
      </c>
      <c r="NY59" s="8">
        <f t="shared" si="52"/>
        <v>0</v>
      </c>
      <c r="NZ59" s="351" cm="1">
        <f t="array" ref="NZ59">NETWORKDAYS($GD$2,$HH$2,$GQ$2)-SUM(COUNTIF(GD59:HH59,{"I";"F";"CP";"R";"P";"AC";"AM"}))</f>
        <v>21</v>
      </c>
      <c r="OA59" s="138">
        <f t="shared" si="53"/>
        <v>0</v>
      </c>
      <c r="OB59" s="8">
        <f t="shared" si="54"/>
        <v>0</v>
      </c>
      <c r="OC59" s="351" cm="1">
        <f t="array" ref="OC59">NETWORKDAYS($HI$2,$IM$2)-SUM(COUNTIF(HI59:IM59,{"I";"F";"CP";"R";"P";"AC";"AM"}))</f>
        <v>21</v>
      </c>
      <c r="OD59" s="138">
        <f t="shared" si="55"/>
        <v>0</v>
      </c>
      <c r="OE59" s="8">
        <f t="shared" si="56"/>
        <v>0</v>
      </c>
      <c r="OF59" s="351" cm="1">
        <f t="array" ref="OF59">NETWORKDAYS($IN$2,$JQ$2)-SUM(COUNTIF(IN59:JQ59,{"I";"F";"CP";"R";"P";"AC";"AM"}))</f>
        <v>22</v>
      </c>
      <c r="OG59" s="138">
        <f t="shared" si="57"/>
        <v>0</v>
      </c>
      <c r="OH59" s="8">
        <f t="shared" si="58"/>
        <v>0</v>
      </c>
      <c r="OI59" s="351" cm="1">
        <f t="array" ref="OI59">NETWORKDAYS($JR$2,$KV$2)-SUM(COUNTIF(JR59:KV59,{"I";"F";"CP";"R";"P";"AC";"AM"}))</f>
        <v>22</v>
      </c>
      <c r="OJ59" s="138">
        <f t="shared" si="59"/>
        <v>0</v>
      </c>
      <c r="OK59" s="8">
        <f t="shared" si="60"/>
        <v>0</v>
      </c>
      <c r="OL59" s="351" cm="1">
        <f t="array" ref="OL59">NETWORKDAYS($KW$2,$LZ$2,$LG$2)-SUM(COUNTIF(KW59:LZ59,{"I";"F";"CP";"R";"P";"AC";"AM"}))</f>
        <v>19</v>
      </c>
      <c r="OM59" s="138">
        <f t="shared" si="61"/>
        <v>0</v>
      </c>
      <c r="ON59" s="8">
        <f t="shared" si="62"/>
        <v>0</v>
      </c>
      <c r="OO59" s="351" cm="1">
        <f t="array" ref="OO59">NETWORKDAYS($MA$2,$MR$2)-SUM(COUNTIF(MA59:MR59,{"I";"F";"CP";"R";"P";"AC";"AM"}))</f>
        <v>14</v>
      </c>
      <c r="OP59" s="138">
        <f t="shared" si="63"/>
        <v>0</v>
      </c>
      <c r="OQ59" s="94">
        <f t="shared" si="64"/>
        <v>4</v>
      </c>
      <c r="OR59" s="94">
        <f t="shared" si="65"/>
        <v>240</v>
      </c>
      <c r="OS59" s="138">
        <f t="shared" si="66"/>
        <v>1.6666666666666666E-2</v>
      </c>
    </row>
    <row r="60" spans="1:409" ht="18" hidden="1" customHeight="1" x14ac:dyDescent="0.25">
      <c r="A60" s="93" t="s">
        <v>54</v>
      </c>
      <c r="B60" s="95" t="s">
        <v>34</v>
      </c>
      <c r="C60" s="89" t="s">
        <v>166</v>
      </c>
      <c r="D60" s="89" t="s">
        <v>232</v>
      </c>
      <c r="E60" s="128"/>
      <c r="F60" s="110"/>
      <c r="G60" s="110"/>
      <c r="H60" s="110"/>
      <c r="I60" s="25"/>
      <c r="J60" s="25"/>
      <c r="K60" s="25"/>
      <c r="L60" s="25"/>
      <c r="M60" s="25"/>
      <c r="N60" s="110"/>
      <c r="O60" s="110"/>
      <c r="P60" s="25"/>
      <c r="Q60" s="25"/>
      <c r="R60" s="25"/>
      <c r="S60" s="25"/>
      <c r="T60" s="25"/>
      <c r="U60" s="110"/>
      <c r="V60" s="110"/>
      <c r="W60" s="25"/>
      <c r="X60" s="25"/>
      <c r="Y60" s="25"/>
      <c r="Z60" s="25"/>
      <c r="AA60" s="25"/>
      <c r="AB60" s="110"/>
      <c r="AC60" s="110"/>
      <c r="AD60" s="25"/>
      <c r="AE60" s="25"/>
      <c r="AF60" s="25"/>
      <c r="AG60" s="25"/>
      <c r="AH60" s="25"/>
      <c r="AI60" s="110"/>
      <c r="AJ60" s="110"/>
      <c r="AK60" s="25"/>
      <c r="AL60" s="25"/>
      <c r="AM60" s="25"/>
      <c r="AN60" s="25"/>
      <c r="AO60" s="25"/>
      <c r="AP60" s="110"/>
      <c r="AQ60" s="110"/>
      <c r="AR60" s="25"/>
      <c r="AS60" s="25"/>
      <c r="AT60" s="25"/>
      <c r="AV60" s="25"/>
      <c r="AW60" s="110"/>
      <c r="AX60" s="110"/>
      <c r="AY60" s="25"/>
      <c r="AZ60" s="25"/>
      <c r="BA60" s="25"/>
      <c r="BB60" s="25"/>
      <c r="BC60" s="25"/>
      <c r="BD60" s="110"/>
      <c r="BE60" s="110"/>
      <c r="BF60" s="25"/>
      <c r="BG60" s="25"/>
      <c r="BH60" s="25"/>
      <c r="BI60" s="25"/>
      <c r="BJ60" s="25"/>
      <c r="BK60" s="110"/>
      <c r="BL60" s="110"/>
      <c r="BM60" s="25" t="s">
        <v>208</v>
      </c>
      <c r="BN60" s="25" t="s">
        <v>208</v>
      </c>
      <c r="BO60" s="25" t="s">
        <v>208</v>
      </c>
      <c r="BP60" s="25" t="s">
        <v>208</v>
      </c>
      <c r="BQ60" s="25" t="s">
        <v>208</v>
      </c>
      <c r="BR60" s="110"/>
      <c r="BS60" s="110"/>
      <c r="BT60" s="25" t="s">
        <v>208</v>
      </c>
      <c r="BU60" s="25" t="s">
        <v>208</v>
      </c>
      <c r="BV60" s="25" t="s">
        <v>208</v>
      </c>
      <c r="BW60" s="25" t="s">
        <v>208</v>
      </c>
      <c r="BX60" s="25" t="s">
        <v>208</v>
      </c>
      <c r="BY60" s="110"/>
      <c r="BZ60" s="110"/>
      <c r="CA60" s="25" t="s">
        <v>208</v>
      </c>
      <c r="CB60" s="25" t="s">
        <v>208</v>
      </c>
      <c r="CC60" s="25" t="s">
        <v>208</v>
      </c>
      <c r="CD60" s="25" t="s">
        <v>208</v>
      </c>
      <c r="CE60" s="25" t="s">
        <v>208</v>
      </c>
      <c r="CF60" s="110"/>
      <c r="CG60" s="110"/>
      <c r="CH60" s="25" t="s">
        <v>208</v>
      </c>
      <c r="CI60" s="25" t="s">
        <v>208</v>
      </c>
      <c r="CJ60" s="25" t="s">
        <v>208</v>
      </c>
      <c r="CK60" s="25" t="s">
        <v>208</v>
      </c>
      <c r="CL60" s="25" t="s">
        <v>208</v>
      </c>
      <c r="CM60" s="110"/>
      <c r="CN60" s="110"/>
      <c r="CO60" s="25" t="s">
        <v>208</v>
      </c>
      <c r="CP60" s="25" t="s">
        <v>208</v>
      </c>
      <c r="CQ60" s="25" t="s">
        <v>208</v>
      </c>
      <c r="CR60" s="25" t="s">
        <v>208</v>
      </c>
      <c r="CS60" s="25" t="s">
        <v>208</v>
      </c>
      <c r="CT60" s="110"/>
      <c r="CU60" s="110"/>
      <c r="CV60" s="110"/>
      <c r="CW60" s="25" t="s">
        <v>208</v>
      </c>
      <c r="CX60" s="25">
        <v>1</v>
      </c>
      <c r="CY60" s="25">
        <v>1</v>
      </c>
      <c r="CZ60" s="25">
        <v>1</v>
      </c>
      <c r="DA60" s="110"/>
      <c r="DB60" s="110"/>
      <c r="DC60" s="25">
        <v>1</v>
      </c>
      <c r="DD60" s="25">
        <v>1</v>
      </c>
      <c r="DE60" s="25">
        <v>1</v>
      </c>
      <c r="DF60" s="25">
        <v>1</v>
      </c>
      <c r="DG60" s="25">
        <v>1</v>
      </c>
      <c r="DH60" s="110"/>
      <c r="DI60" s="110"/>
      <c r="DJ60" s="25">
        <v>1</v>
      </c>
      <c r="DK60" s="25">
        <v>1</v>
      </c>
      <c r="DL60" s="25">
        <v>1</v>
      </c>
      <c r="DM60" s="25">
        <v>1</v>
      </c>
      <c r="DN60" s="25">
        <v>1</v>
      </c>
      <c r="DO60" s="110"/>
      <c r="DP60" s="110"/>
      <c r="DQ60" s="25">
        <v>1</v>
      </c>
      <c r="DR60" s="25">
        <v>1</v>
      </c>
      <c r="DS60" s="25"/>
      <c r="DT60" s="25">
        <v>1</v>
      </c>
      <c r="DU60" s="110"/>
      <c r="DV60" s="110"/>
      <c r="DW60" s="110"/>
      <c r="DX60" s="25"/>
      <c r="DY60" s="25"/>
      <c r="DZ60" s="25"/>
      <c r="EA60" s="25"/>
      <c r="EB60" s="110"/>
      <c r="EC60" s="110"/>
      <c r="ED60" s="110"/>
      <c r="EE60" s="25"/>
      <c r="EF60" s="25"/>
      <c r="EG60" s="25"/>
      <c r="EH60" s="110"/>
      <c r="EI60" s="110"/>
      <c r="EJ60" s="110"/>
      <c r="EK60" s="110"/>
      <c r="EL60" s="25"/>
      <c r="EM60" s="25"/>
      <c r="EN60" s="25"/>
      <c r="EO60" s="25"/>
      <c r="EP60" s="25"/>
      <c r="EQ60" s="110"/>
      <c r="ER60" s="110"/>
      <c r="ES60" s="110"/>
      <c r="ET60" s="25"/>
      <c r="EU60" s="25"/>
      <c r="EV60" s="25"/>
      <c r="EW60" s="25"/>
      <c r="EX60" s="110"/>
      <c r="EY60" s="110"/>
      <c r="EZ60" s="25"/>
      <c r="FA60" s="25"/>
      <c r="FB60" s="25"/>
      <c r="FC60" s="25"/>
      <c r="FD60" s="25"/>
      <c r="FE60" s="110"/>
      <c r="FF60" s="110"/>
      <c r="FG60" s="25"/>
      <c r="FH60" s="25"/>
      <c r="FI60" s="25"/>
      <c r="FJ60" s="25"/>
      <c r="FK60" s="25"/>
      <c r="FL60" s="110"/>
      <c r="FM60" s="110"/>
      <c r="FN60" s="25"/>
      <c r="FO60" s="25"/>
      <c r="FP60" s="25"/>
      <c r="FQ60" s="25"/>
      <c r="FR60" s="25"/>
      <c r="FS60" s="110"/>
      <c r="FT60" s="110"/>
      <c r="FU60" s="25"/>
      <c r="FV60" s="25"/>
      <c r="FW60" s="25"/>
      <c r="FX60" s="25"/>
      <c r="FY60" s="25"/>
      <c r="FZ60" s="110"/>
      <c r="GA60" s="110"/>
      <c r="GB60" s="25"/>
      <c r="GC60" s="25"/>
      <c r="GD60" s="25"/>
      <c r="GE60" s="25"/>
      <c r="GF60" s="25"/>
      <c r="GG60" s="110"/>
      <c r="GH60" s="110"/>
      <c r="GI60" s="25"/>
      <c r="GJ60" s="25"/>
      <c r="GK60" s="25"/>
      <c r="GL60" s="25"/>
      <c r="GM60" s="25"/>
      <c r="GN60" s="110"/>
      <c r="GO60" s="110"/>
      <c r="GP60" s="110"/>
      <c r="GQ60" s="110"/>
      <c r="GR60" s="25"/>
      <c r="GS60" s="25"/>
      <c r="GT60" s="25"/>
      <c r="GU60" s="110"/>
      <c r="GV60" s="110"/>
      <c r="GW60" s="25"/>
      <c r="GX60" s="25"/>
      <c r="GY60" s="25"/>
      <c r="GZ60" s="25"/>
      <c r="HA60" s="25"/>
      <c r="HB60" s="110"/>
      <c r="HC60" s="110"/>
      <c r="HD60" s="25"/>
      <c r="HE60" s="25"/>
      <c r="HF60" s="25"/>
      <c r="HG60" s="25"/>
      <c r="HH60" s="25"/>
      <c r="HI60" s="110"/>
      <c r="HJ60" s="110"/>
      <c r="HK60" s="25"/>
      <c r="HL60" s="25"/>
      <c r="HM60" s="25"/>
      <c r="HN60" s="25"/>
      <c r="HO60" s="25"/>
      <c r="HP60" s="110"/>
      <c r="HQ60" s="110"/>
      <c r="HR60" s="25"/>
      <c r="HS60" s="25"/>
      <c r="HT60" s="25"/>
      <c r="HU60" s="25"/>
      <c r="HV60" s="25"/>
      <c r="HW60" s="110"/>
      <c r="HX60" s="110"/>
      <c r="HY60" s="25"/>
      <c r="HZ60" s="25"/>
      <c r="IA60" s="25"/>
      <c r="IB60" s="25"/>
      <c r="IC60" s="25"/>
      <c r="ID60" s="110"/>
      <c r="IE60" s="110"/>
      <c r="IF60" s="25"/>
      <c r="IG60" s="25"/>
      <c r="IH60" s="25"/>
      <c r="II60" s="25"/>
      <c r="IJ60" s="25"/>
      <c r="IK60" s="110"/>
      <c r="IL60" s="110"/>
      <c r="IM60" s="25"/>
      <c r="IN60" s="25"/>
      <c r="IO60" s="25"/>
      <c r="IP60" s="25"/>
      <c r="IQ60" s="25"/>
      <c r="IR60" s="110"/>
      <c r="IS60" s="110"/>
      <c r="IT60" s="25"/>
      <c r="IU60" s="25"/>
      <c r="IV60" s="25"/>
      <c r="IW60" s="25"/>
      <c r="IX60" s="25"/>
      <c r="IY60" s="110"/>
      <c r="IZ60" s="110"/>
      <c r="JA60" s="25"/>
      <c r="JB60" s="25"/>
      <c r="JC60" s="25"/>
      <c r="JD60" s="25"/>
      <c r="JE60" s="25"/>
      <c r="JF60" s="110"/>
      <c r="JG60" s="110"/>
      <c r="JH60" s="25"/>
      <c r="JI60" s="25"/>
      <c r="JJ60" s="25"/>
      <c r="JK60" s="25"/>
      <c r="JL60" s="25"/>
      <c r="JM60" s="110"/>
      <c r="JN60" s="110"/>
      <c r="JO60" s="25"/>
      <c r="JP60" s="25"/>
      <c r="JQ60" s="25"/>
      <c r="JR60" s="25"/>
      <c r="JS60" s="25"/>
      <c r="JT60" s="110"/>
      <c r="JU60" s="110"/>
      <c r="JV60" s="25"/>
      <c r="JW60" s="25"/>
      <c r="JX60" s="25"/>
      <c r="JY60" s="25"/>
      <c r="JZ60" s="25"/>
      <c r="KA60" s="110"/>
      <c r="KB60" s="110"/>
      <c r="KC60" s="25"/>
      <c r="KD60" s="25"/>
      <c r="KE60" s="25"/>
      <c r="KF60" s="25"/>
      <c r="KG60" s="25"/>
      <c r="KH60" s="110"/>
      <c r="KI60" s="110"/>
      <c r="KJ60" s="25"/>
      <c r="KK60" s="25"/>
      <c r="KL60" s="25"/>
      <c r="KM60" s="25"/>
      <c r="KN60" s="25"/>
      <c r="KO60" s="110"/>
      <c r="KP60" s="110"/>
      <c r="KQ60" s="25"/>
      <c r="KR60" s="25"/>
      <c r="KS60" s="25"/>
      <c r="KT60" s="25"/>
      <c r="KU60" s="25"/>
      <c r="KV60" s="110"/>
      <c r="KW60" s="110"/>
      <c r="KX60" s="25"/>
      <c r="KY60" s="25"/>
      <c r="KZ60" s="25"/>
      <c r="LA60" s="25"/>
      <c r="LB60" s="25"/>
      <c r="LC60" s="110"/>
      <c r="LD60" s="110"/>
      <c r="LE60" s="25"/>
      <c r="LF60" s="25"/>
      <c r="LG60" s="110"/>
      <c r="LH60" s="25"/>
      <c r="LI60" s="25"/>
      <c r="LJ60" s="110"/>
      <c r="LK60" s="110"/>
      <c r="LL60" s="25"/>
      <c r="LM60" s="25"/>
      <c r="LN60" s="25"/>
      <c r="LO60" s="25"/>
      <c r="LP60" s="25"/>
      <c r="LQ60" s="110"/>
      <c r="LR60" s="110"/>
      <c r="LS60" s="25"/>
      <c r="LT60" s="25"/>
      <c r="LU60" s="25"/>
      <c r="LV60" s="25"/>
      <c r="LW60" s="25"/>
      <c r="LX60" s="110"/>
      <c r="LY60" s="110"/>
      <c r="LZ60" s="25"/>
      <c r="MA60" s="25"/>
      <c r="MB60" s="25"/>
      <c r="MC60" s="25"/>
      <c r="MD60" s="25"/>
      <c r="ME60" s="110"/>
      <c r="MF60" s="110"/>
      <c r="MG60" s="25"/>
      <c r="MH60" s="25"/>
      <c r="MI60" s="25"/>
      <c r="MJ60" s="25"/>
      <c r="MK60" s="25"/>
      <c r="ML60" s="110"/>
      <c r="MM60" s="110"/>
      <c r="MN60" s="25"/>
      <c r="MO60" s="25"/>
      <c r="MP60" s="25"/>
      <c r="MQ60" s="25"/>
      <c r="MR60" s="25"/>
      <c r="MS60" s="110"/>
      <c r="MT60" s="110"/>
      <c r="MU60" s="25"/>
      <c r="MV60" s="25"/>
      <c r="MW60" s="25"/>
      <c r="MX60" s="25"/>
      <c r="MY60" s="25"/>
      <c r="MZ60" s="110"/>
      <c r="NA60" s="110"/>
      <c r="NB60" s="25"/>
      <c r="NC60" s="25"/>
      <c r="ND60" s="25"/>
      <c r="NE60" s="129"/>
      <c r="NF60" s="111"/>
      <c r="NG60" s="8"/>
      <c r="NH60" s="351"/>
      <c r="NI60" s="138" t="str">
        <f t="shared" si="12"/>
        <v/>
      </c>
      <c r="NJ60" s="8"/>
      <c r="NK60" s="351"/>
      <c r="NL60" s="138" t="str">
        <f t="shared" si="13"/>
        <v/>
      </c>
      <c r="NM60" s="8"/>
      <c r="NN60" s="351"/>
      <c r="NO60" s="138" t="str">
        <f t="shared" si="14"/>
        <v/>
      </c>
      <c r="NP60" s="8"/>
      <c r="NQ60" s="351"/>
      <c r="NR60" s="138" t="str">
        <f t="shared" si="15"/>
        <v/>
      </c>
      <c r="NS60" s="8"/>
      <c r="NT60" s="351"/>
      <c r="NU60" s="138" t="str">
        <f t="shared" si="16"/>
        <v/>
      </c>
      <c r="NV60" s="8"/>
      <c r="NW60" s="351"/>
      <c r="NX60" s="138"/>
      <c r="NY60" s="8"/>
      <c r="NZ60" s="351"/>
      <c r="OA60" s="138"/>
      <c r="OB60" s="8"/>
      <c r="OC60" s="351"/>
      <c r="OD60" s="138"/>
      <c r="OE60" s="8"/>
      <c r="OF60" s="351"/>
      <c r="OG60" s="138"/>
      <c r="OH60" s="8"/>
      <c r="OI60" s="351"/>
      <c r="OJ60" s="138"/>
      <c r="OK60" s="8"/>
      <c r="OL60" s="351"/>
      <c r="OM60" s="138"/>
      <c r="ON60" s="8"/>
      <c r="OO60" s="351"/>
      <c r="OP60" s="138"/>
      <c r="OQ60" s="94"/>
      <c r="OR60" s="94"/>
      <c r="OS60" s="138"/>
    </row>
    <row r="61" spans="1:409" ht="18" hidden="1" customHeight="1" x14ac:dyDescent="0.25">
      <c r="A61" s="93" t="s">
        <v>109</v>
      </c>
      <c r="B61" s="95" t="s">
        <v>34</v>
      </c>
      <c r="C61" s="89" t="s">
        <v>160</v>
      </c>
      <c r="D61" s="89" t="s">
        <v>233</v>
      </c>
      <c r="E61" s="128"/>
      <c r="F61" s="110"/>
      <c r="G61" s="110"/>
      <c r="H61" s="110"/>
      <c r="I61" s="25"/>
      <c r="J61" s="25">
        <v>1</v>
      </c>
      <c r="K61" s="25">
        <v>1</v>
      </c>
      <c r="L61" s="25">
        <v>1</v>
      </c>
      <c r="M61" s="25">
        <v>1</v>
      </c>
      <c r="N61" s="110"/>
      <c r="O61" s="110"/>
      <c r="P61" s="25"/>
      <c r="Q61" s="25">
        <v>1</v>
      </c>
      <c r="R61" s="25">
        <v>1</v>
      </c>
      <c r="S61" s="25">
        <v>1</v>
      </c>
      <c r="T61" s="25">
        <v>1</v>
      </c>
      <c r="U61" s="110"/>
      <c r="V61" s="110"/>
      <c r="W61" s="25">
        <v>1</v>
      </c>
      <c r="X61" s="25">
        <v>1</v>
      </c>
      <c r="Y61" s="25">
        <v>1</v>
      </c>
      <c r="Z61" s="25">
        <v>1</v>
      </c>
      <c r="AA61" s="25">
        <v>1</v>
      </c>
      <c r="AB61" s="110"/>
      <c r="AC61" s="110"/>
      <c r="AD61" s="25">
        <v>1</v>
      </c>
      <c r="AE61" s="25">
        <v>1</v>
      </c>
      <c r="AF61" s="25">
        <v>1</v>
      </c>
      <c r="AG61" s="25">
        <v>1</v>
      </c>
      <c r="AH61" s="25">
        <v>1</v>
      </c>
      <c r="AI61" s="110"/>
      <c r="AJ61" s="110"/>
      <c r="AK61" s="25">
        <v>1</v>
      </c>
      <c r="AL61" s="25">
        <v>1</v>
      </c>
      <c r="AM61" s="25">
        <v>1</v>
      </c>
      <c r="AN61" s="25">
        <v>1</v>
      </c>
      <c r="AO61" s="25">
        <v>1</v>
      </c>
      <c r="AP61" s="110"/>
      <c r="AQ61" s="110"/>
      <c r="AR61" s="25">
        <v>1</v>
      </c>
      <c r="AS61" s="25">
        <v>1</v>
      </c>
      <c r="AT61" s="25"/>
      <c r="AV61" s="25">
        <v>1</v>
      </c>
      <c r="AW61" s="110"/>
      <c r="AX61" s="110"/>
      <c r="AY61" s="25">
        <v>1</v>
      </c>
      <c r="AZ61" s="25">
        <v>1</v>
      </c>
      <c r="BA61" s="25">
        <v>1</v>
      </c>
      <c r="BB61" s="25">
        <v>1</v>
      </c>
      <c r="BC61" s="25">
        <v>1</v>
      </c>
      <c r="BD61" s="110"/>
      <c r="BE61" s="110"/>
      <c r="BF61" s="25">
        <v>1</v>
      </c>
      <c r="BG61" s="25">
        <v>1</v>
      </c>
      <c r="BH61" s="25">
        <v>1</v>
      </c>
      <c r="BI61" s="25">
        <v>1</v>
      </c>
      <c r="BJ61" s="25"/>
      <c r="BK61" s="110"/>
      <c r="BL61" s="110"/>
      <c r="BM61" s="25">
        <v>1</v>
      </c>
      <c r="BN61" s="25">
        <v>1</v>
      </c>
      <c r="BO61" s="25"/>
      <c r="BP61" s="25">
        <v>1</v>
      </c>
      <c r="BQ61" s="25">
        <v>1</v>
      </c>
      <c r="BR61" s="110"/>
      <c r="BS61" s="110"/>
      <c r="BT61" s="25">
        <v>1</v>
      </c>
      <c r="BU61" s="25">
        <v>1</v>
      </c>
      <c r="BV61" s="25">
        <v>1</v>
      </c>
      <c r="BW61" s="25">
        <v>1</v>
      </c>
      <c r="BX61" s="25">
        <v>1</v>
      </c>
      <c r="BY61" s="110"/>
      <c r="BZ61" s="110"/>
      <c r="CA61" s="25"/>
      <c r="CB61" s="25">
        <v>1</v>
      </c>
      <c r="CC61" s="25">
        <v>1</v>
      </c>
      <c r="CD61" s="25">
        <v>1</v>
      </c>
      <c r="CE61" s="25">
        <v>1</v>
      </c>
      <c r="CF61" s="110"/>
      <c r="CG61" s="110"/>
      <c r="CH61" s="25">
        <v>1</v>
      </c>
      <c r="CI61" s="25">
        <v>1</v>
      </c>
      <c r="CJ61" s="25">
        <v>1</v>
      </c>
      <c r="CK61" s="25">
        <v>1</v>
      </c>
      <c r="CL61" s="25">
        <v>1</v>
      </c>
      <c r="CM61" s="110"/>
      <c r="CN61" s="110"/>
      <c r="CO61" s="25" t="s">
        <v>162</v>
      </c>
      <c r="CP61" s="25" t="s">
        <v>162</v>
      </c>
      <c r="CQ61" s="25" t="s">
        <v>162</v>
      </c>
      <c r="CR61" s="25" t="s">
        <v>162</v>
      </c>
      <c r="CS61" s="25" t="s">
        <v>162</v>
      </c>
      <c r="CT61" s="110"/>
      <c r="CU61" s="110"/>
      <c r="CV61" s="110"/>
      <c r="CW61" s="25" t="s">
        <v>162</v>
      </c>
      <c r="CX61" s="25" t="s">
        <v>162</v>
      </c>
      <c r="CY61" s="25" t="s">
        <v>162</v>
      </c>
      <c r="CZ61" s="25" t="s">
        <v>162</v>
      </c>
      <c r="DA61" s="110"/>
      <c r="DB61" s="110"/>
      <c r="DC61" s="25">
        <v>1</v>
      </c>
      <c r="DD61" s="25">
        <v>1</v>
      </c>
      <c r="DE61" s="25">
        <v>1</v>
      </c>
      <c r="DF61" s="25">
        <v>1</v>
      </c>
      <c r="DG61" s="25">
        <v>1</v>
      </c>
      <c r="DH61" s="110"/>
      <c r="DI61" s="110"/>
      <c r="DJ61" s="25">
        <v>1</v>
      </c>
      <c r="DK61" s="25">
        <v>1</v>
      </c>
      <c r="DL61" s="25">
        <v>1</v>
      </c>
      <c r="DM61" s="25">
        <v>1</v>
      </c>
      <c r="DN61" s="25">
        <v>1</v>
      </c>
      <c r="DO61" s="110"/>
      <c r="DP61" s="110"/>
      <c r="DQ61" s="25"/>
      <c r="DR61" s="25">
        <v>1</v>
      </c>
      <c r="DS61" s="25">
        <v>1</v>
      </c>
      <c r="DT61" s="25"/>
      <c r="DU61" s="110" t="s">
        <v>445</v>
      </c>
      <c r="DV61" s="110"/>
      <c r="DW61" s="110"/>
      <c r="DX61" s="25">
        <v>1</v>
      </c>
      <c r="DY61" s="25">
        <v>1</v>
      </c>
      <c r="DZ61" s="25"/>
      <c r="EA61" s="25"/>
      <c r="EB61" s="110" t="s">
        <v>445</v>
      </c>
      <c r="EC61" s="110"/>
      <c r="ED61" s="110"/>
      <c r="EE61" s="25"/>
      <c r="EF61" s="25"/>
      <c r="EG61" s="25"/>
      <c r="EH61" s="110" t="s">
        <v>445</v>
      </c>
      <c r="EI61" s="110" t="s">
        <v>445</v>
      </c>
      <c r="EJ61" s="110"/>
      <c r="EK61" s="110"/>
      <c r="EL61" s="25"/>
      <c r="EM61" s="25"/>
      <c r="EN61" s="25"/>
      <c r="EO61" s="25"/>
      <c r="EP61" s="25"/>
      <c r="EQ61" s="110"/>
      <c r="ER61" s="110"/>
      <c r="ES61" s="110" t="s">
        <v>445</v>
      </c>
      <c r="ET61" s="25"/>
      <c r="EU61" s="25"/>
      <c r="EV61" s="25"/>
      <c r="EW61" s="25"/>
      <c r="EX61" s="110"/>
      <c r="EY61" s="110"/>
      <c r="EZ61" s="25"/>
      <c r="FA61" s="25"/>
      <c r="FB61" s="25"/>
      <c r="FC61" s="25"/>
      <c r="FD61" s="25"/>
      <c r="FE61" s="110"/>
      <c r="FF61" s="110"/>
      <c r="FG61" s="25"/>
      <c r="FH61" s="25"/>
      <c r="FI61" s="25"/>
      <c r="FJ61" s="25"/>
      <c r="FK61" s="25"/>
      <c r="FL61" s="110"/>
      <c r="FM61" s="110"/>
      <c r="FN61" s="25"/>
      <c r="FO61" s="25"/>
      <c r="FP61" s="25"/>
      <c r="FQ61" s="25"/>
      <c r="FR61" s="25"/>
      <c r="FS61" s="110"/>
      <c r="FT61" s="110"/>
      <c r="FU61" s="25"/>
      <c r="FV61" s="25"/>
      <c r="FW61" s="25"/>
      <c r="FX61" s="25"/>
      <c r="FY61" s="25"/>
      <c r="FZ61" s="110"/>
      <c r="GA61" s="110"/>
      <c r="GB61" s="25"/>
      <c r="GC61" s="25"/>
      <c r="GD61" s="25"/>
      <c r="GE61" s="25"/>
      <c r="GF61" s="25"/>
      <c r="GG61" s="110"/>
      <c r="GH61" s="110"/>
      <c r="GI61" s="25"/>
      <c r="GJ61" s="25"/>
      <c r="GK61" s="25"/>
      <c r="GL61" s="25"/>
      <c r="GM61" s="25"/>
      <c r="GN61" s="110"/>
      <c r="GO61" s="110"/>
      <c r="GP61" s="110" t="s">
        <v>445</v>
      </c>
      <c r="GQ61" s="110"/>
      <c r="GR61" s="25"/>
      <c r="GS61" s="25"/>
      <c r="GT61" s="25"/>
      <c r="GU61" s="110"/>
      <c r="GV61" s="110"/>
      <c r="GW61" s="25"/>
      <c r="GX61" s="25"/>
      <c r="GY61" s="25"/>
      <c r="GZ61" s="25"/>
      <c r="HA61" s="25"/>
      <c r="HB61" s="110"/>
      <c r="HC61" s="110"/>
      <c r="HD61" s="25"/>
      <c r="HE61" s="25"/>
      <c r="HF61" s="25"/>
      <c r="HG61" s="25"/>
      <c r="HH61" s="25"/>
      <c r="HI61" s="110"/>
      <c r="HJ61" s="110"/>
      <c r="HK61" s="25"/>
      <c r="HL61" s="25"/>
      <c r="HM61" s="25"/>
      <c r="HN61" s="25"/>
      <c r="HO61" s="25"/>
      <c r="HP61" s="110"/>
      <c r="HQ61" s="110"/>
      <c r="HR61" s="25"/>
      <c r="HS61" s="25"/>
      <c r="HT61" s="25"/>
      <c r="HU61" s="25"/>
      <c r="HV61" s="25"/>
      <c r="HW61" s="110"/>
      <c r="HX61" s="110"/>
      <c r="HY61" s="25"/>
      <c r="HZ61" s="25"/>
      <c r="IA61" s="25"/>
      <c r="IB61" s="25"/>
      <c r="IC61" s="25"/>
      <c r="ID61" s="110"/>
      <c r="IE61" s="110"/>
      <c r="IF61" s="25"/>
      <c r="IG61" s="25"/>
      <c r="IH61" s="25"/>
      <c r="II61" s="25"/>
      <c r="IJ61" s="25"/>
      <c r="IK61" s="110"/>
      <c r="IL61" s="110"/>
      <c r="IM61" s="25"/>
      <c r="IN61" s="25"/>
      <c r="IO61" s="25"/>
      <c r="IP61" s="25"/>
      <c r="IQ61" s="25"/>
      <c r="IR61" s="110"/>
      <c r="IS61" s="110"/>
      <c r="IT61" s="25"/>
      <c r="IU61" s="25"/>
      <c r="IV61" s="25"/>
      <c r="IW61" s="25"/>
      <c r="IX61" s="25"/>
      <c r="IY61" s="110"/>
      <c r="IZ61" s="110"/>
      <c r="JA61" s="25"/>
      <c r="JB61" s="25"/>
      <c r="JC61" s="25"/>
      <c r="JD61" s="25"/>
      <c r="JE61" s="25"/>
      <c r="JF61" s="110"/>
      <c r="JG61" s="110"/>
      <c r="JH61" s="25"/>
      <c r="JI61" s="25"/>
      <c r="JJ61" s="25"/>
      <c r="JK61" s="25"/>
      <c r="JL61" s="25"/>
      <c r="JM61" s="110"/>
      <c r="JN61" s="110"/>
      <c r="JO61" s="25"/>
      <c r="JP61" s="25"/>
      <c r="JQ61" s="25"/>
      <c r="JR61" s="25"/>
      <c r="JS61" s="25"/>
      <c r="JT61" s="110"/>
      <c r="JU61" s="110"/>
      <c r="JV61" s="25"/>
      <c r="JW61" s="25"/>
      <c r="JX61" s="25"/>
      <c r="JY61" s="25"/>
      <c r="JZ61" s="25"/>
      <c r="KA61" s="110"/>
      <c r="KB61" s="110"/>
      <c r="KC61" s="25"/>
      <c r="KD61" s="25"/>
      <c r="KE61" s="25"/>
      <c r="KF61" s="25"/>
      <c r="KG61" s="25"/>
      <c r="KH61" s="110"/>
      <c r="KI61" s="110"/>
      <c r="KJ61" s="25"/>
      <c r="KK61" s="25"/>
      <c r="KL61" s="25"/>
      <c r="KM61" s="25"/>
      <c r="KN61" s="25"/>
      <c r="KO61" s="110"/>
      <c r="KP61" s="110"/>
      <c r="KQ61" s="25"/>
      <c r="KR61" s="25"/>
      <c r="KS61" s="25"/>
      <c r="KT61" s="25"/>
      <c r="KU61" s="25"/>
      <c r="KV61" s="110"/>
      <c r="KW61" s="110"/>
      <c r="KX61" s="25"/>
      <c r="KY61" s="25"/>
      <c r="KZ61" s="25"/>
      <c r="LA61" s="25"/>
      <c r="LB61" s="25"/>
      <c r="LC61" s="110"/>
      <c r="LD61" s="110"/>
      <c r="LE61" s="25"/>
      <c r="LF61" s="25"/>
      <c r="LG61" s="110" t="s">
        <v>445</v>
      </c>
      <c r="LH61" s="25"/>
      <c r="LI61" s="25"/>
      <c r="LJ61" s="110"/>
      <c r="LK61" s="110"/>
      <c r="LL61" s="25"/>
      <c r="LM61" s="25"/>
      <c r="LN61" s="25"/>
      <c r="LO61" s="25"/>
      <c r="LP61" s="25"/>
      <c r="LQ61" s="110"/>
      <c r="LR61" s="110"/>
      <c r="LS61" s="25"/>
      <c r="LT61" s="25"/>
      <c r="LU61" s="25"/>
      <c r="LV61" s="25"/>
      <c r="LW61" s="25"/>
      <c r="LX61" s="110"/>
      <c r="LY61" s="110"/>
      <c r="LZ61" s="25"/>
      <c r="MA61" s="25"/>
      <c r="MB61" s="25"/>
      <c r="MC61" s="25"/>
      <c r="MD61" s="25"/>
      <c r="ME61" s="110"/>
      <c r="MF61" s="110"/>
      <c r="MG61" s="25"/>
      <c r="MH61" s="25"/>
      <c r="MI61" s="25"/>
      <c r="MJ61" s="25"/>
      <c r="MK61" s="25"/>
      <c r="ML61" s="110"/>
      <c r="MM61" s="110"/>
      <c r="MN61" s="25"/>
      <c r="MO61" s="25"/>
      <c r="MP61" s="25"/>
      <c r="MQ61" s="25"/>
      <c r="MR61" s="25"/>
      <c r="MS61" s="110"/>
      <c r="MT61" s="110"/>
      <c r="MU61" s="25"/>
      <c r="MV61" s="25"/>
      <c r="MW61" s="25"/>
      <c r="MX61" s="25"/>
      <c r="MY61" s="25"/>
      <c r="MZ61" s="110"/>
      <c r="NA61" s="110"/>
      <c r="NB61" s="25"/>
      <c r="NC61" s="25"/>
      <c r="ND61" s="25"/>
      <c r="NE61" s="129"/>
      <c r="NF61" s="111"/>
      <c r="NG61" s="8">
        <f t="shared" si="45"/>
        <v>18</v>
      </c>
      <c r="NH61" s="351" cm="1">
        <f t="array" ref="NH61">NETWORKDAYS($I$2,$AH$2)- SUM(COUNTIF(I61:AH61,{"I";"F";"CP";"R";"P";"AC";"AM"}))</f>
        <v>20</v>
      </c>
      <c r="NI61" s="138">
        <f t="shared" si="12"/>
        <v>0.9</v>
      </c>
      <c r="NJ61" s="8">
        <f t="shared" si="46"/>
        <v>17</v>
      </c>
      <c r="NK61" s="351" cm="1">
        <f t="array" ref="NK61">NETWORKDAYS($AJ$2,$BK$2)- SUM(COUNTIF(AJ61:BK61,{"I";"F";"CP";"R";"P";"AC";"AM"}))</f>
        <v>20</v>
      </c>
      <c r="NL61" s="138">
        <f t="shared" si="13"/>
        <v>0.85</v>
      </c>
      <c r="NM61" s="8">
        <f t="shared" si="47"/>
        <v>18</v>
      </c>
      <c r="NN61" s="351" cm="1">
        <f t="array" ref="NN61">NETWORKDAYS($BL$2,$CP$2)- SUM(COUNTIF(BL61:CP61,{"I";"F";"CP";"R";"P";"AC";"AM"}))</f>
        <v>20</v>
      </c>
      <c r="NO61" s="138">
        <f t="shared" si="14"/>
        <v>0.9</v>
      </c>
      <c r="NP61" s="8">
        <f t="shared" si="48"/>
        <v>12</v>
      </c>
      <c r="NQ61" s="351" cm="1">
        <f t="array" ref="NQ61">NETWORKDAYS($CQ$2,$DT$2,$CV$2)- SUM(COUNTIF(CQ61:DT61,{"I";"F";"CP";"R";"P";"AC";"AM"}))</f>
        <v>14</v>
      </c>
      <c r="NR61" s="138">
        <f t="shared" si="15"/>
        <v>0.8571428571428571</v>
      </c>
      <c r="NS61" s="8">
        <f t="shared" si="49"/>
        <v>2</v>
      </c>
      <c r="NT61" s="351" cm="1">
        <f t="array" ref="NT61">NETWORKDAYS($DV$2,$EY$2)-SUM(COUNTIF(DV61:EY61,{"I";"F";"CP";"R";"P";"AC";"AM"}))</f>
        <v>16</v>
      </c>
      <c r="NU61" s="138">
        <f t="shared" si="16"/>
        <v>0.125</v>
      </c>
      <c r="NV61" s="8">
        <f t="shared" si="50"/>
        <v>0</v>
      </c>
      <c r="NW61" s="351" cm="1">
        <f t="array" ref="NW61">NETWORKDAYS($EZ$2,$GC$2)-SUM(COUNTIF(EZ61:GC61,{"I";"F";"CP";"R";"P";"AC";"AM"}))</f>
        <v>22</v>
      </c>
      <c r="NX61" s="138">
        <f t="shared" si="51"/>
        <v>0</v>
      </c>
      <c r="NY61" s="8">
        <f t="shared" si="52"/>
        <v>0</v>
      </c>
      <c r="NZ61" s="351" cm="1">
        <f t="array" ref="NZ61">NETWORKDAYS($GD$2,$HH$2,$GQ$2)-SUM(COUNTIF(GD61:HH61,{"I";"F";"CP";"R";"P";"AC";"AM"}))</f>
        <v>21</v>
      </c>
      <c r="OA61" s="138">
        <f t="shared" si="53"/>
        <v>0</v>
      </c>
      <c r="OB61" s="8">
        <f t="shared" si="54"/>
        <v>0</v>
      </c>
      <c r="OC61" s="351" cm="1">
        <f t="array" ref="OC61">NETWORKDAYS($HI$2,$IM$2)-SUM(COUNTIF(HI61:IM61,{"I";"F";"CP";"R";"P";"AC";"AM"}))</f>
        <v>21</v>
      </c>
      <c r="OD61" s="138">
        <f t="shared" si="55"/>
        <v>0</v>
      </c>
      <c r="OE61" s="8">
        <f t="shared" si="56"/>
        <v>0</v>
      </c>
      <c r="OF61" s="351" cm="1">
        <f t="array" ref="OF61">NETWORKDAYS($IN$2,$JQ$2)-SUM(COUNTIF(IN61:JQ61,{"I";"F";"CP";"R";"P";"AC";"AM"}))</f>
        <v>22</v>
      </c>
      <c r="OG61" s="138">
        <f t="shared" si="57"/>
        <v>0</v>
      </c>
      <c r="OH61" s="8">
        <f t="shared" si="58"/>
        <v>0</v>
      </c>
      <c r="OI61" s="351" cm="1">
        <f t="array" ref="OI61">NETWORKDAYS($JR$2,$KV$2)-SUM(COUNTIF(JR61:KV61,{"I";"F";"CP";"R";"P";"AC";"AM"}))</f>
        <v>22</v>
      </c>
      <c r="OJ61" s="138">
        <f t="shared" si="59"/>
        <v>0</v>
      </c>
      <c r="OK61" s="8">
        <f t="shared" si="60"/>
        <v>0</v>
      </c>
      <c r="OL61" s="351" cm="1">
        <f t="array" ref="OL61">NETWORKDAYS($KW$2,$LZ$2,$LG$2)-SUM(COUNTIF(KW61:LZ61,{"I";"F";"CP";"R";"P";"AC";"AM"}))</f>
        <v>19</v>
      </c>
      <c r="OM61" s="138">
        <f t="shared" si="61"/>
        <v>0</v>
      </c>
      <c r="ON61" s="8">
        <f t="shared" si="62"/>
        <v>0</v>
      </c>
      <c r="OO61" s="351" cm="1">
        <f t="array" ref="OO61">NETWORKDAYS($MA$2,$MR$2)-SUM(COUNTIF(MA61:MR61,{"I";"F";"CP";"R";"P";"AC";"AM"}))</f>
        <v>14</v>
      </c>
      <c r="OP61" s="138">
        <f t="shared" si="63"/>
        <v>0</v>
      </c>
      <c r="OQ61" s="94">
        <f t="shared" si="64"/>
        <v>67</v>
      </c>
      <c r="OR61" s="94">
        <f t="shared" si="65"/>
        <v>231</v>
      </c>
      <c r="OS61" s="138">
        <f t="shared" si="66"/>
        <v>0.29004329004329005</v>
      </c>
    </row>
    <row r="62" spans="1:409" ht="18" customHeight="1" x14ac:dyDescent="0.25">
      <c r="A62" s="95" t="s">
        <v>178</v>
      </c>
      <c r="B62" s="95" t="s">
        <v>179</v>
      </c>
      <c r="C62" s="89" t="s">
        <v>240</v>
      </c>
      <c r="D62" s="89" t="s">
        <v>241</v>
      </c>
      <c r="E62" s="128"/>
      <c r="F62" s="110"/>
      <c r="G62" s="110"/>
      <c r="H62" s="110"/>
      <c r="I62" s="25" t="s">
        <v>223</v>
      </c>
      <c r="J62" s="25" t="s">
        <v>223</v>
      </c>
      <c r="K62" s="25" t="s">
        <v>223</v>
      </c>
      <c r="L62" s="25" t="s">
        <v>223</v>
      </c>
      <c r="M62" s="25" t="s">
        <v>223</v>
      </c>
      <c r="N62" s="110"/>
      <c r="O62" s="110"/>
      <c r="P62" s="25" t="s">
        <v>276</v>
      </c>
      <c r="Q62" s="25" t="s">
        <v>276</v>
      </c>
      <c r="R62" s="25" t="s">
        <v>276</v>
      </c>
      <c r="S62" s="25" t="s">
        <v>276</v>
      </c>
      <c r="T62" s="25" t="s">
        <v>276</v>
      </c>
      <c r="U62" s="110"/>
      <c r="V62" s="110"/>
      <c r="W62" s="25" t="s">
        <v>276</v>
      </c>
      <c r="X62" s="25" t="s">
        <v>276</v>
      </c>
      <c r="Y62" s="25" t="s">
        <v>276</v>
      </c>
      <c r="Z62" s="25" t="s">
        <v>276</v>
      </c>
      <c r="AA62" s="25" t="s">
        <v>276</v>
      </c>
      <c r="AB62" s="110"/>
      <c r="AC62" s="110"/>
      <c r="AD62" s="25" t="s">
        <v>276</v>
      </c>
      <c r="AE62" s="25" t="s">
        <v>276</v>
      </c>
      <c r="AF62" s="25" t="s">
        <v>276</v>
      </c>
      <c r="AG62" s="25" t="s">
        <v>276</v>
      </c>
      <c r="AH62" s="25" t="s">
        <v>276</v>
      </c>
      <c r="AI62" s="110"/>
      <c r="AJ62" s="110"/>
      <c r="AK62" s="25" t="s">
        <v>276</v>
      </c>
      <c r="AL62" s="25" t="s">
        <v>276</v>
      </c>
      <c r="AM62" s="25" t="s">
        <v>276</v>
      </c>
      <c r="AN62" s="25" t="s">
        <v>276</v>
      </c>
      <c r="AO62" s="25" t="s">
        <v>276</v>
      </c>
      <c r="AP62" s="110"/>
      <c r="AQ62" s="110"/>
      <c r="AR62" s="25" t="s">
        <v>276</v>
      </c>
      <c r="AS62" s="25" t="s">
        <v>276</v>
      </c>
      <c r="AT62" s="25" t="s">
        <v>276</v>
      </c>
      <c r="AV62" s="25" t="s">
        <v>276</v>
      </c>
      <c r="AW62" s="110"/>
      <c r="AX62" s="110"/>
      <c r="AY62" s="25"/>
      <c r="AZ62" s="25"/>
      <c r="BA62" s="25"/>
      <c r="BB62" s="25"/>
      <c r="BC62" s="25">
        <v>1</v>
      </c>
      <c r="BD62" s="110"/>
      <c r="BE62" s="110"/>
      <c r="BF62" s="25">
        <v>1</v>
      </c>
      <c r="BG62" s="25">
        <v>1</v>
      </c>
      <c r="BH62" s="25">
        <v>1</v>
      </c>
      <c r="BI62" s="25">
        <v>1</v>
      </c>
      <c r="BJ62" s="25">
        <v>1</v>
      </c>
      <c r="BK62" s="110"/>
      <c r="BL62" s="110"/>
      <c r="BM62" s="25">
        <v>1</v>
      </c>
      <c r="BN62" s="25">
        <v>1</v>
      </c>
      <c r="BO62" s="25">
        <v>1</v>
      </c>
      <c r="BP62" s="25">
        <v>1</v>
      </c>
      <c r="BQ62" s="25">
        <v>1</v>
      </c>
      <c r="BR62" s="110"/>
      <c r="BS62" s="110"/>
      <c r="BT62" s="25">
        <v>1</v>
      </c>
      <c r="BU62" s="25">
        <v>1</v>
      </c>
      <c r="BV62" s="25"/>
      <c r="BW62" s="25" t="s">
        <v>162</v>
      </c>
      <c r="BX62" s="25" t="s">
        <v>162</v>
      </c>
      <c r="BY62" s="110"/>
      <c r="BZ62" s="110"/>
      <c r="CA62" s="25" t="s">
        <v>162</v>
      </c>
      <c r="CB62" s="25" t="s">
        <v>162</v>
      </c>
      <c r="CC62" s="25" t="s">
        <v>162</v>
      </c>
      <c r="CD62" s="25" t="s">
        <v>162</v>
      </c>
      <c r="CE62" s="25" t="s">
        <v>162</v>
      </c>
      <c r="CF62" s="110"/>
      <c r="CG62" s="110"/>
      <c r="CH62" s="25" t="s">
        <v>162</v>
      </c>
      <c r="CI62" s="25" t="s">
        <v>162</v>
      </c>
      <c r="CJ62" s="25" t="s">
        <v>162</v>
      </c>
      <c r="CK62" s="25" t="s">
        <v>162</v>
      </c>
      <c r="CL62" s="25" t="s">
        <v>162</v>
      </c>
      <c r="CM62" s="110"/>
      <c r="CN62" s="110"/>
      <c r="CO62" s="25" t="s">
        <v>162</v>
      </c>
      <c r="CP62" s="25" t="s">
        <v>162</v>
      </c>
      <c r="CQ62" s="25" t="s">
        <v>162</v>
      </c>
      <c r="CR62" s="25" t="s">
        <v>162</v>
      </c>
      <c r="CS62" s="25" t="s">
        <v>162</v>
      </c>
      <c r="CT62" s="110"/>
      <c r="CU62" s="110"/>
      <c r="CV62" s="110"/>
      <c r="CW62" s="25" t="s">
        <v>162</v>
      </c>
      <c r="CX62" s="25" t="s">
        <v>162</v>
      </c>
      <c r="CY62" s="25" t="s">
        <v>162</v>
      </c>
      <c r="CZ62" s="25" t="s">
        <v>162</v>
      </c>
      <c r="DA62" s="110"/>
      <c r="DB62" s="110"/>
      <c r="DC62" s="25" t="s">
        <v>162</v>
      </c>
      <c r="DD62" s="25" t="s">
        <v>162</v>
      </c>
      <c r="DE62" s="25" t="s">
        <v>162</v>
      </c>
      <c r="DF62" s="25" t="s">
        <v>162</v>
      </c>
      <c r="DG62" s="25" t="s">
        <v>162</v>
      </c>
      <c r="DH62" s="110"/>
      <c r="DI62" s="110"/>
      <c r="DJ62" s="25" t="s">
        <v>162</v>
      </c>
      <c r="DK62" s="25" t="s">
        <v>162</v>
      </c>
      <c r="DL62" s="25" t="s">
        <v>162</v>
      </c>
      <c r="DM62" s="25" t="s">
        <v>162</v>
      </c>
      <c r="DN62" s="25" t="s">
        <v>162</v>
      </c>
      <c r="DO62" s="110"/>
      <c r="DP62" s="110"/>
      <c r="DQ62" s="25" t="s">
        <v>162</v>
      </c>
      <c r="DR62" s="25" t="s">
        <v>162</v>
      </c>
      <c r="DS62" s="25" t="s">
        <v>162</v>
      </c>
      <c r="DT62" s="25" t="s">
        <v>162</v>
      </c>
      <c r="DU62" s="110" t="s">
        <v>445</v>
      </c>
      <c r="DV62" s="110"/>
      <c r="DW62" s="110"/>
      <c r="DX62" s="25"/>
      <c r="DY62" s="25"/>
      <c r="DZ62" s="25"/>
      <c r="EA62" s="25"/>
      <c r="EB62" s="110" t="s">
        <v>445</v>
      </c>
      <c r="EC62" s="110"/>
      <c r="ED62" s="110"/>
      <c r="EE62" s="25"/>
      <c r="EF62" s="25"/>
      <c r="EG62" s="25"/>
      <c r="EH62" s="110" t="s">
        <v>445</v>
      </c>
      <c r="EI62" s="110" t="s">
        <v>445</v>
      </c>
      <c r="EJ62" s="110"/>
      <c r="EK62" s="110"/>
      <c r="EL62" s="25"/>
      <c r="EM62" s="25"/>
      <c r="EN62" s="25"/>
      <c r="EO62" s="25"/>
      <c r="EP62" s="25"/>
      <c r="EQ62" s="110"/>
      <c r="ER62" s="110"/>
      <c r="ES62" s="110" t="s">
        <v>445</v>
      </c>
      <c r="ET62" s="25"/>
      <c r="EU62" s="25"/>
      <c r="EV62" s="25"/>
      <c r="EW62" s="25"/>
      <c r="EX62" s="110"/>
      <c r="EY62" s="110"/>
      <c r="EZ62" s="25"/>
      <c r="FA62" s="25"/>
      <c r="FB62" s="25"/>
      <c r="FC62" s="25"/>
      <c r="FD62" s="25"/>
      <c r="FE62" s="110"/>
      <c r="FF62" s="110"/>
      <c r="FG62" s="25"/>
      <c r="FH62" s="25"/>
      <c r="FI62" s="25"/>
      <c r="FJ62" s="25"/>
      <c r="FK62" s="25"/>
      <c r="FL62" s="110"/>
      <c r="FM62" s="110"/>
      <c r="FN62" s="25"/>
      <c r="FO62" s="25"/>
      <c r="FP62" s="25"/>
      <c r="FQ62" s="25"/>
      <c r="FR62" s="25"/>
      <c r="FS62" s="110"/>
      <c r="FT62" s="110"/>
      <c r="FU62" s="25"/>
      <c r="FV62" s="25"/>
      <c r="FW62" s="25"/>
      <c r="FX62" s="25"/>
      <c r="FY62" s="25"/>
      <c r="FZ62" s="110"/>
      <c r="GA62" s="110"/>
      <c r="GB62" s="25"/>
      <c r="GC62" s="25"/>
      <c r="GD62" s="25"/>
      <c r="GE62" s="25"/>
      <c r="GF62" s="25"/>
      <c r="GG62" s="110"/>
      <c r="GH62" s="110"/>
      <c r="GI62" s="25"/>
      <c r="GJ62" s="25"/>
      <c r="GK62" s="25"/>
      <c r="GL62" s="25"/>
      <c r="GM62" s="25"/>
      <c r="GN62" s="110"/>
      <c r="GO62" s="110"/>
      <c r="GP62" s="110" t="s">
        <v>445</v>
      </c>
      <c r="GQ62" s="110"/>
      <c r="GR62" s="25"/>
      <c r="GS62" s="25"/>
      <c r="GT62" s="25"/>
      <c r="GU62" s="110"/>
      <c r="GV62" s="110"/>
      <c r="GW62" s="25"/>
      <c r="GX62" s="25"/>
      <c r="GY62" s="25"/>
      <c r="GZ62" s="25"/>
      <c r="HA62" s="25"/>
      <c r="HB62" s="110"/>
      <c r="HC62" s="110"/>
      <c r="HD62" s="25"/>
      <c r="HE62" s="25"/>
      <c r="HF62" s="25"/>
      <c r="HG62" s="25"/>
      <c r="HH62" s="25"/>
      <c r="HI62" s="110"/>
      <c r="HJ62" s="110"/>
      <c r="HK62" s="25"/>
      <c r="HL62" s="25"/>
      <c r="HM62" s="25"/>
      <c r="HN62" s="25"/>
      <c r="HO62" s="25"/>
      <c r="HP62" s="110"/>
      <c r="HQ62" s="110"/>
      <c r="HR62" s="25"/>
      <c r="HS62" s="25"/>
      <c r="HT62" s="25"/>
      <c r="HU62" s="25"/>
      <c r="HV62" s="25"/>
      <c r="HW62" s="110"/>
      <c r="HX62" s="110"/>
      <c r="HY62" s="25"/>
      <c r="HZ62" s="25"/>
      <c r="IA62" s="25"/>
      <c r="IB62" s="25"/>
      <c r="IC62" s="25"/>
      <c r="ID62" s="110"/>
      <c r="IE62" s="110"/>
      <c r="IF62" s="25"/>
      <c r="IG62" s="25"/>
      <c r="IH62" s="25"/>
      <c r="II62" s="25"/>
      <c r="IJ62" s="25"/>
      <c r="IK62" s="110"/>
      <c r="IL62" s="110"/>
      <c r="IM62" s="25"/>
      <c r="IN62" s="25"/>
      <c r="IO62" s="25"/>
      <c r="IP62" s="25"/>
      <c r="IQ62" s="25"/>
      <c r="IR62" s="110"/>
      <c r="IS62" s="110"/>
      <c r="IT62" s="25"/>
      <c r="IU62" s="25"/>
      <c r="IV62" s="25"/>
      <c r="IW62" s="25"/>
      <c r="IX62" s="25"/>
      <c r="IY62" s="110"/>
      <c r="IZ62" s="110"/>
      <c r="JA62" s="25"/>
      <c r="JB62" s="25"/>
      <c r="JC62" s="25"/>
      <c r="JD62" s="25"/>
      <c r="JE62" s="25"/>
      <c r="JF62" s="110"/>
      <c r="JG62" s="110"/>
      <c r="JH62" s="25"/>
      <c r="JI62" s="25"/>
      <c r="JJ62" s="25"/>
      <c r="JK62" s="25"/>
      <c r="JL62" s="25"/>
      <c r="JM62" s="110"/>
      <c r="JN62" s="110"/>
      <c r="JO62" s="25"/>
      <c r="JP62" s="25"/>
      <c r="JQ62" s="25"/>
      <c r="JR62" s="25"/>
      <c r="JS62" s="25"/>
      <c r="JT62" s="110"/>
      <c r="JU62" s="110"/>
      <c r="JV62" s="25"/>
      <c r="JW62" s="25"/>
      <c r="JX62" s="25"/>
      <c r="JY62" s="25"/>
      <c r="JZ62" s="25"/>
      <c r="KA62" s="110"/>
      <c r="KB62" s="110"/>
      <c r="KC62" s="25"/>
      <c r="KD62" s="25"/>
      <c r="KE62" s="25"/>
      <c r="KF62" s="25"/>
      <c r="KG62" s="25"/>
      <c r="KH62" s="110"/>
      <c r="KI62" s="110"/>
      <c r="KJ62" s="25"/>
      <c r="KK62" s="25"/>
      <c r="KL62" s="25"/>
      <c r="KM62" s="25"/>
      <c r="KN62" s="25"/>
      <c r="KO62" s="110"/>
      <c r="KP62" s="110"/>
      <c r="KQ62" s="25"/>
      <c r="KR62" s="25"/>
      <c r="KS62" s="25"/>
      <c r="KT62" s="25"/>
      <c r="KU62" s="25"/>
      <c r="KV62" s="110"/>
      <c r="KW62" s="110"/>
      <c r="KX62" s="25"/>
      <c r="KY62" s="25"/>
      <c r="KZ62" s="25"/>
      <c r="LA62" s="25"/>
      <c r="LB62" s="25"/>
      <c r="LC62" s="110"/>
      <c r="LD62" s="110"/>
      <c r="LE62" s="25"/>
      <c r="LF62" s="25"/>
      <c r="LG62" s="110" t="s">
        <v>445</v>
      </c>
      <c r="LH62" s="25"/>
      <c r="LI62" s="25"/>
      <c r="LJ62" s="110"/>
      <c r="LK62" s="110"/>
      <c r="LL62" s="25"/>
      <c r="LM62" s="25"/>
      <c r="LN62" s="25"/>
      <c r="LO62" s="25"/>
      <c r="LP62" s="25"/>
      <c r="LQ62" s="110"/>
      <c r="LR62" s="110"/>
      <c r="LS62" s="25"/>
      <c r="LT62" s="25"/>
      <c r="LU62" s="25"/>
      <c r="LV62" s="25"/>
      <c r="LW62" s="25"/>
      <c r="LX62" s="110"/>
      <c r="LY62" s="110"/>
      <c r="LZ62" s="25"/>
      <c r="MA62" s="25"/>
      <c r="MB62" s="25"/>
      <c r="MC62" s="25"/>
      <c r="MD62" s="25"/>
      <c r="ME62" s="110"/>
      <c r="MF62" s="110"/>
      <c r="MG62" s="25"/>
      <c r="MH62" s="25"/>
      <c r="MI62" s="25"/>
      <c r="MJ62" s="25"/>
      <c r="MK62" s="25"/>
      <c r="ML62" s="110"/>
      <c r="MM62" s="110"/>
      <c r="MN62" s="25"/>
      <c r="MO62" s="25"/>
      <c r="MP62" s="25"/>
      <c r="MQ62" s="25"/>
      <c r="MR62" s="25"/>
      <c r="MS62" s="110"/>
      <c r="MT62" s="110"/>
      <c r="MU62" s="25"/>
      <c r="MV62" s="25"/>
      <c r="MW62" s="25"/>
      <c r="MX62" s="25"/>
      <c r="MY62" s="25"/>
      <c r="MZ62" s="110"/>
      <c r="NA62" s="110"/>
      <c r="NB62" s="25"/>
      <c r="NC62" s="25"/>
      <c r="ND62" s="25"/>
      <c r="NE62" s="129"/>
      <c r="NF62" s="111"/>
      <c r="NG62" s="8">
        <f t="shared" si="45"/>
        <v>0</v>
      </c>
      <c r="NH62" s="351" cm="1">
        <f t="array" ref="NH62">NETWORKDAYS($I$2,$AH$2)- SUM(COUNTIF(I62:AH62,{"I";"F";"CP";"R";"P";"AC";"AM"}))</f>
        <v>0</v>
      </c>
      <c r="NI62" s="138" t="str">
        <f t="shared" si="12"/>
        <v/>
      </c>
      <c r="NJ62" s="8">
        <f t="shared" si="46"/>
        <v>6</v>
      </c>
      <c r="NK62" s="351" cm="1">
        <f t="array" ref="NK62">NETWORKDAYS($AJ$2,$BK$2)- SUM(COUNTIF(AJ62:BK62,{"I";"F";"CP";"R";"P";"AC";"AM"}))</f>
        <v>11</v>
      </c>
      <c r="NL62" s="138">
        <f t="shared" si="13"/>
        <v>0.54545454545454541</v>
      </c>
      <c r="NM62" s="8">
        <f t="shared" si="47"/>
        <v>7</v>
      </c>
      <c r="NN62" s="351" cm="1">
        <f t="array" ref="NN62">NETWORKDAYS($BL$2,$CP$2)- SUM(COUNTIF(BL62:CP62,{"I";"F";"CP";"R";"P";"AC";"AM"}))</f>
        <v>8</v>
      </c>
      <c r="NO62" s="138">
        <f t="shared" si="14"/>
        <v>0.875</v>
      </c>
      <c r="NP62" s="8">
        <f t="shared" si="48"/>
        <v>0</v>
      </c>
      <c r="NQ62" s="351" cm="1">
        <f t="array" ref="NQ62">NETWORKDAYS($CQ$2,$DT$2,$CV$2)- SUM(COUNTIF(CQ62:DT62,{"I";"F";"CP";"R";"P";"AC";"AM"}))</f>
        <v>0</v>
      </c>
      <c r="NR62" s="138" t="str">
        <f t="shared" si="15"/>
        <v/>
      </c>
      <c r="NS62" s="8">
        <f t="shared" si="49"/>
        <v>0</v>
      </c>
      <c r="NT62" s="351" cm="1">
        <f t="array" ref="NT62">NETWORKDAYS($DV$2,$EY$2)-SUM(COUNTIF(DV62:EY62,{"I";"F";"CP";"R";"P";"AC";"AM"}))</f>
        <v>16</v>
      </c>
      <c r="NU62" s="138">
        <f t="shared" si="16"/>
        <v>0</v>
      </c>
      <c r="NV62" s="8">
        <f t="shared" si="50"/>
        <v>0</v>
      </c>
      <c r="NW62" s="351" cm="1">
        <f t="array" ref="NW62">NETWORKDAYS($EZ$2,$GC$2)-SUM(COUNTIF(EZ62:GC62,{"I";"F";"CP";"R";"P";"AC";"AM"}))</f>
        <v>22</v>
      </c>
      <c r="NX62" s="138">
        <f t="shared" si="51"/>
        <v>0</v>
      </c>
      <c r="NY62" s="8">
        <f t="shared" si="52"/>
        <v>0</v>
      </c>
      <c r="NZ62" s="351" cm="1">
        <f t="array" ref="NZ62">NETWORKDAYS($GD$2,$HH$2,$GQ$2)-SUM(COUNTIF(GD62:HH62,{"I";"F";"CP";"R";"P";"AC";"AM"}))</f>
        <v>21</v>
      </c>
      <c r="OA62" s="138">
        <f t="shared" si="53"/>
        <v>0</v>
      </c>
      <c r="OB62" s="8">
        <f t="shared" si="54"/>
        <v>0</v>
      </c>
      <c r="OC62" s="351" cm="1">
        <f t="array" ref="OC62">NETWORKDAYS($HI$2,$IM$2)-SUM(COUNTIF(HI62:IM62,{"I";"F";"CP";"R";"P";"AC";"AM"}))</f>
        <v>21</v>
      </c>
      <c r="OD62" s="138">
        <f t="shared" si="55"/>
        <v>0</v>
      </c>
      <c r="OE62" s="8">
        <f t="shared" si="56"/>
        <v>0</v>
      </c>
      <c r="OF62" s="351" cm="1">
        <f t="array" ref="OF62">NETWORKDAYS($IN$2,$JQ$2)-SUM(COUNTIF(IN62:JQ62,{"I";"F";"CP";"R";"P";"AC";"AM"}))</f>
        <v>22</v>
      </c>
      <c r="OG62" s="138">
        <f t="shared" si="57"/>
        <v>0</v>
      </c>
      <c r="OH62" s="8">
        <f t="shared" si="58"/>
        <v>0</v>
      </c>
      <c r="OI62" s="351" cm="1">
        <f t="array" ref="OI62">NETWORKDAYS($JR$2,$KV$2)-SUM(COUNTIF(JR62:KV62,{"I";"F";"CP";"R";"P";"AC";"AM"}))</f>
        <v>22</v>
      </c>
      <c r="OJ62" s="138">
        <f t="shared" si="59"/>
        <v>0</v>
      </c>
      <c r="OK62" s="8">
        <f t="shared" si="60"/>
        <v>0</v>
      </c>
      <c r="OL62" s="351" cm="1">
        <f t="array" ref="OL62">NETWORKDAYS($KW$2,$LZ$2,$LG$2)-SUM(COUNTIF(KW62:LZ62,{"I";"F";"CP";"R";"P";"AC";"AM"}))</f>
        <v>19</v>
      </c>
      <c r="OM62" s="138">
        <f t="shared" si="61"/>
        <v>0</v>
      </c>
      <c r="ON62" s="8">
        <f t="shared" si="62"/>
        <v>0</v>
      </c>
      <c r="OO62" s="351" cm="1">
        <f t="array" ref="OO62">NETWORKDAYS($MA$2,$MR$2)-SUM(COUNTIF(MA62:MR62,{"I";"F";"CP";"R";"P";"AC";"AM"}))</f>
        <v>14</v>
      </c>
      <c r="OP62" s="138">
        <f t="shared" si="63"/>
        <v>0</v>
      </c>
      <c r="OQ62" s="94">
        <f t="shared" si="64"/>
        <v>13</v>
      </c>
      <c r="OR62" s="94">
        <f t="shared" si="65"/>
        <v>176</v>
      </c>
      <c r="OS62" s="138">
        <f t="shared" si="66"/>
        <v>7.3863636363636367E-2</v>
      </c>
    </row>
    <row r="63" spans="1:409" ht="18" hidden="1" customHeight="1" x14ac:dyDescent="0.25">
      <c r="A63" s="93" t="s">
        <v>159</v>
      </c>
      <c r="B63" s="95" t="s">
        <v>45</v>
      </c>
      <c r="C63" s="89" t="s">
        <v>160</v>
      </c>
      <c r="D63" s="89" t="s">
        <v>237</v>
      </c>
      <c r="E63" s="128"/>
      <c r="F63" s="110"/>
      <c r="G63" s="110"/>
      <c r="H63" s="110"/>
      <c r="I63" s="25"/>
      <c r="J63" s="25"/>
      <c r="K63" s="25"/>
      <c r="L63" s="25"/>
      <c r="M63" s="25">
        <v>1</v>
      </c>
      <c r="N63" s="110"/>
      <c r="O63" s="110"/>
      <c r="P63" s="25">
        <v>1</v>
      </c>
      <c r="Q63" s="25">
        <v>1</v>
      </c>
      <c r="R63" s="25">
        <v>1</v>
      </c>
      <c r="S63" s="25">
        <v>1</v>
      </c>
      <c r="T63" s="25">
        <v>1</v>
      </c>
      <c r="U63" s="110"/>
      <c r="V63" s="110"/>
      <c r="W63" s="25">
        <v>1</v>
      </c>
      <c r="X63" s="25">
        <v>1</v>
      </c>
      <c r="Y63" s="25">
        <v>1</v>
      </c>
      <c r="Z63" s="25"/>
      <c r="AA63" s="25"/>
      <c r="AB63" s="110"/>
      <c r="AC63" s="110"/>
      <c r="AD63" s="25"/>
      <c r="AE63" s="25"/>
      <c r="AF63" s="25"/>
      <c r="AG63" s="25"/>
      <c r="AH63" s="25"/>
      <c r="AI63" s="110"/>
      <c r="AJ63" s="110"/>
      <c r="AK63" s="25" t="s">
        <v>223</v>
      </c>
      <c r="AL63" s="25" t="s">
        <v>223</v>
      </c>
      <c r="AM63" s="25" t="s">
        <v>223</v>
      </c>
      <c r="AN63" s="25" t="s">
        <v>223</v>
      </c>
      <c r="AO63" s="25" t="s">
        <v>223</v>
      </c>
      <c r="AP63" s="110"/>
      <c r="AQ63" s="110"/>
      <c r="AR63" s="25">
        <v>1</v>
      </c>
      <c r="AS63" s="25">
        <v>1</v>
      </c>
      <c r="AT63" s="25" t="s">
        <v>447</v>
      </c>
      <c r="AV63" s="25">
        <v>1</v>
      </c>
      <c r="AW63" s="110"/>
      <c r="AX63" s="110"/>
      <c r="AY63" s="25"/>
      <c r="AZ63" s="25"/>
      <c r="BA63" s="25">
        <v>1</v>
      </c>
      <c r="BB63" s="25">
        <v>1</v>
      </c>
      <c r="BC63" s="25">
        <v>1</v>
      </c>
      <c r="BD63" s="110"/>
      <c r="BE63" s="110"/>
      <c r="BF63" s="25">
        <v>1</v>
      </c>
      <c r="BG63" s="25">
        <v>1</v>
      </c>
      <c r="BH63" s="25"/>
      <c r="BI63" s="25"/>
      <c r="BJ63" s="25"/>
      <c r="BK63" s="110"/>
      <c r="BL63" s="110"/>
      <c r="BM63" s="25"/>
      <c r="BN63" s="25"/>
      <c r="BO63" s="25">
        <v>1</v>
      </c>
      <c r="BP63" s="25"/>
      <c r="BQ63" s="25"/>
      <c r="BR63" s="110"/>
      <c r="BS63" s="110"/>
      <c r="BT63" s="25"/>
      <c r="BU63" s="25"/>
      <c r="BV63" s="25">
        <v>1</v>
      </c>
      <c r="BW63" s="25">
        <v>1</v>
      </c>
      <c r="BX63" s="25">
        <v>1</v>
      </c>
      <c r="BY63" s="110"/>
      <c r="BZ63" s="110"/>
      <c r="CA63" s="25"/>
      <c r="CB63" s="25">
        <v>1</v>
      </c>
      <c r="CC63" s="25">
        <v>1</v>
      </c>
      <c r="CD63" s="25">
        <v>1</v>
      </c>
      <c r="CE63" s="25">
        <v>1</v>
      </c>
      <c r="CF63" s="110"/>
      <c r="CG63" s="110"/>
      <c r="CH63" s="25">
        <v>1</v>
      </c>
      <c r="CI63" s="25">
        <v>1</v>
      </c>
      <c r="CJ63" s="25">
        <v>1</v>
      </c>
      <c r="CK63" s="25">
        <v>1</v>
      </c>
      <c r="CL63" s="25">
        <v>1</v>
      </c>
      <c r="CM63" s="110"/>
      <c r="CN63" s="110"/>
      <c r="CO63" s="25">
        <v>1</v>
      </c>
      <c r="CP63" s="25">
        <v>1</v>
      </c>
      <c r="CQ63" s="25">
        <v>1</v>
      </c>
      <c r="CR63" s="25"/>
      <c r="CS63" s="25"/>
      <c r="CT63" s="110"/>
      <c r="CU63" s="110"/>
      <c r="CV63" s="110"/>
      <c r="CW63" s="25">
        <v>1</v>
      </c>
      <c r="CX63" s="25"/>
      <c r="CY63" s="25"/>
      <c r="CZ63" s="25"/>
      <c r="DA63" s="110"/>
      <c r="DB63" s="110"/>
      <c r="DC63" s="25" t="s">
        <v>223</v>
      </c>
      <c r="DD63" s="25" t="s">
        <v>223</v>
      </c>
      <c r="DE63" s="25" t="s">
        <v>223</v>
      </c>
      <c r="DF63" s="25" t="s">
        <v>223</v>
      </c>
      <c r="DG63" s="25" t="s">
        <v>223</v>
      </c>
      <c r="DH63" s="110"/>
      <c r="DI63" s="110"/>
      <c r="DJ63" s="25" t="s">
        <v>223</v>
      </c>
      <c r="DK63" s="25" t="s">
        <v>223</v>
      </c>
      <c r="DL63" s="25" t="s">
        <v>223</v>
      </c>
      <c r="DM63" s="25" t="s">
        <v>223</v>
      </c>
      <c r="DN63" s="25" t="s">
        <v>223</v>
      </c>
      <c r="DO63" s="110"/>
      <c r="DP63" s="110"/>
      <c r="DQ63" s="25"/>
      <c r="DR63" s="25">
        <v>1</v>
      </c>
      <c r="DS63" s="25">
        <v>1</v>
      </c>
      <c r="DT63" s="25"/>
      <c r="DU63" s="110" t="s">
        <v>445</v>
      </c>
      <c r="DV63" s="110"/>
      <c r="DW63" s="110"/>
      <c r="DX63" s="25">
        <v>1</v>
      </c>
      <c r="DY63" s="25">
        <v>1</v>
      </c>
      <c r="DZ63" s="25"/>
      <c r="EA63" s="25">
        <v>1</v>
      </c>
      <c r="EB63" s="110" t="s">
        <v>445</v>
      </c>
      <c r="EC63" s="110"/>
      <c r="ED63" s="110"/>
      <c r="EE63" s="25">
        <v>1</v>
      </c>
      <c r="EF63" s="25">
        <v>1</v>
      </c>
      <c r="EG63" s="25">
        <v>1</v>
      </c>
      <c r="EH63" s="110" t="s">
        <v>445</v>
      </c>
      <c r="EI63" s="110" t="s">
        <v>445</v>
      </c>
      <c r="EJ63" s="110"/>
      <c r="EK63" s="110"/>
      <c r="EL63" s="25"/>
      <c r="EM63" s="25"/>
      <c r="EN63" s="25"/>
      <c r="EO63" s="25"/>
      <c r="EP63" s="25"/>
      <c r="EQ63" s="110"/>
      <c r="ER63" s="110"/>
      <c r="ES63" s="110" t="s">
        <v>445</v>
      </c>
      <c r="ET63" s="25"/>
      <c r="EU63" s="25"/>
      <c r="EV63" s="25"/>
      <c r="EW63" s="25"/>
      <c r="EX63" s="110"/>
      <c r="EY63" s="110"/>
      <c r="EZ63" s="25"/>
      <c r="FA63" s="25"/>
      <c r="FB63" s="25"/>
      <c r="FC63" s="25"/>
      <c r="FD63" s="25"/>
      <c r="FE63" s="110"/>
      <c r="FF63" s="110"/>
      <c r="FG63" s="25"/>
      <c r="FH63" s="25"/>
      <c r="FI63" s="25"/>
      <c r="FJ63" s="25"/>
      <c r="FK63" s="25"/>
      <c r="FL63" s="110"/>
      <c r="FM63" s="110"/>
      <c r="FN63" s="25"/>
      <c r="FO63" s="25"/>
      <c r="FP63" s="25"/>
      <c r="FQ63" s="25"/>
      <c r="FR63" s="25"/>
      <c r="FS63" s="110"/>
      <c r="FT63" s="110"/>
      <c r="FU63" s="25"/>
      <c r="FV63" s="25"/>
      <c r="FW63" s="25"/>
      <c r="FX63" s="25"/>
      <c r="FY63" s="25"/>
      <c r="FZ63" s="110"/>
      <c r="GA63" s="110"/>
      <c r="GB63" s="25"/>
      <c r="GC63" s="25"/>
      <c r="GD63" s="25"/>
      <c r="GE63" s="25"/>
      <c r="GF63" s="25"/>
      <c r="GG63" s="110"/>
      <c r="GH63" s="110"/>
      <c r="GI63" s="25"/>
      <c r="GJ63" s="25"/>
      <c r="GK63" s="25"/>
      <c r="GL63" s="25"/>
      <c r="GM63" s="25"/>
      <c r="GN63" s="110"/>
      <c r="GO63" s="110"/>
      <c r="GP63" s="110" t="s">
        <v>445</v>
      </c>
      <c r="GQ63" s="110"/>
      <c r="GR63" s="25"/>
      <c r="GS63" s="25"/>
      <c r="GT63" s="25"/>
      <c r="GU63" s="110"/>
      <c r="GV63" s="110"/>
      <c r="GW63" s="25"/>
      <c r="GX63" s="25"/>
      <c r="GY63" s="25"/>
      <c r="GZ63" s="25"/>
      <c r="HA63" s="25"/>
      <c r="HB63" s="110"/>
      <c r="HC63" s="110"/>
      <c r="HD63" s="25"/>
      <c r="HE63" s="25"/>
      <c r="HF63" s="25"/>
      <c r="HG63" s="25"/>
      <c r="HH63" s="25"/>
      <c r="HI63" s="110"/>
      <c r="HJ63" s="110"/>
      <c r="HK63" s="25"/>
      <c r="HL63" s="25"/>
      <c r="HM63" s="25"/>
      <c r="HN63" s="25"/>
      <c r="HO63" s="25"/>
      <c r="HP63" s="110"/>
      <c r="HQ63" s="110"/>
      <c r="HR63" s="25"/>
      <c r="HS63" s="25"/>
      <c r="HT63" s="25"/>
      <c r="HU63" s="25"/>
      <c r="HV63" s="25"/>
      <c r="HW63" s="110"/>
      <c r="HX63" s="110"/>
      <c r="HY63" s="25"/>
      <c r="HZ63" s="25"/>
      <c r="IA63" s="25"/>
      <c r="IB63" s="25"/>
      <c r="IC63" s="25"/>
      <c r="ID63" s="110"/>
      <c r="IE63" s="110"/>
      <c r="IF63" s="25"/>
      <c r="IG63" s="25"/>
      <c r="IH63" s="25"/>
      <c r="II63" s="25"/>
      <c r="IJ63" s="25"/>
      <c r="IK63" s="110"/>
      <c r="IL63" s="110"/>
      <c r="IM63" s="25"/>
      <c r="IN63" s="25"/>
      <c r="IO63" s="25"/>
      <c r="IP63" s="25"/>
      <c r="IQ63" s="25"/>
      <c r="IR63" s="110"/>
      <c r="IS63" s="110"/>
      <c r="IT63" s="25"/>
      <c r="IU63" s="25"/>
      <c r="IV63" s="25"/>
      <c r="IW63" s="25"/>
      <c r="IX63" s="25"/>
      <c r="IY63" s="110"/>
      <c r="IZ63" s="110"/>
      <c r="JA63" s="25"/>
      <c r="JB63" s="25"/>
      <c r="JC63" s="25"/>
      <c r="JD63" s="25"/>
      <c r="JE63" s="25"/>
      <c r="JF63" s="110"/>
      <c r="JG63" s="110"/>
      <c r="JH63" s="25"/>
      <c r="JI63" s="25"/>
      <c r="JJ63" s="25"/>
      <c r="JK63" s="25"/>
      <c r="JL63" s="25"/>
      <c r="JM63" s="110"/>
      <c r="JN63" s="110"/>
      <c r="JO63" s="25"/>
      <c r="JP63" s="25"/>
      <c r="JQ63" s="25"/>
      <c r="JR63" s="25"/>
      <c r="JS63" s="25"/>
      <c r="JT63" s="110"/>
      <c r="JU63" s="110"/>
      <c r="JV63" s="25"/>
      <c r="JW63" s="25"/>
      <c r="JX63" s="25"/>
      <c r="JY63" s="25"/>
      <c r="JZ63" s="25"/>
      <c r="KA63" s="110"/>
      <c r="KB63" s="110"/>
      <c r="KC63" s="25"/>
      <c r="KD63" s="25"/>
      <c r="KE63" s="25"/>
      <c r="KF63" s="25"/>
      <c r="KG63" s="25"/>
      <c r="KH63" s="110"/>
      <c r="KI63" s="110"/>
      <c r="KJ63" s="25"/>
      <c r="KK63" s="25"/>
      <c r="KL63" s="25"/>
      <c r="KM63" s="25"/>
      <c r="KN63" s="25"/>
      <c r="KO63" s="110"/>
      <c r="KP63" s="110"/>
      <c r="KQ63" s="25"/>
      <c r="KR63" s="25"/>
      <c r="KS63" s="25"/>
      <c r="KT63" s="25"/>
      <c r="KU63" s="25"/>
      <c r="KV63" s="110"/>
      <c r="KW63" s="110"/>
      <c r="KX63" s="25"/>
      <c r="KY63" s="25"/>
      <c r="KZ63" s="25"/>
      <c r="LA63" s="25"/>
      <c r="LB63" s="25"/>
      <c r="LC63" s="110"/>
      <c r="LD63" s="110"/>
      <c r="LE63" s="25"/>
      <c r="LF63" s="25"/>
      <c r="LG63" s="110" t="s">
        <v>445</v>
      </c>
      <c r="LH63" s="25"/>
      <c r="LI63" s="25"/>
      <c r="LJ63" s="110"/>
      <c r="LK63" s="110"/>
      <c r="LL63" s="25"/>
      <c r="LM63" s="25"/>
      <c r="LN63" s="25"/>
      <c r="LO63" s="25"/>
      <c r="LP63" s="25"/>
      <c r="LQ63" s="110"/>
      <c r="LR63" s="110"/>
      <c r="LS63" s="25"/>
      <c r="LT63" s="25"/>
      <c r="LU63" s="25"/>
      <c r="LV63" s="25"/>
      <c r="LW63" s="25"/>
      <c r="LX63" s="110"/>
      <c r="LY63" s="110"/>
      <c r="LZ63" s="25"/>
      <c r="MA63" s="25"/>
      <c r="MB63" s="25"/>
      <c r="MC63" s="25"/>
      <c r="MD63" s="25"/>
      <c r="ME63" s="110"/>
      <c r="MF63" s="110"/>
      <c r="MG63" s="25"/>
      <c r="MH63" s="25"/>
      <c r="MI63" s="25"/>
      <c r="MJ63" s="25"/>
      <c r="MK63" s="25"/>
      <c r="ML63" s="110"/>
      <c r="MM63" s="110"/>
      <c r="MN63" s="25"/>
      <c r="MO63" s="25"/>
      <c r="MP63" s="25"/>
      <c r="MQ63" s="25"/>
      <c r="MR63" s="25"/>
      <c r="MS63" s="110"/>
      <c r="MT63" s="110"/>
      <c r="MU63" s="25"/>
      <c r="MV63" s="25"/>
      <c r="MW63" s="25"/>
      <c r="MX63" s="25"/>
      <c r="MY63" s="25"/>
      <c r="MZ63" s="110"/>
      <c r="NA63" s="110"/>
      <c r="NB63" s="25"/>
      <c r="NC63" s="25"/>
      <c r="ND63" s="25"/>
      <c r="NE63" s="129"/>
      <c r="NF63" s="111"/>
      <c r="NG63" s="8">
        <f t="shared" si="45"/>
        <v>9</v>
      </c>
      <c r="NH63" s="351" cm="1">
        <f t="array" ref="NH63">NETWORKDAYS($I$2,$AH$2)- SUM(COUNTIF(I63:AH63,{"I";"F";"CP";"R";"P";"AC";"AM"}))</f>
        <v>20</v>
      </c>
      <c r="NI63" s="138">
        <f t="shared" si="12"/>
        <v>0.45</v>
      </c>
      <c r="NJ63" s="8">
        <f t="shared" si="46"/>
        <v>8</v>
      </c>
      <c r="NK63" s="351" cm="1">
        <f t="array" ref="NK63">NETWORKDAYS($AJ$2,$BK$2)- SUM(COUNTIF(AJ63:BK63,{"I";"F";"CP";"R";"P";"AC";"AM"}))</f>
        <v>14</v>
      </c>
      <c r="NL63" s="138">
        <f t="shared" si="13"/>
        <v>0.5714285714285714</v>
      </c>
      <c r="NM63" s="8">
        <f t="shared" si="47"/>
        <v>15</v>
      </c>
      <c r="NN63" s="351" cm="1">
        <f t="array" ref="NN63">NETWORKDAYS($BL$2,$CP$2)- SUM(COUNTIF(BL63:CP63,{"I";"F";"CP";"R";"P";"AC";"AM"}))</f>
        <v>22</v>
      </c>
      <c r="NO63" s="138">
        <f t="shared" si="14"/>
        <v>0.68181818181818177</v>
      </c>
      <c r="NP63" s="8">
        <f t="shared" si="48"/>
        <v>4</v>
      </c>
      <c r="NQ63" s="351" cm="1">
        <f t="array" ref="NQ63">NETWORKDAYS($CQ$2,$DT$2,$CV$2)- SUM(COUNTIF(CQ63:DT63,{"I";"F";"CP";"R";"P";"AC";"AM"}))</f>
        <v>11</v>
      </c>
      <c r="NR63" s="138">
        <f t="shared" si="15"/>
        <v>0.36363636363636365</v>
      </c>
      <c r="NS63" s="8">
        <f t="shared" si="49"/>
        <v>6</v>
      </c>
      <c r="NT63" s="351" cm="1">
        <f t="array" ref="NT63">NETWORKDAYS($DV$2,$EY$2)-SUM(COUNTIF(DV63:EY63,{"I";"F";"CP";"R";"P";"AC";"AM"}))</f>
        <v>16</v>
      </c>
      <c r="NU63" s="138">
        <f t="shared" si="16"/>
        <v>0.375</v>
      </c>
      <c r="NV63" s="8">
        <f t="shared" si="50"/>
        <v>0</v>
      </c>
      <c r="NW63" s="351" cm="1">
        <f t="array" ref="NW63">NETWORKDAYS($EZ$2,$GC$2)-SUM(COUNTIF(EZ63:GC63,{"I";"F";"CP";"R";"P";"AC";"AM"}))</f>
        <v>22</v>
      </c>
      <c r="NX63" s="138">
        <f t="shared" si="51"/>
        <v>0</v>
      </c>
      <c r="NY63" s="8">
        <f t="shared" si="52"/>
        <v>0</v>
      </c>
      <c r="NZ63" s="351" cm="1">
        <f t="array" ref="NZ63">NETWORKDAYS($GD$2,$HH$2,$GQ$2)-SUM(COUNTIF(GD63:HH63,{"I";"F";"CP";"R";"P";"AC";"AM"}))</f>
        <v>21</v>
      </c>
      <c r="OA63" s="138">
        <f t="shared" si="53"/>
        <v>0</v>
      </c>
      <c r="OB63" s="8">
        <f t="shared" si="54"/>
        <v>0</v>
      </c>
      <c r="OC63" s="351" cm="1">
        <f t="array" ref="OC63">NETWORKDAYS($HI$2,$IM$2)-SUM(COUNTIF(HI63:IM63,{"I";"F";"CP";"R";"P";"AC";"AM"}))</f>
        <v>21</v>
      </c>
      <c r="OD63" s="138">
        <f t="shared" si="55"/>
        <v>0</v>
      </c>
      <c r="OE63" s="8">
        <f t="shared" si="56"/>
        <v>0</v>
      </c>
      <c r="OF63" s="351" cm="1">
        <f t="array" ref="OF63">NETWORKDAYS($IN$2,$JQ$2)-SUM(COUNTIF(IN63:JQ63,{"I";"F";"CP";"R";"P";"AC";"AM"}))</f>
        <v>22</v>
      </c>
      <c r="OG63" s="138">
        <f t="shared" si="57"/>
        <v>0</v>
      </c>
      <c r="OH63" s="8">
        <f t="shared" si="58"/>
        <v>0</v>
      </c>
      <c r="OI63" s="351" cm="1">
        <f t="array" ref="OI63">NETWORKDAYS($JR$2,$KV$2)-SUM(COUNTIF(JR63:KV63,{"I";"F";"CP";"R";"P";"AC";"AM"}))</f>
        <v>22</v>
      </c>
      <c r="OJ63" s="138">
        <f t="shared" si="59"/>
        <v>0</v>
      </c>
      <c r="OK63" s="8">
        <f t="shared" si="60"/>
        <v>0</v>
      </c>
      <c r="OL63" s="351" cm="1">
        <f t="array" ref="OL63">NETWORKDAYS($KW$2,$LZ$2,$LG$2)-SUM(COUNTIF(KW63:LZ63,{"I";"F";"CP";"R";"P";"AC";"AM"}))</f>
        <v>19</v>
      </c>
      <c r="OM63" s="138">
        <f t="shared" si="61"/>
        <v>0</v>
      </c>
      <c r="ON63" s="8">
        <f t="shared" si="62"/>
        <v>0</v>
      </c>
      <c r="OO63" s="351" cm="1">
        <f t="array" ref="OO63">NETWORKDAYS($MA$2,$MR$2)-SUM(COUNTIF(MA63:MR63,{"I";"F";"CP";"R";"P";"AC";"AM"}))</f>
        <v>14</v>
      </c>
      <c r="OP63" s="138">
        <f t="shared" si="63"/>
        <v>0</v>
      </c>
      <c r="OQ63" s="94">
        <f t="shared" si="64"/>
        <v>42</v>
      </c>
      <c r="OR63" s="94">
        <f t="shared" si="65"/>
        <v>224</v>
      </c>
      <c r="OS63" s="138">
        <f t="shared" si="66"/>
        <v>0.1875</v>
      </c>
    </row>
    <row r="64" spans="1:409" ht="18" hidden="1" customHeight="1" x14ac:dyDescent="0.25">
      <c r="A64" s="93" t="s">
        <v>54</v>
      </c>
      <c r="B64" s="93" t="s">
        <v>34</v>
      </c>
      <c r="C64" s="89" t="s">
        <v>166</v>
      </c>
      <c r="D64" s="89" t="s">
        <v>238</v>
      </c>
      <c r="E64" s="128"/>
      <c r="F64" s="110"/>
      <c r="G64" s="110"/>
      <c r="H64" s="110"/>
      <c r="I64" s="25">
        <v>1</v>
      </c>
      <c r="J64" s="25"/>
      <c r="K64" s="25">
        <v>1</v>
      </c>
      <c r="L64" s="25"/>
      <c r="M64" s="25">
        <v>1</v>
      </c>
      <c r="N64" s="110"/>
      <c r="O64" s="110"/>
      <c r="P64" s="25">
        <v>1</v>
      </c>
      <c r="Q64" s="25"/>
      <c r="R64" s="25">
        <v>1</v>
      </c>
      <c r="S64" s="25">
        <v>1</v>
      </c>
      <c r="T64" s="25"/>
      <c r="U64" s="110"/>
      <c r="V64" s="110"/>
      <c r="W64" s="25"/>
      <c r="X64" s="25">
        <v>1</v>
      </c>
      <c r="Y64" s="25">
        <v>1</v>
      </c>
      <c r="Z64" s="25">
        <v>1</v>
      </c>
      <c r="AA64" s="25">
        <v>1</v>
      </c>
      <c r="AB64" s="110"/>
      <c r="AC64" s="110"/>
      <c r="AD64" s="25">
        <v>1</v>
      </c>
      <c r="AE64" s="25">
        <v>1</v>
      </c>
      <c r="AF64" s="25"/>
      <c r="AG64" s="25">
        <v>1</v>
      </c>
      <c r="AH64" s="25">
        <v>1</v>
      </c>
      <c r="AI64" s="110"/>
      <c r="AJ64" s="110"/>
      <c r="AK64" s="25">
        <v>1</v>
      </c>
      <c r="AL64" s="25">
        <v>1</v>
      </c>
      <c r="AM64" s="25"/>
      <c r="AN64" s="25">
        <v>1</v>
      </c>
      <c r="AO64" s="25"/>
      <c r="AP64" s="110"/>
      <c r="AQ64" s="110"/>
      <c r="AR64" s="25">
        <v>1</v>
      </c>
      <c r="AS64" s="25">
        <v>1</v>
      </c>
      <c r="AT64" s="25"/>
      <c r="AV64" s="25"/>
      <c r="AW64" s="110"/>
      <c r="AX64" s="110"/>
      <c r="AY64" s="25"/>
      <c r="AZ64" s="25">
        <v>1</v>
      </c>
      <c r="BA64" s="25">
        <v>1</v>
      </c>
      <c r="BB64" s="25"/>
      <c r="BC64" s="25"/>
      <c r="BD64" s="110"/>
      <c r="BE64" s="110"/>
      <c r="BF64" s="25">
        <v>1</v>
      </c>
      <c r="BG64" s="25"/>
      <c r="BH64" s="25">
        <v>1</v>
      </c>
      <c r="BI64" s="25">
        <v>1</v>
      </c>
      <c r="BJ64" s="25">
        <v>1</v>
      </c>
      <c r="BK64" s="110"/>
      <c r="BL64" s="110"/>
      <c r="BM64" s="25">
        <v>1</v>
      </c>
      <c r="BN64" s="25"/>
      <c r="BO64" s="25">
        <v>1</v>
      </c>
      <c r="BP64" s="25"/>
      <c r="BQ64" s="25"/>
      <c r="BR64" s="110"/>
      <c r="BS64" s="110"/>
      <c r="BT64" s="25"/>
      <c r="BU64" s="25">
        <v>1</v>
      </c>
      <c r="BV64" s="25"/>
      <c r="BW64" s="25"/>
      <c r="BX64" s="25"/>
      <c r="BY64" s="110"/>
      <c r="BZ64" s="110"/>
      <c r="CA64" s="25">
        <v>1</v>
      </c>
      <c r="CB64" s="25"/>
      <c r="CC64" s="25">
        <v>1</v>
      </c>
      <c r="CD64" s="25">
        <v>1</v>
      </c>
      <c r="CE64" s="25"/>
      <c r="CF64" s="110"/>
      <c r="CG64" s="110"/>
      <c r="CH64" s="25"/>
      <c r="CI64" s="25">
        <v>1</v>
      </c>
      <c r="CJ64" s="25">
        <v>1</v>
      </c>
      <c r="CK64" s="25"/>
      <c r="CL64" s="25">
        <v>1</v>
      </c>
      <c r="CM64" s="110"/>
      <c r="CN64" s="110"/>
      <c r="CO64" s="25"/>
      <c r="CP64" s="25"/>
      <c r="CQ64" s="25">
        <v>1</v>
      </c>
      <c r="CR64" s="25">
        <v>1</v>
      </c>
      <c r="CS64" s="25">
        <v>1</v>
      </c>
      <c r="CT64" s="110"/>
      <c r="CU64" s="110"/>
      <c r="CV64" s="110"/>
      <c r="CW64" s="25">
        <v>1</v>
      </c>
      <c r="CX64" s="25"/>
      <c r="CY64" s="25">
        <v>1</v>
      </c>
      <c r="CZ64" s="25"/>
      <c r="DA64" s="110"/>
      <c r="DB64" s="110"/>
      <c r="DC64" s="25">
        <v>1</v>
      </c>
      <c r="DD64" s="25">
        <v>1</v>
      </c>
      <c r="DE64" s="25">
        <v>1</v>
      </c>
      <c r="DF64" s="25"/>
      <c r="DG64" s="25"/>
      <c r="DH64" s="110"/>
      <c r="DI64" s="110"/>
      <c r="DJ64" s="25"/>
      <c r="DK64" s="25">
        <v>1</v>
      </c>
      <c r="DL64" s="25">
        <v>1</v>
      </c>
      <c r="DM64" s="25"/>
      <c r="DN64" s="25"/>
      <c r="DO64" s="110"/>
      <c r="DP64" s="110"/>
      <c r="DQ64" s="25">
        <v>1</v>
      </c>
      <c r="DR64" s="25"/>
      <c r="DS64" s="25"/>
      <c r="DT64" s="25"/>
      <c r="DU64" s="110" t="s">
        <v>445</v>
      </c>
      <c r="DV64" s="110"/>
      <c r="DW64" s="110"/>
      <c r="DX64" s="25"/>
      <c r="DY64" s="25"/>
      <c r="DZ64" s="25"/>
      <c r="EA64" s="25"/>
      <c r="EB64" s="110" t="s">
        <v>445</v>
      </c>
      <c r="EC64" s="110"/>
      <c r="ED64" s="110"/>
      <c r="EE64" s="25"/>
      <c r="EF64" s="25"/>
      <c r="EG64" s="25"/>
      <c r="EH64" s="110" t="s">
        <v>445</v>
      </c>
      <c r="EI64" s="110" t="s">
        <v>445</v>
      </c>
      <c r="EJ64" s="110"/>
      <c r="EK64" s="110"/>
      <c r="EL64" s="25"/>
      <c r="EM64" s="25"/>
      <c r="EN64" s="25"/>
      <c r="EO64" s="25"/>
      <c r="EP64" s="25"/>
      <c r="EQ64" s="110"/>
      <c r="ER64" s="110"/>
      <c r="ES64" s="110" t="s">
        <v>445</v>
      </c>
      <c r="ET64" s="25"/>
      <c r="EU64" s="25"/>
      <c r="EV64" s="25"/>
      <c r="EW64" s="25"/>
      <c r="EX64" s="110"/>
      <c r="EY64" s="110"/>
      <c r="EZ64" s="25"/>
      <c r="FA64" s="25"/>
      <c r="FB64" s="25"/>
      <c r="FC64" s="25"/>
      <c r="FD64" s="25"/>
      <c r="FE64" s="110"/>
      <c r="FF64" s="110"/>
      <c r="FG64" s="25"/>
      <c r="FH64" s="25"/>
      <c r="FI64" s="25"/>
      <c r="FJ64" s="25"/>
      <c r="FK64" s="25"/>
      <c r="FL64" s="110"/>
      <c r="FM64" s="110"/>
      <c r="FN64" s="25"/>
      <c r="FO64" s="25"/>
      <c r="FP64" s="25"/>
      <c r="FQ64" s="25"/>
      <c r="FR64" s="25"/>
      <c r="FS64" s="110"/>
      <c r="FT64" s="110"/>
      <c r="FU64" s="25"/>
      <c r="FV64" s="25"/>
      <c r="FW64" s="25"/>
      <c r="FX64" s="25"/>
      <c r="FY64" s="25"/>
      <c r="FZ64" s="110"/>
      <c r="GA64" s="110"/>
      <c r="GB64" s="25"/>
      <c r="GC64" s="25"/>
      <c r="GD64" s="25"/>
      <c r="GE64" s="25"/>
      <c r="GF64" s="25"/>
      <c r="GG64" s="110"/>
      <c r="GH64" s="110"/>
      <c r="GI64" s="25"/>
      <c r="GJ64" s="25"/>
      <c r="GK64" s="25"/>
      <c r="GL64" s="25"/>
      <c r="GM64" s="25"/>
      <c r="GN64" s="110"/>
      <c r="GO64" s="110"/>
      <c r="GP64" s="110" t="s">
        <v>445</v>
      </c>
      <c r="GQ64" s="110"/>
      <c r="GR64" s="25"/>
      <c r="GS64" s="25"/>
      <c r="GT64" s="25"/>
      <c r="GU64" s="110"/>
      <c r="GV64" s="110"/>
      <c r="GW64" s="25"/>
      <c r="GX64" s="25"/>
      <c r="GY64" s="25"/>
      <c r="GZ64" s="25"/>
      <c r="HA64" s="25"/>
      <c r="HB64" s="110"/>
      <c r="HC64" s="110"/>
      <c r="HD64" s="25"/>
      <c r="HE64" s="25"/>
      <c r="HF64" s="25"/>
      <c r="HG64" s="25"/>
      <c r="HH64" s="25"/>
      <c r="HI64" s="110"/>
      <c r="HJ64" s="110"/>
      <c r="HK64" s="25"/>
      <c r="HL64" s="25"/>
      <c r="HM64" s="25"/>
      <c r="HN64" s="25"/>
      <c r="HO64" s="25"/>
      <c r="HP64" s="110"/>
      <c r="HQ64" s="110"/>
      <c r="HR64" s="25"/>
      <c r="HS64" s="25"/>
      <c r="HT64" s="25"/>
      <c r="HU64" s="25"/>
      <c r="HV64" s="25"/>
      <c r="HW64" s="110"/>
      <c r="HX64" s="110"/>
      <c r="HY64" s="25"/>
      <c r="HZ64" s="25"/>
      <c r="IA64" s="25"/>
      <c r="IB64" s="25"/>
      <c r="IC64" s="25"/>
      <c r="ID64" s="110"/>
      <c r="IE64" s="110"/>
      <c r="IF64" s="25"/>
      <c r="IG64" s="25"/>
      <c r="IH64" s="25"/>
      <c r="II64" s="25"/>
      <c r="IJ64" s="25"/>
      <c r="IK64" s="110"/>
      <c r="IL64" s="110"/>
      <c r="IM64" s="25"/>
      <c r="IN64" s="25"/>
      <c r="IO64" s="25"/>
      <c r="IP64" s="25"/>
      <c r="IQ64" s="25"/>
      <c r="IR64" s="110"/>
      <c r="IS64" s="110"/>
      <c r="IT64" s="25"/>
      <c r="IU64" s="25"/>
      <c r="IV64" s="25"/>
      <c r="IW64" s="25"/>
      <c r="IX64" s="25"/>
      <c r="IY64" s="110"/>
      <c r="IZ64" s="110"/>
      <c r="JA64" s="25"/>
      <c r="JB64" s="25"/>
      <c r="JC64" s="25"/>
      <c r="JD64" s="25"/>
      <c r="JE64" s="25"/>
      <c r="JF64" s="110"/>
      <c r="JG64" s="110"/>
      <c r="JH64" s="25"/>
      <c r="JI64" s="25"/>
      <c r="JJ64" s="25"/>
      <c r="JK64" s="25"/>
      <c r="JL64" s="25"/>
      <c r="JM64" s="110"/>
      <c r="JN64" s="110"/>
      <c r="JO64" s="25"/>
      <c r="JP64" s="25"/>
      <c r="JQ64" s="25"/>
      <c r="JR64" s="25"/>
      <c r="JS64" s="25"/>
      <c r="JT64" s="110"/>
      <c r="JU64" s="110"/>
      <c r="JV64" s="25"/>
      <c r="JW64" s="25"/>
      <c r="JX64" s="25"/>
      <c r="JY64" s="25"/>
      <c r="JZ64" s="25"/>
      <c r="KA64" s="110"/>
      <c r="KB64" s="110"/>
      <c r="KC64" s="25"/>
      <c r="KD64" s="25"/>
      <c r="KE64" s="25"/>
      <c r="KF64" s="25"/>
      <c r="KG64" s="25"/>
      <c r="KH64" s="110"/>
      <c r="KI64" s="110"/>
      <c r="KJ64" s="25"/>
      <c r="KK64" s="25"/>
      <c r="KL64" s="25"/>
      <c r="KM64" s="25"/>
      <c r="KN64" s="25"/>
      <c r="KO64" s="110"/>
      <c r="KP64" s="110"/>
      <c r="KQ64" s="25"/>
      <c r="KR64" s="25"/>
      <c r="KS64" s="25"/>
      <c r="KT64" s="25"/>
      <c r="KU64" s="25"/>
      <c r="KV64" s="110"/>
      <c r="KW64" s="110"/>
      <c r="KX64" s="25"/>
      <c r="KY64" s="25"/>
      <c r="KZ64" s="25"/>
      <c r="LA64" s="25"/>
      <c r="LB64" s="25"/>
      <c r="LC64" s="110"/>
      <c r="LD64" s="110"/>
      <c r="LE64" s="25"/>
      <c r="LF64" s="25"/>
      <c r="LG64" s="110" t="s">
        <v>445</v>
      </c>
      <c r="LH64" s="25"/>
      <c r="LI64" s="25"/>
      <c r="LJ64" s="110"/>
      <c r="LK64" s="110"/>
      <c r="LL64" s="25"/>
      <c r="LM64" s="25"/>
      <c r="LN64" s="25"/>
      <c r="LO64" s="25"/>
      <c r="LP64" s="25"/>
      <c r="LQ64" s="110"/>
      <c r="LR64" s="110"/>
      <c r="LS64" s="25"/>
      <c r="LT64" s="25"/>
      <c r="LU64" s="25"/>
      <c r="LV64" s="25"/>
      <c r="LW64" s="25"/>
      <c r="LX64" s="110"/>
      <c r="LY64" s="110"/>
      <c r="LZ64" s="25"/>
      <c r="MA64" s="25"/>
      <c r="MB64" s="25"/>
      <c r="MC64" s="25"/>
      <c r="MD64" s="25"/>
      <c r="ME64" s="110"/>
      <c r="MF64" s="110"/>
      <c r="MG64" s="25"/>
      <c r="MH64" s="25"/>
      <c r="MI64" s="25"/>
      <c r="MJ64" s="25"/>
      <c r="MK64" s="25"/>
      <c r="ML64" s="110"/>
      <c r="MM64" s="110"/>
      <c r="MN64" s="25"/>
      <c r="MO64" s="25"/>
      <c r="MP64" s="25"/>
      <c r="MQ64" s="25"/>
      <c r="MR64" s="25"/>
      <c r="MS64" s="110"/>
      <c r="MT64" s="110"/>
      <c r="MU64" s="25"/>
      <c r="MV64" s="25"/>
      <c r="MW64" s="25"/>
      <c r="MX64" s="25"/>
      <c r="MY64" s="25"/>
      <c r="MZ64" s="110"/>
      <c r="NA64" s="110"/>
      <c r="NB64" s="25"/>
      <c r="NC64" s="25"/>
      <c r="ND64" s="25"/>
      <c r="NE64" s="129"/>
      <c r="NF64" s="111"/>
      <c r="NG64" s="8">
        <f t="shared" si="45"/>
        <v>14</v>
      </c>
      <c r="NH64" s="351" cm="1">
        <f t="array" ref="NH64">NETWORKDAYS($I$2,$AH$2)- SUM(COUNTIF(I64:AH64,{"I";"F";"CP";"R";"P";"AC";"AM"}))</f>
        <v>20</v>
      </c>
      <c r="NI64" s="138">
        <f t="shared" si="12"/>
        <v>0.7</v>
      </c>
      <c r="NJ64" s="8">
        <f t="shared" si="46"/>
        <v>11</v>
      </c>
      <c r="NK64" s="351" cm="1">
        <f t="array" ref="NK64">NETWORKDAYS($AJ$2,$BK$2)- SUM(COUNTIF(AJ64:BK64,{"I";"F";"CP";"R";"P";"AC";"AM"}))</f>
        <v>20</v>
      </c>
      <c r="NL64" s="138">
        <f t="shared" si="13"/>
        <v>0.55000000000000004</v>
      </c>
      <c r="NM64" s="8">
        <f t="shared" si="47"/>
        <v>9</v>
      </c>
      <c r="NN64" s="351" cm="1">
        <f t="array" ref="NN64">NETWORKDAYS($BL$2,$CP$2)- SUM(COUNTIF(BL64:CP64,{"I";"F";"CP";"R";"P";"AC";"AM"}))</f>
        <v>22</v>
      </c>
      <c r="NO64" s="138">
        <f t="shared" si="14"/>
        <v>0.40909090909090912</v>
      </c>
      <c r="NP64" s="8">
        <f t="shared" si="48"/>
        <v>11</v>
      </c>
      <c r="NQ64" s="351" cm="1">
        <f t="array" ref="NQ64">NETWORKDAYS($CQ$2,$DT$2,$CV$2)- SUM(COUNTIF(CQ64:DT64,{"I";"F";"CP";"R";"P";"AC";"AM"}))</f>
        <v>21</v>
      </c>
      <c r="NR64" s="138">
        <f t="shared" si="15"/>
        <v>0.52380952380952384</v>
      </c>
      <c r="NS64" s="8">
        <f t="shared" si="49"/>
        <v>0</v>
      </c>
      <c r="NT64" s="351" cm="1">
        <f t="array" ref="NT64">NETWORKDAYS($DV$2,$EY$2)-SUM(COUNTIF(DV64:EY64,{"I";"F";"CP";"R";"P";"AC";"AM"}))</f>
        <v>16</v>
      </c>
      <c r="NU64" s="138">
        <f t="shared" si="16"/>
        <v>0</v>
      </c>
      <c r="NV64" s="8">
        <f t="shared" si="50"/>
        <v>0</v>
      </c>
      <c r="NW64" s="351" cm="1">
        <f t="array" ref="NW64">NETWORKDAYS($EZ$2,$GC$2)-SUM(COUNTIF(EZ64:GC64,{"I";"F";"CP";"R";"P";"AC";"AM"}))</f>
        <v>22</v>
      </c>
      <c r="NX64" s="138">
        <f t="shared" si="51"/>
        <v>0</v>
      </c>
      <c r="NY64" s="8">
        <f t="shared" si="52"/>
        <v>0</v>
      </c>
      <c r="NZ64" s="351" cm="1">
        <f t="array" ref="NZ64">NETWORKDAYS($GD$2,$HH$2,$GQ$2)-SUM(COUNTIF(GD64:HH64,{"I";"F";"CP";"R";"P";"AC";"AM"}))</f>
        <v>21</v>
      </c>
      <c r="OA64" s="138">
        <f t="shared" si="53"/>
        <v>0</v>
      </c>
      <c r="OB64" s="8">
        <f t="shared" si="54"/>
        <v>0</v>
      </c>
      <c r="OC64" s="351" cm="1">
        <f t="array" ref="OC64">NETWORKDAYS($HI$2,$IM$2)-SUM(COUNTIF(HI64:IM64,{"I";"F";"CP";"R";"P";"AC";"AM"}))</f>
        <v>21</v>
      </c>
      <c r="OD64" s="138">
        <f t="shared" si="55"/>
        <v>0</v>
      </c>
      <c r="OE64" s="8">
        <f t="shared" si="56"/>
        <v>0</v>
      </c>
      <c r="OF64" s="351" cm="1">
        <f t="array" ref="OF64">NETWORKDAYS($IN$2,$JQ$2)-SUM(COUNTIF(IN64:JQ64,{"I";"F";"CP";"R";"P";"AC";"AM"}))</f>
        <v>22</v>
      </c>
      <c r="OG64" s="138">
        <f t="shared" si="57"/>
        <v>0</v>
      </c>
      <c r="OH64" s="8">
        <f t="shared" si="58"/>
        <v>0</v>
      </c>
      <c r="OI64" s="351" cm="1">
        <f t="array" ref="OI64">NETWORKDAYS($JR$2,$KV$2)-SUM(COUNTIF(JR64:KV64,{"I";"F";"CP";"R";"P";"AC";"AM"}))</f>
        <v>22</v>
      </c>
      <c r="OJ64" s="138">
        <f t="shared" si="59"/>
        <v>0</v>
      </c>
      <c r="OK64" s="8">
        <f t="shared" si="60"/>
        <v>0</v>
      </c>
      <c r="OL64" s="351" cm="1">
        <f t="array" ref="OL64">NETWORKDAYS($KW$2,$LZ$2,$LG$2)-SUM(COUNTIF(KW64:LZ64,{"I";"F";"CP";"R";"P";"AC";"AM"}))</f>
        <v>19</v>
      </c>
      <c r="OM64" s="138">
        <f t="shared" si="61"/>
        <v>0</v>
      </c>
      <c r="ON64" s="8">
        <f t="shared" si="62"/>
        <v>0</v>
      </c>
      <c r="OO64" s="351" cm="1">
        <f t="array" ref="OO64">NETWORKDAYS($MA$2,$MR$2)-SUM(COUNTIF(MA64:MR64,{"I";"F";"CP";"R";"P";"AC";"AM"}))</f>
        <v>14</v>
      </c>
      <c r="OP64" s="138">
        <f t="shared" si="63"/>
        <v>0</v>
      </c>
      <c r="OQ64" s="94">
        <f t="shared" si="64"/>
        <v>45</v>
      </c>
      <c r="OR64" s="94">
        <f t="shared" si="65"/>
        <v>240</v>
      </c>
      <c r="OS64" s="138">
        <f t="shared" si="66"/>
        <v>0.1875</v>
      </c>
    </row>
    <row r="65" spans="1:409" ht="18" hidden="1" customHeight="1" x14ac:dyDescent="0.25">
      <c r="A65" s="93" t="s">
        <v>54</v>
      </c>
      <c r="B65" s="95" t="s">
        <v>34</v>
      </c>
      <c r="C65" s="89" t="s">
        <v>166</v>
      </c>
      <c r="D65" s="89" t="s">
        <v>239</v>
      </c>
      <c r="E65" s="128"/>
      <c r="F65" s="110"/>
      <c r="G65" s="110"/>
      <c r="H65" s="110"/>
      <c r="I65" s="25"/>
      <c r="J65" s="25">
        <v>1</v>
      </c>
      <c r="K65" s="25">
        <v>1</v>
      </c>
      <c r="L65" s="25"/>
      <c r="M65" s="25"/>
      <c r="N65" s="110"/>
      <c r="O65" s="110"/>
      <c r="P65" s="25"/>
      <c r="Q65" s="25"/>
      <c r="R65" s="25"/>
      <c r="S65" s="25">
        <v>1</v>
      </c>
      <c r="T65" s="25"/>
      <c r="U65" s="110"/>
      <c r="V65" s="110"/>
      <c r="W65" s="25">
        <v>1</v>
      </c>
      <c r="X65" s="25"/>
      <c r="Y65" s="25">
        <v>1</v>
      </c>
      <c r="Z65" s="25"/>
      <c r="AA65" s="25">
        <v>1</v>
      </c>
      <c r="AB65" s="110"/>
      <c r="AC65" s="110"/>
      <c r="AD65" s="25">
        <v>1</v>
      </c>
      <c r="AE65" s="25">
        <v>1</v>
      </c>
      <c r="AF65" s="25"/>
      <c r="AG65" s="25">
        <v>1</v>
      </c>
      <c r="AH65" s="25">
        <v>1</v>
      </c>
      <c r="AI65" s="110"/>
      <c r="AJ65" s="110"/>
      <c r="AK65" s="25">
        <v>1</v>
      </c>
      <c r="AL65" s="25">
        <v>1</v>
      </c>
      <c r="AM65" s="25">
        <v>1</v>
      </c>
      <c r="AN65" s="25"/>
      <c r="AO65" s="25"/>
      <c r="AP65" s="110"/>
      <c r="AQ65" s="110"/>
      <c r="AR65" s="25">
        <v>1</v>
      </c>
      <c r="AS65" s="25">
        <v>1</v>
      </c>
      <c r="AT65" s="25">
        <v>1</v>
      </c>
      <c r="AV65" s="25">
        <v>1</v>
      </c>
      <c r="AW65" s="110"/>
      <c r="AX65" s="110"/>
      <c r="AY65" s="25"/>
      <c r="AZ65" s="25"/>
      <c r="BA65" s="25">
        <v>1</v>
      </c>
      <c r="BB65" s="25">
        <v>1</v>
      </c>
      <c r="BC65" s="25">
        <v>1</v>
      </c>
      <c r="BD65" s="110"/>
      <c r="BE65" s="110"/>
      <c r="BF65" s="25">
        <v>1</v>
      </c>
      <c r="BG65" s="25">
        <v>1</v>
      </c>
      <c r="BH65" s="25">
        <v>1</v>
      </c>
      <c r="BI65" s="25">
        <v>1</v>
      </c>
      <c r="BJ65" s="25">
        <v>1</v>
      </c>
      <c r="BK65" s="110"/>
      <c r="BL65" s="110"/>
      <c r="BM65" s="25">
        <v>1</v>
      </c>
      <c r="BN65" s="25"/>
      <c r="BO65" s="25">
        <v>1</v>
      </c>
      <c r="BP65" s="25">
        <v>1</v>
      </c>
      <c r="BQ65" s="25">
        <v>1</v>
      </c>
      <c r="BR65" s="110"/>
      <c r="BS65" s="110"/>
      <c r="BT65" s="25"/>
      <c r="BU65" s="25">
        <v>1</v>
      </c>
      <c r="BV65" s="25">
        <v>1</v>
      </c>
      <c r="BW65" s="25">
        <v>1</v>
      </c>
      <c r="BX65" s="25">
        <v>1</v>
      </c>
      <c r="BY65" s="110"/>
      <c r="BZ65" s="110"/>
      <c r="CA65" s="25">
        <v>1</v>
      </c>
      <c r="CB65" s="25">
        <v>1</v>
      </c>
      <c r="CC65" s="25">
        <v>1</v>
      </c>
      <c r="CD65" s="25">
        <v>1</v>
      </c>
      <c r="CE65" s="25">
        <v>1</v>
      </c>
      <c r="CF65" s="110"/>
      <c r="CG65" s="110"/>
      <c r="CH65" s="25">
        <v>1</v>
      </c>
      <c r="CI65" s="25">
        <v>1</v>
      </c>
      <c r="CJ65" s="25">
        <v>1</v>
      </c>
      <c r="CK65" s="25">
        <v>1</v>
      </c>
      <c r="CL65" s="25"/>
      <c r="CM65" s="110"/>
      <c r="CN65" s="110"/>
      <c r="CO65" s="25">
        <v>1</v>
      </c>
      <c r="CP65" s="25">
        <v>1</v>
      </c>
      <c r="CQ65" s="25">
        <v>1</v>
      </c>
      <c r="CR65" s="25">
        <v>1</v>
      </c>
      <c r="CS65" s="25">
        <v>1</v>
      </c>
      <c r="CT65" s="110"/>
      <c r="CU65" s="110"/>
      <c r="CV65" s="110"/>
      <c r="CW65" s="25">
        <v>1</v>
      </c>
      <c r="CX65" s="25">
        <v>1</v>
      </c>
      <c r="CY65" s="25">
        <v>1</v>
      </c>
      <c r="CZ65" s="25">
        <v>1</v>
      </c>
      <c r="DA65" s="110"/>
      <c r="DB65" s="110"/>
      <c r="DC65" s="25"/>
      <c r="DD65" s="25">
        <v>1</v>
      </c>
      <c r="DE65" s="25">
        <v>1</v>
      </c>
      <c r="DF65" s="25">
        <v>1</v>
      </c>
      <c r="DG65" s="25">
        <v>1</v>
      </c>
      <c r="DH65" s="110"/>
      <c r="DI65" s="110"/>
      <c r="DJ65" s="25">
        <v>1</v>
      </c>
      <c r="DK65" s="25">
        <v>1</v>
      </c>
      <c r="DL65" s="25">
        <v>1</v>
      </c>
      <c r="DM65" s="25">
        <v>1</v>
      </c>
      <c r="DN65" s="25">
        <v>1</v>
      </c>
      <c r="DO65" s="110"/>
      <c r="DP65" s="110"/>
      <c r="DQ65" s="25">
        <v>1</v>
      </c>
      <c r="DR65" s="25">
        <v>1</v>
      </c>
      <c r="DS65" s="25">
        <v>1</v>
      </c>
      <c r="DT65" s="25"/>
      <c r="DU65" s="110" t="s">
        <v>445</v>
      </c>
      <c r="DV65" s="110"/>
      <c r="DW65" s="110"/>
      <c r="DX65" s="25"/>
      <c r="DY65" s="25"/>
      <c r="DZ65" s="25"/>
      <c r="EA65" s="25"/>
      <c r="EB65" s="110" t="s">
        <v>445</v>
      </c>
      <c r="EC65" s="110"/>
      <c r="ED65" s="110"/>
      <c r="EE65" s="25"/>
      <c r="EF65" s="25"/>
      <c r="EG65" s="25"/>
      <c r="EH65" s="110" t="s">
        <v>445</v>
      </c>
      <c r="EI65" s="110" t="s">
        <v>445</v>
      </c>
      <c r="EJ65" s="110"/>
      <c r="EK65" s="110"/>
      <c r="EL65" s="25"/>
      <c r="EM65" s="25"/>
      <c r="EN65" s="25"/>
      <c r="EO65" s="25"/>
      <c r="EP65" s="25"/>
      <c r="EQ65" s="110"/>
      <c r="ER65" s="110"/>
      <c r="ES65" s="110" t="s">
        <v>445</v>
      </c>
      <c r="ET65" s="25"/>
      <c r="EU65" s="25"/>
      <c r="EV65" s="25"/>
      <c r="EW65" s="25"/>
      <c r="EX65" s="110"/>
      <c r="EY65" s="110"/>
      <c r="EZ65" s="25"/>
      <c r="FA65" s="25"/>
      <c r="FB65" s="25"/>
      <c r="FC65" s="25"/>
      <c r="FD65" s="25"/>
      <c r="FE65" s="110"/>
      <c r="FF65" s="110"/>
      <c r="FG65" s="25"/>
      <c r="FH65" s="25"/>
      <c r="FI65" s="25"/>
      <c r="FJ65" s="25"/>
      <c r="FK65" s="25"/>
      <c r="FL65" s="110"/>
      <c r="FM65" s="110"/>
      <c r="FN65" s="25"/>
      <c r="FO65" s="25"/>
      <c r="FP65" s="25"/>
      <c r="FQ65" s="25"/>
      <c r="FR65" s="25"/>
      <c r="FS65" s="110"/>
      <c r="FT65" s="110"/>
      <c r="FU65" s="25"/>
      <c r="FV65" s="25"/>
      <c r="FW65" s="25"/>
      <c r="FX65" s="25"/>
      <c r="FY65" s="25"/>
      <c r="FZ65" s="110"/>
      <c r="GA65" s="110"/>
      <c r="GB65" s="25"/>
      <c r="GC65" s="25"/>
      <c r="GD65" s="25"/>
      <c r="GE65" s="25"/>
      <c r="GF65" s="25"/>
      <c r="GG65" s="110"/>
      <c r="GH65" s="110"/>
      <c r="GI65" s="25"/>
      <c r="GJ65" s="25"/>
      <c r="GK65" s="25"/>
      <c r="GL65" s="25"/>
      <c r="GM65" s="25"/>
      <c r="GN65" s="110"/>
      <c r="GO65" s="110"/>
      <c r="GP65" s="110" t="s">
        <v>445</v>
      </c>
      <c r="GQ65" s="110"/>
      <c r="GR65" s="25"/>
      <c r="GS65" s="25"/>
      <c r="GT65" s="25"/>
      <c r="GU65" s="110"/>
      <c r="GV65" s="110"/>
      <c r="GW65" s="25"/>
      <c r="GX65" s="25"/>
      <c r="GY65" s="25"/>
      <c r="GZ65" s="25"/>
      <c r="HA65" s="25"/>
      <c r="HB65" s="110"/>
      <c r="HC65" s="110"/>
      <c r="HD65" s="25"/>
      <c r="HE65" s="25"/>
      <c r="HF65" s="25"/>
      <c r="HG65" s="25"/>
      <c r="HH65" s="25"/>
      <c r="HI65" s="110"/>
      <c r="HJ65" s="110"/>
      <c r="HK65" s="25"/>
      <c r="HL65" s="25"/>
      <c r="HM65" s="25"/>
      <c r="HN65" s="25"/>
      <c r="HO65" s="25"/>
      <c r="HP65" s="110"/>
      <c r="HQ65" s="110"/>
      <c r="HR65" s="25"/>
      <c r="HS65" s="25"/>
      <c r="HT65" s="25"/>
      <c r="HU65" s="25"/>
      <c r="HV65" s="25"/>
      <c r="HW65" s="110"/>
      <c r="HX65" s="110"/>
      <c r="HY65" s="25"/>
      <c r="HZ65" s="25"/>
      <c r="IA65" s="25"/>
      <c r="IB65" s="25"/>
      <c r="IC65" s="25"/>
      <c r="ID65" s="110"/>
      <c r="IE65" s="110"/>
      <c r="IF65" s="25"/>
      <c r="IG65" s="25"/>
      <c r="IH65" s="25"/>
      <c r="II65" s="25"/>
      <c r="IJ65" s="25"/>
      <c r="IK65" s="110"/>
      <c r="IL65" s="110"/>
      <c r="IM65" s="25"/>
      <c r="IN65" s="25"/>
      <c r="IO65" s="25"/>
      <c r="IP65" s="25"/>
      <c r="IQ65" s="25"/>
      <c r="IR65" s="110"/>
      <c r="IS65" s="110"/>
      <c r="IT65" s="25"/>
      <c r="IU65" s="25"/>
      <c r="IV65" s="25"/>
      <c r="IW65" s="25"/>
      <c r="IX65" s="25"/>
      <c r="IY65" s="110"/>
      <c r="IZ65" s="110"/>
      <c r="JA65" s="25"/>
      <c r="JB65" s="25"/>
      <c r="JC65" s="25"/>
      <c r="JD65" s="25"/>
      <c r="JE65" s="25"/>
      <c r="JF65" s="110"/>
      <c r="JG65" s="110"/>
      <c r="JH65" s="25"/>
      <c r="JI65" s="25"/>
      <c r="JJ65" s="25"/>
      <c r="JK65" s="25"/>
      <c r="JL65" s="25"/>
      <c r="JM65" s="110"/>
      <c r="JN65" s="110"/>
      <c r="JO65" s="25"/>
      <c r="JP65" s="25"/>
      <c r="JQ65" s="25"/>
      <c r="JR65" s="25"/>
      <c r="JS65" s="25"/>
      <c r="JT65" s="110"/>
      <c r="JU65" s="110"/>
      <c r="JV65" s="25"/>
      <c r="JW65" s="25"/>
      <c r="JX65" s="25"/>
      <c r="JY65" s="25"/>
      <c r="JZ65" s="25"/>
      <c r="KA65" s="110"/>
      <c r="KB65" s="110"/>
      <c r="KC65" s="25"/>
      <c r="KD65" s="25"/>
      <c r="KE65" s="25"/>
      <c r="KF65" s="25"/>
      <c r="KG65" s="25"/>
      <c r="KH65" s="110"/>
      <c r="KI65" s="110"/>
      <c r="KJ65" s="25"/>
      <c r="KK65" s="25"/>
      <c r="KL65" s="25"/>
      <c r="KM65" s="25"/>
      <c r="KN65" s="25"/>
      <c r="KO65" s="110"/>
      <c r="KP65" s="110"/>
      <c r="KQ65" s="25"/>
      <c r="KR65" s="25"/>
      <c r="KS65" s="25"/>
      <c r="KT65" s="25"/>
      <c r="KU65" s="25"/>
      <c r="KV65" s="110"/>
      <c r="KW65" s="110"/>
      <c r="KX65" s="25"/>
      <c r="KY65" s="25"/>
      <c r="KZ65" s="25"/>
      <c r="LA65" s="25"/>
      <c r="LB65" s="25"/>
      <c r="LC65" s="110"/>
      <c r="LD65" s="110"/>
      <c r="LE65" s="25"/>
      <c r="LF65" s="25"/>
      <c r="LG65" s="110" t="s">
        <v>445</v>
      </c>
      <c r="LH65" s="25"/>
      <c r="LI65" s="25"/>
      <c r="LJ65" s="110"/>
      <c r="LK65" s="110"/>
      <c r="LL65" s="25"/>
      <c r="LM65" s="25"/>
      <c r="LN65" s="25"/>
      <c r="LO65" s="25"/>
      <c r="LP65" s="25"/>
      <c r="LQ65" s="110"/>
      <c r="LR65" s="110"/>
      <c r="LS65" s="25"/>
      <c r="LT65" s="25"/>
      <c r="LU65" s="25"/>
      <c r="LV65" s="25"/>
      <c r="LW65" s="25"/>
      <c r="LX65" s="110"/>
      <c r="LY65" s="110"/>
      <c r="LZ65" s="25"/>
      <c r="MA65" s="25"/>
      <c r="MB65" s="25"/>
      <c r="MC65" s="25"/>
      <c r="MD65" s="25"/>
      <c r="ME65" s="110"/>
      <c r="MF65" s="110"/>
      <c r="MG65" s="25"/>
      <c r="MH65" s="25"/>
      <c r="MI65" s="25"/>
      <c r="MJ65" s="25"/>
      <c r="MK65" s="25"/>
      <c r="ML65" s="110"/>
      <c r="MM65" s="110"/>
      <c r="MN65" s="25"/>
      <c r="MO65" s="25"/>
      <c r="MP65" s="25"/>
      <c r="MQ65" s="25"/>
      <c r="MR65" s="25"/>
      <c r="MS65" s="110"/>
      <c r="MT65" s="110"/>
      <c r="MU65" s="25"/>
      <c r="MV65" s="25"/>
      <c r="MW65" s="25"/>
      <c r="MX65" s="25"/>
      <c r="MY65" s="25"/>
      <c r="MZ65" s="110"/>
      <c r="NA65" s="110"/>
      <c r="NB65" s="25"/>
      <c r="NC65" s="25"/>
      <c r="ND65" s="25"/>
      <c r="NE65" s="129"/>
      <c r="NF65" s="111"/>
      <c r="NG65" s="8">
        <f t="shared" si="45"/>
        <v>10</v>
      </c>
      <c r="NH65" s="351" cm="1">
        <f t="array" ref="NH65">NETWORKDAYS($I$2,$AH$2)- SUM(COUNTIF(I65:AH65,{"I";"F";"CP";"R";"P";"AC";"AM"}))</f>
        <v>20</v>
      </c>
      <c r="NI65" s="138">
        <f t="shared" si="12"/>
        <v>0.5</v>
      </c>
      <c r="NJ65" s="8">
        <f t="shared" si="46"/>
        <v>15</v>
      </c>
      <c r="NK65" s="351" cm="1">
        <f t="array" ref="NK65">NETWORKDAYS($AJ$2,$BK$2)- SUM(COUNTIF(AJ65:BK65,{"I";"F";"CP";"R";"P";"AC";"AM"}))</f>
        <v>20</v>
      </c>
      <c r="NL65" s="138">
        <f t="shared" si="13"/>
        <v>0.75</v>
      </c>
      <c r="NM65" s="8">
        <f t="shared" si="47"/>
        <v>19</v>
      </c>
      <c r="NN65" s="351" cm="1">
        <f t="array" ref="NN65">NETWORKDAYS($BL$2,$CP$2)- SUM(COUNTIF(BL65:CP65,{"I";"F";"CP";"R";"P";"AC";"AM"}))</f>
        <v>22</v>
      </c>
      <c r="NO65" s="138">
        <f t="shared" si="14"/>
        <v>0.86363636363636365</v>
      </c>
      <c r="NP65" s="8">
        <f t="shared" si="48"/>
        <v>19</v>
      </c>
      <c r="NQ65" s="351" cm="1">
        <f t="array" ref="NQ65">NETWORKDAYS($CQ$2,$DT$2,$CV$2)- SUM(COUNTIF(CQ65:DT65,{"I";"F";"CP";"R";"P";"AC";"AM"}))</f>
        <v>21</v>
      </c>
      <c r="NR65" s="138">
        <f t="shared" si="15"/>
        <v>0.90476190476190477</v>
      </c>
      <c r="NS65" s="8">
        <f t="shared" si="49"/>
        <v>0</v>
      </c>
      <c r="NT65" s="351" cm="1">
        <f t="array" ref="NT65">NETWORKDAYS($DV$2,$EY$2)-SUM(COUNTIF(DV65:EY65,{"I";"F";"CP";"R";"P";"AC";"AM"}))</f>
        <v>16</v>
      </c>
      <c r="NU65" s="138">
        <f t="shared" si="16"/>
        <v>0</v>
      </c>
      <c r="NV65" s="8">
        <f t="shared" si="50"/>
        <v>0</v>
      </c>
      <c r="NW65" s="351" cm="1">
        <f t="array" ref="NW65">NETWORKDAYS($EZ$2,$GC$2)-SUM(COUNTIF(EZ65:GC65,{"I";"F";"CP";"R";"P";"AC";"AM"}))</f>
        <v>22</v>
      </c>
      <c r="NX65" s="138">
        <f t="shared" si="51"/>
        <v>0</v>
      </c>
      <c r="NY65" s="8">
        <f t="shared" si="52"/>
        <v>0</v>
      </c>
      <c r="NZ65" s="351" cm="1">
        <f t="array" ref="NZ65">NETWORKDAYS($GD$2,$HH$2,$GQ$2)-SUM(COUNTIF(GD65:HH65,{"I";"F";"CP";"R";"P";"AC";"AM"}))</f>
        <v>21</v>
      </c>
      <c r="OA65" s="138">
        <f t="shared" si="53"/>
        <v>0</v>
      </c>
      <c r="OB65" s="8">
        <f t="shared" si="54"/>
        <v>0</v>
      </c>
      <c r="OC65" s="351" cm="1">
        <f t="array" ref="OC65">NETWORKDAYS($HI$2,$IM$2)-SUM(COUNTIF(HI65:IM65,{"I";"F";"CP";"R";"P";"AC";"AM"}))</f>
        <v>21</v>
      </c>
      <c r="OD65" s="138">
        <f t="shared" si="55"/>
        <v>0</v>
      </c>
      <c r="OE65" s="8">
        <f t="shared" si="56"/>
        <v>0</v>
      </c>
      <c r="OF65" s="351" cm="1">
        <f t="array" ref="OF65">NETWORKDAYS($IN$2,$JQ$2)-SUM(COUNTIF(IN65:JQ65,{"I";"F";"CP";"R";"P";"AC";"AM"}))</f>
        <v>22</v>
      </c>
      <c r="OG65" s="138">
        <f t="shared" si="57"/>
        <v>0</v>
      </c>
      <c r="OH65" s="8">
        <f t="shared" si="58"/>
        <v>0</v>
      </c>
      <c r="OI65" s="351" cm="1">
        <f t="array" ref="OI65">NETWORKDAYS($JR$2,$KV$2)-SUM(COUNTIF(JR65:KV65,{"I";"F";"CP";"R";"P";"AC";"AM"}))</f>
        <v>22</v>
      </c>
      <c r="OJ65" s="138">
        <f t="shared" si="59"/>
        <v>0</v>
      </c>
      <c r="OK65" s="8">
        <f t="shared" si="60"/>
        <v>0</v>
      </c>
      <c r="OL65" s="351" cm="1">
        <f t="array" ref="OL65">NETWORKDAYS($KW$2,$LZ$2,$LG$2)-SUM(COUNTIF(KW65:LZ65,{"I";"F";"CP";"R";"P";"AC";"AM"}))</f>
        <v>19</v>
      </c>
      <c r="OM65" s="138">
        <f t="shared" si="61"/>
        <v>0</v>
      </c>
      <c r="ON65" s="8">
        <f t="shared" si="62"/>
        <v>0</v>
      </c>
      <c r="OO65" s="351" cm="1">
        <f t="array" ref="OO65">NETWORKDAYS($MA$2,$MR$2)-SUM(COUNTIF(MA65:MR65,{"I";"F";"CP";"R";"P";"AC";"AM"}))</f>
        <v>14</v>
      </c>
      <c r="OP65" s="138">
        <f t="shared" si="63"/>
        <v>0</v>
      </c>
      <c r="OQ65" s="94">
        <f t="shared" si="64"/>
        <v>63</v>
      </c>
      <c r="OR65" s="94">
        <f t="shared" si="65"/>
        <v>240</v>
      </c>
      <c r="OS65" s="138">
        <f t="shared" si="66"/>
        <v>0.26250000000000001</v>
      </c>
    </row>
    <row r="66" spans="1:409" ht="18" customHeight="1" x14ac:dyDescent="0.25">
      <c r="A66" s="97" t="s">
        <v>178</v>
      </c>
      <c r="B66" s="95" t="s">
        <v>34</v>
      </c>
      <c r="C66" s="89" t="s">
        <v>188</v>
      </c>
      <c r="D66" s="108" t="s">
        <v>242</v>
      </c>
      <c r="E66" s="128"/>
      <c r="F66" s="110"/>
      <c r="G66" s="110"/>
      <c r="H66" s="110"/>
      <c r="I66" s="25" t="s">
        <v>223</v>
      </c>
      <c r="J66" s="25" t="s">
        <v>223</v>
      </c>
      <c r="K66" s="25" t="s">
        <v>223</v>
      </c>
      <c r="L66" s="25" t="s">
        <v>223</v>
      </c>
      <c r="M66" s="25" t="s">
        <v>223</v>
      </c>
      <c r="N66" s="110"/>
      <c r="O66" s="110"/>
      <c r="P66" s="25">
        <v>1</v>
      </c>
      <c r="Q66" s="25">
        <v>1</v>
      </c>
      <c r="R66" s="25">
        <v>1</v>
      </c>
      <c r="S66" s="25">
        <v>1</v>
      </c>
      <c r="T66" s="25"/>
      <c r="U66" s="110"/>
      <c r="V66" s="110"/>
      <c r="W66" s="25">
        <v>1</v>
      </c>
      <c r="X66" s="25">
        <v>1</v>
      </c>
      <c r="Y66" s="25">
        <v>1</v>
      </c>
      <c r="Z66" s="25"/>
      <c r="AA66" s="25"/>
      <c r="AB66" s="110"/>
      <c r="AC66" s="110"/>
      <c r="AD66" s="25">
        <v>1</v>
      </c>
      <c r="AE66" s="25">
        <v>1</v>
      </c>
      <c r="AF66" s="25">
        <v>1</v>
      </c>
      <c r="AG66" s="25">
        <v>1</v>
      </c>
      <c r="AH66" s="25">
        <v>1</v>
      </c>
      <c r="AI66" s="110"/>
      <c r="AJ66" s="110"/>
      <c r="AK66" s="25">
        <v>1</v>
      </c>
      <c r="AL66" s="25">
        <v>1</v>
      </c>
      <c r="AM66" s="25"/>
      <c r="AN66" s="25">
        <v>1</v>
      </c>
      <c r="AO66" s="25">
        <v>1</v>
      </c>
      <c r="AP66" s="110"/>
      <c r="AQ66" s="110"/>
      <c r="AR66" s="25">
        <v>1</v>
      </c>
      <c r="AS66" s="25">
        <v>1</v>
      </c>
      <c r="AT66" s="25">
        <v>1</v>
      </c>
      <c r="AV66" s="25">
        <v>1</v>
      </c>
      <c r="AW66" s="110"/>
      <c r="AX66" s="110"/>
      <c r="AY66" s="25">
        <v>1</v>
      </c>
      <c r="AZ66" s="25">
        <v>1</v>
      </c>
      <c r="BA66" s="25">
        <v>1</v>
      </c>
      <c r="BB66" s="25">
        <v>1</v>
      </c>
      <c r="BC66" s="25">
        <v>1</v>
      </c>
      <c r="BD66" s="110"/>
      <c r="BE66" s="110"/>
      <c r="BF66" s="25">
        <v>1</v>
      </c>
      <c r="BG66" s="25">
        <v>1</v>
      </c>
      <c r="BH66" s="25">
        <v>1</v>
      </c>
      <c r="BI66" s="25">
        <v>1</v>
      </c>
      <c r="BJ66" s="25">
        <v>1</v>
      </c>
      <c r="BK66" s="110"/>
      <c r="BL66" s="110"/>
      <c r="BM66" s="25">
        <v>1</v>
      </c>
      <c r="BN66" s="25">
        <v>1</v>
      </c>
      <c r="BO66" s="25">
        <v>1</v>
      </c>
      <c r="BP66" s="25">
        <v>1</v>
      </c>
      <c r="BQ66" s="25"/>
      <c r="BR66" s="110"/>
      <c r="BS66" s="110"/>
      <c r="BT66" s="25"/>
      <c r="BU66" s="25">
        <v>1</v>
      </c>
      <c r="BV66" s="25">
        <v>1</v>
      </c>
      <c r="BW66" s="25" t="s">
        <v>447</v>
      </c>
      <c r="BX66" s="25" t="s">
        <v>447</v>
      </c>
      <c r="BY66" s="110"/>
      <c r="BZ66" s="110"/>
      <c r="CA66" s="25">
        <v>1</v>
      </c>
      <c r="CB66" s="25"/>
      <c r="CC66" s="25">
        <v>1</v>
      </c>
      <c r="CD66" s="25">
        <v>1</v>
      </c>
      <c r="CE66" s="25">
        <v>1</v>
      </c>
      <c r="CF66" s="110"/>
      <c r="CG66" s="110"/>
      <c r="CH66" s="25"/>
      <c r="CI66" s="25"/>
      <c r="CJ66" s="25">
        <v>1</v>
      </c>
      <c r="CK66" s="25">
        <v>1</v>
      </c>
      <c r="CL66" s="25">
        <v>1</v>
      </c>
      <c r="CM66" s="110"/>
      <c r="CN66" s="110"/>
      <c r="CO66" s="25"/>
      <c r="CP66" s="25">
        <v>1</v>
      </c>
      <c r="CQ66" s="25">
        <v>1</v>
      </c>
      <c r="CR66" s="25">
        <v>1</v>
      </c>
      <c r="CS66" s="25">
        <v>1</v>
      </c>
      <c r="CT66" s="110"/>
      <c r="CU66" s="110"/>
      <c r="CV66" s="110"/>
      <c r="CW66" s="25" t="s">
        <v>223</v>
      </c>
      <c r="CX66" s="25" t="s">
        <v>223</v>
      </c>
      <c r="CY66" s="25" t="s">
        <v>223</v>
      </c>
      <c r="CZ66" s="25" t="s">
        <v>223</v>
      </c>
      <c r="DA66" s="110"/>
      <c r="DB66" s="110"/>
      <c r="DC66" s="25" t="s">
        <v>223</v>
      </c>
      <c r="DD66" s="25" t="s">
        <v>223</v>
      </c>
      <c r="DE66" s="25"/>
      <c r="DF66" s="25">
        <v>1</v>
      </c>
      <c r="DG66" s="25">
        <v>1</v>
      </c>
      <c r="DH66" s="110"/>
      <c r="DI66" s="110"/>
      <c r="DJ66" s="25">
        <v>1</v>
      </c>
      <c r="DK66" s="25">
        <v>1</v>
      </c>
      <c r="DL66" s="25">
        <v>1</v>
      </c>
      <c r="DM66" s="25">
        <v>1</v>
      </c>
      <c r="DN66" s="25">
        <v>1</v>
      </c>
      <c r="DO66" s="110"/>
      <c r="DP66" s="110"/>
      <c r="DQ66" s="25">
        <v>1</v>
      </c>
      <c r="DR66" s="25">
        <v>1</v>
      </c>
      <c r="DS66" s="25">
        <v>1</v>
      </c>
      <c r="DT66" s="25">
        <v>1</v>
      </c>
      <c r="DU66" s="110" t="s">
        <v>445</v>
      </c>
      <c r="DV66" s="110"/>
      <c r="DW66" s="110"/>
      <c r="DX66" s="25"/>
      <c r="DY66" s="25"/>
      <c r="DZ66" s="25"/>
      <c r="EA66" s="25"/>
      <c r="EB66" s="110" t="s">
        <v>445</v>
      </c>
      <c r="EC66" s="110"/>
      <c r="ED66" s="110"/>
      <c r="EE66" s="25">
        <v>1</v>
      </c>
      <c r="EF66" s="25">
        <v>1</v>
      </c>
      <c r="EG66" s="25">
        <v>1</v>
      </c>
      <c r="EH66" s="110" t="s">
        <v>445</v>
      </c>
      <c r="EI66" s="110" t="s">
        <v>445</v>
      </c>
      <c r="EJ66" s="110"/>
      <c r="EK66" s="110"/>
      <c r="EL66" s="25">
        <v>1</v>
      </c>
      <c r="EM66" s="25"/>
      <c r="EN66" s="25"/>
      <c r="EO66" s="25"/>
      <c r="EP66" s="25"/>
      <c r="EQ66" s="110"/>
      <c r="ER66" s="110"/>
      <c r="ES66" s="110" t="s">
        <v>445</v>
      </c>
      <c r="ET66" s="25"/>
      <c r="EU66" s="25"/>
      <c r="EV66" s="25"/>
      <c r="EW66" s="25"/>
      <c r="EX66" s="110"/>
      <c r="EY66" s="110"/>
      <c r="EZ66" s="25"/>
      <c r="FA66" s="25"/>
      <c r="FB66" s="25"/>
      <c r="FC66" s="25"/>
      <c r="FD66" s="25"/>
      <c r="FE66" s="110"/>
      <c r="FF66" s="110"/>
      <c r="FG66" s="25"/>
      <c r="FH66" s="25"/>
      <c r="FI66" s="25"/>
      <c r="FJ66" s="25"/>
      <c r="FK66" s="25"/>
      <c r="FL66" s="110"/>
      <c r="FM66" s="110"/>
      <c r="FN66" s="25"/>
      <c r="FO66" s="25"/>
      <c r="FP66" s="25"/>
      <c r="FQ66" s="25"/>
      <c r="FR66" s="25"/>
      <c r="FS66" s="110"/>
      <c r="FT66" s="110"/>
      <c r="FU66" s="25"/>
      <c r="FV66" s="25"/>
      <c r="FW66" s="25"/>
      <c r="FX66" s="25"/>
      <c r="FY66" s="25"/>
      <c r="FZ66" s="110"/>
      <c r="GA66" s="110"/>
      <c r="GB66" s="25"/>
      <c r="GC66" s="25"/>
      <c r="GD66" s="25"/>
      <c r="GE66" s="25"/>
      <c r="GF66" s="25"/>
      <c r="GG66" s="110"/>
      <c r="GH66" s="110"/>
      <c r="GI66" s="25"/>
      <c r="GJ66" s="25"/>
      <c r="GK66" s="25"/>
      <c r="GL66" s="25"/>
      <c r="GM66" s="25"/>
      <c r="GN66" s="110"/>
      <c r="GO66" s="110"/>
      <c r="GP66" s="110" t="s">
        <v>445</v>
      </c>
      <c r="GQ66" s="110"/>
      <c r="GR66" s="25"/>
      <c r="GS66" s="25"/>
      <c r="GT66" s="25"/>
      <c r="GU66" s="110"/>
      <c r="GV66" s="110"/>
      <c r="GW66" s="25"/>
      <c r="GX66" s="25"/>
      <c r="GY66" s="25"/>
      <c r="GZ66" s="25"/>
      <c r="HA66" s="25"/>
      <c r="HB66" s="110"/>
      <c r="HC66" s="110"/>
      <c r="HD66" s="25"/>
      <c r="HE66" s="25"/>
      <c r="HF66" s="25"/>
      <c r="HG66" s="25"/>
      <c r="HH66" s="25"/>
      <c r="HI66" s="110"/>
      <c r="HJ66" s="110"/>
      <c r="HK66" s="25"/>
      <c r="HL66" s="25"/>
      <c r="HM66" s="25"/>
      <c r="HN66" s="25"/>
      <c r="HO66" s="25"/>
      <c r="HP66" s="110"/>
      <c r="HQ66" s="110"/>
      <c r="HR66" s="25"/>
      <c r="HS66" s="25"/>
      <c r="HT66" s="25"/>
      <c r="HU66" s="25"/>
      <c r="HV66" s="25"/>
      <c r="HW66" s="110"/>
      <c r="HX66" s="110"/>
      <c r="HY66" s="25"/>
      <c r="HZ66" s="25"/>
      <c r="IA66" s="25"/>
      <c r="IB66" s="25"/>
      <c r="IC66" s="25"/>
      <c r="ID66" s="110"/>
      <c r="IE66" s="110"/>
      <c r="IF66" s="25"/>
      <c r="IG66" s="25"/>
      <c r="IH66" s="25"/>
      <c r="II66" s="25"/>
      <c r="IJ66" s="25"/>
      <c r="IK66" s="110"/>
      <c r="IL66" s="110"/>
      <c r="IM66" s="25"/>
      <c r="IN66" s="25"/>
      <c r="IO66" s="25"/>
      <c r="IP66" s="25"/>
      <c r="IQ66" s="25"/>
      <c r="IR66" s="110"/>
      <c r="IS66" s="110"/>
      <c r="IT66" s="25"/>
      <c r="IU66" s="25"/>
      <c r="IV66" s="25"/>
      <c r="IW66" s="25"/>
      <c r="IX66" s="25"/>
      <c r="IY66" s="110"/>
      <c r="IZ66" s="110"/>
      <c r="JA66" s="25"/>
      <c r="JB66" s="25"/>
      <c r="JC66" s="25"/>
      <c r="JD66" s="25"/>
      <c r="JE66" s="25"/>
      <c r="JF66" s="110"/>
      <c r="JG66" s="110"/>
      <c r="JH66" s="25"/>
      <c r="JI66" s="25"/>
      <c r="JJ66" s="25"/>
      <c r="JK66" s="25"/>
      <c r="JL66" s="25"/>
      <c r="JM66" s="110"/>
      <c r="JN66" s="110"/>
      <c r="JO66" s="25"/>
      <c r="JP66" s="25"/>
      <c r="JQ66" s="25"/>
      <c r="JR66" s="25"/>
      <c r="JS66" s="25"/>
      <c r="JT66" s="110"/>
      <c r="JU66" s="110"/>
      <c r="JV66" s="25"/>
      <c r="JW66" s="25"/>
      <c r="JX66" s="25"/>
      <c r="JY66" s="25"/>
      <c r="JZ66" s="25"/>
      <c r="KA66" s="110"/>
      <c r="KB66" s="110"/>
      <c r="KC66" s="25"/>
      <c r="KD66" s="25"/>
      <c r="KE66" s="25"/>
      <c r="KF66" s="25"/>
      <c r="KG66" s="25"/>
      <c r="KH66" s="110"/>
      <c r="KI66" s="110"/>
      <c r="KJ66" s="25"/>
      <c r="KK66" s="25"/>
      <c r="KL66" s="25"/>
      <c r="KM66" s="25"/>
      <c r="KN66" s="25"/>
      <c r="KO66" s="110"/>
      <c r="KP66" s="110"/>
      <c r="KQ66" s="25"/>
      <c r="KR66" s="25"/>
      <c r="KS66" s="25"/>
      <c r="KT66" s="25"/>
      <c r="KU66" s="25"/>
      <c r="KV66" s="110"/>
      <c r="KW66" s="110"/>
      <c r="KX66" s="25"/>
      <c r="KY66" s="25"/>
      <c r="KZ66" s="25"/>
      <c r="LA66" s="25"/>
      <c r="LB66" s="25"/>
      <c r="LC66" s="110"/>
      <c r="LD66" s="110"/>
      <c r="LE66" s="25"/>
      <c r="LF66" s="25"/>
      <c r="LG66" s="110" t="s">
        <v>445</v>
      </c>
      <c r="LH66" s="25"/>
      <c r="LI66" s="25"/>
      <c r="LJ66" s="110"/>
      <c r="LK66" s="110"/>
      <c r="LL66" s="25"/>
      <c r="LM66" s="25"/>
      <c r="LN66" s="25"/>
      <c r="LO66" s="25"/>
      <c r="LP66" s="25"/>
      <c r="LQ66" s="110"/>
      <c r="LR66" s="110"/>
      <c r="LS66" s="25"/>
      <c r="LT66" s="25"/>
      <c r="LU66" s="25"/>
      <c r="LV66" s="25"/>
      <c r="LW66" s="25"/>
      <c r="LX66" s="110"/>
      <c r="LY66" s="110"/>
      <c r="LZ66" s="25"/>
      <c r="MA66" s="25"/>
      <c r="MB66" s="25"/>
      <c r="MC66" s="25"/>
      <c r="MD66" s="25"/>
      <c r="ME66" s="110"/>
      <c r="MF66" s="110"/>
      <c r="MG66" s="25"/>
      <c r="MH66" s="25"/>
      <c r="MI66" s="25"/>
      <c r="MJ66" s="25"/>
      <c r="MK66" s="25"/>
      <c r="ML66" s="110"/>
      <c r="MM66" s="110"/>
      <c r="MN66" s="25"/>
      <c r="MO66" s="25"/>
      <c r="MP66" s="25"/>
      <c r="MQ66" s="25"/>
      <c r="MR66" s="25"/>
      <c r="MS66" s="110"/>
      <c r="MT66" s="110"/>
      <c r="MU66" s="25"/>
      <c r="MV66" s="25"/>
      <c r="MW66" s="25"/>
      <c r="MX66" s="25"/>
      <c r="MY66" s="25"/>
      <c r="MZ66" s="110"/>
      <c r="NA66" s="110"/>
      <c r="NB66" s="25"/>
      <c r="NC66" s="25"/>
      <c r="ND66" s="25"/>
      <c r="NE66" s="129"/>
      <c r="NF66" s="111"/>
      <c r="NG66" s="8">
        <f t="shared" si="45"/>
        <v>12</v>
      </c>
      <c r="NH66" s="351" cm="1">
        <f t="array" ref="NH66">NETWORKDAYS($I$2,$AH$2)- SUM(COUNTIF(I66:AH66,{"I";"F";"CP";"R";"P";"AC";"AM"}))</f>
        <v>15</v>
      </c>
      <c r="NI66" s="138">
        <f t="shared" si="12"/>
        <v>0.8</v>
      </c>
      <c r="NJ66" s="8">
        <f t="shared" si="46"/>
        <v>18</v>
      </c>
      <c r="NK66" s="351" cm="1">
        <f t="array" ref="NK66">NETWORKDAYS($AJ$2,$BK$2)- SUM(COUNTIF(AJ66:BK66,{"I";"F";"CP";"R";"P";"AC";"AM"}))</f>
        <v>20</v>
      </c>
      <c r="NL66" s="138">
        <f t="shared" si="13"/>
        <v>0.9</v>
      </c>
      <c r="NM66" s="8">
        <f t="shared" si="47"/>
        <v>14</v>
      </c>
      <c r="NN66" s="351" cm="1">
        <f t="array" ref="NN66">NETWORKDAYS($BL$2,$CP$2)- SUM(COUNTIF(BL66:CP66,{"I";"F";"CP";"R";"P";"AC";"AM"}))</f>
        <v>20</v>
      </c>
      <c r="NO66" s="138">
        <f t="shared" si="14"/>
        <v>0.7</v>
      </c>
      <c r="NP66" s="8">
        <f t="shared" si="48"/>
        <v>14</v>
      </c>
      <c r="NQ66" s="351" cm="1">
        <f t="array" ref="NQ66">NETWORKDAYS($CQ$2,$DT$2,$CV$2)- SUM(COUNTIF(CQ66:DT66,{"I";"F";"CP";"R";"P";"AC";"AM"}))</f>
        <v>15</v>
      </c>
      <c r="NR66" s="138">
        <f t="shared" si="15"/>
        <v>0.93333333333333335</v>
      </c>
      <c r="NS66" s="8">
        <f t="shared" si="49"/>
        <v>4</v>
      </c>
      <c r="NT66" s="351" cm="1">
        <f t="array" ref="NT66">NETWORKDAYS($DV$2,$EY$2)-SUM(COUNTIF(DV66:EY66,{"I";"F";"CP";"R";"P";"AC";"AM"}))</f>
        <v>16</v>
      </c>
      <c r="NU66" s="138">
        <f t="shared" si="16"/>
        <v>0.25</v>
      </c>
      <c r="NV66" s="8">
        <f t="shared" si="50"/>
        <v>0</v>
      </c>
      <c r="NW66" s="351" cm="1">
        <f t="array" ref="NW66">NETWORKDAYS($EZ$2,$GC$2)-SUM(COUNTIF(EZ66:GC66,{"I";"F";"CP";"R";"P";"AC";"AM"}))</f>
        <v>22</v>
      </c>
      <c r="NX66" s="138">
        <f t="shared" si="51"/>
        <v>0</v>
      </c>
      <c r="NY66" s="8">
        <f t="shared" si="52"/>
        <v>0</v>
      </c>
      <c r="NZ66" s="351" cm="1">
        <f t="array" ref="NZ66">NETWORKDAYS($GD$2,$HH$2,$GQ$2)-SUM(COUNTIF(GD66:HH66,{"I";"F";"CP";"R";"P";"AC";"AM"}))</f>
        <v>21</v>
      </c>
      <c r="OA66" s="138">
        <f t="shared" si="53"/>
        <v>0</v>
      </c>
      <c r="OB66" s="8">
        <f t="shared" si="54"/>
        <v>0</v>
      </c>
      <c r="OC66" s="351" cm="1">
        <f t="array" ref="OC66">NETWORKDAYS($HI$2,$IM$2)-SUM(COUNTIF(HI66:IM66,{"I";"F";"CP";"R";"P";"AC";"AM"}))</f>
        <v>21</v>
      </c>
      <c r="OD66" s="138">
        <f t="shared" si="55"/>
        <v>0</v>
      </c>
      <c r="OE66" s="8">
        <f t="shared" si="56"/>
        <v>0</v>
      </c>
      <c r="OF66" s="351" cm="1">
        <f t="array" ref="OF66">NETWORKDAYS($IN$2,$JQ$2)-SUM(COUNTIF(IN66:JQ66,{"I";"F";"CP";"R";"P";"AC";"AM"}))</f>
        <v>22</v>
      </c>
      <c r="OG66" s="138">
        <f t="shared" si="57"/>
        <v>0</v>
      </c>
      <c r="OH66" s="8">
        <f t="shared" si="58"/>
        <v>0</v>
      </c>
      <c r="OI66" s="351" cm="1">
        <f t="array" ref="OI66">NETWORKDAYS($JR$2,$KV$2)-SUM(COUNTIF(JR66:KV66,{"I";"F";"CP";"R";"P";"AC";"AM"}))</f>
        <v>22</v>
      </c>
      <c r="OJ66" s="138">
        <f t="shared" si="59"/>
        <v>0</v>
      </c>
      <c r="OK66" s="8">
        <f t="shared" si="60"/>
        <v>0</v>
      </c>
      <c r="OL66" s="351" cm="1">
        <f t="array" ref="OL66">NETWORKDAYS($KW$2,$LZ$2,$LG$2)-SUM(COUNTIF(KW66:LZ66,{"I";"F";"CP";"R";"P";"AC";"AM"}))</f>
        <v>19</v>
      </c>
      <c r="OM66" s="138">
        <f t="shared" si="61"/>
        <v>0</v>
      </c>
      <c r="ON66" s="8">
        <f t="shared" si="62"/>
        <v>0</v>
      </c>
      <c r="OO66" s="351" cm="1">
        <f t="array" ref="OO66">NETWORKDAYS($MA$2,$MR$2)-SUM(COUNTIF(MA66:MR66,{"I";"F";"CP";"R";"P";"AC";"AM"}))</f>
        <v>14</v>
      </c>
      <c r="OP66" s="138">
        <f t="shared" si="63"/>
        <v>0</v>
      </c>
      <c r="OQ66" s="94">
        <f t="shared" si="64"/>
        <v>62</v>
      </c>
      <c r="OR66" s="94">
        <f t="shared" si="65"/>
        <v>227</v>
      </c>
      <c r="OS66" s="138">
        <f t="shared" si="66"/>
        <v>0.27312775330396477</v>
      </c>
    </row>
    <row r="67" spans="1:409" ht="18" customHeight="1" x14ac:dyDescent="0.25">
      <c r="A67" s="95" t="s">
        <v>181</v>
      </c>
      <c r="B67" s="95" t="s">
        <v>34</v>
      </c>
      <c r="C67" s="89" t="s">
        <v>166</v>
      </c>
      <c r="D67" s="89" t="s">
        <v>243</v>
      </c>
      <c r="E67" s="128"/>
      <c r="F67" s="110"/>
      <c r="G67" s="110"/>
      <c r="H67" s="110"/>
      <c r="I67" s="25" t="s">
        <v>223</v>
      </c>
      <c r="J67" s="25" t="s">
        <v>223</v>
      </c>
      <c r="K67" s="25" t="s">
        <v>223</v>
      </c>
      <c r="L67" s="25" t="s">
        <v>223</v>
      </c>
      <c r="M67" s="25" t="s">
        <v>223</v>
      </c>
      <c r="N67" s="110"/>
      <c r="O67" s="110"/>
      <c r="P67" s="25"/>
      <c r="Q67" s="25"/>
      <c r="R67" s="25"/>
      <c r="S67" s="25"/>
      <c r="T67" s="25"/>
      <c r="U67" s="110"/>
      <c r="V67" s="110"/>
      <c r="W67" s="25"/>
      <c r="X67" s="25"/>
      <c r="Y67" s="25"/>
      <c r="Z67" s="25"/>
      <c r="AA67" s="25"/>
      <c r="AB67" s="110"/>
      <c r="AC67" s="110"/>
      <c r="AD67" s="25"/>
      <c r="AE67" s="25"/>
      <c r="AF67" s="25">
        <v>1</v>
      </c>
      <c r="AG67" s="25">
        <v>1</v>
      </c>
      <c r="AH67" s="25">
        <v>1</v>
      </c>
      <c r="AI67" s="110"/>
      <c r="AJ67" s="110"/>
      <c r="AK67" s="25">
        <v>1</v>
      </c>
      <c r="AL67" s="25">
        <v>1</v>
      </c>
      <c r="AM67" s="25">
        <v>1</v>
      </c>
      <c r="AN67" s="25">
        <v>1</v>
      </c>
      <c r="AO67" s="25">
        <v>1</v>
      </c>
      <c r="AP67" s="110"/>
      <c r="AQ67" s="110"/>
      <c r="AR67" s="25">
        <v>1</v>
      </c>
      <c r="AS67" s="25">
        <v>1</v>
      </c>
      <c r="AT67" s="25"/>
      <c r="AU67" s="415">
        <v>1</v>
      </c>
      <c r="AV67" s="25">
        <v>1</v>
      </c>
      <c r="AW67" s="110"/>
      <c r="AX67" s="110"/>
      <c r="AY67" s="25">
        <v>1</v>
      </c>
      <c r="AZ67" s="25">
        <v>1</v>
      </c>
      <c r="BA67" s="25">
        <v>1</v>
      </c>
      <c r="BB67" s="25">
        <v>1</v>
      </c>
      <c r="BC67" s="25">
        <v>1</v>
      </c>
      <c r="BD67" s="110"/>
      <c r="BE67" s="110"/>
      <c r="BF67" s="25">
        <v>1</v>
      </c>
      <c r="BG67" s="25">
        <v>1</v>
      </c>
      <c r="BH67" s="25">
        <v>1</v>
      </c>
      <c r="BI67" s="25">
        <v>1</v>
      </c>
      <c r="BJ67" s="25">
        <v>1</v>
      </c>
      <c r="BK67" s="110"/>
      <c r="BL67" s="110"/>
      <c r="BM67" s="25">
        <v>1</v>
      </c>
      <c r="BN67" s="25">
        <v>1</v>
      </c>
      <c r="BO67" s="25">
        <v>1</v>
      </c>
      <c r="BP67" s="25">
        <v>1</v>
      </c>
      <c r="BQ67" s="25" t="s">
        <v>448</v>
      </c>
      <c r="BR67" s="110"/>
      <c r="BS67" s="110"/>
      <c r="BT67" s="25" t="s">
        <v>448</v>
      </c>
      <c r="BU67" s="25" t="s">
        <v>448</v>
      </c>
      <c r="BV67" s="25" t="s">
        <v>448</v>
      </c>
      <c r="BW67" s="25" t="s">
        <v>448</v>
      </c>
      <c r="BX67" s="25" t="s">
        <v>447</v>
      </c>
      <c r="BY67" s="110"/>
      <c r="BZ67" s="110"/>
      <c r="CA67" s="25"/>
      <c r="CB67" s="25">
        <v>1</v>
      </c>
      <c r="CC67" s="25">
        <v>1</v>
      </c>
      <c r="CD67" s="25"/>
      <c r="CE67" s="25"/>
      <c r="CF67" s="110"/>
      <c r="CG67" s="110"/>
      <c r="CH67" s="25"/>
      <c r="CI67" s="25"/>
      <c r="CJ67" s="25">
        <v>1</v>
      </c>
      <c r="CK67" s="25">
        <v>1</v>
      </c>
      <c r="CL67" s="25">
        <v>1</v>
      </c>
      <c r="CM67" s="110"/>
      <c r="CN67" s="110"/>
      <c r="CO67" s="25">
        <v>1</v>
      </c>
      <c r="CP67" s="25">
        <v>1</v>
      </c>
      <c r="CQ67" s="25">
        <v>1</v>
      </c>
      <c r="CR67" s="25">
        <v>1</v>
      </c>
      <c r="CS67" s="25">
        <v>1</v>
      </c>
      <c r="CT67" s="110"/>
      <c r="CU67" s="110"/>
      <c r="CV67" s="110"/>
      <c r="CW67" s="25" t="s">
        <v>223</v>
      </c>
      <c r="CX67" s="25" t="s">
        <v>223</v>
      </c>
      <c r="CY67" s="25" t="s">
        <v>223</v>
      </c>
      <c r="CZ67" s="25" t="s">
        <v>223</v>
      </c>
      <c r="DA67" s="110"/>
      <c r="DB67" s="110"/>
      <c r="DC67" s="25"/>
      <c r="DD67" s="25"/>
      <c r="DE67" s="25"/>
      <c r="DF67" s="25"/>
      <c r="DG67" s="25">
        <v>1</v>
      </c>
      <c r="DH67" s="110"/>
      <c r="DI67" s="110"/>
      <c r="DJ67" s="25">
        <v>1</v>
      </c>
      <c r="DK67" s="25">
        <v>1</v>
      </c>
      <c r="DL67" s="25">
        <v>1</v>
      </c>
      <c r="DM67" s="25">
        <v>1</v>
      </c>
      <c r="DN67" s="25">
        <v>1</v>
      </c>
      <c r="DO67" s="110"/>
      <c r="DP67" s="110"/>
      <c r="DQ67" s="25"/>
      <c r="DR67" s="25"/>
      <c r="DS67" s="25"/>
      <c r="DT67" s="25"/>
      <c r="DU67" s="110" t="s">
        <v>445</v>
      </c>
      <c r="DV67" s="110"/>
      <c r="DW67" s="110"/>
      <c r="DX67" s="25">
        <v>1</v>
      </c>
      <c r="DY67" s="25"/>
      <c r="DZ67" s="25">
        <v>1</v>
      </c>
      <c r="EA67" s="25">
        <v>1</v>
      </c>
      <c r="EB67" s="110" t="s">
        <v>445</v>
      </c>
      <c r="EC67" s="110"/>
      <c r="ED67" s="110"/>
      <c r="EE67" s="25">
        <v>1</v>
      </c>
      <c r="EF67" s="25">
        <v>1</v>
      </c>
      <c r="EG67" s="25">
        <v>1</v>
      </c>
      <c r="EH67" s="110" t="s">
        <v>445</v>
      </c>
      <c r="EI67" s="110" t="s">
        <v>445</v>
      </c>
      <c r="EJ67" s="110"/>
      <c r="EK67" s="110"/>
      <c r="EL67" s="25">
        <v>1</v>
      </c>
      <c r="EM67" s="25"/>
      <c r="EN67" s="25"/>
      <c r="EO67" s="25"/>
      <c r="EP67" s="25"/>
      <c r="EQ67" s="110"/>
      <c r="ER67" s="110"/>
      <c r="ES67" s="110" t="s">
        <v>445</v>
      </c>
      <c r="ET67" s="25"/>
      <c r="EU67" s="25"/>
      <c r="EV67" s="25"/>
      <c r="EW67" s="25"/>
      <c r="EX67" s="110"/>
      <c r="EY67" s="110"/>
      <c r="EZ67" s="25"/>
      <c r="FA67" s="25"/>
      <c r="FB67" s="25"/>
      <c r="FC67" s="25"/>
      <c r="FD67" s="25"/>
      <c r="FE67" s="110"/>
      <c r="FF67" s="110"/>
      <c r="FG67" s="25"/>
      <c r="FH67" s="25"/>
      <c r="FI67" s="25"/>
      <c r="FJ67" s="25"/>
      <c r="FK67" s="25"/>
      <c r="FL67" s="110"/>
      <c r="FM67" s="110"/>
      <c r="FN67" s="25"/>
      <c r="FO67" s="25"/>
      <c r="FP67" s="25"/>
      <c r="FQ67" s="25"/>
      <c r="FR67" s="25"/>
      <c r="FS67" s="110"/>
      <c r="FT67" s="110"/>
      <c r="FU67" s="25"/>
      <c r="FV67" s="25"/>
      <c r="FW67" s="25"/>
      <c r="FX67" s="25"/>
      <c r="FY67" s="25"/>
      <c r="FZ67" s="110"/>
      <c r="GA67" s="110"/>
      <c r="GB67" s="25"/>
      <c r="GC67" s="25"/>
      <c r="GD67" s="25"/>
      <c r="GE67" s="25"/>
      <c r="GF67" s="25"/>
      <c r="GG67" s="110"/>
      <c r="GH67" s="110"/>
      <c r="GI67" s="25"/>
      <c r="GJ67" s="25"/>
      <c r="GK67" s="25"/>
      <c r="GL67" s="25"/>
      <c r="GM67" s="25"/>
      <c r="GN67" s="110"/>
      <c r="GO67" s="110"/>
      <c r="GP67" s="110" t="s">
        <v>445</v>
      </c>
      <c r="GQ67" s="110"/>
      <c r="GR67" s="25"/>
      <c r="GS67" s="25"/>
      <c r="GT67" s="25"/>
      <c r="GU67" s="110"/>
      <c r="GV67" s="110"/>
      <c r="GW67" s="25"/>
      <c r="GX67" s="25"/>
      <c r="GY67" s="25"/>
      <c r="GZ67" s="25"/>
      <c r="HA67" s="25"/>
      <c r="HB67" s="110"/>
      <c r="HC67" s="110"/>
      <c r="HD67" s="25"/>
      <c r="HE67" s="25"/>
      <c r="HF67" s="25"/>
      <c r="HG67" s="25"/>
      <c r="HH67" s="25"/>
      <c r="HI67" s="110"/>
      <c r="HJ67" s="110"/>
      <c r="HK67" s="25"/>
      <c r="HL67" s="25"/>
      <c r="HM67" s="25"/>
      <c r="HN67" s="25"/>
      <c r="HO67" s="25"/>
      <c r="HP67" s="110"/>
      <c r="HQ67" s="110"/>
      <c r="HR67" s="25"/>
      <c r="HS67" s="25"/>
      <c r="HT67" s="25"/>
      <c r="HU67" s="25"/>
      <c r="HV67" s="25"/>
      <c r="HW67" s="110"/>
      <c r="HX67" s="110"/>
      <c r="HY67" s="25"/>
      <c r="HZ67" s="25"/>
      <c r="IA67" s="25"/>
      <c r="IB67" s="25"/>
      <c r="IC67" s="25"/>
      <c r="ID67" s="110"/>
      <c r="IE67" s="110"/>
      <c r="IF67" s="25"/>
      <c r="IG67" s="25"/>
      <c r="IH67" s="25"/>
      <c r="II67" s="25"/>
      <c r="IJ67" s="25"/>
      <c r="IK67" s="110"/>
      <c r="IL67" s="110"/>
      <c r="IM67" s="25"/>
      <c r="IN67" s="25"/>
      <c r="IO67" s="25"/>
      <c r="IP67" s="25"/>
      <c r="IQ67" s="25"/>
      <c r="IR67" s="110"/>
      <c r="IS67" s="110"/>
      <c r="IT67" s="25"/>
      <c r="IU67" s="25"/>
      <c r="IV67" s="25"/>
      <c r="IW67" s="25"/>
      <c r="IX67" s="25"/>
      <c r="IY67" s="110"/>
      <c r="IZ67" s="110"/>
      <c r="JA67" s="25"/>
      <c r="JB67" s="25"/>
      <c r="JC67" s="25"/>
      <c r="JD67" s="25"/>
      <c r="JE67" s="25"/>
      <c r="JF67" s="110"/>
      <c r="JG67" s="110"/>
      <c r="JH67" s="25"/>
      <c r="JI67" s="25"/>
      <c r="JJ67" s="25"/>
      <c r="JK67" s="25"/>
      <c r="JL67" s="25"/>
      <c r="JM67" s="110"/>
      <c r="JN67" s="110"/>
      <c r="JO67" s="25"/>
      <c r="JP67" s="25"/>
      <c r="JQ67" s="25"/>
      <c r="JR67" s="25"/>
      <c r="JS67" s="25"/>
      <c r="JT67" s="110"/>
      <c r="JU67" s="110"/>
      <c r="JV67" s="25"/>
      <c r="JW67" s="25"/>
      <c r="JX67" s="25"/>
      <c r="JY67" s="25"/>
      <c r="JZ67" s="25"/>
      <c r="KA67" s="110"/>
      <c r="KB67" s="110"/>
      <c r="KC67" s="25"/>
      <c r="KD67" s="25"/>
      <c r="KE67" s="25"/>
      <c r="KF67" s="25"/>
      <c r="KG67" s="25"/>
      <c r="KH67" s="110"/>
      <c r="KI67" s="110"/>
      <c r="KJ67" s="25"/>
      <c r="KK67" s="25"/>
      <c r="KL67" s="25"/>
      <c r="KM67" s="25"/>
      <c r="KN67" s="25"/>
      <c r="KO67" s="110"/>
      <c r="KP67" s="110"/>
      <c r="KQ67" s="25"/>
      <c r="KR67" s="25"/>
      <c r="KS67" s="25"/>
      <c r="KT67" s="25"/>
      <c r="KU67" s="25"/>
      <c r="KV67" s="110"/>
      <c r="KW67" s="110"/>
      <c r="KX67" s="25"/>
      <c r="KY67" s="25"/>
      <c r="KZ67" s="25"/>
      <c r="LA67" s="25"/>
      <c r="LB67" s="25"/>
      <c r="LC67" s="110"/>
      <c r="LD67" s="110"/>
      <c r="LE67" s="25"/>
      <c r="LF67" s="25"/>
      <c r="LG67" s="110" t="s">
        <v>445</v>
      </c>
      <c r="LH67" s="25"/>
      <c r="LI67" s="25"/>
      <c r="LJ67" s="110"/>
      <c r="LK67" s="110"/>
      <c r="LL67" s="25"/>
      <c r="LM67" s="25"/>
      <c r="LN67" s="25"/>
      <c r="LO67" s="25"/>
      <c r="LP67" s="25"/>
      <c r="LQ67" s="110"/>
      <c r="LR67" s="110"/>
      <c r="LS67" s="25"/>
      <c r="LT67" s="25"/>
      <c r="LU67" s="25"/>
      <c r="LV67" s="25"/>
      <c r="LW67" s="25"/>
      <c r="LX67" s="110"/>
      <c r="LY67" s="110"/>
      <c r="LZ67" s="25"/>
      <c r="MA67" s="25"/>
      <c r="MB67" s="25"/>
      <c r="MC67" s="25"/>
      <c r="MD67" s="25"/>
      <c r="ME67" s="110"/>
      <c r="MF67" s="110"/>
      <c r="MG67" s="25"/>
      <c r="MH67" s="25"/>
      <c r="MI67" s="25"/>
      <c r="MJ67" s="25"/>
      <c r="MK67" s="25"/>
      <c r="ML67" s="110"/>
      <c r="MM67" s="110"/>
      <c r="MN67" s="25"/>
      <c r="MO67" s="25"/>
      <c r="MP67" s="25"/>
      <c r="MQ67" s="25"/>
      <c r="MR67" s="25"/>
      <c r="MS67" s="110"/>
      <c r="MT67" s="110"/>
      <c r="MU67" s="25"/>
      <c r="MV67" s="25"/>
      <c r="MW67" s="25"/>
      <c r="MX67" s="25"/>
      <c r="MY67" s="25"/>
      <c r="MZ67" s="110"/>
      <c r="NA67" s="110"/>
      <c r="NB67" s="25"/>
      <c r="NC67" s="25"/>
      <c r="ND67" s="25"/>
      <c r="NE67" s="129"/>
      <c r="NF67" s="111"/>
      <c r="NG67" s="8">
        <f t="shared" si="45"/>
        <v>3</v>
      </c>
      <c r="NH67" s="351" cm="1">
        <f t="array" ref="NH67">NETWORKDAYS($I$2,$AH$2)- SUM(COUNTIF(I67:AH67,{"I";"F";"CP";"R";"P";"AC";"AM"}))</f>
        <v>15</v>
      </c>
      <c r="NI67" s="138">
        <f t="shared" si="12"/>
        <v>0.2</v>
      </c>
      <c r="NJ67" s="8">
        <f t="shared" si="46"/>
        <v>19</v>
      </c>
      <c r="NK67" s="351" cm="1">
        <f t="array" ref="NK67">NETWORKDAYS($AJ$2,$BK$2)- SUM(COUNTIF(AJ67:BK67,{"I";"F";"CP";"R";"P";"AC";"AM"}))</f>
        <v>20</v>
      </c>
      <c r="NL67" s="138">
        <f t="shared" si="13"/>
        <v>0.95</v>
      </c>
      <c r="NM67" s="8">
        <f t="shared" si="47"/>
        <v>11</v>
      </c>
      <c r="NN67" s="351" cm="1">
        <f t="array" ref="NN67">NETWORKDAYS($BL$2,$CP$2)- SUM(COUNTIF(BL67:CP67,{"I";"F";"CP";"R";"P";"AC";"AM"}))</f>
        <v>21</v>
      </c>
      <c r="NO67" s="138">
        <f t="shared" si="14"/>
        <v>0.52380952380952384</v>
      </c>
      <c r="NP67" s="8">
        <f t="shared" si="48"/>
        <v>9</v>
      </c>
      <c r="NQ67" s="351" cm="1">
        <f t="array" ref="NQ67">NETWORKDAYS($CQ$2,$DT$2,$CV$2)- SUM(COUNTIF(CQ67:DT67,{"I";"F";"CP";"R";"P";"AC";"AM"}))</f>
        <v>17</v>
      </c>
      <c r="NR67" s="138">
        <f t="shared" si="15"/>
        <v>0.52941176470588236</v>
      </c>
      <c r="NS67" s="8">
        <f t="shared" si="49"/>
        <v>7</v>
      </c>
      <c r="NT67" s="351" cm="1">
        <f t="array" ref="NT67">NETWORKDAYS($DV$2,$EY$2)-SUM(COUNTIF(DV67:EY67,{"I";"F";"CP";"R";"P";"AC";"AM"}))</f>
        <v>16</v>
      </c>
      <c r="NU67" s="138">
        <f t="shared" si="16"/>
        <v>0.4375</v>
      </c>
      <c r="NV67" s="8">
        <f t="shared" si="50"/>
        <v>0</v>
      </c>
      <c r="NW67" s="351" cm="1">
        <f t="array" ref="NW67">NETWORKDAYS($EZ$2,$GC$2)-SUM(COUNTIF(EZ67:GC67,{"I";"F";"CP";"R";"P";"AC";"AM"}))</f>
        <v>22</v>
      </c>
      <c r="NX67" s="138">
        <f t="shared" si="51"/>
        <v>0</v>
      </c>
      <c r="NY67" s="8">
        <f t="shared" si="52"/>
        <v>0</v>
      </c>
      <c r="NZ67" s="351" cm="1">
        <f t="array" ref="NZ67">NETWORKDAYS($GD$2,$HH$2,$GQ$2)-SUM(COUNTIF(GD67:HH67,{"I";"F";"CP";"R";"P";"AC";"AM"}))</f>
        <v>21</v>
      </c>
      <c r="OA67" s="138">
        <f t="shared" si="53"/>
        <v>0</v>
      </c>
      <c r="OB67" s="8">
        <f t="shared" si="54"/>
        <v>0</v>
      </c>
      <c r="OC67" s="351" cm="1">
        <f t="array" ref="OC67">NETWORKDAYS($HI$2,$IM$2)-SUM(COUNTIF(HI67:IM67,{"I";"F";"CP";"R";"P";"AC";"AM"}))</f>
        <v>21</v>
      </c>
      <c r="OD67" s="138">
        <f t="shared" si="55"/>
        <v>0</v>
      </c>
      <c r="OE67" s="8">
        <f t="shared" si="56"/>
        <v>0</v>
      </c>
      <c r="OF67" s="351" cm="1">
        <f t="array" ref="OF67">NETWORKDAYS($IN$2,$JQ$2)-SUM(COUNTIF(IN67:JQ67,{"I";"F";"CP";"R";"P";"AC";"AM"}))</f>
        <v>22</v>
      </c>
      <c r="OG67" s="138">
        <f t="shared" si="57"/>
        <v>0</v>
      </c>
      <c r="OH67" s="8">
        <f t="shared" si="58"/>
        <v>0</v>
      </c>
      <c r="OI67" s="351" cm="1">
        <f t="array" ref="OI67">NETWORKDAYS($JR$2,$KV$2)-SUM(COUNTIF(JR67:KV67,{"I";"F";"CP";"R";"P";"AC";"AM"}))</f>
        <v>22</v>
      </c>
      <c r="OJ67" s="138">
        <f t="shared" si="59"/>
        <v>0</v>
      </c>
      <c r="OK67" s="8">
        <f t="shared" si="60"/>
        <v>0</v>
      </c>
      <c r="OL67" s="351" cm="1">
        <f t="array" ref="OL67">NETWORKDAYS($KW$2,$LZ$2,$LG$2)-SUM(COUNTIF(KW67:LZ67,{"I";"F";"CP";"R";"P";"AC";"AM"}))</f>
        <v>19</v>
      </c>
      <c r="OM67" s="138">
        <f t="shared" si="61"/>
        <v>0</v>
      </c>
      <c r="ON67" s="8">
        <f t="shared" si="62"/>
        <v>0</v>
      </c>
      <c r="OO67" s="351" cm="1">
        <f t="array" ref="OO67">NETWORKDAYS($MA$2,$MR$2)-SUM(COUNTIF(MA67:MR67,{"I";"F";"CP";"R";"P";"AC";"AM"}))</f>
        <v>14</v>
      </c>
      <c r="OP67" s="138">
        <f t="shared" si="63"/>
        <v>0</v>
      </c>
      <c r="OQ67" s="94">
        <f t="shared" si="64"/>
        <v>49</v>
      </c>
      <c r="OR67" s="94">
        <f t="shared" si="65"/>
        <v>230</v>
      </c>
      <c r="OS67" s="138">
        <f t="shared" si="66"/>
        <v>0.21304347826086956</v>
      </c>
    </row>
    <row r="68" spans="1:409" ht="18" customHeight="1" x14ac:dyDescent="0.25">
      <c r="A68" s="95" t="s">
        <v>178</v>
      </c>
      <c r="B68" s="95" t="s">
        <v>71</v>
      </c>
      <c r="C68" s="89" t="s">
        <v>166</v>
      </c>
      <c r="D68" s="89" t="s">
        <v>247</v>
      </c>
      <c r="E68" s="128"/>
      <c r="F68" s="110"/>
      <c r="G68" s="110"/>
      <c r="H68" s="110"/>
      <c r="I68" s="25" t="s">
        <v>223</v>
      </c>
      <c r="J68" s="25" t="s">
        <v>223</v>
      </c>
      <c r="K68" s="25" t="s">
        <v>223</v>
      </c>
      <c r="L68" s="25" t="s">
        <v>223</v>
      </c>
      <c r="M68" s="25" t="s">
        <v>223</v>
      </c>
      <c r="N68" s="110"/>
      <c r="O68" s="110"/>
      <c r="P68" s="25" t="s">
        <v>223</v>
      </c>
      <c r="Q68" s="25" t="s">
        <v>223</v>
      </c>
      <c r="R68" s="25" t="s">
        <v>223</v>
      </c>
      <c r="S68" s="25" t="s">
        <v>223</v>
      </c>
      <c r="T68" s="25" t="s">
        <v>223</v>
      </c>
      <c r="U68" s="110"/>
      <c r="V68" s="110"/>
      <c r="W68" s="25" t="s">
        <v>223</v>
      </c>
      <c r="X68" s="25" t="s">
        <v>223</v>
      </c>
      <c r="Y68" s="25" t="s">
        <v>223</v>
      </c>
      <c r="Z68" s="25" t="s">
        <v>223</v>
      </c>
      <c r="AA68" s="25" t="s">
        <v>223</v>
      </c>
      <c r="AB68" s="110"/>
      <c r="AC68" s="110"/>
      <c r="AD68" s="25" t="s">
        <v>223</v>
      </c>
      <c r="AE68" s="25" t="s">
        <v>223</v>
      </c>
      <c r="AF68" s="25" t="s">
        <v>223</v>
      </c>
      <c r="AG68" s="25" t="s">
        <v>223</v>
      </c>
      <c r="AH68" s="25" t="s">
        <v>223</v>
      </c>
      <c r="AI68" s="110"/>
      <c r="AJ68" s="110"/>
      <c r="AK68" s="25" t="s">
        <v>223</v>
      </c>
      <c r="AL68" s="25" t="s">
        <v>223</v>
      </c>
      <c r="AM68" s="25" t="s">
        <v>223</v>
      </c>
      <c r="AN68" s="25" t="s">
        <v>223</v>
      </c>
      <c r="AO68" s="25" t="s">
        <v>223</v>
      </c>
      <c r="AP68" s="110"/>
      <c r="AQ68" s="110"/>
      <c r="AR68" s="25" t="s">
        <v>223</v>
      </c>
      <c r="AS68" s="25" t="s">
        <v>223</v>
      </c>
      <c r="AT68" s="25" t="s">
        <v>223</v>
      </c>
      <c r="AV68" s="25" t="s">
        <v>223</v>
      </c>
      <c r="AW68" s="110"/>
      <c r="AX68" s="110"/>
      <c r="AY68" s="25" t="s">
        <v>276</v>
      </c>
      <c r="AZ68" s="25" t="s">
        <v>452</v>
      </c>
      <c r="BA68" s="25" t="s">
        <v>452</v>
      </c>
      <c r="BB68" s="25" t="s">
        <v>452</v>
      </c>
      <c r="BC68" s="25" t="s">
        <v>452</v>
      </c>
      <c r="BD68" s="110"/>
      <c r="BE68" s="110"/>
      <c r="BF68" s="25">
        <v>1</v>
      </c>
      <c r="BG68" s="25">
        <v>1</v>
      </c>
      <c r="BH68" s="25">
        <v>1</v>
      </c>
      <c r="BI68" s="25"/>
      <c r="BJ68" s="25">
        <v>1</v>
      </c>
      <c r="BK68" s="110"/>
      <c r="BL68" s="110"/>
      <c r="BM68" s="25">
        <v>1</v>
      </c>
      <c r="BN68" s="25"/>
      <c r="BO68" s="25">
        <v>1</v>
      </c>
      <c r="BP68" s="25">
        <v>1</v>
      </c>
      <c r="BQ68" s="25">
        <v>1</v>
      </c>
      <c r="BR68" s="110"/>
      <c r="BS68" s="110"/>
      <c r="BT68" s="25">
        <v>1</v>
      </c>
      <c r="BU68" s="25">
        <v>1</v>
      </c>
      <c r="BV68" s="25">
        <v>1</v>
      </c>
      <c r="BW68" s="25">
        <v>1</v>
      </c>
      <c r="BX68" s="25">
        <v>1</v>
      </c>
      <c r="BY68" s="110"/>
      <c r="BZ68" s="110"/>
      <c r="CA68" s="25">
        <v>1</v>
      </c>
      <c r="CB68" s="25">
        <v>1</v>
      </c>
      <c r="CC68" s="25">
        <v>1</v>
      </c>
      <c r="CD68" s="25">
        <v>1</v>
      </c>
      <c r="CE68" s="25">
        <v>1</v>
      </c>
      <c r="CF68" s="110"/>
      <c r="CG68" s="110"/>
      <c r="CH68" s="25">
        <v>1</v>
      </c>
      <c r="CI68" s="25">
        <v>1</v>
      </c>
      <c r="CJ68" s="25">
        <v>1</v>
      </c>
      <c r="CK68" s="25">
        <v>1</v>
      </c>
      <c r="CL68" s="25">
        <v>1</v>
      </c>
      <c r="CM68" s="110"/>
      <c r="CN68" s="110"/>
      <c r="CO68" s="25">
        <v>1</v>
      </c>
      <c r="CP68" s="25">
        <v>1</v>
      </c>
      <c r="CQ68" s="25">
        <v>1</v>
      </c>
      <c r="CR68" s="25">
        <v>1</v>
      </c>
      <c r="CS68" s="25">
        <v>1</v>
      </c>
      <c r="CT68" s="110"/>
      <c r="CU68" s="110"/>
      <c r="CV68" s="110"/>
      <c r="CW68" s="25">
        <v>1</v>
      </c>
      <c r="CX68" s="25">
        <v>1</v>
      </c>
      <c r="CY68" s="25">
        <v>1</v>
      </c>
      <c r="CZ68" s="25">
        <v>1</v>
      </c>
      <c r="DA68" s="110"/>
      <c r="DB68" s="110"/>
      <c r="DC68" s="25">
        <v>1</v>
      </c>
      <c r="DD68" s="25">
        <v>1</v>
      </c>
      <c r="DE68" s="25">
        <v>1</v>
      </c>
      <c r="DF68" s="25">
        <v>1</v>
      </c>
      <c r="DG68" s="25">
        <v>1</v>
      </c>
      <c r="DH68" s="110"/>
      <c r="DI68" s="110"/>
      <c r="DJ68" s="25">
        <v>1</v>
      </c>
      <c r="DK68" s="25">
        <v>1</v>
      </c>
      <c r="DL68" s="25" t="s">
        <v>223</v>
      </c>
      <c r="DM68" s="25" t="s">
        <v>223</v>
      </c>
      <c r="DN68" s="25">
        <v>1</v>
      </c>
      <c r="DO68" s="110"/>
      <c r="DP68" s="110"/>
      <c r="DQ68" s="25">
        <v>1</v>
      </c>
      <c r="DR68" s="25">
        <v>1</v>
      </c>
      <c r="DS68" s="25">
        <v>1</v>
      </c>
      <c r="DT68" s="25"/>
      <c r="DU68" s="110" t="s">
        <v>445</v>
      </c>
      <c r="DV68" s="110"/>
      <c r="DW68" s="110"/>
      <c r="DX68" s="25">
        <v>1</v>
      </c>
      <c r="DY68" s="25">
        <v>1</v>
      </c>
      <c r="DZ68" s="25">
        <v>1</v>
      </c>
      <c r="EA68" s="25"/>
      <c r="EB68" s="110" t="s">
        <v>445</v>
      </c>
      <c r="EC68" s="110"/>
      <c r="ED68" s="110"/>
      <c r="EE68" s="25">
        <v>1</v>
      </c>
      <c r="EF68" s="25">
        <v>1</v>
      </c>
      <c r="EG68" s="25">
        <v>1</v>
      </c>
      <c r="EH68" s="110" t="s">
        <v>445</v>
      </c>
      <c r="EI68" s="110" t="s">
        <v>445</v>
      </c>
      <c r="EJ68" s="110"/>
      <c r="EK68" s="110"/>
      <c r="EL68" s="25"/>
      <c r="EM68" s="25"/>
      <c r="EN68" s="25"/>
      <c r="EO68" s="25"/>
      <c r="EP68" s="25"/>
      <c r="EQ68" s="110"/>
      <c r="ER68" s="110"/>
      <c r="ES68" s="110" t="s">
        <v>445</v>
      </c>
      <c r="ET68" s="25"/>
      <c r="EU68" s="25"/>
      <c r="EV68" s="25"/>
      <c r="EW68" s="25"/>
      <c r="EX68" s="110"/>
      <c r="EY68" s="110"/>
      <c r="EZ68" s="25"/>
      <c r="FA68" s="25"/>
      <c r="FB68" s="25"/>
      <c r="FC68" s="25"/>
      <c r="FD68" s="25"/>
      <c r="FE68" s="110"/>
      <c r="FF68" s="110"/>
      <c r="FG68" s="25"/>
      <c r="FH68" s="25"/>
      <c r="FI68" s="25"/>
      <c r="FJ68" s="25"/>
      <c r="FK68" s="25"/>
      <c r="FL68" s="110"/>
      <c r="FM68" s="110"/>
      <c r="FN68" s="25"/>
      <c r="FO68" s="25"/>
      <c r="FP68" s="25"/>
      <c r="FQ68" s="25"/>
      <c r="FR68" s="25"/>
      <c r="FS68" s="110"/>
      <c r="FT68" s="110"/>
      <c r="FU68" s="25"/>
      <c r="FV68" s="25"/>
      <c r="FW68" s="25"/>
      <c r="FX68" s="25"/>
      <c r="FY68" s="25"/>
      <c r="FZ68" s="110"/>
      <c r="GA68" s="110"/>
      <c r="GB68" s="25"/>
      <c r="GC68" s="25"/>
      <c r="GD68" s="25"/>
      <c r="GE68" s="25"/>
      <c r="GF68" s="25"/>
      <c r="GG68" s="110"/>
      <c r="GH68" s="110"/>
      <c r="GI68" s="25"/>
      <c r="GJ68" s="25"/>
      <c r="GK68" s="25"/>
      <c r="GL68" s="25"/>
      <c r="GM68" s="25"/>
      <c r="GN68" s="110"/>
      <c r="GO68" s="110"/>
      <c r="GP68" s="110" t="s">
        <v>445</v>
      </c>
      <c r="GQ68" s="110"/>
      <c r="GR68" s="25"/>
      <c r="GS68" s="25"/>
      <c r="GT68" s="25"/>
      <c r="GU68" s="110"/>
      <c r="GV68" s="110"/>
      <c r="GW68" s="25"/>
      <c r="GX68" s="25"/>
      <c r="GY68" s="25"/>
      <c r="GZ68" s="25"/>
      <c r="HA68" s="25"/>
      <c r="HB68" s="110"/>
      <c r="HC68" s="110"/>
      <c r="HD68" s="25"/>
      <c r="HE68" s="25"/>
      <c r="HF68" s="25"/>
      <c r="HG68" s="25"/>
      <c r="HH68" s="25"/>
      <c r="HI68" s="110"/>
      <c r="HJ68" s="110"/>
      <c r="HK68" s="25"/>
      <c r="HL68" s="25"/>
      <c r="HM68" s="25"/>
      <c r="HN68" s="25"/>
      <c r="HO68" s="25"/>
      <c r="HP68" s="110"/>
      <c r="HQ68" s="110"/>
      <c r="HR68" s="25"/>
      <c r="HS68" s="25"/>
      <c r="HT68" s="25"/>
      <c r="HU68" s="25"/>
      <c r="HV68" s="25"/>
      <c r="HW68" s="110"/>
      <c r="HX68" s="110"/>
      <c r="HY68" s="25"/>
      <c r="HZ68" s="25"/>
      <c r="IA68" s="25"/>
      <c r="IB68" s="25"/>
      <c r="IC68" s="25"/>
      <c r="ID68" s="110"/>
      <c r="IE68" s="110"/>
      <c r="IF68" s="25"/>
      <c r="IG68" s="25"/>
      <c r="IH68" s="25"/>
      <c r="II68" s="25"/>
      <c r="IJ68" s="25"/>
      <c r="IK68" s="110"/>
      <c r="IL68" s="110"/>
      <c r="IM68" s="25"/>
      <c r="IN68" s="25"/>
      <c r="IO68" s="25"/>
      <c r="IP68" s="25"/>
      <c r="IQ68" s="25"/>
      <c r="IR68" s="110"/>
      <c r="IS68" s="110"/>
      <c r="IT68" s="25"/>
      <c r="IU68" s="25"/>
      <c r="IV68" s="25"/>
      <c r="IW68" s="25"/>
      <c r="IX68" s="25"/>
      <c r="IY68" s="110"/>
      <c r="IZ68" s="110"/>
      <c r="JA68" s="25"/>
      <c r="JB68" s="25"/>
      <c r="JC68" s="25"/>
      <c r="JD68" s="25"/>
      <c r="JE68" s="25"/>
      <c r="JF68" s="110"/>
      <c r="JG68" s="110"/>
      <c r="JH68" s="25"/>
      <c r="JI68" s="25"/>
      <c r="JJ68" s="25"/>
      <c r="JK68" s="25"/>
      <c r="JL68" s="25"/>
      <c r="JM68" s="110"/>
      <c r="JN68" s="110"/>
      <c r="JO68" s="25"/>
      <c r="JP68" s="25"/>
      <c r="JQ68" s="25"/>
      <c r="JR68" s="25"/>
      <c r="JS68" s="25"/>
      <c r="JT68" s="110"/>
      <c r="JU68" s="110"/>
      <c r="JV68" s="25"/>
      <c r="JW68" s="25"/>
      <c r="JX68" s="25"/>
      <c r="JY68" s="25"/>
      <c r="JZ68" s="25"/>
      <c r="KA68" s="110"/>
      <c r="KB68" s="110"/>
      <c r="KC68" s="25"/>
      <c r="KD68" s="25"/>
      <c r="KE68" s="25"/>
      <c r="KF68" s="25"/>
      <c r="KG68" s="25"/>
      <c r="KH68" s="110"/>
      <c r="KI68" s="110"/>
      <c r="KJ68" s="25"/>
      <c r="KK68" s="25"/>
      <c r="KL68" s="25"/>
      <c r="KM68" s="25"/>
      <c r="KN68" s="25"/>
      <c r="KO68" s="110"/>
      <c r="KP68" s="110"/>
      <c r="KQ68" s="25"/>
      <c r="KR68" s="25"/>
      <c r="KS68" s="25"/>
      <c r="KT68" s="25"/>
      <c r="KU68" s="25"/>
      <c r="KV68" s="110"/>
      <c r="KW68" s="110"/>
      <c r="KX68" s="25"/>
      <c r="KY68" s="25"/>
      <c r="KZ68" s="25"/>
      <c r="LA68" s="25"/>
      <c r="LB68" s="25"/>
      <c r="LC68" s="110"/>
      <c r="LD68" s="110"/>
      <c r="LE68" s="25"/>
      <c r="LF68" s="25"/>
      <c r="LG68" s="110" t="s">
        <v>445</v>
      </c>
      <c r="LH68" s="25"/>
      <c r="LI68" s="25"/>
      <c r="LJ68" s="110"/>
      <c r="LK68" s="110"/>
      <c r="LL68" s="25"/>
      <c r="LM68" s="25"/>
      <c r="LN68" s="25"/>
      <c r="LO68" s="25"/>
      <c r="LP68" s="25"/>
      <c r="LQ68" s="110"/>
      <c r="LR68" s="110"/>
      <c r="LS68" s="25"/>
      <c r="LT68" s="25"/>
      <c r="LU68" s="25"/>
      <c r="LV68" s="25"/>
      <c r="LW68" s="25"/>
      <c r="LX68" s="110"/>
      <c r="LY68" s="110"/>
      <c r="LZ68" s="25"/>
      <c r="MA68" s="25"/>
      <c r="MB68" s="25"/>
      <c r="MC68" s="25"/>
      <c r="MD68" s="25"/>
      <c r="ME68" s="110"/>
      <c r="MF68" s="110"/>
      <c r="MG68" s="25"/>
      <c r="MH68" s="25"/>
      <c r="MI68" s="25"/>
      <c r="MJ68" s="25"/>
      <c r="MK68" s="25"/>
      <c r="ML68" s="110"/>
      <c r="MM68" s="110"/>
      <c r="MN68" s="25"/>
      <c r="MO68" s="25"/>
      <c r="MP68" s="25"/>
      <c r="MQ68" s="25"/>
      <c r="MR68" s="25"/>
      <c r="MS68" s="110"/>
      <c r="MT68" s="110"/>
      <c r="MU68" s="25"/>
      <c r="MV68" s="25"/>
      <c r="MW68" s="25"/>
      <c r="MX68" s="25"/>
      <c r="MY68" s="25"/>
      <c r="MZ68" s="110"/>
      <c r="NA68" s="110"/>
      <c r="NB68" s="25"/>
      <c r="NC68" s="25"/>
      <c r="ND68" s="25"/>
      <c r="NE68" s="129"/>
      <c r="NF68" s="111"/>
      <c r="NG68" s="8">
        <f t="shared" si="45"/>
        <v>0</v>
      </c>
      <c r="NH68" s="351" cm="1">
        <f t="array" ref="NH68">NETWORKDAYS($I$2,$AH$2)- SUM(COUNTIF(I68:AH68,{"I";"F";"CP";"R";"P";"AC";"AM"}))</f>
        <v>0</v>
      </c>
      <c r="NI68" s="138" t="str">
        <f t="shared" ref="NI68:NI115" si="67">IF(ISERROR(NG68/NH68),"",(NG68/NH68))</f>
        <v/>
      </c>
      <c r="NJ68" s="8">
        <f t="shared" si="46"/>
        <v>4</v>
      </c>
      <c r="NK68" s="351" cm="1">
        <f t="array" ref="NK68">NETWORKDAYS($AJ$2,$BK$2)- SUM(COUNTIF(AJ68:BK68,{"I";"F";"CP";"R";"P";"AC";"AM"}))</f>
        <v>10</v>
      </c>
      <c r="NL68" s="138">
        <f t="shared" ref="NL68:NL115" si="68">IF(ISERROR(NJ68/NK68),"",(NJ68/NK68))</f>
        <v>0.4</v>
      </c>
      <c r="NM68" s="8">
        <f t="shared" si="47"/>
        <v>21</v>
      </c>
      <c r="NN68" s="351" cm="1">
        <f t="array" ref="NN68">NETWORKDAYS($BL$2,$CP$2)- SUM(COUNTIF(BL68:CP68,{"I";"F";"CP";"R";"P";"AC";"AM"}))</f>
        <v>22</v>
      </c>
      <c r="NO68" s="138">
        <f t="shared" ref="NO68:NO115" si="69">IF(ISERROR(NM68/NN68),"",(NM68/NN68))</f>
        <v>0.95454545454545459</v>
      </c>
      <c r="NP68" s="8">
        <f t="shared" si="48"/>
        <v>18</v>
      </c>
      <c r="NQ68" s="351" cm="1">
        <f t="array" ref="NQ68">NETWORKDAYS($CQ$2,$DT$2,$CV$2)- SUM(COUNTIF(CQ68:DT68,{"I";"F";"CP";"R";"P";"AC";"AM"}))</f>
        <v>19</v>
      </c>
      <c r="NR68" s="138">
        <f t="shared" ref="NR68:NR115" si="70">IF(ISERROR(NP68/NQ68),"",(NP68/NQ68))</f>
        <v>0.94736842105263153</v>
      </c>
      <c r="NS68" s="8">
        <f t="shared" si="49"/>
        <v>6</v>
      </c>
      <c r="NT68" s="351" cm="1">
        <f t="array" ref="NT68">NETWORKDAYS($DV$2,$EY$2)-SUM(COUNTIF(DV68:EY68,{"I";"F";"CP";"R";"P";"AC";"AM"}))</f>
        <v>16</v>
      </c>
      <c r="NU68" s="138">
        <f t="shared" ref="NU68:NU115" si="71">IF(ISERROR(NS68/NT68),"",(NS68/NT68))</f>
        <v>0.375</v>
      </c>
      <c r="NV68" s="8">
        <f t="shared" si="50"/>
        <v>0</v>
      </c>
      <c r="NW68" s="351" cm="1">
        <f t="array" ref="NW68">NETWORKDAYS($EZ$2,$GC$2)-SUM(COUNTIF(EZ68:GC68,{"I";"F";"CP";"R";"P";"AC";"AM"}))</f>
        <v>22</v>
      </c>
      <c r="NX68" s="138">
        <f t="shared" si="51"/>
        <v>0</v>
      </c>
      <c r="NY68" s="8">
        <f t="shared" si="52"/>
        <v>0</v>
      </c>
      <c r="NZ68" s="351" cm="1">
        <f t="array" ref="NZ68">NETWORKDAYS($GD$2,$HH$2,$GQ$2)-SUM(COUNTIF(GD68:HH68,{"I";"F";"CP";"R";"P";"AC";"AM"}))</f>
        <v>21</v>
      </c>
      <c r="OA68" s="138">
        <f t="shared" si="53"/>
        <v>0</v>
      </c>
      <c r="OB68" s="8">
        <f t="shared" si="54"/>
        <v>0</v>
      </c>
      <c r="OC68" s="351" cm="1">
        <f t="array" ref="OC68">NETWORKDAYS($HI$2,$IM$2)-SUM(COUNTIF(HI68:IM68,{"I";"F";"CP";"R";"P";"AC";"AM"}))</f>
        <v>21</v>
      </c>
      <c r="OD68" s="138">
        <f t="shared" si="55"/>
        <v>0</v>
      </c>
      <c r="OE68" s="8">
        <f t="shared" si="56"/>
        <v>0</v>
      </c>
      <c r="OF68" s="351" cm="1">
        <f t="array" ref="OF68">NETWORKDAYS($IN$2,$JQ$2)-SUM(COUNTIF(IN68:JQ68,{"I";"F";"CP";"R";"P";"AC";"AM"}))</f>
        <v>22</v>
      </c>
      <c r="OG68" s="138">
        <f t="shared" si="57"/>
        <v>0</v>
      </c>
      <c r="OH68" s="8">
        <f t="shared" si="58"/>
        <v>0</v>
      </c>
      <c r="OI68" s="351" cm="1">
        <f t="array" ref="OI68">NETWORKDAYS($JR$2,$KV$2)-SUM(COUNTIF(JR68:KV68,{"I";"F";"CP";"R";"P";"AC";"AM"}))</f>
        <v>22</v>
      </c>
      <c r="OJ68" s="138">
        <f t="shared" si="59"/>
        <v>0</v>
      </c>
      <c r="OK68" s="8">
        <f t="shared" si="60"/>
        <v>0</v>
      </c>
      <c r="OL68" s="351" cm="1">
        <f t="array" ref="OL68">NETWORKDAYS($KW$2,$LZ$2,$LG$2)-SUM(COUNTIF(KW68:LZ68,{"I";"F";"CP";"R";"P";"AC";"AM"}))</f>
        <v>19</v>
      </c>
      <c r="OM68" s="138">
        <f t="shared" si="61"/>
        <v>0</v>
      </c>
      <c r="ON68" s="8">
        <f t="shared" si="62"/>
        <v>0</v>
      </c>
      <c r="OO68" s="351" cm="1">
        <f t="array" ref="OO68">NETWORKDAYS($MA$2,$MR$2)-SUM(COUNTIF(MA68:MR68,{"I";"F";"CP";"R";"P";"AC";"AM"}))</f>
        <v>14</v>
      </c>
      <c r="OP68" s="138">
        <f t="shared" si="63"/>
        <v>0</v>
      </c>
      <c r="OQ68" s="94">
        <f t="shared" si="64"/>
        <v>49</v>
      </c>
      <c r="OR68" s="94">
        <f t="shared" si="65"/>
        <v>208</v>
      </c>
      <c r="OS68" s="138">
        <f t="shared" si="66"/>
        <v>0.23557692307692307</v>
      </c>
    </row>
    <row r="69" spans="1:409" ht="18" hidden="1" customHeight="1" x14ac:dyDescent="0.25">
      <c r="A69" s="93" t="s">
        <v>109</v>
      </c>
      <c r="B69" s="95" t="s">
        <v>34</v>
      </c>
      <c r="C69" s="89" t="s">
        <v>166</v>
      </c>
      <c r="D69" s="89" t="s">
        <v>244</v>
      </c>
      <c r="E69" s="128"/>
      <c r="F69" s="110"/>
      <c r="G69" s="110"/>
      <c r="H69" s="110"/>
      <c r="I69" s="25" t="s">
        <v>208</v>
      </c>
      <c r="J69" s="25" t="s">
        <v>208</v>
      </c>
      <c r="K69" s="25" t="s">
        <v>208</v>
      </c>
      <c r="L69" s="25" t="s">
        <v>208</v>
      </c>
      <c r="M69" s="25" t="s">
        <v>208</v>
      </c>
      <c r="N69" s="110"/>
      <c r="O69" s="110"/>
      <c r="P69" s="25" t="s">
        <v>208</v>
      </c>
      <c r="Q69" s="25" t="s">
        <v>208</v>
      </c>
      <c r="R69" s="25" t="s">
        <v>208</v>
      </c>
      <c r="S69" s="25" t="s">
        <v>208</v>
      </c>
      <c r="T69" s="25" t="s">
        <v>208</v>
      </c>
      <c r="U69" s="110"/>
      <c r="V69" s="110"/>
      <c r="W69" s="25" t="s">
        <v>208</v>
      </c>
      <c r="X69" s="25" t="s">
        <v>208</v>
      </c>
      <c r="Y69" s="25" t="s">
        <v>208</v>
      </c>
      <c r="Z69" s="25" t="s">
        <v>208</v>
      </c>
      <c r="AA69" s="25" t="s">
        <v>208</v>
      </c>
      <c r="AB69" s="110"/>
      <c r="AC69" s="110"/>
      <c r="AD69" s="25" t="s">
        <v>208</v>
      </c>
      <c r="AE69" s="25" t="s">
        <v>208</v>
      </c>
      <c r="AF69" s="25" t="s">
        <v>208</v>
      </c>
      <c r="AG69" s="25" t="s">
        <v>208</v>
      </c>
      <c r="AH69" s="25" t="s">
        <v>208</v>
      </c>
      <c r="AI69" s="110"/>
      <c r="AJ69" s="110"/>
      <c r="AK69" s="25" t="s">
        <v>208</v>
      </c>
      <c r="AL69" s="25" t="s">
        <v>208</v>
      </c>
      <c r="AM69" s="25" t="s">
        <v>208</v>
      </c>
      <c r="AN69" s="25" t="s">
        <v>208</v>
      </c>
      <c r="AO69" s="25" t="s">
        <v>208</v>
      </c>
      <c r="AP69" s="110"/>
      <c r="AQ69" s="110"/>
      <c r="AR69" s="25" t="s">
        <v>208</v>
      </c>
      <c r="AS69" s="25" t="s">
        <v>208</v>
      </c>
      <c r="AT69" s="25" t="s">
        <v>208</v>
      </c>
      <c r="AV69" s="25" t="s">
        <v>208</v>
      </c>
      <c r="AW69" s="110"/>
      <c r="AX69" s="110"/>
      <c r="AY69" s="25"/>
      <c r="AZ69" s="25"/>
      <c r="BA69" s="25"/>
      <c r="BB69" s="25"/>
      <c r="BC69" s="25"/>
      <c r="BD69" s="110"/>
      <c r="BE69" s="110"/>
      <c r="BF69" s="25"/>
      <c r="BG69" s="25"/>
      <c r="BH69" s="25"/>
      <c r="BI69" s="25"/>
      <c r="BJ69" s="25"/>
      <c r="BK69" s="110"/>
      <c r="BL69" s="110"/>
      <c r="BM69" s="25"/>
      <c r="BN69" s="25"/>
      <c r="BO69" s="25"/>
      <c r="BP69" s="25"/>
      <c r="BQ69" s="25"/>
      <c r="BR69" s="110"/>
      <c r="BS69" s="110"/>
      <c r="BT69" s="25"/>
      <c r="BU69" s="25"/>
      <c r="BV69" s="25"/>
      <c r="BW69" s="25"/>
      <c r="BX69" s="25"/>
      <c r="BY69" s="110"/>
      <c r="BZ69" s="110"/>
      <c r="CA69" s="25"/>
      <c r="CB69" s="25"/>
      <c r="CC69" s="25"/>
      <c r="CD69" s="25">
        <v>1</v>
      </c>
      <c r="CE69" s="25">
        <v>1</v>
      </c>
      <c r="CF69" s="110"/>
      <c r="CG69" s="110"/>
      <c r="CH69" s="25">
        <v>1</v>
      </c>
      <c r="CI69" s="25"/>
      <c r="CJ69" s="25">
        <v>1</v>
      </c>
      <c r="CK69" s="25"/>
      <c r="CL69" s="25"/>
      <c r="CM69" s="110"/>
      <c r="CN69" s="110"/>
      <c r="CO69" s="25"/>
      <c r="CP69" s="25"/>
      <c r="CQ69" s="25"/>
      <c r="CR69" s="25"/>
      <c r="CS69" s="25"/>
      <c r="CT69" s="110"/>
      <c r="CU69" s="110"/>
      <c r="CV69" s="110"/>
      <c r="CW69" s="25"/>
      <c r="CX69" s="25"/>
      <c r="CY69" s="25"/>
      <c r="CZ69" s="25"/>
      <c r="DA69" s="110"/>
      <c r="DB69" s="110"/>
      <c r="DC69" s="25"/>
      <c r="DD69" s="25"/>
      <c r="DE69" s="25"/>
      <c r="DF69" s="25"/>
      <c r="DG69" s="25"/>
      <c r="DH69" s="110"/>
      <c r="DI69" s="110"/>
      <c r="DJ69" s="25"/>
      <c r="DK69" s="25"/>
      <c r="DL69" s="25"/>
      <c r="DM69" s="25"/>
      <c r="DN69" s="25"/>
      <c r="DO69" s="110"/>
      <c r="DP69" s="110"/>
      <c r="DQ69" s="25"/>
      <c r="DR69" s="25"/>
      <c r="DS69" s="25"/>
      <c r="DT69" s="25"/>
      <c r="DU69" s="110" t="s">
        <v>445</v>
      </c>
      <c r="DV69" s="110"/>
      <c r="DW69" s="110"/>
      <c r="DX69" s="25"/>
      <c r="DY69" s="25"/>
      <c r="DZ69" s="25"/>
      <c r="EA69" s="25"/>
      <c r="EB69" s="110" t="s">
        <v>445</v>
      </c>
      <c r="EC69" s="110"/>
      <c r="ED69" s="110"/>
      <c r="EE69" s="25"/>
      <c r="EF69" s="25"/>
      <c r="EG69" s="25"/>
      <c r="EH69" s="110" t="s">
        <v>445</v>
      </c>
      <c r="EI69" s="110" t="s">
        <v>445</v>
      </c>
      <c r="EJ69" s="110"/>
      <c r="EK69" s="110"/>
      <c r="EL69" s="25"/>
      <c r="EM69" s="25"/>
      <c r="EN69" s="25"/>
      <c r="EO69" s="25"/>
      <c r="EP69" s="25"/>
      <c r="EQ69" s="110"/>
      <c r="ER69" s="110"/>
      <c r="ES69" s="110" t="s">
        <v>445</v>
      </c>
      <c r="ET69" s="25"/>
      <c r="EU69" s="25"/>
      <c r="EV69" s="25"/>
      <c r="EW69" s="25"/>
      <c r="EX69" s="110"/>
      <c r="EY69" s="110"/>
      <c r="EZ69" s="25"/>
      <c r="FA69" s="25"/>
      <c r="FB69" s="25"/>
      <c r="FC69" s="25"/>
      <c r="FD69" s="25"/>
      <c r="FE69" s="110"/>
      <c r="FF69" s="110"/>
      <c r="FG69" s="25"/>
      <c r="FH69" s="25"/>
      <c r="FI69" s="25"/>
      <c r="FJ69" s="25"/>
      <c r="FK69" s="25"/>
      <c r="FL69" s="110"/>
      <c r="FM69" s="110"/>
      <c r="FN69" s="25"/>
      <c r="FO69" s="25"/>
      <c r="FP69" s="25"/>
      <c r="FQ69" s="25"/>
      <c r="FR69" s="25"/>
      <c r="FS69" s="110"/>
      <c r="FT69" s="110"/>
      <c r="FU69" s="25"/>
      <c r="FV69" s="25"/>
      <c r="FW69" s="25"/>
      <c r="FX69" s="25"/>
      <c r="FY69" s="25"/>
      <c r="FZ69" s="110"/>
      <c r="GA69" s="110"/>
      <c r="GB69" s="25"/>
      <c r="GC69" s="25"/>
      <c r="GD69" s="25"/>
      <c r="GE69" s="25"/>
      <c r="GF69" s="25"/>
      <c r="GG69" s="110"/>
      <c r="GH69" s="110"/>
      <c r="GI69" s="25"/>
      <c r="GJ69" s="25"/>
      <c r="GK69" s="25"/>
      <c r="GL69" s="25"/>
      <c r="GM69" s="25"/>
      <c r="GN69" s="110"/>
      <c r="GO69" s="110"/>
      <c r="GP69" s="110" t="s">
        <v>445</v>
      </c>
      <c r="GQ69" s="110"/>
      <c r="GR69" s="25"/>
      <c r="GS69" s="25"/>
      <c r="GT69" s="25"/>
      <c r="GU69" s="110"/>
      <c r="GV69" s="110"/>
      <c r="GW69" s="25"/>
      <c r="GX69" s="25"/>
      <c r="GY69" s="25"/>
      <c r="GZ69" s="25"/>
      <c r="HA69" s="25"/>
      <c r="HB69" s="110"/>
      <c r="HC69" s="110"/>
      <c r="HD69" s="25"/>
      <c r="HE69" s="25"/>
      <c r="HF69" s="25"/>
      <c r="HG69" s="25"/>
      <c r="HH69" s="25"/>
      <c r="HI69" s="110"/>
      <c r="HJ69" s="110"/>
      <c r="HK69" s="25"/>
      <c r="HL69" s="25"/>
      <c r="HM69" s="25"/>
      <c r="HN69" s="25"/>
      <c r="HO69" s="25"/>
      <c r="HP69" s="110"/>
      <c r="HQ69" s="110"/>
      <c r="HR69" s="25"/>
      <c r="HS69" s="25"/>
      <c r="HT69" s="25"/>
      <c r="HU69" s="25"/>
      <c r="HV69" s="25"/>
      <c r="HW69" s="110"/>
      <c r="HX69" s="110"/>
      <c r="HY69" s="25"/>
      <c r="HZ69" s="25"/>
      <c r="IA69" s="25"/>
      <c r="IB69" s="25"/>
      <c r="IC69" s="25"/>
      <c r="ID69" s="110"/>
      <c r="IE69" s="110"/>
      <c r="IF69" s="25"/>
      <c r="IG69" s="25"/>
      <c r="IH69" s="25"/>
      <c r="II69" s="25"/>
      <c r="IJ69" s="25"/>
      <c r="IK69" s="110"/>
      <c r="IL69" s="110"/>
      <c r="IM69" s="25"/>
      <c r="IN69" s="25"/>
      <c r="IO69" s="25"/>
      <c r="IP69" s="25"/>
      <c r="IQ69" s="25"/>
      <c r="IR69" s="110"/>
      <c r="IS69" s="110"/>
      <c r="IT69" s="25"/>
      <c r="IU69" s="25"/>
      <c r="IV69" s="25"/>
      <c r="IW69" s="25"/>
      <c r="IX69" s="25"/>
      <c r="IY69" s="110"/>
      <c r="IZ69" s="110"/>
      <c r="JA69" s="25"/>
      <c r="JB69" s="25"/>
      <c r="JC69" s="25"/>
      <c r="JD69" s="25"/>
      <c r="JE69" s="25"/>
      <c r="JF69" s="110"/>
      <c r="JG69" s="110"/>
      <c r="JH69" s="25"/>
      <c r="JI69" s="25"/>
      <c r="JJ69" s="25"/>
      <c r="JK69" s="25"/>
      <c r="JL69" s="25"/>
      <c r="JM69" s="110"/>
      <c r="JN69" s="110"/>
      <c r="JO69" s="25"/>
      <c r="JP69" s="25"/>
      <c r="JQ69" s="25"/>
      <c r="JR69" s="25"/>
      <c r="JS69" s="25"/>
      <c r="JT69" s="110"/>
      <c r="JU69" s="110"/>
      <c r="JV69" s="25"/>
      <c r="JW69" s="25"/>
      <c r="JX69" s="25"/>
      <c r="JY69" s="25"/>
      <c r="JZ69" s="25"/>
      <c r="KA69" s="110"/>
      <c r="KB69" s="110"/>
      <c r="KC69" s="25"/>
      <c r="KD69" s="25"/>
      <c r="KE69" s="25"/>
      <c r="KF69" s="25"/>
      <c r="KG69" s="25"/>
      <c r="KH69" s="110"/>
      <c r="KI69" s="110"/>
      <c r="KJ69" s="25"/>
      <c r="KK69" s="25"/>
      <c r="KL69" s="25"/>
      <c r="KM69" s="25"/>
      <c r="KN69" s="25"/>
      <c r="KO69" s="110"/>
      <c r="KP69" s="110"/>
      <c r="KQ69" s="25"/>
      <c r="KR69" s="25"/>
      <c r="KS69" s="25"/>
      <c r="KT69" s="25"/>
      <c r="KU69" s="25"/>
      <c r="KV69" s="110"/>
      <c r="KW69" s="110"/>
      <c r="KX69" s="25"/>
      <c r="KY69" s="25"/>
      <c r="KZ69" s="25"/>
      <c r="LA69" s="25"/>
      <c r="LB69" s="25"/>
      <c r="LC69" s="110"/>
      <c r="LD69" s="110"/>
      <c r="LE69" s="25"/>
      <c r="LF69" s="25"/>
      <c r="LG69" s="110" t="s">
        <v>445</v>
      </c>
      <c r="LH69" s="25"/>
      <c r="LI69" s="25"/>
      <c r="LJ69" s="110"/>
      <c r="LK69" s="110"/>
      <c r="LL69" s="25"/>
      <c r="LM69" s="25"/>
      <c r="LN69" s="25"/>
      <c r="LO69" s="25"/>
      <c r="LP69" s="25"/>
      <c r="LQ69" s="110"/>
      <c r="LR69" s="110"/>
      <c r="LS69" s="25"/>
      <c r="LT69" s="25"/>
      <c r="LU69" s="25"/>
      <c r="LV69" s="25"/>
      <c r="LW69" s="25"/>
      <c r="LX69" s="110"/>
      <c r="LY69" s="110"/>
      <c r="LZ69" s="25"/>
      <c r="MA69" s="25"/>
      <c r="MB69" s="25"/>
      <c r="MC69" s="25"/>
      <c r="MD69" s="25"/>
      <c r="ME69" s="110"/>
      <c r="MF69" s="110"/>
      <c r="MG69" s="25"/>
      <c r="MH69" s="25"/>
      <c r="MI69" s="25"/>
      <c r="MJ69" s="25"/>
      <c r="MK69" s="25"/>
      <c r="ML69" s="110"/>
      <c r="MM69" s="110"/>
      <c r="MN69" s="25"/>
      <c r="MO69" s="25"/>
      <c r="MP69" s="25"/>
      <c r="MQ69" s="25"/>
      <c r="MR69" s="25"/>
      <c r="MS69" s="110"/>
      <c r="MT69" s="110"/>
      <c r="MU69" s="25"/>
      <c r="MV69" s="25"/>
      <c r="MW69" s="25"/>
      <c r="MX69" s="25"/>
      <c r="MY69" s="25"/>
      <c r="MZ69" s="110"/>
      <c r="NA69" s="110"/>
      <c r="NB69" s="25"/>
      <c r="NC69" s="25"/>
      <c r="ND69" s="25"/>
      <c r="NE69" s="129"/>
      <c r="NF69" s="111"/>
      <c r="NG69" s="8">
        <f t="shared" si="45"/>
        <v>0</v>
      </c>
      <c r="NH69" s="351" cm="1">
        <f t="array" ref="NH69">NETWORKDAYS($I$2,$AH$2)- SUM(COUNTIF(I69:AH69,{"I";"F";"CP";"R";"P";"AC";"AM"}))</f>
        <v>20</v>
      </c>
      <c r="NI69" s="138">
        <f t="shared" si="67"/>
        <v>0</v>
      </c>
      <c r="NJ69" s="8">
        <f t="shared" si="46"/>
        <v>0</v>
      </c>
      <c r="NK69" s="351" cm="1">
        <f t="array" ref="NK69">NETWORKDAYS($AJ$2,$BK$2)- SUM(COUNTIF(AJ69:BK69,{"I";"F";"CP";"R";"P";"AC";"AM"}))</f>
        <v>20</v>
      </c>
      <c r="NL69" s="138">
        <f t="shared" si="68"/>
        <v>0</v>
      </c>
      <c r="NM69" s="8">
        <f t="shared" si="47"/>
        <v>4</v>
      </c>
      <c r="NN69" s="351" cm="1">
        <f t="array" ref="NN69">NETWORKDAYS($BL$2,$CP$2)- SUM(COUNTIF(BL69:CP69,{"I";"F";"CP";"R";"P";"AC";"AM"}))</f>
        <v>22</v>
      </c>
      <c r="NO69" s="138">
        <f t="shared" si="69"/>
        <v>0.18181818181818182</v>
      </c>
      <c r="NP69" s="8">
        <f t="shared" si="48"/>
        <v>0</v>
      </c>
      <c r="NQ69" s="351" cm="1">
        <f t="array" ref="NQ69">NETWORKDAYS($CQ$2,$DT$2,$CV$2)- SUM(COUNTIF(CQ69:DT69,{"I";"F";"CP";"R";"P";"AC";"AM"}))</f>
        <v>21</v>
      </c>
      <c r="NR69" s="138">
        <f t="shared" si="70"/>
        <v>0</v>
      </c>
      <c r="NS69" s="8">
        <f t="shared" si="49"/>
        <v>0</v>
      </c>
      <c r="NT69" s="351" cm="1">
        <f t="array" ref="NT69">NETWORKDAYS($DV$2,$EY$2)-SUM(COUNTIF(DV69:EY69,{"I";"F";"CP";"R";"P";"AC";"AM"}))</f>
        <v>16</v>
      </c>
      <c r="NU69" s="138">
        <f t="shared" si="71"/>
        <v>0</v>
      </c>
      <c r="NV69" s="8">
        <f t="shared" si="50"/>
        <v>0</v>
      </c>
      <c r="NW69" s="351" cm="1">
        <f t="array" ref="NW69">NETWORKDAYS($EZ$2,$GC$2)-SUM(COUNTIF(EZ69:GC69,{"I";"F";"CP";"R";"P";"AC";"AM"}))</f>
        <v>22</v>
      </c>
      <c r="NX69" s="138">
        <f t="shared" si="51"/>
        <v>0</v>
      </c>
      <c r="NY69" s="8">
        <f t="shared" si="52"/>
        <v>0</v>
      </c>
      <c r="NZ69" s="351" cm="1">
        <f t="array" ref="NZ69">NETWORKDAYS($GD$2,$HH$2,$GQ$2)-SUM(COUNTIF(GD69:HH69,{"I";"F";"CP";"R";"P";"AC";"AM"}))</f>
        <v>21</v>
      </c>
      <c r="OA69" s="138">
        <f t="shared" si="53"/>
        <v>0</v>
      </c>
      <c r="OB69" s="8">
        <f t="shared" si="54"/>
        <v>0</v>
      </c>
      <c r="OC69" s="351" cm="1">
        <f t="array" ref="OC69">NETWORKDAYS($HI$2,$IM$2)-SUM(COUNTIF(HI69:IM69,{"I";"F";"CP";"R";"P";"AC";"AM"}))</f>
        <v>21</v>
      </c>
      <c r="OD69" s="138">
        <f t="shared" si="55"/>
        <v>0</v>
      </c>
      <c r="OE69" s="8">
        <f t="shared" si="56"/>
        <v>0</v>
      </c>
      <c r="OF69" s="351" cm="1">
        <f t="array" ref="OF69">NETWORKDAYS($IN$2,$JQ$2)-SUM(COUNTIF(IN69:JQ69,{"I";"F";"CP";"R";"P";"AC";"AM"}))</f>
        <v>22</v>
      </c>
      <c r="OG69" s="138">
        <f t="shared" si="57"/>
        <v>0</v>
      </c>
      <c r="OH69" s="8">
        <f t="shared" si="58"/>
        <v>0</v>
      </c>
      <c r="OI69" s="351" cm="1">
        <f t="array" ref="OI69">NETWORKDAYS($JR$2,$KV$2)-SUM(COUNTIF(JR69:KV69,{"I";"F";"CP";"R";"P";"AC";"AM"}))</f>
        <v>22</v>
      </c>
      <c r="OJ69" s="138">
        <f t="shared" si="59"/>
        <v>0</v>
      </c>
      <c r="OK69" s="8">
        <f t="shared" si="60"/>
        <v>0</v>
      </c>
      <c r="OL69" s="351" cm="1">
        <f t="array" ref="OL69">NETWORKDAYS($KW$2,$LZ$2,$LG$2)-SUM(COUNTIF(KW69:LZ69,{"I";"F";"CP";"R";"P";"AC";"AM"}))</f>
        <v>19</v>
      </c>
      <c r="OM69" s="138">
        <f t="shared" si="61"/>
        <v>0</v>
      </c>
      <c r="ON69" s="8">
        <f t="shared" si="62"/>
        <v>0</v>
      </c>
      <c r="OO69" s="351" cm="1">
        <f t="array" ref="OO69">NETWORKDAYS($MA$2,$MR$2)-SUM(COUNTIF(MA69:MR69,{"I";"F";"CP";"R";"P";"AC";"AM"}))</f>
        <v>14</v>
      </c>
      <c r="OP69" s="138">
        <f t="shared" si="63"/>
        <v>0</v>
      </c>
      <c r="OQ69" s="94">
        <f t="shared" si="64"/>
        <v>4</v>
      </c>
      <c r="OR69" s="94">
        <f t="shared" si="65"/>
        <v>240</v>
      </c>
      <c r="OS69" s="138">
        <f t="shared" si="66"/>
        <v>1.6666666666666666E-2</v>
      </c>
    </row>
    <row r="70" spans="1:409" ht="18" hidden="1" customHeight="1" x14ac:dyDescent="0.25">
      <c r="A70" s="95" t="s">
        <v>168</v>
      </c>
      <c r="B70" s="95" t="s">
        <v>168</v>
      </c>
      <c r="C70" s="89" t="s">
        <v>160</v>
      </c>
      <c r="D70" s="89" t="s">
        <v>245</v>
      </c>
      <c r="E70" s="128"/>
      <c r="F70" s="110"/>
      <c r="G70" s="110"/>
      <c r="H70" s="110"/>
      <c r="I70" s="25">
        <v>1</v>
      </c>
      <c r="J70" s="25">
        <v>1</v>
      </c>
      <c r="K70" s="25">
        <v>1</v>
      </c>
      <c r="L70" s="25" t="s">
        <v>447</v>
      </c>
      <c r="M70" s="25">
        <v>1</v>
      </c>
      <c r="N70" s="110"/>
      <c r="O70" s="110"/>
      <c r="P70" s="25">
        <v>1</v>
      </c>
      <c r="Q70" s="25">
        <v>1</v>
      </c>
      <c r="R70" s="25">
        <v>1</v>
      </c>
      <c r="S70" s="25">
        <v>1</v>
      </c>
      <c r="T70" s="25">
        <v>1</v>
      </c>
      <c r="U70" s="110"/>
      <c r="V70" s="110"/>
      <c r="W70" s="25">
        <v>1</v>
      </c>
      <c r="X70" s="25">
        <v>1</v>
      </c>
      <c r="Y70" s="25">
        <v>1</v>
      </c>
      <c r="Z70" s="25">
        <v>1</v>
      </c>
      <c r="AA70" s="25">
        <v>1</v>
      </c>
      <c r="AB70" s="110"/>
      <c r="AC70" s="110"/>
      <c r="AD70" s="25"/>
      <c r="AE70" s="25">
        <v>1</v>
      </c>
      <c r="AF70" s="25">
        <v>1</v>
      </c>
      <c r="AG70" s="25">
        <v>1</v>
      </c>
      <c r="AH70" s="25">
        <v>1</v>
      </c>
      <c r="AI70" s="110"/>
      <c r="AJ70" s="110"/>
      <c r="AK70" s="25">
        <v>1</v>
      </c>
      <c r="AL70" s="25">
        <v>1</v>
      </c>
      <c r="AM70" s="25">
        <v>1</v>
      </c>
      <c r="AN70" s="25">
        <v>1</v>
      </c>
      <c r="AO70" s="25">
        <v>1</v>
      </c>
      <c r="AP70" s="110"/>
      <c r="AQ70" s="110"/>
      <c r="AR70" s="25">
        <v>1</v>
      </c>
      <c r="AS70" s="25">
        <v>1</v>
      </c>
      <c r="AT70" s="25">
        <v>1</v>
      </c>
      <c r="AU70" s="25">
        <v>1</v>
      </c>
      <c r="AV70" s="25">
        <v>1</v>
      </c>
      <c r="AW70" s="110"/>
      <c r="AX70" s="110"/>
      <c r="AY70" s="25" t="s">
        <v>445</v>
      </c>
      <c r="AZ70" s="25" t="s">
        <v>445</v>
      </c>
      <c r="BA70" s="25" t="s">
        <v>445</v>
      </c>
      <c r="BB70" s="25" t="s">
        <v>445</v>
      </c>
      <c r="BC70" s="25" t="s">
        <v>445</v>
      </c>
      <c r="BD70" s="110"/>
      <c r="BE70" s="110"/>
      <c r="BF70" s="25">
        <v>1</v>
      </c>
      <c r="BG70" s="25">
        <v>1</v>
      </c>
      <c r="BH70" s="25">
        <v>1</v>
      </c>
      <c r="BI70" s="25">
        <v>1</v>
      </c>
      <c r="BJ70" s="25">
        <v>1</v>
      </c>
      <c r="BK70" s="110"/>
      <c r="BL70" s="110"/>
      <c r="BM70" s="25">
        <v>1</v>
      </c>
      <c r="BN70" s="25">
        <v>1</v>
      </c>
      <c r="BO70" s="25">
        <v>1</v>
      </c>
      <c r="BP70" s="25">
        <v>1</v>
      </c>
      <c r="BQ70" s="25">
        <v>1</v>
      </c>
      <c r="BR70" s="110"/>
      <c r="BS70" s="110"/>
      <c r="BT70" s="25">
        <v>1</v>
      </c>
      <c r="BU70" s="25">
        <v>1</v>
      </c>
      <c r="BV70" s="25">
        <v>1</v>
      </c>
      <c r="BW70" s="25">
        <v>1</v>
      </c>
      <c r="BX70" s="25">
        <v>1</v>
      </c>
      <c r="BY70" s="110"/>
      <c r="BZ70" s="110"/>
      <c r="CA70" s="25">
        <v>1</v>
      </c>
      <c r="CB70" s="25">
        <v>1</v>
      </c>
      <c r="CC70" s="25">
        <v>1</v>
      </c>
      <c r="CD70" s="25">
        <v>1</v>
      </c>
      <c r="CE70" s="25">
        <v>1</v>
      </c>
      <c r="CF70" s="110"/>
      <c r="CG70" s="110"/>
      <c r="CH70" s="25">
        <v>1</v>
      </c>
      <c r="CI70" s="25">
        <v>1</v>
      </c>
      <c r="CJ70" s="25">
        <v>1</v>
      </c>
      <c r="CK70" s="25">
        <v>1</v>
      </c>
      <c r="CL70" s="25">
        <v>1</v>
      </c>
      <c r="CM70" s="110"/>
      <c r="CN70" s="110"/>
      <c r="CO70" s="25">
        <v>1</v>
      </c>
      <c r="CP70" s="25">
        <v>1</v>
      </c>
      <c r="CQ70" s="25"/>
      <c r="CR70" s="25"/>
      <c r="CS70" s="25"/>
      <c r="CT70" s="110"/>
      <c r="CU70" s="110"/>
      <c r="CV70" s="110"/>
      <c r="CW70" s="25">
        <v>1</v>
      </c>
      <c r="CX70" s="25">
        <v>1</v>
      </c>
      <c r="CY70" s="25">
        <v>1</v>
      </c>
      <c r="CZ70" s="25">
        <v>1</v>
      </c>
      <c r="DA70" s="110"/>
      <c r="DB70" s="110"/>
      <c r="DC70" s="25">
        <v>1</v>
      </c>
      <c r="DD70" s="25">
        <v>1</v>
      </c>
      <c r="DE70" s="25">
        <v>1</v>
      </c>
      <c r="DF70" s="25">
        <v>1</v>
      </c>
      <c r="DG70" s="25">
        <v>1</v>
      </c>
      <c r="DH70" s="110"/>
      <c r="DI70" s="110"/>
      <c r="DJ70" s="25">
        <v>1</v>
      </c>
      <c r="DK70" s="25">
        <v>1</v>
      </c>
      <c r="DL70" s="25">
        <v>1</v>
      </c>
      <c r="DM70" s="25">
        <v>1</v>
      </c>
      <c r="DN70" s="25">
        <v>1</v>
      </c>
      <c r="DO70" s="110"/>
      <c r="DP70" s="110"/>
      <c r="DQ70" s="25"/>
      <c r="DR70" s="25">
        <v>1</v>
      </c>
      <c r="DS70" s="25">
        <v>1</v>
      </c>
      <c r="DT70" s="25">
        <v>1</v>
      </c>
      <c r="DU70" s="110" t="s">
        <v>445</v>
      </c>
      <c r="DV70" s="110"/>
      <c r="DW70" s="110"/>
      <c r="DX70" s="25"/>
      <c r="DY70" s="25"/>
      <c r="DZ70" s="25"/>
      <c r="EA70" s="25"/>
      <c r="EB70" s="110" t="s">
        <v>445</v>
      </c>
      <c r="EC70" s="110"/>
      <c r="ED70" s="110"/>
      <c r="EE70" s="25"/>
      <c r="EF70" s="25"/>
      <c r="EG70" s="25"/>
      <c r="EH70" s="110" t="s">
        <v>445</v>
      </c>
      <c r="EI70" s="110" t="s">
        <v>445</v>
      </c>
      <c r="EJ70" s="110"/>
      <c r="EK70" s="110"/>
      <c r="EL70" s="25"/>
      <c r="EM70" s="25"/>
      <c r="EN70" s="25"/>
      <c r="EO70" s="25"/>
      <c r="EP70" s="25"/>
      <c r="EQ70" s="110"/>
      <c r="ER70" s="110"/>
      <c r="ES70" s="110" t="s">
        <v>445</v>
      </c>
      <c r="ET70" s="25"/>
      <c r="EU70" s="25"/>
      <c r="EV70" s="25"/>
      <c r="EW70" s="25"/>
      <c r="EX70" s="110"/>
      <c r="EY70" s="110"/>
      <c r="EZ70" s="25"/>
      <c r="FA70" s="25"/>
      <c r="FB70" s="25"/>
      <c r="FC70" s="25"/>
      <c r="FD70" s="25"/>
      <c r="FE70" s="110"/>
      <c r="FF70" s="110"/>
      <c r="FG70" s="25"/>
      <c r="FH70" s="25"/>
      <c r="FI70" s="25"/>
      <c r="FJ70" s="25"/>
      <c r="FK70" s="25"/>
      <c r="FL70" s="110"/>
      <c r="FM70" s="110"/>
      <c r="FN70" s="25"/>
      <c r="FO70" s="25"/>
      <c r="FP70" s="25"/>
      <c r="FQ70" s="25"/>
      <c r="FR70" s="25"/>
      <c r="FS70" s="110"/>
      <c r="FT70" s="110"/>
      <c r="FU70" s="25"/>
      <c r="FV70" s="25"/>
      <c r="FW70" s="25"/>
      <c r="FX70" s="25"/>
      <c r="FY70" s="25"/>
      <c r="FZ70" s="110"/>
      <c r="GA70" s="110"/>
      <c r="GB70" s="25"/>
      <c r="GC70" s="25"/>
      <c r="GD70" s="25"/>
      <c r="GE70" s="25"/>
      <c r="GF70" s="25"/>
      <c r="GG70" s="110"/>
      <c r="GH70" s="110"/>
      <c r="GI70" s="25"/>
      <c r="GJ70" s="25"/>
      <c r="GK70" s="25"/>
      <c r="GL70" s="25"/>
      <c r="GM70" s="25"/>
      <c r="GN70" s="110"/>
      <c r="GO70" s="110"/>
      <c r="GP70" s="110" t="s">
        <v>445</v>
      </c>
      <c r="GQ70" s="110"/>
      <c r="GR70" s="25"/>
      <c r="GS70" s="25"/>
      <c r="GT70" s="25"/>
      <c r="GU70" s="110"/>
      <c r="GV70" s="110"/>
      <c r="GW70" s="25"/>
      <c r="GX70" s="25"/>
      <c r="GY70" s="25"/>
      <c r="GZ70" s="25"/>
      <c r="HA70" s="25"/>
      <c r="HB70" s="110"/>
      <c r="HC70" s="110"/>
      <c r="HD70" s="25"/>
      <c r="HE70" s="25"/>
      <c r="HF70" s="25"/>
      <c r="HG70" s="25"/>
      <c r="HH70" s="25"/>
      <c r="HI70" s="110"/>
      <c r="HJ70" s="110"/>
      <c r="HK70" s="25"/>
      <c r="HL70" s="25"/>
      <c r="HM70" s="25"/>
      <c r="HN70" s="25"/>
      <c r="HO70" s="25"/>
      <c r="HP70" s="110"/>
      <c r="HQ70" s="110"/>
      <c r="HR70" s="25"/>
      <c r="HS70" s="25"/>
      <c r="HT70" s="25"/>
      <c r="HU70" s="25"/>
      <c r="HV70" s="25"/>
      <c r="HW70" s="110"/>
      <c r="HX70" s="110"/>
      <c r="HY70" s="25"/>
      <c r="HZ70" s="25"/>
      <c r="IA70" s="25"/>
      <c r="IB70" s="25"/>
      <c r="IC70" s="25"/>
      <c r="ID70" s="110"/>
      <c r="IE70" s="110"/>
      <c r="IF70" s="25"/>
      <c r="IG70" s="25"/>
      <c r="IH70" s="25"/>
      <c r="II70" s="25"/>
      <c r="IJ70" s="25"/>
      <c r="IK70" s="110"/>
      <c r="IL70" s="110"/>
      <c r="IM70" s="25"/>
      <c r="IN70" s="25"/>
      <c r="IO70" s="25"/>
      <c r="IP70" s="25"/>
      <c r="IQ70" s="25"/>
      <c r="IR70" s="110"/>
      <c r="IS70" s="110"/>
      <c r="IT70" s="25"/>
      <c r="IU70" s="25"/>
      <c r="IV70" s="25"/>
      <c r="IW70" s="25"/>
      <c r="IX70" s="25"/>
      <c r="IY70" s="110"/>
      <c r="IZ70" s="110"/>
      <c r="JA70" s="25"/>
      <c r="JB70" s="25"/>
      <c r="JC70" s="25"/>
      <c r="JD70" s="25"/>
      <c r="JE70" s="25"/>
      <c r="JF70" s="110"/>
      <c r="JG70" s="110"/>
      <c r="JH70" s="25"/>
      <c r="JI70" s="25"/>
      <c r="JJ70" s="25"/>
      <c r="JK70" s="25"/>
      <c r="JL70" s="25"/>
      <c r="JM70" s="110"/>
      <c r="JN70" s="110"/>
      <c r="JO70" s="25"/>
      <c r="JP70" s="25"/>
      <c r="JQ70" s="25"/>
      <c r="JR70" s="25"/>
      <c r="JS70" s="25"/>
      <c r="JT70" s="110"/>
      <c r="JU70" s="110"/>
      <c r="JV70" s="25"/>
      <c r="JW70" s="25"/>
      <c r="JX70" s="25"/>
      <c r="JY70" s="25"/>
      <c r="JZ70" s="25"/>
      <c r="KA70" s="110"/>
      <c r="KB70" s="110"/>
      <c r="KC70" s="25"/>
      <c r="KD70" s="25"/>
      <c r="KE70" s="25"/>
      <c r="KF70" s="25"/>
      <c r="KG70" s="25"/>
      <c r="KH70" s="110"/>
      <c r="KI70" s="110"/>
      <c r="KJ70" s="25"/>
      <c r="KK70" s="25"/>
      <c r="KL70" s="25"/>
      <c r="KM70" s="25"/>
      <c r="KN70" s="25"/>
      <c r="KO70" s="110"/>
      <c r="KP70" s="110"/>
      <c r="KQ70" s="25"/>
      <c r="KR70" s="25"/>
      <c r="KS70" s="25"/>
      <c r="KT70" s="25"/>
      <c r="KU70" s="25"/>
      <c r="KV70" s="110"/>
      <c r="KW70" s="110"/>
      <c r="KX70" s="25"/>
      <c r="KY70" s="25"/>
      <c r="KZ70" s="25"/>
      <c r="LA70" s="25"/>
      <c r="LB70" s="25"/>
      <c r="LC70" s="110"/>
      <c r="LD70" s="110"/>
      <c r="LE70" s="25"/>
      <c r="LF70" s="25"/>
      <c r="LG70" s="110" t="s">
        <v>445</v>
      </c>
      <c r="LH70" s="25"/>
      <c r="LI70" s="25"/>
      <c r="LJ70" s="110"/>
      <c r="LK70" s="110"/>
      <c r="LL70" s="25"/>
      <c r="LM70" s="25"/>
      <c r="LN70" s="25"/>
      <c r="LO70" s="25"/>
      <c r="LP70" s="25"/>
      <c r="LQ70" s="110"/>
      <c r="LR70" s="110"/>
      <c r="LS70" s="25"/>
      <c r="LT70" s="25"/>
      <c r="LU70" s="25"/>
      <c r="LV70" s="25"/>
      <c r="LW70" s="25"/>
      <c r="LX70" s="110"/>
      <c r="LY70" s="110"/>
      <c r="LZ70" s="25"/>
      <c r="MA70" s="25"/>
      <c r="MB70" s="25"/>
      <c r="MC70" s="25"/>
      <c r="MD70" s="25"/>
      <c r="ME70" s="110"/>
      <c r="MF70" s="110"/>
      <c r="MG70" s="25"/>
      <c r="MH70" s="25"/>
      <c r="MI70" s="25"/>
      <c r="MJ70" s="25"/>
      <c r="MK70" s="25"/>
      <c r="ML70" s="110"/>
      <c r="MM70" s="110"/>
      <c r="MN70" s="25"/>
      <c r="MO70" s="25"/>
      <c r="MP70" s="25"/>
      <c r="MQ70" s="25"/>
      <c r="MR70" s="25"/>
      <c r="MS70" s="110"/>
      <c r="MT70" s="110"/>
      <c r="MU70" s="25"/>
      <c r="MV70" s="25"/>
      <c r="MW70" s="25"/>
      <c r="MX70" s="25"/>
      <c r="MY70" s="25"/>
      <c r="MZ70" s="110"/>
      <c r="NA70" s="110"/>
      <c r="NB70" s="25"/>
      <c r="NC70" s="25"/>
      <c r="ND70" s="25"/>
      <c r="NE70" s="129"/>
      <c r="NF70" s="111"/>
      <c r="NG70" s="8">
        <f t="shared" si="45"/>
        <v>18</v>
      </c>
      <c r="NH70" s="351" cm="1">
        <f t="array" ref="NH70">NETWORKDAYS($I$2,$AH$2)- SUM(COUNTIF(I70:AH70,{"I";"F";"CP";"R";"P";"AC";"AM"}))</f>
        <v>19</v>
      </c>
      <c r="NI70" s="138">
        <f t="shared" si="67"/>
        <v>0.94736842105263153</v>
      </c>
      <c r="NJ70" s="8">
        <f t="shared" si="46"/>
        <v>15</v>
      </c>
      <c r="NK70" s="351" cm="1">
        <f t="array" ref="NK70">NETWORKDAYS($AJ$2,$BK$2)- SUM(COUNTIF(AJ70:BK70,{"I";"F";"CP";"R";"P";"AC";"AM"}))</f>
        <v>15</v>
      </c>
      <c r="NL70" s="138">
        <f t="shared" si="68"/>
        <v>1</v>
      </c>
      <c r="NM70" s="8">
        <f t="shared" si="47"/>
        <v>22</v>
      </c>
      <c r="NN70" s="351" cm="1">
        <f t="array" ref="NN70">NETWORKDAYS($BL$2,$CP$2)- SUM(COUNTIF(BL70:CP70,{"I";"F";"CP";"R";"P";"AC";"AM"}))</f>
        <v>22</v>
      </c>
      <c r="NO70" s="138">
        <f t="shared" si="69"/>
        <v>1</v>
      </c>
      <c r="NP70" s="8">
        <f t="shared" si="48"/>
        <v>17</v>
      </c>
      <c r="NQ70" s="351" cm="1">
        <f t="array" ref="NQ70">NETWORKDAYS($CQ$2,$DT$2,$CV$2)- SUM(COUNTIF(CQ70:DT70,{"I";"F";"CP";"R";"P";"AC";"AM"}))</f>
        <v>21</v>
      </c>
      <c r="NR70" s="138">
        <f t="shared" si="70"/>
        <v>0.80952380952380953</v>
      </c>
      <c r="NS70" s="8">
        <f t="shared" si="49"/>
        <v>0</v>
      </c>
      <c r="NT70" s="351" cm="1">
        <f t="array" ref="NT70">NETWORKDAYS($DV$2,$EY$2)-SUM(COUNTIF(DV70:EY70,{"I";"F";"CP";"R";"P";"AC";"AM"}))</f>
        <v>16</v>
      </c>
      <c r="NU70" s="138">
        <f t="shared" si="71"/>
        <v>0</v>
      </c>
      <c r="NV70" s="8">
        <f t="shared" si="50"/>
        <v>0</v>
      </c>
      <c r="NW70" s="351" cm="1">
        <f t="array" ref="NW70">NETWORKDAYS($EZ$2,$GC$2)-SUM(COUNTIF(EZ70:GC70,{"I";"F";"CP";"R";"P";"AC";"AM"}))</f>
        <v>22</v>
      </c>
      <c r="NX70" s="138">
        <f t="shared" si="51"/>
        <v>0</v>
      </c>
      <c r="NY70" s="8">
        <f t="shared" si="52"/>
        <v>0</v>
      </c>
      <c r="NZ70" s="351" cm="1">
        <f t="array" ref="NZ70">NETWORKDAYS($GD$2,$HH$2,$GQ$2)-SUM(COUNTIF(GD70:HH70,{"I";"F";"CP";"R";"P";"AC";"AM"}))</f>
        <v>21</v>
      </c>
      <c r="OA70" s="138">
        <f t="shared" si="53"/>
        <v>0</v>
      </c>
      <c r="OB70" s="8">
        <f t="shared" si="54"/>
        <v>0</v>
      </c>
      <c r="OC70" s="351" cm="1">
        <f t="array" ref="OC70">NETWORKDAYS($HI$2,$IM$2)-SUM(COUNTIF(HI70:IM70,{"I";"F";"CP";"R";"P";"AC";"AM"}))</f>
        <v>21</v>
      </c>
      <c r="OD70" s="138">
        <f t="shared" si="55"/>
        <v>0</v>
      </c>
      <c r="OE70" s="8">
        <f t="shared" si="56"/>
        <v>0</v>
      </c>
      <c r="OF70" s="351" cm="1">
        <f t="array" ref="OF70">NETWORKDAYS($IN$2,$JQ$2)-SUM(COUNTIF(IN70:JQ70,{"I";"F";"CP";"R";"P";"AC";"AM"}))</f>
        <v>22</v>
      </c>
      <c r="OG70" s="138">
        <f t="shared" si="57"/>
        <v>0</v>
      </c>
      <c r="OH70" s="8">
        <f t="shared" si="58"/>
        <v>0</v>
      </c>
      <c r="OI70" s="351" cm="1">
        <f t="array" ref="OI70">NETWORKDAYS($JR$2,$KV$2)-SUM(COUNTIF(JR70:KV70,{"I";"F";"CP";"R";"P";"AC";"AM"}))</f>
        <v>22</v>
      </c>
      <c r="OJ70" s="138">
        <f t="shared" si="59"/>
        <v>0</v>
      </c>
      <c r="OK70" s="8">
        <f t="shared" si="60"/>
        <v>0</v>
      </c>
      <c r="OL70" s="351" cm="1">
        <f t="array" ref="OL70">NETWORKDAYS($KW$2,$LZ$2,$LG$2)-SUM(COUNTIF(KW70:LZ70,{"I";"F";"CP";"R";"P";"AC";"AM"}))</f>
        <v>19</v>
      </c>
      <c r="OM70" s="138">
        <f t="shared" si="61"/>
        <v>0</v>
      </c>
      <c r="ON70" s="8">
        <f t="shared" si="62"/>
        <v>0</v>
      </c>
      <c r="OO70" s="351" cm="1">
        <f t="array" ref="OO70">NETWORKDAYS($MA$2,$MR$2)-SUM(COUNTIF(MA70:MR70,{"I";"F";"CP";"R";"P";"AC";"AM"}))</f>
        <v>14</v>
      </c>
      <c r="OP70" s="138">
        <f t="shared" si="63"/>
        <v>0</v>
      </c>
      <c r="OQ70" s="94">
        <f t="shared" si="64"/>
        <v>72</v>
      </c>
      <c r="OR70" s="94">
        <f t="shared" si="65"/>
        <v>234</v>
      </c>
      <c r="OS70" s="138">
        <f t="shared" si="66"/>
        <v>0.30769230769230771</v>
      </c>
    </row>
    <row r="71" spans="1:409" ht="18" hidden="1" customHeight="1" x14ac:dyDescent="0.25">
      <c r="A71" s="93" t="s">
        <v>54</v>
      </c>
      <c r="B71" s="95" t="s">
        <v>34</v>
      </c>
      <c r="C71" s="89" t="s">
        <v>166</v>
      </c>
      <c r="D71" s="89" t="s">
        <v>246</v>
      </c>
      <c r="E71" s="128"/>
      <c r="F71" s="110"/>
      <c r="G71" s="110"/>
      <c r="H71" s="110"/>
      <c r="I71" s="25">
        <v>1</v>
      </c>
      <c r="J71" s="25">
        <v>1</v>
      </c>
      <c r="K71" s="25">
        <v>1</v>
      </c>
      <c r="L71" s="25"/>
      <c r="M71" s="25">
        <v>1</v>
      </c>
      <c r="N71" s="110"/>
      <c r="O71" s="110"/>
      <c r="P71" s="25">
        <v>1</v>
      </c>
      <c r="Q71" s="25">
        <v>1</v>
      </c>
      <c r="R71" s="25">
        <v>1</v>
      </c>
      <c r="S71" s="25">
        <v>1</v>
      </c>
      <c r="T71" s="25"/>
      <c r="U71" s="110"/>
      <c r="V71" s="110"/>
      <c r="W71" s="25">
        <v>1</v>
      </c>
      <c r="X71" s="25">
        <v>1</v>
      </c>
      <c r="Y71" s="25">
        <v>1</v>
      </c>
      <c r="Z71" s="25"/>
      <c r="AA71" s="25">
        <v>1</v>
      </c>
      <c r="AB71" s="110"/>
      <c r="AC71" s="110"/>
      <c r="AD71" s="25">
        <v>1</v>
      </c>
      <c r="AE71" s="25">
        <v>1</v>
      </c>
      <c r="AF71" s="25"/>
      <c r="AG71" s="25">
        <v>1</v>
      </c>
      <c r="AH71" s="25">
        <v>1</v>
      </c>
      <c r="AI71" s="110"/>
      <c r="AJ71" s="110"/>
      <c r="AK71" s="25"/>
      <c r="AL71" s="25">
        <v>1</v>
      </c>
      <c r="AM71" s="25">
        <v>1</v>
      </c>
      <c r="AN71" s="25">
        <v>1</v>
      </c>
      <c r="AO71" s="25"/>
      <c r="AP71" s="110"/>
      <c r="AQ71" s="110"/>
      <c r="AR71" s="25">
        <v>1</v>
      </c>
      <c r="AS71" s="25"/>
      <c r="AT71" s="25">
        <v>1</v>
      </c>
      <c r="AV71" s="25">
        <v>1</v>
      </c>
      <c r="AW71" s="110"/>
      <c r="AX71" s="110"/>
      <c r="AY71" s="25">
        <v>1</v>
      </c>
      <c r="AZ71" s="25">
        <v>1</v>
      </c>
      <c r="BA71" s="25"/>
      <c r="BB71" s="25"/>
      <c r="BC71" s="25">
        <v>1</v>
      </c>
      <c r="BD71" s="110"/>
      <c r="BE71" s="110"/>
      <c r="BF71" s="25">
        <v>1</v>
      </c>
      <c r="BG71" s="25">
        <v>1</v>
      </c>
      <c r="BH71" s="25">
        <v>1</v>
      </c>
      <c r="BI71" s="25"/>
      <c r="BJ71" s="25"/>
      <c r="BK71" s="110"/>
      <c r="BL71" s="110"/>
      <c r="BM71" s="25"/>
      <c r="BN71" s="25"/>
      <c r="BO71" s="25"/>
      <c r="BP71" s="25"/>
      <c r="BQ71" s="25"/>
      <c r="BR71" s="110"/>
      <c r="BS71" s="110"/>
      <c r="BT71" s="25">
        <v>1</v>
      </c>
      <c r="BU71" s="25">
        <v>1</v>
      </c>
      <c r="BV71" s="25">
        <v>1</v>
      </c>
      <c r="BW71" s="25"/>
      <c r="BX71" s="25">
        <v>1</v>
      </c>
      <c r="BY71" s="110"/>
      <c r="BZ71" s="110"/>
      <c r="CA71" s="25">
        <v>1</v>
      </c>
      <c r="CB71" s="25"/>
      <c r="CC71" s="25">
        <v>1</v>
      </c>
      <c r="CD71" s="25">
        <v>1</v>
      </c>
      <c r="CE71" s="25">
        <v>1</v>
      </c>
      <c r="CF71" s="110"/>
      <c r="CG71" s="110"/>
      <c r="CH71" s="25">
        <v>1</v>
      </c>
      <c r="CI71" s="25">
        <v>1</v>
      </c>
      <c r="CJ71" s="25"/>
      <c r="CK71" s="25">
        <v>1</v>
      </c>
      <c r="CL71" s="25">
        <v>1</v>
      </c>
      <c r="CM71" s="110"/>
      <c r="CN71" s="110"/>
      <c r="CO71" s="25">
        <v>1</v>
      </c>
      <c r="CP71" s="25">
        <v>1</v>
      </c>
      <c r="CQ71" s="25">
        <v>1</v>
      </c>
      <c r="CR71" s="25"/>
      <c r="CS71" s="25"/>
      <c r="CT71" s="110"/>
      <c r="CU71" s="110"/>
      <c r="CV71" s="110"/>
      <c r="CW71" s="25">
        <v>1</v>
      </c>
      <c r="CX71" s="25">
        <v>1</v>
      </c>
      <c r="CY71" s="25"/>
      <c r="CZ71" s="25"/>
      <c r="DA71" s="110"/>
      <c r="DB71" s="110"/>
      <c r="DC71" s="25"/>
      <c r="DD71" s="25">
        <v>1</v>
      </c>
      <c r="DE71" s="25">
        <v>1</v>
      </c>
      <c r="DF71" s="25">
        <v>1</v>
      </c>
      <c r="DG71" s="25"/>
      <c r="DH71" s="110"/>
      <c r="DI71" s="110"/>
      <c r="DJ71" s="25">
        <v>1</v>
      </c>
      <c r="DK71" s="25">
        <v>1</v>
      </c>
      <c r="DL71" s="25">
        <v>1</v>
      </c>
      <c r="DM71" s="25">
        <v>1</v>
      </c>
      <c r="DN71" s="25">
        <v>1</v>
      </c>
      <c r="DO71" s="110"/>
      <c r="DP71" s="110"/>
      <c r="DQ71" s="25">
        <v>1</v>
      </c>
      <c r="DR71" s="25">
        <v>1</v>
      </c>
      <c r="DS71" s="25">
        <v>1</v>
      </c>
      <c r="DT71" s="25"/>
      <c r="DU71" s="110" t="s">
        <v>445</v>
      </c>
      <c r="DV71" s="110"/>
      <c r="DW71" s="110"/>
      <c r="DX71" s="25"/>
      <c r="DY71" s="25"/>
      <c r="DZ71" s="25"/>
      <c r="EA71" s="25"/>
      <c r="EB71" s="110" t="s">
        <v>445</v>
      </c>
      <c r="EC71" s="110"/>
      <c r="ED71" s="110"/>
      <c r="EE71" s="25"/>
      <c r="EF71" s="25"/>
      <c r="EG71" s="25"/>
      <c r="EH71" s="110" t="s">
        <v>445</v>
      </c>
      <c r="EI71" s="110" t="s">
        <v>445</v>
      </c>
      <c r="EJ71" s="110"/>
      <c r="EK71" s="110"/>
      <c r="EL71" s="25"/>
      <c r="EM71" s="25"/>
      <c r="EN71" s="25"/>
      <c r="EO71" s="25"/>
      <c r="EP71" s="25"/>
      <c r="EQ71" s="110"/>
      <c r="ER71" s="110"/>
      <c r="ES71" s="110" t="s">
        <v>445</v>
      </c>
      <c r="ET71" s="25"/>
      <c r="EU71" s="25"/>
      <c r="EV71" s="25"/>
      <c r="EW71" s="25"/>
      <c r="EX71" s="110"/>
      <c r="EY71" s="110"/>
      <c r="EZ71" s="25"/>
      <c r="FA71" s="25"/>
      <c r="FB71" s="25"/>
      <c r="FC71" s="25"/>
      <c r="FD71" s="25"/>
      <c r="FE71" s="110"/>
      <c r="FF71" s="110"/>
      <c r="FG71" s="25"/>
      <c r="FH71" s="25"/>
      <c r="FI71" s="25"/>
      <c r="FJ71" s="25"/>
      <c r="FK71" s="25"/>
      <c r="FL71" s="110"/>
      <c r="FM71" s="110"/>
      <c r="FN71" s="25"/>
      <c r="FO71" s="25"/>
      <c r="FP71" s="25"/>
      <c r="FQ71" s="25"/>
      <c r="FR71" s="25"/>
      <c r="FS71" s="110"/>
      <c r="FT71" s="110"/>
      <c r="FU71" s="25"/>
      <c r="FV71" s="25"/>
      <c r="FW71" s="25"/>
      <c r="FX71" s="25"/>
      <c r="FY71" s="25"/>
      <c r="FZ71" s="110"/>
      <c r="GA71" s="110"/>
      <c r="GB71" s="25"/>
      <c r="GC71" s="25"/>
      <c r="GD71" s="25"/>
      <c r="GE71" s="25"/>
      <c r="GF71" s="25"/>
      <c r="GG71" s="110"/>
      <c r="GH71" s="110"/>
      <c r="GI71" s="25"/>
      <c r="GJ71" s="25"/>
      <c r="GK71" s="25"/>
      <c r="GL71" s="25"/>
      <c r="GM71" s="25"/>
      <c r="GN71" s="110"/>
      <c r="GO71" s="110"/>
      <c r="GP71" s="110" t="s">
        <v>445</v>
      </c>
      <c r="GQ71" s="110"/>
      <c r="GR71" s="25"/>
      <c r="GS71" s="25"/>
      <c r="GT71" s="25"/>
      <c r="GU71" s="110"/>
      <c r="GV71" s="110"/>
      <c r="GW71" s="25"/>
      <c r="GX71" s="25"/>
      <c r="GY71" s="25"/>
      <c r="GZ71" s="25"/>
      <c r="HA71" s="25"/>
      <c r="HB71" s="110"/>
      <c r="HC71" s="110"/>
      <c r="HD71" s="25"/>
      <c r="HE71" s="25"/>
      <c r="HF71" s="25"/>
      <c r="HG71" s="25"/>
      <c r="HH71" s="25"/>
      <c r="HI71" s="110"/>
      <c r="HJ71" s="110"/>
      <c r="HK71" s="25"/>
      <c r="HL71" s="25"/>
      <c r="HM71" s="25"/>
      <c r="HN71" s="25"/>
      <c r="HO71" s="25"/>
      <c r="HP71" s="110"/>
      <c r="HQ71" s="110"/>
      <c r="HR71" s="25"/>
      <c r="HS71" s="25"/>
      <c r="HT71" s="25"/>
      <c r="HU71" s="25"/>
      <c r="HV71" s="25"/>
      <c r="HW71" s="110"/>
      <c r="HX71" s="110"/>
      <c r="HY71" s="25"/>
      <c r="HZ71" s="25"/>
      <c r="IA71" s="25"/>
      <c r="IB71" s="25"/>
      <c r="IC71" s="25"/>
      <c r="ID71" s="110"/>
      <c r="IE71" s="110"/>
      <c r="IF71" s="25"/>
      <c r="IG71" s="25"/>
      <c r="IH71" s="25"/>
      <c r="II71" s="25"/>
      <c r="IJ71" s="25"/>
      <c r="IK71" s="110"/>
      <c r="IL71" s="110"/>
      <c r="IM71" s="25"/>
      <c r="IN71" s="25"/>
      <c r="IO71" s="25"/>
      <c r="IP71" s="25"/>
      <c r="IQ71" s="25"/>
      <c r="IR71" s="110"/>
      <c r="IS71" s="110"/>
      <c r="IT71" s="25"/>
      <c r="IU71" s="25"/>
      <c r="IV71" s="25"/>
      <c r="IW71" s="25"/>
      <c r="IX71" s="25"/>
      <c r="IY71" s="110"/>
      <c r="IZ71" s="110"/>
      <c r="JA71" s="25"/>
      <c r="JB71" s="25"/>
      <c r="JC71" s="25"/>
      <c r="JD71" s="25"/>
      <c r="JE71" s="25"/>
      <c r="JF71" s="110"/>
      <c r="JG71" s="110"/>
      <c r="JH71" s="25"/>
      <c r="JI71" s="25"/>
      <c r="JJ71" s="25"/>
      <c r="JK71" s="25"/>
      <c r="JL71" s="25"/>
      <c r="JM71" s="110"/>
      <c r="JN71" s="110"/>
      <c r="JO71" s="25"/>
      <c r="JP71" s="25"/>
      <c r="JQ71" s="25"/>
      <c r="JR71" s="25"/>
      <c r="JS71" s="25"/>
      <c r="JT71" s="110"/>
      <c r="JU71" s="110"/>
      <c r="JV71" s="25"/>
      <c r="JW71" s="25"/>
      <c r="JX71" s="25"/>
      <c r="JY71" s="25"/>
      <c r="JZ71" s="25"/>
      <c r="KA71" s="110"/>
      <c r="KB71" s="110"/>
      <c r="KC71" s="25"/>
      <c r="KD71" s="25"/>
      <c r="KE71" s="25"/>
      <c r="KF71" s="25"/>
      <c r="KG71" s="25"/>
      <c r="KH71" s="110"/>
      <c r="KI71" s="110"/>
      <c r="KJ71" s="25"/>
      <c r="KK71" s="25"/>
      <c r="KL71" s="25"/>
      <c r="KM71" s="25"/>
      <c r="KN71" s="25"/>
      <c r="KO71" s="110"/>
      <c r="KP71" s="110"/>
      <c r="KQ71" s="25"/>
      <c r="KR71" s="25"/>
      <c r="KS71" s="25"/>
      <c r="KT71" s="25"/>
      <c r="KU71" s="25"/>
      <c r="KV71" s="110"/>
      <c r="KW71" s="110"/>
      <c r="KX71" s="25"/>
      <c r="KY71" s="25"/>
      <c r="KZ71" s="25"/>
      <c r="LA71" s="25"/>
      <c r="LB71" s="25"/>
      <c r="LC71" s="110"/>
      <c r="LD71" s="110"/>
      <c r="LE71" s="25"/>
      <c r="LF71" s="25"/>
      <c r="LG71" s="110" t="s">
        <v>445</v>
      </c>
      <c r="LH71" s="25"/>
      <c r="LI71" s="25"/>
      <c r="LJ71" s="110"/>
      <c r="LK71" s="110"/>
      <c r="LL71" s="25"/>
      <c r="LM71" s="25"/>
      <c r="LN71" s="25"/>
      <c r="LO71" s="25"/>
      <c r="LP71" s="25"/>
      <c r="LQ71" s="110"/>
      <c r="LR71" s="110"/>
      <c r="LS71" s="25"/>
      <c r="LT71" s="25"/>
      <c r="LU71" s="25"/>
      <c r="LV71" s="25"/>
      <c r="LW71" s="25"/>
      <c r="LX71" s="110"/>
      <c r="LY71" s="110"/>
      <c r="LZ71" s="25"/>
      <c r="MA71" s="25"/>
      <c r="MB71" s="25"/>
      <c r="MC71" s="25"/>
      <c r="MD71" s="25"/>
      <c r="ME71" s="110"/>
      <c r="MF71" s="110"/>
      <c r="MG71" s="25"/>
      <c r="MH71" s="25"/>
      <c r="MI71" s="25"/>
      <c r="MJ71" s="25"/>
      <c r="MK71" s="25"/>
      <c r="ML71" s="110"/>
      <c r="MM71" s="110"/>
      <c r="MN71" s="25"/>
      <c r="MO71" s="25"/>
      <c r="MP71" s="25"/>
      <c r="MQ71" s="25"/>
      <c r="MR71" s="25"/>
      <c r="MS71" s="110"/>
      <c r="MT71" s="110"/>
      <c r="MU71" s="25"/>
      <c r="MV71" s="25"/>
      <c r="MW71" s="25"/>
      <c r="MX71" s="25"/>
      <c r="MY71" s="25"/>
      <c r="MZ71" s="110"/>
      <c r="NA71" s="110"/>
      <c r="NB71" s="25"/>
      <c r="NC71" s="25"/>
      <c r="ND71" s="25"/>
      <c r="NE71" s="129"/>
      <c r="NF71" s="111"/>
      <c r="NG71" s="8">
        <f t="shared" si="45"/>
        <v>16</v>
      </c>
      <c r="NH71" s="351" cm="1">
        <f t="array" ref="NH71">NETWORKDAYS($I$2,$AH$2)- SUM(COUNTIF(I71:AH71,{"I";"F";"CP";"R";"P";"AC";"AM"}))</f>
        <v>20</v>
      </c>
      <c r="NI71" s="138">
        <f t="shared" si="67"/>
        <v>0.8</v>
      </c>
      <c r="NJ71" s="8">
        <f t="shared" si="46"/>
        <v>12</v>
      </c>
      <c r="NK71" s="351" cm="1">
        <f t="array" ref="NK71">NETWORKDAYS($AJ$2,$BK$2)- SUM(COUNTIF(AJ71:BK71,{"I";"F";"CP";"R";"P";"AC";"AM"}))</f>
        <v>20</v>
      </c>
      <c r="NL71" s="138">
        <f t="shared" si="68"/>
        <v>0.6</v>
      </c>
      <c r="NM71" s="8">
        <f t="shared" si="47"/>
        <v>14</v>
      </c>
      <c r="NN71" s="351" cm="1">
        <f t="array" ref="NN71">NETWORKDAYS($BL$2,$CP$2)- SUM(COUNTIF(BL71:CP71,{"I";"F";"CP";"R";"P";"AC";"AM"}))</f>
        <v>22</v>
      </c>
      <c r="NO71" s="138">
        <f t="shared" si="69"/>
        <v>0.63636363636363635</v>
      </c>
      <c r="NP71" s="8">
        <f t="shared" si="48"/>
        <v>14</v>
      </c>
      <c r="NQ71" s="351" cm="1">
        <f t="array" ref="NQ71">NETWORKDAYS($CQ$2,$DT$2,$CV$2)- SUM(COUNTIF(CQ71:DT71,{"I";"F";"CP";"R";"P";"AC";"AM"}))</f>
        <v>21</v>
      </c>
      <c r="NR71" s="138">
        <f t="shared" si="70"/>
        <v>0.66666666666666663</v>
      </c>
      <c r="NS71" s="8">
        <f t="shared" si="49"/>
        <v>0</v>
      </c>
      <c r="NT71" s="351" cm="1">
        <f t="array" ref="NT71">NETWORKDAYS($DV$2,$EY$2)-SUM(COUNTIF(DV71:EY71,{"I";"F";"CP";"R";"P";"AC";"AM"}))</f>
        <v>16</v>
      </c>
      <c r="NU71" s="138">
        <f t="shared" si="71"/>
        <v>0</v>
      </c>
      <c r="NV71" s="8">
        <f t="shared" si="50"/>
        <v>0</v>
      </c>
      <c r="NW71" s="351" cm="1">
        <f t="array" ref="NW71">NETWORKDAYS($EZ$2,$GC$2)-SUM(COUNTIF(EZ71:GC71,{"I";"F";"CP";"R";"P";"AC";"AM"}))</f>
        <v>22</v>
      </c>
      <c r="NX71" s="138">
        <f t="shared" si="51"/>
        <v>0</v>
      </c>
      <c r="NY71" s="8">
        <f t="shared" si="52"/>
        <v>0</v>
      </c>
      <c r="NZ71" s="351" cm="1">
        <f t="array" ref="NZ71">NETWORKDAYS($GD$2,$HH$2,$GQ$2)-SUM(COUNTIF(GD71:HH71,{"I";"F";"CP";"R";"P";"AC";"AM"}))</f>
        <v>21</v>
      </c>
      <c r="OA71" s="138">
        <f t="shared" si="53"/>
        <v>0</v>
      </c>
      <c r="OB71" s="8">
        <f t="shared" si="54"/>
        <v>0</v>
      </c>
      <c r="OC71" s="351" cm="1">
        <f t="array" ref="OC71">NETWORKDAYS($HI$2,$IM$2)-SUM(COUNTIF(HI71:IM71,{"I";"F";"CP";"R";"P";"AC";"AM"}))</f>
        <v>21</v>
      </c>
      <c r="OD71" s="138">
        <f t="shared" si="55"/>
        <v>0</v>
      </c>
      <c r="OE71" s="8">
        <f t="shared" si="56"/>
        <v>0</v>
      </c>
      <c r="OF71" s="351" cm="1">
        <f t="array" ref="OF71">NETWORKDAYS($IN$2,$JQ$2)-SUM(COUNTIF(IN71:JQ71,{"I";"F";"CP";"R";"P";"AC";"AM"}))</f>
        <v>22</v>
      </c>
      <c r="OG71" s="138">
        <f t="shared" si="57"/>
        <v>0</v>
      </c>
      <c r="OH71" s="8">
        <f t="shared" si="58"/>
        <v>0</v>
      </c>
      <c r="OI71" s="351" cm="1">
        <f t="array" ref="OI71">NETWORKDAYS($JR$2,$KV$2)-SUM(COUNTIF(JR71:KV71,{"I";"F";"CP";"R";"P";"AC";"AM"}))</f>
        <v>22</v>
      </c>
      <c r="OJ71" s="138">
        <f t="shared" si="59"/>
        <v>0</v>
      </c>
      <c r="OK71" s="8">
        <f t="shared" si="60"/>
        <v>0</v>
      </c>
      <c r="OL71" s="351" cm="1">
        <f t="array" ref="OL71">NETWORKDAYS($KW$2,$LZ$2,$LG$2)-SUM(COUNTIF(KW71:LZ71,{"I";"F";"CP";"R";"P";"AC";"AM"}))</f>
        <v>19</v>
      </c>
      <c r="OM71" s="138">
        <f t="shared" si="61"/>
        <v>0</v>
      </c>
      <c r="ON71" s="8">
        <f t="shared" si="62"/>
        <v>0</v>
      </c>
      <c r="OO71" s="351" cm="1">
        <f t="array" ref="OO71">NETWORKDAYS($MA$2,$MR$2)-SUM(COUNTIF(MA71:MR71,{"I";"F";"CP";"R";"P";"AC";"AM"}))</f>
        <v>14</v>
      </c>
      <c r="OP71" s="138">
        <f t="shared" si="63"/>
        <v>0</v>
      </c>
      <c r="OQ71" s="94">
        <f t="shared" si="64"/>
        <v>56</v>
      </c>
      <c r="OR71" s="94">
        <f t="shared" si="65"/>
        <v>240</v>
      </c>
      <c r="OS71" s="138">
        <f t="shared" si="66"/>
        <v>0.23333333333333334</v>
      </c>
    </row>
    <row r="72" spans="1:409" ht="18" customHeight="1" x14ac:dyDescent="0.25">
      <c r="A72" s="95" t="s">
        <v>178</v>
      </c>
      <c r="B72" s="95" t="s">
        <v>71</v>
      </c>
      <c r="C72" s="89" t="s">
        <v>166</v>
      </c>
      <c r="D72" s="89" t="s">
        <v>453</v>
      </c>
      <c r="E72" s="128"/>
      <c r="F72" s="110"/>
      <c r="G72" s="110"/>
      <c r="H72" s="110"/>
      <c r="I72" s="25" t="s">
        <v>248</v>
      </c>
      <c r="J72" s="25" t="s">
        <v>248</v>
      </c>
      <c r="K72" s="25" t="s">
        <v>248</v>
      </c>
      <c r="L72" s="25" t="s">
        <v>248</v>
      </c>
      <c r="M72" s="25" t="s">
        <v>248</v>
      </c>
      <c r="N72" s="110"/>
      <c r="O72" s="110"/>
      <c r="P72" s="25"/>
      <c r="Q72" s="25"/>
      <c r="R72" s="25"/>
      <c r="S72" s="25"/>
      <c r="T72" s="25"/>
      <c r="U72" s="110"/>
      <c r="V72" s="110"/>
      <c r="W72" s="25"/>
      <c r="X72" s="25"/>
      <c r="Y72" s="25"/>
      <c r="Z72" s="25"/>
      <c r="AA72" s="25"/>
      <c r="AB72" s="110"/>
      <c r="AC72" s="110"/>
      <c r="AD72" s="25"/>
      <c r="AE72" s="25"/>
      <c r="AF72" s="25"/>
      <c r="AG72" s="25">
        <v>1</v>
      </c>
      <c r="AH72" s="25"/>
      <c r="AI72" s="110"/>
      <c r="AJ72" s="110"/>
      <c r="AK72" s="25">
        <v>1</v>
      </c>
      <c r="AL72" s="25"/>
      <c r="AM72" s="25"/>
      <c r="AN72" s="25"/>
      <c r="AO72" s="25"/>
      <c r="AP72" s="110"/>
      <c r="AQ72" s="110"/>
      <c r="AR72" s="25"/>
      <c r="AS72" s="25"/>
      <c r="AT72" s="25"/>
      <c r="AV72" s="25"/>
      <c r="AW72" s="110"/>
      <c r="AX72" s="110"/>
      <c r="AY72" s="25"/>
      <c r="AZ72" s="25"/>
      <c r="BA72" s="25"/>
      <c r="BB72" s="25"/>
      <c r="BC72" s="25"/>
      <c r="BD72" s="110"/>
      <c r="BE72" s="110"/>
      <c r="BF72" s="25"/>
      <c r="BG72" s="25"/>
      <c r="BH72" s="25"/>
      <c r="BI72" s="25"/>
      <c r="BJ72" s="25"/>
      <c r="BK72" s="110"/>
      <c r="BL72" s="110"/>
      <c r="BM72" s="25"/>
      <c r="BN72" s="25"/>
      <c r="BO72" s="25"/>
      <c r="BP72" s="25"/>
      <c r="BQ72" s="25"/>
      <c r="BR72" s="110"/>
      <c r="BS72" s="110"/>
      <c r="BT72" s="25"/>
      <c r="BU72" s="25"/>
      <c r="BV72" s="25"/>
      <c r="BW72" s="25"/>
      <c r="BX72" s="25"/>
      <c r="BY72" s="110"/>
      <c r="BZ72" s="110"/>
      <c r="CA72" s="25"/>
      <c r="CB72" s="25"/>
      <c r="CC72" s="25">
        <v>1</v>
      </c>
      <c r="CD72" s="25">
        <v>1</v>
      </c>
      <c r="CE72" s="25"/>
      <c r="CF72" s="110"/>
      <c r="CG72" s="110"/>
      <c r="CH72" s="25">
        <v>1</v>
      </c>
      <c r="CI72" s="25">
        <v>1</v>
      </c>
      <c r="CJ72" s="25">
        <v>1</v>
      </c>
      <c r="CK72" s="25">
        <v>1</v>
      </c>
      <c r="CL72" s="25">
        <v>1</v>
      </c>
      <c r="CM72" s="110"/>
      <c r="CN72" s="110"/>
      <c r="CO72" s="25">
        <v>1</v>
      </c>
      <c r="CP72" s="25">
        <v>1</v>
      </c>
      <c r="CQ72" s="25">
        <v>1</v>
      </c>
      <c r="CR72" s="25">
        <v>1</v>
      </c>
      <c r="CS72" s="25">
        <v>1</v>
      </c>
      <c r="CT72" s="110"/>
      <c r="CU72" s="110"/>
      <c r="CV72" s="110"/>
      <c r="CW72" s="25"/>
      <c r="CX72" s="25">
        <v>1</v>
      </c>
      <c r="CY72" s="25"/>
      <c r="CZ72" s="25"/>
      <c r="DA72" s="110"/>
      <c r="DB72" s="110"/>
      <c r="DC72" s="25" t="s">
        <v>223</v>
      </c>
      <c r="DD72" s="25" t="s">
        <v>223</v>
      </c>
      <c r="DE72" s="25" t="s">
        <v>223</v>
      </c>
      <c r="DF72" s="25" t="s">
        <v>223</v>
      </c>
      <c r="DG72" s="25" t="s">
        <v>223</v>
      </c>
      <c r="DH72" s="110"/>
      <c r="DI72" s="110"/>
      <c r="DJ72" s="25"/>
      <c r="DK72" s="25">
        <v>1</v>
      </c>
      <c r="DL72" s="25">
        <v>1</v>
      </c>
      <c r="DM72" s="25">
        <v>1</v>
      </c>
      <c r="DN72" s="25">
        <v>1</v>
      </c>
      <c r="DO72" s="110"/>
      <c r="DP72" s="110"/>
      <c r="DQ72" s="25">
        <v>1</v>
      </c>
      <c r="DR72" s="25"/>
      <c r="DS72" s="25"/>
      <c r="DT72" s="25"/>
      <c r="DU72" s="110" t="s">
        <v>445</v>
      </c>
      <c r="DV72" s="110"/>
      <c r="DW72" s="110"/>
      <c r="DX72" s="25">
        <v>1</v>
      </c>
      <c r="DY72" s="25">
        <v>1</v>
      </c>
      <c r="DZ72" s="25">
        <v>1</v>
      </c>
      <c r="EA72" s="25"/>
      <c r="EB72" s="110" t="s">
        <v>445</v>
      </c>
      <c r="EC72" s="110"/>
      <c r="ED72" s="110"/>
      <c r="EE72" s="25">
        <v>1</v>
      </c>
      <c r="EF72" s="25"/>
      <c r="EG72" s="25"/>
      <c r="EH72" s="110" t="s">
        <v>445</v>
      </c>
      <c r="EI72" s="110" t="s">
        <v>445</v>
      </c>
      <c r="EJ72" s="110"/>
      <c r="EK72" s="110"/>
      <c r="EL72" s="25"/>
      <c r="EM72" s="25"/>
      <c r="EN72" s="25"/>
      <c r="EO72" s="25"/>
      <c r="EP72" s="25"/>
      <c r="EQ72" s="110"/>
      <c r="ER72" s="110"/>
      <c r="ES72" s="110" t="s">
        <v>445</v>
      </c>
      <c r="ET72" s="25"/>
      <c r="EU72" s="25"/>
      <c r="EV72" s="25"/>
      <c r="EW72" s="25"/>
      <c r="EX72" s="110"/>
      <c r="EY72" s="110"/>
      <c r="EZ72" s="25"/>
      <c r="FA72" s="25"/>
      <c r="FB72" s="25"/>
      <c r="FC72" s="25"/>
      <c r="FD72" s="25"/>
      <c r="FE72" s="110"/>
      <c r="FF72" s="110"/>
      <c r="FG72" s="25"/>
      <c r="FH72" s="25"/>
      <c r="FI72" s="25"/>
      <c r="FJ72" s="25"/>
      <c r="FK72" s="25"/>
      <c r="FL72" s="110"/>
      <c r="FM72" s="110"/>
      <c r="FN72" s="25"/>
      <c r="FO72" s="25"/>
      <c r="FP72" s="25"/>
      <c r="FQ72" s="25"/>
      <c r="FR72" s="25"/>
      <c r="FS72" s="110"/>
      <c r="FT72" s="110"/>
      <c r="FU72" s="25"/>
      <c r="FV72" s="25"/>
      <c r="FW72" s="25"/>
      <c r="FX72" s="25"/>
      <c r="FY72" s="25"/>
      <c r="FZ72" s="110"/>
      <c r="GA72" s="110"/>
      <c r="GB72" s="25"/>
      <c r="GC72" s="25"/>
      <c r="GD72" s="25"/>
      <c r="GE72" s="25"/>
      <c r="GF72" s="25"/>
      <c r="GG72" s="110"/>
      <c r="GH72" s="110"/>
      <c r="GI72" s="25"/>
      <c r="GJ72" s="25"/>
      <c r="GK72" s="25"/>
      <c r="GL72" s="25"/>
      <c r="GM72" s="25"/>
      <c r="GN72" s="110"/>
      <c r="GO72" s="110"/>
      <c r="GP72" s="110" t="s">
        <v>445</v>
      </c>
      <c r="GQ72" s="110"/>
      <c r="GR72" s="25"/>
      <c r="GS72" s="25"/>
      <c r="GT72" s="25"/>
      <c r="GU72" s="110"/>
      <c r="GV72" s="110"/>
      <c r="GW72" s="25"/>
      <c r="GX72" s="25"/>
      <c r="GY72" s="25"/>
      <c r="GZ72" s="25"/>
      <c r="HA72" s="25"/>
      <c r="HB72" s="110"/>
      <c r="HC72" s="110"/>
      <c r="HD72" s="25"/>
      <c r="HE72" s="25"/>
      <c r="HF72" s="25"/>
      <c r="HG72" s="25"/>
      <c r="HH72" s="25"/>
      <c r="HI72" s="110"/>
      <c r="HJ72" s="110"/>
      <c r="HK72" s="25"/>
      <c r="HL72" s="25"/>
      <c r="HM72" s="25"/>
      <c r="HN72" s="25"/>
      <c r="HO72" s="25"/>
      <c r="HP72" s="110"/>
      <c r="HQ72" s="110"/>
      <c r="HR72" s="25"/>
      <c r="HS72" s="25"/>
      <c r="HT72" s="25"/>
      <c r="HU72" s="25"/>
      <c r="HV72" s="25"/>
      <c r="HW72" s="110"/>
      <c r="HX72" s="110"/>
      <c r="HY72" s="25"/>
      <c r="HZ72" s="25"/>
      <c r="IA72" s="25"/>
      <c r="IB72" s="25"/>
      <c r="IC72" s="25"/>
      <c r="ID72" s="110"/>
      <c r="IE72" s="110"/>
      <c r="IF72" s="25"/>
      <c r="IG72" s="25"/>
      <c r="IH72" s="25"/>
      <c r="II72" s="25"/>
      <c r="IJ72" s="25"/>
      <c r="IK72" s="110"/>
      <c r="IL72" s="110"/>
      <c r="IM72" s="25"/>
      <c r="IN72" s="25"/>
      <c r="IO72" s="25"/>
      <c r="IP72" s="25"/>
      <c r="IQ72" s="25"/>
      <c r="IR72" s="110"/>
      <c r="IS72" s="110"/>
      <c r="IT72" s="25"/>
      <c r="IU72" s="25"/>
      <c r="IV72" s="25"/>
      <c r="IW72" s="25"/>
      <c r="IX72" s="25"/>
      <c r="IY72" s="110"/>
      <c r="IZ72" s="110"/>
      <c r="JA72" s="25"/>
      <c r="JB72" s="25"/>
      <c r="JC72" s="25"/>
      <c r="JD72" s="25"/>
      <c r="JE72" s="25"/>
      <c r="JF72" s="110"/>
      <c r="JG72" s="110"/>
      <c r="JH72" s="25"/>
      <c r="JI72" s="25"/>
      <c r="JJ72" s="25"/>
      <c r="JK72" s="25"/>
      <c r="JL72" s="25"/>
      <c r="JM72" s="110"/>
      <c r="JN72" s="110"/>
      <c r="JO72" s="25"/>
      <c r="JP72" s="25"/>
      <c r="JQ72" s="25"/>
      <c r="JR72" s="25"/>
      <c r="JS72" s="25"/>
      <c r="JT72" s="110"/>
      <c r="JU72" s="110"/>
      <c r="JV72" s="25"/>
      <c r="JW72" s="25"/>
      <c r="JX72" s="25"/>
      <c r="JY72" s="25"/>
      <c r="JZ72" s="25"/>
      <c r="KA72" s="110"/>
      <c r="KB72" s="110"/>
      <c r="KC72" s="25"/>
      <c r="KD72" s="25"/>
      <c r="KE72" s="25"/>
      <c r="KF72" s="25"/>
      <c r="KG72" s="25"/>
      <c r="KH72" s="110"/>
      <c r="KI72" s="110"/>
      <c r="KJ72" s="25"/>
      <c r="KK72" s="25"/>
      <c r="KL72" s="25"/>
      <c r="KM72" s="25"/>
      <c r="KN72" s="25"/>
      <c r="KO72" s="110"/>
      <c r="KP72" s="110"/>
      <c r="KQ72" s="25"/>
      <c r="KR72" s="25"/>
      <c r="KS72" s="25"/>
      <c r="KT72" s="25"/>
      <c r="KU72" s="25"/>
      <c r="KV72" s="110"/>
      <c r="KW72" s="110"/>
      <c r="KX72" s="25"/>
      <c r="KY72" s="25"/>
      <c r="KZ72" s="25"/>
      <c r="LA72" s="25"/>
      <c r="LB72" s="25"/>
      <c r="LC72" s="110"/>
      <c r="LD72" s="110"/>
      <c r="LE72" s="25"/>
      <c r="LF72" s="25"/>
      <c r="LG72" s="110" t="s">
        <v>445</v>
      </c>
      <c r="LH72" s="25"/>
      <c r="LI72" s="25"/>
      <c r="LJ72" s="110"/>
      <c r="LK72" s="110"/>
      <c r="LL72" s="25"/>
      <c r="LM72" s="25"/>
      <c r="LN72" s="25"/>
      <c r="LO72" s="25"/>
      <c r="LP72" s="25"/>
      <c r="LQ72" s="110"/>
      <c r="LR72" s="110"/>
      <c r="LS72" s="25"/>
      <c r="LT72" s="25"/>
      <c r="LU72" s="25"/>
      <c r="LV72" s="25"/>
      <c r="LW72" s="25"/>
      <c r="LX72" s="110"/>
      <c r="LY72" s="110"/>
      <c r="LZ72" s="25"/>
      <c r="MA72" s="25"/>
      <c r="MB72" s="25"/>
      <c r="MC72" s="25"/>
      <c r="MD72" s="25"/>
      <c r="ME72" s="110"/>
      <c r="MF72" s="110"/>
      <c r="MG72" s="25"/>
      <c r="MH72" s="25"/>
      <c r="MI72" s="25"/>
      <c r="MJ72" s="25"/>
      <c r="MK72" s="25"/>
      <c r="ML72" s="110"/>
      <c r="MM72" s="110"/>
      <c r="MN72" s="25"/>
      <c r="MO72" s="25"/>
      <c r="MP72" s="25"/>
      <c r="MQ72" s="25"/>
      <c r="MR72" s="25"/>
      <c r="MS72" s="110"/>
      <c r="MT72" s="110"/>
      <c r="MU72" s="25"/>
      <c r="MV72" s="25"/>
      <c r="MW72" s="25"/>
      <c r="MX72" s="25"/>
      <c r="MY72" s="25"/>
      <c r="MZ72" s="110"/>
      <c r="NA72" s="110"/>
      <c r="NB72" s="25"/>
      <c r="NC72" s="25"/>
      <c r="ND72" s="25"/>
      <c r="NE72" s="129"/>
      <c r="NF72" s="111"/>
      <c r="NG72" s="8">
        <f t="shared" ref="NG72:NG105" si="72">SUM(E72:AI72)</f>
        <v>1</v>
      </c>
      <c r="NH72" s="351" cm="1">
        <f t="array" ref="NH72">NETWORKDAYS($I$2,$AH$2)- SUM(COUNTIF(I72:AH72,{"I";"F";"CP";"R";"P";"AC";"AM"}))</f>
        <v>20</v>
      </c>
      <c r="NI72" s="138">
        <f t="shared" si="67"/>
        <v>0.05</v>
      </c>
      <c r="NJ72" s="8">
        <f t="shared" ref="NJ72:NJ105" si="73">SUM(AJ72:BK72)</f>
        <v>1</v>
      </c>
      <c r="NK72" s="351" cm="1">
        <f t="array" ref="NK72">NETWORKDAYS($AJ$2,$BK$2)- SUM(COUNTIF(AJ72:BK72,{"I";"F";"CP";"R";"P";"AC";"AM"}))</f>
        <v>20</v>
      </c>
      <c r="NL72" s="138">
        <f t="shared" si="68"/>
        <v>0.05</v>
      </c>
      <c r="NM72" s="8">
        <f t="shared" ref="NM72:NM105" si="74">SUM(BM72:CP72)</f>
        <v>9</v>
      </c>
      <c r="NN72" s="351" cm="1">
        <f t="array" ref="NN72">NETWORKDAYS($BL$2,$CP$2)- SUM(COUNTIF(BL72:CP72,{"I";"F";"CP";"R";"P";"AC";"AM"}))</f>
        <v>22</v>
      </c>
      <c r="NO72" s="138">
        <f t="shared" si="69"/>
        <v>0.40909090909090912</v>
      </c>
      <c r="NP72" s="8">
        <f t="shared" ref="NP72:NP105" si="75">SUM(CQ72:DT72)</f>
        <v>9</v>
      </c>
      <c r="NQ72" s="351" cm="1">
        <f t="array" ref="NQ72">NETWORKDAYS($CQ$2,$DT$2,$CV$2)- SUM(COUNTIF(CQ72:DT72,{"I";"F";"CP";"R";"P";"AC";"AM"}))</f>
        <v>16</v>
      </c>
      <c r="NR72" s="138">
        <f t="shared" si="70"/>
        <v>0.5625</v>
      </c>
      <c r="NS72" s="8">
        <f t="shared" ref="NS72:NS105" si="76">SUM(DV72:EY72)</f>
        <v>4</v>
      </c>
      <c r="NT72" s="351" cm="1">
        <f t="array" ref="NT72">NETWORKDAYS($DV$2,$EY$2)-SUM(COUNTIF(DV72:EY72,{"I";"F";"CP";"R";"P";"AC";"AM"}))</f>
        <v>16</v>
      </c>
      <c r="NU72" s="138">
        <f t="shared" si="71"/>
        <v>0.25</v>
      </c>
      <c r="NV72" s="8">
        <f t="shared" si="50"/>
        <v>0</v>
      </c>
      <c r="NW72" s="351" cm="1">
        <f t="array" ref="NW72">NETWORKDAYS($EZ$2,$GC$2)-SUM(COUNTIF(EZ72:GC72,{"I";"F";"CP";"R";"P";"AC";"AM"}))</f>
        <v>22</v>
      </c>
      <c r="NX72" s="138">
        <f t="shared" si="51"/>
        <v>0</v>
      </c>
      <c r="NY72" s="8">
        <f t="shared" si="52"/>
        <v>0</v>
      </c>
      <c r="NZ72" s="351" cm="1">
        <f t="array" ref="NZ72">NETWORKDAYS($GD$2,$HH$2,$GQ$2)-SUM(COUNTIF(GD72:HH72,{"I";"F";"CP";"R";"P";"AC";"AM"}))</f>
        <v>21</v>
      </c>
      <c r="OA72" s="138">
        <f t="shared" si="53"/>
        <v>0</v>
      </c>
      <c r="OB72" s="8">
        <f t="shared" si="54"/>
        <v>0</v>
      </c>
      <c r="OC72" s="351" cm="1">
        <f t="array" ref="OC72">NETWORKDAYS($HI$2,$IM$2)-SUM(COUNTIF(HI72:IM72,{"I";"F";"CP";"R";"P";"AC";"AM"}))</f>
        <v>21</v>
      </c>
      <c r="OD72" s="138">
        <f t="shared" si="55"/>
        <v>0</v>
      </c>
      <c r="OE72" s="8">
        <f t="shared" si="56"/>
        <v>0</v>
      </c>
      <c r="OF72" s="351" cm="1">
        <f t="array" ref="OF72">NETWORKDAYS($IN$2,$JQ$2)-SUM(COUNTIF(IN72:JQ72,{"I";"F";"CP";"R";"P";"AC";"AM"}))</f>
        <v>22</v>
      </c>
      <c r="OG72" s="138">
        <f t="shared" si="57"/>
        <v>0</v>
      </c>
      <c r="OH72" s="8">
        <f t="shared" si="58"/>
        <v>0</v>
      </c>
      <c r="OI72" s="351" cm="1">
        <f t="array" ref="OI72">NETWORKDAYS($JR$2,$KV$2)-SUM(COUNTIF(JR72:KV72,{"I";"F";"CP";"R";"P";"AC";"AM"}))</f>
        <v>22</v>
      </c>
      <c r="OJ72" s="138">
        <f t="shared" si="59"/>
        <v>0</v>
      </c>
      <c r="OK72" s="8">
        <f t="shared" si="60"/>
        <v>0</v>
      </c>
      <c r="OL72" s="351" cm="1">
        <f t="array" ref="OL72">NETWORKDAYS($KW$2,$LZ$2,$LG$2)-SUM(COUNTIF(KW72:LZ72,{"I";"F";"CP";"R";"P";"AC";"AM"}))</f>
        <v>19</v>
      </c>
      <c r="OM72" s="138">
        <f t="shared" si="61"/>
        <v>0</v>
      </c>
      <c r="ON72" s="8">
        <f t="shared" si="62"/>
        <v>0</v>
      </c>
      <c r="OO72" s="351" cm="1">
        <f t="array" ref="OO72">NETWORKDAYS($MA$2,$MR$2)-SUM(COUNTIF(MA72:MR72,{"I";"F";"CP";"R";"P";"AC";"AM"}))</f>
        <v>14</v>
      </c>
      <c r="OP72" s="138">
        <f t="shared" si="63"/>
        <v>0</v>
      </c>
      <c r="OQ72" s="94">
        <f t="shared" si="64"/>
        <v>24</v>
      </c>
      <c r="OR72" s="94">
        <f t="shared" si="65"/>
        <v>235</v>
      </c>
      <c r="OS72" s="138">
        <f t="shared" si="66"/>
        <v>0.10212765957446808</v>
      </c>
    </row>
    <row r="73" spans="1:409" ht="18" hidden="1" customHeight="1" x14ac:dyDescent="0.25">
      <c r="A73" s="93" t="s">
        <v>54</v>
      </c>
      <c r="B73" s="95" t="s">
        <v>34</v>
      </c>
      <c r="C73" s="89" t="s">
        <v>166</v>
      </c>
      <c r="D73" s="89" t="s">
        <v>249</v>
      </c>
      <c r="E73" s="128"/>
      <c r="F73" s="110"/>
      <c r="G73" s="110"/>
      <c r="H73" s="110"/>
      <c r="I73" s="25" t="s">
        <v>162</v>
      </c>
      <c r="J73" s="25" t="s">
        <v>162</v>
      </c>
      <c r="K73" s="25" t="s">
        <v>162</v>
      </c>
      <c r="L73" s="25" t="s">
        <v>162</v>
      </c>
      <c r="M73" s="25" t="s">
        <v>162</v>
      </c>
      <c r="N73" s="110"/>
      <c r="O73" s="110"/>
      <c r="P73" s="25" t="s">
        <v>162</v>
      </c>
      <c r="Q73" s="25" t="s">
        <v>162</v>
      </c>
      <c r="R73" s="25" t="s">
        <v>162</v>
      </c>
      <c r="S73" s="25" t="s">
        <v>162</v>
      </c>
      <c r="T73" s="25" t="s">
        <v>162</v>
      </c>
      <c r="U73" s="110"/>
      <c r="V73" s="110"/>
      <c r="W73" s="25" t="s">
        <v>162</v>
      </c>
      <c r="X73" s="25" t="s">
        <v>162</v>
      </c>
      <c r="Y73" s="25" t="s">
        <v>162</v>
      </c>
      <c r="Z73" s="25" t="s">
        <v>162</v>
      </c>
      <c r="AA73" s="25" t="s">
        <v>162</v>
      </c>
      <c r="AB73" s="110"/>
      <c r="AC73" s="110"/>
      <c r="AD73" s="25" t="s">
        <v>162</v>
      </c>
      <c r="AE73" s="25" t="s">
        <v>162</v>
      </c>
      <c r="AF73" s="25" t="s">
        <v>162</v>
      </c>
      <c r="AG73" s="25" t="s">
        <v>162</v>
      </c>
      <c r="AH73" s="25" t="s">
        <v>162</v>
      </c>
      <c r="AI73" s="110"/>
      <c r="AJ73" s="110"/>
      <c r="AK73" s="25" t="s">
        <v>162</v>
      </c>
      <c r="AL73" s="25" t="s">
        <v>162</v>
      </c>
      <c r="AM73" s="25" t="s">
        <v>162</v>
      </c>
      <c r="AN73" s="25" t="s">
        <v>162</v>
      </c>
      <c r="AO73" s="25" t="s">
        <v>162</v>
      </c>
      <c r="AP73" s="110"/>
      <c r="AQ73" s="110"/>
      <c r="AR73" s="25" t="s">
        <v>162</v>
      </c>
      <c r="AS73" s="25" t="s">
        <v>162</v>
      </c>
      <c r="AT73" s="25" t="s">
        <v>162</v>
      </c>
      <c r="AV73" s="25" t="s">
        <v>162</v>
      </c>
      <c r="AW73" s="110"/>
      <c r="AX73" s="110"/>
      <c r="AY73" s="25"/>
      <c r="AZ73" s="25"/>
      <c r="BA73" s="25"/>
      <c r="BB73" s="25"/>
      <c r="BC73" s="25"/>
      <c r="BD73" s="110"/>
      <c r="BE73" s="110"/>
      <c r="BF73" s="25"/>
      <c r="BG73" s="25"/>
      <c r="BH73" s="25"/>
      <c r="BI73" s="25"/>
      <c r="BJ73" s="25"/>
      <c r="BK73" s="110"/>
      <c r="BL73" s="110"/>
      <c r="BM73" s="25"/>
      <c r="BN73" s="25"/>
      <c r="BO73" s="25"/>
      <c r="BP73" s="25"/>
      <c r="BQ73" s="25"/>
      <c r="BR73" s="110"/>
      <c r="BS73" s="110"/>
      <c r="BT73" s="25"/>
      <c r="BU73" s="25"/>
      <c r="BV73" s="25"/>
      <c r="BW73" s="25"/>
      <c r="BX73" s="25"/>
      <c r="BY73" s="110"/>
      <c r="BZ73" s="110"/>
      <c r="CA73" s="25"/>
      <c r="CB73" s="25"/>
      <c r="CC73" s="25"/>
      <c r="CD73" s="25"/>
      <c r="CE73" s="25"/>
      <c r="CF73" s="110"/>
      <c r="CG73" s="110"/>
      <c r="CH73" s="25"/>
      <c r="CI73" s="25"/>
      <c r="CJ73" s="25"/>
      <c r="CK73" s="25"/>
      <c r="CL73" s="25"/>
      <c r="CM73" s="110"/>
      <c r="CN73" s="110"/>
      <c r="CO73" s="25"/>
      <c r="CP73" s="25"/>
      <c r="CQ73" s="25"/>
      <c r="CR73" s="25"/>
      <c r="CS73" s="25"/>
      <c r="CT73" s="110"/>
      <c r="CU73" s="110"/>
      <c r="CV73" s="110"/>
      <c r="CW73" s="25"/>
      <c r="CX73" s="25"/>
      <c r="CY73" s="25"/>
      <c r="CZ73" s="25"/>
      <c r="DA73" s="110"/>
      <c r="DB73" s="110"/>
      <c r="DC73" s="25"/>
      <c r="DD73" s="25"/>
      <c r="DE73" s="25"/>
      <c r="DF73" s="25"/>
      <c r="DG73" s="25"/>
      <c r="DH73" s="110"/>
      <c r="DI73" s="110"/>
      <c r="DJ73" s="25"/>
      <c r="DK73" s="25"/>
      <c r="DL73" s="25"/>
      <c r="DM73" s="25"/>
      <c r="DN73" s="25"/>
      <c r="DO73" s="110"/>
      <c r="DP73" s="110"/>
      <c r="DQ73" s="25"/>
      <c r="DR73" s="25"/>
      <c r="DS73" s="25"/>
      <c r="DT73" s="25"/>
      <c r="DU73" s="110" t="s">
        <v>445</v>
      </c>
      <c r="DV73" s="110"/>
      <c r="DW73" s="110"/>
      <c r="DX73" s="25"/>
      <c r="DY73" s="25"/>
      <c r="DZ73" s="25"/>
      <c r="EA73" s="25"/>
      <c r="EB73" s="110" t="s">
        <v>445</v>
      </c>
      <c r="EC73" s="110"/>
      <c r="ED73" s="110"/>
      <c r="EE73" s="25"/>
      <c r="EF73" s="25"/>
      <c r="EG73" s="25"/>
      <c r="EH73" s="110" t="s">
        <v>445</v>
      </c>
      <c r="EI73" s="110" t="s">
        <v>445</v>
      </c>
      <c r="EJ73" s="110"/>
      <c r="EK73" s="110"/>
      <c r="EL73" s="25"/>
      <c r="EM73" s="25"/>
      <c r="EN73" s="25"/>
      <c r="EO73" s="25"/>
      <c r="EP73" s="25"/>
      <c r="EQ73" s="110"/>
      <c r="ER73" s="110"/>
      <c r="ES73" s="110" t="s">
        <v>445</v>
      </c>
      <c r="ET73" s="25"/>
      <c r="EU73" s="25"/>
      <c r="EV73" s="25"/>
      <c r="EW73" s="25"/>
      <c r="EX73" s="110"/>
      <c r="EY73" s="110"/>
      <c r="EZ73" s="25"/>
      <c r="FA73" s="25"/>
      <c r="FB73" s="25"/>
      <c r="FC73" s="25"/>
      <c r="FD73" s="25"/>
      <c r="FE73" s="110"/>
      <c r="FF73" s="110"/>
      <c r="FG73" s="25"/>
      <c r="FH73" s="25"/>
      <c r="FI73" s="25"/>
      <c r="FJ73" s="25"/>
      <c r="FK73" s="25"/>
      <c r="FL73" s="110"/>
      <c r="FM73" s="110"/>
      <c r="FN73" s="25"/>
      <c r="FO73" s="25"/>
      <c r="FP73" s="25"/>
      <c r="FQ73" s="25"/>
      <c r="FR73" s="25"/>
      <c r="FS73" s="110"/>
      <c r="FT73" s="110"/>
      <c r="FU73" s="25"/>
      <c r="FV73" s="25"/>
      <c r="FW73" s="25"/>
      <c r="FX73" s="25"/>
      <c r="FY73" s="25"/>
      <c r="FZ73" s="110"/>
      <c r="GA73" s="110"/>
      <c r="GB73" s="25"/>
      <c r="GC73" s="25"/>
      <c r="GD73" s="25"/>
      <c r="GE73" s="25"/>
      <c r="GF73" s="25"/>
      <c r="GG73" s="110"/>
      <c r="GH73" s="110"/>
      <c r="GI73" s="25"/>
      <c r="GJ73" s="25"/>
      <c r="GK73" s="25"/>
      <c r="GL73" s="25"/>
      <c r="GM73" s="25"/>
      <c r="GN73" s="110"/>
      <c r="GO73" s="110"/>
      <c r="GP73" s="110" t="s">
        <v>445</v>
      </c>
      <c r="GQ73" s="110"/>
      <c r="GR73" s="25"/>
      <c r="GS73" s="25"/>
      <c r="GT73" s="25"/>
      <c r="GU73" s="110"/>
      <c r="GV73" s="110"/>
      <c r="GW73" s="25"/>
      <c r="GX73" s="25"/>
      <c r="GY73" s="25"/>
      <c r="GZ73" s="25"/>
      <c r="HA73" s="25"/>
      <c r="HB73" s="110"/>
      <c r="HC73" s="110"/>
      <c r="HD73" s="25"/>
      <c r="HE73" s="25"/>
      <c r="HF73" s="25"/>
      <c r="HG73" s="25"/>
      <c r="HH73" s="25"/>
      <c r="HI73" s="110"/>
      <c r="HJ73" s="110"/>
      <c r="HK73" s="25"/>
      <c r="HL73" s="25"/>
      <c r="HM73" s="25"/>
      <c r="HN73" s="25"/>
      <c r="HO73" s="25"/>
      <c r="HP73" s="110"/>
      <c r="HQ73" s="110"/>
      <c r="HR73" s="25"/>
      <c r="HS73" s="25"/>
      <c r="HT73" s="25"/>
      <c r="HU73" s="25"/>
      <c r="HV73" s="25"/>
      <c r="HW73" s="110"/>
      <c r="HX73" s="110"/>
      <c r="HY73" s="25"/>
      <c r="HZ73" s="25"/>
      <c r="IA73" s="25"/>
      <c r="IB73" s="25"/>
      <c r="IC73" s="25"/>
      <c r="ID73" s="110"/>
      <c r="IE73" s="110"/>
      <c r="IF73" s="25"/>
      <c r="IG73" s="25"/>
      <c r="IH73" s="25"/>
      <c r="II73" s="25"/>
      <c r="IJ73" s="25"/>
      <c r="IK73" s="110"/>
      <c r="IL73" s="110"/>
      <c r="IM73" s="25"/>
      <c r="IN73" s="25"/>
      <c r="IO73" s="25"/>
      <c r="IP73" s="25"/>
      <c r="IQ73" s="25"/>
      <c r="IR73" s="110"/>
      <c r="IS73" s="110"/>
      <c r="IT73" s="25"/>
      <c r="IU73" s="25"/>
      <c r="IV73" s="25"/>
      <c r="IW73" s="25"/>
      <c r="IX73" s="25"/>
      <c r="IY73" s="110"/>
      <c r="IZ73" s="110"/>
      <c r="JA73" s="25"/>
      <c r="JB73" s="25"/>
      <c r="JC73" s="25"/>
      <c r="JD73" s="25"/>
      <c r="JE73" s="25"/>
      <c r="JF73" s="110"/>
      <c r="JG73" s="110"/>
      <c r="JH73" s="25"/>
      <c r="JI73" s="25"/>
      <c r="JJ73" s="25"/>
      <c r="JK73" s="25"/>
      <c r="JL73" s="25"/>
      <c r="JM73" s="110"/>
      <c r="JN73" s="110"/>
      <c r="JO73" s="25"/>
      <c r="JP73" s="25"/>
      <c r="JQ73" s="25"/>
      <c r="JR73" s="25"/>
      <c r="JS73" s="25"/>
      <c r="JT73" s="110"/>
      <c r="JU73" s="110"/>
      <c r="JV73" s="25"/>
      <c r="JW73" s="25"/>
      <c r="JX73" s="25"/>
      <c r="JY73" s="25"/>
      <c r="JZ73" s="25"/>
      <c r="KA73" s="110"/>
      <c r="KB73" s="110"/>
      <c r="KC73" s="25"/>
      <c r="KD73" s="25"/>
      <c r="KE73" s="25"/>
      <c r="KF73" s="25"/>
      <c r="KG73" s="25"/>
      <c r="KH73" s="110"/>
      <c r="KI73" s="110"/>
      <c r="KJ73" s="25"/>
      <c r="KK73" s="25"/>
      <c r="KL73" s="25"/>
      <c r="KM73" s="25"/>
      <c r="KN73" s="25"/>
      <c r="KO73" s="110"/>
      <c r="KP73" s="110"/>
      <c r="KQ73" s="25"/>
      <c r="KR73" s="25"/>
      <c r="KS73" s="25"/>
      <c r="KT73" s="25"/>
      <c r="KU73" s="25"/>
      <c r="KV73" s="110"/>
      <c r="KW73" s="110"/>
      <c r="KX73" s="25"/>
      <c r="KY73" s="25"/>
      <c r="KZ73" s="25"/>
      <c r="LA73" s="25"/>
      <c r="LB73" s="25"/>
      <c r="LC73" s="110"/>
      <c r="LD73" s="110"/>
      <c r="LE73" s="25"/>
      <c r="LF73" s="25"/>
      <c r="LG73" s="110" t="s">
        <v>445</v>
      </c>
      <c r="LH73" s="25"/>
      <c r="LI73" s="25"/>
      <c r="LJ73" s="110"/>
      <c r="LK73" s="110"/>
      <c r="LL73" s="25"/>
      <c r="LM73" s="25"/>
      <c r="LN73" s="25"/>
      <c r="LO73" s="25"/>
      <c r="LP73" s="25"/>
      <c r="LQ73" s="110"/>
      <c r="LR73" s="110"/>
      <c r="LS73" s="25"/>
      <c r="LT73" s="25"/>
      <c r="LU73" s="25"/>
      <c r="LV73" s="25"/>
      <c r="LW73" s="25"/>
      <c r="LX73" s="110"/>
      <c r="LY73" s="110"/>
      <c r="LZ73" s="25"/>
      <c r="MA73" s="25"/>
      <c r="MB73" s="25"/>
      <c r="MC73" s="25"/>
      <c r="MD73" s="25"/>
      <c r="ME73" s="110"/>
      <c r="MF73" s="110"/>
      <c r="MG73" s="25"/>
      <c r="MH73" s="25"/>
      <c r="MI73" s="25"/>
      <c r="MJ73" s="25"/>
      <c r="MK73" s="25"/>
      <c r="ML73" s="110"/>
      <c r="MM73" s="110"/>
      <c r="MN73" s="25"/>
      <c r="MO73" s="25"/>
      <c r="MP73" s="25"/>
      <c r="MQ73" s="25"/>
      <c r="MR73" s="25"/>
      <c r="MS73" s="110"/>
      <c r="MT73" s="110"/>
      <c r="MU73" s="25"/>
      <c r="MV73" s="25"/>
      <c r="MW73" s="25"/>
      <c r="MX73" s="25"/>
      <c r="MY73" s="25"/>
      <c r="MZ73" s="110"/>
      <c r="NA73" s="110"/>
      <c r="NB73" s="25"/>
      <c r="NC73" s="25"/>
      <c r="ND73" s="25"/>
      <c r="NE73" s="129"/>
      <c r="NF73" s="111"/>
      <c r="NG73" s="8">
        <f t="shared" si="72"/>
        <v>0</v>
      </c>
      <c r="NH73" s="351" cm="1">
        <f t="array" ref="NH73">NETWORKDAYS($I$2,$AH$2)- SUM(COUNTIF(I73:AH73,{"I";"F";"CP";"R";"P";"AC";"AM"}))</f>
        <v>0</v>
      </c>
      <c r="NI73" s="138" t="str">
        <f t="shared" si="67"/>
        <v/>
      </c>
      <c r="NJ73" s="8">
        <f t="shared" si="73"/>
        <v>0</v>
      </c>
      <c r="NK73" s="351" cm="1">
        <f t="array" ref="NK73">NETWORKDAYS($AJ$2,$BK$2)- SUM(COUNTIF(AJ73:BK73,{"I";"F";"CP";"R";"P";"AC";"AM"}))</f>
        <v>11</v>
      </c>
      <c r="NL73" s="138">
        <f t="shared" si="68"/>
        <v>0</v>
      </c>
      <c r="NM73" s="8">
        <f t="shared" si="74"/>
        <v>0</v>
      </c>
      <c r="NN73" s="351" cm="1">
        <f t="array" ref="NN73">NETWORKDAYS($BL$2,$CP$2)- SUM(COUNTIF(BL73:CP73,{"I";"F";"CP";"R";"P";"AC";"AM"}))</f>
        <v>22</v>
      </c>
      <c r="NO73" s="138">
        <f t="shared" si="69"/>
        <v>0</v>
      </c>
      <c r="NP73" s="8">
        <f t="shared" si="75"/>
        <v>0</v>
      </c>
      <c r="NQ73" s="351" cm="1">
        <f t="array" ref="NQ73">NETWORKDAYS($CQ$2,$DT$2,$CV$2)- SUM(COUNTIF(CQ73:DT73,{"I";"F";"CP";"R";"P";"AC";"AM"}))</f>
        <v>21</v>
      </c>
      <c r="NR73" s="138">
        <f t="shared" si="70"/>
        <v>0</v>
      </c>
      <c r="NS73" s="8">
        <f t="shared" si="76"/>
        <v>0</v>
      </c>
      <c r="NT73" s="351" cm="1">
        <f t="array" ref="NT73">NETWORKDAYS($DV$2,$EY$2)-SUM(COUNTIF(DV73:EY73,{"I";"F";"CP";"R";"P";"AC";"AM"}))</f>
        <v>16</v>
      </c>
      <c r="NU73" s="138">
        <f t="shared" si="71"/>
        <v>0</v>
      </c>
      <c r="NV73" s="8">
        <f t="shared" si="50"/>
        <v>0</v>
      </c>
      <c r="NW73" s="351" cm="1">
        <f t="array" ref="NW73">NETWORKDAYS($EZ$2,$GC$2)-SUM(COUNTIF(EZ73:GC73,{"I";"F";"CP";"R";"P";"AC";"AM"}))</f>
        <v>22</v>
      </c>
      <c r="NX73" s="138">
        <f t="shared" si="51"/>
        <v>0</v>
      </c>
      <c r="NY73" s="8">
        <f t="shared" si="52"/>
        <v>0</v>
      </c>
      <c r="NZ73" s="351" cm="1">
        <f t="array" ref="NZ73">NETWORKDAYS($GD$2,$HH$2,$GQ$2)-SUM(COUNTIF(GD73:HH73,{"I";"F";"CP";"R";"P";"AC";"AM"}))</f>
        <v>21</v>
      </c>
      <c r="OA73" s="138">
        <f t="shared" si="53"/>
        <v>0</v>
      </c>
      <c r="OB73" s="8">
        <f t="shared" si="54"/>
        <v>0</v>
      </c>
      <c r="OC73" s="351" cm="1">
        <f t="array" ref="OC73">NETWORKDAYS($HI$2,$IM$2)-SUM(COUNTIF(HI73:IM73,{"I";"F";"CP";"R";"P";"AC";"AM"}))</f>
        <v>21</v>
      </c>
      <c r="OD73" s="138">
        <f t="shared" si="55"/>
        <v>0</v>
      </c>
      <c r="OE73" s="8">
        <f t="shared" si="56"/>
        <v>0</v>
      </c>
      <c r="OF73" s="351" cm="1">
        <f t="array" ref="OF73">NETWORKDAYS($IN$2,$JQ$2)-SUM(COUNTIF(IN73:JQ73,{"I";"F";"CP";"R";"P";"AC";"AM"}))</f>
        <v>22</v>
      </c>
      <c r="OG73" s="138">
        <f t="shared" si="57"/>
        <v>0</v>
      </c>
      <c r="OH73" s="8">
        <f t="shared" si="58"/>
        <v>0</v>
      </c>
      <c r="OI73" s="351" cm="1">
        <f t="array" ref="OI73">NETWORKDAYS($JR$2,$KV$2)-SUM(COUNTIF(JR73:KV73,{"I";"F";"CP";"R";"P";"AC";"AM"}))</f>
        <v>22</v>
      </c>
      <c r="OJ73" s="138">
        <f t="shared" si="59"/>
        <v>0</v>
      </c>
      <c r="OK73" s="8">
        <f t="shared" si="60"/>
        <v>0</v>
      </c>
      <c r="OL73" s="351" cm="1">
        <f t="array" ref="OL73">NETWORKDAYS($KW$2,$LZ$2,$LG$2)-SUM(COUNTIF(KW73:LZ73,{"I";"F";"CP";"R";"P";"AC";"AM"}))</f>
        <v>19</v>
      </c>
      <c r="OM73" s="138">
        <f t="shared" si="61"/>
        <v>0</v>
      </c>
      <c r="ON73" s="8">
        <f t="shared" si="62"/>
        <v>0</v>
      </c>
      <c r="OO73" s="351" cm="1">
        <f t="array" ref="OO73">NETWORKDAYS($MA$2,$MR$2)-SUM(COUNTIF(MA73:MR73,{"I";"F";"CP";"R";"P";"AC";"AM"}))</f>
        <v>14</v>
      </c>
      <c r="OP73" s="138">
        <f t="shared" si="63"/>
        <v>0</v>
      </c>
      <c r="OQ73" s="94">
        <f t="shared" si="64"/>
        <v>0</v>
      </c>
      <c r="OR73" s="94">
        <f t="shared" si="65"/>
        <v>211</v>
      </c>
      <c r="OS73" s="138">
        <f t="shared" si="66"/>
        <v>0</v>
      </c>
    </row>
    <row r="74" spans="1:409" ht="18" hidden="1" customHeight="1" x14ac:dyDescent="0.25">
      <c r="A74" s="95" t="s">
        <v>168</v>
      </c>
      <c r="B74" s="95" t="s">
        <v>168</v>
      </c>
      <c r="C74" s="89" t="s">
        <v>188</v>
      </c>
      <c r="D74" s="89" t="s">
        <v>250</v>
      </c>
      <c r="E74" s="128"/>
      <c r="F74" s="110"/>
      <c r="G74" s="110"/>
      <c r="H74" s="110"/>
      <c r="I74" s="25"/>
      <c r="J74" s="25"/>
      <c r="K74" s="25"/>
      <c r="L74" s="25"/>
      <c r="M74" s="25"/>
      <c r="N74" s="110"/>
      <c r="O74" s="110"/>
      <c r="P74" s="25"/>
      <c r="Q74" s="25"/>
      <c r="R74" s="25"/>
      <c r="S74" s="25"/>
      <c r="T74" s="25"/>
      <c r="U74" s="110"/>
      <c r="V74" s="110"/>
      <c r="W74" s="25"/>
      <c r="X74" s="25"/>
      <c r="Y74" s="25"/>
      <c r="Z74" s="25"/>
      <c r="AA74" s="25"/>
      <c r="AB74" s="110"/>
      <c r="AC74" s="110"/>
      <c r="AD74" s="25"/>
      <c r="AE74" s="25"/>
      <c r="AF74" s="25"/>
      <c r="AG74" s="25"/>
      <c r="AH74" s="25"/>
      <c r="AI74" s="110"/>
      <c r="AJ74" s="110"/>
      <c r="AK74" s="25"/>
      <c r="AL74" s="25"/>
      <c r="AM74" s="25"/>
      <c r="AN74" s="25"/>
      <c r="AO74" s="25"/>
      <c r="AP74" s="110"/>
      <c r="AQ74" s="110"/>
      <c r="AR74" s="25"/>
      <c r="AS74" s="25"/>
      <c r="AT74" s="25"/>
      <c r="AU74" s="25"/>
      <c r="AV74" s="25"/>
      <c r="AW74" s="110"/>
      <c r="AX74" s="110"/>
      <c r="AY74" s="25"/>
      <c r="AZ74" s="25"/>
      <c r="BA74" s="25"/>
      <c r="BB74" s="25"/>
      <c r="BC74" s="25"/>
      <c r="BD74" s="110"/>
      <c r="BE74" s="110"/>
      <c r="BF74" s="25"/>
      <c r="BG74" s="25"/>
      <c r="BH74" s="25"/>
      <c r="BI74" s="25"/>
      <c r="BJ74" s="25"/>
      <c r="BK74" s="110"/>
      <c r="BL74" s="110"/>
      <c r="BM74" s="25"/>
      <c r="BN74" s="25"/>
      <c r="BO74" s="25"/>
      <c r="BP74" s="25"/>
      <c r="BQ74" s="25"/>
      <c r="BR74" s="110"/>
      <c r="BS74" s="110"/>
      <c r="BT74" s="25"/>
      <c r="BU74" s="25"/>
      <c r="BV74" s="25"/>
      <c r="BW74" s="25"/>
      <c r="BX74" s="25"/>
      <c r="BY74" s="110"/>
      <c r="BZ74" s="110"/>
      <c r="CA74" s="25"/>
      <c r="CB74" s="25"/>
      <c r="CC74" s="25"/>
      <c r="CD74" s="25"/>
      <c r="CE74" s="25"/>
      <c r="CF74" s="110"/>
      <c r="CG74" s="110"/>
      <c r="CH74" s="25"/>
      <c r="CI74" s="25"/>
      <c r="CJ74" s="25"/>
      <c r="CK74" s="25"/>
      <c r="CL74" s="25"/>
      <c r="CM74" s="110"/>
      <c r="CN74" s="110"/>
      <c r="CO74" s="25"/>
      <c r="CP74" s="25"/>
      <c r="CQ74" s="25"/>
      <c r="CR74" s="25"/>
      <c r="CS74" s="25"/>
      <c r="CT74" s="110"/>
      <c r="CU74" s="110"/>
      <c r="CV74" s="110"/>
      <c r="CW74" s="25"/>
      <c r="CX74" s="25"/>
      <c r="CY74" s="25"/>
      <c r="CZ74" s="25"/>
      <c r="DA74" s="110"/>
      <c r="DB74" s="110"/>
      <c r="DC74" s="25"/>
      <c r="DD74" s="25"/>
      <c r="DE74" s="25"/>
      <c r="DF74" s="25"/>
      <c r="DG74" s="25"/>
      <c r="DH74" s="110"/>
      <c r="DI74" s="110"/>
      <c r="DJ74" s="25"/>
      <c r="DK74" s="25"/>
      <c r="DL74" s="25"/>
      <c r="DM74" s="25"/>
      <c r="DN74" s="25"/>
      <c r="DO74" s="110"/>
      <c r="DP74" s="110"/>
      <c r="DQ74" s="25"/>
      <c r="DR74" s="25"/>
      <c r="DS74" s="25"/>
      <c r="DT74" s="25"/>
      <c r="DU74" s="110" t="s">
        <v>445</v>
      </c>
      <c r="DV74" s="110"/>
      <c r="DW74" s="110"/>
      <c r="DX74" s="25"/>
      <c r="DY74" s="25"/>
      <c r="DZ74" s="25"/>
      <c r="EA74" s="25"/>
      <c r="EB74" s="110" t="s">
        <v>445</v>
      </c>
      <c r="EC74" s="110"/>
      <c r="ED74" s="110"/>
      <c r="EE74" s="25"/>
      <c r="EF74" s="25"/>
      <c r="EG74" s="25"/>
      <c r="EH74" s="110" t="s">
        <v>445</v>
      </c>
      <c r="EI74" s="110" t="s">
        <v>445</v>
      </c>
      <c r="EJ74" s="110"/>
      <c r="EK74" s="110"/>
      <c r="EL74" s="25"/>
      <c r="EM74" s="25"/>
      <c r="EN74" s="25"/>
      <c r="EO74" s="25"/>
      <c r="EP74" s="25"/>
      <c r="EQ74" s="110"/>
      <c r="ER74" s="110"/>
      <c r="ES74" s="110" t="s">
        <v>445</v>
      </c>
      <c r="ET74" s="25"/>
      <c r="EU74" s="25"/>
      <c r="EV74" s="25"/>
      <c r="EW74" s="25"/>
      <c r="EX74" s="110"/>
      <c r="EY74" s="110"/>
      <c r="EZ74" s="25"/>
      <c r="FA74" s="25"/>
      <c r="FB74" s="25"/>
      <c r="FC74" s="25"/>
      <c r="FD74" s="25"/>
      <c r="FE74" s="110"/>
      <c r="FF74" s="110"/>
      <c r="FG74" s="25"/>
      <c r="FH74" s="25"/>
      <c r="FI74" s="25"/>
      <c r="FJ74" s="25"/>
      <c r="FK74" s="25"/>
      <c r="FL74" s="110"/>
      <c r="FM74" s="110"/>
      <c r="FN74" s="25"/>
      <c r="FO74" s="25"/>
      <c r="FP74" s="25"/>
      <c r="FQ74" s="25"/>
      <c r="FR74" s="25"/>
      <c r="FS74" s="110"/>
      <c r="FT74" s="110"/>
      <c r="FU74" s="25"/>
      <c r="FV74" s="25"/>
      <c r="FW74" s="25"/>
      <c r="FX74" s="25"/>
      <c r="FY74" s="25"/>
      <c r="FZ74" s="110"/>
      <c r="GA74" s="110"/>
      <c r="GB74" s="25"/>
      <c r="GC74" s="25"/>
      <c r="GD74" s="25"/>
      <c r="GE74" s="25"/>
      <c r="GF74" s="25"/>
      <c r="GG74" s="110"/>
      <c r="GH74" s="110"/>
      <c r="GI74" s="25"/>
      <c r="GJ74" s="25"/>
      <c r="GK74" s="25"/>
      <c r="GL74" s="25"/>
      <c r="GM74" s="25"/>
      <c r="GN74" s="110"/>
      <c r="GO74" s="110"/>
      <c r="GP74" s="110" t="s">
        <v>445</v>
      </c>
      <c r="GQ74" s="110"/>
      <c r="GR74" s="25"/>
      <c r="GS74" s="25"/>
      <c r="GT74" s="25"/>
      <c r="GU74" s="110"/>
      <c r="GV74" s="110"/>
      <c r="GW74" s="25"/>
      <c r="GX74" s="25"/>
      <c r="GY74" s="25"/>
      <c r="GZ74" s="25"/>
      <c r="HA74" s="25"/>
      <c r="HB74" s="110"/>
      <c r="HC74" s="110"/>
      <c r="HD74" s="25"/>
      <c r="HE74" s="25"/>
      <c r="HF74" s="25"/>
      <c r="HG74" s="25"/>
      <c r="HH74" s="25"/>
      <c r="HI74" s="110"/>
      <c r="HJ74" s="110"/>
      <c r="HK74" s="25"/>
      <c r="HL74" s="25"/>
      <c r="HM74" s="25"/>
      <c r="HN74" s="25"/>
      <c r="HO74" s="25"/>
      <c r="HP74" s="110"/>
      <c r="HQ74" s="110"/>
      <c r="HR74" s="25"/>
      <c r="HS74" s="25"/>
      <c r="HT74" s="25"/>
      <c r="HU74" s="25"/>
      <c r="HV74" s="25"/>
      <c r="HW74" s="110"/>
      <c r="HX74" s="110"/>
      <c r="HY74" s="25"/>
      <c r="HZ74" s="25"/>
      <c r="IA74" s="25"/>
      <c r="IB74" s="25"/>
      <c r="IC74" s="25"/>
      <c r="ID74" s="110"/>
      <c r="IE74" s="110"/>
      <c r="IF74" s="25"/>
      <c r="IG74" s="25"/>
      <c r="IH74" s="25"/>
      <c r="II74" s="25"/>
      <c r="IJ74" s="25"/>
      <c r="IK74" s="110"/>
      <c r="IL74" s="110"/>
      <c r="IM74" s="25"/>
      <c r="IN74" s="25"/>
      <c r="IO74" s="25"/>
      <c r="IP74" s="25"/>
      <c r="IQ74" s="25"/>
      <c r="IR74" s="110"/>
      <c r="IS74" s="110"/>
      <c r="IT74" s="25"/>
      <c r="IU74" s="25"/>
      <c r="IV74" s="25"/>
      <c r="IW74" s="25"/>
      <c r="IX74" s="25"/>
      <c r="IY74" s="110"/>
      <c r="IZ74" s="110"/>
      <c r="JA74" s="25"/>
      <c r="JB74" s="25"/>
      <c r="JC74" s="25"/>
      <c r="JD74" s="25"/>
      <c r="JE74" s="25"/>
      <c r="JF74" s="110"/>
      <c r="JG74" s="110"/>
      <c r="JH74" s="25"/>
      <c r="JI74" s="25"/>
      <c r="JJ74" s="25"/>
      <c r="JK74" s="25"/>
      <c r="JL74" s="25"/>
      <c r="JM74" s="110"/>
      <c r="JN74" s="110"/>
      <c r="JO74" s="25"/>
      <c r="JP74" s="25"/>
      <c r="JQ74" s="25"/>
      <c r="JR74" s="25"/>
      <c r="JS74" s="25"/>
      <c r="JT74" s="110"/>
      <c r="JU74" s="110"/>
      <c r="JV74" s="25"/>
      <c r="JW74" s="25"/>
      <c r="JX74" s="25"/>
      <c r="JY74" s="25"/>
      <c r="JZ74" s="25"/>
      <c r="KA74" s="110"/>
      <c r="KB74" s="110"/>
      <c r="KC74" s="25"/>
      <c r="KD74" s="25"/>
      <c r="KE74" s="25"/>
      <c r="KF74" s="25"/>
      <c r="KG74" s="25"/>
      <c r="KH74" s="110"/>
      <c r="KI74" s="110"/>
      <c r="KJ74" s="25"/>
      <c r="KK74" s="25"/>
      <c r="KL74" s="25"/>
      <c r="KM74" s="25"/>
      <c r="KN74" s="25"/>
      <c r="KO74" s="110"/>
      <c r="KP74" s="110"/>
      <c r="KQ74" s="25"/>
      <c r="KR74" s="25"/>
      <c r="KS74" s="25"/>
      <c r="KT74" s="25"/>
      <c r="KU74" s="25"/>
      <c r="KV74" s="110"/>
      <c r="KW74" s="110"/>
      <c r="KX74" s="25"/>
      <c r="KY74" s="25"/>
      <c r="KZ74" s="25"/>
      <c r="LA74" s="25"/>
      <c r="LB74" s="25"/>
      <c r="LC74" s="110"/>
      <c r="LD74" s="110"/>
      <c r="LE74" s="25"/>
      <c r="LF74" s="25"/>
      <c r="LG74" s="110" t="s">
        <v>445</v>
      </c>
      <c r="LH74" s="25"/>
      <c r="LI74" s="25"/>
      <c r="LJ74" s="110"/>
      <c r="LK74" s="110"/>
      <c r="LL74" s="25"/>
      <c r="LM74" s="25"/>
      <c r="LN74" s="25"/>
      <c r="LO74" s="25"/>
      <c r="LP74" s="25"/>
      <c r="LQ74" s="110"/>
      <c r="LR74" s="110"/>
      <c r="LS74" s="25"/>
      <c r="LT74" s="25"/>
      <c r="LU74" s="25"/>
      <c r="LV74" s="25"/>
      <c r="LW74" s="25"/>
      <c r="LX74" s="110"/>
      <c r="LY74" s="110"/>
      <c r="LZ74" s="25"/>
      <c r="MA74" s="25"/>
      <c r="MB74" s="25"/>
      <c r="MC74" s="25"/>
      <c r="MD74" s="25"/>
      <c r="ME74" s="110"/>
      <c r="MF74" s="110"/>
      <c r="MG74" s="25"/>
      <c r="MH74" s="25"/>
      <c r="MI74" s="25"/>
      <c r="MJ74" s="25"/>
      <c r="MK74" s="25"/>
      <c r="ML74" s="110"/>
      <c r="MM74" s="110"/>
      <c r="MN74" s="25"/>
      <c r="MO74" s="25"/>
      <c r="MP74" s="25"/>
      <c r="MQ74" s="25"/>
      <c r="MR74" s="25"/>
      <c r="MS74" s="110"/>
      <c r="MT74" s="110"/>
      <c r="MU74" s="25"/>
      <c r="MV74" s="25"/>
      <c r="MW74" s="25"/>
      <c r="MX74" s="25"/>
      <c r="MY74" s="25"/>
      <c r="MZ74" s="110"/>
      <c r="NA74" s="110"/>
      <c r="NB74" s="25"/>
      <c r="NC74" s="25"/>
      <c r="ND74" s="25"/>
      <c r="NE74" s="129"/>
      <c r="NF74" s="111"/>
      <c r="NG74" s="8">
        <f t="shared" si="72"/>
        <v>0</v>
      </c>
      <c r="NH74" s="351" cm="1">
        <f t="array" ref="NH74">NETWORKDAYS($I$2,$AH$2)- SUM(COUNTIF(I74:AH74,{"I";"F";"CP";"R";"P";"AC";"AM"}))</f>
        <v>20</v>
      </c>
      <c r="NI74" s="138">
        <f t="shared" si="67"/>
        <v>0</v>
      </c>
      <c r="NJ74" s="8">
        <f t="shared" si="73"/>
        <v>0</v>
      </c>
      <c r="NK74" s="351" cm="1">
        <f t="array" ref="NK74">NETWORKDAYS($AJ$2,$BK$2)- SUM(COUNTIF(AJ74:BK74,{"I";"F";"CP";"R";"P";"AC";"AM"}))</f>
        <v>20</v>
      </c>
      <c r="NL74" s="138">
        <f t="shared" si="68"/>
        <v>0</v>
      </c>
      <c r="NM74" s="8">
        <f t="shared" si="74"/>
        <v>0</v>
      </c>
      <c r="NN74" s="351" cm="1">
        <f t="array" ref="NN74">NETWORKDAYS($BL$2,$CP$2)- SUM(COUNTIF(BL74:CP74,{"I";"F";"CP";"R";"P";"AC";"AM"}))</f>
        <v>22</v>
      </c>
      <c r="NO74" s="138">
        <f t="shared" si="69"/>
        <v>0</v>
      </c>
      <c r="NP74" s="8">
        <f t="shared" si="75"/>
        <v>0</v>
      </c>
      <c r="NQ74" s="351" cm="1">
        <f t="array" ref="NQ74">NETWORKDAYS($CQ$2,$DT$2,$CV$2)- SUM(COUNTIF(CQ74:DT74,{"I";"F";"CP";"R";"P";"AC";"AM"}))</f>
        <v>21</v>
      </c>
      <c r="NR74" s="138">
        <f t="shared" si="70"/>
        <v>0</v>
      </c>
      <c r="NS74" s="8">
        <f t="shared" si="76"/>
        <v>0</v>
      </c>
      <c r="NT74" s="351" cm="1">
        <f t="array" ref="NT74">NETWORKDAYS($DV$2,$EY$2)-SUM(COUNTIF(DV74:EY74,{"I";"F";"CP";"R";"P";"AC";"AM"}))</f>
        <v>16</v>
      </c>
      <c r="NU74" s="138">
        <f t="shared" si="71"/>
        <v>0</v>
      </c>
      <c r="NV74" s="8">
        <f t="shared" si="50"/>
        <v>0</v>
      </c>
      <c r="NW74" s="351" cm="1">
        <f t="array" ref="NW74">NETWORKDAYS($EZ$2,$GC$2)-SUM(COUNTIF(EZ74:GC74,{"I";"F";"CP";"R";"P";"AC";"AM"}))</f>
        <v>22</v>
      </c>
      <c r="NX74" s="138">
        <f t="shared" si="51"/>
        <v>0</v>
      </c>
      <c r="NY74" s="8">
        <f t="shared" si="52"/>
        <v>0</v>
      </c>
      <c r="NZ74" s="351" cm="1">
        <f t="array" ref="NZ74">NETWORKDAYS($GD$2,$HH$2,$GQ$2)-SUM(COUNTIF(GD74:HH74,{"I";"F";"CP";"R";"P";"AC";"AM"}))</f>
        <v>21</v>
      </c>
      <c r="OA74" s="138">
        <f t="shared" si="53"/>
        <v>0</v>
      </c>
      <c r="OB74" s="8">
        <f t="shared" si="54"/>
        <v>0</v>
      </c>
      <c r="OC74" s="351" cm="1">
        <f t="array" ref="OC74">NETWORKDAYS($HI$2,$IM$2)-SUM(COUNTIF(HI74:IM74,{"I";"F";"CP";"R";"P";"AC";"AM"}))</f>
        <v>21</v>
      </c>
      <c r="OD74" s="138">
        <f t="shared" si="55"/>
        <v>0</v>
      </c>
      <c r="OE74" s="8">
        <f t="shared" si="56"/>
        <v>0</v>
      </c>
      <c r="OF74" s="351" cm="1">
        <f t="array" ref="OF74">NETWORKDAYS($IN$2,$JQ$2)-SUM(COUNTIF(IN74:JQ74,{"I";"F";"CP";"R";"P";"AC";"AM"}))</f>
        <v>22</v>
      </c>
      <c r="OG74" s="138">
        <f t="shared" si="57"/>
        <v>0</v>
      </c>
      <c r="OH74" s="8">
        <f t="shared" si="58"/>
        <v>0</v>
      </c>
      <c r="OI74" s="351" cm="1">
        <f t="array" ref="OI74">NETWORKDAYS($JR$2,$KV$2)-SUM(COUNTIF(JR74:KV74,{"I";"F";"CP";"R";"P";"AC";"AM"}))</f>
        <v>22</v>
      </c>
      <c r="OJ74" s="138">
        <f t="shared" si="59"/>
        <v>0</v>
      </c>
      <c r="OK74" s="8">
        <f t="shared" si="60"/>
        <v>0</v>
      </c>
      <c r="OL74" s="351" cm="1">
        <f t="array" ref="OL74">NETWORKDAYS($KW$2,$LZ$2,$LG$2)-SUM(COUNTIF(KW74:LZ74,{"I";"F";"CP";"R";"P";"AC";"AM"}))</f>
        <v>19</v>
      </c>
      <c r="OM74" s="138">
        <f t="shared" si="61"/>
        <v>0</v>
      </c>
      <c r="ON74" s="8">
        <f t="shared" si="62"/>
        <v>0</v>
      </c>
      <c r="OO74" s="351" cm="1">
        <f t="array" ref="OO74">NETWORKDAYS($MA$2,$MR$2)-SUM(COUNTIF(MA74:MR74,{"I";"F";"CP";"R";"P";"AC";"AM"}))</f>
        <v>14</v>
      </c>
      <c r="OP74" s="138">
        <f t="shared" si="63"/>
        <v>0</v>
      </c>
      <c r="OQ74" s="94">
        <f t="shared" si="64"/>
        <v>0</v>
      </c>
      <c r="OR74" s="94">
        <f t="shared" si="65"/>
        <v>240</v>
      </c>
      <c r="OS74" s="138">
        <f t="shared" si="66"/>
        <v>0</v>
      </c>
    </row>
    <row r="75" spans="1:409" ht="18" hidden="1" customHeight="1" x14ac:dyDescent="0.25">
      <c r="A75" s="95" t="s">
        <v>202</v>
      </c>
      <c r="B75" s="95" t="s">
        <v>34</v>
      </c>
      <c r="C75" s="89" t="s">
        <v>160</v>
      </c>
      <c r="D75" s="89" t="s">
        <v>251</v>
      </c>
      <c r="E75" s="128"/>
      <c r="F75" s="110"/>
      <c r="G75" s="110"/>
      <c r="H75" s="110"/>
      <c r="I75" s="25"/>
      <c r="J75" s="25"/>
      <c r="K75" s="25"/>
      <c r="L75" s="25"/>
      <c r="M75" s="25"/>
      <c r="N75" s="110"/>
      <c r="O75" s="110"/>
      <c r="P75" s="25"/>
      <c r="Q75" s="25"/>
      <c r="R75" s="25"/>
      <c r="S75" s="25"/>
      <c r="T75" s="25"/>
      <c r="U75" s="110"/>
      <c r="V75" s="110"/>
      <c r="W75" s="25"/>
      <c r="X75" s="25"/>
      <c r="Y75" s="25"/>
      <c r="Z75" s="25"/>
      <c r="AA75" s="25"/>
      <c r="AB75" s="110"/>
      <c r="AC75" s="110"/>
      <c r="AD75" s="25"/>
      <c r="AE75" s="25"/>
      <c r="AF75" s="25"/>
      <c r="AG75" s="25"/>
      <c r="AH75" s="25"/>
      <c r="AI75" s="110"/>
      <c r="AJ75" s="110"/>
      <c r="AK75" s="25"/>
      <c r="AL75" s="25"/>
      <c r="AM75" s="25"/>
      <c r="AN75" s="25"/>
      <c r="AO75" s="25"/>
      <c r="AP75" s="110"/>
      <c r="AQ75" s="110"/>
      <c r="AR75" s="25"/>
      <c r="AS75" s="25"/>
      <c r="AT75" s="25"/>
      <c r="AV75" s="25"/>
      <c r="AW75" s="110"/>
      <c r="AX75" s="110"/>
      <c r="AY75" s="25"/>
      <c r="AZ75" s="25"/>
      <c r="BA75" s="25"/>
      <c r="BB75" s="25"/>
      <c r="BC75" s="25"/>
      <c r="BD75" s="110"/>
      <c r="BE75" s="110"/>
      <c r="BF75" s="25"/>
      <c r="BG75" s="25"/>
      <c r="BH75" s="25"/>
      <c r="BI75" s="25"/>
      <c r="BJ75" s="25"/>
      <c r="BK75" s="110"/>
      <c r="BL75" s="110"/>
      <c r="BM75" s="25"/>
      <c r="BN75" s="25"/>
      <c r="BO75" s="25"/>
      <c r="BP75" s="25"/>
      <c r="BQ75" s="25"/>
      <c r="BR75" s="110"/>
      <c r="BS75" s="110"/>
      <c r="BT75" s="25"/>
      <c r="BU75" s="25"/>
      <c r="BV75" s="25"/>
      <c r="BW75" s="25"/>
      <c r="BX75" s="25"/>
      <c r="BY75" s="110"/>
      <c r="BZ75" s="110"/>
      <c r="CA75" s="25"/>
      <c r="CB75" s="25"/>
      <c r="CC75" s="25"/>
      <c r="CD75" s="25"/>
      <c r="CE75" s="25"/>
      <c r="CF75" s="110"/>
      <c r="CG75" s="110"/>
      <c r="CH75" s="25"/>
      <c r="CI75" s="25"/>
      <c r="CJ75" s="25"/>
      <c r="CK75" s="25"/>
      <c r="CL75" s="25"/>
      <c r="CM75" s="110"/>
      <c r="CN75" s="110"/>
      <c r="CO75" s="25"/>
      <c r="CP75" s="25"/>
      <c r="CQ75" s="25"/>
      <c r="CR75" s="25"/>
      <c r="CS75" s="25"/>
      <c r="CT75" s="110"/>
      <c r="CU75" s="110"/>
      <c r="CV75" s="110"/>
      <c r="CW75" s="25"/>
      <c r="CX75" s="25"/>
      <c r="CY75" s="25"/>
      <c r="CZ75" s="25"/>
      <c r="DA75" s="110"/>
      <c r="DB75" s="110"/>
      <c r="DC75" s="25"/>
      <c r="DD75" s="25"/>
      <c r="DE75" s="25"/>
      <c r="DF75" s="25"/>
      <c r="DG75" s="25"/>
      <c r="DH75" s="110"/>
      <c r="DI75" s="110"/>
      <c r="DJ75" s="25"/>
      <c r="DK75" s="25"/>
      <c r="DL75" s="25"/>
      <c r="DM75" s="25"/>
      <c r="DN75" s="25"/>
      <c r="DO75" s="110"/>
      <c r="DP75" s="110"/>
      <c r="DQ75" s="25"/>
      <c r="DR75" s="25"/>
      <c r="DS75" s="25"/>
      <c r="DT75" s="25"/>
      <c r="DU75" s="110" t="s">
        <v>445</v>
      </c>
      <c r="DV75" s="110"/>
      <c r="DW75" s="110"/>
      <c r="DX75" s="25"/>
      <c r="DY75" s="25"/>
      <c r="DZ75" s="25"/>
      <c r="EA75" s="25"/>
      <c r="EB75" s="110" t="s">
        <v>445</v>
      </c>
      <c r="EC75" s="110"/>
      <c r="ED75" s="110"/>
      <c r="EE75" s="25"/>
      <c r="EF75" s="25"/>
      <c r="EG75" s="25"/>
      <c r="EH75" s="110" t="s">
        <v>445</v>
      </c>
      <c r="EI75" s="110" t="s">
        <v>445</v>
      </c>
      <c r="EJ75" s="110"/>
      <c r="EK75" s="110"/>
      <c r="EL75" s="25"/>
      <c r="EM75" s="25"/>
      <c r="EN75" s="25"/>
      <c r="EO75" s="25"/>
      <c r="EP75" s="25"/>
      <c r="EQ75" s="110"/>
      <c r="ER75" s="110"/>
      <c r="ES75" s="110" t="s">
        <v>445</v>
      </c>
      <c r="ET75" s="25"/>
      <c r="EU75" s="25"/>
      <c r="EV75" s="25"/>
      <c r="EW75" s="25"/>
      <c r="EX75" s="110"/>
      <c r="EY75" s="110"/>
      <c r="EZ75" s="25"/>
      <c r="FA75" s="25"/>
      <c r="FB75" s="25"/>
      <c r="FC75" s="25"/>
      <c r="FD75" s="25"/>
      <c r="FE75" s="110"/>
      <c r="FF75" s="110"/>
      <c r="FG75" s="25"/>
      <c r="FH75" s="25"/>
      <c r="FI75" s="25"/>
      <c r="FJ75" s="25"/>
      <c r="FK75" s="25"/>
      <c r="FL75" s="110"/>
      <c r="FM75" s="110"/>
      <c r="FN75" s="25"/>
      <c r="FO75" s="25"/>
      <c r="FP75" s="25"/>
      <c r="FQ75" s="25"/>
      <c r="FR75" s="25"/>
      <c r="FS75" s="110"/>
      <c r="FT75" s="110"/>
      <c r="FU75" s="25"/>
      <c r="FV75" s="25"/>
      <c r="FW75" s="25"/>
      <c r="FX75" s="25"/>
      <c r="FY75" s="25"/>
      <c r="FZ75" s="110"/>
      <c r="GA75" s="110"/>
      <c r="GB75" s="25"/>
      <c r="GC75" s="25"/>
      <c r="GD75" s="25"/>
      <c r="GE75" s="25"/>
      <c r="GF75" s="25"/>
      <c r="GG75" s="110"/>
      <c r="GH75" s="110"/>
      <c r="GI75" s="25"/>
      <c r="GJ75" s="25"/>
      <c r="GK75" s="25"/>
      <c r="GL75" s="25"/>
      <c r="GM75" s="25"/>
      <c r="GN75" s="110"/>
      <c r="GO75" s="110"/>
      <c r="GP75" s="110" t="s">
        <v>445</v>
      </c>
      <c r="GQ75" s="110"/>
      <c r="GR75" s="25"/>
      <c r="GS75" s="25"/>
      <c r="GT75" s="25"/>
      <c r="GU75" s="110"/>
      <c r="GV75" s="110"/>
      <c r="GW75" s="25"/>
      <c r="GX75" s="25"/>
      <c r="GY75" s="25"/>
      <c r="GZ75" s="25"/>
      <c r="HA75" s="25"/>
      <c r="HB75" s="110"/>
      <c r="HC75" s="110"/>
      <c r="HD75" s="25"/>
      <c r="HE75" s="25"/>
      <c r="HF75" s="25"/>
      <c r="HG75" s="25"/>
      <c r="HH75" s="25"/>
      <c r="HI75" s="110"/>
      <c r="HJ75" s="110"/>
      <c r="HK75" s="25"/>
      <c r="HL75" s="25"/>
      <c r="HM75" s="25"/>
      <c r="HN75" s="25"/>
      <c r="HO75" s="25"/>
      <c r="HP75" s="110"/>
      <c r="HQ75" s="110"/>
      <c r="HR75" s="25"/>
      <c r="HS75" s="25"/>
      <c r="HT75" s="25"/>
      <c r="HU75" s="25"/>
      <c r="HV75" s="25"/>
      <c r="HW75" s="110"/>
      <c r="HX75" s="110"/>
      <c r="HY75" s="25"/>
      <c r="HZ75" s="25"/>
      <c r="IA75" s="25"/>
      <c r="IB75" s="25"/>
      <c r="IC75" s="25"/>
      <c r="ID75" s="110"/>
      <c r="IE75" s="110"/>
      <c r="IF75" s="25"/>
      <c r="IG75" s="25"/>
      <c r="IH75" s="25"/>
      <c r="II75" s="25"/>
      <c r="IJ75" s="25"/>
      <c r="IK75" s="110"/>
      <c r="IL75" s="110"/>
      <c r="IM75" s="25"/>
      <c r="IN75" s="25"/>
      <c r="IO75" s="25"/>
      <c r="IP75" s="25"/>
      <c r="IQ75" s="25"/>
      <c r="IR75" s="110"/>
      <c r="IS75" s="110"/>
      <c r="IT75" s="25"/>
      <c r="IU75" s="25"/>
      <c r="IV75" s="25"/>
      <c r="IW75" s="25"/>
      <c r="IX75" s="25"/>
      <c r="IY75" s="110"/>
      <c r="IZ75" s="110"/>
      <c r="JA75" s="25"/>
      <c r="JB75" s="25"/>
      <c r="JC75" s="25"/>
      <c r="JD75" s="25"/>
      <c r="JE75" s="25"/>
      <c r="JF75" s="110"/>
      <c r="JG75" s="110"/>
      <c r="JH75" s="25"/>
      <c r="JI75" s="25"/>
      <c r="JJ75" s="25"/>
      <c r="JK75" s="25"/>
      <c r="JL75" s="25"/>
      <c r="JM75" s="110"/>
      <c r="JN75" s="110"/>
      <c r="JO75" s="25"/>
      <c r="JP75" s="25"/>
      <c r="JQ75" s="25"/>
      <c r="JR75" s="25"/>
      <c r="JS75" s="25"/>
      <c r="JT75" s="110"/>
      <c r="JU75" s="110"/>
      <c r="JV75" s="25"/>
      <c r="JW75" s="25"/>
      <c r="JX75" s="25"/>
      <c r="JY75" s="25"/>
      <c r="JZ75" s="25"/>
      <c r="KA75" s="110"/>
      <c r="KB75" s="110"/>
      <c r="KC75" s="25"/>
      <c r="KD75" s="25"/>
      <c r="KE75" s="25"/>
      <c r="KF75" s="25"/>
      <c r="KG75" s="25"/>
      <c r="KH75" s="110"/>
      <c r="KI75" s="110"/>
      <c r="KJ75" s="25"/>
      <c r="KK75" s="25"/>
      <c r="KL75" s="25"/>
      <c r="KM75" s="25"/>
      <c r="KN75" s="25"/>
      <c r="KO75" s="110"/>
      <c r="KP75" s="110"/>
      <c r="KQ75" s="25"/>
      <c r="KR75" s="25"/>
      <c r="KS75" s="25"/>
      <c r="KT75" s="25"/>
      <c r="KU75" s="25"/>
      <c r="KV75" s="110"/>
      <c r="KW75" s="110"/>
      <c r="KX75" s="25"/>
      <c r="KY75" s="25"/>
      <c r="KZ75" s="25"/>
      <c r="LA75" s="25"/>
      <c r="LB75" s="25"/>
      <c r="LC75" s="110"/>
      <c r="LD75" s="110"/>
      <c r="LE75" s="25"/>
      <c r="LF75" s="25"/>
      <c r="LG75" s="110" t="s">
        <v>445</v>
      </c>
      <c r="LH75" s="25"/>
      <c r="LI75" s="25"/>
      <c r="LJ75" s="110"/>
      <c r="LK75" s="110"/>
      <c r="LL75" s="25"/>
      <c r="LM75" s="25"/>
      <c r="LN75" s="25"/>
      <c r="LO75" s="25"/>
      <c r="LP75" s="25"/>
      <c r="LQ75" s="110"/>
      <c r="LR75" s="110"/>
      <c r="LS75" s="25"/>
      <c r="LT75" s="25"/>
      <c r="LU75" s="25"/>
      <c r="LV75" s="25"/>
      <c r="LW75" s="25"/>
      <c r="LX75" s="110"/>
      <c r="LY75" s="110"/>
      <c r="LZ75" s="25"/>
      <c r="MA75" s="25"/>
      <c r="MB75" s="25"/>
      <c r="MC75" s="25"/>
      <c r="MD75" s="25"/>
      <c r="ME75" s="110"/>
      <c r="MF75" s="110"/>
      <c r="MG75" s="25"/>
      <c r="MH75" s="25"/>
      <c r="MI75" s="25"/>
      <c r="MJ75" s="25"/>
      <c r="MK75" s="25"/>
      <c r="ML75" s="110"/>
      <c r="MM75" s="110"/>
      <c r="MN75" s="25"/>
      <c r="MO75" s="25"/>
      <c r="MP75" s="25"/>
      <c r="MQ75" s="25"/>
      <c r="MR75" s="25"/>
      <c r="MS75" s="110"/>
      <c r="MT75" s="110"/>
      <c r="MU75" s="25"/>
      <c r="MV75" s="25"/>
      <c r="MW75" s="25"/>
      <c r="MX75" s="25"/>
      <c r="MY75" s="25"/>
      <c r="MZ75" s="110"/>
      <c r="NA75" s="110"/>
      <c r="NB75" s="25"/>
      <c r="NC75" s="25"/>
      <c r="ND75" s="25"/>
      <c r="NE75" s="129"/>
      <c r="NF75" s="111"/>
      <c r="NG75" s="8">
        <f t="shared" si="72"/>
        <v>0</v>
      </c>
      <c r="NH75" s="351" cm="1">
        <f t="array" ref="NH75">NETWORKDAYS($I$2,$AH$2)- SUM(COUNTIF(I75:AH75,{"I";"F";"CP";"R";"P";"AC";"AM"}))</f>
        <v>20</v>
      </c>
      <c r="NI75" s="138">
        <f t="shared" si="67"/>
        <v>0</v>
      </c>
      <c r="NJ75" s="8">
        <f t="shared" si="73"/>
        <v>0</v>
      </c>
      <c r="NK75" s="351" cm="1">
        <f t="array" ref="NK75">NETWORKDAYS($AJ$2,$BK$2)- SUM(COUNTIF(AJ75:BK75,{"I";"F";"CP";"R";"P";"AC";"AM"}))</f>
        <v>20</v>
      </c>
      <c r="NL75" s="138">
        <f t="shared" si="68"/>
        <v>0</v>
      </c>
      <c r="NM75" s="8">
        <f t="shared" si="74"/>
        <v>0</v>
      </c>
      <c r="NN75" s="351" cm="1">
        <f t="array" ref="NN75">NETWORKDAYS($BL$2,$CP$2)- SUM(COUNTIF(BL75:CP75,{"I";"F";"CP";"R";"P";"AC";"AM"}))</f>
        <v>22</v>
      </c>
      <c r="NO75" s="138">
        <f t="shared" si="69"/>
        <v>0</v>
      </c>
      <c r="NP75" s="8">
        <f t="shared" si="75"/>
        <v>0</v>
      </c>
      <c r="NQ75" s="351" cm="1">
        <f t="array" ref="NQ75">NETWORKDAYS($CQ$2,$DT$2,$CV$2)- SUM(COUNTIF(CQ75:DT75,{"I";"F";"CP";"R";"P";"AC";"AM"}))</f>
        <v>21</v>
      </c>
      <c r="NR75" s="138">
        <f t="shared" si="70"/>
        <v>0</v>
      </c>
      <c r="NS75" s="8">
        <f t="shared" si="76"/>
        <v>0</v>
      </c>
      <c r="NT75" s="351" cm="1">
        <f t="array" ref="NT75">NETWORKDAYS($DV$2,$EY$2)-SUM(COUNTIF(DV75:EY75,{"I";"F";"CP";"R";"P";"AC";"AM"}))</f>
        <v>16</v>
      </c>
      <c r="NU75" s="138">
        <f t="shared" si="71"/>
        <v>0</v>
      </c>
      <c r="NV75" s="8">
        <f t="shared" si="50"/>
        <v>0</v>
      </c>
      <c r="NW75" s="351" cm="1">
        <f t="array" ref="NW75">NETWORKDAYS($EZ$2,$GC$2)-SUM(COUNTIF(EZ75:GC75,{"I";"F";"CP";"R";"P";"AC";"AM"}))</f>
        <v>22</v>
      </c>
      <c r="NX75" s="138">
        <f t="shared" si="51"/>
        <v>0</v>
      </c>
      <c r="NY75" s="8">
        <f t="shared" si="52"/>
        <v>0</v>
      </c>
      <c r="NZ75" s="351" cm="1">
        <f t="array" ref="NZ75">NETWORKDAYS($GD$2,$HH$2,$GQ$2)-SUM(COUNTIF(GD75:HH75,{"I";"F";"CP";"R";"P";"AC";"AM"}))</f>
        <v>21</v>
      </c>
      <c r="OA75" s="138">
        <f t="shared" si="53"/>
        <v>0</v>
      </c>
      <c r="OB75" s="8">
        <f t="shared" si="54"/>
        <v>0</v>
      </c>
      <c r="OC75" s="351" cm="1">
        <f t="array" ref="OC75">NETWORKDAYS($HI$2,$IM$2)-SUM(COUNTIF(HI75:IM75,{"I";"F";"CP";"R";"P";"AC";"AM"}))</f>
        <v>21</v>
      </c>
      <c r="OD75" s="138">
        <f t="shared" si="55"/>
        <v>0</v>
      </c>
      <c r="OE75" s="8">
        <f t="shared" si="56"/>
        <v>0</v>
      </c>
      <c r="OF75" s="351" cm="1">
        <f t="array" ref="OF75">NETWORKDAYS($IN$2,$JQ$2)-SUM(COUNTIF(IN75:JQ75,{"I";"F";"CP";"R";"P";"AC";"AM"}))</f>
        <v>22</v>
      </c>
      <c r="OG75" s="138">
        <f t="shared" si="57"/>
        <v>0</v>
      </c>
      <c r="OH75" s="8">
        <f t="shared" si="58"/>
        <v>0</v>
      </c>
      <c r="OI75" s="351" cm="1">
        <f t="array" ref="OI75">NETWORKDAYS($JR$2,$KV$2)-SUM(COUNTIF(JR75:KV75,{"I";"F";"CP";"R";"P";"AC";"AM"}))</f>
        <v>22</v>
      </c>
      <c r="OJ75" s="138">
        <f t="shared" si="59"/>
        <v>0</v>
      </c>
      <c r="OK75" s="8">
        <f t="shared" si="60"/>
        <v>0</v>
      </c>
      <c r="OL75" s="351" cm="1">
        <f t="array" ref="OL75">NETWORKDAYS($KW$2,$LZ$2,$LG$2)-SUM(COUNTIF(KW75:LZ75,{"I";"F";"CP";"R";"P";"AC";"AM"}))</f>
        <v>19</v>
      </c>
      <c r="OM75" s="138">
        <f t="shared" si="61"/>
        <v>0</v>
      </c>
      <c r="ON75" s="8">
        <f t="shared" si="62"/>
        <v>0</v>
      </c>
      <c r="OO75" s="351" cm="1">
        <f t="array" ref="OO75">NETWORKDAYS($MA$2,$MR$2)-SUM(COUNTIF(MA75:MR75,{"I";"F";"CP";"R";"P";"AC";"AM"}))</f>
        <v>14</v>
      </c>
      <c r="OP75" s="138">
        <f t="shared" si="63"/>
        <v>0</v>
      </c>
      <c r="OQ75" s="94">
        <f t="shared" si="64"/>
        <v>0</v>
      </c>
      <c r="OR75" s="94">
        <f t="shared" si="65"/>
        <v>240</v>
      </c>
      <c r="OS75" s="138">
        <f t="shared" si="66"/>
        <v>0</v>
      </c>
    </row>
    <row r="76" spans="1:409" ht="18" hidden="1" customHeight="1" x14ac:dyDescent="0.25">
      <c r="A76" s="93" t="s">
        <v>54</v>
      </c>
      <c r="B76" s="95" t="s">
        <v>45</v>
      </c>
      <c r="C76" s="89" t="s">
        <v>166</v>
      </c>
      <c r="D76" s="89" t="s">
        <v>252</v>
      </c>
      <c r="E76" s="128"/>
      <c r="F76" s="110"/>
      <c r="G76" s="110"/>
      <c r="H76" s="110"/>
      <c r="I76" s="25"/>
      <c r="J76" s="25"/>
      <c r="K76" s="25"/>
      <c r="L76" s="25"/>
      <c r="M76" s="25"/>
      <c r="N76" s="110"/>
      <c r="O76" s="110"/>
      <c r="P76" s="25"/>
      <c r="Q76" s="25"/>
      <c r="R76" s="25"/>
      <c r="S76" s="25"/>
      <c r="T76" s="25"/>
      <c r="U76" s="110"/>
      <c r="V76" s="110"/>
      <c r="W76" s="25"/>
      <c r="X76" s="25"/>
      <c r="Y76" s="25"/>
      <c r="Z76" s="25"/>
      <c r="AA76" s="25"/>
      <c r="AB76" s="110"/>
      <c r="AC76" s="110"/>
      <c r="AD76" s="25"/>
      <c r="AE76" s="25"/>
      <c r="AF76" s="25"/>
      <c r="AG76" s="25"/>
      <c r="AH76" s="25"/>
      <c r="AI76" s="110"/>
      <c r="AJ76" s="110"/>
      <c r="AK76" s="25"/>
      <c r="AL76" s="25"/>
      <c r="AM76" s="25">
        <v>1</v>
      </c>
      <c r="AN76" s="25">
        <v>1</v>
      </c>
      <c r="AO76" s="25"/>
      <c r="AP76" s="110"/>
      <c r="AQ76" s="110"/>
      <c r="AR76" s="25">
        <v>1</v>
      </c>
      <c r="AS76" s="25">
        <v>1</v>
      </c>
      <c r="AT76" s="25">
        <v>1</v>
      </c>
      <c r="AV76" s="25">
        <v>1</v>
      </c>
      <c r="AW76" s="110"/>
      <c r="AX76" s="110"/>
      <c r="AY76" s="25">
        <v>1</v>
      </c>
      <c r="AZ76" s="25"/>
      <c r="BA76" s="25"/>
      <c r="BB76" s="25">
        <v>1</v>
      </c>
      <c r="BC76" s="25"/>
      <c r="BD76" s="110"/>
      <c r="BE76" s="110"/>
      <c r="BF76" s="25">
        <v>1</v>
      </c>
      <c r="BG76" s="25">
        <v>1</v>
      </c>
      <c r="BH76" s="25"/>
      <c r="BI76" s="25"/>
      <c r="BJ76" s="25"/>
      <c r="BK76" s="110"/>
      <c r="BL76" s="110"/>
      <c r="BM76" s="25"/>
      <c r="BN76" s="25">
        <v>1</v>
      </c>
      <c r="BO76" s="25">
        <v>1</v>
      </c>
      <c r="BP76" s="25">
        <v>1</v>
      </c>
      <c r="BQ76" s="25"/>
      <c r="BR76" s="110"/>
      <c r="BS76" s="110"/>
      <c r="BT76" s="25">
        <v>1</v>
      </c>
      <c r="BU76" s="25"/>
      <c r="BV76" s="25">
        <v>1</v>
      </c>
      <c r="BW76" s="25">
        <v>1</v>
      </c>
      <c r="BX76" s="25"/>
      <c r="BY76" s="110"/>
      <c r="BZ76" s="110"/>
      <c r="CA76" s="25">
        <v>1</v>
      </c>
      <c r="CB76" s="25">
        <v>1</v>
      </c>
      <c r="CC76" s="25">
        <v>1</v>
      </c>
      <c r="CD76" s="25">
        <v>1</v>
      </c>
      <c r="CE76" s="25">
        <v>1</v>
      </c>
      <c r="CF76" s="110"/>
      <c r="CG76" s="110"/>
      <c r="CH76" s="25">
        <v>1</v>
      </c>
      <c r="CI76" s="25">
        <v>1</v>
      </c>
      <c r="CJ76" s="25">
        <v>1</v>
      </c>
      <c r="CK76" s="25">
        <v>1</v>
      </c>
      <c r="CL76" s="25">
        <v>1</v>
      </c>
      <c r="CM76" s="110"/>
      <c r="CN76" s="110"/>
      <c r="CO76" s="25"/>
      <c r="CP76" s="25">
        <v>1</v>
      </c>
      <c r="CQ76" s="25">
        <v>1</v>
      </c>
      <c r="CR76" s="25">
        <v>1</v>
      </c>
      <c r="CS76" s="25"/>
      <c r="CT76" s="110"/>
      <c r="CU76" s="110"/>
      <c r="CV76" s="110"/>
      <c r="CW76" s="25"/>
      <c r="CX76" s="25">
        <v>1</v>
      </c>
      <c r="CY76" s="25"/>
      <c r="CZ76" s="25"/>
      <c r="DA76" s="110"/>
      <c r="DB76" s="110"/>
      <c r="DC76" s="25"/>
      <c r="DD76" s="25">
        <v>1</v>
      </c>
      <c r="DE76" s="25">
        <v>1</v>
      </c>
      <c r="DF76" s="25">
        <v>1</v>
      </c>
      <c r="DG76" s="25">
        <v>1</v>
      </c>
      <c r="DH76" s="110"/>
      <c r="DI76" s="110"/>
      <c r="DJ76" s="25">
        <v>1</v>
      </c>
      <c r="DK76" s="25"/>
      <c r="DL76" s="25"/>
      <c r="DM76" s="25"/>
      <c r="DN76" s="25">
        <v>1</v>
      </c>
      <c r="DO76" s="110"/>
      <c r="DP76" s="110"/>
      <c r="DQ76" s="25">
        <v>1</v>
      </c>
      <c r="DR76" s="25">
        <v>1</v>
      </c>
      <c r="DS76" s="25"/>
      <c r="DT76" s="25">
        <v>1</v>
      </c>
      <c r="DU76" s="110" t="s">
        <v>445</v>
      </c>
      <c r="DV76" s="110"/>
      <c r="DW76" s="110"/>
      <c r="DX76" s="25"/>
      <c r="DY76" s="25"/>
      <c r="DZ76" s="25"/>
      <c r="EA76" s="25"/>
      <c r="EB76" s="110" t="s">
        <v>445</v>
      </c>
      <c r="EC76" s="110"/>
      <c r="ED76" s="110"/>
      <c r="EE76" s="25"/>
      <c r="EF76" s="25"/>
      <c r="EG76" s="25"/>
      <c r="EH76" s="110" t="s">
        <v>445</v>
      </c>
      <c r="EI76" s="110" t="s">
        <v>445</v>
      </c>
      <c r="EJ76" s="110"/>
      <c r="EK76" s="110"/>
      <c r="EL76" s="25"/>
      <c r="EM76" s="25"/>
      <c r="EN76" s="25"/>
      <c r="EO76" s="25"/>
      <c r="EP76" s="25"/>
      <c r="EQ76" s="110"/>
      <c r="ER76" s="110"/>
      <c r="ES76" s="110" t="s">
        <v>445</v>
      </c>
      <c r="ET76" s="25"/>
      <c r="EU76" s="25"/>
      <c r="EV76" s="25"/>
      <c r="EW76" s="25"/>
      <c r="EX76" s="110"/>
      <c r="EY76" s="110"/>
      <c r="EZ76" s="25"/>
      <c r="FA76" s="25"/>
      <c r="FB76" s="25"/>
      <c r="FC76" s="25"/>
      <c r="FD76" s="25"/>
      <c r="FE76" s="110"/>
      <c r="FF76" s="110"/>
      <c r="FG76" s="25"/>
      <c r="FH76" s="25"/>
      <c r="FI76" s="25"/>
      <c r="FJ76" s="25"/>
      <c r="FK76" s="25"/>
      <c r="FL76" s="110"/>
      <c r="FM76" s="110"/>
      <c r="FN76" s="25"/>
      <c r="FO76" s="25"/>
      <c r="FP76" s="25"/>
      <c r="FQ76" s="25"/>
      <c r="FR76" s="25"/>
      <c r="FS76" s="110"/>
      <c r="FT76" s="110"/>
      <c r="FU76" s="25"/>
      <c r="FV76" s="25"/>
      <c r="FW76" s="25"/>
      <c r="FX76" s="25"/>
      <c r="FY76" s="25"/>
      <c r="FZ76" s="110"/>
      <c r="GA76" s="110"/>
      <c r="GB76" s="25"/>
      <c r="GC76" s="25"/>
      <c r="GD76" s="25"/>
      <c r="GE76" s="25"/>
      <c r="GF76" s="25"/>
      <c r="GG76" s="110"/>
      <c r="GH76" s="110"/>
      <c r="GI76" s="25"/>
      <c r="GJ76" s="25"/>
      <c r="GK76" s="25"/>
      <c r="GL76" s="25"/>
      <c r="GM76" s="25"/>
      <c r="GN76" s="110"/>
      <c r="GO76" s="110"/>
      <c r="GP76" s="110" t="s">
        <v>445</v>
      </c>
      <c r="GQ76" s="110"/>
      <c r="GR76" s="25"/>
      <c r="GS76" s="25"/>
      <c r="GT76" s="25"/>
      <c r="GU76" s="110"/>
      <c r="GV76" s="110"/>
      <c r="GW76" s="25"/>
      <c r="GX76" s="25"/>
      <c r="GY76" s="25"/>
      <c r="GZ76" s="25"/>
      <c r="HA76" s="25"/>
      <c r="HB76" s="110"/>
      <c r="HC76" s="110"/>
      <c r="HD76" s="25"/>
      <c r="HE76" s="25"/>
      <c r="HF76" s="25"/>
      <c r="HG76" s="25"/>
      <c r="HH76" s="25"/>
      <c r="HI76" s="110"/>
      <c r="HJ76" s="110"/>
      <c r="HK76" s="25"/>
      <c r="HL76" s="25"/>
      <c r="HM76" s="25"/>
      <c r="HN76" s="25"/>
      <c r="HO76" s="25"/>
      <c r="HP76" s="110"/>
      <c r="HQ76" s="110"/>
      <c r="HR76" s="25"/>
      <c r="HS76" s="25"/>
      <c r="HT76" s="25"/>
      <c r="HU76" s="25"/>
      <c r="HV76" s="25"/>
      <c r="HW76" s="110"/>
      <c r="HX76" s="110"/>
      <c r="HY76" s="25"/>
      <c r="HZ76" s="25"/>
      <c r="IA76" s="25"/>
      <c r="IB76" s="25"/>
      <c r="IC76" s="25"/>
      <c r="ID76" s="110"/>
      <c r="IE76" s="110"/>
      <c r="IF76" s="25"/>
      <c r="IG76" s="25"/>
      <c r="IH76" s="25"/>
      <c r="II76" s="25"/>
      <c r="IJ76" s="25"/>
      <c r="IK76" s="110"/>
      <c r="IL76" s="110"/>
      <c r="IM76" s="25"/>
      <c r="IN76" s="25"/>
      <c r="IO76" s="25"/>
      <c r="IP76" s="25"/>
      <c r="IQ76" s="25"/>
      <c r="IR76" s="110"/>
      <c r="IS76" s="110"/>
      <c r="IT76" s="25"/>
      <c r="IU76" s="25"/>
      <c r="IV76" s="25"/>
      <c r="IW76" s="25"/>
      <c r="IX76" s="25"/>
      <c r="IY76" s="110"/>
      <c r="IZ76" s="110"/>
      <c r="JA76" s="25"/>
      <c r="JB76" s="25"/>
      <c r="JC76" s="25"/>
      <c r="JD76" s="25"/>
      <c r="JE76" s="25"/>
      <c r="JF76" s="110"/>
      <c r="JG76" s="110"/>
      <c r="JH76" s="25"/>
      <c r="JI76" s="25"/>
      <c r="JJ76" s="25"/>
      <c r="JK76" s="25"/>
      <c r="JL76" s="25"/>
      <c r="JM76" s="110"/>
      <c r="JN76" s="110"/>
      <c r="JO76" s="25"/>
      <c r="JP76" s="25"/>
      <c r="JQ76" s="25"/>
      <c r="JR76" s="25"/>
      <c r="JS76" s="25"/>
      <c r="JT76" s="110"/>
      <c r="JU76" s="110"/>
      <c r="JV76" s="25"/>
      <c r="JW76" s="25"/>
      <c r="JX76" s="25"/>
      <c r="JY76" s="25"/>
      <c r="JZ76" s="25"/>
      <c r="KA76" s="110"/>
      <c r="KB76" s="110"/>
      <c r="KC76" s="25"/>
      <c r="KD76" s="25"/>
      <c r="KE76" s="25"/>
      <c r="KF76" s="25"/>
      <c r="KG76" s="25"/>
      <c r="KH76" s="110"/>
      <c r="KI76" s="110"/>
      <c r="KJ76" s="25"/>
      <c r="KK76" s="25"/>
      <c r="KL76" s="25"/>
      <c r="KM76" s="25"/>
      <c r="KN76" s="25"/>
      <c r="KO76" s="110"/>
      <c r="KP76" s="110"/>
      <c r="KQ76" s="25"/>
      <c r="KR76" s="25"/>
      <c r="KS76" s="25"/>
      <c r="KT76" s="25"/>
      <c r="KU76" s="25"/>
      <c r="KV76" s="110"/>
      <c r="KW76" s="110"/>
      <c r="KX76" s="25"/>
      <c r="KY76" s="25"/>
      <c r="KZ76" s="25"/>
      <c r="LA76" s="25"/>
      <c r="LB76" s="25"/>
      <c r="LC76" s="110"/>
      <c r="LD76" s="110"/>
      <c r="LE76" s="25"/>
      <c r="LF76" s="25"/>
      <c r="LG76" s="110" t="s">
        <v>445</v>
      </c>
      <c r="LH76" s="25"/>
      <c r="LI76" s="25"/>
      <c r="LJ76" s="110"/>
      <c r="LK76" s="110"/>
      <c r="LL76" s="25"/>
      <c r="LM76" s="25"/>
      <c r="LN76" s="25"/>
      <c r="LO76" s="25"/>
      <c r="LP76" s="25"/>
      <c r="LQ76" s="110"/>
      <c r="LR76" s="110"/>
      <c r="LS76" s="25"/>
      <c r="LT76" s="25"/>
      <c r="LU76" s="25"/>
      <c r="LV76" s="25"/>
      <c r="LW76" s="25"/>
      <c r="LX76" s="110"/>
      <c r="LY76" s="110"/>
      <c r="LZ76" s="25"/>
      <c r="MA76" s="25"/>
      <c r="MB76" s="25"/>
      <c r="MC76" s="25"/>
      <c r="MD76" s="25"/>
      <c r="ME76" s="110"/>
      <c r="MF76" s="110"/>
      <c r="MG76" s="25"/>
      <c r="MH76" s="25"/>
      <c r="MI76" s="25"/>
      <c r="MJ76" s="25"/>
      <c r="MK76" s="25"/>
      <c r="ML76" s="110"/>
      <c r="MM76" s="110"/>
      <c r="MN76" s="25"/>
      <c r="MO76" s="25"/>
      <c r="MP76" s="25"/>
      <c r="MQ76" s="25"/>
      <c r="MR76" s="25"/>
      <c r="MS76" s="110"/>
      <c r="MT76" s="110"/>
      <c r="MU76" s="25"/>
      <c r="MV76" s="25"/>
      <c r="MW76" s="25"/>
      <c r="MX76" s="25"/>
      <c r="MY76" s="25"/>
      <c r="MZ76" s="110"/>
      <c r="NA76" s="110"/>
      <c r="NB76" s="25"/>
      <c r="NC76" s="25"/>
      <c r="ND76" s="25"/>
      <c r="NE76" s="129"/>
      <c r="NF76" s="111"/>
      <c r="NG76" s="8">
        <f t="shared" si="72"/>
        <v>0</v>
      </c>
      <c r="NH76" s="351" cm="1">
        <f t="array" ref="NH76">NETWORKDAYS($I$2,$AH$2)- SUM(COUNTIF(I76:AH76,{"I";"F";"CP";"R";"P";"AC";"AM"}))</f>
        <v>20</v>
      </c>
      <c r="NI76" s="138">
        <f t="shared" si="67"/>
        <v>0</v>
      </c>
      <c r="NJ76" s="8">
        <f t="shared" si="73"/>
        <v>10</v>
      </c>
      <c r="NK76" s="351" cm="1">
        <f t="array" ref="NK76">NETWORKDAYS($AJ$2,$BK$2)- SUM(COUNTIF(AJ76:BK76,{"I";"F";"CP";"R";"P";"AC";"AM"}))</f>
        <v>20</v>
      </c>
      <c r="NL76" s="138">
        <f t="shared" si="68"/>
        <v>0.5</v>
      </c>
      <c r="NM76" s="8">
        <f t="shared" si="74"/>
        <v>17</v>
      </c>
      <c r="NN76" s="351" cm="1">
        <f t="array" ref="NN76">NETWORKDAYS($BL$2,$CP$2)- SUM(COUNTIF(BL76:CP76,{"I";"F";"CP";"R";"P";"AC";"AM"}))</f>
        <v>22</v>
      </c>
      <c r="NO76" s="138">
        <f t="shared" si="69"/>
        <v>0.77272727272727271</v>
      </c>
      <c r="NP76" s="8">
        <f t="shared" si="75"/>
        <v>12</v>
      </c>
      <c r="NQ76" s="351" cm="1">
        <f t="array" ref="NQ76">NETWORKDAYS($CQ$2,$DT$2,$CV$2)- SUM(COUNTIF(CQ76:DT76,{"I";"F";"CP";"R";"P";"AC";"AM"}))</f>
        <v>21</v>
      </c>
      <c r="NR76" s="138">
        <f t="shared" si="70"/>
        <v>0.5714285714285714</v>
      </c>
      <c r="NS76" s="8">
        <f t="shared" si="76"/>
        <v>0</v>
      </c>
      <c r="NT76" s="351" cm="1">
        <f t="array" ref="NT76">NETWORKDAYS($DV$2,$EY$2)-SUM(COUNTIF(DV76:EY76,{"I";"F";"CP";"R";"P";"AC";"AM"}))</f>
        <v>16</v>
      </c>
      <c r="NU76" s="138">
        <f t="shared" si="71"/>
        <v>0</v>
      </c>
      <c r="NV76" s="8">
        <f t="shared" si="50"/>
        <v>0</v>
      </c>
      <c r="NW76" s="351" cm="1">
        <f t="array" ref="NW76">NETWORKDAYS($EZ$2,$GC$2)-SUM(COUNTIF(EZ76:GC76,{"I";"F";"CP";"R";"P";"AC";"AM"}))</f>
        <v>22</v>
      </c>
      <c r="NX76" s="138">
        <f t="shared" si="51"/>
        <v>0</v>
      </c>
      <c r="NY76" s="8">
        <f t="shared" si="52"/>
        <v>0</v>
      </c>
      <c r="NZ76" s="351" cm="1">
        <f t="array" ref="NZ76">NETWORKDAYS($GD$2,$HH$2,$GQ$2)-SUM(COUNTIF(GD76:HH76,{"I";"F";"CP";"R";"P";"AC";"AM"}))</f>
        <v>21</v>
      </c>
      <c r="OA76" s="138">
        <f t="shared" si="53"/>
        <v>0</v>
      </c>
      <c r="OB76" s="8">
        <f t="shared" si="54"/>
        <v>0</v>
      </c>
      <c r="OC76" s="351" cm="1">
        <f t="array" ref="OC76">NETWORKDAYS($HI$2,$IM$2)-SUM(COUNTIF(HI76:IM76,{"I";"F";"CP";"R";"P";"AC";"AM"}))</f>
        <v>21</v>
      </c>
      <c r="OD76" s="138">
        <f t="shared" si="55"/>
        <v>0</v>
      </c>
      <c r="OE76" s="8">
        <f t="shared" si="56"/>
        <v>0</v>
      </c>
      <c r="OF76" s="351" cm="1">
        <f t="array" ref="OF76">NETWORKDAYS($IN$2,$JQ$2)-SUM(COUNTIF(IN76:JQ76,{"I";"F";"CP";"R";"P";"AC";"AM"}))</f>
        <v>22</v>
      </c>
      <c r="OG76" s="138">
        <f t="shared" si="57"/>
        <v>0</v>
      </c>
      <c r="OH76" s="8">
        <f t="shared" si="58"/>
        <v>0</v>
      </c>
      <c r="OI76" s="351" cm="1">
        <f t="array" ref="OI76">NETWORKDAYS($JR$2,$KV$2)-SUM(COUNTIF(JR76:KV76,{"I";"F";"CP";"R";"P";"AC";"AM"}))</f>
        <v>22</v>
      </c>
      <c r="OJ76" s="138">
        <f t="shared" si="59"/>
        <v>0</v>
      </c>
      <c r="OK76" s="8">
        <f t="shared" si="60"/>
        <v>0</v>
      </c>
      <c r="OL76" s="351" cm="1">
        <f t="array" ref="OL76">NETWORKDAYS($KW$2,$LZ$2,$LG$2)-SUM(COUNTIF(KW76:LZ76,{"I";"F";"CP";"R";"P";"AC";"AM"}))</f>
        <v>19</v>
      </c>
      <c r="OM76" s="138">
        <f t="shared" si="61"/>
        <v>0</v>
      </c>
      <c r="ON76" s="8">
        <f t="shared" si="62"/>
        <v>0</v>
      </c>
      <c r="OO76" s="351" cm="1">
        <f t="array" ref="OO76">NETWORKDAYS($MA$2,$MR$2)-SUM(COUNTIF(MA76:MR76,{"I";"F";"CP";"R";"P";"AC";"AM"}))</f>
        <v>14</v>
      </c>
      <c r="OP76" s="138">
        <f t="shared" si="63"/>
        <v>0</v>
      </c>
      <c r="OQ76" s="94">
        <f t="shared" si="64"/>
        <v>39</v>
      </c>
      <c r="OR76" s="94">
        <f t="shared" si="65"/>
        <v>240</v>
      </c>
      <c r="OS76" s="138">
        <f t="shared" si="66"/>
        <v>0.16250000000000001</v>
      </c>
    </row>
    <row r="77" spans="1:409" ht="18" hidden="1" customHeight="1" x14ac:dyDescent="0.25">
      <c r="A77" s="95" t="s">
        <v>168</v>
      </c>
      <c r="B77" s="95" t="s">
        <v>168</v>
      </c>
      <c r="C77" s="89" t="s">
        <v>166</v>
      </c>
      <c r="D77" s="89" t="s">
        <v>454</v>
      </c>
      <c r="E77" s="128"/>
      <c r="F77" s="110"/>
      <c r="G77" s="110"/>
      <c r="H77" s="110"/>
      <c r="I77" s="25"/>
      <c r="J77" s="25"/>
      <c r="K77" s="25"/>
      <c r="L77" s="25"/>
      <c r="M77" s="25"/>
      <c r="N77" s="110"/>
      <c r="O77" s="110"/>
      <c r="P77" s="25"/>
      <c r="Q77" s="25"/>
      <c r="R77" s="25"/>
      <c r="S77" s="25"/>
      <c r="T77" s="25"/>
      <c r="U77" s="110"/>
      <c r="V77" s="110"/>
      <c r="W77" s="25"/>
      <c r="X77" s="25"/>
      <c r="Y77" s="25"/>
      <c r="Z77" s="25"/>
      <c r="AA77" s="25"/>
      <c r="AB77" s="110"/>
      <c r="AC77" s="110"/>
      <c r="AD77" s="25"/>
      <c r="AE77" s="25"/>
      <c r="AF77" s="25"/>
      <c r="AG77" s="25"/>
      <c r="AH77" s="25"/>
      <c r="AI77" s="110"/>
      <c r="AJ77" s="110"/>
      <c r="AK77" s="25"/>
      <c r="AL77" s="25"/>
      <c r="AM77" s="25"/>
      <c r="AN77" s="25"/>
      <c r="AO77" s="25"/>
      <c r="AP77" s="110"/>
      <c r="AQ77" s="110"/>
      <c r="AR77" s="25"/>
      <c r="AS77" s="25"/>
      <c r="AT77" s="25"/>
      <c r="AU77" s="25"/>
      <c r="AV77" s="25"/>
      <c r="AW77" s="110"/>
      <c r="AX77" s="110"/>
      <c r="AY77" s="25"/>
      <c r="AZ77" s="25"/>
      <c r="BA77" s="25"/>
      <c r="BB77" s="25"/>
      <c r="BC77" s="25"/>
      <c r="BD77" s="110"/>
      <c r="BE77" s="110"/>
      <c r="BF77" s="25"/>
      <c r="BG77" s="25"/>
      <c r="BH77" s="25"/>
      <c r="BI77" s="25"/>
      <c r="BJ77" s="25"/>
      <c r="BK77" s="110"/>
      <c r="BL77" s="110"/>
      <c r="BM77" s="25"/>
      <c r="BN77" s="25"/>
      <c r="BO77" s="25"/>
      <c r="BP77" s="25"/>
      <c r="BQ77" s="25"/>
      <c r="BR77" s="110"/>
      <c r="BS77" s="110"/>
      <c r="BT77" s="25"/>
      <c r="BU77" s="25"/>
      <c r="BV77" s="25"/>
      <c r="BW77" s="25"/>
      <c r="BX77" s="25"/>
      <c r="BY77" s="110"/>
      <c r="BZ77" s="110"/>
      <c r="CA77" s="25"/>
      <c r="CB77" s="25"/>
      <c r="CC77" s="25"/>
      <c r="CD77" s="25"/>
      <c r="CE77" s="25"/>
      <c r="CF77" s="110"/>
      <c r="CG77" s="110"/>
      <c r="CH77" s="25"/>
      <c r="CI77" s="25"/>
      <c r="CJ77" s="25"/>
      <c r="CK77" s="25"/>
      <c r="CL77" s="25"/>
      <c r="CM77" s="110"/>
      <c r="CN77" s="110"/>
      <c r="CO77" s="25"/>
      <c r="CP77" s="25"/>
      <c r="CQ77" s="25"/>
      <c r="CR77" s="25"/>
      <c r="CS77" s="25"/>
      <c r="CT77" s="110"/>
      <c r="CU77" s="110"/>
      <c r="CV77" s="110"/>
      <c r="CW77" s="25"/>
      <c r="CX77" s="25">
        <v>1</v>
      </c>
      <c r="CY77" s="25">
        <v>1</v>
      </c>
      <c r="CZ77" s="25"/>
      <c r="DA77" s="110"/>
      <c r="DB77" s="110"/>
      <c r="DC77" s="25"/>
      <c r="DD77" s="25"/>
      <c r="DE77" s="25">
        <v>1</v>
      </c>
      <c r="DF77" s="25"/>
      <c r="DG77" s="25"/>
      <c r="DH77" s="110"/>
      <c r="DI77" s="110"/>
      <c r="DJ77" s="25"/>
      <c r="DK77" s="25"/>
      <c r="DL77" s="25"/>
      <c r="DM77" s="25"/>
      <c r="DN77" s="25"/>
      <c r="DO77" s="110"/>
      <c r="DP77" s="110"/>
      <c r="DQ77" s="25"/>
      <c r="DR77" s="25"/>
      <c r="DS77" s="25"/>
      <c r="DT77" s="25">
        <v>1</v>
      </c>
      <c r="DU77" s="110"/>
      <c r="DV77" s="110"/>
      <c r="DW77" s="110"/>
      <c r="DX77" s="25"/>
      <c r="DY77" s="25"/>
      <c r="DZ77" s="25"/>
      <c r="EA77" s="25"/>
      <c r="EB77" s="110"/>
      <c r="EC77" s="110"/>
      <c r="ED77" s="110"/>
      <c r="EE77" s="25"/>
      <c r="EF77" s="25"/>
      <c r="EG77" s="25"/>
      <c r="EH77" s="110"/>
      <c r="EI77" s="110"/>
      <c r="EJ77" s="110"/>
      <c r="EK77" s="110"/>
      <c r="EL77" s="25"/>
      <c r="EM77" s="25"/>
      <c r="EN77" s="25"/>
      <c r="EO77" s="25"/>
      <c r="EP77" s="25"/>
      <c r="EQ77" s="110"/>
      <c r="ER77" s="110"/>
      <c r="ES77" s="110"/>
      <c r="ET77" s="25"/>
      <c r="EU77" s="25"/>
      <c r="EV77" s="25"/>
      <c r="EW77" s="25"/>
      <c r="EX77" s="110"/>
      <c r="EY77" s="110"/>
      <c r="EZ77" s="25"/>
      <c r="FA77" s="25"/>
      <c r="FB77" s="25"/>
      <c r="FC77" s="25"/>
      <c r="FD77" s="25"/>
      <c r="FE77" s="110"/>
      <c r="FF77" s="110"/>
      <c r="FG77" s="25"/>
      <c r="FH77" s="25"/>
      <c r="FI77" s="25"/>
      <c r="FJ77" s="25"/>
      <c r="FK77" s="25"/>
      <c r="FL77" s="110"/>
      <c r="FM77" s="110"/>
      <c r="FN77" s="25"/>
      <c r="FO77" s="25"/>
      <c r="FP77" s="25"/>
      <c r="FQ77" s="25"/>
      <c r="FR77" s="25"/>
      <c r="FS77" s="110"/>
      <c r="FT77" s="110"/>
      <c r="FU77" s="25"/>
      <c r="FV77" s="25"/>
      <c r="FW77" s="25"/>
      <c r="FX77" s="25"/>
      <c r="FY77" s="25"/>
      <c r="FZ77" s="110"/>
      <c r="GA77" s="110"/>
      <c r="GB77" s="25"/>
      <c r="GC77" s="25"/>
      <c r="GD77" s="25"/>
      <c r="GE77" s="25"/>
      <c r="GF77" s="25"/>
      <c r="GG77" s="110"/>
      <c r="GH77" s="110"/>
      <c r="GI77" s="25"/>
      <c r="GJ77" s="25"/>
      <c r="GK77" s="25"/>
      <c r="GL77" s="25"/>
      <c r="GM77" s="25"/>
      <c r="GN77" s="110"/>
      <c r="GO77" s="110"/>
      <c r="GP77" s="110"/>
      <c r="GQ77" s="110"/>
      <c r="GR77" s="25"/>
      <c r="GS77" s="25"/>
      <c r="GT77" s="25"/>
      <c r="GU77" s="110"/>
      <c r="GV77" s="110"/>
      <c r="GW77" s="25"/>
      <c r="GX77" s="25"/>
      <c r="GY77" s="25"/>
      <c r="GZ77" s="25"/>
      <c r="HA77" s="25"/>
      <c r="HB77" s="110"/>
      <c r="HC77" s="110"/>
      <c r="HD77" s="25"/>
      <c r="HE77" s="25"/>
      <c r="HF77" s="25"/>
      <c r="HG77" s="25"/>
      <c r="HH77" s="25"/>
      <c r="HI77" s="110"/>
      <c r="HJ77" s="110"/>
      <c r="HK77" s="25"/>
      <c r="HL77" s="25"/>
      <c r="HM77" s="25"/>
      <c r="HN77" s="25"/>
      <c r="HO77" s="25"/>
      <c r="HP77" s="110"/>
      <c r="HQ77" s="110"/>
      <c r="HR77" s="25"/>
      <c r="HS77" s="25"/>
      <c r="HT77" s="25"/>
      <c r="HU77" s="25"/>
      <c r="HV77" s="25"/>
      <c r="HW77" s="110"/>
      <c r="HX77" s="110"/>
      <c r="HY77" s="25"/>
      <c r="HZ77" s="25"/>
      <c r="IA77" s="25"/>
      <c r="IB77" s="25"/>
      <c r="IC77" s="25"/>
      <c r="ID77" s="110"/>
      <c r="IE77" s="110"/>
      <c r="IF77" s="25"/>
      <c r="IG77" s="25"/>
      <c r="IH77" s="25"/>
      <c r="II77" s="25"/>
      <c r="IJ77" s="25"/>
      <c r="IK77" s="110"/>
      <c r="IL77" s="110"/>
      <c r="IM77" s="25"/>
      <c r="IN77" s="25"/>
      <c r="IO77" s="25"/>
      <c r="IP77" s="25"/>
      <c r="IQ77" s="25"/>
      <c r="IR77" s="110"/>
      <c r="IS77" s="110"/>
      <c r="IT77" s="25"/>
      <c r="IU77" s="25"/>
      <c r="IV77" s="25"/>
      <c r="IW77" s="25"/>
      <c r="IX77" s="25"/>
      <c r="IY77" s="110"/>
      <c r="IZ77" s="110"/>
      <c r="JA77" s="25"/>
      <c r="JB77" s="25"/>
      <c r="JC77" s="25"/>
      <c r="JD77" s="25"/>
      <c r="JE77" s="25"/>
      <c r="JF77" s="110"/>
      <c r="JG77" s="110"/>
      <c r="JH77" s="25"/>
      <c r="JI77" s="25"/>
      <c r="JJ77" s="25"/>
      <c r="JK77" s="25"/>
      <c r="JL77" s="25"/>
      <c r="JM77" s="110"/>
      <c r="JN77" s="110"/>
      <c r="JO77" s="25"/>
      <c r="JP77" s="25"/>
      <c r="JQ77" s="25"/>
      <c r="JR77" s="25"/>
      <c r="JS77" s="25"/>
      <c r="JT77" s="110"/>
      <c r="JU77" s="110"/>
      <c r="JV77" s="25"/>
      <c r="JW77" s="25"/>
      <c r="JX77" s="25"/>
      <c r="JY77" s="25"/>
      <c r="JZ77" s="25"/>
      <c r="KA77" s="110"/>
      <c r="KB77" s="110"/>
      <c r="KC77" s="25"/>
      <c r="KD77" s="25"/>
      <c r="KE77" s="25"/>
      <c r="KF77" s="25"/>
      <c r="KG77" s="25"/>
      <c r="KH77" s="110"/>
      <c r="KI77" s="110"/>
      <c r="KJ77" s="25"/>
      <c r="KK77" s="25"/>
      <c r="KL77" s="25"/>
      <c r="KM77" s="25"/>
      <c r="KN77" s="25"/>
      <c r="KO77" s="110"/>
      <c r="KP77" s="110"/>
      <c r="KQ77" s="25"/>
      <c r="KR77" s="25"/>
      <c r="KS77" s="25"/>
      <c r="KT77" s="25"/>
      <c r="KU77" s="25"/>
      <c r="KV77" s="110"/>
      <c r="KW77" s="110"/>
      <c r="KX77" s="25"/>
      <c r="KY77" s="25"/>
      <c r="KZ77" s="25"/>
      <c r="LA77" s="25"/>
      <c r="LB77" s="25"/>
      <c r="LC77" s="110"/>
      <c r="LD77" s="110"/>
      <c r="LE77" s="25"/>
      <c r="LF77" s="25"/>
      <c r="LG77" s="110"/>
      <c r="LH77" s="25"/>
      <c r="LI77" s="25"/>
      <c r="LJ77" s="110"/>
      <c r="LK77" s="110"/>
      <c r="LL77" s="25"/>
      <c r="LM77" s="25"/>
      <c r="LN77" s="25"/>
      <c r="LO77" s="25"/>
      <c r="LP77" s="25"/>
      <c r="LQ77" s="110"/>
      <c r="LR77" s="110"/>
      <c r="LS77" s="25"/>
      <c r="LT77" s="25"/>
      <c r="LU77" s="25"/>
      <c r="LV77" s="25"/>
      <c r="LW77" s="25"/>
      <c r="LX77" s="110"/>
      <c r="LY77" s="110"/>
      <c r="LZ77" s="25"/>
      <c r="MA77" s="25"/>
      <c r="MB77" s="25"/>
      <c r="MC77" s="25"/>
      <c r="MD77" s="25"/>
      <c r="ME77" s="110"/>
      <c r="MF77" s="110"/>
      <c r="MG77" s="25"/>
      <c r="MH77" s="25"/>
      <c r="MI77" s="25"/>
      <c r="MJ77" s="25"/>
      <c r="MK77" s="25"/>
      <c r="ML77" s="110"/>
      <c r="MM77" s="110"/>
      <c r="MN77" s="25"/>
      <c r="MO77" s="25"/>
      <c r="MP77" s="25"/>
      <c r="MQ77" s="25"/>
      <c r="MR77" s="25"/>
      <c r="MS77" s="110"/>
      <c r="MT77" s="110"/>
      <c r="MU77" s="25"/>
      <c r="MV77" s="25"/>
      <c r="MW77" s="25"/>
      <c r="MX77" s="25"/>
      <c r="MY77" s="25"/>
      <c r="MZ77" s="110"/>
      <c r="NA77" s="110"/>
      <c r="NB77" s="25"/>
      <c r="NC77" s="25"/>
      <c r="ND77" s="25"/>
      <c r="NE77" s="129"/>
      <c r="NF77" s="111"/>
      <c r="NG77" s="8">
        <f>SUM(E77:AI77)</f>
        <v>0</v>
      </c>
      <c r="NH77" s="351" cm="1">
        <f t="array" ref="NH77">NETWORKDAYS($I$2,$AH$2)- SUM(COUNTIF(I77:AH77,{"I";"F";"CP";"R";"P";"AC";"AM"}))</f>
        <v>20</v>
      </c>
      <c r="NI77" s="138">
        <f t="shared" si="67"/>
        <v>0</v>
      </c>
      <c r="NJ77" s="8">
        <f>SUM(AJ77:BK77)</f>
        <v>0</v>
      </c>
      <c r="NK77" s="351" cm="1">
        <f t="array" ref="NK77">NETWORKDAYS($AJ$2,$BK$2)- SUM(COUNTIF(AJ77:BK77,{"I";"F";"CP";"R";"P";"AC";"AM"}))</f>
        <v>20</v>
      </c>
      <c r="NL77" s="138">
        <f t="shared" si="68"/>
        <v>0</v>
      </c>
      <c r="NM77" s="8">
        <f>SUM(BM77:CP77)</f>
        <v>0</v>
      </c>
      <c r="NN77" s="351" cm="1">
        <f t="array" ref="NN77">NETWORKDAYS($BL$2,$CP$2)- SUM(COUNTIF(BL77:CP77,{"I";"F";"CP";"R";"P";"AC";"AM"}))</f>
        <v>22</v>
      </c>
      <c r="NO77" s="138">
        <f t="shared" si="69"/>
        <v>0</v>
      </c>
      <c r="NP77" s="8">
        <f t="shared" ref="NP77:OP77" si="77">SUM(CQ77:DT77)</f>
        <v>4</v>
      </c>
      <c r="NQ77" s="8">
        <f t="shared" si="77"/>
        <v>4</v>
      </c>
      <c r="NR77" s="138">
        <f t="shared" si="70"/>
        <v>1</v>
      </c>
      <c r="NS77" s="8">
        <f t="shared" si="77"/>
        <v>4</v>
      </c>
      <c r="NT77" s="8">
        <f t="shared" si="77"/>
        <v>4</v>
      </c>
      <c r="NU77" s="138">
        <f t="shared" si="71"/>
        <v>1</v>
      </c>
      <c r="NV77" s="8">
        <f t="shared" si="77"/>
        <v>4</v>
      </c>
      <c r="NW77" s="8">
        <f t="shared" si="77"/>
        <v>4</v>
      </c>
      <c r="NX77" s="8">
        <f t="shared" si="77"/>
        <v>3</v>
      </c>
      <c r="NY77" s="8">
        <f t="shared" si="77"/>
        <v>2</v>
      </c>
      <c r="NZ77" s="8">
        <f t="shared" si="77"/>
        <v>2</v>
      </c>
      <c r="OA77" s="8">
        <f t="shared" si="77"/>
        <v>2</v>
      </c>
      <c r="OB77" s="8">
        <f t="shared" si="77"/>
        <v>2</v>
      </c>
      <c r="OC77" s="8">
        <f t="shared" si="77"/>
        <v>2</v>
      </c>
      <c r="OD77" s="8">
        <f t="shared" si="77"/>
        <v>2</v>
      </c>
      <c r="OE77" s="8">
        <f t="shared" si="77"/>
        <v>1</v>
      </c>
      <c r="OF77" s="8">
        <f t="shared" si="77"/>
        <v>1</v>
      </c>
      <c r="OG77" s="8">
        <f t="shared" si="77"/>
        <v>1</v>
      </c>
      <c r="OH77" s="8">
        <f t="shared" si="77"/>
        <v>1</v>
      </c>
      <c r="OI77" s="8">
        <f t="shared" si="77"/>
        <v>1</v>
      </c>
      <c r="OJ77" s="8">
        <f t="shared" si="77"/>
        <v>1</v>
      </c>
      <c r="OK77" s="8">
        <f t="shared" si="77"/>
        <v>1</v>
      </c>
      <c r="OL77" s="8">
        <f t="shared" si="77"/>
        <v>1</v>
      </c>
      <c r="OM77" s="8">
        <f t="shared" si="77"/>
        <v>1</v>
      </c>
      <c r="ON77" s="8">
        <f t="shared" si="77"/>
        <v>1</v>
      </c>
      <c r="OO77" s="8">
        <f t="shared" si="77"/>
        <v>1</v>
      </c>
      <c r="OP77" s="8">
        <f t="shared" si="77"/>
        <v>1</v>
      </c>
      <c r="OQ77" s="94">
        <f>NG77+NJ77+NM77+NP77+NS77+NV77+NY77+OB77+OE77+OH77+OK77+ON77</f>
        <v>20</v>
      </c>
      <c r="OR77" s="94">
        <f>NH77+NK77+NN77+NQ77+NT77+NW77+NZ77+OC77+OF77+OI77+OL77+OO77</f>
        <v>82</v>
      </c>
      <c r="OS77" s="138">
        <f>OQ77/OR77</f>
        <v>0.24390243902439024</v>
      </c>
    </row>
    <row r="78" spans="1:409" ht="18" hidden="1" customHeight="1" x14ac:dyDescent="0.25">
      <c r="A78" s="95" t="s">
        <v>253</v>
      </c>
      <c r="B78" s="93" t="s">
        <v>45</v>
      </c>
      <c r="C78" s="89" t="s">
        <v>160</v>
      </c>
      <c r="D78" s="89" t="s">
        <v>254</v>
      </c>
      <c r="E78" s="128"/>
      <c r="F78" s="110"/>
      <c r="G78" s="110"/>
      <c r="H78" s="110"/>
      <c r="I78" s="25"/>
      <c r="J78" s="25"/>
      <c r="K78" s="25"/>
      <c r="L78" s="25"/>
      <c r="M78" s="25"/>
      <c r="N78" s="110"/>
      <c r="O78" s="110"/>
      <c r="P78" s="25"/>
      <c r="Q78" s="25"/>
      <c r="R78" s="25"/>
      <c r="S78" s="25"/>
      <c r="T78" s="25"/>
      <c r="U78" s="110"/>
      <c r="V78" s="110"/>
      <c r="W78" s="25"/>
      <c r="X78" s="25"/>
      <c r="Y78" s="25"/>
      <c r="Z78" s="25"/>
      <c r="AA78" s="25"/>
      <c r="AB78" s="110"/>
      <c r="AC78" s="110"/>
      <c r="AD78" s="25"/>
      <c r="AE78" s="25"/>
      <c r="AF78" s="25"/>
      <c r="AG78" s="25"/>
      <c r="AH78" s="25"/>
      <c r="AI78" s="110"/>
      <c r="AJ78" s="110"/>
      <c r="AK78" s="25"/>
      <c r="AL78" s="25"/>
      <c r="AM78" s="25"/>
      <c r="AN78" s="25"/>
      <c r="AO78" s="25"/>
      <c r="AP78" s="110"/>
      <c r="AQ78" s="110"/>
      <c r="AR78" s="25"/>
      <c r="AS78" s="25"/>
      <c r="AT78" s="25"/>
      <c r="AV78" s="25"/>
      <c r="AW78" s="110"/>
      <c r="AX78" s="110"/>
      <c r="AY78" s="25"/>
      <c r="AZ78" s="25"/>
      <c r="BA78" s="25"/>
      <c r="BB78" s="25"/>
      <c r="BC78" s="25"/>
      <c r="BD78" s="110"/>
      <c r="BE78" s="110"/>
      <c r="BF78" s="25"/>
      <c r="BG78" s="25"/>
      <c r="BH78" s="25"/>
      <c r="BI78" s="25"/>
      <c r="BJ78" s="25"/>
      <c r="BK78" s="110"/>
      <c r="BL78" s="110"/>
      <c r="BM78" s="25"/>
      <c r="BN78" s="25"/>
      <c r="BO78" s="25"/>
      <c r="BP78" s="25"/>
      <c r="BQ78" s="25"/>
      <c r="BR78" s="110"/>
      <c r="BS78" s="110"/>
      <c r="BT78" s="25"/>
      <c r="BU78" s="25"/>
      <c r="BV78" s="25"/>
      <c r="BW78" s="25"/>
      <c r="BX78" s="25"/>
      <c r="BY78" s="110"/>
      <c r="BZ78" s="110"/>
      <c r="CA78" s="25"/>
      <c r="CB78" s="25"/>
      <c r="CC78" s="25"/>
      <c r="CD78" s="25"/>
      <c r="CE78" s="25"/>
      <c r="CF78" s="110"/>
      <c r="CG78" s="110"/>
      <c r="CH78" s="25"/>
      <c r="CI78" s="25"/>
      <c r="CJ78" s="25"/>
      <c r="CK78" s="25"/>
      <c r="CL78" s="25"/>
      <c r="CM78" s="110"/>
      <c r="CN78" s="110"/>
      <c r="CO78" s="25"/>
      <c r="CP78" s="25"/>
      <c r="CQ78" s="25"/>
      <c r="CR78" s="25"/>
      <c r="CS78" s="25"/>
      <c r="CT78" s="110"/>
      <c r="CU78" s="110"/>
      <c r="CV78" s="110"/>
      <c r="CW78" s="25"/>
      <c r="CX78" s="25"/>
      <c r="CY78" s="25"/>
      <c r="CZ78" s="25"/>
      <c r="DA78" s="110"/>
      <c r="DB78" s="110"/>
      <c r="DC78" s="25"/>
      <c r="DD78" s="25"/>
      <c r="DE78" s="25"/>
      <c r="DF78" s="25"/>
      <c r="DG78" s="25"/>
      <c r="DH78" s="110"/>
      <c r="DI78" s="110"/>
      <c r="DJ78" s="25"/>
      <c r="DK78" s="25"/>
      <c r="DL78" s="25"/>
      <c r="DM78" s="25"/>
      <c r="DN78" s="25"/>
      <c r="DO78" s="110"/>
      <c r="DP78" s="110"/>
      <c r="DQ78" s="25"/>
      <c r="DR78" s="25"/>
      <c r="DS78" s="25"/>
      <c r="DT78" s="25"/>
      <c r="DU78" s="110" t="s">
        <v>445</v>
      </c>
      <c r="DV78" s="110"/>
      <c r="DW78" s="110"/>
      <c r="DX78" s="25"/>
      <c r="DY78" s="25"/>
      <c r="DZ78" s="25"/>
      <c r="EA78" s="25"/>
      <c r="EB78" s="110" t="s">
        <v>445</v>
      </c>
      <c r="EC78" s="110"/>
      <c r="ED78" s="110"/>
      <c r="EE78" s="25"/>
      <c r="EF78" s="25"/>
      <c r="EG78" s="25"/>
      <c r="EH78" s="110" t="s">
        <v>445</v>
      </c>
      <c r="EI78" s="110" t="s">
        <v>445</v>
      </c>
      <c r="EJ78" s="110"/>
      <c r="EK78" s="110"/>
      <c r="EL78" s="25"/>
      <c r="EM78" s="25"/>
      <c r="EN78" s="25"/>
      <c r="EO78" s="25"/>
      <c r="EP78" s="25"/>
      <c r="EQ78" s="110"/>
      <c r="ER78" s="110"/>
      <c r="ES78" s="110" t="s">
        <v>445</v>
      </c>
      <c r="ET78" s="25"/>
      <c r="EU78" s="25"/>
      <c r="EV78" s="25"/>
      <c r="EW78" s="25"/>
      <c r="EX78" s="110"/>
      <c r="EY78" s="110"/>
      <c r="EZ78" s="25"/>
      <c r="FA78" s="25"/>
      <c r="FB78" s="25"/>
      <c r="FC78" s="25"/>
      <c r="FD78" s="25"/>
      <c r="FE78" s="110"/>
      <c r="FF78" s="110"/>
      <c r="FG78" s="25"/>
      <c r="FH78" s="25"/>
      <c r="FI78" s="25"/>
      <c r="FJ78" s="25"/>
      <c r="FK78" s="25"/>
      <c r="FL78" s="110"/>
      <c r="FM78" s="110"/>
      <c r="FN78" s="25"/>
      <c r="FO78" s="25"/>
      <c r="FP78" s="25"/>
      <c r="FQ78" s="25"/>
      <c r="FR78" s="25"/>
      <c r="FS78" s="110"/>
      <c r="FT78" s="110"/>
      <c r="FU78" s="25"/>
      <c r="FV78" s="25"/>
      <c r="FW78" s="25"/>
      <c r="FX78" s="25"/>
      <c r="FY78" s="25"/>
      <c r="FZ78" s="110"/>
      <c r="GA78" s="110"/>
      <c r="GB78" s="25"/>
      <c r="GC78" s="25"/>
      <c r="GD78" s="25"/>
      <c r="GE78" s="25"/>
      <c r="GF78" s="25"/>
      <c r="GG78" s="110"/>
      <c r="GH78" s="110"/>
      <c r="GI78" s="25"/>
      <c r="GJ78" s="25"/>
      <c r="GK78" s="25"/>
      <c r="GL78" s="25"/>
      <c r="GM78" s="25"/>
      <c r="GN78" s="110"/>
      <c r="GO78" s="110"/>
      <c r="GP78" s="110" t="s">
        <v>445</v>
      </c>
      <c r="GQ78" s="110"/>
      <c r="GR78" s="25"/>
      <c r="GS78" s="25"/>
      <c r="GT78" s="25"/>
      <c r="GU78" s="110"/>
      <c r="GV78" s="110"/>
      <c r="GW78" s="25"/>
      <c r="GX78" s="25"/>
      <c r="GY78" s="25"/>
      <c r="GZ78" s="25"/>
      <c r="HA78" s="25"/>
      <c r="HB78" s="110"/>
      <c r="HC78" s="110"/>
      <c r="HD78" s="25"/>
      <c r="HE78" s="25"/>
      <c r="HF78" s="25"/>
      <c r="HG78" s="25"/>
      <c r="HH78" s="25"/>
      <c r="HI78" s="110"/>
      <c r="HJ78" s="110"/>
      <c r="HK78" s="25"/>
      <c r="HL78" s="25"/>
      <c r="HM78" s="25"/>
      <c r="HN78" s="25"/>
      <c r="HO78" s="25"/>
      <c r="HP78" s="110"/>
      <c r="HQ78" s="110"/>
      <c r="HR78" s="25"/>
      <c r="HS78" s="25"/>
      <c r="HT78" s="25"/>
      <c r="HU78" s="25"/>
      <c r="HV78" s="25"/>
      <c r="HW78" s="110"/>
      <c r="HX78" s="110"/>
      <c r="HY78" s="25"/>
      <c r="HZ78" s="25"/>
      <c r="IA78" s="25"/>
      <c r="IB78" s="25"/>
      <c r="IC78" s="25"/>
      <c r="ID78" s="110"/>
      <c r="IE78" s="110"/>
      <c r="IF78" s="25"/>
      <c r="IG78" s="25"/>
      <c r="IH78" s="25"/>
      <c r="II78" s="25"/>
      <c r="IJ78" s="25"/>
      <c r="IK78" s="110"/>
      <c r="IL78" s="110"/>
      <c r="IM78" s="25"/>
      <c r="IN78" s="25"/>
      <c r="IO78" s="25"/>
      <c r="IP78" s="25"/>
      <c r="IQ78" s="25"/>
      <c r="IR78" s="110"/>
      <c r="IS78" s="110"/>
      <c r="IT78" s="25"/>
      <c r="IU78" s="25"/>
      <c r="IV78" s="25"/>
      <c r="IW78" s="25"/>
      <c r="IX78" s="25"/>
      <c r="IY78" s="110"/>
      <c r="IZ78" s="110"/>
      <c r="JA78" s="25"/>
      <c r="JB78" s="25"/>
      <c r="JC78" s="25"/>
      <c r="JD78" s="25"/>
      <c r="JE78" s="25"/>
      <c r="JF78" s="110"/>
      <c r="JG78" s="110"/>
      <c r="JH78" s="25"/>
      <c r="JI78" s="25"/>
      <c r="JJ78" s="25"/>
      <c r="JK78" s="25"/>
      <c r="JL78" s="25"/>
      <c r="JM78" s="110"/>
      <c r="JN78" s="110"/>
      <c r="JO78" s="25"/>
      <c r="JP78" s="25"/>
      <c r="JQ78" s="25"/>
      <c r="JR78" s="25"/>
      <c r="JS78" s="25"/>
      <c r="JT78" s="110"/>
      <c r="JU78" s="110"/>
      <c r="JV78" s="25"/>
      <c r="JW78" s="25"/>
      <c r="JX78" s="25"/>
      <c r="JY78" s="25"/>
      <c r="JZ78" s="25"/>
      <c r="KA78" s="110"/>
      <c r="KB78" s="110"/>
      <c r="KC78" s="25"/>
      <c r="KD78" s="25"/>
      <c r="KE78" s="25"/>
      <c r="KF78" s="25"/>
      <c r="KG78" s="25"/>
      <c r="KH78" s="110"/>
      <c r="KI78" s="110"/>
      <c r="KJ78" s="25"/>
      <c r="KK78" s="25"/>
      <c r="KL78" s="25"/>
      <c r="KM78" s="25"/>
      <c r="KN78" s="25"/>
      <c r="KO78" s="110"/>
      <c r="KP78" s="110"/>
      <c r="KQ78" s="25"/>
      <c r="KR78" s="25"/>
      <c r="KS78" s="25"/>
      <c r="KT78" s="25"/>
      <c r="KU78" s="25"/>
      <c r="KV78" s="110"/>
      <c r="KW78" s="110"/>
      <c r="KX78" s="25"/>
      <c r="KY78" s="25"/>
      <c r="KZ78" s="25"/>
      <c r="LA78" s="25"/>
      <c r="LB78" s="25"/>
      <c r="LC78" s="110"/>
      <c r="LD78" s="110"/>
      <c r="LE78" s="25"/>
      <c r="LF78" s="25"/>
      <c r="LG78" s="110" t="s">
        <v>445</v>
      </c>
      <c r="LH78" s="25"/>
      <c r="LI78" s="25"/>
      <c r="LJ78" s="110"/>
      <c r="LK78" s="110"/>
      <c r="LL78" s="25"/>
      <c r="LM78" s="25"/>
      <c r="LN78" s="25"/>
      <c r="LO78" s="25"/>
      <c r="LP78" s="25"/>
      <c r="LQ78" s="110"/>
      <c r="LR78" s="110"/>
      <c r="LS78" s="25"/>
      <c r="LT78" s="25"/>
      <c r="LU78" s="25"/>
      <c r="LV78" s="25"/>
      <c r="LW78" s="25"/>
      <c r="LX78" s="110"/>
      <c r="LY78" s="110"/>
      <c r="LZ78" s="25"/>
      <c r="MA78" s="25"/>
      <c r="MB78" s="25"/>
      <c r="MC78" s="25"/>
      <c r="MD78" s="25"/>
      <c r="ME78" s="110"/>
      <c r="MF78" s="110"/>
      <c r="MG78" s="25"/>
      <c r="MH78" s="25"/>
      <c r="MI78" s="25"/>
      <c r="MJ78" s="25"/>
      <c r="MK78" s="25"/>
      <c r="ML78" s="110"/>
      <c r="MM78" s="110"/>
      <c r="MN78" s="25"/>
      <c r="MO78" s="25"/>
      <c r="MP78" s="25"/>
      <c r="MQ78" s="25"/>
      <c r="MR78" s="25"/>
      <c r="MS78" s="110"/>
      <c r="MT78" s="110"/>
      <c r="MU78" s="25"/>
      <c r="MV78" s="25"/>
      <c r="MW78" s="25"/>
      <c r="MX78" s="25"/>
      <c r="MY78" s="25"/>
      <c r="MZ78" s="110"/>
      <c r="NA78" s="110"/>
      <c r="NB78" s="25"/>
      <c r="NC78" s="25"/>
      <c r="ND78" s="25"/>
      <c r="NE78" s="129"/>
      <c r="NF78" s="111"/>
      <c r="NG78" s="8">
        <f t="shared" si="72"/>
        <v>0</v>
      </c>
      <c r="NH78" s="351" cm="1">
        <f t="array" ref="NH78">NETWORKDAYS($I$2,$AH$2)- SUM(COUNTIF(I78:AH78,{"I";"F";"CP";"R";"P";"AC";"AM"}))</f>
        <v>20</v>
      </c>
      <c r="NI78" s="138">
        <f t="shared" si="67"/>
        <v>0</v>
      </c>
      <c r="NJ78" s="8">
        <f t="shared" si="73"/>
        <v>0</v>
      </c>
      <c r="NK78" s="351" cm="1">
        <f t="array" ref="NK78">NETWORKDAYS($AJ$2,$BK$2)- SUM(COUNTIF(AJ78:BK78,{"I";"F";"CP";"R";"P";"AC";"AM"}))</f>
        <v>20</v>
      </c>
      <c r="NL78" s="138">
        <f t="shared" si="68"/>
        <v>0</v>
      </c>
      <c r="NM78" s="8">
        <f t="shared" si="74"/>
        <v>0</v>
      </c>
      <c r="NN78" s="351" cm="1">
        <f t="array" ref="NN78">NETWORKDAYS($BL$2,$CP$2)- SUM(COUNTIF(BL78:CP78,{"I";"F";"CP";"R";"P";"AC";"AM"}))</f>
        <v>22</v>
      </c>
      <c r="NO78" s="138">
        <f t="shared" si="69"/>
        <v>0</v>
      </c>
      <c r="NP78" s="8">
        <f t="shared" si="75"/>
        <v>0</v>
      </c>
      <c r="NQ78" s="351" cm="1">
        <f t="array" ref="NQ78">NETWORKDAYS($CQ$2,$DT$2,$CV$2)- SUM(COUNTIF(CQ78:DT78,{"I";"F";"CP";"R";"P";"AC";"AM"}))</f>
        <v>21</v>
      </c>
      <c r="NR78" s="138">
        <f t="shared" si="70"/>
        <v>0</v>
      </c>
      <c r="NS78" s="8">
        <f t="shared" si="76"/>
        <v>0</v>
      </c>
      <c r="NT78" s="351" cm="1">
        <f t="array" ref="NT78">NETWORKDAYS($DV$2,$EY$2)-SUM(COUNTIF(DV78:EY78,{"I";"F";"CP";"R";"P";"AC";"AM"}))</f>
        <v>16</v>
      </c>
      <c r="NU78" s="138">
        <f t="shared" si="71"/>
        <v>0</v>
      </c>
      <c r="NV78" s="8">
        <f t="shared" si="50"/>
        <v>0</v>
      </c>
      <c r="NW78" s="351" cm="1">
        <f t="array" ref="NW78">NETWORKDAYS($EZ$2,$GC$2)-SUM(COUNTIF(EZ78:GC78,{"I";"F";"CP";"R";"P";"AC";"AM"}))</f>
        <v>22</v>
      </c>
      <c r="NX78" s="138">
        <f t="shared" si="51"/>
        <v>0</v>
      </c>
      <c r="NY78" s="8">
        <f t="shared" si="52"/>
        <v>0</v>
      </c>
      <c r="NZ78" s="351" cm="1">
        <f t="array" ref="NZ78">NETWORKDAYS($GD$2,$HH$2,$GQ$2)-SUM(COUNTIF(GD78:HH78,{"I";"F";"CP";"R";"P";"AC";"AM"}))</f>
        <v>21</v>
      </c>
      <c r="OA78" s="138">
        <f t="shared" si="53"/>
        <v>0</v>
      </c>
      <c r="OB78" s="8">
        <f t="shared" si="54"/>
        <v>0</v>
      </c>
      <c r="OC78" s="351" cm="1">
        <f t="array" ref="OC78">NETWORKDAYS($HI$2,$IM$2)-SUM(COUNTIF(HI78:IM78,{"I";"F";"CP";"R";"P";"AC";"AM"}))</f>
        <v>21</v>
      </c>
      <c r="OD78" s="138">
        <f t="shared" si="55"/>
        <v>0</v>
      </c>
      <c r="OE78" s="8">
        <f t="shared" si="56"/>
        <v>0</v>
      </c>
      <c r="OF78" s="351" cm="1">
        <f t="array" ref="OF78">NETWORKDAYS($IN$2,$JQ$2)-SUM(COUNTIF(IN78:JQ78,{"I";"F";"CP";"R";"P";"AC";"AM"}))</f>
        <v>22</v>
      </c>
      <c r="OG78" s="138">
        <f t="shared" si="57"/>
        <v>0</v>
      </c>
      <c r="OH78" s="8">
        <f t="shared" si="58"/>
        <v>0</v>
      </c>
      <c r="OI78" s="351" cm="1">
        <f t="array" ref="OI78">NETWORKDAYS($JR$2,$KV$2)-SUM(COUNTIF(JR78:KV78,{"I";"F";"CP";"R";"P";"AC";"AM"}))</f>
        <v>22</v>
      </c>
      <c r="OJ78" s="138">
        <f t="shared" si="59"/>
        <v>0</v>
      </c>
      <c r="OK78" s="8">
        <f t="shared" si="60"/>
        <v>0</v>
      </c>
      <c r="OL78" s="351" cm="1">
        <f t="array" ref="OL78">NETWORKDAYS($KW$2,$LZ$2,$LG$2)-SUM(COUNTIF(KW78:LZ78,{"I";"F";"CP";"R";"P";"AC";"AM"}))</f>
        <v>19</v>
      </c>
      <c r="OM78" s="138">
        <f t="shared" si="61"/>
        <v>0</v>
      </c>
      <c r="ON78" s="8">
        <f t="shared" si="62"/>
        <v>0</v>
      </c>
      <c r="OO78" s="351" cm="1">
        <f t="array" ref="OO78">NETWORKDAYS($MA$2,$MR$2)-SUM(COUNTIF(MA78:MR78,{"I";"F";"CP";"R";"P";"AC";"AM"}))</f>
        <v>14</v>
      </c>
      <c r="OP78" s="138">
        <f t="shared" si="63"/>
        <v>0</v>
      </c>
      <c r="OQ78" s="94">
        <f t="shared" si="64"/>
        <v>0</v>
      </c>
      <c r="OR78" s="94">
        <f t="shared" si="65"/>
        <v>240</v>
      </c>
      <c r="OS78" s="138">
        <f t="shared" si="66"/>
        <v>0</v>
      </c>
    </row>
    <row r="79" spans="1:409" ht="18" hidden="1" customHeight="1" x14ac:dyDescent="0.25">
      <c r="A79" s="93" t="s">
        <v>54</v>
      </c>
      <c r="B79" s="93" t="s">
        <v>34</v>
      </c>
      <c r="C79" s="89" t="s">
        <v>166</v>
      </c>
      <c r="D79" s="89" t="s">
        <v>255</v>
      </c>
      <c r="E79" s="128"/>
      <c r="F79" s="110"/>
      <c r="G79" s="110"/>
      <c r="H79" s="110"/>
      <c r="I79" s="25"/>
      <c r="J79" s="25">
        <v>1</v>
      </c>
      <c r="K79" s="25">
        <v>1</v>
      </c>
      <c r="L79" s="25"/>
      <c r="M79" s="25"/>
      <c r="N79" s="110"/>
      <c r="O79" s="110"/>
      <c r="P79" s="25">
        <v>1</v>
      </c>
      <c r="Q79" s="25">
        <v>1</v>
      </c>
      <c r="R79" s="25"/>
      <c r="S79" s="25">
        <v>1</v>
      </c>
      <c r="T79" s="25">
        <v>1</v>
      </c>
      <c r="U79" s="110"/>
      <c r="V79" s="110"/>
      <c r="W79" s="25">
        <v>1</v>
      </c>
      <c r="X79" s="25">
        <v>1</v>
      </c>
      <c r="Y79" s="25"/>
      <c r="Z79" s="25"/>
      <c r="AA79" s="25"/>
      <c r="AB79" s="110"/>
      <c r="AC79" s="110"/>
      <c r="AD79" s="25"/>
      <c r="AE79" s="25"/>
      <c r="AF79" s="25"/>
      <c r="AG79" s="25">
        <v>1</v>
      </c>
      <c r="AH79" s="25">
        <v>1</v>
      </c>
      <c r="AI79" s="110"/>
      <c r="AJ79" s="110"/>
      <c r="AK79" s="25"/>
      <c r="AL79" s="25">
        <v>1</v>
      </c>
      <c r="AM79" s="25"/>
      <c r="AN79" s="25">
        <v>1</v>
      </c>
      <c r="AO79" s="25">
        <v>1</v>
      </c>
      <c r="AP79" s="110"/>
      <c r="AQ79" s="110"/>
      <c r="AR79" s="25"/>
      <c r="AS79" s="25"/>
      <c r="AT79" s="25"/>
      <c r="AV79" s="25"/>
      <c r="AW79" s="110"/>
      <c r="AX79" s="110"/>
      <c r="AY79" s="25"/>
      <c r="AZ79" s="25"/>
      <c r="BA79" s="25"/>
      <c r="BB79" s="25">
        <v>1</v>
      </c>
      <c r="BC79" s="25"/>
      <c r="BD79" s="110"/>
      <c r="BE79" s="110"/>
      <c r="BF79" s="25">
        <v>1</v>
      </c>
      <c r="BG79" s="25">
        <v>1</v>
      </c>
      <c r="BH79" s="25">
        <v>1</v>
      </c>
      <c r="BI79" s="25">
        <v>1</v>
      </c>
      <c r="BJ79" s="25">
        <v>1</v>
      </c>
      <c r="BK79" s="110"/>
      <c r="BL79" s="110"/>
      <c r="BM79" s="25"/>
      <c r="BN79" s="25"/>
      <c r="BO79" s="25"/>
      <c r="BP79" s="25"/>
      <c r="BQ79" s="25"/>
      <c r="BR79" s="110"/>
      <c r="BS79" s="110"/>
      <c r="BT79" s="25"/>
      <c r="BU79" s="25">
        <v>1</v>
      </c>
      <c r="BV79" s="25"/>
      <c r="BW79" s="25">
        <v>1</v>
      </c>
      <c r="BX79" s="25">
        <v>1</v>
      </c>
      <c r="BY79" s="110"/>
      <c r="BZ79" s="110"/>
      <c r="CA79" s="25"/>
      <c r="CB79" s="25"/>
      <c r="CC79" s="25">
        <v>1</v>
      </c>
      <c r="CD79" s="25">
        <v>1</v>
      </c>
      <c r="CE79" s="25"/>
      <c r="CF79" s="110"/>
      <c r="CG79" s="110"/>
      <c r="CI79" s="25">
        <v>1</v>
      </c>
      <c r="CJ79" s="25">
        <v>1</v>
      </c>
      <c r="CK79" s="25">
        <v>1</v>
      </c>
      <c r="CL79" s="25">
        <v>1</v>
      </c>
      <c r="CM79" s="110"/>
      <c r="CN79" s="110"/>
      <c r="CO79" s="25"/>
      <c r="CP79" s="25"/>
      <c r="CQ79" s="25"/>
      <c r="CR79" s="25"/>
      <c r="CS79" s="25"/>
      <c r="CT79" s="110"/>
      <c r="CU79" s="110"/>
      <c r="CV79" s="110"/>
      <c r="CW79" s="25"/>
      <c r="CX79" s="25"/>
      <c r="CY79" s="25"/>
      <c r="CZ79" s="25">
        <v>1</v>
      </c>
      <c r="DA79" s="110"/>
      <c r="DB79" s="110"/>
      <c r="DC79" s="25"/>
      <c r="DD79" s="25"/>
      <c r="DE79" s="25"/>
      <c r="DF79" s="25"/>
      <c r="DG79" s="25"/>
      <c r="DH79" s="110"/>
      <c r="DI79" s="110"/>
      <c r="DJ79" s="25">
        <v>1</v>
      </c>
      <c r="DK79" s="25"/>
      <c r="DL79" s="25">
        <v>1</v>
      </c>
      <c r="DM79" s="25">
        <v>1</v>
      </c>
      <c r="DN79" s="25">
        <v>1</v>
      </c>
      <c r="DO79" s="110"/>
      <c r="DP79" s="110"/>
      <c r="DQ79" s="25">
        <v>1</v>
      </c>
      <c r="DR79" s="25"/>
      <c r="DS79" s="25">
        <v>1</v>
      </c>
      <c r="DT79" s="25"/>
      <c r="DU79" s="110" t="s">
        <v>445</v>
      </c>
      <c r="DV79" s="110"/>
      <c r="DW79" s="110"/>
      <c r="DX79" s="25"/>
      <c r="DY79" s="25"/>
      <c r="DZ79" s="25"/>
      <c r="EA79" s="25"/>
      <c r="EB79" s="110" t="s">
        <v>445</v>
      </c>
      <c r="EC79" s="110"/>
      <c r="ED79" s="110"/>
      <c r="EE79" s="25"/>
      <c r="EF79" s="25"/>
      <c r="EG79" s="25"/>
      <c r="EH79" s="110" t="s">
        <v>445</v>
      </c>
      <c r="EI79" s="110" t="s">
        <v>445</v>
      </c>
      <c r="EJ79" s="110"/>
      <c r="EK79" s="110"/>
      <c r="EL79" s="25"/>
      <c r="EM79" s="25"/>
      <c r="EN79" s="25"/>
      <c r="EO79" s="25"/>
      <c r="EP79" s="25"/>
      <c r="EQ79" s="110"/>
      <c r="ER79" s="110"/>
      <c r="ES79" s="110" t="s">
        <v>445</v>
      </c>
      <c r="ET79" s="25"/>
      <c r="EU79" s="25"/>
      <c r="EV79" s="25"/>
      <c r="EW79" s="25"/>
      <c r="EX79" s="110"/>
      <c r="EY79" s="110"/>
      <c r="EZ79" s="25"/>
      <c r="FA79" s="25"/>
      <c r="FB79" s="25"/>
      <c r="FC79" s="25"/>
      <c r="FD79" s="25"/>
      <c r="FE79" s="110"/>
      <c r="FF79" s="110"/>
      <c r="FG79" s="25"/>
      <c r="FH79" s="25"/>
      <c r="FI79" s="25"/>
      <c r="FJ79" s="25"/>
      <c r="FK79" s="25"/>
      <c r="FL79" s="110"/>
      <c r="FM79" s="110"/>
      <c r="FN79" s="25"/>
      <c r="FO79" s="25"/>
      <c r="FP79" s="25"/>
      <c r="FQ79" s="25"/>
      <c r="FR79" s="25"/>
      <c r="FS79" s="110"/>
      <c r="FT79" s="110"/>
      <c r="FU79" s="25"/>
      <c r="FV79" s="25"/>
      <c r="FW79" s="25"/>
      <c r="FX79" s="25"/>
      <c r="FY79" s="25"/>
      <c r="FZ79" s="110"/>
      <c r="GA79" s="110"/>
      <c r="GB79" s="25"/>
      <c r="GC79" s="25"/>
      <c r="GD79" s="25"/>
      <c r="GE79" s="25"/>
      <c r="GF79" s="25"/>
      <c r="GG79" s="110"/>
      <c r="GH79" s="110"/>
      <c r="GI79" s="25"/>
      <c r="GJ79" s="25"/>
      <c r="GK79" s="25"/>
      <c r="GL79" s="25"/>
      <c r="GM79" s="25"/>
      <c r="GN79" s="110"/>
      <c r="GO79" s="110"/>
      <c r="GP79" s="110" t="s">
        <v>445</v>
      </c>
      <c r="GQ79" s="110"/>
      <c r="GR79" s="25"/>
      <c r="GS79" s="25"/>
      <c r="GT79" s="25"/>
      <c r="GU79" s="110"/>
      <c r="GV79" s="110"/>
      <c r="GW79" s="25"/>
      <c r="GX79" s="25"/>
      <c r="GY79" s="25"/>
      <c r="GZ79" s="25"/>
      <c r="HA79" s="25"/>
      <c r="HB79" s="110"/>
      <c r="HC79" s="110"/>
      <c r="HD79" s="25"/>
      <c r="HE79" s="25"/>
      <c r="HF79" s="25"/>
      <c r="HG79" s="25"/>
      <c r="HH79" s="25"/>
      <c r="HI79" s="110"/>
      <c r="HJ79" s="110"/>
      <c r="HK79" s="25"/>
      <c r="HL79" s="25"/>
      <c r="HM79" s="25"/>
      <c r="HN79" s="25"/>
      <c r="HO79" s="25"/>
      <c r="HP79" s="110"/>
      <c r="HQ79" s="110"/>
      <c r="HR79" s="25"/>
      <c r="HS79" s="25"/>
      <c r="HT79" s="25"/>
      <c r="HU79" s="25"/>
      <c r="HV79" s="25"/>
      <c r="HW79" s="110"/>
      <c r="HX79" s="110"/>
      <c r="HY79" s="25"/>
      <c r="HZ79" s="25"/>
      <c r="IA79" s="25"/>
      <c r="IB79" s="25"/>
      <c r="IC79" s="25"/>
      <c r="ID79" s="110"/>
      <c r="IE79" s="110"/>
      <c r="IF79" s="25"/>
      <c r="IG79" s="25"/>
      <c r="IH79" s="25"/>
      <c r="II79" s="25"/>
      <c r="IJ79" s="25"/>
      <c r="IK79" s="110"/>
      <c r="IL79" s="110"/>
      <c r="IM79" s="25"/>
      <c r="IN79" s="25"/>
      <c r="IO79" s="25"/>
      <c r="IP79" s="25"/>
      <c r="IQ79" s="25"/>
      <c r="IR79" s="110"/>
      <c r="IS79" s="110"/>
      <c r="IT79" s="25"/>
      <c r="IU79" s="25"/>
      <c r="IV79" s="25"/>
      <c r="IW79" s="25"/>
      <c r="IX79" s="25"/>
      <c r="IY79" s="110"/>
      <c r="IZ79" s="110"/>
      <c r="JA79" s="25"/>
      <c r="JB79" s="25"/>
      <c r="JC79" s="25"/>
      <c r="JD79" s="25"/>
      <c r="JE79" s="25"/>
      <c r="JF79" s="110"/>
      <c r="JG79" s="110"/>
      <c r="JH79" s="25"/>
      <c r="JI79" s="25"/>
      <c r="JJ79" s="25"/>
      <c r="JK79" s="25"/>
      <c r="JL79" s="25"/>
      <c r="JM79" s="110"/>
      <c r="JN79" s="110"/>
      <c r="JO79" s="25"/>
      <c r="JP79" s="25"/>
      <c r="JQ79" s="25"/>
      <c r="JR79" s="25"/>
      <c r="JS79" s="25"/>
      <c r="JT79" s="110"/>
      <c r="JU79" s="110"/>
      <c r="JV79" s="25"/>
      <c r="JW79" s="25"/>
      <c r="JX79" s="25"/>
      <c r="JY79" s="25"/>
      <c r="JZ79" s="25"/>
      <c r="KA79" s="110"/>
      <c r="KB79" s="110"/>
      <c r="KC79" s="25"/>
      <c r="KD79" s="25"/>
      <c r="KE79" s="25"/>
      <c r="KF79" s="25"/>
      <c r="KG79" s="25"/>
      <c r="KH79" s="110"/>
      <c r="KI79" s="110"/>
      <c r="KJ79" s="25"/>
      <c r="KK79" s="25"/>
      <c r="KL79" s="25"/>
      <c r="KM79" s="25"/>
      <c r="KN79" s="25"/>
      <c r="KO79" s="110"/>
      <c r="KP79" s="110"/>
      <c r="KQ79" s="25"/>
      <c r="KR79" s="25"/>
      <c r="KS79" s="25"/>
      <c r="KT79" s="25"/>
      <c r="KU79" s="25"/>
      <c r="KV79" s="110"/>
      <c r="KW79" s="110"/>
      <c r="KX79" s="25"/>
      <c r="KY79" s="25"/>
      <c r="KZ79" s="25"/>
      <c r="LA79" s="25"/>
      <c r="LB79" s="25"/>
      <c r="LC79" s="110"/>
      <c r="LD79" s="110"/>
      <c r="LE79" s="25"/>
      <c r="LF79" s="25"/>
      <c r="LG79" s="110" t="s">
        <v>445</v>
      </c>
      <c r="LH79" s="25"/>
      <c r="LI79" s="25"/>
      <c r="LJ79" s="110"/>
      <c r="LK79" s="110"/>
      <c r="LL79" s="25"/>
      <c r="LM79" s="25"/>
      <c r="LN79" s="25"/>
      <c r="LO79" s="25"/>
      <c r="LP79" s="25"/>
      <c r="LQ79" s="110"/>
      <c r="LR79" s="110"/>
      <c r="LS79" s="25"/>
      <c r="LT79" s="25"/>
      <c r="LU79" s="25"/>
      <c r="LV79" s="25"/>
      <c r="LW79" s="25"/>
      <c r="LX79" s="110"/>
      <c r="LY79" s="110"/>
      <c r="LZ79" s="25"/>
      <c r="MA79" s="25"/>
      <c r="MB79" s="25"/>
      <c r="MC79" s="25"/>
      <c r="MD79" s="25"/>
      <c r="ME79" s="110"/>
      <c r="MF79" s="110"/>
      <c r="MG79" s="25"/>
      <c r="MH79" s="25"/>
      <c r="MI79" s="25"/>
      <c r="MJ79" s="25"/>
      <c r="MK79" s="25"/>
      <c r="ML79" s="110"/>
      <c r="MM79" s="110"/>
      <c r="MN79" s="25"/>
      <c r="MO79" s="25"/>
      <c r="MP79" s="25"/>
      <c r="MQ79" s="25"/>
      <c r="MR79" s="25"/>
      <c r="MS79" s="110"/>
      <c r="MT79" s="110"/>
      <c r="MU79" s="25"/>
      <c r="MV79" s="25"/>
      <c r="MW79" s="25"/>
      <c r="MX79" s="25"/>
      <c r="MY79" s="25"/>
      <c r="MZ79" s="110"/>
      <c r="NA79" s="110"/>
      <c r="NB79" s="25"/>
      <c r="NC79" s="25"/>
      <c r="ND79" s="25"/>
      <c r="NE79" s="129"/>
      <c r="NF79" s="111"/>
      <c r="NG79" s="8">
        <f t="shared" si="72"/>
        <v>10</v>
      </c>
      <c r="NH79" s="351" cm="1">
        <f t="array" ref="NH79">NETWORKDAYS($I$2,$AH$2)- SUM(COUNTIF(I79:AH79,{"I";"F";"CP";"R";"P";"AC";"AM"}))</f>
        <v>20</v>
      </c>
      <c r="NI79" s="138">
        <f t="shared" si="67"/>
        <v>0.5</v>
      </c>
      <c r="NJ79" s="8">
        <f t="shared" si="73"/>
        <v>9</v>
      </c>
      <c r="NK79" s="351" cm="1">
        <f t="array" ref="NK79">NETWORKDAYS($AJ$2,$BK$2)- SUM(COUNTIF(AJ79:BK79,{"I";"F";"CP";"R";"P";"AC";"AM"}))</f>
        <v>20</v>
      </c>
      <c r="NL79" s="138">
        <f t="shared" si="68"/>
        <v>0.45</v>
      </c>
      <c r="NM79" s="8">
        <f t="shared" si="74"/>
        <v>9</v>
      </c>
      <c r="NN79" s="351" cm="1">
        <f t="array" ref="NN79">NETWORKDAYS($BL$2,$CP$2)- SUM(COUNTIF(BL79:CP79,{"I";"F";"CP";"R";"P";"AC";"AM"}))</f>
        <v>22</v>
      </c>
      <c r="NO79" s="138">
        <f t="shared" si="69"/>
        <v>0.40909090909090912</v>
      </c>
      <c r="NP79" s="8">
        <f t="shared" si="75"/>
        <v>7</v>
      </c>
      <c r="NQ79" s="351" cm="1">
        <f t="array" ref="NQ79">NETWORKDAYS($CQ$2,$DT$2,$CV$2)- SUM(COUNTIF(CQ79:DT79,{"I";"F";"CP";"R";"P";"AC";"AM"}))</f>
        <v>21</v>
      </c>
      <c r="NR79" s="138">
        <f t="shared" si="70"/>
        <v>0.33333333333333331</v>
      </c>
      <c r="NS79" s="8">
        <f t="shared" si="76"/>
        <v>0</v>
      </c>
      <c r="NT79" s="351" cm="1">
        <f t="array" ref="NT79">NETWORKDAYS($DV$2,$EY$2)-SUM(COUNTIF(DV79:EY79,{"I";"F";"CP";"R";"P";"AC";"AM"}))</f>
        <v>16</v>
      </c>
      <c r="NU79" s="138">
        <f t="shared" si="71"/>
        <v>0</v>
      </c>
      <c r="NV79" s="8">
        <f t="shared" si="50"/>
        <v>0</v>
      </c>
      <c r="NW79" s="351" cm="1">
        <f t="array" ref="NW79">NETWORKDAYS($EZ$2,$GC$2)-SUM(COUNTIF(EZ79:GC79,{"I";"F";"CP";"R";"P";"AC";"AM"}))</f>
        <v>22</v>
      </c>
      <c r="NX79" s="138">
        <f t="shared" si="51"/>
        <v>0</v>
      </c>
      <c r="NY79" s="8">
        <f t="shared" si="52"/>
        <v>0</v>
      </c>
      <c r="NZ79" s="351" cm="1">
        <f t="array" ref="NZ79">NETWORKDAYS($GD$2,$HH$2,$GQ$2)-SUM(COUNTIF(GD79:HH79,{"I";"F";"CP";"R";"P";"AC";"AM"}))</f>
        <v>21</v>
      </c>
      <c r="OA79" s="138">
        <f t="shared" si="53"/>
        <v>0</v>
      </c>
      <c r="OB79" s="8">
        <f t="shared" si="54"/>
        <v>0</v>
      </c>
      <c r="OC79" s="351" cm="1">
        <f t="array" ref="OC79">NETWORKDAYS($HI$2,$IM$2)-SUM(COUNTIF(HI79:IM79,{"I";"F";"CP";"R";"P";"AC";"AM"}))</f>
        <v>21</v>
      </c>
      <c r="OD79" s="138">
        <f t="shared" si="55"/>
        <v>0</v>
      </c>
      <c r="OE79" s="8">
        <f t="shared" si="56"/>
        <v>0</v>
      </c>
      <c r="OF79" s="351" cm="1">
        <f t="array" ref="OF79">NETWORKDAYS($IN$2,$JQ$2)-SUM(COUNTIF(IN79:JQ79,{"I";"F";"CP";"R";"P";"AC";"AM"}))</f>
        <v>22</v>
      </c>
      <c r="OG79" s="138">
        <f t="shared" si="57"/>
        <v>0</v>
      </c>
      <c r="OH79" s="8">
        <f t="shared" si="58"/>
        <v>0</v>
      </c>
      <c r="OI79" s="351" cm="1">
        <f t="array" ref="OI79">NETWORKDAYS($JR$2,$KV$2)-SUM(COUNTIF(JR79:KV79,{"I";"F";"CP";"R";"P";"AC";"AM"}))</f>
        <v>22</v>
      </c>
      <c r="OJ79" s="138">
        <f t="shared" si="59"/>
        <v>0</v>
      </c>
      <c r="OK79" s="8">
        <f t="shared" si="60"/>
        <v>0</v>
      </c>
      <c r="OL79" s="351" cm="1">
        <f t="array" ref="OL79">NETWORKDAYS($KW$2,$LZ$2,$LG$2)-SUM(COUNTIF(KW79:LZ79,{"I";"F";"CP";"R";"P";"AC";"AM"}))</f>
        <v>19</v>
      </c>
      <c r="OM79" s="138">
        <f t="shared" si="61"/>
        <v>0</v>
      </c>
      <c r="ON79" s="8">
        <f t="shared" si="62"/>
        <v>0</v>
      </c>
      <c r="OO79" s="351" cm="1">
        <f t="array" ref="OO79">NETWORKDAYS($MA$2,$MR$2)-SUM(COUNTIF(MA79:MR79,{"I";"F";"CP";"R";"P";"AC";"AM"}))</f>
        <v>14</v>
      </c>
      <c r="OP79" s="138">
        <f t="shared" si="63"/>
        <v>0</v>
      </c>
      <c r="OQ79" s="94">
        <f t="shared" si="64"/>
        <v>35</v>
      </c>
      <c r="OR79" s="94">
        <f t="shared" si="65"/>
        <v>240</v>
      </c>
      <c r="OS79" s="138">
        <f t="shared" si="66"/>
        <v>0.14583333333333334</v>
      </c>
    </row>
    <row r="80" spans="1:409" ht="18" hidden="1" customHeight="1" x14ac:dyDescent="0.25">
      <c r="A80" s="95" t="s">
        <v>168</v>
      </c>
      <c r="B80" s="95" t="s">
        <v>168</v>
      </c>
      <c r="C80" s="89" t="s">
        <v>166</v>
      </c>
      <c r="D80" s="89" t="s">
        <v>256</v>
      </c>
      <c r="E80" s="128"/>
      <c r="F80" s="110"/>
      <c r="G80" s="110"/>
      <c r="H80" s="110"/>
      <c r="I80" s="25"/>
      <c r="J80" s="25"/>
      <c r="K80" s="25"/>
      <c r="L80" s="25"/>
      <c r="M80" s="25"/>
      <c r="N80" s="110"/>
      <c r="O80" s="110"/>
      <c r="P80" s="25"/>
      <c r="Q80" s="25"/>
      <c r="R80" s="25"/>
      <c r="S80" s="25"/>
      <c r="T80" s="25"/>
      <c r="U80" s="110"/>
      <c r="V80" s="110"/>
      <c r="W80" s="25"/>
      <c r="X80" s="25"/>
      <c r="Y80" s="25"/>
      <c r="Z80" s="25"/>
      <c r="AA80" s="25"/>
      <c r="AB80" s="110"/>
      <c r="AC80" s="110"/>
      <c r="AD80" s="25"/>
      <c r="AE80" s="25"/>
      <c r="AF80" s="25"/>
      <c r="AG80" s="25"/>
      <c r="AH80" s="25"/>
      <c r="AI80" s="110"/>
      <c r="AJ80" s="110"/>
      <c r="AK80" s="25"/>
      <c r="AL80" s="25"/>
      <c r="AM80" s="25"/>
      <c r="AN80" s="25"/>
      <c r="AO80" s="25"/>
      <c r="AP80" s="110"/>
      <c r="AQ80" s="110"/>
      <c r="AR80" s="25"/>
      <c r="AS80" s="25"/>
      <c r="AT80" s="25"/>
      <c r="AU80" s="25"/>
      <c r="AV80" s="25"/>
      <c r="AW80" s="110"/>
      <c r="AX80" s="110"/>
      <c r="AY80" s="25"/>
      <c r="AZ80" s="25"/>
      <c r="BA80" s="25"/>
      <c r="BB80" s="25"/>
      <c r="BC80" s="25"/>
      <c r="BD80" s="110"/>
      <c r="BE80" s="110"/>
      <c r="BF80" s="25"/>
      <c r="BG80" s="25"/>
      <c r="BH80" s="25"/>
      <c r="BI80" s="25"/>
      <c r="BJ80" s="25"/>
      <c r="BK80" s="110"/>
      <c r="BL80" s="110"/>
      <c r="BM80" s="25"/>
      <c r="BN80" s="25"/>
      <c r="BO80" s="25"/>
      <c r="BP80" s="25"/>
      <c r="BQ80" s="25"/>
      <c r="BR80" s="110"/>
      <c r="BS80" s="110"/>
      <c r="BT80" s="25"/>
      <c r="BU80" s="25"/>
      <c r="BV80" s="25"/>
      <c r="BW80" s="25"/>
      <c r="BX80" s="25"/>
      <c r="BY80" s="110"/>
      <c r="BZ80" s="110"/>
      <c r="CA80" s="25"/>
      <c r="CB80" s="25"/>
      <c r="CC80" s="25"/>
      <c r="CD80" s="25"/>
      <c r="CE80" s="25"/>
      <c r="CF80" s="110"/>
      <c r="CG80" s="110"/>
      <c r="CH80" s="25"/>
      <c r="CI80" s="25"/>
      <c r="CJ80" s="25"/>
      <c r="CK80" s="25"/>
      <c r="CL80" s="25"/>
      <c r="CM80" s="110"/>
      <c r="CN80" s="110"/>
      <c r="CO80" s="25"/>
      <c r="CP80" s="25"/>
      <c r="CQ80" s="25"/>
      <c r="CR80" s="25"/>
      <c r="CS80" s="25"/>
      <c r="CT80" s="110"/>
      <c r="CU80" s="110"/>
      <c r="CV80" s="110"/>
      <c r="CW80" s="25"/>
      <c r="CX80" s="25"/>
      <c r="CY80" s="25"/>
      <c r="CZ80" s="25"/>
      <c r="DA80" s="110"/>
      <c r="DB80" s="110"/>
      <c r="DC80" s="25"/>
      <c r="DD80" s="25"/>
      <c r="DE80" s="25"/>
      <c r="DF80" s="25"/>
      <c r="DG80" s="25"/>
      <c r="DH80" s="110"/>
      <c r="DI80" s="110"/>
      <c r="DJ80" s="25"/>
      <c r="DK80" s="25"/>
      <c r="DL80" s="25"/>
      <c r="DM80" s="25"/>
      <c r="DN80" s="25"/>
      <c r="DO80" s="110"/>
      <c r="DP80" s="110"/>
      <c r="DQ80" s="25"/>
      <c r="DR80" s="25"/>
      <c r="DS80" s="25"/>
      <c r="DT80" s="25"/>
      <c r="DU80" s="110" t="s">
        <v>445</v>
      </c>
      <c r="DV80" s="110"/>
      <c r="DW80" s="110"/>
      <c r="DX80" s="25"/>
      <c r="DY80" s="25"/>
      <c r="DZ80" s="25"/>
      <c r="EA80" s="25"/>
      <c r="EB80" s="110" t="s">
        <v>445</v>
      </c>
      <c r="EC80" s="110"/>
      <c r="ED80" s="110"/>
      <c r="EE80" s="25"/>
      <c r="EF80" s="25"/>
      <c r="EG80" s="25"/>
      <c r="EH80" s="110" t="s">
        <v>445</v>
      </c>
      <c r="EI80" s="110" t="s">
        <v>445</v>
      </c>
      <c r="EJ80" s="110"/>
      <c r="EK80" s="110"/>
      <c r="EL80" s="25"/>
      <c r="EM80" s="25"/>
      <c r="EN80" s="25"/>
      <c r="EO80" s="25"/>
      <c r="EP80" s="25"/>
      <c r="EQ80" s="110"/>
      <c r="ER80" s="110"/>
      <c r="ES80" s="110" t="s">
        <v>445</v>
      </c>
      <c r="ET80" s="25"/>
      <c r="EU80" s="25"/>
      <c r="EV80" s="25"/>
      <c r="EW80" s="25"/>
      <c r="EX80" s="110"/>
      <c r="EY80" s="110"/>
      <c r="EZ80" s="25"/>
      <c r="FA80" s="25"/>
      <c r="FB80" s="25"/>
      <c r="FC80" s="25"/>
      <c r="FD80" s="25"/>
      <c r="FE80" s="110"/>
      <c r="FF80" s="110"/>
      <c r="FG80" s="25"/>
      <c r="FH80" s="25"/>
      <c r="FI80" s="25"/>
      <c r="FJ80" s="25"/>
      <c r="FK80" s="25"/>
      <c r="FL80" s="110"/>
      <c r="FM80" s="110"/>
      <c r="FN80" s="25"/>
      <c r="FO80" s="25"/>
      <c r="FP80" s="25"/>
      <c r="FQ80" s="25"/>
      <c r="FR80" s="25"/>
      <c r="FS80" s="110"/>
      <c r="FT80" s="110"/>
      <c r="FU80" s="25"/>
      <c r="FV80" s="25"/>
      <c r="FW80" s="25"/>
      <c r="FX80" s="25"/>
      <c r="FY80" s="25"/>
      <c r="FZ80" s="110"/>
      <c r="GA80" s="110"/>
      <c r="GB80" s="25"/>
      <c r="GC80" s="25"/>
      <c r="GD80" s="25"/>
      <c r="GE80" s="25"/>
      <c r="GF80" s="25"/>
      <c r="GG80" s="110"/>
      <c r="GH80" s="110"/>
      <c r="GI80" s="25"/>
      <c r="GJ80" s="25"/>
      <c r="GK80" s="25"/>
      <c r="GL80" s="25"/>
      <c r="GM80" s="25"/>
      <c r="GN80" s="110"/>
      <c r="GO80" s="110"/>
      <c r="GP80" s="110" t="s">
        <v>445</v>
      </c>
      <c r="GQ80" s="110"/>
      <c r="GR80" s="25"/>
      <c r="GS80" s="25"/>
      <c r="GT80" s="25"/>
      <c r="GU80" s="110"/>
      <c r="GV80" s="110"/>
      <c r="GW80" s="25"/>
      <c r="GX80" s="25"/>
      <c r="GY80" s="25"/>
      <c r="GZ80" s="25"/>
      <c r="HA80" s="25"/>
      <c r="HB80" s="110"/>
      <c r="HC80" s="110"/>
      <c r="HD80" s="25"/>
      <c r="HE80" s="25"/>
      <c r="HF80" s="25"/>
      <c r="HG80" s="25"/>
      <c r="HH80" s="25"/>
      <c r="HI80" s="110"/>
      <c r="HJ80" s="110"/>
      <c r="HK80" s="25"/>
      <c r="HL80" s="25"/>
      <c r="HM80" s="25"/>
      <c r="HN80" s="25"/>
      <c r="HO80" s="25"/>
      <c r="HP80" s="110"/>
      <c r="HQ80" s="110"/>
      <c r="HR80" s="25"/>
      <c r="HS80" s="25"/>
      <c r="HT80" s="25"/>
      <c r="HU80" s="25"/>
      <c r="HV80" s="25"/>
      <c r="HW80" s="110"/>
      <c r="HX80" s="110"/>
      <c r="HY80" s="25"/>
      <c r="HZ80" s="25"/>
      <c r="IA80" s="25"/>
      <c r="IB80" s="25"/>
      <c r="IC80" s="25"/>
      <c r="ID80" s="110"/>
      <c r="IE80" s="110"/>
      <c r="IF80" s="25"/>
      <c r="IG80" s="25"/>
      <c r="IH80" s="25"/>
      <c r="II80" s="25"/>
      <c r="IJ80" s="25"/>
      <c r="IK80" s="110"/>
      <c r="IL80" s="110"/>
      <c r="IM80" s="25"/>
      <c r="IN80" s="25"/>
      <c r="IO80" s="25"/>
      <c r="IP80" s="25"/>
      <c r="IQ80" s="25"/>
      <c r="IR80" s="110"/>
      <c r="IS80" s="110"/>
      <c r="IT80" s="25"/>
      <c r="IU80" s="25"/>
      <c r="IV80" s="25"/>
      <c r="IW80" s="25"/>
      <c r="IX80" s="25"/>
      <c r="IY80" s="110"/>
      <c r="IZ80" s="110"/>
      <c r="JA80" s="25"/>
      <c r="JB80" s="25"/>
      <c r="JC80" s="25"/>
      <c r="JD80" s="25"/>
      <c r="JE80" s="25"/>
      <c r="JF80" s="110"/>
      <c r="JG80" s="110"/>
      <c r="JH80" s="25"/>
      <c r="JI80" s="25"/>
      <c r="JJ80" s="25"/>
      <c r="JK80" s="25"/>
      <c r="JL80" s="25"/>
      <c r="JM80" s="110"/>
      <c r="JN80" s="110"/>
      <c r="JO80" s="25"/>
      <c r="JP80" s="25"/>
      <c r="JQ80" s="25"/>
      <c r="JR80" s="25"/>
      <c r="JS80" s="25"/>
      <c r="JT80" s="110"/>
      <c r="JU80" s="110"/>
      <c r="JV80" s="25"/>
      <c r="JW80" s="25"/>
      <c r="JX80" s="25"/>
      <c r="JY80" s="25"/>
      <c r="JZ80" s="25"/>
      <c r="KA80" s="110"/>
      <c r="KB80" s="110"/>
      <c r="KC80" s="25"/>
      <c r="KD80" s="25"/>
      <c r="KE80" s="25"/>
      <c r="KF80" s="25"/>
      <c r="KG80" s="25"/>
      <c r="KH80" s="110"/>
      <c r="KI80" s="110"/>
      <c r="KJ80" s="25"/>
      <c r="KK80" s="25"/>
      <c r="KL80" s="25"/>
      <c r="KM80" s="25"/>
      <c r="KN80" s="25"/>
      <c r="KO80" s="110"/>
      <c r="KP80" s="110"/>
      <c r="KQ80" s="25"/>
      <c r="KR80" s="25"/>
      <c r="KS80" s="25"/>
      <c r="KT80" s="25"/>
      <c r="KU80" s="25"/>
      <c r="KV80" s="110"/>
      <c r="KW80" s="110"/>
      <c r="KX80" s="25"/>
      <c r="KY80" s="25"/>
      <c r="KZ80" s="25"/>
      <c r="LA80" s="25"/>
      <c r="LB80" s="25"/>
      <c r="LC80" s="110"/>
      <c r="LD80" s="110"/>
      <c r="LE80" s="25"/>
      <c r="LF80" s="25"/>
      <c r="LG80" s="110" t="s">
        <v>445</v>
      </c>
      <c r="LH80" s="25"/>
      <c r="LI80" s="25"/>
      <c r="LJ80" s="110"/>
      <c r="LK80" s="110"/>
      <c r="LL80" s="25"/>
      <c r="LM80" s="25"/>
      <c r="LN80" s="25"/>
      <c r="LO80" s="25"/>
      <c r="LP80" s="25"/>
      <c r="LQ80" s="110"/>
      <c r="LR80" s="110"/>
      <c r="LS80" s="25"/>
      <c r="LT80" s="25"/>
      <c r="LU80" s="25"/>
      <c r="LV80" s="25"/>
      <c r="LW80" s="25"/>
      <c r="LX80" s="110"/>
      <c r="LY80" s="110"/>
      <c r="LZ80" s="25"/>
      <c r="MA80" s="25"/>
      <c r="MB80" s="25"/>
      <c r="MC80" s="25"/>
      <c r="MD80" s="25"/>
      <c r="ME80" s="110"/>
      <c r="MF80" s="110"/>
      <c r="MG80" s="25"/>
      <c r="MH80" s="25"/>
      <c r="MI80" s="25"/>
      <c r="MJ80" s="25"/>
      <c r="MK80" s="25"/>
      <c r="ML80" s="110"/>
      <c r="MM80" s="110"/>
      <c r="MN80" s="25"/>
      <c r="MO80" s="25"/>
      <c r="MP80" s="25"/>
      <c r="MQ80" s="25"/>
      <c r="MR80" s="25"/>
      <c r="MS80" s="110"/>
      <c r="MT80" s="110"/>
      <c r="MU80" s="25"/>
      <c r="MV80" s="25"/>
      <c r="MW80" s="25"/>
      <c r="MX80" s="25"/>
      <c r="MY80" s="25"/>
      <c r="MZ80" s="110"/>
      <c r="NA80" s="110"/>
      <c r="NB80" s="25"/>
      <c r="NC80" s="25"/>
      <c r="ND80" s="25"/>
      <c r="NE80" s="129"/>
      <c r="NF80" s="111"/>
      <c r="NG80" s="8">
        <f t="shared" si="72"/>
        <v>0</v>
      </c>
      <c r="NH80" s="351" cm="1">
        <f t="array" ref="NH80">NETWORKDAYS($I$2,$AH$2)- SUM(COUNTIF(I80:AH80,{"I";"F";"CP";"R";"P";"AC";"AM"}))</f>
        <v>20</v>
      </c>
      <c r="NI80" s="138">
        <f t="shared" si="67"/>
        <v>0</v>
      </c>
      <c r="NJ80" s="8">
        <f t="shared" si="73"/>
        <v>0</v>
      </c>
      <c r="NK80" s="351" cm="1">
        <f t="array" ref="NK80">NETWORKDAYS($AJ$2,$BK$2)- SUM(COUNTIF(AJ80:BK80,{"I";"F";"CP";"R";"P";"AC";"AM"}))</f>
        <v>20</v>
      </c>
      <c r="NL80" s="138">
        <f t="shared" si="68"/>
        <v>0</v>
      </c>
      <c r="NM80" s="8">
        <f t="shared" si="74"/>
        <v>0</v>
      </c>
      <c r="NN80" s="351" cm="1">
        <f t="array" ref="NN80">NETWORKDAYS($BL$2,$CP$2)- SUM(COUNTIF(BL80:CP80,{"I";"F";"CP";"R";"P";"AC";"AM"}))</f>
        <v>22</v>
      </c>
      <c r="NO80" s="138">
        <f t="shared" si="69"/>
        <v>0</v>
      </c>
      <c r="NP80" s="8">
        <f t="shared" si="75"/>
        <v>0</v>
      </c>
      <c r="NQ80" s="351" cm="1">
        <f t="array" ref="NQ80">NETWORKDAYS($CQ$2,$DT$2,$CV$2)- SUM(COUNTIF(CQ80:DT80,{"I";"F";"CP";"R";"P";"AC";"AM"}))</f>
        <v>21</v>
      </c>
      <c r="NR80" s="138">
        <f t="shared" si="70"/>
        <v>0</v>
      </c>
      <c r="NS80" s="8">
        <f t="shared" si="76"/>
        <v>0</v>
      </c>
      <c r="NT80" s="351" cm="1">
        <f t="array" ref="NT80">NETWORKDAYS($DV$2,$EY$2)-SUM(COUNTIF(DV80:EY80,{"I";"F";"CP";"R";"P";"AC";"AM"}))</f>
        <v>16</v>
      </c>
      <c r="NU80" s="138">
        <f t="shared" si="71"/>
        <v>0</v>
      </c>
      <c r="NV80" s="8">
        <f t="shared" si="50"/>
        <v>0</v>
      </c>
      <c r="NW80" s="351" cm="1">
        <f t="array" ref="NW80">NETWORKDAYS($EZ$2,$GC$2)-SUM(COUNTIF(EZ80:GC80,{"I";"F";"CP";"R";"P";"AC";"AM"}))</f>
        <v>22</v>
      </c>
      <c r="NX80" s="138">
        <f t="shared" si="51"/>
        <v>0</v>
      </c>
      <c r="NY80" s="8">
        <f t="shared" si="52"/>
        <v>0</v>
      </c>
      <c r="NZ80" s="351" cm="1">
        <f t="array" ref="NZ80">NETWORKDAYS($GD$2,$HH$2,$GQ$2)-SUM(COUNTIF(GD80:HH80,{"I";"F";"CP";"R";"P";"AC";"AM"}))</f>
        <v>21</v>
      </c>
      <c r="OA80" s="138">
        <f t="shared" si="53"/>
        <v>0</v>
      </c>
      <c r="OB80" s="8">
        <f t="shared" si="54"/>
        <v>0</v>
      </c>
      <c r="OC80" s="351" cm="1">
        <f t="array" ref="OC80">NETWORKDAYS($HI$2,$IM$2)-SUM(COUNTIF(HI80:IM80,{"I";"F";"CP";"R";"P";"AC";"AM"}))</f>
        <v>21</v>
      </c>
      <c r="OD80" s="138">
        <f t="shared" si="55"/>
        <v>0</v>
      </c>
      <c r="OE80" s="8">
        <f t="shared" si="56"/>
        <v>0</v>
      </c>
      <c r="OF80" s="351" cm="1">
        <f t="array" ref="OF80">NETWORKDAYS($IN$2,$JQ$2)-SUM(COUNTIF(IN80:JQ80,{"I";"F";"CP";"R";"P";"AC";"AM"}))</f>
        <v>22</v>
      </c>
      <c r="OG80" s="138">
        <f t="shared" si="57"/>
        <v>0</v>
      </c>
      <c r="OH80" s="8">
        <f t="shared" si="58"/>
        <v>0</v>
      </c>
      <c r="OI80" s="351" cm="1">
        <f t="array" ref="OI80">NETWORKDAYS($JR$2,$KV$2)-SUM(COUNTIF(JR80:KV80,{"I";"F";"CP";"R";"P";"AC";"AM"}))</f>
        <v>22</v>
      </c>
      <c r="OJ80" s="138">
        <f t="shared" si="59"/>
        <v>0</v>
      </c>
      <c r="OK80" s="8">
        <f t="shared" si="60"/>
        <v>0</v>
      </c>
      <c r="OL80" s="351" cm="1">
        <f t="array" ref="OL80">NETWORKDAYS($KW$2,$LZ$2,$LG$2)-SUM(COUNTIF(KW80:LZ80,{"I";"F";"CP";"R";"P";"AC";"AM"}))</f>
        <v>19</v>
      </c>
      <c r="OM80" s="138">
        <f t="shared" si="61"/>
        <v>0</v>
      </c>
      <c r="ON80" s="8">
        <f t="shared" si="62"/>
        <v>0</v>
      </c>
      <c r="OO80" s="351" cm="1">
        <f t="array" ref="OO80">NETWORKDAYS($MA$2,$MR$2)-SUM(COUNTIF(MA80:MR80,{"I";"F";"CP";"R";"P";"AC";"AM"}))</f>
        <v>14</v>
      </c>
      <c r="OP80" s="138">
        <f t="shared" si="63"/>
        <v>0</v>
      </c>
      <c r="OQ80" s="94">
        <f t="shared" si="64"/>
        <v>0</v>
      </c>
      <c r="OR80" s="94">
        <f t="shared" si="65"/>
        <v>240</v>
      </c>
      <c r="OS80" s="138">
        <f t="shared" si="66"/>
        <v>0</v>
      </c>
    </row>
    <row r="81" spans="1:409" ht="18" hidden="1" customHeight="1" x14ac:dyDescent="0.25">
      <c r="A81" s="95" t="s">
        <v>159</v>
      </c>
      <c r="B81" s="95" t="s">
        <v>45</v>
      </c>
      <c r="C81" s="89" t="s">
        <v>166</v>
      </c>
      <c r="D81" s="89" t="s">
        <v>257</v>
      </c>
      <c r="E81" s="128"/>
      <c r="F81" s="110"/>
      <c r="G81" s="110"/>
      <c r="H81" s="110"/>
      <c r="I81" s="25"/>
      <c r="J81" s="25"/>
      <c r="K81" s="25"/>
      <c r="L81" s="25"/>
      <c r="M81" s="25"/>
      <c r="N81" s="110"/>
      <c r="O81" s="110"/>
      <c r="P81" s="25"/>
      <c r="Q81" s="25"/>
      <c r="R81" s="25"/>
      <c r="S81" s="25"/>
      <c r="T81" s="25"/>
      <c r="U81" s="110"/>
      <c r="V81" s="110"/>
      <c r="W81" s="25"/>
      <c r="X81" s="25"/>
      <c r="Y81" s="25"/>
      <c r="Z81" s="25"/>
      <c r="AA81" s="25"/>
      <c r="AB81" s="110"/>
      <c r="AC81" s="110"/>
      <c r="AD81" s="25"/>
      <c r="AE81" s="25"/>
      <c r="AF81" s="25"/>
      <c r="AG81" s="25"/>
      <c r="AH81" s="25"/>
      <c r="AI81" s="110"/>
      <c r="AJ81" s="110"/>
      <c r="AK81" s="25"/>
      <c r="AL81" s="25"/>
      <c r="AM81" s="25"/>
      <c r="AN81" s="25"/>
      <c r="AO81" s="25"/>
      <c r="AP81" s="110"/>
      <c r="AQ81" s="110"/>
      <c r="AR81" s="25"/>
      <c r="AS81" s="25"/>
      <c r="AT81" s="25"/>
      <c r="AV81" s="25"/>
      <c r="AW81" s="110"/>
      <c r="AX81" s="110"/>
      <c r="AY81" s="25"/>
      <c r="AZ81" s="25"/>
      <c r="BA81" s="25"/>
      <c r="BB81" s="25"/>
      <c r="BC81" s="25"/>
      <c r="BD81" s="110"/>
      <c r="BE81" s="110"/>
      <c r="BF81" s="25"/>
      <c r="BG81" s="25"/>
      <c r="BH81" s="25"/>
      <c r="BI81" s="25"/>
      <c r="BJ81" s="25"/>
      <c r="BK81" s="110"/>
      <c r="BL81" s="110"/>
      <c r="BM81" s="25">
        <v>1</v>
      </c>
      <c r="BN81" s="25">
        <v>1</v>
      </c>
      <c r="BO81" s="25">
        <v>1</v>
      </c>
      <c r="BP81" s="25">
        <v>1</v>
      </c>
      <c r="BQ81" s="25">
        <v>1</v>
      </c>
      <c r="BR81" s="110"/>
      <c r="BS81" s="110"/>
      <c r="BT81" s="25">
        <v>1</v>
      </c>
      <c r="BU81" s="25">
        <v>1</v>
      </c>
      <c r="BV81" s="25">
        <v>1</v>
      </c>
      <c r="BW81" s="25">
        <v>1</v>
      </c>
      <c r="BX81" s="25">
        <v>1</v>
      </c>
      <c r="BY81" s="110"/>
      <c r="BZ81" s="110"/>
      <c r="CA81" s="25">
        <v>1</v>
      </c>
      <c r="CB81" s="25">
        <v>1</v>
      </c>
      <c r="CC81" s="25"/>
      <c r="CD81" s="25"/>
      <c r="CE81" s="25"/>
      <c r="CF81" s="110"/>
      <c r="CG81" s="110"/>
      <c r="CH81" s="25">
        <v>1</v>
      </c>
      <c r="CI81" s="25">
        <v>1</v>
      </c>
      <c r="CJ81" s="25">
        <v>1</v>
      </c>
      <c r="CK81" s="25">
        <v>1</v>
      </c>
      <c r="CL81" s="25">
        <v>1</v>
      </c>
      <c r="CM81" s="110"/>
      <c r="CN81" s="110"/>
      <c r="CO81" s="25"/>
      <c r="CP81" s="25">
        <v>1</v>
      </c>
      <c r="CQ81" s="25"/>
      <c r="CR81" s="25"/>
      <c r="CS81" s="25">
        <v>1</v>
      </c>
      <c r="CT81" s="110"/>
      <c r="CU81" s="110"/>
      <c r="CV81" s="110"/>
      <c r="CW81" s="25">
        <v>1</v>
      </c>
      <c r="CX81" s="25">
        <v>1</v>
      </c>
      <c r="CY81" s="25">
        <v>1</v>
      </c>
      <c r="CZ81" s="25"/>
      <c r="DA81" s="110"/>
      <c r="DB81" s="110"/>
      <c r="DC81" s="25">
        <v>1</v>
      </c>
      <c r="DD81" s="25">
        <v>1</v>
      </c>
      <c r="DE81" s="25">
        <v>1</v>
      </c>
      <c r="DF81" s="25">
        <v>1</v>
      </c>
      <c r="DG81" s="25"/>
      <c r="DH81" s="110"/>
      <c r="DI81" s="110"/>
      <c r="DJ81" s="25"/>
      <c r="DK81" s="25"/>
      <c r="DL81" s="25"/>
      <c r="DM81" s="25"/>
      <c r="DN81" s="25"/>
      <c r="DO81" s="110"/>
      <c r="DP81" s="110"/>
      <c r="DQ81" s="25"/>
      <c r="DR81" s="25"/>
      <c r="DS81" s="25"/>
      <c r="DT81" s="25"/>
      <c r="DU81" s="110" t="s">
        <v>445</v>
      </c>
      <c r="DV81" s="110"/>
      <c r="DW81" s="110"/>
      <c r="DX81" s="25"/>
      <c r="DY81" s="25"/>
      <c r="DZ81" s="25"/>
      <c r="EA81" s="25"/>
      <c r="EB81" s="110" t="s">
        <v>445</v>
      </c>
      <c r="EC81" s="110"/>
      <c r="ED81" s="110"/>
      <c r="EE81" s="25"/>
      <c r="EF81" s="25"/>
      <c r="EG81" s="25"/>
      <c r="EH81" s="110" t="s">
        <v>445</v>
      </c>
      <c r="EI81" s="110" t="s">
        <v>445</v>
      </c>
      <c r="EJ81" s="110"/>
      <c r="EK81" s="110"/>
      <c r="EL81" s="25"/>
      <c r="EM81" s="25"/>
      <c r="EN81" s="25"/>
      <c r="EO81" s="25"/>
      <c r="EP81" s="25"/>
      <c r="EQ81" s="110"/>
      <c r="ER81" s="110"/>
      <c r="ES81" s="110" t="s">
        <v>445</v>
      </c>
      <c r="ET81" s="25"/>
      <c r="EU81" s="25"/>
      <c r="EV81" s="25"/>
      <c r="EW81" s="25"/>
      <c r="EX81" s="110"/>
      <c r="EY81" s="110"/>
      <c r="EZ81" s="25"/>
      <c r="FA81" s="25"/>
      <c r="FB81" s="25"/>
      <c r="FC81" s="25"/>
      <c r="FD81" s="25"/>
      <c r="FE81" s="110"/>
      <c r="FF81" s="110"/>
      <c r="FG81" s="25"/>
      <c r="FH81" s="25"/>
      <c r="FI81" s="25"/>
      <c r="FJ81" s="25"/>
      <c r="FK81" s="25"/>
      <c r="FL81" s="110"/>
      <c r="FM81" s="110"/>
      <c r="FN81" s="25"/>
      <c r="FO81" s="25"/>
      <c r="FP81" s="25"/>
      <c r="FQ81" s="25"/>
      <c r="FR81" s="25"/>
      <c r="FS81" s="110"/>
      <c r="FT81" s="110"/>
      <c r="FU81" s="25"/>
      <c r="FV81" s="25"/>
      <c r="FW81" s="25"/>
      <c r="FX81" s="25"/>
      <c r="FY81" s="25"/>
      <c r="FZ81" s="110"/>
      <c r="GA81" s="110"/>
      <c r="GB81" s="25"/>
      <c r="GC81" s="25"/>
      <c r="GD81" s="25"/>
      <c r="GE81" s="25"/>
      <c r="GF81" s="25"/>
      <c r="GG81" s="110"/>
      <c r="GH81" s="110"/>
      <c r="GI81" s="25"/>
      <c r="GJ81" s="25"/>
      <c r="GK81" s="25"/>
      <c r="GL81" s="25"/>
      <c r="GM81" s="25"/>
      <c r="GN81" s="110"/>
      <c r="GO81" s="110"/>
      <c r="GP81" s="110" t="s">
        <v>445</v>
      </c>
      <c r="GQ81" s="110"/>
      <c r="GR81" s="25"/>
      <c r="GS81" s="25"/>
      <c r="GT81" s="25"/>
      <c r="GU81" s="110"/>
      <c r="GV81" s="110"/>
      <c r="GW81" s="25"/>
      <c r="GX81" s="25"/>
      <c r="GY81" s="25"/>
      <c r="GZ81" s="25"/>
      <c r="HA81" s="25"/>
      <c r="HB81" s="110"/>
      <c r="HC81" s="110"/>
      <c r="HD81" s="25"/>
      <c r="HE81" s="25"/>
      <c r="HF81" s="25"/>
      <c r="HG81" s="25"/>
      <c r="HH81" s="25"/>
      <c r="HI81" s="110"/>
      <c r="HJ81" s="110"/>
      <c r="HK81" s="25"/>
      <c r="HL81" s="25"/>
      <c r="HM81" s="25"/>
      <c r="HN81" s="25"/>
      <c r="HO81" s="25"/>
      <c r="HP81" s="110"/>
      <c r="HQ81" s="110"/>
      <c r="HR81" s="25"/>
      <c r="HS81" s="25"/>
      <c r="HT81" s="25"/>
      <c r="HU81" s="25"/>
      <c r="HV81" s="25"/>
      <c r="HW81" s="110"/>
      <c r="HX81" s="110"/>
      <c r="HY81" s="25"/>
      <c r="HZ81" s="25"/>
      <c r="IA81" s="25"/>
      <c r="IB81" s="25"/>
      <c r="IC81" s="25"/>
      <c r="ID81" s="110"/>
      <c r="IE81" s="110"/>
      <c r="IF81" s="25"/>
      <c r="IG81" s="25"/>
      <c r="IH81" s="25"/>
      <c r="II81" s="25"/>
      <c r="IJ81" s="25"/>
      <c r="IK81" s="110"/>
      <c r="IL81" s="110"/>
      <c r="IM81" s="25"/>
      <c r="IN81" s="25"/>
      <c r="IO81" s="25"/>
      <c r="IP81" s="25"/>
      <c r="IQ81" s="25"/>
      <c r="IR81" s="110"/>
      <c r="IS81" s="110"/>
      <c r="IT81" s="25"/>
      <c r="IU81" s="25"/>
      <c r="IV81" s="25"/>
      <c r="IW81" s="25"/>
      <c r="IX81" s="25"/>
      <c r="IY81" s="110"/>
      <c r="IZ81" s="110"/>
      <c r="JA81" s="25"/>
      <c r="JB81" s="25"/>
      <c r="JC81" s="25"/>
      <c r="JD81" s="25"/>
      <c r="JE81" s="25"/>
      <c r="JF81" s="110"/>
      <c r="JG81" s="110"/>
      <c r="JH81" s="25"/>
      <c r="JI81" s="25"/>
      <c r="JJ81" s="25"/>
      <c r="JK81" s="25"/>
      <c r="JL81" s="25"/>
      <c r="JM81" s="110"/>
      <c r="JN81" s="110"/>
      <c r="JO81" s="25"/>
      <c r="JP81" s="25"/>
      <c r="JQ81" s="25"/>
      <c r="JR81" s="25"/>
      <c r="JS81" s="25"/>
      <c r="JT81" s="110"/>
      <c r="JU81" s="110"/>
      <c r="JV81" s="25"/>
      <c r="JW81" s="25"/>
      <c r="JX81" s="25"/>
      <c r="JY81" s="25"/>
      <c r="JZ81" s="25"/>
      <c r="KA81" s="110"/>
      <c r="KB81" s="110"/>
      <c r="KC81" s="25"/>
      <c r="KD81" s="25"/>
      <c r="KE81" s="25"/>
      <c r="KF81" s="25"/>
      <c r="KG81" s="25"/>
      <c r="KH81" s="110"/>
      <c r="KI81" s="110"/>
      <c r="KJ81" s="25"/>
      <c r="KK81" s="25"/>
      <c r="KL81" s="25"/>
      <c r="KM81" s="25"/>
      <c r="KN81" s="25"/>
      <c r="KO81" s="110"/>
      <c r="KP81" s="110"/>
      <c r="KQ81" s="25"/>
      <c r="KR81" s="25"/>
      <c r="KS81" s="25"/>
      <c r="KT81" s="25"/>
      <c r="KU81" s="25"/>
      <c r="KV81" s="110"/>
      <c r="KW81" s="110"/>
      <c r="KX81" s="25"/>
      <c r="KY81" s="25"/>
      <c r="KZ81" s="25"/>
      <c r="LA81" s="25"/>
      <c r="LB81" s="25"/>
      <c r="LC81" s="110"/>
      <c r="LD81" s="110"/>
      <c r="LE81" s="25"/>
      <c r="LF81" s="25"/>
      <c r="LG81" s="110" t="s">
        <v>445</v>
      </c>
      <c r="LH81" s="25"/>
      <c r="LI81" s="25"/>
      <c r="LJ81" s="110"/>
      <c r="LK81" s="110"/>
      <c r="LL81" s="25"/>
      <c r="LM81" s="25"/>
      <c r="LN81" s="25"/>
      <c r="LO81" s="25"/>
      <c r="LP81" s="25"/>
      <c r="LQ81" s="110"/>
      <c r="LR81" s="110"/>
      <c r="LS81" s="25"/>
      <c r="LT81" s="25"/>
      <c r="LU81" s="25"/>
      <c r="LV81" s="25"/>
      <c r="LW81" s="25"/>
      <c r="LX81" s="110"/>
      <c r="LY81" s="110"/>
      <c r="LZ81" s="25"/>
      <c r="MA81" s="25"/>
      <c r="MB81" s="25"/>
      <c r="MC81" s="25"/>
      <c r="MD81" s="25"/>
      <c r="ME81" s="110"/>
      <c r="MF81" s="110"/>
      <c r="MG81" s="25"/>
      <c r="MH81" s="25"/>
      <c r="MI81" s="25"/>
      <c r="MJ81" s="25"/>
      <c r="MK81" s="25"/>
      <c r="ML81" s="110"/>
      <c r="MM81" s="110"/>
      <c r="MN81" s="25"/>
      <c r="MO81" s="25"/>
      <c r="MP81" s="25"/>
      <c r="MQ81" s="25"/>
      <c r="MR81" s="25"/>
      <c r="MS81" s="110"/>
      <c r="MT81" s="110"/>
      <c r="MU81" s="25"/>
      <c r="MV81" s="25"/>
      <c r="MW81" s="25"/>
      <c r="MX81" s="25"/>
      <c r="MY81" s="25"/>
      <c r="MZ81" s="110"/>
      <c r="NA81" s="110"/>
      <c r="NB81" s="25"/>
      <c r="NC81" s="25"/>
      <c r="ND81" s="25"/>
      <c r="NE81" s="129"/>
      <c r="NF81" s="111"/>
      <c r="NG81" s="8">
        <f t="shared" si="72"/>
        <v>0</v>
      </c>
      <c r="NH81" s="351" cm="1">
        <f t="array" ref="NH81">NETWORKDAYS($I$2,$AH$2)- SUM(COUNTIF(I81:AH81,{"I";"F";"CP";"R";"P";"AC";"AM"}))</f>
        <v>20</v>
      </c>
      <c r="NI81" s="138">
        <f t="shared" si="67"/>
        <v>0</v>
      </c>
      <c r="NJ81" s="8">
        <f t="shared" si="73"/>
        <v>0</v>
      </c>
      <c r="NK81" s="351" cm="1">
        <f t="array" ref="NK81">NETWORKDAYS($AJ$2,$BK$2)- SUM(COUNTIF(AJ81:BK81,{"I";"F";"CP";"R";"P";"AC";"AM"}))</f>
        <v>20</v>
      </c>
      <c r="NL81" s="138">
        <f t="shared" si="68"/>
        <v>0</v>
      </c>
      <c r="NM81" s="8">
        <f t="shared" si="74"/>
        <v>18</v>
      </c>
      <c r="NN81" s="351" cm="1">
        <f t="array" ref="NN81">NETWORKDAYS($BL$2,$CP$2)- SUM(COUNTIF(BL81:CP81,{"I";"F";"CP";"R";"P";"AC";"AM"}))</f>
        <v>22</v>
      </c>
      <c r="NO81" s="138">
        <f t="shared" si="69"/>
        <v>0.81818181818181823</v>
      </c>
      <c r="NP81" s="8">
        <f t="shared" si="75"/>
        <v>8</v>
      </c>
      <c r="NQ81" s="351" cm="1">
        <f t="array" ref="NQ81">NETWORKDAYS($CQ$2,$DT$2,$CV$2)- SUM(COUNTIF(CQ81:DT81,{"I";"F";"CP";"R";"P";"AC";"AM"}))</f>
        <v>21</v>
      </c>
      <c r="NR81" s="138">
        <f t="shared" si="70"/>
        <v>0.38095238095238093</v>
      </c>
      <c r="NS81" s="8">
        <f t="shared" si="76"/>
        <v>0</v>
      </c>
      <c r="NT81" s="351" cm="1">
        <f t="array" ref="NT81">NETWORKDAYS($DV$2,$EY$2)-SUM(COUNTIF(DV81:EY81,{"I";"F";"CP";"R";"P";"AC";"AM"}))</f>
        <v>16</v>
      </c>
      <c r="NU81" s="138">
        <f t="shared" si="71"/>
        <v>0</v>
      </c>
      <c r="NV81" s="8">
        <f t="shared" si="50"/>
        <v>0</v>
      </c>
      <c r="NW81" s="351" cm="1">
        <f t="array" ref="NW81">NETWORKDAYS($EZ$2,$GC$2)-SUM(COUNTIF(EZ81:GC81,{"I";"F";"CP";"R";"P";"AC";"AM"}))</f>
        <v>22</v>
      </c>
      <c r="NX81" s="138">
        <f t="shared" si="51"/>
        <v>0</v>
      </c>
      <c r="NY81" s="8">
        <f t="shared" si="52"/>
        <v>0</v>
      </c>
      <c r="NZ81" s="351" cm="1">
        <f t="array" ref="NZ81">NETWORKDAYS($GD$2,$HH$2,$GQ$2)-SUM(COUNTIF(GD81:HH81,{"I";"F";"CP";"R";"P";"AC";"AM"}))</f>
        <v>21</v>
      </c>
      <c r="OA81" s="138">
        <f t="shared" si="53"/>
        <v>0</v>
      </c>
      <c r="OB81" s="8">
        <f t="shared" si="54"/>
        <v>0</v>
      </c>
      <c r="OC81" s="351" cm="1">
        <f t="array" ref="OC81">NETWORKDAYS($HI$2,$IM$2)-SUM(COUNTIF(HI81:IM81,{"I";"F";"CP";"R";"P";"AC";"AM"}))</f>
        <v>21</v>
      </c>
      <c r="OD81" s="138">
        <f t="shared" si="55"/>
        <v>0</v>
      </c>
      <c r="OE81" s="8">
        <f t="shared" si="56"/>
        <v>0</v>
      </c>
      <c r="OF81" s="351" cm="1">
        <f t="array" ref="OF81">NETWORKDAYS($IN$2,$JQ$2)-SUM(COUNTIF(IN81:JQ81,{"I";"F";"CP";"R";"P";"AC";"AM"}))</f>
        <v>22</v>
      </c>
      <c r="OG81" s="138">
        <f t="shared" si="57"/>
        <v>0</v>
      </c>
      <c r="OH81" s="8">
        <f t="shared" si="58"/>
        <v>0</v>
      </c>
      <c r="OI81" s="351" cm="1">
        <f t="array" ref="OI81">NETWORKDAYS($JR$2,$KV$2)-SUM(COUNTIF(JR81:KV81,{"I";"F";"CP";"R";"P";"AC";"AM"}))</f>
        <v>22</v>
      </c>
      <c r="OJ81" s="138">
        <f t="shared" si="59"/>
        <v>0</v>
      </c>
      <c r="OK81" s="8">
        <f t="shared" si="60"/>
        <v>0</v>
      </c>
      <c r="OL81" s="351" cm="1">
        <f t="array" ref="OL81">NETWORKDAYS($KW$2,$LZ$2,$LG$2)-SUM(COUNTIF(KW81:LZ81,{"I";"F";"CP";"R";"P";"AC";"AM"}))</f>
        <v>19</v>
      </c>
      <c r="OM81" s="138">
        <f t="shared" si="61"/>
        <v>0</v>
      </c>
      <c r="ON81" s="8">
        <f t="shared" si="62"/>
        <v>0</v>
      </c>
      <c r="OO81" s="351" cm="1">
        <f t="array" ref="OO81">NETWORKDAYS($MA$2,$MR$2)-SUM(COUNTIF(MA81:MR81,{"I";"F";"CP";"R";"P";"AC";"AM"}))</f>
        <v>14</v>
      </c>
      <c r="OP81" s="138">
        <f t="shared" si="63"/>
        <v>0</v>
      </c>
      <c r="OQ81" s="94">
        <f t="shared" si="64"/>
        <v>26</v>
      </c>
      <c r="OR81" s="94">
        <f t="shared" si="65"/>
        <v>240</v>
      </c>
      <c r="OS81" s="138">
        <f t="shared" si="66"/>
        <v>0.10833333333333334</v>
      </c>
    </row>
    <row r="82" spans="1:409" ht="18" customHeight="1" x14ac:dyDescent="0.25">
      <c r="A82" s="95" t="s">
        <v>181</v>
      </c>
      <c r="B82" s="93" t="s">
        <v>230</v>
      </c>
      <c r="C82" s="89" t="s">
        <v>166</v>
      </c>
      <c r="D82" s="89" t="s">
        <v>259</v>
      </c>
      <c r="E82" s="128"/>
      <c r="F82" s="110"/>
      <c r="G82" s="110"/>
      <c r="H82" s="110"/>
      <c r="I82" s="25">
        <v>0</v>
      </c>
      <c r="J82" s="25">
        <v>0</v>
      </c>
      <c r="K82" s="25">
        <v>0</v>
      </c>
      <c r="L82" s="25">
        <v>0</v>
      </c>
      <c r="M82" s="25">
        <v>0</v>
      </c>
      <c r="N82" s="110"/>
      <c r="O82" s="110"/>
      <c r="P82" s="25">
        <v>0</v>
      </c>
      <c r="Q82" s="25">
        <v>0</v>
      </c>
      <c r="R82" s="25">
        <v>0</v>
      </c>
      <c r="S82" s="25">
        <v>0</v>
      </c>
      <c r="T82" s="25">
        <v>0</v>
      </c>
      <c r="U82" s="110"/>
      <c r="V82" s="110"/>
      <c r="W82" s="25">
        <v>0</v>
      </c>
      <c r="X82" s="25">
        <v>0</v>
      </c>
      <c r="Y82" s="25">
        <v>0</v>
      </c>
      <c r="Z82" s="25">
        <v>0</v>
      </c>
      <c r="AA82" s="25">
        <v>0</v>
      </c>
      <c r="AB82" s="110"/>
      <c r="AC82" s="110"/>
      <c r="AD82" s="25">
        <v>0</v>
      </c>
      <c r="AE82" s="25">
        <v>0</v>
      </c>
      <c r="AF82" s="25">
        <v>0</v>
      </c>
      <c r="AG82" s="25">
        <v>1</v>
      </c>
      <c r="AH82" s="25">
        <v>0</v>
      </c>
      <c r="AI82" s="110"/>
      <c r="AJ82" s="110"/>
      <c r="AK82" s="25">
        <v>1</v>
      </c>
      <c r="AL82" s="25">
        <v>1</v>
      </c>
      <c r="AM82" s="25">
        <v>1</v>
      </c>
      <c r="AN82" s="25"/>
      <c r="AO82" s="25">
        <v>1</v>
      </c>
      <c r="AP82" s="110"/>
      <c r="AQ82" s="110"/>
      <c r="AR82" s="25">
        <v>1</v>
      </c>
      <c r="AS82" s="25">
        <v>1</v>
      </c>
      <c r="AT82" s="25"/>
      <c r="AV82" s="25">
        <v>1</v>
      </c>
      <c r="AW82" s="110"/>
      <c r="AX82" s="110"/>
      <c r="AY82" s="25">
        <v>1</v>
      </c>
      <c r="AZ82" s="25">
        <v>1</v>
      </c>
      <c r="BA82" s="25">
        <v>1</v>
      </c>
      <c r="BB82" s="25"/>
      <c r="BC82" s="25">
        <v>1</v>
      </c>
      <c r="BD82" s="110"/>
      <c r="BE82" s="110"/>
      <c r="BF82" s="25">
        <v>1</v>
      </c>
      <c r="BG82" s="25">
        <v>1</v>
      </c>
      <c r="BH82" s="25">
        <v>1</v>
      </c>
      <c r="BI82" s="25"/>
      <c r="BJ82" s="25"/>
      <c r="BK82" s="110"/>
      <c r="BL82" s="110"/>
      <c r="BM82" s="25">
        <v>1</v>
      </c>
      <c r="BN82" s="25"/>
      <c r="BO82" s="25">
        <v>1</v>
      </c>
      <c r="BP82" s="25">
        <v>1</v>
      </c>
      <c r="BQ82" s="25">
        <v>1</v>
      </c>
      <c r="BR82" s="110"/>
      <c r="BS82" s="110"/>
      <c r="BT82" s="25"/>
      <c r="BU82" s="25"/>
      <c r="BV82" s="25">
        <v>1</v>
      </c>
      <c r="BW82" s="25"/>
      <c r="BX82" s="25"/>
      <c r="BY82" s="110"/>
      <c r="BZ82" s="110"/>
      <c r="CA82" s="25"/>
      <c r="CB82" s="25">
        <v>1</v>
      </c>
      <c r="CC82" s="25"/>
      <c r="CD82" s="25"/>
      <c r="CE82" s="25"/>
      <c r="CF82" s="110"/>
      <c r="CG82" s="110"/>
      <c r="CH82" s="25"/>
      <c r="CI82" s="25"/>
      <c r="CJ82" s="25"/>
      <c r="CK82" s="25"/>
      <c r="CL82" s="25"/>
      <c r="CM82" s="110"/>
      <c r="CN82" s="110"/>
      <c r="CO82" s="25"/>
      <c r="CP82" s="25">
        <v>1</v>
      </c>
      <c r="CQ82" s="25">
        <v>1</v>
      </c>
      <c r="CR82" s="25">
        <v>1</v>
      </c>
      <c r="CS82" s="25">
        <v>1</v>
      </c>
      <c r="CT82" s="110"/>
      <c r="CU82" s="110"/>
      <c r="CV82" s="110"/>
      <c r="CW82" s="25">
        <v>1</v>
      </c>
      <c r="CX82" s="25">
        <v>1</v>
      </c>
      <c r="CY82" s="25">
        <v>1</v>
      </c>
      <c r="CZ82" s="25">
        <v>1</v>
      </c>
      <c r="DA82" s="110"/>
      <c r="DB82" s="110"/>
      <c r="DC82" s="25" t="s">
        <v>223</v>
      </c>
      <c r="DD82" s="25" t="s">
        <v>223</v>
      </c>
      <c r="DE82" s="25" t="s">
        <v>223</v>
      </c>
      <c r="DF82" s="25" t="s">
        <v>223</v>
      </c>
      <c r="DG82" s="25" t="s">
        <v>223</v>
      </c>
      <c r="DH82" s="110"/>
      <c r="DI82" s="110"/>
      <c r="DJ82" s="25"/>
      <c r="DK82" s="25"/>
      <c r="DL82" s="25"/>
      <c r="DM82" s="25"/>
      <c r="DN82" s="25"/>
      <c r="DO82" s="110"/>
      <c r="DP82" s="110"/>
      <c r="DQ82" s="25">
        <v>1</v>
      </c>
      <c r="DR82" s="25">
        <v>1</v>
      </c>
      <c r="DS82" s="25">
        <v>1</v>
      </c>
      <c r="DT82" s="25">
        <v>1</v>
      </c>
      <c r="DU82" s="110" t="s">
        <v>445</v>
      </c>
      <c r="DV82" s="110"/>
      <c r="DW82" s="110"/>
      <c r="DX82" s="25">
        <v>1</v>
      </c>
      <c r="DY82" s="25" t="s">
        <v>447</v>
      </c>
      <c r="DZ82" s="25" t="s">
        <v>447</v>
      </c>
      <c r="EA82" s="25" t="s">
        <v>445</v>
      </c>
      <c r="EB82" s="110" t="s">
        <v>445</v>
      </c>
      <c r="EC82" s="110"/>
      <c r="ED82" s="110"/>
      <c r="EE82" s="25">
        <v>1</v>
      </c>
      <c r="EF82" s="25"/>
      <c r="EG82" s="25">
        <v>1</v>
      </c>
      <c r="EH82" s="110" t="s">
        <v>445</v>
      </c>
      <c r="EI82" s="110" t="s">
        <v>445</v>
      </c>
      <c r="EJ82" s="110"/>
      <c r="EK82" s="110"/>
      <c r="EL82" s="25">
        <v>1</v>
      </c>
      <c r="EM82" s="25"/>
      <c r="EN82" s="25"/>
      <c r="EO82" s="25"/>
      <c r="EP82" s="25"/>
      <c r="EQ82" s="110"/>
      <c r="ER82" s="110"/>
      <c r="ES82" s="110" t="s">
        <v>445</v>
      </c>
      <c r="ET82" s="25"/>
      <c r="EU82" s="25"/>
      <c r="EV82" s="25"/>
      <c r="EW82" s="25"/>
      <c r="EX82" s="110"/>
      <c r="EY82" s="110"/>
      <c r="EZ82" s="25"/>
      <c r="FA82" s="25"/>
      <c r="FB82" s="25"/>
      <c r="FC82" s="25"/>
      <c r="FD82" s="25"/>
      <c r="FE82" s="110"/>
      <c r="FF82" s="110"/>
      <c r="FG82" s="25"/>
      <c r="FH82" s="25"/>
      <c r="FI82" s="25"/>
      <c r="FJ82" s="25"/>
      <c r="FK82" s="25"/>
      <c r="FL82" s="110"/>
      <c r="FM82" s="110"/>
      <c r="FN82" s="25"/>
      <c r="FO82" s="25"/>
      <c r="FP82" s="25"/>
      <c r="FQ82" s="25"/>
      <c r="FR82" s="25"/>
      <c r="FS82" s="110"/>
      <c r="FT82" s="110"/>
      <c r="FU82" s="25"/>
      <c r="FV82" s="25"/>
      <c r="FW82" s="25"/>
      <c r="FX82" s="25"/>
      <c r="FY82" s="25"/>
      <c r="FZ82" s="110"/>
      <c r="GA82" s="110"/>
      <c r="GB82" s="25"/>
      <c r="GC82" s="25"/>
      <c r="GD82" s="25"/>
      <c r="GE82" s="25"/>
      <c r="GF82" s="25"/>
      <c r="GG82" s="110"/>
      <c r="GH82" s="110"/>
      <c r="GI82" s="25"/>
      <c r="GJ82" s="25"/>
      <c r="GK82" s="25"/>
      <c r="GL82" s="25"/>
      <c r="GM82" s="25"/>
      <c r="GN82" s="110"/>
      <c r="GO82" s="110"/>
      <c r="GP82" s="110" t="s">
        <v>445</v>
      </c>
      <c r="GQ82" s="110"/>
      <c r="GR82" s="25"/>
      <c r="GS82" s="25"/>
      <c r="GT82" s="25"/>
      <c r="GU82" s="110"/>
      <c r="GV82" s="110"/>
      <c r="GW82" s="25"/>
      <c r="GX82" s="25"/>
      <c r="GY82" s="25"/>
      <c r="GZ82" s="25"/>
      <c r="HA82" s="25"/>
      <c r="HB82" s="110"/>
      <c r="HC82" s="110"/>
      <c r="HD82" s="25"/>
      <c r="HE82" s="25"/>
      <c r="HF82" s="25"/>
      <c r="HG82" s="25"/>
      <c r="HH82" s="25"/>
      <c r="HI82" s="110"/>
      <c r="HJ82" s="110"/>
      <c r="HK82" s="25"/>
      <c r="HL82" s="25"/>
      <c r="HM82" s="25"/>
      <c r="HN82" s="25"/>
      <c r="HO82" s="25"/>
      <c r="HP82" s="110"/>
      <c r="HQ82" s="110"/>
      <c r="HR82" s="25"/>
      <c r="HS82" s="25"/>
      <c r="HT82" s="25"/>
      <c r="HU82" s="25"/>
      <c r="HV82" s="25"/>
      <c r="HW82" s="110"/>
      <c r="HX82" s="110"/>
      <c r="HY82" s="25"/>
      <c r="HZ82" s="25"/>
      <c r="IA82" s="25"/>
      <c r="IB82" s="25"/>
      <c r="IC82" s="25"/>
      <c r="ID82" s="110"/>
      <c r="IE82" s="110"/>
      <c r="IF82" s="25"/>
      <c r="IG82" s="25"/>
      <c r="IH82" s="25"/>
      <c r="II82" s="25"/>
      <c r="IJ82" s="25"/>
      <c r="IK82" s="110"/>
      <c r="IL82" s="110"/>
      <c r="IM82" s="25"/>
      <c r="IN82" s="25"/>
      <c r="IO82" s="25"/>
      <c r="IP82" s="25"/>
      <c r="IQ82" s="25"/>
      <c r="IR82" s="110"/>
      <c r="IS82" s="110"/>
      <c r="IT82" s="25"/>
      <c r="IU82" s="25"/>
      <c r="IV82" s="25"/>
      <c r="IW82" s="25"/>
      <c r="IX82" s="25"/>
      <c r="IY82" s="110"/>
      <c r="IZ82" s="110"/>
      <c r="JA82" s="25"/>
      <c r="JB82" s="25"/>
      <c r="JC82" s="25"/>
      <c r="JD82" s="25"/>
      <c r="JE82" s="25"/>
      <c r="JF82" s="110"/>
      <c r="JG82" s="110"/>
      <c r="JH82" s="25"/>
      <c r="JI82" s="25"/>
      <c r="JJ82" s="25"/>
      <c r="JK82" s="25"/>
      <c r="JL82" s="25"/>
      <c r="JM82" s="110"/>
      <c r="JN82" s="110"/>
      <c r="JO82" s="25"/>
      <c r="JP82" s="25"/>
      <c r="JQ82" s="25"/>
      <c r="JR82" s="25"/>
      <c r="JS82" s="25"/>
      <c r="JT82" s="110"/>
      <c r="JU82" s="110"/>
      <c r="JV82" s="25"/>
      <c r="JW82" s="25"/>
      <c r="JX82" s="25"/>
      <c r="JY82" s="25"/>
      <c r="JZ82" s="25"/>
      <c r="KA82" s="110"/>
      <c r="KB82" s="110"/>
      <c r="KC82" s="25"/>
      <c r="KD82" s="25"/>
      <c r="KE82" s="25"/>
      <c r="KF82" s="25"/>
      <c r="KG82" s="25"/>
      <c r="KH82" s="110"/>
      <c r="KI82" s="110"/>
      <c r="KJ82" s="25"/>
      <c r="KK82" s="25"/>
      <c r="KL82" s="25"/>
      <c r="KM82" s="25"/>
      <c r="KN82" s="25"/>
      <c r="KO82" s="110"/>
      <c r="KP82" s="110"/>
      <c r="KQ82" s="25"/>
      <c r="KR82" s="25"/>
      <c r="KS82" s="25"/>
      <c r="KT82" s="25"/>
      <c r="KU82" s="25"/>
      <c r="KV82" s="110"/>
      <c r="KW82" s="110"/>
      <c r="KX82" s="25"/>
      <c r="KY82" s="25"/>
      <c r="KZ82" s="25"/>
      <c r="LA82" s="25"/>
      <c r="LB82" s="25"/>
      <c r="LC82" s="110"/>
      <c r="LD82" s="110"/>
      <c r="LE82" s="25"/>
      <c r="LF82" s="25"/>
      <c r="LG82" s="110" t="s">
        <v>445</v>
      </c>
      <c r="LH82" s="25"/>
      <c r="LI82" s="25"/>
      <c r="LJ82" s="110"/>
      <c r="LK82" s="110"/>
      <c r="LL82" s="25"/>
      <c r="LM82" s="25"/>
      <c r="LN82" s="25"/>
      <c r="LO82" s="25"/>
      <c r="LP82" s="25"/>
      <c r="LQ82" s="110"/>
      <c r="LR82" s="110"/>
      <c r="LS82" s="25"/>
      <c r="LT82" s="25"/>
      <c r="LU82" s="25"/>
      <c r="LV82" s="25"/>
      <c r="LW82" s="25"/>
      <c r="LX82" s="110"/>
      <c r="LY82" s="110"/>
      <c r="LZ82" s="25"/>
      <c r="MA82" s="25"/>
      <c r="MB82" s="25"/>
      <c r="MC82" s="25"/>
      <c r="MD82" s="25"/>
      <c r="ME82" s="110"/>
      <c r="MF82" s="110"/>
      <c r="MG82" s="25"/>
      <c r="MH82" s="25"/>
      <c r="MI82" s="25"/>
      <c r="MJ82" s="25"/>
      <c r="MK82" s="25"/>
      <c r="ML82" s="110"/>
      <c r="MM82" s="110"/>
      <c r="MN82" s="25"/>
      <c r="MO82" s="25"/>
      <c r="MP82" s="25"/>
      <c r="MQ82" s="25"/>
      <c r="MR82" s="25"/>
      <c r="MS82" s="110"/>
      <c r="MT82" s="110"/>
      <c r="MU82" s="25"/>
      <c r="MV82" s="25"/>
      <c r="MW82" s="25"/>
      <c r="MX82" s="25"/>
      <c r="MY82" s="25"/>
      <c r="MZ82" s="110"/>
      <c r="NA82" s="110"/>
      <c r="NB82" s="25"/>
      <c r="NC82" s="25"/>
      <c r="ND82" s="25"/>
      <c r="NE82" s="129"/>
      <c r="NF82" s="111"/>
      <c r="NG82" s="8">
        <f t="shared" si="72"/>
        <v>1</v>
      </c>
      <c r="NH82" s="351" cm="1">
        <f t="array" ref="NH82">NETWORKDAYS($I$2,$AH$2)- SUM(COUNTIF(I82:AH82,{"I";"F";"CP";"R";"P";"AC";"AM"}))</f>
        <v>20</v>
      </c>
      <c r="NI82" s="138">
        <f t="shared" si="67"/>
        <v>0.05</v>
      </c>
      <c r="NJ82" s="8">
        <f t="shared" si="73"/>
        <v>14</v>
      </c>
      <c r="NK82" s="351" cm="1">
        <f t="array" ref="NK82">NETWORKDAYS($AJ$2,$BK$2)- SUM(COUNTIF(AJ82:BK82,{"I";"F";"CP";"R";"P";"AC";"AM"}))</f>
        <v>20</v>
      </c>
      <c r="NL82" s="138">
        <f t="shared" si="68"/>
        <v>0.7</v>
      </c>
      <c r="NM82" s="8">
        <f t="shared" si="74"/>
        <v>7</v>
      </c>
      <c r="NN82" s="351" cm="1">
        <f t="array" ref="NN82">NETWORKDAYS($BL$2,$CP$2)- SUM(COUNTIF(BL82:CP82,{"I";"F";"CP";"R";"P";"AC";"AM"}))</f>
        <v>22</v>
      </c>
      <c r="NO82" s="138">
        <f t="shared" si="69"/>
        <v>0.31818181818181818</v>
      </c>
      <c r="NP82" s="8">
        <f t="shared" si="75"/>
        <v>11</v>
      </c>
      <c r="NQ82" s="351" cm="1">
        <f t="array" ref="NQ82">NETWORKDAYS($CQ$2,$DT$2,$CV$2)- SUM(COUNTIF(CQ82:DT82,{"I";"F";"CP";"R";"P";"AC";"AM"}))</f>
        <v>16</v>
      </c>
      <c r="NR82" s="138">
        <f t="shared" si="70"/>
        <v>0.6875</v>
      </c>
      <c r="NS82" s="8">
        <f t="shared" si="76"/>
        <v>4</v>
      </c>
      <c r="NT82" s="351" cm="1">
        <f t="array" ref="NT82">NETWORKDAYS($DV$2,$EY$2)-SUM(COUNTIF(DV82:EY82,{"I";"F";"CP";"R";"P";"AC";"AM"}))</f>
        <v>13</v>
      </c>
      <c r="NU82" s="138">
        <f t="shared" si="71"/>
        <v>0.30769230769230771</v>
      </c>
      <c r="NV82" s="8">
        <f t="shared" si="50"/>
        <v>0</v>
      </c>
      <c r="NW82" s="351" cm="1">
        <f t="array" ref="NW82">NETWORKDAYS($EZ$2,$GC$2)-SUM(COUNTIF(EZ82:GC82,{"I";"F";"CP";"R";"P";"AC";"AM"}))</f>
        <v>22</v>
      </c>
      <c r="NX82" s="138">
        <f t="shared" si="51"/>
        <v>0</v>
      </c>
      <c r="NY82" s="8">
        <f t="shared" si="52"/>
        <v>0</v>
      </c>
      <c r="NZ82" s="351" cm="1">
        <f t="array" ref="NZ82">NETWORKDAYS($GD$2,$HH$2,$GQ$2)-SUM(COUNTIF(GD82:HH82,{"I";"F";"CP";"R";"P";"AC";"AM"}))</f>
        <v>21</v>
      </c>
      <c r="OA82" s="138">
        <f t="shared" si="53"/>
        <v>0</v>
      </c>
      <c r="OB82" s="8">
        <f t="shared" si="54"/>
        <v>0</v>
      </c>
      <c r="OC82" s="351" cm="1">
        <f t="array" ref="OC82">NETWORKDAYS($HI$2,$IM$2)-SUM(COUNTIF(HI82:IM82,{"I";"F";"CP";"R";"P";"AC";"AM"}))</f>
        <v>21</v>
      </c>
      <c r="OD82" s="138">
        <f t="shared" si="55"/>
        <v>0</v>
      </c>
      <c r="OE82" s="8">
        <f t="shared" si="56"/>
        <v>0</v>
      </c>
      <c r="OF82" s="351" cm="1">
        <f t="array" ref="OF82">NETWORKDAYS($IN$2,$JQ$2)-SUM(COUNTIF(IN82:JQ82,{"I";"F";"CP";"R";"P";"AC";"AM"}))</f>
        <v>22</v>
      </c>
      <c r="OG82" s="138">
        <f t="shared" si="57"/>
        <v>0</v>
      </c>
      <c r="OH82" s="8">
        <f t="shared" si="58"/>
        <v>0</v>
      </c>
      <c r="OI82" s="351" cm="1">
        <f t="array" ref="OI82">NETWORKDAYS($JR$2,$KV$2)-SUM(COUNTIF(JR82:KV82,{"I";"F";"CP";"R";"P";"AC";"AM"}))</f>
        <v>22</v>
      </c>
      <c r="OJ82" s="138">
        <f t="shared" si="59"/>
        <v>0</v>
      </c>
      <c r="OK82" s="8">
        <f t="shared" si="60"/>
        <v>0</v>
      </c>
      <c r="OL82" s="351" cm="1">
        <f t="array" ref="OL82">NETWORKDAYS($KW$2,$LZ$2,$LG$2)-SUM(COUNTIF(KW82:LZ82,{"I";"F";"CP";"R";"P";"AC";"AM"}))</f>
        <v>19</v>
      </c>
      <c r="OM82" s="138">
        <f t="shared" si="61"/>
        <v>0</v>
      </c>
      <c r="ON82" s="8">
        <f t="shared" si="62"/>
        <v>0</v>
      </c>
      <c r="OO82" s="351" cm="1">
        <f t="array" ref="OO82">NETWORKDAYS($MA$2,$MR$2)-SUM(COUNTIF(MA82:MR82,{"I";"F";"CP";"R";"P";"AC";"AM"}))</f>
        <v>14</v>
      </c>
      <c r="OP82" s="138">
        <f t="shared" si="63"/>
        <v>0</v>
      </c>
      <c r="OQ82" s="94">
        <f t="shared" si="64"/>
        <v>37</v>
      </c>
      <c r="OR82" s="94">
        <f t="shared" si="65"/>
        <v>232</v>
      </c>
      <c r="OS82" s="138">
        <f t="shared" si="66"/>
        <v>0.15948275862068967</v>
      </c>
    </row>
    <row r="83" spans="1:409" ht="18" hidden="1" customHeight="1" x14ac:dyDescent="0.25">
      <c r="A83" s="95" t="s">
        <v>192</v>
      </c>
      <c r="B83" s="95" t="s">
        <v>192</v>
      </c>
      <c r="C83" s="89" t="s">
        <v>160</v>
      </c>
      <c r="D83" s="89" t="s">
        <v>260</v>
      </c>
      <c r="E83" s="128"/>
      <c r="F83" s="110"/>
      <c r="G83" s="110"/>
      <c r="H83" s="110"/>
      <c r="I83" s="25"/>
      <c r="J83" s="25"/>
      <c r="K83" s="25"/>
      <c r="L83" s="25">
        <v>1</v>
      </c>
      <c r="M83" s="25">
        <v>1</v>
      </c>
      <c r="N83" s="110"/>
      <c r="O83" s="110"/>
      <c r="P83" s="25">
        <v>1</v>
      </c>
      <c r="Q83" s="25"/>
      <c r="R83" s="25">
        <v>1</v>
      </c>
      <c r="S83" s="25">
        <v>1</v>
      </c>
      <c r="T83" s="25">
        <v>1</v>
      </c>
      <c r="U83" s="110"/>
      <c r="V83" s="110"/>
      <c r="W83" s="25"/>
      <c r="X83" s="25"/>
      <c r="Y83" s="25"/>
      <c r="Z83" s="25"/>
      <c r="AA83" s="25"/>
      <c r="AB83" s="110"/>
      <c r="AC83" s="110"/>
      <c r="AD83" s="25"/>
      <c r="AE83" s="25"/>
      <c r="AF83" s="25"/>
      <c r="AG83" s="25"/>
      <c r="AH83" s="25"/>
      <c r="AI83" s="110"/>
      <c r="AJ83" s="110"/>
      <c r="AK83" s="25">
        <v>1</v>
      </c>
      <c r="AL83" s="25"/>
      <c r="AM83" s="25"/>
      <c r="AN83" s="25"/>
      <c r="AO83" s="25"/>
      <c r="AP83" s="110"/>
      <c r="AQ83" s="110"/>
      <c r="AR83" s="25"/>
      <c r="AS83" s="25"/>
      <c r="AT83" s="25"/>
      <c r="AV83" s="25"/>
      <c r="AW83" s="110"/>
      <c r="AX83" s="110"/>
      <c r="AY83" s="25"/>
      <c r="AZ83" s="25"/>
      <c r="BA83" s="25"/>
      <c r="BB83" s="25"/>
      <c r="BC83" s="25"/>
      <c r="BD83" s="110"/>
      <c r="BE83" s="110"/>
      <c r="BF83" s="25"/>
      <c r="BG83" s="25"/>
      <c r="BH83" s="25"/>
      <c r="BI83" s="25"/>
      <c r="BJ83" s="25"/>
      <c r="BK83" s="110"/>
      <c r="BL83" s="110"/>
      <c r="BM83" s="25"/>
      <c r="BN83" s="25"/>
      <c r="BO83" s="25"/>
      <c r="BP83" s="25"/>
      <c r="BQ83" s="25"/>
      <c r="BR83" s="110"/>
      <c r="BS83" s="110"/>
      <c r="BT83" s="25"/>
      <c r="BU83" s="25"/>
      <c r="BV83" s="25"/>
      <c r="BW83" s="25"/>
      <c r="BX83" s="25"/>
      <c r="BY83" s="110"/>
      <c r="BZ83" s="110"/>
      <c r="CA83" s="25"/>
      <c r="CB83" s="25"/>
      <c r="CC83" s="25"/>
      <c r="CD83" s="25"/>
      <c r="CE83" s="25"/>
      <c r="CF83" s="110"/>
      <c r="CG83" s="110"/>
      <c r="CH83" s="25">
        <v>1</v>
      </c>
      <c r="CI83" s="25">
        <v>1</v>
      </c>
      <c r="CJ83" s="25"/>
      <c r="CK83" s="25"/>
      <c r="CL83" s="25">
        <v>1</v>
      </c>
      <c r="CM83" s="110"/>
      <c r="CN83" s="110"/>
      <c r="CO83" s="25"/>
      <c r="CP83" s="25"/>
      <c r="CQ83" s="25"/>
      <c r="CR83" s="25">
        <v>1</v>
      </c>
      <c r="CS83" s="25"/>
      <c r="CT83" s="110"/>
      <c r="CU83" s="110"/>
      <c r="CV83" s="110"/>
      <c r="CW83" s="25"/>
      <c r="CX83" s="25"/>
      <c r="CY83" s="25"/>
      <c r="CZ83" s="25"/>
      <c r="DA83" s="110"/>
      <c r="DB83" s="110"/>
      <c r="DC83" s="25"/>
      <c r="DD83" s="25"/>
      <c r="DE83" s="25"/>
      <c r="DF83" s="25"/>
      <c r="DG83" s="25"/>
      <c r="DH83" s="110"/>
      <c r="DI83" s="110"/>
      <c r="DJ83" s="25"/>
      <c r="DK83" s="25"/>
      <c r="DL83" s="25"/>
      <c r="DM83" s="25">
        <v>1</v>
      </c>
      <c r="DN83" s="25">
        <v>1</v>
      </c>
      <c r="DO83" s="110"/>
      <c r="DP83" s="110"/>
      <c r="DQ83" s="25">
        <v>1</v>
      </c>
      <c r="DR83" s="25">
        <v>1</v>
      </c>
      <c r="DS83" s="25">
        <v>1</v>
      </c>
      <c r="DT83" s="25"/>
      <c r="DU83" s="110" t="s">
        <v>445</v>
      </c>
      <c r="DV83" s="110"/>
      <c r="DW83" s="110"/>
      <c r="DX83" s="25"/>
      <c r="DY83" s="25"/>
      <c r="DZ83" s="25"/>
      <c r="EA83" s="25"/>
      <c r="EB83" s="110" t="s">
        <v>445</v>
      </c>
      <c r="EC83" s="110"/>
      <c r="ED83" s="110"/>
      <c r="EE83" s="25"/>
      <c r="EF83" s="25"/>
      <c r="EG83" s="25"/>
      <c r="EH83" s="110" t="s">
        <v>445</v>
      </c>
      <c r="EI83" s="110" t="s">
        <v>445</v>
      </c>
      <c r="EJ83" s="110"/>
      <c r="EK83" s="110"/>
      <c r="EL83" s="25"/>
      <c r="EM83" s="25"/>
      <c r="EN83" s="25"/>
      <c r="EO83" s="25"/>
      <c r="EP83" s="25"/>
      <c r="EQ83" s="110"/>
      <c r="ER83" s="110"/>
      <c r="ES83" s="110" t="s">
        <v>445</v>
      </c>
      <c r="ET83" s="25"/>
      <c r="EU83" s="25"/>
      <c r="EV83" s="25"/>
      <c r="EW83" s="25"/>
      <c r="EX83" s="110"/>
      <c r="EY83" s="110"/>
      <c r="EZ83" s="25"/>
      <c r="FA83" s="25"/>
      <c r="FB83" s="25"/>
      <c r="FC83" s="25"/>
      <c r="FD83" s="25"/>
      <c r="FE83" s="110"/>
      <c r="FF83" s="110"/>
      <c r="FG83" s="25"/>
      <c r="FH83" s="25"/>
      <c r="FI83" s="25"/>
      <c r="FJ83" s="25"/>
      <c r="FK83" s="25"/>
      <c r="FL83" s="110"/>
      <c r="FM83" s="110"/>
      <c r="FN83" s="25"/>
      <c r="FO83" s="25"/>
      <c r="FP83" s="25"/>
      <c r="FQ83" s="25"/>
      <c r="FR83" s="25"/>
      <c r="FS83" s="110"/>
      <c r="FT83" s="110"/>
      <c r="FU83" s="25"/>
      <c r="FV83" s="25"/>
      <c r="FW83" s="25"/>
      <c r="FX83" s="25"/>
      <c r="FY83" s="25"/>
      <c r="FZ83" s="110"/>
      <c r="GA83" s="110"/>
      <c r="GB83" s="25"/>
      <c r="GC83" s="25"/>
      <c r="GD83" s="25"/>
      <c r="GE83" s="25"/>
      <c r="GF83" s="25"/>
      <c r="GG83" s="110"/>
      <c r="GH83" s="110"/>
      <c r="GI83" s="25"/>
      <c r="GJ83" s="25"/>
      <c r="GK83" s="25"/>
      <c r="GL83" s="25"/>
      <c r="GM83" s="25"/>
      <c r="GN83" s="110"/>
      <c r="GO83" s="110"/>
      <c r="GP83" s="110" t="s">
        <v>445</v>
      </c>
      <c r="GQ83" s="110"/>
      <c r="GR83" s="25"/>
      <c r="GS83" s="25"/>
      <c r="GT83" s="25"/>
      <c r="GU83" s="110"/>
      <c r="GV83" s="110"/>
      <c r="GW83" s="25"/>
      <c r="GX83" s="25"/>
      <c r="GY83" s="25"/>
      <c r="GZ83" s="25"/>
      <c r="HA83" s="25"/>
      <c r="HB83" s="110"/>
      <c r="HC83" s="110"/>
      <c r="HD83" s="25"/>
      <c r="HE83" s="25"/>
      <c r="HF83" s="25"/>
      <c r="HG83" s="25"/>
      <c r="HH83" s="25"/>
      <c r="HI83" s="110"/>
      <c r="HJ83" s="110"/>
      <c r="HK83" s="25"/>
      <c r="HL83" s="25"/>
      <c r="HM83" s="25"/>
      <c r="HN83" s="25"/>
      <c r="HO83" s="25"/>
      <c r="HP83" s="110"/>
      <c r="HQ83" s="110"/>
      <c r="HR83" s="25"/>
      <c r="HS83" s="25"/>
      <c r="HT83" s="25"/>
      <c r="HU83" s="25"/>
      <c r="HV83" s="25"/>
      <c r="HW83" s="110"/>
      <c r="HX83" s="110"/>
      <c r="HY83" s="25"/>
      <c r="HZ83" s="25"/>
      <c r="IA83" s="25"/>
      <c r="IB83" s="25"/>
      <c r="IC83" s="25"/>
      <c r="ID83" s="110"/>
      <c r="IE83" s="110"/>
      <c r="IF83" s="25"/>
      <c r="IG83" s="25"/>
      <c r="IH83" s="25"/>
      <c r="II83" s="25"/>
      <c r="IJ83" s="25"/>
      <c r="IK83" s="110"/>
      <c r="IL83" s="110"/>
      <c r="IM83" s="25"/>
      <c r="IN83" s="25"/>
      <c r="IO83" s="25"/>
      <c r="IP83" s="25"/>
      <c r="IQ83" s="25"/>
      <c r="IR83" s="110"/>
      <c r="IS83" s="110"/>
      <c r="IT83" s="25"/>
      <c r="IU83" s="25"/>
      <c r="IV83" s="25"/>
      <c r="IW83" s="25"/>
      <c r="IX83" s="25"/>
      <c r="IY83" s="110"/>
      <c r="IZ83" s="110"/>
      <c r="JA83" s="25"/>
      <c r="JB83" s="25"/>
      <c r="JC83" s="25"/>
      <c r="JD83" s="25"/>
      <c r="JE83" s="25"/>
      <c r="JF83" s="110"/>
      <c r="JG83" s="110"/>
      <c r="JH83" s="25"/>
      <c r="JI83" s="25"/>
      <c r="JJ83" s="25"/>
      <c r="JK83" s="25"/>
      <c r="JL83" s="25"/>
      <c r="JM83" s="110"/>
      <c r="JN83" s="110"/>
      <c r="JO83" s="25"/>
      <c r="JP83" s="25"/>
      <c r="JQ83" s="25"/>
      <c r="JR83" s="25"/>
      <c r="JS83" s="25"/>
      <c r="JT83" s="110"/>
      <c r="JU83" s="110"/>
      <c r="JV83" s="25"/>
      <c r="JW83" s="25"/>
      <c r="JX83" s="25"/>
      <c r="JY83" s="25"/>
      <c r="JZ83" s="25"/>
      <c r="KA83" s="110"/>
      <c r="KB83" s="110"/>
      <c r="KC83" s="25"/>
      <c r="KD83" s="25"/>
      <c r="KE83" s="25"/>
      <c r="KF83" s="25"/>
      <c r="KG83" s="25"/>
      <c r="KH83" s="110"/>
      <c r="KI83" s="110"/>
      <c r="KJ83" s="25"/>
      <c r="KK83" s="25"/>
      <c r="KL83" s="25"/>
      <c r="KM83" s="25"/>
      <c r="KN83" s="25"/>
      <c r="KO83" s="110"/>
      <c r="KP83" s="110"/>
      <c r="KQ83" s="25"/>
      <c r="KR83" s="25"/>
      <c r="KS83" s="25"/>
      <c r="KT83" s="25"/>
      <c r="KU83" s="25"/>
      <c r="KV83" s="110"/>
      <c r="KW83" s="110"/>
      <c r="KX83" s="25"/>
      <c r="KY83" s="25"/>
      <c r="KZ83" s="25"/>
      <c r="LA83" s="25"/>
      <c r="LB83" s="25"/>
      <c r="LC83" s="110"/>
      <c r="LD83" s="110"/>
      <c r="LE83" s="25"/>
      <c r="LF83" s="25"/>
      <c r="LG83" s="110" t="s">
        <v>445</v>
      </c>
      <c r="LH83" s="25"/>
      <c r="LI83" s="25"/>
      <c r="LJ83" s="110"/>
      <c r="LK83" s="110"/>
      <c r="LL83" s="25"/>
      <c r="LM83" s="25"/>
      <c r="LN83" s="25"/>
      <c r="LO83" s="25"/>
      <c r="LP83" s="25"/>
      <c r="LQ83" s="110"/>
      <c r="LR83" s="110"/>
      <c r="LS83" s="25"/>
      <c r="LT83" s="25"/>
      <c r="LU83" s="25"/>
      <c r="LV83" s="25"/>
      <c r="LW83" s="25"/>
      <c r="LX83" s="110"/>
      <c r="LY83" s="110"/>
      <c r="LZ83" s="25"/>
      <c r="MA83" s="25"/>
      <c r="MB83" s="25"/>
      <c r="MC83" s="25"/>
      <c r="MD83" s="25"/>
      <c r="ME83" s="110"/>
      <c r="MF83" s="110"/>
      <c r="MG83" s="25"/>
      <c r="MH83" s="25"/>
      <c r="MI83" s="25"/>
      <c r="MJ83" s="25"/>
      <c r="MK83" s="25"/>
      <c r="ML83" s="110"/>
      <c r="MM83" s="110"/>
      <c r="MN83" s="25"/>
      <c r="MO83" s="25"/>
      <c r="MP83" s="25"/>
      <c r="MQ83" s="25"/>
      <c r="MR83" s="25"/>
      <c r="MS83" s="110"/>
      <c r="MT83" s="110"/>
      <c r="MU83" s="25"/>
      <c r="MV83" s="25"/>
      <c r="MW83" s="25"/>
      <c r="MX83" s="25"/>
      <c r="MY83" s="25"/>
      <c r="MZ83" s="110"/>
      <c r="NA83" s="110"/>
      <c r="NB83" s="25"/>
      <c r="NC83" s="25"/>
      <c r="ND83" s="25"/>
      <c r="NE83" s="129"/>
      <c r="NF83" s="111"/>
      <c r="NG83" s="8">
        <f t="shared" si="72"/>
        <v>6</v>
      </c>
      <c r="NH83" s="351" cm="1">
        <f t="array" ref="NH83">NETWORKDAYS($I$2,$AH$2)- SUM(COUNTIF(I83:AH83,{"I";"F";"CP";"R";"P";"AC";"AM"}))</f>
        <v>20</v>
      </c>
      <c r="NI83" s="138">
        <f t="shared" si="67"/>
        <v>0.3</v>
      </c>
      <c r="NJ83" s="8">
        <f t="shared" si="73"/>
        <v>1</v>
      </c>
      <c r="NK83" s="351" cm="1">
        <f t="array" ref="NK83">NETWORKDAYS($AJ$2,$BK$2)- SUM(COUNTIF(AJ83:BK83,{"I";"F";"CP";"R";"P";"AC";"AM"}))</f>
        <v>20</v>
      </c>
      <c r="NL83" s="138">
        <f t="shared" si="68"/>
        <v>0.05</v>
      </c>
      <c r="NM83" s="8">
        <f t="shared" si="74"/>
        <v>3</v>
      </c>
      <c r="NN83" s="351" cm="1">
        <f t="array" ref="NN83">NETWORKDAYS($BL$2,$CP$2)- SUM(COUNTIF(BL83:CP83,{"I";"F";"CP";"R";"P";"AC";"AM"}))</f>
        <v>22</v>
      </c>
      <c r="NO83" s="138">
        <f t="shared" si="69"/>
        <v>0.13636363636363635</v>
      </c>
      <c r="NP83" s="8">
        <f t="shared" si="75"/>
        <v>6</v>
      </c>
      <c r="NQ83" s="351" cm="1">
        <f t="array" ref="NQ83">NETWORKDAYS($CQ$2,$DT$2,$CV$2)- SUM(COUNTIF(CQ83:DT83,{"I";"F";"CP";"R";"P";"AC";"AM"}))</f>
        <v>21</v>
      </c>
      <c r="NR83" s="138">
        <f t="shared" si="70"/>
        <v>0.2857142857142857</v>
      </c>
      <c r="NS83" s="8">
        <f t="shared" si="76"/>
        <v>0</v>
      </c>
      <c r="NT83" s="351" cm="1">
        <f t="array" ref="NT83">NETWORKDAYS($DV$2,$EY$2)-SUM(COUNTIF(DV83:EY83,{"I";"F";"CP";"R";"P";"AC";"AM"}))</f>
        <v>16</v>
      </c>
      <c r="NU83" s="138">
        <f t="shared" si="71"/>
        <v>0</v>
      </c>
      <c r="NV83" s="8">
        <f t="shared" si="50"/>
        <v>0</v>
      </c>
      <c r="NW83" s="351" cm="1">
        <f t="array" ref="NW83">NETWORKDAYS($EZ$2,$GC$2)-SUM(COUNTIF(EZ83:GC83,{"I";"F";"CP";"R";"P";"AC";"AM"}))</f>
        <v>22</v>
      </c>
      <c r="NX83" s="138">
        <f t="shared" si="51"/>
        <v>0</v>
      </c>
      <c r="NY83" s="8">
        <f t="shared" si="52"/>
        <v>0</v>
      </c>
      <c r="NZ83" s="351" cm="1">
        <f t="array" ref="NZ83">NETWORKDAYS($GD$2,$HH$2,$GQ$2)-SUM(COUNTIF(GD83:HH83,{"I";"F";"CP";"R";"P";"AC";"AM"}))</f>
        <v>21</v>
      </c>
      <c r="OA83" s="138">
        <f t="shared" si="53"/>
        <v>0</v>
      </c>
      <c r="OB83" s="8">
        <f t="shared" si="54"/>
        <v>0</v>
      </c>
      <c r="OC83" s="351" cm="1">
        <f t="array" ref="OC83">NETWORKDAYS($HI$2,$IM$2)-SUM(COUNTIF(HI83:IM83,{"I";"F";"CP";"R";"P";"AC";"AM"}))</f>
        <v>21</v>
      </c>
      <c r="OD83" s="138">
        <f t="shared" si="55"/>
        <v>0</v>
      </c>
      <c r="OE83" s="8">
        <f t="shared" si="56"/>
        <v>0</v>
      </c>
      <c r="OF83" s="351" cm="1">
        <f t="array" ref="OF83">NETWORKDAYS($IN$2,$JQ$2)-SUM(COUNTIF(IN83:JQ83,{"I";"F";"CP";"R";"P";"AC";"AM"}))</f>
        <v>22</v>
      </c>
      <c r="OG83" s="138">
        <f t="shared" si="57"/>
        <v>0</v>
      </c>
      <c r="OH83" s="8">
        <f t="shared" si="58"/>
        <v>0</v>
      </c>
      <c r="OI83" s="351" cm="1">
        <f t="array" ref="OI83">NETWORKDAYS($JR$2,$KV$2)-SUM(COUNTIF(JR83:KV83,{"I";"F";"CP";"R";"P";"AC";"AM"}))</f>
        <v>22</v>
      </c>
      <c r="OJ83" s="138">
        <f t="shared" si="59"/>
        <v>0</v>
      </c>
      <c r="OK83" s="8">
        <f t="shared" si="60"/>
        <v>0</v>
      </c>
      <c r="OL83" s="351" cm="1">
        <f t="array" ref="OL83">NETWORKDAYS($KW$2,$LZ$2,$LG$2)-SUM(COUNTIF(KW83:LZ83,{"I";"F";"CP";"R";"P";"AC";"AM"}))</f>
        <v>19</v>
      </c>
      <c r="OM83" s="138">
        <f t="shared" si="61"/>
        <v>0</v>
      </c>
      <c r="ON83" s="8">
        <f t="shared" si="62"/>
        <v>0</v>
      </c>
      <c r="OO83" s="351" cm="1">
        <f t="array" ref="OO83">NETWORKDAYS($MA$2,$MR$2)-SUM(COUNTIF(MA83:MR83,{"I";"F";"CP";"R";"P";"AC";"AM"}))</f>
        <v>14</v>
      </c>
      <c r="OP83" s="138">
        <f t="shared" si="63"/>
        <v>0</v>
      </c>
      <c r="OQ83" s="94">
        <f t="shared" si="64"/>
        <v>16</v>
      </c>
      <c r="OR83" s="94">
        <f t="shared" si="65"/>
        <v>240</v>
      </c>
      <c r="OS83" s="138">
        <f t="shared" si="66"/>
        <v>6.6666666666666666E-2</v>
      </c>
    </row>
    <row r="84" spans="1:409" ht="18" hidden="1" customHeight="1" x14ac:dyDescent="0.25">
      <c r="A84" s="93" t="s">
        <v>109</v>
      </c>
      <c r="B84" s="95" t="s">
        <v>34</v>
      </c>
      <c r="C84" s="89" t="s">
        <v>160</v>
      </c>
      <c r="D84" s="89" t="s">
        <v>261</v>
      </c>
      <c r="E84" s="128"/>
      <c r="F84" s="110"/>
      <c r="G84" s="110"/>
      <c r="H84" s="110"/>
      <c r="I84" s="25"/>
      <c r="J84" s="25">
        <v>1</v>
      </c>
      <c r="K84" s="25">
        <v>1</v>
      </c>
      <c r="L84" s="25"/>
      <c r="M84" s="25">
        <v>1</v>
      </c>
      <c r="N84" s="110"/>
      <c r="O84" s="110"/>
      <c r="P84" s="25">
        <v>1</v>
      </c>
      <c r="Q84" s="25">
        <v>1</v>
      </c>
      <c r="R84" s="25">
        <v>1</v>
      </c>
      <c r="S84" s="25">
        <v>1</v>
      </c>
      <c r="T84" s="25">
        <v>1</v>
      </c>
      <c r="U84" s="110"/>
      <c r="V84" s="110"/>
      <c r="W84" s="25">
        <v>1</v>
      </c>
      <c r="X84" s="25">
        <v>1</v>
      </c>
      <c r="Y84" s="25">
        <v>1</v>
      </c>
      <c r="Z84" s="25"/>
      <c r="AA84" s="25"/>
      <c r="AB84" s="110"/>
      <c r="AC84" s="110"/>
      <c r="AD84" s="25"/>
      <c r="AE84" s="25"/>
      <c r="AF84" s="25"/>
      <c r="AG84" s="25">
        <v>1</v>
      </c>
      <c r="AH84" s="25">
        <v>1</v>
      </c>
      <c r="AI84" s="110"/>
      <c r="AJ84" s="110"/>
      <c r="AK84" s="25"/>
      <c r="AL84" s="25">
        <v>1</v>
      </c>
      <c r="AM84" s="25"/>
      <c r="AN84" s="25"/>
      <c r="AO84" s="25">
        <v>1</v>
      </c>
      <c r="AP84" s="110"/>
      <c r="AQ84" s="110"/>
      <c r="AR84" s="25"/>
      <c r="AS84" s="25"/>
      <c r="AT84" s="25">
        <v>1</v>
      </c>
      <c r="AV84" s="25">
        <v>1</v>
      </c>
      <c r="AW84" s="110"/>
      <c r="AX84" s="110"/>
      <c r="AY84" s="25">
        <v>1</v>
      </c>
      <c r="AZ84" s="25">
        <v>1</v>
      </c>
      <c r="BA84" s="25">
        <v>1</v>
      </c>
      <c r="BB84" s="25">
        <v>1</v>
      </c>
      <c r="BC84" s="25"/>
      <c r="BD84" s="110"/>
      <c r="BE84" s="110"/>
      <c r="BF84" s="25"/>
      <c r="BG84" s="25"/>
      <c r="BH84" s="25"/>
      <c r="BI84" s="25"/>
      <c r="BJ84" s="25"/>
      <c r="BK84" s="110"/>
      <c r="BL84" s="110"/>
      <c r="BM84" s="25"/>
      <c r="BN84" s="25">
        <v>1</v>
      </c>
      <c r="BO84" s="25">
        <v>1</v>
      </c>
      <c r="BP84" s="25">
        <v>1</v>
      </c>
      <c r="BQ84" s="25">
        <v>1</v>
      </c>
      <c r="BR84" s="110"/>
      <c r="BS84" s="110"/>
      <c r="BT84" s="25">
        <v>1</v>
      </c>
      <c r="BU84" s="25"/>
      <c r="BV84" s="25"/>
      <c r="BW84" s="25"/>
      <c r="BX84" s="25"/>
      <c r="BY84" s="110"/>
      <c r="BZ84" s="110"/>
      <c r="CA84" s="25"/>
      <c r="CB84" s="25"/>
      <c r="CC84" s="25"/>
      <c r="CD84" s="25"/>
      <c r="CE84" s="25"/>
      <c r="CF84" s="110"/>
      <c r="CG84" s="110"/>
      <c r="CH84" s="25"/>
      <c r="CI84" s="25"/>
      <c r="CJ84" s="25"/>
      <c r="CK84" s="25"/>
      <c r="CL84" s="25"/>
      <c r="CM84" s="110"/>
      <c r="CN84" s="110"/>
      <c r="CO84" s="25" t="s">
        <v>162</v>
      </c>
      <c r="CP84" s="25" t="s">
        <v>162</v>
      </c>
      <c r="CQ84" s="25" t="s">
        <v>162</v>
      </c>
      <c r="CR84" s="25" t="s">
        <v>162</v>
      </c>
      <c r="CS84" s="25" t="s">
        <v>162</v>
      </c>
      <c r="CT84" s="110"/>
      <c r="CU84" s="110"/>
      <c r="CV84" s="110"/>
      <c r="CW84" s="25" t="s">
        <v>162</v>
      </c>
      <c r="CX84" s="25" t="s">
        <v>162</v>
      </c>
      <c r="CY84" s="25" t="s">
        <v>162</v>
      </c>
      <c r="CZ84" s="25" t="s">
        <v>162</v>
      </c>
      <c r="DA84" s="110"/>
      <c r="DB84" s="110"/>
      <c r="DC84" s="25" t="s">
        <v>162</v>
      </c>
      <c r="DD84" s="25" t="s">
        <v>162</v>
      </c>
      <c r="DE84" s="25" t="s">
        <v>162</v>
      </c>
      <c r="DF84" s="25" t="s">
        <v>162</v>
      </c>
      <c r="DG84" s="25"/>
      <c r="DH84" s="110"/>
      <c r="DI84" s="110"/>
      <c r="DJ84" s="25"/>
      <c r="DK84" s="25"/>
      <c r="DL84" s="25"/>
      <c r="DM84" s="25"/>
      <c r="DN84" s="25"/>
      <c r="DO84" s="110"/>
      <c r="DP84" s="110"/>
      <c r="DQ84" s="25">
        <v>1</v>
      </c>
      <c r="DR84" s="25">
        <v>1</v>
      </c>
      <c r="DS84" s="25">
        <v>1</v>
      </c>
      <c r="DT84" s="25">
        <v>1</v>
      </c>
      <c r="DU84" s="110" t="s">
        <v>445</v>
      </c>
      <c r="DV84" s="110"/>
      <c r="DW84" s="110"/>
      <c r="DX84" s="25"/>
      <c r="DY84" s="25"/>
      <c r="DZ84" s="25"/>
      <c r="EA84" s="25"/>
      <c r="EB84" s="110" t="s">
        <v>445</v>
      </c>
      <c r="EC84" s="110"/>
      <c r="ED84" s="110"/>
      <c r="EE84" s="25"/>
      <c r="EF84" s="25"/>
      <c r="EG84" s="25"/>
      <c r="EH84" s="110" t="s">
        <v>445</v>
      </c>
      <c r="EI84" s="110" t="s">
        <v>445</v>
      </c>
      <c r="EJ84" s="110"/>
      <c r="EK84" s="110"/>
      <c r="EL84" s="25"/>
      <c r="EM84" s="25"/>
      <c r="EN84" s="25"/>
      <c r="EO84" s="25"/>
      <c r="EP84" s="25"/>
      <c r="EQ84" s="110"/>
      <c r="ER84" s="110"/>
      <c r="ES84" s="110" t="s">
        <v>445</v>
      </c>
      <c r="ET84" s="25"/>
      <c r="EU84" s="25"/>
      <c r="EV84" s="25"/>
      <c r="EW84" s="25"/>
      <c r="EX84" s="110"/>
      <c r="EY84" s="110"/>
      <c r="EZ84" s="25"/>
      <c r="FA84" s="25"/>
      <c r="FB84" s="25"/>
      <c r="FC84" s="25"/>
      <c r="FD84" s="25"/>
      <c r="FE84" s="110"/>
      <c r="FF84" s="110"/>
      <c r="FG84" s="25"/>
      <c r="FH84" s="25"/>
      <c r="FI84" s="25"/>
      <c r="FJ84" s="25"/>
      <c r="FK84" s="25"/>
      <c r="FL84" s="110"/>
      <c r="FM84" s="110"/>
      <c r="FN84" s="25"/>
      <c r="FO84" s="25"/>
      <c r="FP84" s="25"/>
      <c r="FQ84" s="25"/>
      <c r="FR84" s="25"/>
      <c r="FS84" s="110"/>
      <c r="FT84" s="110"/>
      <c r="FU84" s="25"/>
      <c r="FV84" s="25"/>
      <c r="FW84" s="25"/>
      <c r="FX84" s="25"/>
      <c r="FY84" s="25"/>
      <c r="FZ84" s="110"/>
      <c r="GA84" s="110"/>
      <c r="GB84" s="25"/>
      <c r="GC84" s="25"/>
      <c r="GD84" s="25"/>
      <c r="GE84" s="25"/>
      <c r="GF84" s="25"/>
      <c r="GG84" s="110"/>
      <c r="GH84" s="110"/>
      <c r="GI84" s="25"/>
      <c r="GJ84" s="25"/>
      <c r="GK84" s="25"/>
      <c r="GL84" s="25"/>
      <c r="GM84" s="25"/>
      <c r="GN84" s="110"/>
      <c r="GO84" s="110"/>
      <c r="GP84" s="110" t="s">
        <v>445</v>
      </c>
      <c r="GQ84" s="110"/>
      <c r="GR84" s="25"/>
      <c r="GS84" s="25"/>
      <c r="GT84" s="25"/>
      <c r="GU84" s="110"/>
      <c r="GV84" s="110"/>
      <c r="GW84" s="25"/>
      <c r="GX84" s="25"/>
      <c r="GY84" s="25"/>
      <c r="GZ84" s="25"/>
      <c r="HA84" s="25"/>
      <c r="HB84" s="110"/>
      <c r="HC84" s="110"/>
      <c r="HD84" s="25"/>
      <c r="HE84" s="25"/>
      <c r="HF84" s="25"/>
      <c r="HG84" s="25"/>
      <c r="HH84" s="25"/>
      <c r="HI84" s="110"/>
      <c r="HJ84" s="110"/>
      <c r="HK84" s="25"/>
      <c r="HL84" s="25"/>
      <c r="HM84" s="25"/>
      <c r="HN84" s="25"/>
      <c r="HO84" s="25"/>
      <c r="HP84" s="110"/>
      <c r="HQ84" s="110"/>
      <c r="HR84" s="25"/>
      <c r="HS84" s="25"/>
      <c r="HT84" s="25"/>
      <c r="HU84" s="25"/>
      <c r="HV84" s="25"/>
      <c r="HW84" s="110"/>
      <c r="HX84" s="110"/>
      <c r="HY84" s="25"/>
      <c r="HZ84" s="25"/>
      <c r="IA84" s="25"/>
      <c r="IB84" s="25"/>
      <c r="IC84" s="25"/>
      <c r="ID84" s="110"/>
      <c r="IE84" s="110"/>
      <c r="IF84" s="25"/>
      <c r="IG84" s="25"/>
      <c r="IH84" s="25"/>
      <c r="II84" s="25"/>
      <c r="IJ84" s="25"/>
      <c r="IK84" s="110"/>
      <c r="IL84" s="110"/>
      <c r="IM84" s="25"/>
      <c r="IN84" s="25"/>
      <c r="IO84" s="25"/>
      <c r="IP84" s="25"/>
      <c r="IQ84" s="25"/>
      <c r="IR84" s="110"/>
      <c r="IS84" s="110"/>
      <c r="IT84" s="25"/>
      <c r="IU84" s="25"/>
      <c r="IV84" s="25"/>
      <c r="IW84" s="25"/>
      <c r="IX84" s="25"/>
      <c r="IY84" s="110"/>
      <c r="IZ84" s="110"/>
      <c r="JA84" s="25"/>
      <c r="JB84" s="25"/>
      <c r="JC84" s="25"/>
      <c r="JD84" s="25"/>
      <c r="JE84" s="25"/>
      <c r="JF84" s="110"/>
      <c r="JG84" s="110"/>
      <c r="JH84" s="25"/>
      <c r="JI84" s="25"/>
      <c r="JJ84" s="25"/>
      <c r="JK84" s="25"/>
      <c r="JL84" s="25"/>
      <c r="JM84" s="110"/>
      <c r="JN84" s="110"/>
      <c r="JO84" s="25"/>
      <c r="JP84" s="25"/>
      <c r="JQ84" s="25"/>
      <c r="JR84" s="25"/>
      <c r="JS84" s="25"/>
      <c r="JT84" s="110"/>
      <c r="JU84" s="110"/>
      <c r="JV84" s="25"/>
      <c r="JW84" s="25"/>
      <c r="JX84" s="25"/>
      <c r="JY84" s="25"/>
      <c r="JZ84" s="25"/>
      <c r="KA84" s="110"/>
      <c r="KB84" s="110"/>
      <c r="KC84" s="25"/>
      <c r="KD84" s="25"/>
      <c r="KE84" s="25"/>
      <c r="KF84" s="25"/>
      <c r="KG84" s="25"/>
      <c r="KH84" s="110"/>
      <c r="KI84" s="110"/>
      <c r="KJ84" s="25"/>
      <c r="KK84" s="25"/>
      <c r="KL84" s="25"/>
      <c r="KM84" s="25"/>
      <c r="KN84" s="25"/>
      <c r="KO84" s="110"/>
      <c r="KP84" s="110"/>
      <c r="KQ84" s="25"/>
      <c r="KR84" s="25"/>
      <c r="KS84" s="25"/>
      <c r="KT84" s="25"/>
      <c r="KU84" s="25"/>
      <c r="KV84" s="110"/>
      <c r="KW84" s="110"/>
      <c r="KX84" s="25"/>
      <c r="KY84" s="25"/>
      <c r="KZ84" s="25"/>
      <c r="LA84" s="25"/>
      <c r="LB84" s="25"/>
      <c r="LC84" s="110"/>
      <c r="LD84" s="110"/>
      <c r="LE84" s="25"/>
      <c r="LF84" s="25"/>
      <c r="LG84" s="110" t="s">
        <v>445</v>
      </c>
      <c r="LH84" s="25"/>
      <c r="LI84" s="25"/>
      <c r="LJ84" s="110"/>
      <c r="LK84" s="110"/>
      <c r="LL84" s="25"/>
      <c r="LM84" s="25"/>
      <c r="LN84" s="25"/>
      <c r="LO84" s="25"/>
      <c r="LP84" s="25"/>
      <c r="LQ84" s="110"/>
      <c r="LR84" s="110"/>
      <c r="LS84" s="25"/>
      <c r="LT84" s="25"/>
      <c r="LU84" s="25"/>
      <c r="LV84" s="25"/>
      <c r="LW84" s="25"/>
      <c r="LX84" s="110"/>
      <c r="LY84" s="110"/>
      <c r="LZ84" s="25"/>
      <c r="MA84" s="25"/>
      <c r="MB84" s="25"/>
      <c r="MC84" s="25"/>
      <c r="MD84" s="25"/>
      <c r="ME84" s="110"/>
      <c r="MF84" s="110"/>
      <c r="MG84" s="25"/>
      <c r="MH84" s="25"/>
      <c r="MI84" s="25"/>
      <c r="MJ84" s="25"/>
      <c r="MK84" s="25"/>
      <c r="ML84" s="110"/>
      <c r="MM84" s="110"/>
      <c r="MN84" s="25"/>
      <c r="MO84" s="25"/>
      <c r="MP84" s="25"/>
      <c r="MQ84" s="25"/>
      <c r="MR84" s="25"/>
      <c r="MS84" s="110"/>
      <c r="MT84" s="110"/>
      <c r="MU84" s="25"/>
      <c r="MV84" s="25"/>
      <c r="MW84" s="25"/>
      <c r="MX84" s="25"/>
      <c r="MY84" s="25"/>
      <c r="MZ84" s="110"/>
      <c r="NA84" s="110"/>
      <c r="NB84" s="25"/>
      <c r="NC84" s="25"/>
      <c r="ND84" s="25"/>
      <c r="NE84" s="129"/>
      <c r="NF84" s="111"/>
      <c r="NG84" s="8">
        <f t="shared" si="72"/>
        <v>13</v>
      </c>
      <c r="NH84" s="351" cm="1">
        <f t="array" ref="NH84">NETWORKDAYS($I$2,$AH$2)- SUM(COUNTIF(I84:AH84,{"I";"F";"CP";"R";"P";"AC";"AM"}))</f>
        <v>20</v>
      </c>
      <c r="NI84" s="138">
        <f t="shared" si="67"/>
        <v>0.65</v>
      </c>
      <c r="NJ84" s="8">
        <f t="shared" si="73"/>
        <v>8</v>
      </c>
      <c r="NK84" s="351" cm="1">
        <f t="array" ref="NK84">NETWORKDAYS($AJ$2,$BK$2)- SUM(COUNTIF(AJ84:BK84,{"I";"F";"CP";"R";"P";"AC";"AM"}))</f>
        <v>20</v>
      </c>
      <c r="NL84" s="138">
        <f t="shared" si="68"/>
        <v>0.4</v>
      </c>
      <c r="NM84" s="8">
        <f t="shared" si="74"/>
        <v>5</v>
      </c>
      <c r="NN84" s="351" cm="1">
        <f t="array" ref="NN84">NETWORKDAYS($BL$2,$CP$2)- SUM(COUNTIF(BL84:CP84,{"I";"F";"CP";"R";"P";"AC";"AM"}))</f>
        <v>20</v>
      </c>
      <c r="NO84" s="138">
        <f t="shared" si="69"/>
        <v>0.25</v>
      </c>
      <c r="NP84" s="8">
        <f t="shared" si="75"/>
        <v>4</v>
      </c>
      <c r="NQ84" s="351" cm="1">
        <f t="array" ref="NQ84">NETWORKDAYS($CQ$2,$DT$2,$CV$2)- SUM(COUNTIF(CQ84:DT84,{"I";"F";"CP";"R";"P";"AC";"AM"}))</f>
        <v>10</v>
      </c>
      <c r="NR84" s="138">
        <f t="shared" si="70"/>
        <v>0.4</v>
      </c>
      <c r="NS84" s="8">
        <f t="shared" si="76"/>
        <v>0</v>
      </c>
      <c r="NT84" s="351" cm="1">
        <f t="array" ref="NT84">NETWORKDAYS($DV$2,$EY$2)-SUM(COUNTIF(DV84:EY84,{"I";"F";"CP";"R";"P";"AC";"AM"}))</f>
        <v>16</v>
      </c>
      <c r="NU84" s="138">
        <f t="shared" si="71"/>
        <v>0</v>
      </c>
      <c r="NV84" s="8">
        <f t="shared" ref="NV84:NV103" si="78">SUM(EZ84:GC84)</f>
        <v>0</v>
      </c>
      <c r="NW84" s="351" cm="1">
        <f t="array" ref="NW84">NETWORKDAYS($EZ$2,$GC$2)-SUM(COUNTIF(EZ84:GC84,{"I";"F";"CP";"R";"P";"AC";"AM"}))</f>
        <v>22</v>
      </c>
      <c r="NX84" s="138">
        <f t="shared" ref="NX84:NX103" si="79">NV84/NW84</f>
        <v>0</v>
      </c>
      <c r="NY84" s="8">
        <f t="shared" ref="NY84:NY103" si="80">SUM(GD84:HH84)</f>
        <v>0</v>
      </c>
      <c r="NZ84" s="351" cm="1">
        <f t="array" ref="NZ84">NETWORKDAYS($GD$2,$HH$2,$GQ$2)-SUM(COUNTIF(GD84:HH84,{"I";"F";"CP";"R";"P";"AC";"AM"}))</f>
        <v>21</v>
      </c>
      <c r="OA84" s="138">
        <f t="shared" ref="OA84:OA103" si="81">NY84/NZ84</f>
        <v>0</v>
      </c>
      <c r="OB84" s="8">
        <f t="shared" ref="OB84:OB103" si="82">SUM(HI84:IM84)</f>
        <v>0</v>
      </c>
      <c r="OC84" s="351" cm="1">
        <f t="array" ref="OC84">NETWORKDAYS($HI$2,$IM$2)-SUM(COUNTIF(HI84:IM84,{"I";"F";"CP";"R";"P";"AC";"AM"}))</f>
        <v>21</v>
      </c>
      <c r="OD84" s="138">
        <f t="shared" ref="OD84:OD103" si="83">OB84/OC84</f>
        <v>0</v>
      </c>
      <c r="OE84" s="8">
        <f t="shared" ref="OE84:OE103" si="84">SUM(IN84:JQ84)</f>
        <v>0</v>
      </c>
      <c r="OF84" s="351" cm="1">
        <f t="array" ref="OF84">NETWORKDAYS($IN$2,$JQ$2)-SUM(COUNTIF(IN84:JQ84,{"I";"F";"CP";"R";"P";"AC";"AM"}))</f>
        <v>22</v>
      </c>
      <c r="OG84" s="138">
        <f t="shared" ref="OG84:OG103" si="85">OE84/OF84</f>
        <v>0</v>
      </c>
      <c r="OH84" s="8">
        <f t="shared" ref="OH84:OH103" si="86">SUM(JR84:KV84)</f>
        <v>0</v>
      </c>
      <c r="OI84" s="351" cm="1">
        <f t="array" ref="OI84">NETWORKDAYS($JR$2,$KV$2)-SUM(COUNTIF(JR84:KV84,{"I";"F";"CP";"R";"P";"AC";"AM"}))</f>
        <v>22</v>
      </c>
      <c r="OJ84" s="138">
        <f t="shared" ref="OJ84:OJ103" si="87">OH84/OI84</f>
        <v>0</v>
      </c>
      <c r="OK84" s="8">
        <f t="shared" ref="OK84:OK103" si="88">SUM(KW84:LZ84)</f>
        <v>0</v>
      </c>
      <c r="OL84" s="351" cm="1">
        <f t="array" ref="OL84">NETWORKDAYS($KW$2,$LZ$2,$LG$2)-SUM(COUNTIF(KW84:LZ84,{"I";"F";"CP";"R";"P";"AC";"AM"}))</f>
        <v>19</v>
      </c>
      <c r="OM84" s="138">
        <f t="shared" ref="OM84:OM103" si="89">OK84/OL84</f>
        <v>0</v>
      </c>
      <c r="ON84" s="8">
        <f t="shared" ref="ON84:ON103" si="90">SUM(MA84:NE84)</f>
        <v>0</v>
      </c>
      <c r="OO84" s="351" cm="1">
        <f t="array" ref="OO84">NETWORKDAYS($MA$2,$MR$2)-SUM(COUNTIF(MA84:MR84,{"I";"F";"CP";"R";"P";"AC";"AM"}))</f>
        <v>14</v>
      </c>
      <c r="OP84" s="138">
        <f t="shared" ref="OP84:OP103" si="91">ON84/OO84</f>
        <v>0</v>
      </c>
      <c r="OQ84" s="94">
        <f t="shared" ref="OQ84:OQ103" si="92">NG84+NJ84+NM84+NP84+NS84+NV84+NY84+OB84+OE84+OH84+OK84+ON84</f>
        <v>30</v>
      </c>
      <c r="OR84" s="94">
        <f t="shared" ref="OR84:OR103" si="93">NH84+NK84+NN84+NQ84+NT84+NW84+NZ84+OC84+OF84+OI84+OL84+OO84</f>
        <v>227</v>
      </c>
      <c r="OS84" s="138">
        <f t="shared" ref="OS84:OS103" si="94">OQ84/OR84</f>
        <v>0.13215859030837004</v>
      </c>
    </row>
    <row r="85" spans="1:409" ht="18" hidden="1" customHeight="1" x14ac:dyDescent="0.25">
      <c r="A85" s="93" t="s">
        <v>168</v>
      </c>
      <c r="B85" s="93" t="s">
        <v>168</v>
      </c>
      <c r="C85" s="27" t="s">
        <v>160</v>
      </c>
      <c r="D85" s="89" t="s">
        <v>455</v>
      </c>
      <c r="E85" s="128"/>
      <c r="F85" s="110"/>
      <c r="G85" s="110"/>
      <c r="H85" s="110"/>
      <c r="I85" s="25" t="s">
        <v>223</v>
      </c>
      <c r="J85" s="25" t="s">
        <v>223</v>
      </c>
      <c r="K85" s="25" t="s">
        <v>223</v>
      </c>
      <c r="L85" s="25" t="s">
        <v>223</v>
      </c>
      <c r="M85" s="25" t="s">
        <v>223</v>
      </c>
      <c r="N85" s="110"/>
      <c r="O85" s="110"/>
      <c r="P85" s="25">
        <v>1</v>
      </c>
      <c r="Q85" s="25">
        <v>1</v>
      </c>
      <c r="R85" s="25">
        <v>1</v>
      </c>
      <c r="S85" s="25">
        <v>1</v>
      </c>
      <c r="T85" s="25">
        <v>1</v>
      </c>
      <c r="U85" s="110"/>
      <c r="V85" s="110"/>
      <c r="W85" s="25">
        <v>1</v>
      </c>
      <c r="X85" s="25">
        <v>1</v>
      </c>
      <c r="Y85" s="25">
        <v>1</v>
      </c>
      <c r="Z85" s="25">
        <v>1</v>
      </c>
      <c r="AA85" s="25">
        <v>1</v>
      </c>
      <c r="AB85" s="110"/>
      <c r="AC85" s="110"/>
      <c r="AD85" s="25" t="s">
        <v>447</v>
      </c>
      <c r="AE85" s="25" t="s">
        <v>447</v>
      </c>
      <c r="AF85" s="25" t="s">
        <v>447</v>
      </c>
      <c r="AG85" s="25">
        <v>1</v>
      </c>
      <c r="AH85" s="25">
        <v>1</v>
      </c>
      <c r="AI85" s="110"/>
      <c r="AJ85" s="110"/>
      <c r="AK85" s="25" t="s">
        <v>445</v>
      </c>
      <c r="AL85" s="25" t="s">
        <v>445</v>
      </c>
      <c r="AM85" s="25" t="s">
        <v>445</v>
      </c>
      <c r="AN85" s="25" t="s">
        <v>445</v>
      </c>
      <c r="AO85" s="25" t="s">
        <v>445</v>
      </c>
      <c r="AP85" s="110"/>
      <c r="AQ85" s="110"/>
      <c r="AR85" s="25" t="s">
        <v>223</v>
      </c>
      <c r="AS85" s="25" t="s">
        <v>223</v>
      </c>
      <c r="AT85" s="25" t="s">
        <v>223</v>
      </c>
      <c r="AU85" s="25" t="s">
        <v>223</v>
      </c>
      <c r="AV85" s="25" t="s">
        <v>223</v>
      </c>
      <c r="AW85" s="110"/>
      <c r="AX85" s="110"/>
      <c r="AY85" s="25"/>
      <c r="AZ85" s="25"/>
      <c r="BA85" s="25"/>
      <c r="BB85" s="25"/>
      <c r="BC85" s="25"/>
      <c r="BD85" s="110"/>
      <c r="BE85" s="110"/>
      <c r="BF85" s="25"/>
      <c r="BG85" s="25"/>
      <c r="BH85" s="25"/>
      <c r="BI85" s="25"/>
      <c r="BJ85" s="25"/>
      <c r="BK85" s="110"/>
      <c r="BL85" s="110"/>
      <c r="BM85" s="25"/>
      <c r="BN85" s="25"/>
      <c r="BO85" s="25"/>
      <c r="BP85" s="25"/>
      <c r="BQ85" s="25"/>
      <c r="BR85" s="110"/>
      <c r="BS85" s="110"/>
      <c r="BT85" s="25"/>
      <c r="BU85" s="25"/>
      <c r="BV85" s="25"/>
      <c r="BW85" s="25"/>
      <c r="BX85" s="25"/>
      <c r="BY85" s="110"/>
      <c r="BZ85" s="110"/>
      <c r="CA85" s="25"/>
      <c r="CB85" s="25"/>
      <c r="CC85" s="25"/>
      <c r="CD85" s="25"/>
      <c r="CE85" s="25"/>
      <c r="CF85" s="110"/>
      <c r="CG85" s="110"/>
      <c r="CH85" s="25"/>
      <c r="CI85" s="25"/>
      <c r="CJ85" s="25"/>
      <c r="CK85" s="25"/>
      <c r="CL85" s="25"/>
      <c r="CM85" s="110"/>
      <c r="CN85" s="110"/>
      <c r="CO85" s="25"/>
      <c r="CP85" s="25"/>
      <c r="CQ85" s="25"/>
      <c r="CR85" s="25"/>
      <c r="CS85" s="25"/>
      <c r="CT85" s="110"/>
      <c r="CU85" s="110"/>
      <c r="CV85" s="110"/>
      <c r="CW85" s="25"/>
      <c r="CX85" s="25"/>
      <c r="CY85" s="25"/>
      <c r="CZ85" s="25"/>
      <c r="DA85" s="110"/>
      <c r="DB85" s="110"/>
      <c r="DC85" s="25"/>
      <c r="DD85" s="25"/>
      <c r="DE85" s="25"/>
      <c r="DF85" s="25"/>
      <c r="DG85" s="25"/>
      <c r="DH85" s="110"/>
      <c r="DI85" s="110"/>
      <c r="DJ85" s="25"/>
      <c r="DK85" s="25"/>
      <c r="DL85" s="25"/>
      <c r="DM85" s="25"/>
      <c r="DN85" s="25"/>
      <c r="DO85" s="110"/>
      <c r="DP85" s="110"/>
      <c r="DQ85" s="25"/>
      <c r="DR85" s="25"/>
      <c r="DS85" s="25"/>
      <c r="DT85" s="25"/>
      <c r="DU85" s="110"/>
      <c r="DV85" s="110"/>
      <c r="DW85" s="110"/>
      <c r="DX85" s="25"/>
      <c r="DY85" s="25"/>
      <c r="DZ85" s="25"/>
      <c r="EA85" s="25"/>
      <c r="EB85" s="110"/>
      <c r="EC85" s="110"/>
      <c r="ED85" s="110"/>
      <c r="EE85" s="25"/>
      <c r="EF85" s="25"/>
      <c r="EG85" s="25"/>
      <c r="EH85" s="110"/>
      <c r="EI85" s="110"/>
      <c r="EJ85" s="110"/>
      <c r="EK85" s="110"/>
      <c r="EL85" s="25"/>
      <c r="EM85" s="25"/>
      <c r="EN85" s="25"/>
      <c r="EO85" s="25"/>
      <c r="EP85" s="25"/>
      <c r="EQ85" s="110"/>
      <c r="ER85" s="110"/>
      <c r="ES85" s="110"/>
      <c r="ET85" s="25"/>
      <c r="EU85" s="25"/>
      <c r="EV85" s="25"/>
      <c r="EW85" s="25"/>
      <c r="EX85" s="110"/>
      <c r="EY85" s="110"/>
      <c r="EZ85" s="25"/>
      <c r="FA85" s="25"/>
      <c r="FB85" s="25"/>
      <c r="FC85" s="25"/>
      <c r="FD85" s="25"/>
      <c r="FE85" s="110"/>
      <c r="FF85" s="110"/>
      <c r="FG85" s="25"/>
      <c r="FH85" s="25"/>
      <c r="FI85" s="25"/>
      <c r="FJ85" s="25"/>
      <c r="FK85" s="25"/>
      <c r="FL85" s="110"/>
      <c r="FM85" s="110"/>
      <c r="FN85" s="25"/>
      <c r="FO85" s="25"/>
      <c r="FP85" s="25"/>
      <c r="FQ85" s="25"/>
      <c r="FR85" s="25"/>
      <c r="FS85" s="110"/>
      <c r="FT85" s="110"/>
      <c r="FU85" s="25"/>
      <c r="FV85" s="25"/>
      <c r="FW85" s="25"/>
      <c r="FX85" s="25"/>
      <c r="FY85" s="25"/>
      <c r="FZ85" s="110"/>
      <c r="GA85" s="110"/>
      <c r="GB85" s="25"/>
      <c r="GC85" s="25"/>
      <c r="GD85" s="25"/>
      <c r="GE85" s="25"/>
      <c r="GF85" s="25"/>
      <c r="GG85" s="110"/>
      <c r="GH85" s="110"/>
      <c r="GI85" s="25"/>
      <c r="GJ85" s="25"/>
      <c r="GK85" s="25"/>
      <c r="GL85" s="25"/>
      <c r="GM85" s="25"/>
      <c r="GN85" s="110"/>
      <c r="GO85" s="110"/>
      <c r="GP85" s="110"/>
      <c r="GQ85" s="110"/>
      <c r="GR85" s="25"/>
      <c r="GS85" s="25"/>
      <c r="GT85" s="25"/>
      <c r="GU85" s="110"/>
      <c r="GV85" s="110"/>
      <c r="GW85" s="25"/>
      <c r="GX85" s="25"/>
      <c r="GY85" s="25"/>
      <c r="GZ85" s="25"/>
      <c r="HA85" s="25"/>
      <c r="HB85" s="110"/>
      <c r="HC85" s="110"/>
      <c r="HD85" s="25"/>
      <c r="HE85" s="25"/>
      <c r="HF85" s="25"/>
      <c r="HG85" s="25"/>
      <c r="HH85" s="25"/>
      <c r="HI85" s="110"/>
      <c r="HJ85" s="110"/>
      <c r="HK85" s="25"/>
      <c r="HL85" s="25"/>
      <c r="HM85" s="25"/>
      <c r="HN85" s="25"/>
      <c r="HO85" s="25"/>
      <c r="HP85" s="110"/>
      <c r="HQ85" s="110"/>
      <c r="HR85" s="25"/>
      <c r="HS85" s="25"/>
      <c r="HT85" s="25"/>
      <c r="HU85" s="25"/>
      <c r="HV85" s="25"/>
      <c r="HW85" s="110"/>
      <c r="HX85" s="110"/>
      <c r="HY85" s="25"/>
      <c r="HZ85" s="25"/>
      <c r="IA85" s="25"/>
      <c r="IB85" s="25"/>
      <c r="IC85" s="25"/>
      <c r="ID85" s="110"/>
      <c r="IE85" s="110"/>
      <c r="IF85" s="25"/>
      <c r="IG85" s="25"/>
      <c r="IH85" s="25"/>
      <c r="II85" s="25"/>
      <c r="IJ85" s="25"/>
      <c r="IK85" s="110"/>
      <c r="IL85" s="110"/>
      <c r="IM85" s="25"/>
      <c r="IN85" s="25"/>
      <c r="IO85" s="25"/>
      <c r="IP85" s="25"/>
      <c r="IQ85" s="25"/>
      <c r="IR85" s="110"/>
      <c r="IS85" s="110"/>
      <c r="IT85" s="25"/>
      <c r="IU85" s="25"/>
      <c r="IV85" s="25"/>
      <c r="IW85" s="25"/>
      <c r="IX85" s="25"/>
      <c r="IY85" s="110"/>
      <c r="IZ85" s="110"/>
      <c r="JA85" s="25"/>
      <c r="JB85" s="25"/>
      <c r="JC85" s="25"/>
      <c r="JD85" s="25"/>
      <c r="JE85" s="25"/>
      <c r="JF85" s="110"/>
      <c r="JG85" s="110"/>
      <c r="JH85" s="25"/>
      <c r="JI85" s="25"/>
      <c r="JJ85" s="25"/>
      <c r="JK85" s="25"/>
      <c r="JL85" s="25"/>
      <c r="JM85" s="110"/>
      <c r="JN85" s="110"/>
      <c r="JO85" s="25"/>
      <c r="JP85" s="25"/>
      <c r="JQ85" s="25"/>
      <c r="JR85" s="25"/>
      <c r="JS85" s="25"/>
      <c r="JT85" s="110"/>
      <c r="JU85" s="110"/>
      <c r="JV85" s="25"/>
      <c r="JW85" s="25"/>
      <c r="JX85" s="25"/>
      <c r="JY85" s="25"/>
      <c r="JZ85" s="25"/>
      <c r="KA85" s="110"/>
      <c r="KB85" s="110"/>
      <c r="KC85" s="25"/>
      <c r="KD85" s="25"/>
      <c r="KE85" s="25"/>
      <c r="KF85" s="25"/>
      <c r="KG85" s="25"/>
      <c r="KH85" s="110"/>
      <c r="KI85" s="110"/>
      <c r="KJ85" s="25"/>
      <c r="KK85" s="25"/>
      <c r="KL85" s="25"/>
      <c r="KM85" s="25"/>
      <c r="KN85" s="25"/>
      <c r="KO85" s="110"/>
      <c r="KP85" s="110"/>
      <c r="KQ85" s="25"/>
      <c r="KR85" s="25"/>
      <c r="KS85" s="25"/>
      <c r="KT85" s="25"/>
      <c r="KU85" s="25"/>
      <c r="KV85" s="110"/>
      <c r="KW85" s="110"/>
      <c r="KX85" s="25"/>
      <c r="KY85" s="25"/>
      <c r="KZ85" s="25"/>
      <c r="LA85" s="25"/>
      <c r="LB85" s="25"/>
      <c r="LC85" s="110"/>
      <c r="LD85" s="110"/>
      <c r="LE85" s="25"/>
      <c r="LF85" s="25"/>
      <c r="LG85" s="110"/>
      <c r="LH85" s="25"/>
      <c r="LI85" s="25"/>
      <c r="LJ85" s="110"/>
      <c r="LK85" s="110"/>
      <c r="LL85" s="25"/>
      <c r="LM85" s="25"/>
      <c r="LN85" s="25"/>
      <c r="LO85" s="25"/>
      <c r="LP85" s="25"/>
      <c r="LQ85" s="110"/>
      <c r="LR85" s="110"/>
      <c r="LS85" s="25"/>
      <c r="LT85" s="25"/>
      <c r="LU85" s="25"/>
      <c r="LV85" s="25"/>
      <c r="LW85" s="25"/>
      <c r="LX85" s="110"/>
      <c r="LY85" s="110"/>
      <c r="LZ85" s="25"/>
      <c r="MA85" s="25"/>
      <c r="MB85" s="25"/>
      <c r="MC85" s="25"/>
      <c r="MD85" s="25"/>
      <c r="ME85" s="110"/>
      <c r="MF85" s="110"/>
      <c r="MG85" s="25"/>
      <c r="MH85" s="25"/>
      <c r="MI85" s="25"/>
      <c r="MJ85" s="25"/>
      <c r="MK85" s="25"/>
      <c r="ML85" s="110"/>
      <c r="MM85" s="110"/>
      <c r="MN85" s="25"/>
      <c r="MO85" s="25"/>
      <c r="MP85" s="25"/>
      <c r="MQ85" s="25"/>
      <c r="MR85" s="25"/>
      <c r="MS85" s="110"/>
      <c r="MT85" s="110"/>
      <c r="MU85" s="25"/>
      <c r="MV85" s="25"/>
      <c r="MW85" s="25"/>
      <c r="MX85" s="25"/>
      <c r="MY85" s="25"/>
      <c r="MZ85" s="110"/>
      <c r="NA85" s="110"/>
      <c r="NB85" s="25"/>
      <c r="NC85" s="25"/>
      <c r="ND85" s="25"/>
      <c r="NE85" s="129"/>
      <c r="NF85" s="111"/>
      <c r="NG85" s="8">
        <f t="shared" si="72"/>
        <v>12</v>
      </c>
      <c r="NH85" s="351" cm="1">
        <f t="array" ref="NH85">NETWORKDAYS($I$2,$AH$2)- SUM(COUNTIF(I85:AH85,{"I";"F";"CP";"R";"P";"AC";"AM"}))</f>
        <v>12</v>
      </c>
      <c r="NI85" s="138">
        <f t="shared" si="67"/>
        <v>1</v>
      </c>
      <c r="NJ85" s="8">
        <f t="shared" si="73"/>
        <v>0</v>
      </c>
      <c r="NK85" s="351" cm="1">
        <f t="array" ref="NK85">NETWORKDAYS($AJ$2,$BK$2)- SUM(COUNTIF(AJ85:BK85,{"I";"F";"CP";"R";"P";"AC";"AM"}))</f>
        <v>10</v>
      </c>
      <c r="NL85" s="138">
        <f t="shared" si="68"/>
        <v>0</v>
      </c>
      <c r="NM85" s="8">
        <f t="shared" si="74"/>
        <v>0</v>
      </c>
      <c r="NN85" s="351" cm="1">
        <f t="array" ref="NN85">NETWORKDAYS($BL$2,$CP$2)- SUM(COUNTIF(BL85:CP85,{"I";"F";"CP";"R";"P";"AC";"AM"}))</f>
        <v>22</v>
      </c>
      <c r="NO85" s="138">
        <f t="shared" si="69"/>
        <v>0</v>
      </c>
      <c r="NP85" s="8">
        <f t="shared" si="75"/>
        <v>0</v>
      </c>
      <c r="NQ85" s="351" cm="1">
        <f t="array" ref="NQ85">NETWORKDAYS($CQ$2,$DT$2,$CV$2)- SUM(COUNTIF(CQ85:DT85,{"I";"F";"CP";"R";"P";"AC";"AM"}))</f>
        <v>21</v>
      </c>
      <c r="NR85" s="138">
        <f t="shared" si="70"/>
        <v>0</v>
      </c>
      <c r="NS85" s="8">
        <f t="shared" si="76"/>
        <v>0</v>
      </c>
      <c r="NT85" s="351" cm="1">
        <f t="array" ref="NT85">NETWORKDAYS($DV$2,$EY$2)-SUM(COUNTIF(DV85:EY85,{"I";"F";"CP";"R";"P";"AC";"AM"}))</f>
        <v>20</v>
      </c>
      <c r="NU85" s="138">
        <f t="shared" si="71"/>
        <v>0</v>
      </c>
      <c r="NV85" s="8">
        <f t="shared" si="78"/>
        <v>0</v>
      </c>
      <c r="NW85" s="351" cm="1">
        <f t="array" ref="NW85">NETWORKDAYS($EZ$2,$GC$2)-SUM(COUNTIF(EZ85:GC85,{"I";"F";"CP";"R";"P";"AC";"AM"}))</f>
        <v>22</v>
      </c>
      <c r="NX85" s="8"/>
      <c r="NY85" s="8">
        <f t="shared" si="80"/>
        <v>0</v>
      </c>
      <c r="NZ85" s="351" cm="1">
        <f t="array" ref="NZ85">NETWORKDAYS($GD$2,$HH$2,$GQ$2)-SUM(COUNTIF(GD85:HH85,{"I";"F";"CP";"R";"P";"AC";"AM"}))</f>
        <v>22</v>
      </c>
      <c r="OA85" s="8"/>
      <c r="OB85" s="8">
        <f t="shared" si="82"/>
        <v>0</v>
      </c>
      <c r="OC85" s="351" cm="1">
        <f t="array" ref="OC85">NETWORKDAYS($HI$2,$IM$2)-SUM(COUNTIF(HI85:IM85,{"I";"F";"CP";"R";"P";"AC";"AM"}))</f>
        <v>21</v>
      </c>
      <c r="OD85" s="8"/>
      <c r="OE85" s="8">
        <f t="shared" si="84"/>
        <v>0</v>
      </c>
      <c r="OF85" s="351" cm="1">
        <f t="array" ref="OF85">NETWORKDAYS($IN$2,$JQ$2)-SUM(COUNTIF(IN85:JQ85,{"I";"F";"CP";"R";"P";"AC";"AM"}))</f>
        <v>22</v>
      </c>
      <c r="OG85" s="8"/>
      <c r="OH85" s="8">
        <f t="shared" si="86"/>
        <v>0</v>
      </c>
      <c r="OI85" s="351" cm="1">
        <f t="array" ref="OI85">NETWORKDAYS($JR$2,$KV$2)-SUM(COUNTIF(JR85:KV85,{"I";"F";"CP";"R";"P";"AC";"AM"}))</f>
        <v>22</v>
      </c>
      <c r="OJ85" s="8"/>
      <c r="OK85" s="8">
        <f t="shared" si="88"/>
        <v>0</v>
      </c>
      <c r="OL85" s="351" cm="1">
        <f t="array" ref="OL85">NETWORKDAYS($KW$2,$LZ$2,$LG$2)-SUM(COUNTIF(KW85:LZ85,{"I";"F";"CP";"R";"P";"AC";"AM"}))</f>
        <v>20</v>
      </c>
      <c r="OM85" s="8"/>
      <c r="ON85" s="8">
        <f t="shared" si="90"/>
        <v>0</v>
      </c>
      <c r="OO85" s="351" cm="1">
        <f t="array" ref="OO85">NETWORKDAYS($MA$2,$MR$2)-SUM(COUNTIF(MA85:MR85,{"I";"F";"CP";"R";"P";"AC";"AM"}))</f>
        <v>14</v>
      </c>
      <c r="OP85" s="8"/>
      <c r="OQ85" s="94">
        <f t="shared" si="92"/>
        <v>12</v>
      </c>
      <c r="OR85" s="94">
        <f t="shared" si="93"/>
        <v>228</v>
      </c>
      <c r="OS85" s="8"/>
    </row>
    <row r="86" spans="1:409" ht="18" hidden="1" customHeight="1" x14ac:dyDescent="0.25">
      <c r="A86" s="95" t="s">
        <v>192</v>
      </c>
      <c r="B86" s="95" t="s">
        <v>192</v>
      </c>
      <c r="C86" s="89" t="s">
        <v>166</v>
      </c>
      <c r="D86" s="89" t="s">
        <v>262</v>
      </c>
      <c r="E86" s="128"/>
      <c r="F86" s="110"/>
      <c r="G86" s="110"/>
      <c r="H86" s="110"/>
      <c r="I86" s="25"/>
      <c r="J86" s="25"/>
      <c r="K86" s="25"/>
      <c r="L86" s="25">
        <v>1</v>
      </c>
      <c r="M86" s="25">
        <v>1</v>
      </c>
      <c r="N86" s="110"/>
      <c r="O86" s="110"/>
      <c r="P86" s="25">
        <v>1</v>
      </c>
      <c r="Q86" s="25"/>
      <c r="R86" s="25">
        <v>1</v>
      </c>
      <c r="S86" s="25">
        <v>1</v>
      </c>
      <c r="T86" s="25">
        <v>1</v>
      </c>
      <c r="U86" s="110"/>
      <c r="V86" s="110"/>
      <c r="W86" s="25"/>
      <c r="X86" s="25"/>
      <c r="Y86" s="25"/>
      <c r="Z86" s="25"/>
      <c r="AA86" s="25"/>
      <c r="AB86" s="110"/>
      <c r="AC86" s="110"/>
      <c r="AD86" s="25"/>
      <c r="AE86" s="25"/>
      <c r="AF86" s="25"/>
      <c r="AG86" s="25"/>
      <c r="AH86" s="25"/>
      <c r="AI86" s="110"/>
      <c r="AJ86" s="110"/>
      <c r="AK86" s="25"/>
      <c r="AL86" s="25"/>
      <c r="AM86" s="25"/>
      <c r="AN86" s="25"/>
      <c r="AO86" s="25"/>
      <c r="AP86" s="110"/>
      <c r="AQ86" s="110"/>
      <c r="AR86" s="25"/>
      <c r="AS86" s="25"/>
      <c r="AT86" s="25"/>
      <c r="AV86" s="25"/>
      <c r="AW86" s="110"/>
      <c r="AX86" s="110"/>
      <c r="AY86" s="25"/>
      <c r="AZ86" s="25"/>
      <c r="BA86" s="25"/>
      <c r="BB86" s="25"/>
      <c r="BC86" s="25"/>
      <c r="BD86" s="110"/>
      <c r="BE86" s="110"/>
      <c r="BF86" s="25"/>
      <c r="BG86" s="25"/>
      <c r="BH86" s="25"/>
      <c r="BI86" s="25"/>
      <c r="BJ86" s="25"/>
      <c r="BK86" s="110"/>
      <c r="BL86" s="110"/>
      <c r="BM86" s="25"/>
      <c r="BN86" s="25"/>
      <c r="BO86" s="25"/>
      <c r="BP86" s="25"/>
      <c r="BQ86" s="25"/>
      <c r="BR86" s="110"/>
      <c r="BS86" s="110"/>
      <c r="BT86" s="25"/>
      <c r="BU86" s="25"/>
      <c r="BV86" s="25"/>
      <c r="BW86" s="25"/>
      <c r="BX86" s="25">
        <v>1</v>
      </c>
      <c r="BY86" s="110"/>
      <c r="BZ86" s="110"/>
      <c r="CA86" s="25"/>
      <c r="CB86" s="25"/>
      <c r="CC86" s="25"/>
      <c r="CD86" s="25"/>
      <c r="CE86" s="25"/>
      <c r="CF86" s="110"/>
      <c r="CG86" s="110"/>
      <c r="CH86" s="25">
        <v>1</v>
      </c>
      <c r="CI86" s="25">
        <v>1</v>
      </c>
      <c r="CJ86" s="25"/>
      <c r="CK86" s="25"/>
      <c r="CL86" s="25"/>
      <c r="CM86" s="110"/>
      <c r="CN86" s="110"/>
      <c r="CO86" s="25"/>
      <c r="CP86" s="25"/>
      <c r="CQ86" s="25"/>
      <c r="CR86" s="25"/>
      <c r="CS86" s="25"/>
      <c r="CT86" s="110"/>
      <c r="CU86" s="110"/>
      <c r="CV86" s="110"/>
      <c r="CW86" s="25"/>
      <c r="CX86" s="25">
        <v>1</v>
      </c>
      <c r="CY86" s="25"/>
      <c r="CZ86" s="25"/>
      <c r="DA86" s="110"/>
      <c r="DB86" s="110"/>
      <c r="DC86" s="25"/>
      <c r="DD86" s="25"/>
      <c r="DE86" s="25">
        <v>1</v>
      </c>
      <c r="DF86" s="25"/>
      <c r="DG86" s="25"/>
      <c r="DH86" s="110"/>
      <c r="DI86" s="110"/>
      <c r="DJ86" s="25"/>
      <c r="DK86" s="25"/>
      <c r="DL86" s="25"/>
      <c r="DM86" s="25">
        <v>1</v>
      </c>
      <c r="DN86" s="25">
        <v>1</v>
      </c>
      <c r="DO86" s="110"/>
      <c r="DP86" s="110"/>
      <c r="DQ86" s="25"/>
      <c r="DR86" s="25">
        <v>1</v>
      </c>
      <c r="DS86" s="25">
        <v>1</v>
      </c>
      <c r="DT86" s="25"/>
      <c r="DU86" s="110" t="s">
        <v>445</v>
      </c>
      <c r="DV86" s="110"/>
      <c r="DW86" s="110"/>
      <c r="DX86" s="25"/>
      <c r="DY86" s="25"/>
      <c r="DZ86" s="25"/>
      <c r="EA86" s="25"/>
      <c r="EB86" s="110" t="s">
        <v>445</v>
      </c>
      <c r="EC86" s="110"/>
      <c r="ED86" s="110"/>
      <c r="EE86" s="25"/>
      <c r="EF86" s="25"/>
      <c r="EG86" s="25">
        <v>1</v>
      </c>
      <c r="EH86" s="110" t="s">
        <v>445</v>
      </c>
      <c r="EI86" s="110" t="s">
        <v>445</v>
      </c>
      <c r="EJ86" s="110"/>
      <c r="EK86" s="110"/>
      <c r="EL86" s="25"/>
      <c r="EM86" s="25"/>
      <c r="EN86" s="25"/>
      <c r="EO86" s="25"/>
      <c r="EP86" s="25"/>
      <c r="EQ86" s="110"/>
      <c r="ER86" s="110"/>
      <c r="ES86" s="110" t="s">
        <v>445</v>
      </c>
      <c r="ET86" s="25"/>
      <c r="EU86" s="25"/>
      <c r="EV86" s="25"/>
      <c r="EW86" s="25"/>
      <c r="EX86" s="110"/>
      <c r="EY86" s="110"/>
      <c r="EZ86" s="25"/>
      <c r="FA86" s="25"/>
      <c r="FB86" s="25"/>
      <c r="FC86" s="25"/>
      <c r="FD86" s="25"/>
      <c r="FE86" s="110"/>
      <c r="FF86" s="110"/>
      <c r="FG86" s="25"/>
      <c r="FH86" s="25"/>
      <c r="FI86" s="25"/>
      <c r="FJ86" s="25"/>
      <c r="FK86" s="25"/>
      <c r="FL86" s="110"/>
      <c r="FM86" s="110"/>
      <c r="FN86" s="25"/>
      <c r="FO86" s="25"/>
      <c r="FP86" s="25"/>
      <c r="FQ86" s="25"/>
      <c r="FR86" s="25"/>
      <c r="FS86" s="110"/>
      <c r="FT86" s="110"/>
      <c r="FU86" s="25"/>
      <c r="FV86" s="25"/>
      <c r="FW86" s="25"/>
      <c r="FX86" s="25"/>
      <c r="FY86" s="25"/>
      <c r="FZ86" s="110"/>
      <c r="GA86" s="110"/>
      <c r="GB86" s="25"/>
      <c r="GC86" s="25"/>
      <c r="GD86" s="25"/>
      <c r="GE86" s="25"/>
      <c r="GF86" s="25"/>
      <c r="GG86" s="110"/>
      <c r="GH86" s="110"/>
      <c r="GI86" s="25"/>
      <c r="GJ86" s="25"/>
      <c r="GK86" s="25"/>
      <c r="GL86" s="25"/>
      <c r="GM86" s="25"/>
      <c r="GN86" s="110"/>
      <c r="GO86" s="110"/>
      <c r="GP86" s="110" t="s">
        <v>445</v>
      </c>
      <c r="GQ86" s="110"/>
      <c r="GR86" s="25"/>
      <c r="GS86" s="25"/>
      <c r="GT86" s="25"/>
      <c r="GU86" s="110"/>
      <c r="GV86" s="110"/>
      <c r="GW86" s="25"/>
      <c r="GX86" s="25"/>
      <c r="GY86" s="25"/>
      <c r="GZ86" s="25"/>
      <c r="HA86" s="25"/>
      <c r="HB86" s="110"/>
      <c r="HC86" s="110"/>
      <c r="HD86" s="25"/>
      <c r="HE86" s="25"/>
      <c r="HF86" s="25"/>
      <c r="HG86" s="25"/>
      <c r="HH86" s="25"/>
      <c r="HI86" s="110"/>
      <c r="HJ86" s="110"/>
      <c r="HK86" s="25"/>
      <c r="HL86" s="25"/>
      <c r="HM86" s="25"/>
      <c r="HN86" s="25"/>
      <c r="HO86" s="25"/>
      <c r="HP86" s="110"/>
      <c r="HQ86" s="110"/>
      <c r="HR86" s="25"/>
      <c r="HS86" s="25"/>
      <c r="HT86" s="25"/>
      <c r="HU86" s="25"/>
      <c r="HV86" s="25"/>
      <c r="HW86" s="110"/>
      <c r="HX86" s="110"/>
      <c r="HY86" s="25"/>
      <c r="HZ86" s="25"/>
      <c r="IA86" s="25"/>
      <c r="IB86" s="25"/>
      <c r="IC86" s="25"/>
      <c r="ID86" s="110"/>
      <c r="IE86" s="110"/>
      <c r="IF86" s="25"/>
      <c r="IG86" s="25"/>
      <c r="IH86" s="25"/>
      <c r="II86" s="25"/>
      <c r="IJ86" s="25"/>
      <c r="IK86" s="110"/>
      <c r="IL86" s="110"/>
      <c r="IM86" s="25"/>
      <c r="IN86" s="25"/>
      <c r="IO86" s="25"/>
      <c r="IP86" s="25"/>
      <c r="IQ86" s="25"/>
      <c r="IR86" s="110"/>
      <c r="IS86" s="110"/>
      <c r="IT86" s="25"/>
      <c r="IU86" s="25"/>
      <c r="IV86" s="25"/>
      <c r="IW86" s="25"/>
      <c r="IX86" s="25"/>
      <c r="IY86" s="110"/>
      <c r="IZ86" s="110"/>
      <c r="JA86" s="25"/>
      <c r="JB86" s="25"/>
      <c r="JC86" s="25"/>
      <c r="JD86" s="25"/>
      <c r="JE86" s="25"/>
      <c r="JF86" s="110"/>
      <c r="JG86" s="110"/>
      <c r="JH86" s="25"/>
      <c r="JI86" s="25"/>
      <c r="JJ86" s="25"/>
      <c r="JK86" s="25"/>
      <c r="JL86" s="25"/>
      <c r="JM86" s="110"/>
      <c r="JN86" s="110"/>
      <c r="JO86" s="25"/>
      <c r="JP86" s="25"/>
      <c r="JQ86" s="25"/>
      <c r="JR86" s="25"/>
      <c r="JS86" s="25"/>
      <c r="JT86" s="110"/>
      <c r="JU86" s="110"/>
      <c r="JV86" s="25"/>
      <c r="JW86" s="25"/>
      <c r="JX86" s="25"/>
      <c r="JY86" s="25"/>
      <c r="JZ86" s="25"/>
      <c r="KA86" s="110"/>
      <c r="KB86" s="110"/>
      <c r="KC86" s="25"/>
      <c r="KD86" s="25"/>
      <c r="KE86" s="25"/>
      <c r="KF86" s="25"/>
      <c r="KG86" s="25"/>
      <c r="KH86" s="110"/>
      <c r="KI86" s="110"/>
      <c r="KJ86" s="25"/>
      <c r="KK86" s="25"/>
      <c r="KL86" s="25"/>
      <c r="KM86" s="25"/>
      <c r="KN86" s="25"/>
      <c r="KO86" s="110"/>
      <c r="KP86" s="110"/>
      <c r="KQ86" s="25"/>
      <c r="KR86" s="25"/>
      <c r="KS86" s="25"/>
      <c r="KT86" s="25"/>
      <c r="KU86" s="25"/>
      <c r="KV86" s="110"/>
      <c r="KW86" s="110"/>
      <c r="KX86" s="25"/>
      <c r="KY86" s="25"/>
      <c r="KZ86" s="25"/>
      <c r="LA86" s="25"/>
      <c r="LB86" s="25"/>
      <c r="LC86" s="110"/>
      <c r="LD86" s="110"/>
      <c r="LE86" s="25"/>
      <c r="LF86" s="25"/>
      <c r="LG86" s="110" t="s">
        <v>445</v>
      </c>
      <c r="LH86" s="25"/>
      <c r="LI86" s="25"/>
      <c r="LJ86" s="110"/>
      <c r="LK86" s="110"/>
      <c r="LL86" s="25"/>
      <c r="LM86" s="25"/>
      <c r="LN86" s="25"/>
      <c r="LO86" s="25"/>
      <c r="LP86" s="25"/>
      <c r="LQ86" s="110"/>
      <c r="LR86" s="110"/>
      <c r="LS86" s="25"/>
      <c r="LT86" s="25"/>
      <c r="LU86" s="25"/>
      <c r="LV86" s="25"/>
      <c r="LW86" s="25"/>
      <c r="LX86" s="110"/>
      <c r="LY86" s="110"/>
      <c r="LZ86" s="25"/>
      <c r="MA86" s="25"/>
      <c r="MB86" s="25"/>
      <c r="MC86" s="25"/>
      <c r="MD86" s="25"/>
      <c r="ME86" s="110"/>
      <c r="MF86" s="110"/>
      <c r="MG86" s="25"/>
      <c r="MH86" s="25"/>
      <c r="MI86" s="25"/>
      <c r="MJ86" s="25"/>
      <c r="MK86" s="25"/>
      <c r="ML86" s="110"/>
      <c r="MM86" s="110"/>
      <c r="MN86" s="25"/>
      <c r="MO86" s="25"/>
      <c r="MP86" s="25"/>
      <c r="MQ86" s="25"/>
      <c r="MR86" s="25"/>
      <c r="MS86" s="110"/>
      <c r="MT86" s="110"/>
      <c r="MU86" s="25"/>
      <c r="MV86" s="25"/>
      <c r="MW86" s="25"/>
      <c r="MX86" s="25"/>
      <c r="MY86" s="25"/>
      <c r="MZ86" s="110"/>
      <c r="NA86" s="110"/>
      <c r="NB86" s="25"/>
      <c r="NC86" s="25"/>
      <c r="ND86" s="25"/>
      <c r="NE86" s="129"/>
      <c r="NF86" s="111"/>
      <c r="NG86" s="8">
        <f t="shared" si="72"/>
        <v>6</v>
      </c>
      <c r="NH86" s="351" cm="1">
        <f t="array" ref="NH86">NETWORKDAYS($I$2,$AH$2)- SUM(COUNTIF(I86:AH86,{"I";"F";"CP";"R";"P";"AC";"AM"}))</f>
        <v>20</v>
      </c>
      <c r="NI86" s="138">
        <f t="shared" si="67"/>
        <v>0.3</v>
      </c>
      <c r="NJ86" s="8">
        <f t="shared" si="73"/>
        <v>0</v>
      </c>
      <c r="NK86" s="351" cm="1">
        <f t="array" ref="NK86">NETWORKDAYS($AJ$2,$BK$2)- SUM(COUNTIF(AJ86:BK86,{"I";"F";"CP";"R";"P";"AC";"AM"}))</f>
        <v>20</v>
      </c>
      <c r="NL86" s="138">
        <f t="shared" si="68"/>
        <v>0</v>
      </c>
      <c r="NM86" s="8">
        <f t="shared" si="74"/>
        <v>3</v>
      </c>
      <c r="NN86" s="351" cm="1">
        <f t="array" ref="NN86">NETWORKDAYS($BL$2,$CP$2)- SUM(COUNTIF(BL86:CP86,{"I";"F";"CP";"R";"P";"AC";"AM"}))</f>
        <v>22</v>
      </c>
      <c r="NO86" s="138">
        <f t="shared" si="69"/>
        <v>0.13636363636363635</v>
      </c>
      <c r="NP86" s="8">
        <f t="shared" si="75"/>
        <v>6</v>
      </c>
      <c r="NQ86" s="351" cm="1">
        <f t="array" ref="NQ86">NETWORKDAYS($CQ$2,$DT$2,$CV$2)- SUM(COUNTIF(CQ86:DT86,{"I";"F";"CP";"R";"P";"AC";"AM"}))</f>
        <v>21</v>
      </c>
      <c r="NR86" s="138">
        <f t="shared" si="70"/>
        <v>0.2857142857142857</v>
      </c>
      <c r="NS86" s="8">
        <f t="shared" si="76"/>
        <v>1</v>
      </c>
      <c r="NT86" s="351" cm="1">
        <f t="array" ref="NT86">NETWORKDAYS($DV$2,$EY$2)-SUM(COUNTIF(DV86:EY86,{"I";"F";"CP";"R";"P";"AC";"AM"}))</f>
        <v>16</v>
      </c>
      <c r="NU86" s="138">
        <f t="shared" si="71"/>
        <v>6.25E-2</v>
      </c>
      <c r="NV86" s="8">
        <f t="shared" si="78"/>
        <v>0</v>
      </c>
      <c r="NW86" s="351" cm="1">
        <f t="array" ref="NW86">NETWORKDAYS($EZ$2,$GC$2)-SUM(COUNTIF(EZ86:GC86,{"I";"F";"CP";"R";"P";"AC";"AM"}))</f>
        <v>22</v>
      </c>
      <c r="NX86" s="138">
        <f t="shared" si="79"/>
        <v>0</v>
      </c>
      <c r="NY86" s="8">
        <f t="shared" si="80"/>
        <v>0</v>
      </c>
      <c r="NZ86" s="351" cm="1">
        <f t="array" ref="NZ86">NETWORKDAYS($GD$2,$HH$2,$GQ$2)-SUM(COUNTIF(GD86:HH86,{"I";"F";"CP";"R";"P";"AC";"AM"}))</f>
        <v>21</v>
      </c>
      <c r="OA86" s="138">
        <f t="shared" si="81"/>
        <v>0</v>
      </c>
      <c r="OB86" s="8">
        <f t="shared" si="82"/>
        <v>0</v>
      </c>
      <c r="OC86" s="351" cm="1">
        <f t="array" ref="OC86">NETWORKDAYS($HI$2,$IM$2)-SUM(COUNTIF(HI86:IM86,{"I";"F";"CP";"R";"P";"AC";"AM"}))</f>
        <v>21</v>
      </c>
      <c r="OD86" s="138">
        <f t="shared" si="83"/>
        <v>0</v>
      </c>
      <c r="OE86" s="8">
        <f t="shared" si="84"/>
        <v>0</v>
      </c>
      <c r="OF86" s="351" cm="1">
        <f t="array" ref="OF86">NETWORKDAYS($IN$2,$JQ$2)-SUM(COUNTIF(IN86:JQ86,{"I";"F";"CP";"R";"P";"AC";"AM"}))</f>
        <v>22</v>
      </c>
      <c r="OG86" s="138">
        <f t="shared" si="85"/>
        <v>0</v>
      </c>
      <c r="OH86" s="8">
        <f t="shared" si="86"/>
        <v>0</v>
      </c>
      <c r="OI86" s="351" cm="1">
        <f t="array" ref="OI86">NETWORKDAYS($JR$2,$KV$2)-SUM(COUNTIF(JR86:KV86,{"I";"F";"CP";"R";"P";"AC";"AM"}))</f>
        <v>22</v>
      </c>
      <c r="OJ86" s="138">
        <f t="shared" si="87"/>
        <v>0</v>
      </c>
      <c r="OK86" s="8">
        <f t="shared" si="88"/>
        <v>0</v>
      </c>
      <c r="OL86" s="351" cm="1">
        <f t="array" ref="OL86">NETWORKDAYS($KW$2,$LZ$2,$LG$2)-SUM(COUNTIF(KW86:LZ86,{"I";"F";"CP";"R";"P";"AC";"AM"}))</f>
        <v>19</v>
      </c>
      <c r="OM86" s="138">
        <f t="shared" si="89"/>
        <v>0</v>
      </c>
      <c r="ON86" s="8">
        <f t="shared" si="90"/>
        <v>0</v>
      </c>
      <c r="OO86" s="351" cm="1">
        <f t="array" ref="OO86">NETWORKDAYS($MA$2,$MR$2)-SUM(COUNTIF(MA86:MR86,{"I";"F";"CP";"R";"P";"AC";"AM"}))</f>
        <v>14</v>
      </c>
      <c r="OP86" s="138">
        <f t="shared" si="91"/>
        <v>0</v>
      </c>
      <c r="OQ86" s="94">
        <f t="shared" si="92"/>
        <v>16</v>
      </c>
      <c r="OR86" s="94">
        <f t="shared" si="93"/>
        <v>240</v>
      </c>
      <c r="OS86" s="138">
        <f t="shared" si="94"/>
        <v>6.6666666666666666E-2</v>
      </c>
    </row>
    <row r="87" spans="1:409" ht="18" hidden="1" customHeight="1" x14ac:dyDescent="0.25">
      <c r="A87" s="93" t="s">
        <v>109</v>
      </c>
      <c r="B87" s="95" t="s">
        <v>34</v>
      </c>
      <c r="C87" s="89" t="s">
        <v>166</v>
      </c>
      <c r="D87" s="89" t="s">
        <v>456</v>
      </c>
      <c r="E87" s="128"/>
      <c r="F87" s="110"/>
      <c r="G87" s="110"/>
      <c r="H87" s="110"/>
      <c r="I87" s="25" t="s">
        <v>208</v>
      </c>
      <c r="J87" s="25" t="s">
        <v>208</v>
      </c>
      <c r="K87" s="25" t="s">
        <v>208</v>
      </c>
      <c r="L87" s="25" t="s">
        <v>208</v>
      </c>
      <c r="M87" s="25" t="s">
        <v>208</v>
      </c>
      <c r="N87" s="110"/>
      <c r="O87" s="110"/>
      <c r="P87" s="25" t="s">
        <v>208</v>
      </c>
      <c r="Q87" s="25" t="s">
        <v>208</v>
      </c>
      <c r="R87" s="25" t="s">
        <v>208</v>
      </c>
      <c r="S87" s="25" t="s">
        <v>208</v>
      </c>
      <c r="T87" s="25" t="s">
        <v>208</v>
      </c>
      <c r="U87" s="110"/>
      <c r="V87" s="110"/>
      <c r="W87" s="25" t="s">
        <v>208</v>
      </c>
      <c r="X87" s="25" t="s">
        <v>208</v>
      </c>
      <c r="Y87" s="25" t="s">
        <v>208</v>
      </c>
      <c r="Z87" s="25" t="s">
        <v>208</v>
      </c>
      <c r="AA87" s="25" t="s">
        <v>208</v>
      </c>
      <c r="AB87" s="110"/>
      <c r="AC87" s="110"/>
      <c r="AD87" s="25" t="s">
        <v>208</v>
      </c>
      <c r="AE87" s="25" t="s">
        <v>208</v>
      </c>
      <c r="AF87" s="25" t="s">
        <v>208</v>
      </c>
      <c r="AG87" s="25" t="s">
        <v>208</v>
      </c>
      <c r="AH87" s="25" t="s">
        <v>208</v>
      </c>
      <c r="AI87" s="110"/>
      <c r="AJ87" s="110"/>
      <c r="AK87" s="25" t="s">
        <v>208</v>
      </c>
      <c r="AL87" s="25" t="s">
        <v>208</v>
      </c>
      <c r="AM87" s="25">
        <v>1</v>
      </c>
      <c r="AN87" s="25">
        <v>1</v>
      </c>
      <c r="AO87" s="25"/>
      <c r="AP87" s="110"/>
      <c r="AQ87" s="110"/>
      <c r="AR87" s="25"/>
      <c r="AS87" s="25">
        <v>1</v>
      </c>
      <c r="AT87" s="25">
        <v>1</v>
      </c>
      <c r="AV87" s="25"/>
      <c r="AW87" s="110"/>
      <c r="AX87" s="110"/>
      <c r="AY87" s="25"/>
      <c r="AZ87" s="25"/>
      <c r="BA87" s="25"/>
      <c r="BB87" s="25"/>
      <c r="BC87" s="25"/>
      <c r="BD87" s="110"/>
      <c r="BE87" s="110"/>
      <c r="BF87" s="25"/>
      <c r="BG87" s="25">
        <v>1</v>
      </c>
      <c r="BH87" s="25"/>
      <c r="BI87" s="25">
        <v>1</v>
      </c>
      <c r="BJ87" s="25"/>
      <c r="BK87" s="110"/>
      <c r="BL87" s="110"/>
      <c r="BM87" s="25"/>
      <c r="BN87" s="25"/>
      <c r="BO87" s="25"/>
      <c r="BP87" s="25"/>
      <c r="BQ87" s="25">
        <v>1</v>
      </c>
      <c r="BR87" s="110"/>
      <c r="BS87" s="110"/>
      <c r="BT87" s="25"/>
      <c r="BU87" s="25"/>
      <c r="BV87" s="25"/>
      <c r="BW87" s="25"/>
      <c r="BX87" s="25"/>
      <c r="BY87" s="110"/>
      <c r="BZ87" s="110"/>
      <c r="CA87" s="25"/>
      <c r="CB87" s="25"/>
      <c r="CC87" s="25"/>
      <c r="CD87" s="25"/>
      <c r="CE87" s="25"/>
      <c r="CF87" s="110"/>
      <c r="CG87" s="110"/>
      <c r="CH87" s="25"/>
      <c r="CI87" s="25"/>
      <c r="CJ87" s="25"/>
      <c r="CK87" s="25"/>
      <c r="CL87" s="25"/>
      <c r="CM87" s="110"/>
      <c r="CN87" s="110"/>
      <c r="CO87" s="25"/>
      <c r="CP87" s="25"/>
      <c r="CQ87" s="25"/>
      <c r="CR87" s="25"/>
      <c r="CS87" s="25"/>
      <c r="CT87" s="110"/>
      <c r="CU87" s="110"/>
      <c r="CV87" s="110"/>
      <c r="CW87" s="25"/>
      <c r="CX87" s="25"/>
      <c r="CY87" s="25"/>
      <c r="CZ87" s="25"/>
      <c r="DA87" s="110"/>
      <c r="DB87" s="110"/>
      <c r="DC87" s="25"/>
      <c r="DD87" s="25"/>
      <c r="DE87" s="25"/>
      <c r="DF87" s="25"/>
      <c r="DG87" s="25"/>
      <c r="DH87" s="110"/>
      <c r="DI87" s="110"/>
      <c r="DJ87" s="25"/>
      <c r="DK87" s="25"/>
      <c r="DL87" s="25"/>
      <c r="DM87" s="25"/>
      <c r="DN87" s="25"/>
      <c r="DO87" s="110"/>
      <c r="DP87" s="110"/>
      <c r="DQ87" s="25"/>
      <c r="DR87" s="25"/>
      <c r="DS87" s="25"/>
      <c r="DT87" s="25"/>
      <c r="DU87" s="110" t="s">
        <v>445</v>
      </c>
      <c r="DV87" s="110"/>
      <c r="DW87" s="110"/>
      <c r="DX87" s="25"/>
      <c r="DY87" s="25"/>
      <c r="DZ87" s="25"/>
      <c r="EA87" s="25"/>
      <c r="EB87" s="110" t="s">
        <v>445</v>
      </c>
      <c r="EC87" s="110"/>
      <c r="ED87" s="110"/>
      <c r="EE87" s="25"/>
      <c r="EF87" s="25"/>
      <c r="EG87" s="25"/>
      <c r="EH87" s="110" t="s">
        <v>445</v>
      </c>
      <c r="EI87" s="110" t="s">
        <v>445</v>
      </c>
      <c r="EJ87" s="110"/>
      <c r="EK87" s="110"/>
      <c r="EL87" s="25"/>
      <c r="EM87" s="25"/>
      <c r="EN87" s="25"/>
      <c r="EO87" s="25"/>
      <c r="EP87" s="25"/>
      <c r="EQ87" s="110"/>
      <c r="ER87" s="110"/>
      <c r="ES87" s="110" t="s">
        <v>445</v>
      </c>
      <c r="ET87" s="25"/>
      <c r="EU87" s="25"/>
      <c r="EV87" s="25"/>
      <c r="EW87" s="25"/>
      <c r="EX87" s="110"/>
      <c r="EY87" s="110"/>
      <c r="EZ87" s="25"/>
      <c r="FA87" s="25"/>
      <c r="FB87" s="25"/>
      <c r="FC87" s="25"/>
      <c r="FD87" s="25"/>
      <c r="FE87" s="110"/>
      <c r="FF87" s="110"/>
      <c r="FG87" s="25"/>
      <c r="FH87" s="25"/>
      <c r="FI87" s="25"/>
      <c r="FJ87" s="25"/>
      <c r="FK87" s="25"/>
      <c r="FL87" s="110"/>
      <c r="FM87" s="110"/>
      <c r="FN87" s="25"/>
      <c r="FO87" s="25"/>
      <c r="FP87" s="25"/>
      <c r="FQ87" s="25"/>
      <c r="FR87" s="25"/>
      <c r="FS87" s="110"/>
      <c r="FT87" s="110"/>
      <c r="FU87" s="25"/>
      <c r="FV87" s="25"/>
      <c r="FW87" s="25"/>
      <c r="FX87" s="25"/>
      <c r="FY87" s="25"/>
      <c r="FZ87" s="110"/>
      <c r="GA87" s="110"/>
      <c r="GB87" s="25"/>
      <c r="GC87" s="25"/>
      <c r="GD87" s="25"/>
      <c r="GE87" s="25"/>
      <c r="GF87" s="25"/>
      <c r="GG87" s="110"/>
      <c r="GH87" s="110"/>
      <c r="GI87" s="25"/>
      <c r="GJ87" s="25"/>
      <c r="GK87" s="25"/>
      <c r="GL87" s="25"/>
      <c r="GM87" s="25"/>
      <c r="GN87" s="110"/>
      <c r="GO87" s="110"/>
      <c r="GP87" s="110" t="s">
        <v>445</v>
      </c>
      <c r="GQ87" s="110"/>
      <c r="GR87" s="25"/>
      <c r="GS87" s="25"/>
      <c r="GT87" s="25"/>
      <c r="GU87" s="110"/>
      <c r="GV87" s="110"/>
      <c r="GW87" s="25"/>
      <c r="GX87" s="25"/>
      <c r="GY87" s="25"/>
      <c r="GZ87" s="25"/>
      <c r="HA87" s="25"/>
      <c r="HB87" s="110"/>
      <c r="HC87" s="110"/>
      <c r="HD87" s="25"/>
      <c r="HE87" s="25"/>
      <c r="HF87" s="25"/>
      <c r="HG87" s="25"/>
      <c r="HH87" s="25"/>
      <c r="HI87" s="110"/>
      <c r="HJ87" s="110"/>
      <c r="HK87" s="25"/>
      <c r="HL87" s="25"/>
      <c r="HM87" s="25"/>
      <c r="HN87" s="25"/>
      <c r="HO87" s="25"/>
      <c r="HP87" s="110"/>
      <c r="HQ87" s="110"/>
      <c r="HR87" s="25"/>
      <c r="HS87" s="25"/>
      <c r="HT87" s="25"/>
      <c r="HU87" s="25"/>
      <c r="HV87" s="25"/>
      <c r="HW87" s="110"/>
      <c r="HX87" s="110"/>
      <c r="HY87" s="25"/>
      <c r="HZ87" s="25"/>
      <c r="IA87" s="25"/>
      <c r="IB87" s="25"/>
      <c r="IC87" s="25"/>
      <c r="ID87" s="110"/>
      <c r="IE87" s="110"/>
      <c r="IF87" s="25"/>
      <c r="IG87" s="25"/>
      <c r="IH87" s="25"/>
      <c r="II87" s="25"/>
      <c r="IJ87" s="25"/>
      <c r="IK87" s="110"/>
      <c r="IL87" s="110"/>
      <c r="IM87" s="25"/>
      <c r="IN87" s="25"/>
      <c r="IO87" s="25"/>
      <c r="IP87" s="25"/>
      <c r="IQ87" s="25"/>
      <c r="IR87" s="110"/>
      <c r="IS87" s="110"/>
      <c r="IT87" s="25"/>
      <c r="IU87" s="25"/>
      <c r="IV87" s="25"/>
      <c r="IW87" s="25"/>
      <c r="IX87" s="25"/>
      <c r="IY87" s="110"/>
      <c r="IZ87" s="110"/>
      <c r="JA87" s="25"/>
      <c r="JB87" s="25"/>
      <c r="JC87" s="25"/>
      <c r="JD87" s="25"/>
      <c r="JE87" s="25"/>
      <c r="JF87" s="110"/>
      <c r="JG87" s="110"/>
      <c r="JH87" s="25"/>
      <c r="JI87" s="25"/>
      <c r="JJ87" s="25"/>
      <c r="JK87" s="25"/>
      <c r="JL87" s="25"/>
      <c r="JM87" s="110"/>
      <c r="JN87" s="110"/>
      <c r="JO87" s="25"/>
      <c r="JP87" s="25"/>
      <c r="JQ87" s="25"/>
      <c r="JR87" s="25"/>
      <c r="JS87" s="25"/>
      <c r="JT87" s="110"/>
      <c r="JU87" s="110"/>
      <c r="JV87" s="25"/>
      <c r="JW87" s="25"/>
      <c r="JX87" s="25"/>
      <c r="JY87" s="25"/>
      <c r="JZ87" s="25"/>
      <c r="KA87" s="110"/>
      <c r="KB87" s="110"/>
      <c r="KC87" s="25"/>
      <c r="KD87" s="25"/>
      <c r="KE87" s="25"/>
      <c r="KF87" s="25"/>
      <c r="KG87" s="25"/>
      <c r="KH87" s="110"/>
      <c r="KI87" s="110"/>
      <c r="KJ87" s="25"/>
      <c r="KK87" s="25"/>
      <c r="KL87" s="25"/>
      <c r="KM87" s="25"/>
      <c r="KN87" s="25"/>
      <c r="KO87" s="110"/>
      <c r="KP87" s="110"/>
      <c r="KQ87" s="25"/>
      <c r="KR87" s="25"/>
      <c r="KS87" s="25"/>
      <c r="KT87" s="25"/>
      <c r="KU87" s="25"/>
      <c r="KV87" s="110"/>
      <c r="KW87" s="110"/>
      <c r="KX87" s="25"/>
      <c r="KY87" s="25"/>
      <c r="KZ87" s="25"/>
      <c r="LA87" s="25"/>
      <c r="LB87" s="25"/>
      <c r="LC87" s="110"/>
      <c r="LD87" s="110"/>
      <c r="LE87" s="25"/>
      <c r="LF87" s="25"/>
      <c r="LG87" s="110" t="s">
        <v>445</v>
      </c>
      <c r="LH87" s="25"/>
      <c r="LI87" s="25"/>
      <c r="LJ87" s="110"/>
      <c r="LK87" s="110"/>
      <c r="LL87" s="25"/>
      <c r="LM87" s="25"/>
      <c r="LN87" s="25"/>
      <c r="LO87" s="25"/>
      <c r="LP87" s="25"/>
      <c r="LQ87" s="110"/>
      <c r="LR87" s="110"/>
      <c r="LS87" s="25"/>
      <c r="LT87" s="25"/>
      <c r="LU87" s="25"/>
      <c r="LV87" s="25"/>
      <c r="LW87" s="25"/>
      <c r="LX87" s="110"/>
      <c r="LY87" s="110"/>
      <c r="LZ87" s="25"/>
      <c r="MA87" s="25"/>
      <c r="MB87" s="25"/>
      <c r="MC87" s="25"/>
      <c r="MD87" s="25"/>
      <c r="ME87" s="110"/>
      <c r="MF87" s="110"/>
      <c r="MG87" s="25"/>
      <c r="MH87" s="25"/>
      <c r="MI87" s="25"/>
      <c r="MJ87" s="25"/>
      <c r="MK87" s="25"/>
      <c r="ML87" s="110"/>
      <c r="MM87" s="110"/>
      <c r="MN87" s="25"/>
      <c r="MO87" s="25"/>
      <c r="MP87" s="25"/>
      <c r="MQ87" s="25"/>
      <c r="MR87" s="25"/>
      <c r="MS87" s="110"/>
      <c r="MT87" s="110"/>
      <c r="MU87" s="25"/>
      <c r="MV87" s="25"/>
      <c r="MW87" s="25"/>
      <c r="MX87" s="25"/>
      <c r="MY87" s="25"/>
      <c r="MZ87" s="110"/>
      <c r="NA87" s="110"/>
      <c r="NB87" s="25"/>
      <c r="NC87" s="25"/>
      <c r="ND87" s="25"/>
      <c r="NE87" s="129"/>
      <c r="NF87" s="111"/>
      <c r="NG87" s="8">
        <f t="shared" si="72"/>
        <v>0</v>
      </c>
      <c r="NH87" s="351" cm="1">
        <f t="array" ref="NH87">NETWORKDAYS($I$2,$AH$2)- SUM(COUNTIF(I87:AH87,{"I";"F";"CP";"R";"P";"AC";"AM"}))</f>
        <v>20</v>
      </c>
      <c r="NI87" s="138">
        <f t="shared" si="67"/>
        <v>0</v>
      </c>
      <c r="NJ87" s="8">
        <f t="shared" si="73"/>
        <v>6</v>
      </c>
      <c r="NK87" s="351" cm="1">
        <f t="array" ref="NK87">NETWORKDAYS($AJ$2,$BK$2)- SUM(COUNTIF(AJ87:BK87,{"I";"F";"CP";"R";"P";"AC";"AM"}))</f>
        <v>20</v>
      </c>
      <c r="NL87" s="138">
        <f t="shared" si="68"/>
        <v>0.3</v>
      </c>
      <c r="NM87" s="8">
        <f t="shared" si="74"/>
        <v>1</v>
      </c>
      <c r="NN87" s="351" cm="1">
        <f t="array" ref="NN87">NETWORKDAYS($BL$2,$CP$2)- SUM(COUNTIF(BL87:CP87,{"I";"F";"CP";"R";"P";"AC";"AM"}))</f>
        <v>22</v>
      </c>
      <c r="NO87" s="138">
        <f t="shared" si="69"/>
        <v>4.5454545454545456E-2</v>
      </c>
      <c r="NP87" s="8">
        <f t="shared" si="75"/>
        <v>0</v>
      </c>
      <c r="NQ87" s="351" cm="1">
        <f t="array" ref="NQ87">NETWORKDAYS($CQ$2,$DT$2,$CV$2)- SUM(COUNTIF(CQ87:DT87,{"I";"F";"CP";"R";"P";"AC";"AM"}))</f>
        <v>21</v>
      </c>
      <c r="NR87" s="138">
        <f t="shared" si="70"/>
        <v>0</v>
      </c>
      <c r="NS87" s="8">
        <f t="shared" si="76"/>
        <v>0</v>
      </c>
      <c r="NT87" s="351" cm="1">
        <f t="array" ref="NT87">NETWORKDAYS($DV$2,$EY$2)-SUM(COUNTIF(DV87:EY87,{"I";"F";"CP";"R";"P";"AC";"AM"}))</f>
        <v>16</v>
      </c>
      <c r="NU87" s="138">
        <f t="shared" si="71"/>
        <v>0</v>
      </c>
      <c r="NV87" s="8">
        <f t="shared" ref="NV87" si="95">SUM(EZ87:GC87)</f>
        <v>0</v>
      </c>
      <c r="NW87" s="351" cm="1">
        <f t="array" ref="NW87">NETWORKDAYS($EZ$2,$GC$2)-SUM(COUNTIF(EZ87:GC87,{"I";"F";"CP";"R";"P";"AC";"AM"}))</f>
        <v>22</v>
      </c>
      <c r="NX87" s="138">
        <f t="shared" ref="NX87" si="96">NV87/NW87</f>
        <v>0</v>
      </c>
      <c r="NY87" s="8">
        <f t="shared" ref="NY87" si="97">SUM(GD87:HH87)</f>
        <v>0</v>
      </c>
      <c r="NZ87" s="351" cm="1">
        <f t="array" ref="NZ87">NETWORKDAYS($GD$2,$HH$2,$GQ$2)-SUM(COUNTIF(GD87:HH87,{"I";"F";"CP";"R";"P";"AC";"AM"}))</f>
        <v>21</v>
      </c>
      <c r="OA87" s="138">
        <f t="shared" ref="OA87" si="98">NY87/NZ87</f>
        <v>0</v>
      </c>
      <c r="OB87" s="8">
        <f t="shared" ref="OB87" si="99">SUM(HI87:IM87)</f>
        <v>0</v>
      </c>
      <c r="OC87" s="351" cm="1">
        <f t="array" ref="OC87">NETWORKDAYS($HI$2,$IM$2)-SUM(COUNTIF(HI87:IM87,{"I";"F";"CP";"R";"P";"AC";"AM"}))</f>
        <v>21</v>
      </c>
      <c r="OD87" s="138">
        <f t="shared" ref="OD87" si="100">OB87/OC87</f>
        <v>0</v>
      </c>
      <c r="OE87" s="8">
        <f t="shared" ref="OE87" si="101">SUM(IN87:JQ87)</f>
        <v>0</v>
      </c>
      <c r="OF87" s="351" cm="1">
        <f t="array" ref="OF87">NETWORKDAYS($IN$2,$JQ$2)-SUM(COUNTIF(IN87:JQ87,{"I";"F";"CP";"R";"P";"AC";"AM"}))</f>
        <v>22</v>
      </c>
      <c r="OG87" s="138">
        <f t="shared" ref="OG87" si="102">OE87/OF87</f>
        <v>0</v>
      </c>
      <c r="OH87" s="8">
        <f t="shared" ref="OH87" si="103">SUM(JR87:KV87)</f>
        <v>0</v>
      </c>
      <c r="OI87" s="351" cm="1">
        <f t="array" ref="OI87">NETWORKDAYS($JR$2,$KV$2)-SUM(COUNTIF(JR87:KV87,{"I";"F";"CP";"R";"P";"AC";"AM"}))</f>
        <v>22</v>
      </c>
      <c r="OJ87" s="138">
        <f t="shared" ref="OJ87" si="104">OH87/OI87</f>
        <v>0</v>
      </c>
      <c r="OK87" s="8">
        <f t="shared" ref="OK87" si="105">SUM(KW87:LZ87)</f>
        <v>0</v>
      </c>
      <c r="OL87" s="351" cm="1">
        <f t="array" ref="OL87">NETWORKDAYS($KW$2,$LZ$2,$LG$2)-SUM(COUNTIF(KW87:LZ87,{"I";"F";"CP";"R";"P";"AC";"AM"}))</f>
        <v>19</v>
      </c>
      <c r="OM87" s="138">
        <f t="shared" ref="OM87" si="106">OK87/OL87</f>
        <v>0</v>
      </c>
      <c r="ON87" s="8">
        <f t="shared" ref="ON87" si="107">SUM(MA87:NE87)</f>
        <v>0</v>
      </c>
      <c r="OO87" s="351" cm="1">
        <f t="array" ref="OO87">NETWORKDAYS($MA$2,$MR$2)-SUM(COUNTIF(MA87:MR87,{"I";"F";"CP";"R";"P";"AC";"AM"}))</f>
        <v>14</v>
      </c>
      <c r="OP87" s="138">
        <f t="shared" ref="OP87" si="108">ON87/OO87</f>
        <v>0</v>
      </c>
      <c r="OQ87" s="94">
        <f t="shared" ref="OQ87" si="109">NG87+NJ87+NM87+NP87+NS87+NV87+NY87+OB87+OE87+OH87+OK87+ON87</f>
        <v>7</v>
      </c>
      <c r="OR87" s="94">
        <f t="shared" ref="OR87" si="110">NH87+NK87+NN87+NQ87+NT87+NW87+NZ87+OC87+OF87+OI87+OL87+OO87</f>
        <v>240</v>
      </c>
      <c r="OS87" s="138">
        <f t="shared" ref="OS87" si="111">OQ87/OR87</f>
        <v>2.9166666666666667E-2</v>
      </c>
    </row>
    <row r="88" spans="1:409" ht="18" hidden="1" customHeight="1" x14ac:dyDescent="0.25">
      <c r="A88" s="95" t="s">
        <v>94</v>
      </c>
      <c r="B88" s="95" t="s">
        <v>94</v>
      </c>
      <c r="C88" s="89" t="s">
        <v>166</v>
      </c>
      <c r="D88" s="89" t="s">
        <v>263</v>
      </c>
      <c r="E88" s="128"/>
      <c r="F88" s="110"/>
      <c r="G88" s="110"/>
      <c r="H88" s="110"/>
      <c r="I88" s="25"/>
      <c r="J88" s="25"/>
      <c r="K88" s="25"/>
      <c r="L88" s="25"/>
      <c r="M88" s="25"/>
      <c r="N88" s="110"/>
      <c r="O88" s="110"/>
      <c r="P88" s="25"/>
      <c r="Q88" s="25"/>
      <c r="R88" s="25"/>
      <c r="S88" s="25"/>
      <c r="T88" s="25"/>
      <c r="U88" s="110"/>
      <c r="V88" s="110"/>
      <c r="W88" s="25"/>
      <c r="X88" s="25"/>
      <c r="Y88" s="25"/>
      <c r="Z88" s="25"/>
      <c r="AA88" s="25"/>
      <c r="AB88" s="110"/>
      <c r="AC88" s="110"/>
      <c r="AD88" s="25"/>
      <c r="AE88" s="25"/>
      <c r="AF88" s="25"/>
      <c r="AG88" s="25"/>
      <c r="AH88" s="25"/>
      <c r="AI88" s="110"/>
      <c r="AJ88" s="110"/>
      <c r="AK88" s="25"/>
      <c r="AL88" s="25"/>
      <c r="AM88" s="25"/>
      <c r="AN88" s="25"/>
      <c r="AO88" s="25"/>
      <c r="AP88" s="110"/>
      <c r="AQ88" s="110"/>
      <c r="AR88" s="25"/>
      <c r="AS88" s="25"/>
      <c r="AT88" s="25"/>
      <c r="AV88" s="25"/>
      <c r="AW88" s="110"/>
      <c r="AX88" s="110"/>
      <c r="AY88" s="25"/>
      <c r="AZ88" s="25"/>
      <c r="BA88" s="25"/>
      <c r="BB88" s="25"/>
      <c r="BC88" s="25"/>
      <c r="BD88" s="110"/>
      <c r="BE88" s="110"/>
      <c r="BF88" s="25"/>
      <c r="BG88" s="25"/>
      <c r="BH88" s="25"/>
      <c r="BI88" s="25"/>
      <c r="BJ88" s="25"/>
      <c r="BK88" s="110"/>
      <c r="BL88" s="110"/>
      <c r="BM88" s="25"/>
      <c r="BN88" s="25"/>
      <c r="BO88" s="25"/>
      <c r="BP88" s="25"/>
      <c r="BQ88" s="25"/>
      <c r="BR88" s="110"/>
      <c r="BS88" s="110"/>
      <c r="BT88" s="25"/>
      <c r="BU88" s="25"/>
      <c r="BV88" s="25"/>
      <c r="BW88" s="25"/>
      <c r="BX88" s="25"/>
      <c r="BY88" s="110"/>
      <c r="BZ88" s="110"/>
      <c r="CA88" s="25"/>
      <c r="CB88" s="25"/>
      <c r="CC88" s="25"/>
      <c r="CD88" s="25"/>
      <c r="CE88" s="25"/>
      <c r="CF88" s="110"/>
      <c r="CG88" s="110"/>
      <c r="CH88" s="25"/>
      <c r="CI88" s="25"/>
      <c r="CJ88" s="25"/>
      <c r="CK88" s="25"/>
      <c r="CL88" s="25"/>
      <c r="CM88" s="110"/>
      <c r="CN88" s="110"/>
      <c r="CO88" s="25"/>
      <c r="CP88" s="25"/>
      <c r="CQ88" s="25"/>
      <c r="CR88" s="25"/>
      <c r="CS88" s="25"/>
      <c r="CT88" s="110"/>
      <c r="CU88" s="110"/>
      <c r="CV88" s="110"/>
      <c r="CW88" s="25"/>
      <c r="CX88" s="25"/>
      <c r="CY88" s="25"/>
      <c r="CZ88" s="25"/>
      <c r="DA88" s="110"/>
      <c r="DB88" s="110"/>
      <c r="DC88" s="25"/>
      <c r="DD88" s="25"/>
      <c r="DE88" s="25"/>
      <c r="DF88" s="25"/>
      <c r="DG88" s="25"/>
      <c r="DH88" s="110"/>
      <c r="DI88" s="110"/>
      <c r="DJ88" s="25"/>
      <c r="DK88" s="25"/>
      <c r="DL88" s="25"/>
      <c r="DM88" s="25"/>
      <c r="DN88" s="25"/>
      <c r="DO88" s="110"/>
      <c r="DP88" s="110"/>
      <c r="DQ88" s="25"/>
      <c r="DR88" s="25"/>
      <c r="DS88" s="25"/>
      <c r="DT88" s="25"/>
      <c r="DU88" s="110" t="s">
        <v>445</v>
      </c>
      <c r="DV88" s="110"/>
      <c r="DW88" s="110"/>
      <c r="DX88" s="25"/>
      <c r="DY88" s="25"/>
      <c r="DZ88" s="25"/>
      <c r="EA88" s="25"/>
      <c r="EB88" s="110" t="s">
        <v>445</v>
      </c>
      <c r="EC88" s="110"/>
      <c r="ED88" s="110"/>
      <c r="EE88" s="25"/>
      <c r="EF88" s="25"/>
      <c r="EG88" s="25"/>
      <c r="EH88" s="110" t="s">
        <v>445</v>
      </c>
      <c r="EI88" s="110" t="s">
        <v>445</v>
      </c>
      <c r="EJ88" s="110"/>
      <c r="EK88" s="110"/>
      <c r="EL88" s="25"/>
      <c r="EM88" s="25"/>
      <c r="EN88" s="25"/>
      <c r="EO88" s="25"/>
      <c r="EP88" s="25"/>
      <c r="EQ88" s="110"/>
      <c r="ER88" s="110"/>
      <c r="ES88" s="110" t="s">
        <v>445</v>
      </c>
      <c r="ET88" s="25"/>
      <c r="EU88" s="25"/>
      <c r="EV88" s="25"/>
      <c r="EW88" s="25"/>
      <c r="EX88" s="110"/>
      <c r="EY88" s="110"/>
      <c r="EZ88" s="25"/>
      <c r="FA88" s="25"/>
      <c r="FB88" s="25"/>
      <c r="FC88" s="25"/>
      <c r="FD88" s="25"/>
      <c r="FE88" s="110"/>
      <c r="FF88" s="110"/>
      <c r="FG88" s="25"/>
      <c r="FH88" s="25"/>
      <c r="FI88" s="25"/>
      <c r="FJ88" s="25"/>
      <c r="FK88" s="25"/>
      <c r="FL88" s="110"/>
      <c r="FM88" s="110"/>
      <c r="FN88" s="25"/>
      <c r="FO88" s="25"/>
      <c r="FP88" s="25"/>
      <c r="FQ88" s="25"/>
      <c r="FR88" s="25"/>
      <c r="FS88" s="110"/>
      <c r="FT88" s="110"/>
      <c r="FU88" s="25"/>
      <c r="FV88" s="25"/>
      <c r="FW88" s="25"/>
      <c r="FX88" s="25"/>
      <c r="FY88" s="25"/>
      <c r="FZ88" s="110"/>
      <c r="GA88" s="110"/>
      <c r="GB88" s="25"/>
      <c r="GC88" s="25"/>
      <c r="GD88" s="25"/>
      <c r="GE88" s="25"/>
      <c r="GF88" s="25"/>
      <c r="GG88" s="110"/>
      <c r="GH88" s="110"/>
      <c r="GI88" s="25"/>
      <c r="GJ88" s="25"/>
      <c r="GK88" s="25"/>
      <c r="GL88" s="25"/>
      <c r="GM88" s="25"/>
      <c r="GN88" s="110"/>
      <c r="GO88" s="110"/>
      <c r="GP88" s="110" t="s">
        <v>445</v>
      </c>
      <c r="GQ88" s="110"/>
      <c r="GR88" s="25"/>
      <c r="GS88" s="25"/>
      <c r="GT88" s="25"/>
      <c r="GU88" s="110"/>
      <c r="GV88" s="110"/>
      <c r="GW88" s="25"/>
      <c r="GX88" s="25"/>
      <c r="GY88" s="25"/>
      <c r="GZ88" s="25"/>
      <c r="HA88" s="25"/>
      <c r="HB88" s="110"/>
      <c r="HC88" s="110"/>
      <c r="HD88" s="25"/>
      <c r="HE88" s="25"/>
      <c r="HF88" s="25"/>
      <c r="HG88" s="25"/>
      <c r="HH88" s="25"/>
      <c r="HI88" s="110"/>
      <c r="HJ88" s="110"/>
      <c r="HK88" s="25"/>
      <c r="HL88" s="25"/>
      <c r="HM88" s="25"/>
      <c r="HN88" s="25"/>
      <c r="HO88" s="25"/>
      <c r="HP88" s="110"/>
      <c r="HQ88" s="110"/>
      <c r="HR88" s="25"/>
      <c r="HS88" s="25"/>
      <c r="HT88" s="25"/>
      <c r="HU88" s="25"/>
      <c r="HV88" s="25"/>
      <c r="HW88" s="110"/>
      <c r="HX88" s="110"/>
      <c r="HY88" s="25"/>
      <c r="HZ88" s="25"/>
      <c r="IA88" s="25"/>
      <c r="IB88" s="25"/>
      <c r="IC88" s="25"/>
      <c r="ID88" s="110"/>
      <c r="IE88" s="110"/>
      <c r="IF88" s="25"/>
      <c r="IG88" s="25"/>
      <c r="IH88" s="25"/>
      <c r="II88" s="25"/>
      <c r="IJ88" s="25"/>
      <c r="IK88" s="110"/>
      <c r="IL88" s="110"/>
      <c r="IM88" s="25"/>
      <c r="IN88" s="25"/>
      <c r="IO88" s="25"/>
      <c r="IP88" s="25"/>
      <c r="IQ88" s="25"/>
      <c r="IR88" s="110"/>
      <c r="IS88" s="110"/>
      <c r="IT88" s="25"/>
      <c r="IU88" s="25"/>
      <c r="IV88" s="25"/>
      <c r="IW88" s="25"/>
      <c r="IX88" s="25"/>
      <c r="IY88" s="110"/>
      <c r="IZ88" s="110"/>
      <c r="JA88" s="25"/>
      <c r="JB88" s="25"/>
      <c r="JC88" s="25"/>
      <c r="JD88" s="25"/>
      <c r="JE88" s="25"/>
      <c r="JF88" s="110"/>
      <c r="JG88" s="110"/>
      <c r="JH88" s="25"/>
      <c r="JI88" s="25"/>
      <c r="JJ88" s="25"/>
      <c r="JK88" s="25"/>
      <c r="JL88" s="25"/>
      <c r="JM88" s="110"/>
      <c r="JN88" s="110"/>
      <c r="JO88" s="25"/>
      <c r="JP88" s="25"/>
      <c r="JQ88" s="25"/>
      <c r="JR88" s="25"/>
      <c r="JS88" s="25"/>
      <c r="JT88" s="110"/>
      <c r="JU88" s="110"/>
      <c r="JV88" s="25"/>
      <c r="JW88" s="25"/>
      <c r="JX88" s="25"/>
      <c r="JY88" s="25"/>
      <c r="JZ88" s="25"/>
      <c r="KA88" s="110"/>
      <c r="KB88" s="110"/>
      <c r="KC88" s="25"/>
      <c r="KD88" s="25"/>
      <c r="KE88" s="25"/>
      <c r="KF88" s="25"/>
      <c r="KG88" s="25"/>
      <c r="KH88" s="110"/>
      <c r="KI88" s="110"/>
      <c r="KJ88" s="25"/>
      <c r="KK88" s="25"/>
      <c r="KL88" s="25"/>
      <c r="KM88" s="25"/>
      <c r="KN88" s="25"/>
      <c r="KO88" s="110"/>
      <c r="KP88" s="110"/>
      <c r="KQ88" s="25"/>
      <c r="KR88" s="25"/>
      <c r="KS88" s="25"/>
      <c r="KT88" s="25"/>
      <c r="KU88" s="25"/>
      <c r="KV88" s="110"/>
      <c r="KW88" s="110"/>
      <c r="KX88" s="25"/>
      <c r="KY88" s="25"/>
      <c r="KZ88" s="25"/>
      <c r="LA88" s="25"/>
      <c r="LB88" s="25"/>
      <c r="LC88" s="110"/>
      <c r="LD88" s="110"/>
      <c r="LE88" s="25"/>
      <c r="LF88" s="25"/>
      <c r="LG88" s="110" t="s">
        <v>445</v>
      </c>
      <c r="LH88" s="25"/>
      <c r="LI88" s="25"/>
      <c r="LJ88" s="110"/>
      <c r="LK88" s="110"/>
      <c r="LL88" s="25"/>
      <c r="LM88" s="25"/>
      <c r="LN88" s="25"/>
      <c r="LO88" s="25"/>
      <c r="LP88" s="25"/>
      <c r="LQ88" s="110"/>
      <c r="LR88" s="110"/>
      <c r="LS88" s="25"/>
      <c r="LT88" s="25"/>
      <c r="LU88" s="25"/>
      <c r="LV88" s="25"/>
      <c r="LW88" s="25"/>
      <c r="LX88" s="110"/>
      <c r="LY88" s="110"/>
      <c r="LZ88" s="25"/>
      <c r="MA88" s="25"/>
      <c r="MB88" s="25"/>
      <c r="MC88" s="25"/>
      <c r="MD88" s="25"/>
      <c r="ME88" s="110"/>
      <c r="MF88" s="110"/>
      <c r="MG88" s="25"/>
      <c r="MH88" s="25"/>
      <c r="MI88" s="25"/>
      <c r="MJ88" s="25"/>
      <c r="MK88" s="25"/>
      <c r="ML88" s="110"/>
      <c r="MM88" s="110"/>
      <c r="MN88" s="25"/>
      <c r="MO88" s="25"/>
      <c r="MP88" s="25"/>
      <c r="MQ88" s="25"/>
      <c r="MR88" s="25"/>
      <c r="MS88" s="110"/>
      <c r="MT88" s="110"/>
      <c r="MU88" s="25"/>
      <c r="MV88" s="25"/>
      <c r="MW88" s="25"/>
      <c r="MX88" s="25"/>
      <c r="MY88" s="25"/>
      <c r="MZ88" s="110"/>
      <c r="NA88" s="110"/>
      <c r="NB88" s="25"/>
      <c r="NC88" s="25"/>
      <c r="ND88" s="25"/>
      <c r="NE88" s="129"/>
      <c r="NF88" s="111"/>
      <c r="NG88" s="8">
        <f t="shared" si="72"/>
        <v>0</v>
      </c>
      <c r="NH88" s="351" cm="1">
        <f t="array" ref="NH88">NETWORKDAYS($I$2,$AH$2)- SUM(COUNTIF(I88:AH88,{"I";"F";"CP";"R";"P";"AC";"AM"}))</f>
        <v>20</v>
      </c>
      <c r="NI88" s="138">
        <f t="shared" si="67"/>
        <v>0</v>
      </c>
      <c r="NJ88" s="8">
        <f t="shared" si="73"/>
        <v>0</v>
      </c>
      <c r="NK88" s="351" cm="1">
        <f t="array" ref="NK88">NETWORKDAYS($AJ$2,$BK$2)- SUM(COUNTIF(AJ88:BK88,{"I";"F";"CP";"R";"P";"AC";"AM"}))</f>
        <v>20</v>
      </c>
      <c r="NL88" s="138">
        <f t="shared" si="68"/>
        <v>0</v>
      </c>
      <c r="NM88" s="8">
        <f t="shared" si="74"/>
        <v>0</v>
      </c>
      <c r="NN88" s="351" cm="1">
        <f t="array" ref="NN88">NETWORKDAYS($BL$2,$CP$2)- SUM(COUNTIF(BL88:CP88,{"I";"F";"CP";"R";"P";"AC";"AM"}))</f>
        <v>22</v>
      </c>
      <c r="NO88" s="138">
        <f t="shared" si="69"/>
        <v>0</v>
      </c>
      <c r="NP88" s="8">
        <f t="shared" si="75"/>
        <v>0</v>
      </c>
      <c r="NQ88" s="351" cm="1">
        <f t="array" ref="NQ88">NETWORKDAYS($CQ$2,$DT$2,$CV$2)- SUM(COUNTIF(CQ88:DT88,{"I";"F";"CP";"R";"P";"AC";"AM"}))</f>
        <v>21</v>
      </c>
      <c r="NR88" s="138">
        <f t="shared" si="70"/>
        <v>0</v>
      </c>
      <c r="NS88" s="8">
        <f t="shared" si="76"/>
        <v>0</v>
      </c>
      <c r="NT88" s="351" cm="1">
        <f t="array" ref="NT88">NETWORKDAYS($DV$2,$EY$2)-SUM(COUNTIF(DV88:EY88,{"I";"F";"CP";"R";"P";"AC";"AM"}))</f>
        <v>16</v>
      </c>
      <c r="NU88" s="138">
        <f t="shared" si="71"/>
        <v>0</v>
      </c>
      <c r="NV88" s="8">
        <f t="shared" si="78"/>
        <v>0</v>
      </c>
      <c r="NW88" s="351" cm="1">
        <f t="array" ref="NW88">NETWORKDAYS($EZ$2,$GC$2)-SUM(COUNTIF(EZ88:GC88,{"I";"F";"CP";"R";"P";"AC";"AM"}))</f>
        <v>22</v>
      </c>
      <c r="NX88" s="138">
        <f t="shared" si="79"/>
        <v>0</v>
      </c>
      <c r="NY88" s="8">
        <f t="shared" si="80"/>
        <v>0</v>
      </c>
      <c r="NZ88" s="351" cm="1">
        <f t="array" ref="NZ88">NETWORKDAYS($GD$2,$HH$2,$GQ$2)-SUM(COUNTIF(GD88:HH88,{"I";"F";"CP";"R";"P";"AC";"AM"}))</f>
        <v>21</v>
      </c>
      <c r="OA88" s="138">
        <f t="shared" si="81"/>
        <v>0</v>
      </c>
      <c r="OB88" s="8">
        <f t="shared" si="82"/>
        <v>0</v>
      </c>
      <c r="OC88" s="351" cm="1">
        <f t="array" ref="OC88">NETWORKDAYS($HI$2,$IM$2)-SUM(COUNTIF(HI88:IM88,{"I";"F";"CP";"R";"P";"AC";"AM"}))</f>
        <v>21</v>
      </c>
      <c r="OD88" s="138">
        <f t="shared" si="83"/>
        <v>0</v>
      </c>
      <c r="OE88" s="8">
        <f t="shared" si="84"/>
        <v>0</v>
      </c>
      <c r="OF88" s="351" cm="1">
        <f t="array" ref="OF88">NETWORKDAYS($IN$2,$JQ$2)-SUM(COUNTIF(IN88:JQ88,{"I";"F";"CP";"R";"P";"AC";"AM"}))</f>
        <v>22</v>
      </c>
      <c r="OG88" s="138">
        <f t="shared" si="85"/>
        <v>0</v>
      </c>
      <c r="OH88" s="8">
        <f t="shared" si="86"/>
        <v>0</v>
      </c>
      <c r="OI88" s="351" cm="1">
        <f t="array" ref="OI88">NETWORKDAYS($JR$2,$KV$2)-SUM(COUNTIF(JR88:KV88,{"I";"F";"CP";"R";"P";"AC";"AM"}))</f>
        <v>22</v>
      </c>
      <c r="OJ88" s="138">
        <f t="shared" si="87"/>
        <v>0</v>
      </c>
      <c r="OK88" s="8">
        <f t="shared" si="88"/>
        <v>0</v>
      </c>
      <c r="OL88" s="351" cm="1">
        <f t="array" ref="OL88">NETWORKDAYS($KW$2,$LZ$2,$LG$2)-SUM(COUNTIF(KW88:LZ88,{"I";"F";"CP";"R";"P";"AC";"AM"}))</f>
        <v>19</v>
      </c>
      <c r="OM88" s="138">
        <f t="shared" si="89"/>
        <v>0</v>
      </c>
      <c r="ON88" s="8">
        <f t="shared" si="90"/>
        <v>0</v>
      </c>
      <c r="OO88" s="351" cm="1">
        <f t="array" ref="OO88">NETWORKDAYS($MA$2,$MR$2)-SUM(COUNTIF(MA88:MR88,{"I";"F";"CP";"R";"P";"AC";"AM"}))</f>
        <v>14</v>
      </c>
      <c r="OP88" s="138">
        <f t="shared" si="91"/>
        <v>0</v>
      </c>
      <c r="OQ88" s="94">
        <f t="shared" si="92"/>
        <v>0</v>
      </c>
      <c r="OR88" s="94">
        <f t="shared" si="93"/>
        <v>240</v>
      </c>
      <c r="OS88" s="138">
        <f t="shared" si="94"/>
        <v>0</v>
      </c>
    </row>
    <row r="89" spans="1:409" ht="18" hidden="1" customHeight="1" x14ac:dyDescent="0.25">
      <c r="A89" s="93" t="s">
        <v>109</v>
      </c>
      <c r="B89" s="95" t="s">
        <v>34</v>
      </c>
      <c r="C89" s="89" t="s">
        <v>166</v>
      </c>
      <c r="D89" s="89" t="s">
        <v>265</v>
      </c>
      <c r="E89" s="128"/>
      <c r="F89" s="110"/>
      <c r="G89" s="110"/>
      <c r="H89" s="110"/>
      <c r="I89" s="25"/>
      <c r="J89" s="25"/>
      <c r="K89" s="25"/>
      <c r="L89" s="25"/>
      <c r="M89" s="25"/>
      <c r="N89" s="110"/>
      <c r="O89" s="110"/>
      <c r="P89" s="25"/>
      <c r="Q89" s="25"/>
      <c r="R89" s="25"/>
      <c r="S89" s="25"/>
      <c r="T89" s="25"/>
      <c r="U89" s="110"/>
      <c r="V89" s="110"/>
      <c r="W89" s="25"/>
      <c r="X89" s="25"/>
      <c r="Y89" s="25"/>
      <c r="Z89" s="25"/>
      <c r="AA89" s="25"/>
      <c r="AB89" s="110"/>
      <c r="AC89" s="110"/>
      <c r="AD89" s="25"/>
      <c r="AE89" s="25"/>
      <c r="AF89" s="25"/>
      <c r="AG89" s="25"/>
      <c r="AH89" s="25"/>
      <c r="AI89" s="110"/>
      <c r="AJ89" s="110"/>
      <c r="AK89" s="25"/>
      <c r="AL89" s="25"/>
      <c r="AM89" s="25"/>
      <c r="AN89" s="25"/>
      <c r="AO89" s="25"/>
      <c r="AP89" s="110"/>
      <c r="AQ89" s="110"/>
      <c r="AR89" s="25"/>
      <c r="AS89" s="25"/>
      <c r="AT89" s="25"/>
      <c r="AV89" s="25"/>
      <c r="AW89" s="110"/>
      <c r="AX89" s="110"/>
      <c r="AY89" s="25"/>
      <c r="AZ89" s="25"/>
      <c r="BA89" s="25"/>
      <c r="BB89" s="25"/>
      <c r="BC89" s="25"/>
      <c r="BD89" s="110"/>
      <c r="BE89" s="110"/>
      <c r="BF89" s="25"/>
      <c r="BG89" s="25"/>
      <c r="BH89" s="25"/>
      <c r="BI89" s="25"/>
      <c r="BJ89" s="25"/>
      <c r="BK89" s="110"/>
      <c r="BL89" s="110"/>
      <c r="BM89" s="25"/>
      <c r="BN89" s="25"/>
      <c r="BO89" s="25"/>
      <c r="BP89" s="25"/>
      <c r="BQ89" s="25"/>
      <c r="BR89" s="110"/>
      <c r="BS89" s="110"/>
      <c r="BT89" s="25"/>
      <c r="BU89" s="25"/>
      <c r="BV89" s="25"/>
      <c r="BW89" s="25"/>
      <c r="BX89" s="25"/>
      <c r="BY89" s="110"/>
      <c r="BZ89" s="110"/>
      <c r="CA89" s="25"/>
      <c r="CB89" s="25"/>
      <c r="CC89" s="25"/>
      <c r="CD89" s="25"/>
      <c r="CE89" s="25"/>
      <c r="CF89" s="110"/>
      <c r="CG89" s="110"/>
      <c r="CH89" s="25"/>
      <c r="CI89" s="25"/>
      <c r="CJ89" s="25"/>
      <c r="CK89" s="25"/>
      <c r="CL89" s="25"/>
      <c r="CM89" s="110"/>
      <c r="CN89" s="110"/>
      <c r="CO89" s="25"/>
      <c r="CP89" s="25"/>
      <c r="CQ89" s="25"/>
      <c r="CR89" s="25"/>
      <c r="CS89" s="25"/>
      <c r="CT89" s="110"/>
      <c r="CU89" s="110"/>
      <c r="CV89" s="110"/>
      <c r="CW89" s="25"/>
      <c r="CX89" s="25"/>
      <c r="CY89" s="25"/>
      <c r="CZ89" s="25"/>
      <c r="DA89" s="110"/>
      <c r="DB89" s="110"/>
      <c r="DC89" s="25"/>
      <c r="DD89" s="25"/>
      <c r="DE89" s="25"/>
      <c r="DF89" s="25"/>
      <c r="DG89" s="25"/>
      <c r="DH89" s="110"/>
      <c r="DI89" s="110"/>
      <c r="DJ89" s="25"/>
      <c r="DK89" s="25"/>
      <c r="DL89" s="25"/>
      <c r="DM89" s="25"/>
      <c r="DN89" s="25">
        <v>1</v>
      </c>
      <c r="DO89" s="110"/>
      <c r="DP89" s="110"/>
      <c r="DQ89" s="25"/>
      <c r="DR89" s="25"/>
      <c r="DS89" s="25"/>
      <c r="DT89" s="25"/>
      <c r="DU89" s="110" t="s">
        <v>445</v>
      </c>
      <c r="DV89" s="110"/>
      <c r="DW89" s="110"/>
      <c r="DX89" s="25"/>
      <c r="DY89" s="25"/>
      <c r="DZ89" s="25"/>
      <c r="EA89" s="25"/>
      <c r="EB89" s="110" t="s">
        <v>445</v>
      </c>
      <c r="EC89" s="110"/>
      <c r="ED89" s="110"/>
      <c r="EE89" s="25"/>
      <c r="EF89" s="25"/>
      <c r="EG89" s="25"/>
      <c r="EH89" s="110" t="s">
        <v>445</v>
      </c>
      <c r="EI89" s="110" t="s">
        <v>445</v>
      </c>
      <c r="EJ89" s="110"/>
      <c r="EK89" s="110"/>
      <c r="EL89" s="25"/>
      <c r="EM89" s="25"/>
      <c r="EN89" s="25"/>
      <c r="EO89" s="25"/>
      <c r="EP89" s="25"/>
      <c r="EQ89" s="110"/>
      <c r="ER89" s="110"/>
      <c r="ES89" s="110" t="s">
        <v>445</v>
      </c>
      <c r="ET89" s="25"/>
      <c r="EU89" s="25"/>
      <c r="EV89" s="25"/>
      <c r="EW89" s="25"/>
      <c r="EX89" s="110"/>
      <c r="EY89" s="110"/>
      <c r="EZ89" s="25"/>
      <c r="FA89" s="25"/>
      <c r="FB89" s="25"/>
      <c r="FC89" s="25"/>
      <c r="FD89" s="25"/>
      <c r="FE89" s="110"/>
      <c r="FF89" s="110"/>
      <c r="FG89" s="25"/>
      <c r="FH89" s="25"/>
      <c r="FI89" s="25"/>
      <c r="FJ89" s="25"/>
      <c r="FK89" s="25"/>
      <c r="FL89" s="110"/>
      <c r="FM89" s="110"/>
      <c r="FN89" s="25"/>
      <c r="FO89" s="25"/>
      <c r="FP89" s="25"/>
      <c r="FQ89" s="25"/>
      <c r="FR89" s="25"/>
      <c r="FS89" s="110"/>
      <c r="FT89" s="110"/>
      <c r="FU89" s="25"/>
      <c r="FV89" s="25"/>
      <c r="FW89" s="25"/>
      <c r="FX89" s="25"/>
      <c r="FY89" s="25"/>
      <c r="FZ89" s="110"/>
      <c r="GA89" s="110"/>
      <c r="GB89" s="25"/>
      <c r="GC89" s="25"/>
      <c r="GD89" s="25"/>
      <c r="GE89" s="25"/>
      <c r="GF89" s="25"/>
      <c r="GG89" s="110"/>
      <c r="GH89" s="110"/>
      <c r="GI89" s="25"/>
      <c r="GJ89" s="25"/>
      <c r="GK89" s="25"/>
      <c r="GL89" s="25"/>
      <c r="GM89" s="25"/>
      <c r="GN89" s="110"/>
      <c r="GO89" s="110"/>
      <c r="GP89" s="110" t="s">
        <v>445</v>
      </c>
      <c r="GQ89" s="110"/>
      <c r="GR89" s="25"/>
      <c r="GS89" s="25"/>
      <c r="GT89" s="25"/>
      <c r="GU89" s="110"/>
      <c r="GV89" s="110"/>
      <c r="GW89" s="25"/>
      <c r="GX89" s="25"/>
      <c r="GY89" s="25"/>
      <c r="GZ89" s="25"/>
      <c r="HA89" s="25"/>
      <c r="HB89" s="110"/>
      <c r="HC89" s="110"/>
      <c r="HD89" s="25"/>
      <c r="HE89" s="25"/>
      <c r="HF89" s="25"/>
      <c r="HG89" s="25"/>
      <c r="HH89" s="25"/>
      <c r="HI89" s="110"/>
      <c r="HJ89" s="110"/>
      <c r="HK89" s="25"/>
      <c r="HL89" s="25"/>
      <c r="HM89" s="25"/>
      <c r="HN89" s="25"/>
      <c r="HO89" s="25"/>
      <c r="HP89" s="110"/>
      <c r="HQ89" s="110"/>
      <c r="HR89" s="25"/>
      <c r="HS89" s="25"/>
      <c r="HT89" s="25"/>
      <c r="HU89" s="25"/>
      <c r="HV89" s="25"/>
      <c r="HW89" s="110"/>
      <c r="HX89" s="110"/>
      <c r="HY89" s="25"/>
      <c r="HZ89" s="25"/>
      <c r="IA89" s="25"/>
      <c r="IB89" s="25"/>
      <c r="IC89" s="25"/>
      <c r="ID89" s="110"/>
      <c r="IE89" s="110"/>
      <c r="IF89" s="25"/>
      <c r="IG89" s="25"/>
      <c r="IH89" s="25"/>
      <c r="II89" s="25"/>
      <c r="IJ89" s="25"/>
      <c r="IK89" s="110"/>
      <c r="IL89" s="110"/>
      <c r="IM89" s="25"/>
      <c r="IN89" s="25"/>
      <c r="IO89" s="25"/>
      <c r="IP89" s="25"/>
      <c r="IQ89" s="25"/>
      <c r="IR89" s="110"/>
      <c r="IS89" s="110"/>
      <c r="IT89" s="25"/>
      <c r="IU89" s="25"/>
      <c r="IV89" s="25"/>
      <c r="IW89" s="25"/>
      <c r="IX89" s="25"/>
      <c r="IY89" s="110"/>
      <c r="IZ89" s="110"/>
      <c r="JA89" s="25"/>
      <c r="JB89" s="25"/>
      <c r="JC89" s="25"/>
      <c r="JD89" s="25"/>
      <c r="JE89" s="25"/>
      <c r="JF89" s="110"/>
      <c r="JG89" s="110"/>
      <c r="JH89" s="25"/>
      <c r="JI89" s="25"/>
      <c r="JJ89" s="25"/>
      <c r="JK89" s="25"/>
      <c r="JL89" s="25"/>
      <c r="JM89" s="110"/>
      <c r="JN89" s="110"/>
      <c r="JO89" s="25"/>
      <c r="JP89" s="25"/>
      <c r="JQ89" s="25"/>
      <c r="JR89" s="25"/>
      <c r="JS89" s="25"/>
      <c r="JT89" s="110"/>
      <c r="JU89" s="110"/>
      <c r="JV89" s="25"/>
      <c r="JW89" s="25"/>
      <c r="JX89" s="25"/>
      <c r="JY89" s="25"/>
      <c r="JZ89" s="25"/>
      <c r="KA89" s="110"/>
      <c r="KB89" s="110"/>
      <c r="KC89" s="25"/>
      <c r="KD89" s="25"/>
      <c r="KE89" s="25"/>
      <c r="KF89" s="25"/>
      <c r="KG89" s="25"/>
      <c r="KH89" s="110"/>
      <c r="KI89" s="110"/>
      <c r="KJ89" s="25"/>
      <c r="KK89" s="25"/>
      <c r="KL89" s="25"/>
      <c r="KM89" s="25"/>
      <c r="KN89" s="25"/>
      <c r="KO89" s="110"/>
      <c r="KP89" s="110"/>
      <c r="KQ89" s="25"/>
      <c r="KR89" s="25"/>
      <c r="KS89" s="25"/>
      <c r="KT89" s="25"/>
      <c r="KU89" s="25"/>
      <c r="KV89" s="110"/>
      <c r="KW89" s="110"/>
      <c r="KX89" s="25"/>
      <c r="KY89" s="25"/>
      <c r="KZ89" s="25"/>
      <c r="LA89" s="25"/>
      <c r="LB89" s="25"/>
      <c r="LC89" s="110"/>
      <c r="LD89" s="110"/>
      <c r="LE89" s="25"/>
      <c r="LF89" s="25"/>
      <c r="LG89" s="110" t="s">
        <v>445</v>
      </c>
      <c r="LH89" s="25"/>
      <c r="LI89" s="25"/>
      <c r="LJ89" s="110"/>
      <c r="LK89" s="110"/>
      <c r="LL89" s="25"/>
      <c r="LM89" s="25"/>
      <c r="LN89" s="25"/>
      <c r="LO89" s="25"/>
      <c r="LP89" s="25"/>
      <c r="LQ89" s="110"/>
      <c r="LR89" s="110"/>
      <c r="LS89" s="25"/>
      <c r="LT89" s="25"/>
      <c r="LU89" s="25"/>
      <c r="LV89" s="25"/>
      <c r="LW89" s="25"/>
      <c r="LX89" s="110"/>
      <c r="LY89" s="110"/>
      <c r="LZ89" s="25"/>
      <c r="MA89" s="25"/>
      <c r="MB89" s="25"/>
      <c r="MC89" s="25"/>
      <c r="MD89" s="25"/>
      <c r="ME89" s="110"/>
      <c r="MF89" s="110"/>
      <c r="MG89" s="25"/>
      <c r="MH89" s="25"/>
      <c r="MI89" s="25"/>
      <c r="MJ89" s="25"/>
      <c r="MK89" s="25"/>
      <c r="ML89" s="110"/>
      <c r="MM89" s="110"/>
      <c r="MN89" s="25"/>
      <c r="MO89" s="25"/>
      <c r="MP89" s="25"/>
      <c r="MQ89" s="25"/>
      <c r="MR89" s="25"/>
      <c r="MS89" s="110"/>
      <c r="MT89" s="110"/>
      <c r="MU89" s="25"/>
      <c r="MV89" s="25"/>
      <c r="MW89" s="25"/>
      <c r="MX89" s="25"/>
      <c r="MY89" s="25"/>
      <c r="MZ89" s="110"/>
      <c r="NA89" s="110"/>
      <c r="NB89" s="25"/>
      <c r="NC89" s="25"/>
      <c r="ND89" s="25"/>
      <c r="NE89" s="129"/>
      <c r="NF89" s="111"/>
      <c r="NG89" s="8">
        <f t="shared" si="72"/>
        <v>0</v>
      </c>
      <c r="NH89" s="351" cm="1">
        <f t="array" ref="NH89">NETWORKDAYS($I$2,$AH$2)- SUM(COUNTIF(I89:AH89,{"I";"F";"CP";"R";"P";"AC";"AM"}))</f>
        <v>20</v>
      </c>
      <c r="NI89" s="138">
        <f t="shared" si="67"/>
        <v>0</v>
      </c>
      <c r="NJ89" s="8">
        <f t="shared" si="73"/>
        <v>0</v>
      </c>
      <c r="NK89" s="351" cm="1">
        <f t="array" ref="NK89">NETWORKDAYS($AJ$2,$BK$2)- SUM(COUNTIF(AJ89:BK89,{"I";"F";"CP";"R";"P";"AC";"AM"}))</f>
        <v>20</v>
      </c>
      <c r="NL89" s="138">
        <f t="shared" si="68"/>
        <v>0</v>
      </c>
      <c r="NM89" s="8">
        <f t="shared" si="74"/>
        <v>0</v>
      </c>
      <c r="NN89" s="351" cm="1">
        <f t="array" ref="NN89">NETWORKDAYS($BL$2,$CP$2)- SUM(COUNTIF(BL89:CP89,{"I";"F";"CP";"R";"P";"AC";"AM"}))</f>
        <v>22</v>
      </c>
      <c r="NO89" s="138">
        <f t="shared" si="69"/>
        <v>0</v>
      </c>
      <c r="NP89" s="8">
        <f t="shared" si="75"/>
        <v>1</v>
      </c>
      <c r="NQ89" s="351" cm="1">
        <f t="array" ref="NQ89">NETWORKDAYS($CQ$2,$DT$2,$CV$2)- SUM(COUNTIF(CQ89:DT89,{"I";"F";"CP";"R";"P";"AC";"AM"}))</f>
        <v>21</v>
      </c>
      <c r="NR89" s="138">
        <f t="shared" si="70"/>
        <v>4.7619047619047616E-2</v>
      </c>
      <c r="NS89" s="8">
        <f t="shared" si="76"/>
        <v>0</v>
      </c>
      <c r="NT89" s="351" cm="1">
        <f t="array" ref="NT89">NETWORKDAYS($DV$2,$EY$2)-SUM(COUNTIF(DV89:EY89,{"I";"F";"CP";"R";"P";"AC";"AM"}))</f>
        <v>16</v>
      </c>
      <c r="NU89" s="138">
        <f t="shared" si="71"/>
        <v>0</v>
      </c>
      <c r="NV89" s="8">
        <f t="shared" si="78"/>
        <v>0</v>
      </c>
      <c r="NW89" s="351" cm="1">
        <f t="array" ref="NW89">NETWORKDAYS($EZ$2,$GC$2)-SUM(COUNTIF(EZ89:GC89,{"I";"F";"CP";"R";"P";"AC";"AM"}))</f>
        <v>22</v>
      </c>
      <c r="NX89" s="138">
        <f t="shared" si="79"/>
        <v>0</v>
      </c>
      <c r="NY89" s="8">
        <f t="shared" si="80"/>
        <v>0</v>
      </c>
      <c r="NZ89" s="351" cm="1">
        <f t="array" ref="NZ89">NETWORKDAYS($GD$2,$HH$2,$GQ$2)-SUM(COUNTIF(GD89:HH89,{"I";"F";"CP";"R";"P";"AC";"AM"}))</f>
        <v>21</v>
      </c>
      <c r="OA89" s="138">
        <f t="shared" si="81"/>
        <v>0</v>
      </c>
      <c r="OB89" s="8">
        <f t="shared" si="82"/>
        <v>0</v>
      </c>
      <c r="OC89" s="351" cm="1">
        <f t="array" ref="OC89">NETWORKDAYS($HI$2,$IM$2)-SUM(COUNTIF(HI89:IM89,{"I";"F";"CP";"R";"P";"AC";"AM"}))</f>
        <v>21</v>
      </c>
      <c r="OD89" s="138">
        <f t="shared" si="83"/>
        <v>0</v>
      </c>
      <c r="OE89" s="8">
        <f t="shared" si="84"/>
        <v>0</v>
      </c>
      <c r="OF89" s="351" cm="1">
        <f t="array" ref="OF89">NETWORKDAYS($IN$2,$JQ$2)-SUM(COUNTIF(IN89:JQ89,{"I";"F";"CP";"R";"P";"AC";"AM"}))</f>
        <v>22</v>
      </c>
      <c r="OG89" s="138">
        <f t="shared" si="85"/>
        <v>0</v>
      </c>
      <c r="OH89" s="8">
        <f t="shared" si="86"/>
        <v>0</v>
      </c>
      <c r="OI89" s="351" cm="1">
        <f t="array" ref="OI89">NETWORKDAYS($JR$2,$KV$2)-SUM(COUNTIF(JR89:KV89,{"I";"F";"CP";"R";"P";"AC";"AM"}))</f>
        <v>22</v>
      </c>
      <c r="OJ89" s="138">
        <f t="shared" si="87"/>
        <v>0</v>
      </c>
      <c r="OK89" s="8">
        <f t="shared" si="88"/>
        <v>0</v>
      </c>
      <c r="OL89" s="351" cm="1">
        <f t="array" ref="OL89">NETWORKDAYS($KW$2,$LZ$2,$LG$2)-SUM(COUNTIF(KW89:LZ89,{"I";"F";"CP";"R";"P";"AC";"AM"}))</f>
        <v>19</v>
      </c>
      <c r="OM89" s="138">
        <f t="shared" si="89"/>
        <v>0</v>
      </c>
      <c r="ON89" s="8">
        <f t="shared" si="90"/>
        <v>0</v>
      </c>
      <c r="OO89" s="351" cm="1">
        <f t="array" ref="OO89">NETWORKDAYS($MA$2,$MR$2)-SUM(COUNTIF(MA89:MR89,{"I";"F";"CP";"R";"P";"AC";"AM"}))</f>
        <v>14</v>
      </c>
      <c r="OP89" s="138">
        <f t="shared" si="91"/>
        <v>0</v>
      </c>
      <c r="OQ89" s="94">
        <f t="shared" si="92"/>
        <v>1</v>
      </c>
      <c r="OR89" s="94">
        <f t="shared" si="93"/>
        <v>240</v>
      </c>
      <c r="OS89" s="138">
        <f t="shared" si="94"/>
        <v>4.1666666666666666E-3</v>
      </c>
    </row>
    <row r="90" spans="1:409" ht="18" customHeight="1" x14ac:dyDescent="0.25">
      <c r="A90" s="95" t="s">
        <v>181</v>
      </c>
      <c r="B90" s="95" t="s">
        <v>34</v>
      </c>
      <c r="C90" s="89" t="s">
        <v>188</v>
      </c>
      <c r="D90" s="89" t="s">
        <v>266</v>
      </c>
      <c r="E90" s="128"/>
      <c r="F90" s="110"/>
      <c r="G90" s="110"/>
      <c r="H90" s="110"/>
      <c r="I90" s="25" t="s">
        <v>223</v>
      </c>
      <c r="J90" s="25" t="s">
        <v>223</v>
      </c>
      <c r="K90" s="25" t="s">
        <v>223</v>
      </c>
      <c r="L90" s="25" t="s">
        <v>223</v>
      </c>
      <c r="M90" s="25" t="s">
        <v>223</v>
      </c>
      <c r="N90" s="110"/>
      <c r="O90" s="110"/>
      <c r="P90" s="25">
        <v>1</v>
      </c>
      <c r="Q90" s="25">
        <v>1</v>
      </c>
      <c r="R90" s="25">
        <v>1</v>
      </c>
      <c r="S90" s="25" t="s">
        <v>447</v>
      </c>
      <c r="T90" s="25">
        <v>1</v>
      </c>
      <c r="U90" s="110"/>
      <c r="V90" s="110"/>
      <c r="W90" s="25"/>
      <c r="X90" s="25">
        <v>1</v>
      </c>
      <c r="Y90" s="25">
        <v>1</v>
      </c>
      <c r="Z90" s="25">
        <v>1</v>
      </c>
      <c r="AA90" s="25" t="s">
        <v>447</v>
      </c>
      <c r="AB90" s="110"/>
      <c r="AC90" s="110"/>
      <c r="AD90" s="25"/>
      <c r="AE90" s="25">
        <v>1</v>
      </c>
      <c r="AF90" s="25">
        <v>1</v>
      </c>
      <c r="AG90" s="25">
        <v>1</v>
      </c>
      <c r="AH90" s="25">
        <v>1</v>
      </c>
      <c r="AI90" s="110"/>
      <c r="AJ90" s="110"/>
      <c r="AK90" s="25">
        <v>1</v>
      </c>
      <c r="AL90" s="25">
        <v>1</v>
      </c>
      <c r="AM90" s="25">
        <v>1</v>
      </c>
      <c r="AN90" s="25">
        <v>1</v>
      </c>
      <c r="AO90" s="25">
        <v>1</v>
      </c>
      <c r="AP90" s="110"/>
      <c r="AQ90" s="110"/>
      <c r="AR90" s="25">
        <v>1</v>
      </c>
      <c r="AS90" s="25">
        <v>1</v>
      </c>
      <c r="AT90" s="25">
        <v>1</v>
      </c>
      <c r="AV90" s="25">
        <v>1</v>
      </c>
      <c r="AW90" s="110"/>
      <c r="AX90" s="110"/>
      <c r="AY90" s="25"/>
      <c r="AZ90" s="25">
        <v>1</v>
      </c>
      <c r="BA90" s="25">
        <v>1</v>
      </c>
      <c r="BB90" s="25">
        <v>1</v>
      </c>
      <c r="BC90" s="25"/>
      <c r="BD90" s="110"/>
      <c r="BE90" s="110"/>
      <c r="BF90" s="25"/>
      <c r="BG90" s="25"/>
      <c r="BH90" s="25">
        <v>1</v>
      </c>
      <c r="BI90" s="25">
        <v>1</v>
      </c>
      <c r="BJ90" s="25">
        <v>1</v>
      </c>
      <c r="BK90" s="110"/>
      <c r="BL90" s="110"/>
      <c r="BM90" s="25">
        <v>1</v>
      </c>
      <c r="BN90" s="25">
        <v>1</v>
      </c>
      <c r="BO90" s="25">
        <v>1</v>
      </c>
      <c r="BP90" s="25">
        <v>1</v>
      </c>
      <c r="BQ90" s="25"/>
      <c r="BR90" s="110"/>
      <c r="BS90" s="110"/>
      <c r="BT90" s="25">
        <v>1</v>
      </c>
      <c r="BU90" s="25">
        <v>1</v>
      </c>
      <c r="BV90" s="25">
        <v>1</v>
      </c>
      <c r="BW90" s="25">
        <v>1</v>
      </c>
      <c r="BX90" s="25"/>
      <c r="BY90" s="110"/>
      <c r="BZ90" s="110"/>
      <c r="CA90" s="25">
        <v>1</v>
      </c>
      <c r="CB90" s="25">
        <v>1</v>
      </c>
      <c r="CC90" s="25"/>
      <c r="CD90" s="25">
        <v>1</v>
      </c>
      <c r="CE90" s="25">
        <v>1</v>
      </c>
      <c r="CF90" s="110"/>
      <c r="CG90" s="110"/>
      <c r="CH90" s="25"/>
      <c r="CI90" s="25">
        <v>1</v>
      </c>
      <c r="CJ90" s="25"/>
      <c r="CK90" s="25">
        <v>1</v>
      </c>
      <c r="CL90" s="25"/>
      <c r="CM90" s="110"/>
      <c r="CN90" s="110"/>
      <c r="CO90" s="25" t="s">
        <v>223</v>
      </c>
      <c r="CP90" s="25" t="s">
        <v>223</v>
      </c>
      <c r="CQ90" s="25" t="s">
        <v>223</v>
      </c>
      <c r="CR90" s="25" t="s">
        <v>223</v>
      </c>
      <c r="CS90" s="25" t="s">
        <v>223</v>
      </c>
      <c r="CT90" s="110"/>
      <c r="CU90" s="110"/>
      <c r="CV90" s="110"/>
      <c r="CW90" s="25"/>
      <c r="CX90" s="25" t="s">
        <v>223</v>
      </c>
      <c r="CY90" s="25" t="s">
        <v>223</v>
      </c>
      <c r="CZ90" s="25" t="s">
        <v>223</v>
      </c>
      <c r="DA90" s="110"/>
      <c r="DB90" s="110"/>
      <c r="DC90" s="25"/>
      <c r="DD90" s="25">
        <v>1</v>
      </c>
      <c r="DE90" s="25">
        <v>1</v>
      </c>
      <c r="DF90" s="25">
        <v>1</v>
      </c>
      <c r="DG90" s="25">
        <v>1</v>
      </c>
      <c r="DH90" s="110"/>
      <c r="DI90" s="110"/>
      <c r="DJ90" s="25" t="s">
        <v>223</v>
      </c>
      <c r="DK90" s="25" t="s">
        <v>457</v>
      </c>
      <c r="DL90" s="25" t="s">
        <v>223</v>
      </c>
      <c r="DM90" s="25" t="s">
        <v>223</v>
      </c>
      <c r="DN90" s="25" t="s">
        <v>223</v>
      </c>
      <c r="DO90" s="110"/>
      <c r="DP90" s="110"/>
      <c r="DQ90" s="25" t="s">
        <v>223</v>
      </c>
      <c r="DR90" s="25" t="s">
        <v>223</v>
      </c>
      <c r="DS90" s="25" t="s">
        <v>223</v>
      </c>
      <c r="DT90" s="25" t="s">
        <v>223</v>
      </c>
      <c r="DU90" s="110" t="s">
        <v>445</v>
      </c>
      <c r="DV90" s="110"/>
      <c r="DW90" s="110"/>
      <c r="DX90" s="25"/>
      <c r="DY90" s="25"/>
      <c r="DZ90" s="25">
        <v>1</v>
      </c>
      <c r="EA90" s="25"/>
      <c r="EB90" s="110" t="s">
        <v>445</v>
      </c>
      <c r="EC90" s="110"/>
      <c r="ED90" s="110"/>
      <c r="EE90" s="25"/>
      <c r="EF90" s="25"/>
      <c r="EG90" s="25"/>
      <c r="EH90" s="110" t="s">
        <v>445</v>
      </c>
      <c r="EI90" s="110" t="s">
        <v>445</v>
      </c>
      <c r="EJ90" s="110"/>
      <c r="EK90" s="110"/>
      <c r="EL90" s="25">
        <v>1</v>
      </c>
      <c r="EM90" s="25"/>
      <c r="EN90" s="25"/>
      <c r="EO90" s="25"/>
      <c r="EP90" s="25"/>
      <c r="EQ90" s="110"/>
      <c r="ER90" s="110"/>
      <c r="ES90" s="110" t="s">
        <v>445</v>
      </c>
      <c r="ET90" s="25"/>
      <c r="EU90" s="25"/>
      <c r="EV90" s="25"/>
      <c r="EW90" s="25"/>
      <c r="EX90" s="110"/>
      <c r="EY90" s="110"/>
      <c r="EZ90" s="25"/>
      <c r="FA90" s="25"/>
      <c r="FB90" s="25"/>
      <c r="FC90" s="25"/>
      <c r="FD90" s="25"/>
      <c r="FE90" s="110"/>
      <c r="FF90" s="110"/>
      <c r="FG90" s="25"/>
      <c r="FH90" s="25"/>
      <c r="FI90" s="25"/>
      <c r="FJ90" s="25"/>
      <c r="FK90" s="25"/>
      <c r="FL90" s="110"/>
      <c r="FM90" s="110"/>
      <c r="FN90" s="25"/>
      <c r="FO90" s="25"/>
      <c r="FP90" s="25"/>
      <c r="FQ90" s="25"/>
      <c r="FR90" s="25"/>
      <c r="FS90" s="110"/>
      <c r="FT90" s="110"/>
      <c r="FU90" s="25"/>
      <c r="FV90" s="25"/>
      <c r="FW90" s="25"/>
      <c r="FX90" s="25"/>
      <c r="FY90" s="25"/>
      <c r="FZ90" s="110"/>
      <c r="GA90" s="110"/>
      <c r="GB90" s="25"/>
      <c r="GC90" s="25"/>
      <c r="GD90" s="25"/>
      <c r="GE90" s="25"/>
      <c r="GF90" s="25"/>
      <c r="GG90" s="110"/>
      <c r="GH90" s="110"/>
      <c r="GI90" s="25"/>
      <c r="GJ90" s="25"/>
      <c r="GK90" s="25"/>
      <c r="GL90" s="25"/>
      <c r="GM90" s="25"/>
      <c r="GN90" s="110"/>
      <c r="GO90" s="110"/>
      <c r="GP90" s="110" t="s">
        <v>445</v>
      </c>
      <c r="GQ90" s="110"/>
      <c r="GR90" s="25"/>
      <c r="GS90" s="25"/>
      <c r="GT90" s="25"/>
      <c r="GU90" s="110"/>
      <c r="GV90" s="110"/>
      <c r="GW90" s="25"/>
      <c r="GX90" s="25"/>
      <c r="GY90" s="25"/>
      <c r="GZ90" s="25"/>
      <c r="HA90" s="25"/>
      <c r="HB90" s="110"/>
      <c r="HC90" s="110"/>
      <c r="HD90" s="25"/>
      <c r="HE90" s="25"/>
      <c r="HF90" s="25"/>
      <c r="HG90" s="25"/>
      <c r="HH90" s="25"/>
      <c r="HI90" s="110"/>
      <c r="HJ90" s="110"/>
      <c r="HK90" s="25"/>
      <c r="HL90" s="25"/>
      <c r="HM90" s="25"/>
      <c r="HN90" s="25"/>
      <c r="HO90" s="25"/>
      <c r="HP90" s="110"/>
      <c r="HQ90" s="110"/>
      <c r="HR90" s="25"/>
      <c r="HS90" s="25"/>
      <c r="HT90" s="25"/>
      <c r="HU90" s="25"/>
      <c r="HV90" s="25"/>
      <c r="HW90" s="110"/>
      <c r="HX90" s="110"/>
      <c r="HY90" s="25"/>
      <c r="HZ90" s="25"/>
      <c r="IA90" s="25"/>
      <c r="IB90" s="25"/>
      <c r="IC90" s="25"/>
      <c r="ID90" s="110"/>
      <c r="IE90" s="110"/>
      <c r="IF90" s="25"/>
      <c r="IG90" s="25"/>
      <c r="IH90" s="25"/>
      <c r="II90" s="25"/>
      <c r="IJ90" s="25"/>
      <c r="IK90" s="110"/>
      <c r="IL90" s="110"/>
      <c r="IM90" s="25"/>
      <c r="IN90" s="25"/>
      <c r="IO90" s="25"/>
      <c r="IP90" s="25"/>
      <c r="IQ90" s="25"/>
      <c r="IR90" s="110"/>
      <c r="IS90" s="110"/>
      <c r="IT90" s="25"/>
      <c r="IU90" s="25"/>
      <c r="IV90" s="25"/>
      <c r="IW90" s="25"/>
      <c r="IX90" s="25"/>
      <c r="IY90" s="110"/>
      <c r="IZ90" s="110"/>
      <c r="JA90" s="25"/>
      <c r="JB90" s="25"/>
      <c r="JC90" s="25"/>
      <c r="JD90" s="25"/>
      <c r="JE90" s="25"/>
      <c r="JF90" s="110"/>
      <c r="JG90" s="110"/>
      <c r="JH90" s="25"/>
      <c r="JI90" s="25"/>
      <c r="JJ90" s="25"/>
      <c r="JK90" s="25"/>
      <c r="JL90" s="25"/>
      <c r="JM90" s="110"/>
      <c r="JN90" s="110"/>
      <c r="JO90" s="25"/>
      <c r="JP90" s="25"/>
      <c r="JQ90" s="25"/>
      <c r="JR90" s="25"/>
      <c r="JS90" s="25"/>
      <c r="JT90" s="110"/>
      <c r="JU90" s="110"/>
      <c r="JV90" s="25"/>
      <c r="JW90" s="25"/>
      <c r="JX90" s="25"/>
      <c r="JY90" s="25"/>
      <c r="JZ90" s="25"/>
      <c r="KA90" s="110"/>
      <c r="KB90" s="110"/>
      <c r="KC90" s="25"/>
      <c r="KD90" s="25"/>
      <c r="KE90" s="25"/>
      <c r="KF90" s="25"/>
      <c r="KG90" s="25"/>
      <c r="KH90" s="110"/>
      <c r="KI90" s="110"/>
      <c r="KJ90" s="25"/>
      <c r="KK90" s="25"/>
      <c r="KL90" s="25"/>
      <c r="KM90" s="25"/>
      <c r="KN90" s="25"/>
      <c r="KO90" s="110"/>
      <c r="KP90" s="110"/>
      <c r="KQ90" s="25"/>
      <c r="KR90" s="25"/>
      <c r="KS90" s="25"/>
      <c r="KT90" s="25"/>
      <c r="KU90" s="25"/>
      <c r="KV90" s="110"/>
      <c r="KW90" s="110"/>
      <c r="KX90" s="25"/>
      <c r="KY90" s="25"/>
      <c r="KZ90" s="25"/>
      <c r="LA90" s="25"/>
      <c r="LB90" s="25"/>
      <c r="LC90" s="110"/>
      <c r="LD90" s="110"/>
      <c r="LE90" s="25"/>
      <c r="LF90" s="25"/>
      <c r="LG90" s="110" t="s">
        <v>445</v>
      </c>
      <c r="LH90" s="25"/>
      <c r="LI90" s="25"/>
      <c r="LJ90" s="110"/>
      <c r="LK90" s="110"/>
      <c r="LL90" s="25"/>
      <c r="LM90" s="25"/>
      <c r="LN90" s="25"/>
      <c r="LO90" s="25"/>
      <c r="LP90" s="25"/>
      <c r="LQ90" s="110"/>
      <c r="LR90" s="110"/>
      <c r="LS90" s="25"/>
      <c r="LT90" s="25"/>
      <c r="LU90" s="25"/>
      <c r="LV90" s="25"/>
      <c r="LW90" s="25"/>
      <c r="LX90" s="110"/>
      <c r="LY90" s="110"/>
      <c r="LZ90" s="25"/>
      <c r="MA90" s="25"/>
      <c r="MB90" s="25"/>
      <c r="MC90" s="25"/>
      <c r="MD90" s="25"/>
      <c r="ME90" s="110"/>
      <c r="MF90" s="110"/>
      <c r="MG90" s="25"/>
      <c r="MH90" s="25"/>
      <c r="MI90" s="25"/>
      <c r="MJ90" s="25"/>
      <c r="MK90" s="25"/>
      <c r="ML90" s="110"/>
      <c r="MM90" s="110"/>
      <c r="MN90" s="25"/>
      <c r="MO90" s="25"/>
      <c r="MP90" s="25"/>
      <c r="MQ90" s="25"/>
      <c r="MR90" s="25"/>
      <c r="MS90" s="110"/>
      <c r="MT90" s="110"/>
      <c r="MU90" s="25"/>
      <c r="MV90" s="25"/>
      <c r="MW90" s="25"/>
      <c r="MX90" s="25"/>
      <c r="MY90" s="25"/>
      <c r="MZ90" s="110"/>
      <c r="NA90" s="110"/>
      <c r="NB90" s="25"/>
      <c r="NC90" s="25"/>
      <c r="ND90" s="25"/>
      <c r="NE90" s="129"/>
      <c r="NF90" s="111"/>
      <c r="NG90" s="8">
        <f>SUM(E90:AI90)</f>
        <v>11</v>
      </c>
      <c r="NH90" s="351" cm="1">
        <f t="array" ref="NH90">NETWORKDAYS($I$2,$AH$2)- SUM(COUNTIF(I90:AH90,{"I";"F";"CP";"R";"P";"AC";"AM"}))</f>
        <v>13</v>
      </c>
      <c r="NI90" s="138">
        <f t="shared" si="67"/>
        <v>0.84615384615384615</v>
      </c>
      <c r="NJ90" s="8">
        <f t="shared" si="73"/>
        <v>15</v>
      </c>
      <c r="NK90" s="351" cm="1">
        <f t="array" ref="NK90">NETWORKDAYS($AJ$2,$BK$2)- SUM(COUNTIF(AJ90:BK90,{"I";"F";"CP";"R";"P";"AC";"AM"}))</f>
        <v>20</v>
      </c>
      <c r="NL90" s="138">
        <f t="shared" si="68"/>
        <v>0.75</v>
      </c>
      <c r="NM90" s="8">
        <f t="shared" si="74"/>
        <v>14</v>
      </c>
      <c r="NN90" s="351" cm="1">
        <f t="array" ref="NN90">NETWORKDAYS($BL$2,$CP$2)- SUM(COUNTIF(BL90:CP90,{"I";"F";"CP";"R";"P";"AC";"AM"}))</f>
        <v>20</v>
      </c>
      <c r="NO90" s="138">
        <f t="shared" si="69"/>
        <v>0.7</v>
      </c>
      <c r="NP90" s="8">
        <f t="shared" si="75"/>
        <v>4</v>
      </c>
      <c r="NQ90" s="351" cm="1">
        <f t="array" ref="NQ90">NETWORKDAYS($CQ$2,$DT$2,$CV$2)- SUM(COUNTIF(CQ90:DT90,{"I";"F";"CP";"R";"P";"AC";"AM"}))</f>
        <v>7</v>
      </c>
      <c r="NR90" s="138">
        <f t="shared" si="70"/>
        <v>0.5714285714285714</v>
      </c>
      <c r="NS90" s="8">
        <f t="shared" si="76"/>
        <v>2</v>
      </c>
      <c r="NT90" s="351" cm="1">
        <f t="array" ref="NT90">NETWORKDAYS($DV$2,$EY$2)-SUM(COUNTIF(DV90:EY90,{"I";"F";"CP";"R";"P";"AC";"AM"}))</f>
        <v>16</v>
      </c>
      <c r="NU90" s="138">
        <f t="shared" si="71"/>
        <v>0.125</v>
      </c>
      <c r="NV90" s="8">
        <f t="shared" si="78"/>
        <v>0</v>
      </c>
      <c r="NW90" s="351" cm="1">
        <f t="array" ref="NW90">NETWORKDAYS($EZ$2,$GC$2)-SUM(COUNTIF(EZ90:GC90,{"I";"F";"CP";"R";"P";"AC";"AM"}))</f>
        <v>22</v>
      </c>
      <c r="NX90" s="138">
        <f t="shared" si="79"/>
        <v>0</v>
      </c>
      <c r="NY90" s="8">
        <f t="shared" si="80"/>
        <v>0</v>
      </c>
      <c r="NZ90" s="351" cm="1">
        <f t="array" ref="NZ90">NETWORKDAYS($GD$2,$HH$2,$GQ$2)-SUM(COUNTIF(GD90:HH90,{"I";"F";"CP";"R";"P";"AC";"AM"}))</f>
        <v>21</v>
      </c>
      <c r="OA90" s="138">
        <f t="shared" si="81"/>
        <v>0</v>
      </c>
      <c r="OB90" s="8">
        <f t="shared" si="82"/>
        <v>0</v>
      </c>
      <c r="OC90" s="351" cm="1">
        <f t="array" ref="OC90">NETWORKDAYS($HI$2,$IM$2)-SUM(COUNTIF(HI90:IM90,{"I";"F";"CP";"R";"P";"AC";"AM"}))</f>
        <v>21</v>
      </c>
      <c r="OD90" s="138">
        <f t="shared" si="83"/>
        <v>0</v>
      </c>
      <c r="OE90" s="8">
        <f t="shared" si="84"/>
        <v>0</v>
      </c>
      <c r="OF90" s="351" cm="1">
        <f t="array" ref="OF90">NETWORKDAYS($IN$2,$JQ$2)-SUM(COUNTIF(IN90:JQ90,{"I";"F";"CP";"R";"P";"AC";"AM"}))</f>
        <v>22</v>
      </c>
      <c r="OG90" s="138">
        <f t="shared" si="85"/>
        <v>0</v>
      </c>
      <c r="OH90" s="8">
        <f t="shared" si="86"/>
        <v>0</v>
      </c>
      <c r="OI90" s="351" cm="1">
        <f t="array" ref="OI90">NETWORKDAYS($JR$2,$KV$2)-SUM(COUNTIF(JR90:KV90,{"I";"F";"CP";"R";"P";"AC";"AM"}))</f>
        <v>22</v>
      </c>
      <c r="OJ90" s="138">
        <f t="shared" si="87"/>
        <v>0</v>
      </c>
      <c r="OK90" s="8">
        <f t="shared" si="88"/>
        <v>0</v>
      </c>
      <c r="OL90" s="351" cm="1">
        <f t="array" ref="OL90">NETWORKDAYS($KW$2,$LZ$2,$LG$2)-SUM(COUNTIF(KW90:LZ90,{"I";"F";"CP";"R";"P";"AC";"AM"}))</f>
        <v>19</v>
      </c>
      <c r="OM90" s="138">
        <f t="shared" si="89"/>
        <v>0</v>
      </c>
      <c r="ON90" s="8">
        <f t="shared" si="90"/>
        <v>0</v>
      </c>
      <c r="OO90" s="351" cm="1">
        <f t="array" ref="OO90">NETWORKDAYS($MA$2,$MR$2)-SUM(COUNTIF(MA90:MR90,{"I";"F";"CP";"R";"P";"AC";"AM"}))</f>
        <v>14</v>
      </c>
      <c r="OP90" s="138">
        <f t="shared" si="91"/>
        <v>0</v>
      </c>
      <c r="OQ90" s="94">
        <f t="shared" si="92"/>
        <v>46</v>
      </c>
      <c r="OR90" s="94">
        <f t="shared" si="93"/>
        <v>217</v>
      </c>
      <c r="OS90" s="138">
        <f t="shared" si="94"/>
        <v>0.2119815668202765</v>
      </c>
    </row>
    <row r="91" spans="1:409" ht="18" hidden="1" customHeight="1" x14ac:dyDescent="0.25">
      <c r="A91" s="95" t="s">
        <v>168</v>
      </c>
      <c r="B91" s="95" t="s">
        <v>168</v>
      </c>
      <c r="C91" s="89" t="s">
        <v>166</v>
      </c>
      <c r="D91" s="89" t="s">
        <v>266</v>
      </c>
      <c r="E91" s="128"/>
      <c r="F91" s="110"/>
      <c r="G91" s="110"/>
      <c r="H91" s="110"/>
      <c r="I91" s="25"/>
      <c r="J91" s="25"/>
      <c r="K91" s="25"/>
      <c r="L91" s="25"/>
      <c r="M91" s="25"/>
      <c r="N91" s="110"/>
      <c r="O91" s="110"/>
      <c r="P91" s="25"/>
      <c r="Q91" s="25"/>
      <c r="R91" s="25"/>
      <c r="S91" s="25"/>
      <c r="T91" s="25"/>
      <c r="U91" s="110"/>
      <c r="V91" s="110"/>
      <c r="W91" s="25"/>
      <c r="X91" s="25"/>
      <c r="Y91" s="25"/>
      <c r="Z91" s="25"/>
      <c r="AA91" s="25"/>
      <c r="AB91" s="110"/>
      <c r="AC91" s="110"/>
      <c r="AD91" s="25"/>
      <c r="AE91" s="25"/>
      <c r="AF91" s="25"/>
      <c r="AG91" s="25"/>
      <c r="AH91" s="25"/>
      <c r="AI91" s="110"/>
      <c r="AJ91" s="110"/>
      <c r="AK91" s="25"/>
      <c r="AL91" s="25"/>
      <c r="AM91" s="25"/>
      <c r="AN91" s="25"/>
      <c r="AO91" s="25"/>
      <c r="AP91" s="110"/>
      <c r="AQ91" s="110"/>
      <c r="AR91" s="25"/>
      <c r="AS91" s="25"/>
      <c r="AT91" s="25"/>
      <c r="AU91" s="25"/>
      <c r="AV91" s="25"/>
      <c r="AW91" s="110"/>
      <c r="AX91" s="110"/>
      <c r="AY91" s="25"/>
      <c r="AZ91" s="25"/>
      <c r="BA91" s="25"/>
      <c r="BB91" s="25"/>
      <c r="BC91" s="25"/>
      <c r="BD91" s="110"/>
      <c r="BE91" s="110"/>
      <c r="BF91" s="25"/>
      <c r="BG91" s="25"/>
      <c r="BH91" s="25"/>
      <c r="BI91" s="25"/>
      <c r="BJ91" s="25"/>
      <c r="BK91" s="110"/>
      <c r="BL91" s="110"/>
      <c r="BM91" s="25"/>
      <c r="BN91" s="25"/>
      <c r="BO91" s="25"/>
      <c r="BP91" s="25"/>
      <c r="BQ91" s="25"/>
      <c r="BR91" s="110"/>
      <c r="BS91" s="110"/>
      <c r="BT91" s="25"/>
      <c r="BU91" s="25"/>
      <c r="BV91" s="25"/>
      <c r="BW91" s="25"/>
      <c r="BX91" s="25"/>
      <c r="BY91" s="110"/>
      <c r="BZ91" s="110"/>
      <c r="CA91" s="25"/>
      <c r="CB91" s="25"/>
      <c r="CC91" s="25"/>
      <c r="CD91" s="25"/>
      <c r="CE91" s="25"/>
      <c r="CF91" s="110"/>
      <c r="CG91" s="110"/>
      <c r="CH91" s="25"/>
      <c r="CI91" s="25"/>
      <c r="CJ91" s="25"/>
      <c r="CK91" s="25"/>
      <c r="CL91" s="25"/>
      <c r="CM91" s="110"/>
      <c r="CN91" s="110"/>
      <c r="CO91" s="25"/>
      <c r="CP91" s="25"/>
      <c r="CQ91" s="25"/>
      <c r="CR91" s="25"/>
      <c r="CS91" s="25"/>
      <c r="CT91" s="110"/>
      <c r="CU91" s="110"/>
      <c r="CV91" s="110"/>
      <c r="CW91" s="25"/>
      <c r="CX91" s="25"/>
      <c r="CY91" s="25"/>
      <c r="CZ91" s="25"/>
      <c r="DA91" s="110"/>
      <c r="DB91" s="110"/>
      <c r="DC91" s="25"/>
      <c r="DD91" s="25"/>
      <c r="DE91" s="25"/>
      <c r="DF91" s="25"/>
      <c r="DG91" s="25"/>
      <c r="DH91" s="110"/>
      <c r="DI91" s="110"/>
      <c r="DJ91" s="25"/>
      <c r="DK91" s="25"/>
      <c r="DL91" s="25"/>
      <c r="DM91" s="25"/>
      <c r="DN91" s="25"/>
      <c r="DO91" s="110"/>
      <c r="DP91" s="110"/>
      <c r="DQ91" s="25"/>
      <c r="DR91" s="25"/>
      <c r="DS91" s="25"/>
      <c r="DT91" s="25"/>
      <c r="DU91" s="110" t="s">
        <v>445</v>
      </c>
      <c r="DV91" s="110"/>
      <c r="DW91" s="110"/>
      <c r="DX91" s="25"/>
      <c r="DY91" s="25"/>
      <c r="DZ91" s="25"/>
      <c r="EA91" s="25"/>
      <c r="EB91" s="110" t="s">
        <v>445</v>
      </c>
      <c r="EC91" s="110"/>
      <c r="ED91" s="110"/>
      <c r="EE91" s="25"/>
      <c r="EF91" s="25"/>
      <c r="EG91" s="25"/>
      <c r="EH91" s="110" t="s">
        <v>445</v>
      </c>
      <c r="EI91" s="110" t="s">
        <v>445</v>
      </c>
      <c r="EJ91" s="110"/>
      <c r="EK91" s="110"/>
      <c r="EL91" s="25"/>
      <c r="EM91" s="25"/>
      <c r="EN91" s="25"/>
      <c r="EO91" s="25"/>
      <c r="EP91" s="25"/>
      <c r="EQ91" s="110"/>
      <c r="ER91" s="110"/>
      <c r="ES91" s="110" t="s">
        <v>445</v>
      </c>
      <c r="ET91" s="25"/>
      <c r="EU91" s="25"/>
      <c r="EV91" s="25"/>
      <c r="EW91" s="25"/>
      <c r="EX91" s="110"/>
      <c r="EY91" s="110"/>
      <c r="EZ91" s="25"/>
      <c r="FA91" s="25"/>
      <c r="FB91" s="25"/>
      <c r="FC91" s="25"/>
      <c r="FD91" s="25"/>
      <c r="FE91" s="110"/>
      <c r="FF91" s="110"/>
      <c r="FG91" s="25"/>
      <c r="FH91" s="25"/>
      <c r="FI91" s="25"/>
      <c r="FJ91" s="25"/>
      <c r="FK91" s="25"/>
      <c r="FL91" s="110"/>
      <c r="FM91" s="110"/>
      <c r="FN91" s="25"/>
      <c r="FO91" s="25"/>
      <c r="FP91" s="25"/>
      <c r="FQ91" s="25"/>
      <c r="FR91" s="25"/>
      <c r="FS91" s="110"/>
      <c r="FT91" s="110"/>
      <c r="FU91" s="25"/>
      <c r="FV91" s="25"/>
      <c r="FW91" s="25"/>
      <c r="FX91" s="25"/>
      <c r="FY91" s="25"/>
      <c r="FZ91" s="110"/>
      <c r="GA91" s="110"/>
      <c r="GB91" s="25"/>
      <c r="GC91" s="25"/>
      <c r="GD91" s="25"/>
      <c r="GE91" s="25"/>
      <c r="GF91" s="25"/>
      <c r="GG91" s="110"/>
      <c r="GH91" s="110"/>
      <c r="GI91" s="25"/>
      <c r="GJ91" s="25"/>
      <c r="GK91" s="25"/>
      <c r="GL91" s="25"/>
      <c r="GM91" s="25"/>
      <c r="GN91" s="110"/>
      <c r="GO91" s="110"/>
      <c r="GP91" s="110" t="s">
        <v>445</v>
      </c>
      <c r="GQ91" s="110"/>
      <c r="GR91" s="25"/>
      <c r="GS91" s="25"/>
      <c r="GT91" s="25"/>
      <c r="GU91" s="110"/>
      <c r="GV91" s="110"/>
      <c r="GW91" s="25"/>
      <c r="GX91" s="25"/>
      <c r="GY91" s="25"/>
      <c r="GZ91" s="25"/>
      <c r="HA91" s="25"/>
      <c r="HB91" s="110"/>
      <c r="HC91" s="110"/>
      <c r="HD91" s="25"/>
      <c r="HE91" s="25"/>
      <c r="HF91" s="25"/>
      <c r="HG91" s="25"/>
      <c r="HH91" s="25"/>
      <c r="HI91" s="110"/>
      <c r="HJ91" s="110"/>
      <c r="HK91" s="25"/>
      <c r="HL91" s="25"/>
      <c r="HM91" s="25"/>
      <c r="HN91" s="25"/>
      <c r="HO91" s="25"/>
      <c r="HP91" s="110"/>
      <c r="HQ91" s="110"/>
      <c r="HR91" s="25"/>
      <c r="HS91" s="25"/>
      <c r="HT91" s="25"/>
      <c r="HU91" s="25"/>
      <c r="HV91" s="25"/>
      <c r="HW91" s="110"/>
      <c r="HX91" s="110"/>
      <c r="HY91" s="25"/>
      <c r="HZ91" s="25"/>
      <c r="IA91" s="25"/>
      <c r="IB91" s="25"/>
      <c r="IC91" s="25"/>
      <c r="ID91" s="110"/>
      <c r="IE91" s="110"/>
      <c r="IF91" s="25"/>
      <c r="IG91" s="25"/>
      <c r="IH91" s="25"/>
      <c r="II91" s="25"/>
      <c r="IJ91" s="25"/>
      <c r="IK91" s="110"/>
      <c r="IL91" s="110"/>
      <c r="IM91" s="25"/>
      <c r="IN91" s="25"/>
      <c r="IO91" s="25"/>
      <c r="IP91" s="25"/>
      <c r="IQ91" s="25"/>
      <c r="IR91" s="110"/>
      <c r="IS91" s="110"/>
      <c r="IT91" s="25"/>
      <c r="IU91" s="25"/>
      <c r="IV91" s="25"/>
      <c r="IW91" s="25"/>
      <c r="IX91" s="25"/>
      <c r="IY91" s="110"/>
      <c r="IZ91" s="110"/>
      <c r="JA91" s="25"/>
      <c r="JB91" s="25"/>
      <c r="JC91" s="25"/>
      <c r="JD91" s="25"/>
      <c r="JE91" s="25"/>
      <c r="JF91" s="110"/>
      <c r="JG91" s="110"/>
      <c r="JH91" s="25"/>
      <c r="JI91" s="25"/>
      <c r="JJ91" s="25"/>
      <c r="JK91" s="25"/>
      <c r="JL91" s="25"/>
      <c r="JM91" s="110"/>
      <c r="JN91" s="110"/>
      <c r="JO91" s="25"/>
      <c r="JP91" s="25"/>
      <c r="JQ91" s="25"/>
      <c r="JR91" s="25"/>
      <c r="JS91" s="25"/>
      <c r="JT91" s="110"/>
      <c r="JU91" s="110"/>
      <c r="JV91" s="25"/>
      <c r="JW91" s="25"/>
      <c r="JX91" s="25"/>
      <c r="JY91" s="25"/>
      <c r="JZ91" s="25"/>
      <c r="KA91" s="110"/>
      <c r="KB91" s="110"/>
      <c r="KC91" s="25"/>
      <c r="KD91" s="25"/>
      <c r="KE91" s="25"/>
      <c r="KF91" s="25"/>
      <c r="KG91" s="25"/>
      <c r="KH91" s="110"/>
      <c r="KI91" s="110"/>
      <c r="KJ91" s="25"/>
      <c r="KK91" s="25"/>
      <c r="KL91" s="25"/>
      <c r="KM91" s="25"/>
      <c r="KN91" s="25"/>
      <c r="KO91" s="110"/>
      <c r="KP91" s="110"/>
      <c r="KQ91" s="25"/>
      <c r="KR91" s="25"/>
      <c r="KS91" s="25"/>
      <c r="KT91" s="25"/>
      <c r="KU91" s="25"/>
      <c r="KV91" s="110"/>
      <c r="KW91" s="110"/>
      <c r="KX91" s="25"/>
      <c r="KY91" s="25"/>
      <c r="KZ91" s="25"/>
      <c r="LA91" s="25"/>
      <c r="LB91" s="25"/>
      <c r="LC91" s="110"/>
      <c r="LD91" s="110"/>
      <c r="LE91" s="25"/>
      <c r="LF91" s="25"/>
      <c r="LG91" s="110" t="s">
        <v>445</v>
      </c>
      <c r="LH91" s="25"/>
      <c r="LI91" s="25"/>
      <c r="LJ91" s="110"/>
      <c r="LK91" s="110"/>
      <c r="LL91" s="25"/>
      <c r="LM91" s="25"/>
      <c r="LN91" s="25"/>
      <c r="LO91" s="25"/>
      <c r="LP91" s="25"/>
      <c r="LQ91" s="110"/>
      <c r="LR91" s="110"/>
      <c r="LS91" s="25"/>
      <c r="LT91" s="25"/>
      <c r="LU91" s="25"/>
      <c r="LV91" s="25"/>
      <c r="LW91" s="25"/>
      <c r="LX91" s="110"/>
      <c r="LY91" s="110"/>
      <c r="LZ91" s="25"/>
      <c r="MA91" s="25"/>
      <c r="MB91" s="25"/>
      <c r="MC91" s="25"/>
      <c r="MD91" s="25"/>
      <c r="ME91" s="110"/>
      <c r="MF91" s="110"/>
      <c r="MG91" s="25"/>
      <c r="MH91" s="25"/>
      <c r="MI91" s="25"/>
      <c r="MJ91" s="25"/>
      <c r="MK91" s="25"/>
      <c r="ML91" s="110"/>
      <c r="MM91" s="110"/>
      <c r="MN91" s="25"/>
      <c r="MO91" s="25"/>
      <c r="MP91" s="25"/>
      <c r="MQ91" s="25"/>
      <c r="MR91" s="25"/>
      <c r="MS91" s="110"/>
      <c r="MT91" s="110"/>
      <c r="MU91" s="25"/>
      <c r="MV91" s="25"/>
      <c r="MW91" s="25"/>
      <c r="MX91" s="25"/>
      <c r="MY91" s="25"/>
      <c r="MZ91" s="110"/>
      <c r="NA91" s="110"/>
      <c r="NB91" s="25"/>
      <c r="NC91" s="25"/>
      <c r="ND91" s="25"/>
      <c r="NE91" s="129"/>
      <c r="NF91" s="111"/>
      <c r="NG91" s="8">
        <f t="shared" si="72"/>
        <v>0</v>
      </c>
      <c r="NH91" s="351" cm="1">
        <f t="array" ref="NH91">NETWORKDAYS($I$2,$AH$2)- SUM(COUNTIF(I91:AH91,{"I";"F";"CP";"R";"P";"AC";"AM"}))</f>
        <v>20</v>
      </c>
      <c r="NI91" s="138">
        <f t="shared" si="67"/>
        <v>0</v>
      </c>
      <c r="NJ91" s="8">
        <f t="shared" si="73"/>
        <v>0</v>
      </c>
      <c r="NK91" s="351" cm="1">
        <f t="array" ref="NK91">NETWORKDAYS($AJ$2,$BK$2)- SUM(COUNTIF(AJ91:BK91,{"I";"F";"CP";"R";"P";"AC";"AM"}))</f>
        <v>20</v>
      </c>
      <c r="NL91" s="138">
        <f t="shared" si="68"/>
        <v>0</v>
      </c>
      <c r="NM91" s="8">
        <f t="shared" si="74"/>
        <v>0</v>
      </c>
      <c r="NN91" s="351" cm="1">
        <f t="array" ref="NN91">NETWORKDAYS($BL$2,$CP$2)- SUM(COUNTIF(BL91:CP91,{"I";"F";"CP";"R";"P";"AC";"AM"}))</f>
        <v>22</v>
      </c>
      <c r="NO91" s="138">
        <f t="shared" si="69"/>
        <v>0</v>
      </c>
      <c r="NP91" s="8">
        <f t="shared" si="75"/>
        <v>0</v>
      </c>
      <c r="NQ91" s="351" cm="1">
        <f t="array" ref="NQ91">NETWORKDAYS($CQ$2,$DT$2,$CV$2)- SUM(COUNTIF(CQ91:DT91,{"I";"F";"CP";"R";"P";"AC";"AM"}))</f>
        <v>21</v>
      </c>
      <c r="NR91" s="138">
        <f t="shared" si="70"/>
        <v>0</v>
      </c>
      <c r="NS91" s="8">
        <f t="shared" si="76"/>
        <v>0</v>
      </c>
      <c r="NT91" s="351" cm="1">
        <f t="array" ref="NT91">NETWORKDAYS($DV$2,$EY$2)-SUM(COUNTIF(DV91:EY91,{"I";"F";"CP";"R";"P";"AC";"AM"}))</f>
        <v>16</v>
      </c>
      <c r="NU91" s="138">
        <f t="shared" si="71"/>
        <v>0</v>
      </c>
      <c r="NV91" s="8">
        <f t="shared" si="78"/>
        <v>0</v>
      </c>
      <c r="NW91" s="351" cm="1">
        <f t="array" ref="NW91">NETWORKDAYS($EZ$2,$GC$2)-SUM(COUNTIF(EZ91:GC91,{"I";"F";"CP";"R";"P";"AC";"AM"}))</f>
        <v>22</v>
      </c>
      <c r="NX91" s="138">
        <f t="shared" si="79"/>
        <v>0</v>
      </c>
      <c r="NY91" s="8">
        <f t="shared" si="80"/>
        <v>0</v>
      </c>
      <c r="NZ91" s="351" cm="1">
        <f t="array" ref="NZ91">NETWORKDAYS($GD$2,$HH$2,$GQ$2)-SUM(COUNTIF(GD91:HH91,{"I";"F";"CP";"R";"P";"AC";"AM"}))</f>
        <v>21</v>
      </c>
      <c r="OA91" s="138">
        <f t="shared" si="81"/>
        <v>0</v>
      </c>
      <c r="OB91" s="8">
        <f t="shared" si="82"/>
        <v>0</v>
      </c>
      <c r="OC91" s="351" cm="1">
        <f t="array" ref="OC91">NETWORKDAYS($HI$2,$IM$2)-SUM(COUNTIF(HI91:IM91,{"I";"F";"CP";"R";"P";"AC";"AM"}))</f>
        <v>21</v>
      </c>
      <c r="OD91" s="138">
        <f t="shared" si="83"/>
        <v>0</v>
      </c>
      <c r="OE91" s="8">
        <f t="shared" si="84"/>
        <v>0</v>
      </c>
      <c r="OF91" s="351" cm="1">
        <f t="array" ref="OF91">NETWORKDAYS($IN$2,$JQ$2)-SUM(COUNTIF(IN91:JQ91,{"I";"F";"CP";"R";"P";"AC";"AM"}))</f>
        <v>22</v>
      </c>
      <c r="OG91" s="138">
        <f t="shared" si="85"/>
        <v>0</v>
      </c>
      <c r="OH91" s="8">
        <f t="shared" si="86"/>
        <v>0</v>
      </c>
      <c r="OI91" s="351" cm="1">
        <f t="array" ref="OI91">NETWORKDAYS($JR$2,$KV$2)-SUM(COUNTIF(JR91:KV91,{"I";"F";"CP";"R";"P";"AC";"AM"}))</f>
        <v>22</v>
      </c>
      <c r="OJ91" s="138">
        <f t="shared" si="87"/>
        <v>0</v>
      </c>
      <c r="OK91" s="8">
        <f t="shared" si="88"/>
        <v>0</v>
      </c>
      <c r="OL91" s="351" cm="1">
        <f t="array" ref="OL91">NETWORKDAYS($KW$2,$LZ$2,$LG$2)-SUM(COUNTIF(KW91:LZ91,{"I";"F";"CP";"R";"P";"AC";"AM"}))</f>
        <v>19</v>
      </c>
      <c r="OM91" s="138">
        <f t="shared" si="89"/>
        <v>0</v>
      </c>
      <c r="ON91" s="8">
        <f t="shared" si="90"/>
        <v>0</v>
      </c>
      <c r="OO91" s="351" cm="1">
        <f t="array" ref="OO91">NETWORKDAYS($MA$2,$MR$2)-SUM(COUNTIF(MA91:MR91,{"I";"F";"CP";"R";"P";"AC";"AM"}))</f>
        <v>14</v>
      </c>
      <c r="OP91" s="138">
        <f t="shared" si="91"/>
        <v>0</v>
      </c>
      <c r="OQ91" s="94">
        <f t="shared" si="92"/>
        <v>0</v>
      </c>
      <c r="OR91" s="94">
        <f t="shared" si="93"/>
        <v>240</v>
      </c>
      <c r="OS91" s="138">
        <f t="shared" si="94"/>
        <v>0</v>
      </c>
    </row>
    <row r="92" spans="1:409" ht="18" hidden="1" customHeight="1" x14ac:dyDescent="0.25">
      <c r="A92" s="95" t="s">
        <v>168</v>
      </c>
      <c r="B92" s="95" t="s">
        <v>168</v>
      </c>
      <c r="C92" s="89" t="s">
        <v>458</v>
      </c>
      <c r="D92" s="89" t="s">
        <v>459</v>
      </c>
      <c r="E92" s="128"/>
      <c r="F92" s="110"/>
      <c r="G92" s="110"/>
      <c r="H92" s="110"/>
      <c r="I92" s="25"/>
      <c r="J92" s="25"/>
      <c r="K92" s="25"/>
      <c r="L92" s="25"/>
      <c r="M92" s="25"/>
      <c r="N92" s="110"/>
      <c r="O92" s="110"/>
      <c r="P92" s="25"/>
      <c r="Q92" s="25"/>
      <c r="R92" s="25"/>
      <c r="S92" s="25"/>
      <c r="T92" s="25"/>
      <c r="U92" s="110"/>
      <c r="V92" s="110"/>
      <c r="W92" s="25"/>
      <c r="X92" s="25"/>
      <c r="Y92" s="25"/>
      <c r="Z92" s="25"/>
      <c r="AA92" s="25"/>
      <c r="AB92" s="110"/>
      <c r="AC92" s="110"/>
      <c r="AD92" s="25"/>
      <c r="AE92" s="25"/>
      <c r="AF92" s="25"/>
      <c r="AG92" s="25"/>
      <c r="AH92" s="25"/>
      <c r="AI92" s="110"/>
      <c r="AJ92" s="110"/>
      <c r="AK92" s="25"/>
      <c r="AL92" s="25"/>
      <c r="AM92" s="25"/>
      <c r="AN92" s="25"/>
      <c r="AO92" s="25"/>
      <c r="AP92" s="110"/>
      <c r="AQ92" s="110"/>
      <c r="AR92" s="25"/>
      <c r="AS92" s="25"/>
      <c r="AT92" s="25"/>
      <c r="AU92" s="25"/>
      <c r="AV92" s="25"/>
      <c r="AW92" s="110"/>
      <c r="AX92" s="110"/>
      <c r="AY92" s="25"/>
      <c r="AZ92" s="25"/>
      <c r="BA92" s="25"/>
      <c r="BB92" s="25"/>
      <c r="BC92" s="25"/>
      <c r="BD92" s="110"/>
      <c r="BE92" s="110"/>
      <c r="BF92" s="25"/>
      <c r="BG92" s="25"/>
      <c r="BH92" s="25"/>
      <c r="BI92" s="25"/>
      <c r="BJ92" s="25"/>
      <c r="BK92" s="110"/>
      <c r="BL92" s="110"/>
      <c r="BM92" s="25"/>
      <c r="BN92" s="25"/>
      <c r="BO92" s="25"/>
      <c r="BP92" s="25"/>
      <c r="BQ92" s="25"/>
      <c r="BR92" s="110"/>
      <c r="BS92" s="110"/>
      <c r="BT92" s="25"/>
      <c r="BU92" s="25"/>
      <c r="BV92" s="25"/>
      <c r="BW92" s="25"/>
      <c r="BX92" s="25"/>
      <c r="BY92" s="110"/>
      <c r="BZ92" s="110"/>
      <c r="CA92" s="25"/>
      <c r="CB92" s="25"/>
      <c r="CC92" s="25"/>
      <c r="CD92" s="25"/>
      <c r="CE92" s="25"/>
      <c r="CF92" s="110"/>
      <c r="CG92" s="110"/>
      <c r="CH92" s="25"/>
      <c r="CI92" s="25"/>
      <c r="CJ92" s="25"/>
      <c r="CK92" s="25"/>
      <c r="CL92" s="25"/>
      <c r="CM92" s="110"/>
      <c r="CN92" s="110"/>
      <c r="CO92" s="25"/>
      <c r="CP92" s="25"/>
      <c r="CQ92" s="25"/>
      <c r="CR92" s="25"/>
      <c r="CS92" s="25"/>
      <c r="CT92" s="110"/>
      <c r="CU92" s="110"/>
      <c r="CV92" s="110"/>
      <c r="CW92" s="25"/>
      <c r="CX92" s="25">
        <v>1</v>
      </c>
      <c r="CY92" s="25">
        <v>1</v>
      </c>
      <c r="CZ92" s="25">
        <v>1</v>
      </c>
      <c r="DA92" s="110"/>
      <c r="DB92" s="110"/>
      <c r="DC92" s="25"/>
      <c r="DD92" s="25"/>
      <c r="DE92" s="25"/>
      <c r="DF92" s="25">
        <v>1</v>
      </c>
      <c r="DG92" s="25"/>
      <c r="DH92" s="110"/>
      <c r="DI92" s="110"/>
      <c r="DJ92" s="25">
        <v>1</v>
      </c>
      <c r="DK92" s="25">
        <v>1</v>
      </c>
      <c r="DL92" s="25">
        <v>1</v>
      </c>
      <c r="DM92" s="25">
        <v>1</v>
      </c>
      <c r="DN92" s="25">
        <v>1</v>
      </c>
      <c r="DO92" s="110"/>
      <c r="DP92" s="110"/>
      <c r="DQ92" s="25">
        <v>1</v>
      </c>
      <c r="DR92" s="25">
        <v>1</v>
      </c>
      <c r="DS92" s="25"/>
      <c r="DT92" s="25">
        <v>1</v>
      </c>
      <c r="DU92" s="110"/>
      <c r="DV92" s="110"/>
      <c r="DW92" s="110"/>
      <c r="DX92" s="25"/>
      <c r="DY92" s="25"/>
      <c r="DZ92" s="25"/>
      <c r="EA92" s="25"/>
      <c r="EB92" s="110"/>
      <c r="EC92" s="110"/>
      <c r="ED92" s="110"/>
      <c r="EE92" s="25"/>
      <c r="EF92" s="25"/>
      <c r="EG92" s="25"/>
      <c r="EH92" s="110"/>
      <c r="EI92" s="110"/>
      <c r="EJ92" s="110"/>
      <c r="EK92" s="110"/>
      <c r="EL92" s="25"/>
      <c r="EM92" s="25"/>
      <c r="EN92" s="25"/>
      <c r="EO92" s="25"/>
      <c r="EP92" s="25"/>
      <c r="EQ92" s="110"/>
      <c r="ER92" s="110"/>
      <c r="ES92" s="110"/>
      <c r="ET92" s="25"/>
      <c r="EU92" s="25"/>
      <c r="EV92" s="25"/>
      <c r="EW92" s="25"/>
      <c r="EX92" s="110"/>
      <c r="EY92" s="110"/>
      <c r="EZ92" s="25"/>
      <c r="FA92" s="25"/>
      <c r="FB92" s="25"/>
      <c r="FC92" s="25"/>
      <c r="FD92" s="25"/>
      <c r="FE92" s="110"/>
      <c r="FF92" s="110"/>
      <c r="FG92" s="25"/>
      <c r="FH92" s="25"/>
      <c r="FI92" s="25"/>
      <c r="FJ92" s="25"/>
      <c r="FK92" s="25"/>
      <c r="FL92" s="110"/>
      <c r="FM92" s="110"/>
      <c r="FN92" s="25"/>
      <c r="FO92" s="25"/>
      <c r="FP92" s="25"/>
      <c r="FQ92" s="25"/>
      <c r="FR92" s="25"/>
      <c r="FS92" s="110"/>
      <c r="FT92" s="110"/>
      <c r="FU92" s="25"/>
      <c r="FV92" s="25"/>
      <c r="FW92" s="25"/>
      <c r="FX92" s="25"/>
      <c r="FY92" s="25"/>
      <c r="FZ92" s="110"/>
      <c r="GA92" s="110"/>
      <c r="GB92" s="25"/>
      <c r="GC92" s="25"/>
      <c r="GD92" s="25"/>
      <c r="GE92" s="25"/>
      <c r="GF92" s="25"/>
      <c r="GG92" s="110"/>
      <c r="GH92" s="110"/>
      <c r="GI92" s="25"/>
      <c r="GJ92" s="25"/>
      <c r="GK92" s="25"/>
      <c r="GL92" s="25"/>
      <c r="GM92" s="25"/>
      <c r="GN92" s="110"/>
      <c r="GO92" s="110"/>
      <c r="GP92" s="110"/>
      <c r="GQ92" s="110"/>
      <c r="GR92" s="25"/>
      <c r="GS92" s="25"/>
      <c r="GT92" s="25"/>
      <c r="GU92" s="110"/>
      <c r="GV92" s="110"/>
      <c r="GW92" s="25"/>
      <c r="GX92" s="25"/>
      <c r="GY92" s="25"/>
      <c r="GZ92" s="25"/>
      <c r="HA92" s="25"/>
      <c r="HB92" s="110"/>
      <c r="HC92" s="110"/>
      <c r="HD92" s="25"/>
      <c r="HE92" s="25"/>
      <c r="HF92" s="25"/>
      <c r="HG92" s="25"/>
      <c r="HH92" s="25"/>
      <c r="HI92" s="110"/>
      <c r="HJ92" s="110"/>
      <c r="HK92" s="25"/>
      <c r="HL92" s="25"/>
      <c r="HM92" s="25"/>
      <c r="HN92" s="25"/>
      <c r="HO92" s="25"/>
      <c r="HP92" s="110"/>
      <c r="HQ92" s="110"/>
      <c r="HR92" s="25"/>
      <c r="HS92" s="25"/>
      <c r="HT92" s="25"/>
      <c r="HU92" s="25"/>
      <c r="HV92" s="25"/>
      <c r="HW92" s="110"/>
      <c r="HX92" s="110"/>
      <c r="HY92" s="25"/>
      <c r="HZ92" s="25"/>
      <c r="IA92" s="25"/>
      <c r="IB92" s="25"/>
      <c r="IC92" s="25"/>
      <c r="ID92" s="110"/>
      <c r="IE92" s="110"/>
      <c r="IF92" s="25"/>
      <c r="IG92" s="25"/>
      <c r="IH92" s="25"/>
      <c r="II92" s="25"/>
      <c r="IJ92" s="25"/>
      <c r="IK92" s="110"/>
      <c r="IL92" s="110"/>
      <c r="IM92" s="25"/>
      <c r="IN92" s="25"/>
      <c r="IO92" s="25"/>
      <c r="IP92" s="25"/>
      <c r="IQ92" s="25"/>
      <c r="IR92" s="110"/>
      <c r="IS92" s="110"/>
      <c r="IT92" s="25"/>
      <c r="IU92" s="25"/>
      <c r="IV92" s="25"/>
      <c r="IW92" s="25"/>
      <c r="IX92" s="25"/>
      <c r="IY92" s="110"/>
      <c r="IZ92" s="110"/>
      <c r="JA92" s="25"/>
      <c r="JB92" s="25"/>
      <c r="JC92" s="25"/>
      <c r="JD92" s="25"/>
      <c r="JE92" s="25"/>
      <c r="JF92" s="110"/>
      <c r="JG92" s="110"/>
      <c r="JH92" s="25"/>
      <c r="JI92" s="25"/>
      <c r="JJ92" s="25"/>
      <c r="JK92" s="25"/>
      <c r="JL92" s="25"/>
      <c r="JM92" s="110"/>
      <c r="JN92" s="110"/>
      <c r="JO92" s="25"/>
      <c r="JP92" s="25"/>
      <c r="JQ92" s="25"/>
      <c r="JR92" s="25"/>
      <c r="JS92" s="25"/>
      <c r="JT92" s="110"/>
      <c r="JU92" s="110"/>
      <c r="JV92" s="25"/>
      <c r="JW92" s="25"/>
      <c r="JX92" s="25"/>
      <c r="JY92" s="25"/>
      <c r="JZ92" s="25"/>
      <c r="KA92" s="110"/>
      <c r="KB92" s="110"/>
      <c r="KC92" s="25"/>
      <c r="KD92" s="25"/>
      <c r="KE92" s="25"/>
      <c r="KF92" s="25"/>
      <c r="KG92" s="25"/>
      <c r="KH92" s="110"/>
      <c r="KI92" s="110"/>
      <c r="KJ92" s="25"/>
      <c r="KK92" s="25"/>
      <c r="KL92" s="25"/>
      <c r="KM92" s="25"/>
      <c r="KN92" s="25"/>
      <c r="KO92" s="110"/>
      <c r="KP92" s="110"/>
      <c r="KQ92" s="25"/>
      <c r="KR92" s="25"/>
      <c r="KS92" s="25"/>
      <c r="KT92" s="25"/>
      <c r="KU92" s="25"/>
      <c r="KV92" s="110"/>
      <c r="KW92" s="110"/>
      <c r="KX92" s="25"/>
      <c r="KY92" s="25"/>
      <c r="KZ92" s="25"/>
      <c r="LA92" s="25"/>
      <c r="LB92" s="25"/>
      <c r="LC92" s="110"/>
      <c r="LD92" s="110"/>
      <c r="LE92" s="25"/>
      <c r="LF92" s="25"/>
      <c r="LG92" s="110"/>
      <c r="LH92" s="25"/>
      <c r="LI92" s="25"/>
      <c r="LJ92" s="110"/>
      <c r="LK92" s="110"/>
      <c r="LL92" s="25"/>
      <c r="LM92" s="25"/>
      <c r="LN92" s="25"/>
      <c r="LO92" s="25"/>
      <c r="LP92" s="25"/>
      <c r="LQ92" s="110"/>
      <c r="LR92" s="110"/>
      <c r="LS92" s="25"/>
      <c r="LT92" s="25"/>
      <c r="LU92" s="25"/>
      <c r="LV92" s="25"/>
      <c r="LW92" s="25"/>
      <c r="LX92" s="110"/>
      <c r="LY92" s="110"/>
      <c r="LZ92" s="25"/>
      <c r="MA92" s="25"/>
      <c r="MB92" s="25"/>
      <c r="MC92" s="25"/>
      <c r="MD92" s="25"/>
      <c r="ME92" s="110"/>
      <c r="MF92" s="110"/>
      <c r="MG92" s="25"/>
      <c r="MH92" s="25"/>
      <c r="MI92" s="25"/>
      <c r="MJ92" s="25"/>
      <c r="MK92" s="25"/>
      <c r="ML92" s="110"/>
      <c r="MM92" s="110"/>
      <c r="MN92" s="25"/>
      <c r="MO92" s="25"/>
      <c r="MP92" s="25"/>
      <c r="MQ92" s="25"/>
      <c r="MR92" s="25"/>
      <c r="MS92" s="110"/>
      <c r="MT92" s="110"/>
      <c r="MU92" s="25"/>
      <c r="MV92" s="25"/>
      <c r="MW92" s="25"/>
      <c r="MX92" s="25"/>
      <c r="MY92" s="25"/>
      <c r="MZ92" s="110"/>
      <c r="NA92" s="110"/>
      <c r="NB92" s="25"/>
      <c r="NC92" s="25"/>
      <c r="ND92" s="25"/>
      <c r="NE92" s="129"/>
      <c r="NF92" s="111"/>
      <c r="NG92" s="8">
        <f>SUM(E92:AI92)</f>
        <v>0</v>
      </c>
      <c r="NH92" s="351" cm="1">
        <f t="array" ref="NH92">NETWORKDAYS($I$2,$AH$2)- SUM(COUNTIF(I92:AH92,{"I";"F";"CP";"R";"P";"AC";"AM"}))</f>
        <v>20</v>
      </c>
      <c r="NI92" s="138">
        <f t="shared" si="67"/>
        <v>0</v>
      </c>
      <c r="NJ92" s="8">
        <f>SUM(AJ92:BK92)</f>
        <v>0</v>
      </c>
      <c r="NK92" s="351" cm="1">
        <f t="array" ref="NK92">NETWORKDAYS($AJ$2,$BK$2)- SUM(COUNTIF(AJ92:BK92,{"I";"F";"CP";"R";"P";"AC";"AM"}))</f>
        <v>20</v>
      </c>
      <c r="NL92" s="138">
        <f t="shared" si="68"/>
        <v>0</v>
      </c>
      <c r="NM92" s="8">
        <f>SUM(BM92:CP92)</f>
        <v>0</v>
      </c>
      <c r="NN92" s="351" cm="1">
        <f t="array" ref="NN92">NETWORKDAYS($BL$2,$CP$2)- SUM(COUNTIF(BL92:CP92,{"I";"F";"CP";"R";"P";"AC";"AM"}))</f>
        <v>22</v>
      </c>
      <c r="NO92" s="138">
        <f t="shared" si="69"/>
        <v>0</v>
      </c>
      <c r="NP92" s="8">
        <f t="shared" ref="NP92:OP92" si="112">SUM(CQ92:DT92)</f>
        <v>12</v>
      </c>
      <c r="NQ92" s="8">
        <f t="shared" si="112"/>
        <v>12</v>
      </c>
      <c r="NR92" s="138">
        <f t="shared" si="70"/>
        <v>1</v>
      </c>
      <c r="NS92" s="8">
        <f t="shared" si="112"/>
        <v>12</v>
      </c>
      <c r="NT92" s="8">
        <f t="shared" si="112"/>
        <v>12</v>
      </c>
      <c r="NU92" s="138">
        <f t="shared" si="71"/>
        <v>1</v>
      </c>
      <c r="NV92" s="8">
        <f t="shared" si="112"/>
        <v>12</v>
      </c>
      <c r="NW92" s="8">
        <f t="shared" si="112"/>
        <v>12</v>
      </c>
      <c r="NX92" s="8">
        <f t="shared" si="112"/>
        <v>11</v>
      </c>
      <c r="NY92" s="8">
        <f t="shared" si="112"/>
        <v>10</v>
      </c>
      <c r="NZ92" s="8">
        <f t="shared" si="112"/>
        <v>9</v>
      </c>
      <c r="OA92" s="8">
        <f t="shared" si="112"/>
        <v>9</v>
      </c>
      <c r="OB92" s="8">
        <f t="shared" si="112"/>
        <v>9</v>
      </c>
      <c r="OC92" s="8">
        <f t="shared" si="112"/>
        <v>9</v>
      </c>
      <c r="OD92" s="8">
        <f t="shared" si="112"/>
        <v>9</v>
      </c>
      <c r="OE92" s="8">
        <f t="shared" si="112"/>
        <v>9</v>
      </c>
      <c r="OF92" s="8">
        <f t="shared" si="112"/>
        <v>8</v>
      </c>
      <c r="OG92" s="8">
        <f t="shared" si="112"/>
        <v>8</v>
      </c>
      <c r="OH92" s="8">
        <f t="shared" si="112"/>
        <v>8</v>
      </c>
      <c r="OI92" s="8">
        <f t="shared" si="112"/>
        <v>8</v>
      </c>
      <c r="OJ92" s="8">
        <f t="shared" si="112"/>
        <v>7</v>
      </c>
      <c r="OK92" s="8">
        <f t="shared" si="112"/>
        <v>6</v>
      </c>
      <c r="OL92" s="8">
        <f t="shared" si="112"/>
        <v>5</v>
      </c>
      <c r="OM92" s="8">
        <f t="shared" si="112"/>
        <v>4</v>
      </c>
      <c r="ON92" s="8">
        <f t="shared" si="112"/>
        <v>3</v>
      </c>
      <c r="OO92" s="8">
        <f t="shared" si="112"/>
        <v>3</v>
      </c>
      <c r="OP92" s="8">
        <f t="shared" si="112"/>
        <v>3</v>
      </c>
      <c r="OQ92" s="94">
        <f>NG92+NJ92+NM92+NP92+NS92+NV92+NY92+OB92+OE92+OH92+OK92+ON92</f>
        <v>81</v>
      </c>
      <c r="OR92" s="94">
        <f>NH92+NK92+NN92+NQ92+NT92+NW92+NZ92+OC92+OF92+OI92+OL92+OO92</f>
        <v>140</v>
      </c>
      <c r="OS92" s="138">
        <f>OQ92/OR92</f>
        <v>0.57857142857142863</v>
      </c>
    </row>
    <row r="93" spans="1:409" ht="18" customHeight="1" x14ac:dyDescent="0.25">
      <c r="A93" s="97" t="s">
        <v>178</v>
      </c>
      <c r="B93" s="95" t="s">
        <v>71</v>
      </c>
      <c r="C93" s="89" t="s">
        <v>166</v>
      </c>
      <c r="D93" s="108" t="s">
        <v>267</v>
      </c>
      <c r="E93" s="128"/>
      <c r="F93" s="110"/>
      <c r="G93" s="110"/>
      <c r="H93" s="110"/>
      <c r="I93" s="25" t="s">
        <v>223</v>
      </c>
      <c r="J93" s="25" t="s">
        <v>223</v>
      </c>
      <c r="K93" s="25" t="s">
        <v>223</v>
      </c>
      <c r="L93" s="25" t="s">
        <v>223</v>
      </c>
      <c r="M93" s="25" t="s">
        <v>223</v>
      </c>
      <c r="N93" s="110"/>
      <c r="O93" s="110"/>
      <c r="P93" s="25"/>
      <c r="Q93" s="25"/>
      <c r="R93" s="25"/>
      <c r="S93" s="25"/>
      <c r="T93" s="25"/>
      <c r="U93" s="110"/>
      <c r="V93" s="110"/>
      <c r="W93" s="25"/>
      <c r="X93" s="25"/>
      <c r="Y93" s="25"/>
      <c r="Z93" s="25"/>
      <c r="AA93" s="25"/>
      <c r="AB93" s="110"/>
      <c r="AC93" s="110"/>
      <c r="AD93" s="25"/>
      <c r="AE93" s="25"/>
      <c r="AF93" s="25"/>
      <c r="AG93" s="25"/>
      <c r="AH93" s="25"/>
      <c r="AI93" s="110"/>
      <c r="AJ93" s="110"/>
      <c r="AK93" s="25"/>
      <c r="AL93" s="25"/>
      <c r="AM93" s="25"/>
      <c r="AN93" s="25"/>
      <c r="AO93" s="25"/>
      <c r="AP93" s="110"/>
      <c r="AQ93" s="110"/>
      <c r="AR93" s="25"/>
      <c r="AS93" s="25"/>
      <c r="AT93" s="25"/>
      <c r="AV93" s="25">
        <v>1</v>
      </c>
      <c r="AW93" s="110"/>
      <c r="AX93" s="110"/>
      <c r="AY93" s="25"/>
      <c r="AZ93" s="25"/>
      <c r="BA93" s="25"/>
      <c r="BB93" s="25"/>
      <c r="BC93" s="25"/>
      <c r="BD93" s="110"/>
      <c r="BE93" s="110"/>
      <c r="BF93" s="25"/>
      <c r="BG93" s="25"/>
      <c r="BH93" s="25">
        <v>1</v>
      </c>
      <c r="BI93" s="25"/>
      <c r="BJ93" s="25"/>
      <c r="BK93" s="110"/>
      <c r="BL93" s="110"/>
      <c r="BM93" s="25">
        <v>1</v>
      </c>
      <c r="BN93" s="25">
        <v>1</v>
      </c>
      <c r="BO93" s="25"/>
      <c r="BP93" s="25"/>
      <c r="BQ93" s="25"/>
      <c r="BR93" s="110"/>
      <c r="BS93" s="110"/>
      <c r="BT93" s="25">
        <v>1</v>
      </c>
      <c r="BU93" s="25"/>
      <c r="BV93" s="25"/>
      <c r="BW93" s="25">
        <v>1</v>
      </c>
      <c r="BX93" s="25"/>
      <c r="BY93" s="110"/>
      <c r="BZ93" s="110"/>
      <c r="CA93" s="25">
        <v>1</v>
      </c>
      <c r="CB93" s="25">
        <v>1</v>
      </c>
      <c r="CC93" s="25"/>
      <c r="CD93" s="25"/>
      <c r="CE93" s="25"/>
      <c r="CF93" s="110"/>
      <c r="CG93" s="110"/>
      <c r="CH93" s="25">
        <v>1</v>
      </c>
      <c r="CI93" s="25"/>
      <c r="CJ93" s="25"/>
      <c r="CK93" s="25"/>
      <c r="CL93" s="25"/>
      <c r="CM93" s="110"/>
      <c r="CN93" s="110"/>
      <c r="CO93" s="25"/>
      <c r="CP93" s="25"/>
      <c r="CQ93" s="25"/>
      <c r="CR93" s="25"/>
      <c r="CS93" s="25"/>
      <c r="CT93" s="110"/>
      <c r="CU93" s="110"/>
      <c r="CV93" s="110"/>
      <c r="CW93" s="25"/>
      <c r="CX93" s="25"/>
      <c r="CY93" s="25"/>
      <c r="CZ93" s="25"/>
      <c r="DA93" s="110"/>
      <c r="DB93" s="110"/>
      <c r="DC93" s="25" t="s">
        <v>223</v>
      </c>
      <c r="DD93" s="25" t="s">
        <v>223</v>
      </c>
      <c r="DE93" s="25" t="s">
        <v>223</v>
      </c>
      <c r="DF93" s="25" t="s">
        <v>223</v>
      </c>
      <c r="DG93" s="25" t="s">
        <v>223</v>
      </c>
      <c r="DH93" s="110"/>
      <c r="DI93" s="110"/>
      <c r="DJ93" s="25"/>
      <c r="DK93" s="25"/>
      <c r="DL93" s="25"/>
      <c r="DM93" s="25"/>
      <c r="DN93" s="25"/>
      <c r="DO93" s="110"/>
      <c r="DP93" s="110"/>
      <c r="DQ93" s="25" t="s">
        <v>223</v>
      </c>
      <c r="DR93" s="25" t="s">
        <v>223</v>
      </c>
      <c r="DS93" s="25" t="s">
        <v>223</v>
      </c>
      <c r="DT93" s="25" t="s">
        <v>223</v>
      </c>
      <c r="DU93" s="110" t="s">
        <v>445</v>
      </c>
      <c r="DV93" s="110"/>
      <c r="DW93" s="110"/>
      <c r="DX93" s="25">
        <v>1</v>
      </c>
      <c r="DY93" s="25">
        <v>1</v>
      </c>
      <c r="DZ93" s="25">
        <v>1</v>
      </c>
      <c r="EA93" s="25"/>
      <c r="EB93" s="110" t="s">
        <v>445</v>
      </c>
      <c r="EC93" s="110"/>
      <c r="ED93" s="110"/>
      <c r="EE93" s="25"/>
      <c r="EF93" s="25"/>
      <c r="EG93" s="25"/>
      <c r="EH93" s="110" t="s">
        <v>445</v>
      </c>
      <c r="EI93" s="110" t="s">
        <v>445</v>
      </c>
      <c r="EJ93" s="110"/>
      <c r="EK93" s="110"/>
      <c r="EL93" s="25"/>
      <c r="EM93" s="25"/>
      <c r="EN93" s="25"/>
      <c r="EO93" s="25"/>
      <c r="EP93" s="25"/>
      <c r="EQ93" s="110"/>
      <c r="ER93" s="110"/>
      <c r="ES93" s="110" t="s">
        <v>445</v>
      </c>
      <c r="ET93" s="25"/>
      <c r="EU93" s="25"/>
      <c r="EV93" s="25"/>
      <c r="EW93" s="25"/>
      <c r="EX93" s="110"/>
      <c r="EY93" s="110"/>
      <c r="EZ93" s="25"/>
      <c r="FA93" s="25"/>
      <c r="FB93" s="25"/>
      <c r="FC93" s="25"/>
      <c r="FD93" s="25"/>
      <c r="FE93" s="110"/>
      <c r="FF93" s="110"/>
      <c r="FG93" s="25"/>
      <c r="FH93" s="25"/>
      <c r="FI93" s="25"/>
      <c r="FJ93" s="25"/>
      <c r="FK93" s="25"/>
      <c r="FL93" s="110"/>
      <c r="FM93" s="110"/>
      <c r="FN93" s="25"/>
      <c r="FO93" s="25"/>
      <c r="FP93" s="25"/>
      <c r="FQ93" s="25"/>
      <c r="FR93" s="25"/>
      <c r="FS93" s="110"/>
      <c r="FT93" s="110"/>
      <c r="FU93" s="25"/>
      <c r="FV93" s="25"/>
      <c r="FW93" s="25"/>
      <c r="FX93" s="25"/>
      <c r="FY93" s="25"/>
      <c r="FZ93" s="110"/>
      <c r="GA93" s="110"/>
      <c r="GB93" s="25"/>
      <c r="GC93" s="25"/>
      <c r="GD93" s="25"/>
      <c r="GE93" s="25"/>
      <c r="GF93" s="25"/>
      <c r="GG93" s="110"/>
      <c r="GH93" s="110"/>
      <c r="GI93" s="25"/>
      <c r="GJ93" s="25"/>
      <c r="GK93" s="25"/>
      <c r="GL93" s="25"/>
      <c r="GM93" s="25"/>
      <c r="GN93" s="110"/>
      <c r="GO93" s="110"/>
      <c r="GP93" s="110" t="s">
        <v>445</v>
      </c>
      <c r="GQ93" s="110"/>
      <c r="GR93" s="25"/>
      <c r="GS93" s="25"/>
      <c r="GT93" s="25"/>
      <c r="GU93" s="110"/>
      <c r="GV93" s="110"/>
      <c r="GW93" s="25"/>
      <c r="GX93" s="25"/>
      <c r="GY93" s="25"/>
      <c r="GZ93" s="25"/>
      <c r="HA93" s="25"/>
      <c r="HB93" s="110"/>
      <c r="HC93" s="110"/>
      <c r="HD93" s="25"/>
      <c r="HE93" s="25"/>
      <c r="HF93" s="25"/>
      <c r="HG93" s="25"/>
      <c r="HH93" s="25"/>
      <c r="HI93" s="110"/>
      <c r="HJ93" s="110"/>
      <c r="HK93" s="25"/>
      <c r="HL93" s="25"/>
      <c r="HM93" s="25"/>
      <c r="HN93" s="25"/>
      <c r="HO93" s="25"/>
      <c r="HP93" s="110"/>
      <c r="HQ93" s="110"/>
      <c r="HR93" s="25"/>
      <c r="HS93" s="25"/>
      <c r="HT93" s="25"/>
      <c r="HU93" s="25"/>
      <c r="HV93" s="25"/>
      <c r="HW93" s="110"/>
      <c r="HX93" s="110"/>
      <c r="HY93" s="25"/>
      <c r="HZ93" s="25"/>
      <c r="IA93" s="25"/>
      <c r="IB93" s="25"/>
      <c r="IC93" s="25"/>
      <c r="ID93" s="110"/>
      <c r="IE93" s="110"/>
      <c r="IF93" s="25"/>
      <c r="IG93" s="25"/>
      <c r="IH93" s="25"/>
      <c r="II93" s="25"/>
      <c r="IJ93" s="25"/>
      <c r="IK93" s="110"/>
      <c r="IL93" s="110"/>
      <c r="IM93" s="25"/>
      <c r="IN93" s="25"/>
      <c r="IO93" s="25"/>
      <c r="IP93" s="25"/>
      <c r="IQ93" s="25"/>
      <c r="IR93" s="110"/>
      <c r="IS93" s="110"/>
      <c r="IT93" s="25"/>
      <c r="IU93" s="25"/>
      <c r="IV93" s="25"/>
      <c r="IW93" s="25"/>
      <c r="IX93" s="25"/>
      <c r="IY93" s="110"/>
      <c r="IZ93" s="110"/>
      <c r="JA93" s="25"/>
      <c r="JB93" s="25"/>
      <c r="JC93" s="25"/>
      <c r="JD93" s="25"/>
      <c r="JE93" s="25"/>
      <c r="JF93" s="110"/>
      <c r="JG93" s="110"/>
      <c r="JH93" s="25"/>
      <c r="JI93" s="25"/>
      <c r="JJ93" s="25"/>
      <c r="JK93" s="25"/>
      <c r="JL93" s="25"/>
      <c r="JM93" s="110"/>
      <c r="JN93" s="110"/>
      <c r="JO93" s="25"/>
      <c r="JP93" s="25"/>
      <c r="JQ93" s="25"/>
      <c r="JR93" s="25"/>
      <c r="JS93" s="25"/>
      <c r="JT93" s="110"/>
      <c r="JU93" s="110"/>
      <c r="JV93" s="25"/>
      <c r="JW93" s="25"/>
      <c r="JX93" s="25"/>
      <c r="JY93" s="25"/>
      <c r="JZ93" s="25"/>
      <c r="KA93" s="110"/>
      <c r="KB93" s="110"/>
      <c r="KC93" s="25"/>
      <c r="KD93" s="25"/>
      <c r="KE93" s="25"/>
      <c r="KF93" s="25"/>
      <c r="KG93" s="25"/>
      <c r="KH93" s="110"/>
      <c r="KI93" s="110"/>
      <c r="KJ93" s="25"/>
      <c r="KK93" s="25"/>
      <c r="KL93" s="25"/>
      <c r="KM93" s="25"/>
      <c r="KN93" s="25"/>
      <c r="KO93" s="110"/>
      <c r="KP93" s="110"/>
      <c r="KQ93" s="25"/>
      <c r="KR93" s="25"/>
      <c r="KS93" s="25"/>
      <c r="KT93" s="25"/>
      <c r="KU93" s="25"/>
      <c r="KV93" s="110"/>
      <c r="KW93" s="110"/>
      <c r="KX93" s="25"/>
      <c r="KY93" s="25"/>
      <c r="KZ93" s="25"/>
      <c r="LA93" s="25"/>
      <c r="LB93" s="25"/>
      <c r="LC93" s="110"/>
      <c r="LD93" s="110"/>
      <c r="LE93" s="25"/>
      <c r="LF93" s="25"/>
      <c r="LG93" s="110" t="s">
        <v>445</v>
      </c>
      <c r="LH93" s="25"/>
      <c r="LI93" s="25"/>
      <c r="LJ93" s="110"/>
      <c r="LK93" s="110"/>
      <c r="LL93" s="25"/>
      <c r="LM93" s="25"/>
      <c r="LN93" s="25"/>
      <c r="LO93" s="25"/>
      <c r="LP93" s="25"/>
      <c r="LQ93" s="110"/>
      <c r="LR93" s="110"/>
      <c r="LS93" s="25"/>
      <c r="LT93" s="25"/>
      <c r="LU93" s="25"/>
      <c r="LV93" s="25"/>
      <c r="LW93" s="25"/>
      <c r="LX93" s="110"/>
      <c r="LY93" s="110"/>
      <c r="LZ93" s="25"/>
      <c r="MA93" s="25"/>
      <c r="MB93" s="25"/>
      <c r="MC93" s="25"/>
      <c r="MD93" s="25"/>
      <c r="ME93" s="110"/>
      <c r="MF93" s="110"/>
      <c r="MG93" s="25"/>
      <c r="MH93" s="25"/>
      <c r="MI93" s="25"/>
      <c r="MJ93" s="25"/>
      <c r="MK93" s="25"/>
      <c r="ML93" s="110"/>
      <c r="MM93" s="110"/>
      <c r="MN93" s="25"/>
      <c r="MO93" s="25"/>
      <c r="MP93" s="25"/>
      <c r="MQ93" s="25"/>
      <c r="MR93" s="25"/>
      <c r="MS93" s="110"/>
      <c r="MT93" s="110"/>
      <c r="MU93" s="25"/>
      <c r="MV93" s="25"/>
      <c r="MW93" s="25"/>
      <c r="MX93" s="25"/>
      <c r="MY93" s="25"/>
      <c r="MZ93" s="110"/>
      <c r="NA93" s="110"/>
      <c r="NB93" s="25"/>
      <c r="NC93" s="25"/>
      <c r="ND93" s="25"/>
      <c r="NE93" s="129"/>
      <c r="NF93" s="111"/>
      <c r="NG93" s="8">
        <f t="shared" si="72"/>
        <v>0</v>
      </c>
      <c r="NH93" s="351" cm="1">
        <f t="array" ref="NH93">NETWORKDAYS($I$2,$AH$2)- SUM(COUNTIF(I93:AH93,{"I";"F";"CP";"R";"P";"AC";"AM"}))</f>
        <v>15</v>
      </c>
      <c r="NI93" s="138">
        <f t="shared" si="67"/>
        <v>0</v>
      </c>
      <c r="NJ93" s="8">
        <f t="shared" si="73"/>
        <v>2</v>
      </c>
      <c r="NK93" s="351" cm="1">
        <f t="array" ref="NK93">NETWORKDAYS($AJ$2,$BK$2)- SUM(COUNTIF(AJ93:BK93,{"I";"F";"CP";"R";"P";"AC";"AM"}))</f>
        <v>20</v>
      </c>
      <c r="NL93" s="138">
        <f t="shared" si="68"/>
        <v>0.1</v>
      </c>
      <c r="NM93" s="8">
        <f t="shared" si="74"/>
        <v>7</v>
      </c>
      <c r="NN93" s="351" cm="1">
        <f t="array" ref="NN93">NETWORKDAYS($BL$2,$CP$2)- SUM(COUNTIF(BL93:CP93,{"I";"F";"CP";"R";"P";"AC";"AM"}))</f>
        <v>22</v>
      </c>
      <c r="NO93" s="138">
        <f t="shared" si="69"/>
        <v>0.31818181818181818</v>
      </c>
      <c r="NP93" s="8">
        <f t="shared" si="75"/>
        <v>0</v>
      </c>
      <c r="NQ93" s="351" cm="1">
        <f t="array" ref="NQ93">NETWORKDAYS($CQ$2,$DT$2,$CV$2)- SUM(COUNTIF(CQ93:DT93,{"I";"F";"CP";"R";"P";"AC";"AM"}))</f>
        <v>12</v>
      </c>
      <c r="NR93" s="138">
        <f t="shared" si="70"/>
        <v>0</v>
      </c>
      <c r="NS93" s="8">
        <f t="shared" si="76"/>
        <v>3</v>
      </c>
      <c r="NT93" s="351" cm="1">
        <f t="array" ref="NT93">NETWORKDAYS($DV$2,$EY$2)-SUM(COUNTIF(DV93:EY93,{"I";"F";"CP";"R";"P";"AC";"AM"}))</f>
        <v>16</v>
      </c>
      <c r="NU93" s="138">
        <f t="shared" si="71"/>
        <v>0.1875</v>
      </c>
      <c r="NV93" s="8">
        <f t="shared" si="78"/>
        <v>0</v>
      </c>
      <c r="NW93" s="351" cm="1">
        <f t="array" ref="NW93">NETWORKDAYS($EZ$2,$GC$2)-SUM(COUNTIF(EZ93:GC93,{"I";"F";"CP";"R";"P";"AC";"AM"}))</f>
        <v>22</v>
      </c>
      <c r="NX93" s="138">
        <f t="shared" si="79"/>
        <v>0</v>
      </c>
      <c r="NY93" s="8">
        <f t="shared" si="80"/>
        <v>0</v>
      </c>
      <c r="NZ93" s="351" cm="1">
        <f t="array" ref="NZ93">NETWORKDAYS($GD$2,$HH$2,$GQ$2)-SUM(COUNTIF(GD93:HH93,{"I";"F";"CP";"R";"P";"AC";"AM"}))</f>
        <v>21</v>
      </c>
      <c r="OA93" s="138">
        <f t="shared" si="81"/>
        <v>0</v>
      </c>
      <c r="OB93" s="8">
        <f t="shared" si="82"/>
        <v>0</v>
      </c>
      <c r="OC93" s="351" cm="1">
        <f t="array" ref="OC93">NETWORKDAYS($HI$2,$IM$2)-SUM(COUNTIF(HI93:IM93,{"I";"F";"CP";"R";"P";"AC";"AM"}))</f>
        <v>21</v>
      </c>
      <c r="OD93" s="138">
        <f t="shared" si="83"/>
        <v>0</v>
      </c>
      <c r="OE93" s="8">
        <f t="shared" si="84"/>
        <v>0</v>
      </c>
      <c r="OF93" s="351" cm="1">
        <f t="array" ref="OF93">NETWORKDAYS($IN$2,$JQ$2)-SUM(COUNTIF(IN93:JQ93,{"I";"F";"CP";"R";"P";"AC";"AM"}))</f>
        <v>22</v>
      </c>
      <c r="OG93" s="138">
        <f t="shared" si="85"/>
        <v>0</v>
      </c>
      <c r="OH93" s="8">
        <f t="shared" si="86"/>
        <v>0</v>
      </c>
      <c r="OI93" s="351" cm="1">
        <f t="array" ref="OI93">NETWORKDAYS($JR$2,$KV$2)-SUM(COUNTIF(JR93:KV93,{"I";"F";"CP";"R";"P";"AC";"AM"}))</f>
        <v>22</v>
      </c>
      <c r="OJ93" s="138">
        <f t="shared" si="87"/>
        <v>0</v>
      </c>
      <c r="OK93" s="8">
        <f t="shared" si="88"/>
        <v>0</v>
      </c>
      <c r="OL93" s="351" cm="1">
        <f t="array" ref="OL93">NETWORKDAYS($KW$2,$LZ$2,$LG$2)-SUM(COUNTIF(KW93:LZ93,{"I";"F";"CP";"R";"P";"AC";"AM"}))</f>
        <v>19</v>
      </c>
      <c r="OM93" s="138">
        <f t="shared" si="89"/>
        <v>0</v>
      </c>
      <c r="ON93" s="8">
        <f t="shared" si="90"/>
        <v>0</v>
      </c>
      <c r="OO93" s="351" cm="1">
        <f t="array" ref="OO93">NETWORKDAYS($MA$2,$MR$2)-SUM(COUNTIF(MA93:MR93,{"I";"F";"CP";"R";"P";"AC";"AM"}))</f>
        <v>14</v>
      </c>
      <c r="OP93" s="138">
        <f t="shared" si="91"/>
        <v>0</v>
      </c>
      <c r="OQ93" s="94">
        <f t="shared" si="92"/>
        <v>12</v>
      </c>
      <c r="OR93" s="94">
        <f t="shared" si="93"/>
        <v>226</v>
      </c>
      <c r="OS93" s="138">
        <f t="shared" si="94"/>
        <v>5.3097345132743362E-2</v>
      </c>
    </row>
    <row r="94" spans="1:409" ht="18" hidden="1" customHeight="1" x14ac:dyDescent="0.25">
      <c r="A94" s="95" t="s">
        <v>168</v>
      </c>
      <c r="B94" s="95" t="s">
        <v>168</v>
      </c>
      <c r="C94" s="89" t="s">
        <v>160</v>
      </c>
      <c r="D94" s="89" t="s">
        <v>268</v>
      </c>
      <c r="E94" s="128"/>
      <c r="F94" s="110"/>
      <c r="G94" s="110"/>
      <c r="H94" s="110"/>
      <c r="I94" s="25">
        <v>1</v>
      </c>
      <c r="J94" s="25">
        <v>1</v>
      </c>
      <c r="K94" s="25">
        <v>1</v>
      </c>
      <c r="L94" s="25">
        <v>1</v>
      </c>
      <c r="M94" s="25">
        <v>1</v>
      </c>
      <c r="N94" s="110"/>
      <c r="O94" s="110"/>
      <c r="P94" s="25">
        <v>1</v>
      </c>
      <c r="Q94" s="25">
        <v>1</v>
      </c>
      <c r="R94" s="25">
        <v>1</v>
      </c>
      <c r="S94" s="25">
        <v>1</v>
      </c>
      <c r="T94" s="25">
        <v>1</v>
      </c>
      <c r="U94" s="110"/>
      <c r="V94" s="110"/>
      <c r="W94" s="25">
        <v>1</v>
      </c>
      <c r="X94" s="25">
        <v>1</v>
      </c>
      <c r="Y94" s="25">
        <v>1</v>
      </c>
      <c r="Z94" s="25">
        <v>1</v>
      </c>
      <c r="AA94" s="25">
        <v>1</v>
      </c>
      <c r="AB94" s="110"/>
      <c r="AC94" s="110"/>
      <c r="AD94" s="25">
        <v>1</v>
      </c>
      <c r="AE94" s="25">
        <v>1</v>
      </c>
      <c r="AF94" s="25">
        <v>1</v>
      </c>
      <c r="AG94" s="25">
        <v>1</v>
      </c>
      <c r="AH94" s="25">
        <v>1</v>
      </c>
      <c r="AI94" s="110"/>
      <c r="AJ94" s="110"/>
      <c r="AK94" s="25">
        <v>1</v>
      </c>
      <c r="AL94" s="25">
        <v>1</v>
      </c>
      <c r="AM94" s="25">
        <v>1</v>
      </c>
      <c r="AN94" s="25"/>
      <c r="AO94" s="25">
        <v>1</v>
      </c>
      <c r="AP94" s="110"/>
      <c r="AQ94" s="110"/>
      <c r="AR94" s="25">
        <v>1</v>
      </c>
      <c r="AS94" s="25">
        <v>1</v>
      </c>
      <c r="AT94" s="25">
        <v>1</v>
      </c>
      <c r="AU94" s="25">
        <v>1</v>
      </c>
      <c r="AV94" s="25">
        <v>1</v>
      </c>
      <c r="AW94" s="110"/>
      <c r="AX94" s="110"/>
      <c r="AY94" s="25">
        <v>1</v>
      </c>
      <c r="AZ94" s="25">
        <v>1</v>
      </c>
      <c r="BA94" s="25">
        <v>1</v>
      </c>
      <c r="BB94" s="25">
        <v>1</v>
      </c>
      <c r="BC94" s="25">
        <v>1</v>
      </c>
      <c r="BD94" s="110"/>
      <c r="BE94" s="110"/>
      <c r="BF94" s="25">
        <v>1</v>
      </c>
      <c r="BG94" s="25"/>
      <c r="BH94" s="25">
        <v>1</v>
      </c>
      <c r="BI94" s="25">
        <v>1</v>
      </c>
      <c r="BJ94" s="25">
        <v>1</v>
      </c>
      <c r="BK94" s="110"/>
      <c r="BL94" s="110"/>
      <c r="BM94" s="25" t="s">
        <v>223</v>
      </c>
      <c r="BN94" s="25" t="s">
        <v>223</v>
      </c>
      <c r="BO94" s="25" t="s">
        <v>223</v>
      </c>
      <c r="BP94" s="25" t="s">
        <v>223</v>
      </c>
      <c r="BQ94" s="25">
        <v>1</v>
      </c>
      <c r="BR94" s="110"/>
      <c r="BS94" s="110"/>
      <c r="BT94" s="25">
        <v>1</v>
      </c>
      <c r="BU94" s="25">
        <v>1</v>
      </c>
      <c r="BV94" s="25">
        <v>1</v>
      </c>
      <c r="BW94" s="25"/>
      <c r="BX94" s="25">
        <v>1</v>
      </c>
      <c r="BY94" s="110"/>
      <c r="BZ94" s="110"/>
      <c r="CA94" s="25">
        <v>1</v>
      </c>
      <c r="CB94" s="25">
        <v>1</v>
      </c>
      <c r="CC94" s="25">
        <v>1</v>
      </c>
      <c r="CD94" s="25">
        <v>1</v>
      </c>
      <c r="CE94" s="25"/>
      <c r="CF94" s="110"/>
      <c r="CG94" s="110"/>
      <c r="CH94" s="25">
        <v>1</v>
      </c>
      <c r="CI94" s="25">
        <v>1</v>
      </c>
      <c r="CJ94" s="25">
        <v>1</v>
      </c>
      <c r="CK94" s="25">
        <v>1</v>
      </c>
      <c r="CL94" s="25">
        <v>1</v>
      </c>
      <c r="CM94" s="110"/>
      <c r="CN94" s="110"/>
      <c r="CO94" s="25">
        <v>1</v>
      </c>
      <c r="CP94" s="25">
        <v>1</v>
      </c>
      <c r="CQ94" s="25">
        <v>2</v>
      </c>
      <c r="CR94" s="25">
        <v>1</v>
      </c>
      <c r="CS94" s="25"/>
      <c r="CT94" s="110"/>
      <c r="CU94" s="110"/>
      <c r="CV94" s="110"/>
      <c r="CW94" s="25">
        <v>1</v>
      </c>
      <c r="CX94" s="25">
        <v>1</v>
      </c>
      <c r="CY94" s="25">
        <v>1</v>
      </c>
      <c r="CZ94" s="25">
        <v>1</v>
      </c>
      <c r="DA94" s="110"/>
      <c r="DB94" s="110"/>
      <c r="DC94" s="25">
        <v>1</v>
      </c>
      <c r="DD94" s="25">
        <v>1</v>
      </c>
      <c r="DE94" s="25">
        <v>1</v>
      </c>
      <c r="DF94" s="25">
        <v>1</v>
      </c>
      <c r="DG94" s="25">
        <v>1</v>
      </c>
      <c r="DH94" s="110"/>
      <c r="DI94" s="110"/>
      <c r="DJ94" s="25"/>
      <c r="DK94" s="25">
        <v>1</v>
      </c>
      <c r="DL94" s="25">
        <v>1</v>
      </c>
      <c r="DM94" s="25">
        <v>1</v>
      </c>
      <c r="DN94" s="25"/>
      <c r="DO94" s="110"/>
      <c r="DP94" s="110"/>
      <c r="DQ94" s="25">
        <v>1</v>
      </c>
      <c r="DR94" s="25">
        <v>1</v>
      </c>
      <c r="DS94" s="25">
        <v>1</v>
      </c>
      <c r="DT94" s="25">
        <v>1</v>
      </c>
      <c r="DU94" s="110" t="s">
        <v>445</v>
      </c>
      <c r="DV94" s="110"/>
      <c r="DW94" s="110"/>
      <c r="DX94" s="25"/>
      <c r="DY94" s="25"/>
      <c r="DZ94" s="25"/>
      <c r="EA94" s="25"/>
      <c r="EB94" s="110" t="s">
        <v>445</v>
      </c>
      <c r="EC94" s="110"/>
      <c r="ED94" s="110"/>
      <c r="EE94" s="25"/>
      <c r="EF94" s="25"/>
      <c r="EG94" s="25"/>
      <c r="EH94" s="110" t="s">
        <v>445</v>
      </c>
      <c r="EI94" s="110" t="s">
        <v>445</v>
      </c>
      <c r="EJ94" s="110"/>
      <c r="EK94" s="110"/>
      <c r="EL94" s="25"/>
      <c r="EM94" s="25"/>
      <c r="EN94" s="25"/>
      <c r="EO94" s="25"/>
      <c r="EP94" s="25"/>
      <c r="EQ94" s="110"/>
      <c r="ER94" s="110"/>
      <c r="ES94" s="110" t="s">
        <v>445</v>
      </c>
      <c r="ET94" s="25"/>
      <c r="EU94" s="25"/>
      <c r="EV94" s="25"/>
      <c r="EW94" s="25"/>
      <c r="EX94" s="110"/>
      <c r="EY94" s="110"/>
      <c r="EZ94" s="25"/>
      <c r="FA94" s="25"/>
      <c r="FB94" s="25"/>
      <c r="FC94" s="25"/>
      <c r="FD94" s="25"/>
      <c r="FE94" s="110"/>
      <c r="FF94" s="110"/>
      <c r="FG94" s="25"/>
      <c r="FH94" s="25"/>
      <c r="FI94" s="25"/>
      <c r="FJ94" s="25"/>
      <c r="FK94" s="25"/>
      <c r="FL94" s="110"/>
      <c r="FM94" s="110"/>
      <c r="FN94" s="25"/>
      <c r="FO94" s="25"/>
      <c r="FP94" s="25"/>
      <c r="FQ94" s="25"/>
      <c r="FR94" s="25"/>
      <c r="FS94" s="110"/>
      <c r="FT94" s="110"/>
      <c r="FU94" s="25"/>
      <c r="FV94" s="25"/>
      <c r="FW94" s="25"/>
      <c r="FX94" s="25"/>
      <c r="FY94" s="25"/>
      <c r="FZ94" s="110"/>
      <c r="GA94" s="110"/>
      <c r="GB94" s="25"/>
      <c r="GC94" s="25"/>
      <c r="GD94" s="25"/>
      <c r="GE94" s="25"/>
      <c r="GF94" s="25"/>
      <c r="GG94" s="110"/>
      <c r="GH94" s="110"/>
      <c r="GI94" s="25"/>
      <c r="GJ94" s="25"/>
      <c r="GK94" s="25"/>
      <c r="GL94" s="25"/>
      <c r="GM94" s="25"/>
      <c r="GN94" s="110"/>
      <c r="GO94" s="110"/>
      <c r="GP94" s="110" t="s">
        <v>445</v>
      </c>
      <c r="GQ94" s="110"/>
      <c r="GR94" s="25"/>
      <c r="GS94" s="25"/>
      <c r="GT94" s="25"/>
      <c r="GU94" s="110"/>
      <c r="GV94" s="110"/>
      <c r="GW94" s="25"/>
      <c r="GX94" s="25"/>
      <c r="GY94" s="25"/>
      <c r="GZ94" s="25"/>
      <c r="HA94" s="25"/>
      <c r="HB94" s="110"/>
      <c r="HC94" s="110"/>
      <c r="HD94" s="25"/>
      <c r="HE94" s="25"/>
      <c r="HF94" s="25"/>
      <c r="HG94" s="25"/>
      <c r="HH94" s="25"/>
      <c r="HI94" s="110"/>
      <c r="HJ94" s="110"/>
      <c r="HK94" s="25"/>
      <c r="HL94" s="25"/>
      <c r="HM94" s="25"/>
      <c r="HN94" s="25"/>
      <c r="HO94" s="25"/>
      <c r="HP94" s="110"/>
      <c r="HQ94" s="110"/>
      <c r="HR94" s="25"/>
      <c r="HS94" s="25"/>
      <c r="HT94" s="25"/>
      <c r="HU94" s="25"/>
      <c r="HV94" s="25"/>
      <c r="HW94" s="110"/>
      <c r="HX94" s="110"/>
      <c r="HY94" s="25"/>
      <c r="HZ94" s="25"/>
      <c r="IA94" s="25"/>
      <c r="IB94" s="25"/>
      <c r="IC94" s="25"/>
      <c r="ID94" s="110"/>
      <c r="IE94" s="110"/>
      <c r="IF94" s="25"/>
      <c r="IG94" s="25"/>
      <c r="IH94" s="25"/>
      <c r="II94" s="25"/>
      <c r="IJ94" s="25"/>
      <c r="IK94" s="110"/>
      <c r="IL94" s="110"/>
      <c r="IM94" s="25"/>
      <c r="IN94" s="25"/>
      <c r="IO94" s="25"/>
      <c r="IP94" s="25"/>
      <c r="IQ94" s="25"/>
      <c r="IR94" s="110"/>
      <c r="IS94" s="110"/>
      <c r="IT94" s="25"/>
      <c r="IU94" s="25"/>
      <c r="IV94" s="25"/>
      <c r="IW94" s="25"/>
      <c r="IX94" s="25"/>
      <c r="IY94" s="110"/>
      <c r="IZ94" s="110"/>
      <c r="JA94" s="25"/>
      <c r="JB94" s="25"/>
      <c r="JC94" s="25"/>
      <c r="JD94" s="25"/>
      <c r="JE94" s="25"/>
      <c r="JF94" s="110"/>
      <c r="JG94" s="110"/>
      <c r="JH94" s="25"/>
      <c r="JI94" s="25"/>
      <c r="JJ94" s="25"/>
      <c r="JK94" s="25"/>
      <c r="JL94" s="25"/>
      <c r="JM94" s="110"/>
      <c r="JN94" s="110"/>
      <c r="JO94" s="25"/>
      <c r="JP94" s="25"/>
      <c r="JQ94" s="25"/>
      <c r="JR94" s="25"/>
      <c r="JS94" s="25"/>
      <c r="JT94" s="110"/>
      <c r="JU94" s="110"/>
      <c r="JV94" s="25"/>
      <c r="JW94" s="25"/>
      <c r="JX94" s="25"/>
      <c r="JY94" s="25"/>
      <c r="JZ94" s="25"/>
      <c r="KA94" s="110"/>
      <c r="KB94" s="110"/>
      <c r="KC94" s="25"/>
      <c r="KD94" s="25"/>
      <c r="KE94" s="25"/>
      <c r="KF94" s="25"/>
      <c r="KG94" s="25"/>
      <c r="KH94" s="110"/>
      <c r="KI94" s="110"/>
      <c r="KJ94" s="25"/>
      <c r="KK94" s="25"/>
      <c r="KL94" s="25"/>
      <c r="KM94" s="25"/>
      <c r="KN94" s="25"/>
      <c r="KO94" s="110"/>
      <c r="KP94" s="110"/>
      <c r="KQ94" s="25"/>
      <c r="KR94" s="25"/>
      <c r="KS94" s="25"/>
      <c r="KT94" s="25"/>
      <c r="KU94" s="25"/>
      <c r="KV94" s="110"/>
      <c r="KW94" s="110"/>
      <c r="KX94" s="25"/>
      <c r="KY94" s="25"/>
      <c r="KZ94" s="25"/>
      <c r="LA94" s="25"/>
      <c r="LB94" s="25"/>
      <c r="LC94" s="110"/>
      <c r="LD94" s="110"/>
      <c r="LE94" s="25"/>
      <c r="LF94" s="25"/>
      <c r="LG94" s="110" t="s">
        <v>445</v>
      </c>
      <c r="LH94" s="25"/>
      <c r="LI94" s="25"/>
      <c r="LJ94" s="110"/>
      <c r="LK94" s="110"/>
      <c r="LL94" s="25"/>
      <c r="LM94" s="25"/>
      <c r="LN94" s="25"/>
      <c r="LO94" s="25"/>
      <c r="LP94" s="25"/>
      <c r="LQ94" s="110"/>
      <c r="LR94" s="110"/>
      <c r="LS94" s="25"/>
      <c r="LT94" s="25"/>
      <c r="LU94" s="25"/>
      <c r="LV94" s="25"/>
      <c r="LW94" s="25"/>
      <c r="LX94" s="110"/>
      <c r="LY94" s="110"/>
      <c r="LZ94" s="25"/>
      <c r="MA94" s="25"/>
      <c r="MB94" s="25"/>
      <c r="MC94" s="25"/>
      <c r="MD94" s="25"/>
      <c r="ME94" s="110"/>
      <c r="MF94" s="110"/>
      <c r="MG94" s="25"/>
      <c r="MH94" s="25"/>
      <c r="MI94" s="25"/>
      <c r="MJ94" s="25"/>
      <c r="MK94" s="25"/>
      <c r="ML94" s="110"/>
      <c r="MM94" s="110"/>
      <c r="MN94" s="25"/>
      <c r="MO94" s="25"/>
      <c r="MP94" s="25"/>
      <c r="MQ94" s="25"/>
      <c r="MR94" s="25"/>
      <c r="MS94" s="110"/>
      <c r="MT94" s="110"/>
      <c r="MU94" s="25"/>
      <c r="MV94" s="25"/>
      <c r="MW94" s="25"/>
      <c r="MX94" s="25"/>
      <c r="MY94" s="25"/>
      <c r="MZ94" s="110"/>
      <c r="NA94" s="110"/>
      <c r="NB94" s="25"/>
      <c r="NC94" s="25"/>
      <c r="ND94" s="25"/>
      <c r="NE94" s="129"/>
      <c r="NF94" s="111"/>
      <c r="NG94" s="8">
        <f t="shared" si="72"/>
        <v>20</v>
      </c>
      <c r="NH94" s="351" cm="1">
        <f t="array" ref="NH94">NETWORKDAYS($I$2,$AH$2)- SUM(COUNTIF(I94:AH94,{"I";"F";"CP";"R";"P";"AC";"AM"}))</f>
        <v>20</v>
      </c>
      <c r="NI94" s="138">
        <f t="shared" si="67"/>
        <v>1</v>
      </c>
      <c r="NJ94" s="8">
        <f t="shared" si="73"/>
        <v>18</v>
      </c>
      <c r="NK94" s="351" cm="1">
        <f t="array" ref="NK94">NETWORKDAYS($AJ$2,$BK$2)- SUM(COUNTIF(AJ94:BK94,{"I";"F";"CP";"R";"P";"AC";"AM"}))</f>
        <v>20</v>
      </c>
      <c r="NL94" s="138">
        <f t="shared" si="68"/>
        <v>0.9</v>
      </c>
      <c r="NM94" s="8">
        <f t="shared" si="74"/>
        <v>16</v>
      </c>
      <c r="NN94" s="351" cm="1">
        <f t="array" ref="NN94">NETWORKDAYS($BL$2,$CP$2)- SUM(COUNTIF(BL94:CP94,{"I";"F";"CP";"R";"P";"AC";"AM"}))</f>
        <v>18</v>
      </c>
      <c r="NO94" s="138">
        <f t="shared" si="69"/>
        <v>0.88888888888888884</v>
      </c>
      <c r="NP94" s="8">
        <f t="shared" si="75"/>
        <v>19</v>
      </c>
      <c r="NQ94" s="351" cm="1">
        <f t="array" ref="NQ94">NETWORKDAYS($CQ$2,$DT$2,$CV$2)- SUM(COUNTIF(CQ94:DT94,{"I";"F";"CP";"R";"P";"AC";"AM"}))</f>
        <v>21</v>
      </c>
      <c r="NR94" s="138">
        <f t="shared" si="70"/>
        <v>0.90476190476190477</v>
      </c>
      <c r="NS94" s="8">
        <f t="shared" si="76"/>
        <v>0</v>
      </c>
      <c r="NT94" s="351" cm="1">
        <f t="array" ref="NT94">NETWORKDAYS($DV$2,$EY$2)-SUM(COUNTIF(DV94:EY94,{"I";"F";"CP";"R";"P";"AC";"AM"}))</f>
        <v>16</v>
      </c>
      <c r="NU94" s="138">
        <f t="shared" si="71"/>
        <v>0</v>
      </c>
      <c r="NV94" s="8">
        <f t="shared" si="78"/>
        <v>0</v>
      </c>
      <c r="NW94" s="351" cm="1">
        <f t="array" ref="NW94">NETWORKDAYS($EZ$2,$GC$2)-SUM(COUNTIF(EZ94:GC94,{"I";"F";"CP";"R";"P";"AC";"AM"}))</f>
        <v>22</v>
      </c>
      <c r="NX94" s="138">
        <f t="shared" si="79"/>
        <v>0</v>
      </c>
      <c r="NY94" s="8">
        <f t="shared" si="80"/>
        <v>0</v>
      </c>
      <c r="NZ94" s="351" cm="1">
        <f t="array" ref="NZ94">NETWORKDAYS($GD$2,$HH$2,$GQ$2)-SUM(COUNTIF(GD94:HH94,{"I";"F";"CP";"R";"P";"AC";"AM"}))</f>
        <v>21</v>
      </c>
      <c r="OA94" s="138">
        <f t="shared" si="81"/>
        <v>0</v>
      </c>
      <c r="OB94" s="8">
        <f t="shared" si="82"/>
        <v>0</v>
      </c>
      <c r="OC94" s="351" cm="1">
        <f t="array" ref="OC94">NETWORKDAYS($HI$2,$IM$2)-SUM(COUNTIF(HI94:IM94,{"I";"F";"CP";"R";"P";"AC";"AM"}))</f>
        <v>21</v>
      </c>
      <c r="OD94" s="138">
        <f t="shared" si="83"/>
        <v>0</v>
      </c>
      <c r="OE94" s="8">
        <f t="shared" si="84"/>
        <v>0</v>
      </c>
      <c r="OF94" s="351" cm="1">
        <f t="array" ref="OF94">NETWORKDAYS($IN$2,$JQ$2)-SUM(COUNTIF(IN94:JQ94,{"I";"F";"CP";"R";"P";"AC";"AM"}))</f>
        <v>22</v>
      </c>
      <c r="OG94" s="138">
        <f t="shared" si="85"/>
        <v>0</v>
      </c>
      <c r="OH94" s="8">
        <f t="shared" si="86"/>
        <v>0</v>
      </c>
      <c r="OI94" s="351" cm="1">
        <f t="array" ref="OI94">NETWORKDAYS($JR$2,$KV$2)-SUM(COUNTIF(JR94:KV94,{"I";"F";"CP";"R";"P";"AC";"AM"}))</f>
        <v>22</v>
      </c>
      <c r="OJ94" s="138">
        <f t="shared" si="87"/>
        <v>0</v>
      </c>
      <c r="OK94" s="8">
        <f t="shared" si="88"/>
        <v>0</v>
      </c>
      <c r="OL94" s="351" cm="1">
        <f t="array" ref="OL94">NETWORKDAYS($KW$2,$LZ$2,$LG$2)-SUM(COUNTIF(KW94:LZ94,{"I";"F";"CP";"R";"P";"AC";"AM"}))</f>
        <v>19</v>
      </c>
      <c r="OM94" s="138">
        <f t="shared" si="89"/>
        <v>0</v>
      </c>
      <c r="ON94" s="8">
        <f t="shared" si="90"/>
        <v>0</v>
      </c>
      <c r="OO94" s="351" cm="1">
        <f t="array" ref="OO94">NETWORKDAYS($MA$2,$MR$2)-SUM(COUNTIF(MA94:MR94,{"I";"F";"CP";"R";"P";"AC";"AM"}))</f>
        <v>14</v>
      </c>
      <c r="OP94" s="138">
        <f t="shared" si="91"/>
        <v>0</v>
      </c>
      <c r="OQ94" s="94">
        <f t="shared" si="92"/>
        <v>73</v>
      </c>
      <c r="OR94" s="94">
        <f t="shared" si="93"/>
        <v>236</v>
      </c>
      <c r="OS94" s="138">
        <f t="shared" si="94"/>
        <v>0.30932203389830509</v>
      </c>
    </row>
    <row r="95" spans="1:409" ht="18" hidden="1" customHeight="1" x14ac:dyDescent="0.25">
      <c r="A95" s="95" t="s">
        <v>269</v>
      </c>
      <c r="B95" s="95" t="s">
        <v>34</v>
      </c>
      <c r="C95" s="89" t="s">
        <v>166</v>
      </c>
      <c r="D95" s="89" t="s">
        <v>270</v>
      </c>
      <c r="E95" s="128"/>
      <c r="F95" s="110"/>
      <c r="G95" s="110"/>
      <c r="H95" s="110"/>
      <c r="I95" s="25"/>
      <c r="J95" s="25"/>
      <c r="K95" s="25"/>
      <c r="L95" s="25"/>
      <c r="M95" s="25"/>
      <c r="N95" s="110"/>
      <c r="O95" s="110"/>
      <c r="P95" s="25">
        <v>1</v>
      </c>
      <c r="Q95" s="25">
        <v>1</v>
      </c>
      <c r="R95" s="25">
        <v>1</v>
      </c>
      <c r="S95" s="25">
        <v>1</v>
      </c>
      <c r="T95" s="25">
        <v>1</v>
      </c>
      <c r="U95" s="110"/>
      <c r="V95" s="110"/>
      <c r="W95" s="25">
        <v>1</v>
      </c>
      <c r="X95" s="25">
        <v>1</v>
      </c>
      <c r="Y95" s="25">
        <v>1</v>
      </c>
      <c r="Z95" s="25">
        <v>1</v>
      </c>
      <c r="AA95" s="25">
        <v>1</v>
      </c>
      <c r="AB95" s="110"/>
      <c r="AC95" s="110"/>
      <c r="AD95" s="25">
        <v>1</v>
      </c>
      <c r="AE95" s="25">
        <v>1</v>
      </c>
      <c r="AF95" s="25"/>
      <c r="AG95" s="25">
        <v>1</v>
      </c>
      <c r="AH95" s="25">
        <v>1</v>
      </c>
      <c r="AI95" s="110"/>
      <c r="AJ95" s="110"/>
      <c r="AK95" s="25">
        <v>1</v>
      </c>
      <c r="AL95" s="25"/>
      <c r="AM95" s="25"/>
      <c r="AN95" s="25">
        <v>1</v>
      </c>
      <c r="AO95" s="25">
        <v>1</v>
      </c>
      <c r="AP95" s="110"/>
      <c r="AQ95" s="110"/>
      <c r="AR95" s="25">
        <v>1</v>
      </c>
      <c r="AS95" s="25">
        <v>1</v>
      </c>
      <c r="AT95" s="25">
        <v>1</v>
      </c>
      <c r="AV95" s="25">
        <v>1</v>
      </c>
      <c r="AW95" s="110"/>
      <c r="AX95" s="110"/>
      <c r="AY95" s="25"/>
      <c r="AZ95" s="25">
        <v>1</v>
      </c>
      <c r="BA95" s="25">
        <v>1</v>
      </c>
      <c r="BB95" s="25">
        <v>1</v>
      </c>
      <c r="BC95" s="25">
        <v>1</v>
      </c>
      <c r="BD95" s="110"/>
      <c r="BE95" s="110"/>
      <c r="BF95" s="25">
        <v>1</v>
      </c>
      <c r="BG95" s="25">
        <v>1</v>
      </c>
      <c r="BH95" s="25"/>
      <c r="BI95" s="25">
        <v>1</v>
      </c>
      <c r="BJ95" s="25">
        <v>1</v>
      </c>
      <c r="BK95" s="110"/>
      <c r="BL95" s="110"/>
      <c r="BM95" s="25">
        <v>1</v>
      </c>
      <c r="BN95" s="25">
        <v>1</v>
      </c>
      <c r="BO95" s="25">
        <v>1</v>
      </c>
      <c r="BP95" s="25">
        <v>1</v>
      </c>
      <c r="BQ95" s="25">
        <v>1</v>
      </c>
      <c r="BR95" s="110"/>
      <c r="BS95" s="110"/>
      <c r="BT95" s="25">
        <v>1</v>
      </c>
      <c r="BU95" s="25">
        <v>1</v>
      </c>
      <c r="BV95" s="25">
        <v>1</v>
      </c>
      <c r="BW95" s="25">
        <v>1</v>
      </c>
      <c r="BX95" s="25">
        <v>1</v>
      </c>
      <c r="BY95" s="110"/>
      <c r="BZ95" s="110"/>
      <c r="CA95" s="25"/>
      <c r="CB95" s="25">
        <v>1</v>
      </c>
      <c r="CC95" s="25">
        <v>1</v>
      </c>
      <c r="CD95" s="25">
        <v>1</v>
      </c>
      <c r="CE95" s="25">
        <v>1</v>
      </c>
      <c r="CF95" s="110"/>
      <c r="CG95" s="110"/>
      <c r="CH95" s="25">
        <v>1</v>
      </c>
      <c r="CI95" s="25">
        <v>1</v>
      </c>
      <c r="CJ95" s="25">
        <v>1</v>
      </c>
      <c r="CK95" s="25">
        <v>1</v>
      </c>
      <c r="CL95" s="25">
        <v>1</v>
      </c>
      <c r="CM95" s="110"/>
      <c r="CN95" s="110"/>
      <c r="CO95" s="25">
        <v>1</v>
      </c>
      <c r="CP95" s="25">
        <v>1</v>
      </c>
      <c r="CQ95" s="25"/>
      <c r="CR95" s="25"/>
      <c r="CS95" s="25"/>
      <c r="CT95" s="110"/>
      <c r="CU95" s="110"/>
      <c r="CV95" s="110"/>
      <c r="CW95" s="25">
        <v>1</v>
      </c>
      <c r="CX95" s="25">
        <v>1</v>
      </c>
      <c r="CY95" s="25">
        <v>1</v>
      </c>
      <c r="CZ95" s="25">
        <v>1</v>
      </c>
      <c r="DA95" s="110"/>
      <c r="DB95" s="110"/>
      <c r="DC95" s="25">
        <v>1</v>
      </c>
      <c r="DD95" s="25">
        <v>1</v>
      </c>
      <c r="DE95" s="25">
        <v>1</v>
      </c>
      <c r="DF95" s="25">
        <v>1</v>
      </c>
      <c r="DG95" s="25">
        <v>1</v>
      </c>
      <c r="DH95" s="110"/>
      <c r="DI95" s="110"/>
      <c r="DJ95" s="25"/>
      <c r="DK95" s="25"/>
      <c r="DL95" s="25"/>
      <c r="DM95" s="25"/>
      <c r="DN95" s="25"/>
      <c r="DO95" s="110"/>
      <c r="DP95" s="110"/>
      <c r="DQ95" s="25">
        <v>1</v>
      </c>
      <c r="DR95" s="25"/>
      <c r="DS95" s="25"/>
      <c r="DT95" s="25">
        <v>1</v>
      </c>
      <c r="DU95" s="110" t="s">
        <v>445</v>
      </c>
      <c r="DV95" s="110"/>
      <c r="DW95" s="110"/>
      <c r="DX95" s="25"/>
      <c r="DY95" s="25"/>
      <c r="DZ95" s="25"/>
      <c r="EA95" s="25"/>
      <c r="EB95" s="110" t="s">
        <v>445</v>
      </c>
      <c r="EC95" s="110"/>
      <c r="ED95" s="110"/>
      <c r="EE95" s="25"/>
      <c r="EF95" s="25"/>
      <c r="EG95" s="25"/>
      <c r="EH95" s="110" t="s">
        <v>445</v>
      </c>
      <c r="EI95" s="110" t="s">
        <v>445</v>
      </c>
      <c r="EJ95" s="110"/>
      <c r="EK95" s="110"/>
      <c r="EL95" s="25"/>
      <c r="EM95" s="25"/>
      <c r="EN95" s="25"/>
      <c r="EO95" s="25"/>
      <c r="EP95" s="25"/>
      <c r="EQ95" s="110"/>
      <c r="ER95" s="110"/>
      <c r="ES95" s="110" t="s">
        <v>445</v>
      </c>
      <c r="ET95" s="25"/>
      <c r="EU95" s="25"/>
      <c r="EV95" s="25"/>
      <c r="EW95" s="25"/>
      <c r="EX95" s="110"/>
      <c r="EY95" s="110"/>
      <c r="EZ95" s="25"/>
      <c r="FA95" s="25"/>
      <c r="FB95" s="25"/>
      <c r="FC95" s="25"/>
      <c r="FD95" s="25"/>
      <c r="FE95" s="110"/>
      <c r="FF95" s="110"/>
      <c r="FG95" s="25"/>
      <c r="FH95" s="25"/>
      <c r="FI95" s="25"/>
      <c r="FJ95" s="25"/>
      <c r="FK95" s="25"/>
      <c r="FL95" s="110"/>
      <c r="FM95" s="110"/>
      <c r="FN95" s="25"/>
      <c r="FO95" s="25"/>
      <c r="FP95" s="25"/>
      <c r="FQ95" s="25"/>
      <c r="FR95" s="25"/>
      <c r="FS95" s="110"/>
      <c r="FT95" s="110"/>
      <c r="FU95" s="25"/>
      <c r="FV95" s="25"/>
      <c r="FW95" s="25"/>
      <c r="FX95" s="25"/>
      <c r="FY95" s="25"/>
      <c r="FZ95" s="110"/>
      <c r="GA95" s="110"/>
      <c r="GB95" s="25"/>
      <c r="GC95" s="25"/>
      <c r="GD95" s="25"/>
      <c r="GE95" s="25"/>
      <c r="GF95" s="25"/>
      <c r="GG95" s="110"/>
      <c r="GH95" s="110"/>
      <c r="GI95" s="25"/>
      <c r="GJ95" s="25"/>
      <c r="GK95" s="25"/>
      <c r="GL95" s="25"/>
      <c r="GM95" s="25"/>
      <c r="GN95" s="110"/>
      <c r="GO95" s="110"/>
      <c r="GP95" s="110" t="s">
        <v>445</v>
      </c>
      <c r="GQ95" s="110"/>
      <c r="GR95" s="25"/>
      <c r="GS95" s="25"/>
      <c r="GT95" s="25"/>
      <c r="GU95" s="110"/>
      <c r="GV95" s="110"/>
      <c r="GW95" s="25"/>
      <c r="GX95" s="25"/>
      <c r="GY95" s="25"/>
      <c r="GZ95" s="25"/>
      <c r="HA95" s="25"/>
      <c r="HB95" s="110"/>
      <c r="HC95" s="110"/>
      <c r="HD95" s="25"/>
      <c r="HE95" s="25"/>
      <c r="HF95" s="25"/>
      <c r="HG95" s="25"/>
      <c r="HH95" s="25"/>
      <c r="HI95" s="110"/>
      <c r="HJ95" s="110"/>
      <c r="HK95" s="25"/>
      <c r="HL95" s="25"/>
      <c r="HM95" s="25"/>
      <c r="HN95" s="25"/>
      <c r="HO95" s="25"/>
      <c r="HP95" s="110"/>
      <c r="HQ95" s="110"/>
      <c r="HR95" s="25"/>
      <c r="HS95" s="25"/>
      <c r="HT95" s="25"/>
      <c r="HU95" s="25"/>
      <c r="HV95" s="25"/>
      <c r="HW95" s="110"/>
      <c r="HX95" s="110"/>
      <c r="HY95" s="25"/>
      <c r="HZ95" s="25"/>
      <c r="IA95" s="25"/>
      <c r="IB95" s="25"/>
      <c r="IC95" s="25"/>
      <c r="ID95" s="110"/>
      <c r="IE95" s="110"/>
      <c r="IF95" s="25"/>
      <c r="IG95" s="25"/>
      <c r="IH95" s="25"/>
      <c r="II95" s="25"/>
      <c r="IJ95" s="25"/>
      <c r="IK95" s="110"/>
      <c r="IL95" s="110"/>
      <c r="IM95" s="25"/>
      <c r="IN95" s="25"/>
      <c r="IO95" s="25"/>
      <c r="IP95" s="25"/>
      <c r="IQ95" s="25"/>
      <c r="IR95" s="110"/>
      <c r="IS95" s="110"/>
      <c r="IT95" s="25"/>
      <c r="IU95" s="25"/>
      <c r="IV95" s="25"/>
      <c r="IW95" s="25"/>
      <c r="IX95" s="25"/>
      <c r="IY95" s="110"/>
      <c r="IZ95" s="110"/>
      <c r="JA95" s="25"/>
      <c r="JB95" s="25"/>
      <c r="JC95" s="25"/>
      <c r="JD95" s="25"/>
      <c r="JE95" s="25"/>
      <c r="JF95" s="110"/>
      <c r="JG95" s="110"/>
      <c r="JH95" s="25"/>
      <c r="JI95" s="25"/>
      <c r="JJ95" s="25"/>
      <c r="JK95" s="25"/>
      <c r="JL95" s="25"/>
      <c r="JM95" s="110"/>
      <c r="JN95" s="110"/>
      <c r="JO95" s="25"/>
      <c r="JP95" s="25"/>
      <c r="JQ95" s="25"/>
      <c r="JR95" s="25"/>
      <c r="JS95" s="25"/>
      <c r="JT95" s="110"/>
      <c r="JU95" s="110"/>
      <c r="JV95" s="25"/>
      <c r="JW95" s="25"/>
      <c r="JX95" s="25"/>
      <c r="JY95" s="25"/>
      <c r="JZ95" s="25"/>
      <c r="KA95" s="110"/>
      <c r="KB95" s="110"/>
      <c r="KC95" s="25"/>
      <c r="KD95" s="25"/>
      <c r="KE95" s="25"/>
      <c r="KF95" s="25"/>
      <c r="KG95" s="25"/>
      <c r="KH95" s="110"/>
      <c r="KI95" s="110"/>
      <c r="KJ95" s="25"/>
      <c r="KK95" s="25"/>
      <c r="KL95" s="25"/>
      <c r="KM95" s="25"/>
      <c r="KN95" s="25"/>
      <c r="KO95" s="110"/>
      <c r="KP95" s="110"/>
      <c r="KQ95" s="25"/>
      <c r="KR95" s="25"/>
      <c r="KS95" s="25"/>
      <c r="KT95" s="25"/>
      <c r="KU95" s="25"/>
      <c r="KV95" s="110"/>
      <c r="KW95" s="110"/>
      <c r="KX95" s="25"/>
      <c r="KY95" s="25"/>
      <c r="KZ95" s="25"/>
      <c r="LA95" s="25"/>
      <c r="LB95" s="25"/>
      <c r="LC95" s="110"/>
      <c r="LD95" s="110"/>
      <c r="LE95" s="25"/>
      <c r="LF95" s="25"/>
      <c r="LG95" s="110" t="s">
        <v>445</v>
      </c>
      <c r="LH95" s="25"/>
      <c r="LI95" s="25"/>
      <c r="LJ95" s="110"/>
      <c r="LK95" s="110"/>
      <c r="LL95" s="25"/>
      <c r="LM95" s="25"/>
      <c r="LN95" s="25"/>
      <c r="LO95" s="25"/>
      <c r="LP95" s="25"/>
      <c r="LQ95" s="110"/>
      <c r="LR95" s="110"/>
      <c r="LS95" s="25"/>
      <c r="LT95" s="25"/>
      <c r="LU95" s="25"/>
      <c r="LV95" s="25"/>
      <c r="LW95" s="25"/>
      <c r="LX95" s="110"/>
      <c r="LY95" s="110"/>
      <c r="LZ95" s="25"/>
      <c r="MA95" s="25"/>
      <c r="MB95" s="25"/>
      <c r="MC95" s="25"/>
      <c r="MD95" s="25"/>
      <c r="ME95" s="110"/>
      <c r="MF95" s="110"/>
      <c r="MG95" s="25"/>
      <c r="MH95" s="25"/>
      <c r="MI95" s="25"/>
      <c r="MJ95" s="25"/>
      <c r="MK95" s="25"/>
      <c r="ML95" s="110"/>
      <c r="MM95" s="110"/>
      <c r="MN95" s="25"/>
      <c r="MO95" s="25"/>
      <c r="MP95" s="25"/>
      <c r="MQ95" s="25"/>
      <c r="MR95" s="25"/>
      <c r="MS95" s="110"/>
      <c r="MT95" s="110"/>
      <c r="MU95" s="25"/>
      <c r="MV95" s="25"/>
      <c r="MW95" s="25"/>
      <c r="MX95" s="25"/>
      <c r="MY95" s="25"/>
      <c r="MZ95" s="110"/>
      <c r="NA95" s="110"/>
      <c r="NB95" s="25"/>
      <c r="NC95" s="25"/>
      <c r="ND95" s="25"/>
      <c r="NE95" s="129"/>
      <c r="NF95" s="111"/>
      <c r="NG95" s="8">
        <f t="shared" si="72"/>
        <v>14</v>
      </c>
      <c r="NH95" s="351" cm="1">
        <f t="array" ref="NH95">NETWORKDAYS($I$2,$AH$2)- SUM(COUNTIF(I95:AH95,{"I";"F";"CP";"R";"P";"AC";"AM"}))</f>
        <v>20</v>
      </c>
      <c r="NI95" s="138">
        <f t="shared" si="67"/>
        <v>0.7</v>
      </c>
      <c r="NJ95" s="8">
        <f t="shared" si="73"/>
        <v>15</v>
      </c>
      <c r="NK95" s="351" cm="1">
        <f t="array" ref="NK95">NETWORKDAYS($AJ$2,$BK$2)- SUM(COUNTIF(AJ95:BK95,{"I";"F";"CP";"R";"P";"AC";"AM"}))</f>
        <v>20</v>
      </c>
      <c r="NL95" s="138">
        <f t="shared" si="68"/>
        <v>0.75</v>
      </c>
      <c r="NM95" s="8">
        <f t="shared" si="74"/>
        <v>21</v>
      </c>
      <c r="NN95" s="351" cm="1">
        <f t="array" ref="NN95">NETWORKDAYS($BL$2,$CP$2)- SUM(COUNTIF(BL95:CP95,{"I";"F";"CP";"R";"P";"AC";"AM"}))</f>
        <v>22</v>
      </c>
      <c r="NO95" s="138">
        <f t="shared" si="69"/>
        <v>0.95454545454545459</v>
      </c>
      <c r="NP95" s="8">
        <f t="shared" si="75"/>
        <v>11</v>
      </c>
      <c r="NQ95" s="351" cm="1">
        <f t="array" ref="NQ95">NETWORKDAYS($CQ$2,$DT$2,$CV$2)- SUM(COUNTIF(CQ95:DT95,{"I";"F";"CP";"R";"P";"AC";"AM"}))</f>
        <v>21</v>
      </c>
      <c r="NR95" s="138">
        <f t="shared" si="70"/>
        <v>0.52380952380952384</v>
      </c>
      <c r="NS95" s="8">
        <f t="shared" si="76"/>
        <v>0</v>
      </c>
      <c r="NT95" s="351" cm="1">
        <f t="array" ref="NT95">NETWORKDAYS($DV$2,$EY$2)-SUM(COUNTIF(DV95:EY95,{"I";"F";"CP";"R";"P";"AC";"AM"}))</f>
        <v>16</v>
      </c>
      <c r="NU95" s="138">
        <f t="shared" si="71"/>
        <v>0</v>
      </c>
      <c r="NV95" s="8">
        <f t="shared" si="78"/>
        <v>0</v>
      </c>
      <c r="NW95" s="351" cm="1">
        <f t="array" ref="NW95">NETWORKDAYS($EZ$2,$GC$2)-SUM(COUNTIF(EZ95:GC95,{"I";"F";"CP";"R";"P";"AC";"AM"}))</f>
        <v>22</v>
      </c>
      <c r="NX95" s="138">
        <f t="shared" si="79"/>
        <v>0</v>
      </c>
      <c r="NY95" s="8">
        <f t="shared" si="80"/>
        <v>0</v>
      </c>
      <c r="NZ95" s="351" cm="1">
        <f t="array" ref="NZ95">NETWORKDAYS($GD$2,$HH$2,$GQ$2)-SUM(COUNTIF(GD95:HH95,{"I";"F";"CP";"R";"P";"AC";"AM"}))</f>
        <v>21</v>
      </c>
      <c r="OA95" s="138">
        <f t="shared" si="81"/>
        <v>0</v>
      </c>
      <c r="OB95" s="8">
        <f t="shared" si="82"/>
        <v>0</v>
      </c>
      <c r="OC95" s="351" cm="1">
        <f t="array" ref="OC95">NETWORKDAYS($HI$2,$IM$2)-SUM(COUNTIF(HI95:IM95,{"I";"F";"CP";"R";"P";"AC";"AM"}))</f>
        <v>21</v>
      </c>
      <c r="OD95" s="138">
        <f t="shared" si="83"/>
        <v>0</v>
      </c>
      <c r="OE95" s="8">
        <f t="shared" si="84"/>
        <v>0</v>
      </c>
      <c r="OF95" s="351" cm="1">
        <f t="array" ref="OF95">NETWORKDAYS($IN$2,$JQ$2)-SUM(COUNTIF(IN95:JQ95,{"I";"F";"CP";"R";"P";"AC";"AM"}))</f>
        <v>22</v>
      </c>
      <c r="OG95" s="138">
        <f t="shared" si="85"/>
        <v>0</v>
      </c>
      <c r="OH95" s="8">
        <f t="shared" si="86"/>
        <v>0</v>
      </c>
      <c r="OI95" s="351" cm="1">
        <f t="array" ref="OI95">NETWORKDAYS($JR$2,$KV$2)-SUM(COUNTIF(JR95:KV95,{"I";"F";"CP";"R";"P";"AC";"AM"}))</f>
        <v>22</v>
      </c>
      <c r="OJ95" s="138">
        <f t="shared" si="87"/>
        <v>0</v>
      </c>
      <c r="OK95" s="8">
        <f t="shared" si="88"/>
        <v>0</v>
      </c>
      <c r="OL95" s="351" cm="1">
        <f t="array" ref="OL95">NETWORKDAYS($KW$2,$LZ$2,$LG$2)-SUM(COUNTIF(KW95:LZ95,{"I";"F";"CP";"R";"P";"AC";"AM"}))</f>
        <v>19</v>
      </c>
      <c r="OM95" s="138">
        <f t="shared" si="89"/>
        <v>0</v>
      </c>
      <c r="ON95" s="8">
        <f t="shared" si="90"/>
        <v>0</v>
      </c>
      <c r="OO95" s="351" cm="1">
        <f t="array" ref="OO95">NETWORKDAYS($MA$2,$MR$2)-SUM(COUNTIF(MA95:MR95,{"I";"F";"CP";"R";"P";"AC";"AM"}))</f>
        <v>14</v>
      </c>
      <c r="OP95" s="138">
        <f t="shared" si="91"/>
        <v>0</v>
      </c>
      <c r="OQ95" s="94">
        <f t="shared" si="92"/>
        <v>61</v>
      </c>
      <c r="OR95" s="94">
        <f t="shared" si="93"/>
        <v>240</v>
      </c>
      <c r="OS95" s="138">
        <f t="shared" si="94"/>
        <v>0.25416666666666665</v>
      </c>
    </row>
    <row r="96" spans="1:409" ht="18" hidden="1" customHeight="1" x14ac:dyDescent="0.25">
      <c r="A96" s="93" t="s">
        <v>109</v>
      </c>
      <c r="B96" s="95" t="s">
        <v>34</v>
      </c>
      <c r="C96" s="89" t="s">
        <v>166</v>
      </c>
      <c r="D96" s="89" t="s">
        <v>271</v>
      </c>
      <c r="E96" s="128"/>
      <c r="F96" s="110"/>
      <c r="G96" s="110"/>
      <c r="H96" s="110"/>
      <c r="I96" s="25"/>
      <c r="J96" s="25">
        <v>1</v>
      </c>
      <c r="K96" s="25">
        <v>1</v>
      </c>
      <c r="L96" s="25"/>
      <c r="M96" s="25">
        <v>1</v>
      </c>
      <c r="N96" s="110"/>
      <c r="O96" s="110"/>
      <c r="P96" s="25"/>
      <c r="Q96" s="25">
        <v>1</v>
      </c>
      <c r="R96" s="25"/>
      <c r="S96" s="25">
        <v>1</v>
      </c>
      <c r="T96" s="25">
        <v>1</v>
      </c>
      <c r="U96" s="110"/>
      <c r="V96" s="110"/>
      <c r="W96" s="25">
        <v>1</v>
      </c>
      <c r="X96" s="25">
        <v>1</v>
      </c>
      <c r="Y96" s="25">
        <v>1</v>
      </c>
      <c r="Z96" s="25"/>
      <c r="AA96" s="25">
        <v>1</v>
      </c>
      <c r="AB96" s="110"/>
      <c r="AC96" s="110"/>
      <c r="AD96" s="25">
        <v>1</v>
      </c>
      <c r="AE96" s="25">
        <v>1</v>
      </c>
      <c r="AF96" s="25"/>
      <c r="AG96" s="25">
        <v>1</v>
      </c>
      <c r="AH96" s="25">
        <v>1</v>
      </c>
      <c r="AI96" s="110"/>
      <c r="AJ96" s="110"/>
      <c r="AK96" s="25">
        <v>1</v>
      </c>
      <c r="AL96" s="25"/>
      <c r="AM96" s="25"/>
      <c r="AN96" s="25"/>
      <c r="AO96" s="25"/>
      <c r="AP96" s="110"/>
      <c r="AQ96" s="110"/>
      <c r="AR96" s="25"/>
      <c r="AS96" s="25"/>
      <c r="AT96" s="25"/>
      <c r="AV96" s="25"/>
      <c r="AW96" s="110"/>
      <c r="AX96" s="110"/>
      <c r="AY96" s="25"/>
      <c r="AZ96" s="25"/>
      <c r="BA96" s="25"/>
      <c r="BB96" s="25"/>
      <c r="BC96" s="25"/>
      <c r="BD96" s="110"/>
      <c r="BE96" s="110"/>
      <c r="BF96" s="25"/>
      <c r="BG96" s="25"/>
      <c r="BH96" s="25"/>
      <c r="BI96" s="25"/>
      <c r="BJ96" s="25"/>
      <c r="BK96" s="110"/>
      <c r="BL96" s="110"/>
      <c r="BM96" s="25"/>
      <c r="BN96" s="25"/>
      <c r="BO96" s="25"/>
      <c r="BP96" s="25"/>
      <c r="BQ96" s="25"/>
      <c r="BR96" s="110"/>
      <c r="BS96" s="110"/>
      <c r="BT96" s="25"/>
      <c r="BU96" s="25"/>
      <c r="BV96" s="25"/>
      <c r="BW96" s="25"/>
      <c r="BX96" s="25"/>
      <c r="BY96" s="110"/>
      <c r="BZ96" s="110"/>
      <c r="CA96" s="25"/>
      <c r="CB96" s="25">
        <v>1</v>
      </c>
      <c r="CC96" s="25">
        <v>1</v>
      </c>
      <c r="CD96" s="25"/>
      <c r="CE96" s="25"/>
      <c r="CF96" s="110"/>
      <c r="CG96" s="110"/>
      <c r="CH96" s="25">
        <v>1</v>
      </c>
      <c r="CI96" s="25"/>
      <c r="CJ96" s="25"/>
      <c r="CK96" s="25"/>
      <c r="CL96" s="25">
        <v>1</v>
      </c>
      <c r="CM96" s="110"/>
      <c r="CN96" s="110"/>
      <c r="CO96" s="25">
        <v>1</v>
      </c>
      <c r="CP96" s="25">
        <v>1</v>
      </c>
      <c r="CQ96" s="25">
        <v>1</v>
      </c>
      <c r="CR96" s="25">
        <v>1</v>
      </c>
      <c r="CS96" s="25">
        <v>1</v>
      </c>
      <c r="CT96" s="110"/>
      <c r="CU96" s="110"/>
      <c r="CV96" s="110"/>
      <c r="CW96" s="25">
        <v>1</v>
      </c>
      <c r="CX96" s="25">
        <v>1</v>
      </c>
      <c r="CY96" s="25">
        <v>1</v>
      </c>
      <c r="CZ96" s="25">
        <v>1</v>
      </c>
      <c r="DA96" s="110"/>
      <c r="DB96" s="110"/>
      <c r="DC96" s="25">
        <v>1</v>
      </c>
      <c r="DD96" s="25">
        <v>1</v>
      </c>
      <c r="DE96" s="25">
        <v>1</v>
      </c>
      <c r="DF96" s="25">
        <v>1</v>
      </c>
      <c r="DG96" s="25">
        <v>1</v>
      </c>
      <c r="DH96" s="110"/>
      <c r="DI96" s="110"/>
      <c r="DJ96" s="25">
        <v>1</v>
      </c>
      <c r="DK96" s="25">
        <v>1</v>
      </c>
      <c r="DL96" s="25">
        <v>1</v>
      </c>
      <c r="DM96" s="25">
        <v>1</v>
      </c>
      <c r="DN96" s="25">
        <v>1</v>
      </c>
      <c r="DO96" s="110"/>
      <c r="DP96" s="110"/>
      <c r="DQ96" s="25">
        <v>1</v>
      </c>
      <c r="DR96" s="25">
        <v>1</v>
      </c>
      <c r="DS96" s="25">
        <v>1</v>
      </c>
      <c r="DT96" s="25"/>
      <c r="DU96" s="110" t="s">
        <v>445</v>
      </c>
      <c r="DV96" s="110"/>
      <c r="DW96" s="110"/>
      <c r="DX96" s="25"/>
      <c r="DY96" s="25"/>
      <c r="DZ96" s="25"/>
      <c r="EA96" s="25"/>
      <c r="EB96" s="110" t="s">
        <v>445</v>
      </c>
      <c r="EC96" s="110"/>
      <c r="ED96" s="110"/>
      <c r="EE96" s="25"/>
      <c r="EF96" s="25"/>
      <c r="EG96" s="25"/>
      <c r="EH96" s="110" t="s">
        <v>445</v>
      </c>
      <c r="EI96" s="110" t="s">
        <v>445</v>
      </c>
      <c r="EJ96" s="110"/>
      <c r="EK96" s="110"/>
      <c r="EL96" s="25"/>
      <c r="EM96" s="25"/>
      <c r="EN96" s="25"/>
      <c r="EO96" s="25"/>
      <c r="EP96" s="25"/>
      <c r="EQ96" s="110"/>
      <c r="ER96" s="110"/>
      <c r="ES96" s="110" t="s">
        <v>445</v>
      </c>
      <c r="ET96" s="25"/>
      <c r="EU96" s="25"/>
      <c r="EV96" s="25"/>
      <c r="EW96" s="25"/>
      <c r="EX96" s="110"/>
      <c r="EY96" s="110"/>
      <c r="EZ96" s="25"/>
      <c r="FA96" s="25"/>
      <c r="FB96" s="25"/>
      <c r="FC96" s="25"/>
      <c r="FD96" s="25"/>
      <c r="FE96" s="110"/>
      <c r="FF96" s="110"/>
      <c r="FG96" s="25"/>
      <c r="FH96" s="25"/>
      <c r="FI96" s="25"/>
      <c r="FJ96" s="25"/>
      <c r="FK96" s="25"/>
      <c r="FL96" s="110"/>
      <c r="FM96" s="110"/>
      <c r="FN96" s="25"/>
      <c r="FO96" s="25"/>
      <c r="FP96" s="25"/>
      <c r="FQ96" s="25"/>
      <c r="FR96" s="25"/>
      <c r="FS96" s="110"/>
      <c r="FT96" s="110"/>
      <c r="FU96" s="25"/>
      <c r="FV96" s="25"/>
      <c r="FW96" s="25"/>
      <c r="FX96" s="25"/>
      <c r="FY96" s="25"/>
      <c r="FZ96" s="110"/>
      <c r="GA96" s="110"/>
      <c r="GB96" s="25"/>
      <c r="GC96" s="25"/>
      <c r="GD96" s="25"/>
      <c r="GE96" s="25"/>
      <c r="GF96" s="25"/>
      <c r="GG96" s="110"/>
      <c r="GH96" s="110"/>
      <c r="GI96" s="25"/>
      <c r="GJ96" s="25"/>
      <c r="GK96" s="25"/>
      <c r="GL96" s="25"/>
      <c r="GM96" s="25"/>
      <c r="GN96" s="110"/>
      <c r="GO96" s="110"/>
      <c r="GP96" s="110" t="s">
        <v>445</v>
      </c>
      <c r="GQ96" s="110"/>
      <c r="GR96" s="25"/>
      <c r="GS96" s="25"/>
      <c r="GT96" s="25"/>
      <c r="GU96" s="110"/>
      <c r="GV96" s="110"/>
      <c r="GW96" s="25"/>
      <c r="GX96" s="25"/>
      <c r="GY96" s="25"/>
      <c r="GZ96" s="25"/>
      <c r="HA96" s="25"/>
      <c r="HB96" s="110"/>
      <c r="HC96" s="110"/>
      <c r="HD96" s="25"/>
      <c r="HE96" s="25"/>
      <c r="HF96" s="25"/>
      <c r="HG96" s="25"/>
      <c r="HH96" s="25"/>
      <c r="HI96" s="110"/>
      <c r="HJ96" s="110"/>
      <c r="HK96" s="25"/>
      <c r="HL96" s="25"/>
      <c r="HM96" s="25"/>
      <c r="HN96" s="25"/>
      <c r="HO96" s="25"/>
      <c r="HP96" s="110"/>
      <c r="HQ96" s="110"/>
      <c r="HR96" s="25"/>
      <c r="HS96" s="25"/>
      <c r="HT96" s="25"/>
      <c r="HU96" s="25"/>
      <c r="HV96" s="25"/>
      <c r="HW96" s="110"/>
      <c r="HX96" s="110"/>
      <c r="HY96" s="25"/>
      <c r="HZ96" s="25"/>
      <c r="IA96" s="25"/>
      <c r="IB96" s="25"/>
      <c r="IC96" s="25"/>
      <c r="ID96" s="110"/>
      <c r="IE96" s="110"/>
      <c r="IF96" s="25"/>
      <c r="IG96" s="25"/>
      <c r="IH96" s="25"/>
      <c r="II96" s="25"/>
      <c r="IJ96" s="25"/>
      <c r="IK96" s="110"/>
      <c r="IL96" s="110"/>
      <c r="IM96" s="25"/>
      <c r="IN96" s="25"/>
      <c r="IO96" s="25"/>
      <c r="IP96" s="25"/>
      <c r="IQ96" s="25"/>
      <c r="IR96" s="110"/>
      <c r="IS96" s="110"/>
      <c r="IT96" s="25"/>
      <c r="IU96" s="25"/>
      <c r="IV96" s="25"/>
      <c r="IW96" s="25"/>
      <c r="IX96" s="25"/>
      <c r="IY96" s="110"/>
      <c r="IZ96" s="110"/>
      <c r="JA96" s="25"/>
      <c r="JB96" s="25"/>
      <c r="JC96" s="25"/>
      <c r="JD96" s="25"/>
      <c r="JE96" s="25"/>
      <c r="JF96" s="110"/>
      <c r="JG96" s="110"/>
      <c r="JH96" s="25"/>
      <c r="JI96" s="25"/>
      <c r="JJ96" s="25"/>
      <c r="JK96" s="25"/>
      <c r="JL96" s="25"/>
      <c r="JM96" s="110"/>
      <c r="JN96" s="110"/>
      <c r="JO96" s="25"/>
      <c r="JP96" s="25"/>
      <c r="JQ96" s="25"/>
      <c r="JR96" s="25"/>
      <c r="JS96" s="25"/>
      <c r="JT96" s="110"/>
      <c r="JU96" s="110"/>
      <c r="JV96" s="25"/>
      <c r="JW96" s="25"/>
      <c r="JX96" s="25"/>
      <c r="JY96" s="25"/>
      <c r="JZ96" s="25"/>
      <c r="KA96" s="110"/>
      <c r="KB96" s="110"/>
      <c r="KC96" s="25"/>
      <c r="KD96" s="25"/>
      <c r="KE96" s="25"/>
      <c r="KF96" s="25"/>
      <c r="KG96" s="25"/>
      <c r="KH96" s="110"/>
      <c r="KI96" s="110"/>
      <c r="KJ96" s="25"/>
      <c r="KK96" s="25"/>
      <c r="KL96" s="25"/>
      <c r="KM96" s="25"/>
      <c r="KN96" s="25"/>
      <c r="KO96" s="110"/>
      <c r="KP96" s="110"/>
      <c r="KQ96" s="25"/>
      <c r="KR96" s="25"/>
      <c r="KS96" s="25"/>
      <c r="KT96" s="25"/>
      <c r="KU96" s="25"/>
      <c r="KV96" s="110"/>
      <c r="KW96" s="110"/>
      <c r="KX96" s="25"/>
      <c r="KY96" s="25"/>
      <c r="KZ96" s="25"/>
      <c r="LA96" s="25"/>
      <c r="LB96" s="25"/>
      <c r="LC96" s="110"/>
      <c r="LD96" s="110"/>
      <c r="LE96" s="25"/>
      <c r="LF96" s="25"/>
      <c r="LG96" s="110" t="s">
        <v>445</v>
      </c>
      <c r="LH96" s="25"/>
      <c r="LI96" s="25"/>
      <c r="LJ96" s="110"/>
      <c r="LK96" s="110"/>
      <c r="LL96" s="25"/>
      <c r="LM96" s="25"/>
      <c r="LN96" s="25"/>
      <c r="LO96" s="25"/>
      <c r="LP96" s="25"/>
      <c r="LQ96" s="110"/>
      <c r="LR96" s="110"/>
      <c r="LS96" s="25"/>
      <c r="LT96" s="25"/>
      <c r="LU96" s="25"/>
      <c r="LV96" s="25"/>
      <c r="LW96" s="25"/>
      <c r="LX96" s="110"/>
      <c r="LY96" s="110"/>
      <c r="LZ96" s="25"/>
      <c r="MA96" s="25"/>
      <c r="MB96" s="25"/>
      <c r="MC96" s="25"/>
      <c r="MD96" s="25"/>
      <c r="ME96" s="110"/>
      <c r="MF96" s="110"/>
      <c r="MG96" s="25"/>
      <c r="MH96" s="25"/>
      <c r="MI96" s="25"/>
      <c r="MJ96" s="25"/>
      <c r="MK96" s="25"/>
      <c r="ML96" s="110"/>
      <c r="MM96" s="110"/>
      <c r="MN96" s="25"/>
      <c r="MO96" s="25"/>
      <c r="MP96" s="25"/>
      <c r="MQ96" s="25"/>
      <c r="MR96" s="25"/>
      <c r="MS96" s="110"/>
      <c r="MT96" s="110"/>
      <c r="MU96" s="25"/>
      <c r="MV96" s="25"/>
      <c r="MW96" s="25"/>
      <c r="MX96" s="25"/>
      <c r="MY96" s="25"/>
      <c r="MZ96" s="110"/>
      <c r="NA96" s="110"/>
      <c r="NB96" s="25"/>
      <c r="NC96" s="25"/>
      <c r="ND96" s="25"/>
      <c r="NE96" s="129"/>
      <c r="NF96" s="111"/>
      <c r="NG96" s="8">
        <f t="shared" si="72"/>
        <v>14</v>
      </c>
      <c r="NH96" s="351" cm="1">
        <f t="array" ref="NH96">NETWORKDAYS($I$2,$AH$2)- SUM(COUNTIF(I96:AH96,{"I";"F";"CP";"R";"P";"AC";"AM"}))</f>
        <v>20</v>
      </c>
      <c r="NI96" s="138">
        <f t="shared" si="67"/>
        <v>0.7</v>
      </c>
      <c r="NJ96" s="8">
        <f t="shared" si="73"/>
        <v>1</v>
      </c>
      <c r="NK96" s="351" cm="1">
        <f t="array" ref="NK96">NETWORKDAYS($AJ$2,$BK$2)- SUM(COUNTIF(AJ96:BK96,{"I";"F";"CP";"R";"P";"AC";"AM"}))</f>
        <v>20</v>
      </c>
      <c r="NL96" s="138">
        <f t="shared" si="68"/>
        <v>0.05</v>
      </c>
      <c r="NM96" s="8">
        <f t="shared" si="74"/>
        <v>6</v>
      </c>
      <c r="NN96" s="351" cm="1">
        <f t="array" ref="NN96">NETWORKDAYS($BL$2,$CP$2)- SUM(COUNTIF(BL96:CP96,{"I";"F";"CP";"R";"P";"AC";"AM"}))</f>
        <v>22</v>
      </c>
      <c r="NO96" s="138">
        <f t="shared" si="69"/>
        <v>0.27272727272727271</v>
      </c>
      <c r="NP96" s="8">
        <f t="shared" si="75"/>
        <v>20</v>
      </c>
      <c r="NQ96" s="351" cm="1">
        <f t="array" ref="NQ96">NETWORKDAYS($CQ$2,$DT$2,$CV$2)- SUM(COUNTIF(CQ96:DT96,{"I";"F";"CP";"R";"P";"AC";"AM"}))</f>
        <v>21</v>
      </c>
      <c r="NR96" s="138">
        <f t="shared" si="70"/>
        <v>0.95238095238095233</v>
      </c>
      <c r="NS96" s="8">
        <f t="shared" si="76"/>
        <v>0</v>
      </c>
      <c r="NT96" s="351" cm="1">
        <f t="array" ref="NT96">NETWORKDAYS($DV$2,$EY$2)-SUM(COUNTIF(DV96:EY96,{"I";"F";"CP";"R";"P";"AC";"AM"}))</f>
        <v>16</v>
      </c>
      <c r="NU96" s="138">
        <f t="shared" si="71"/>
        <v>0</v>
      </c>
      <c r="NV96" s="8">
        <f t="shared" si="78"/>
        <v>0</v>
      </c>
      <c r="NW96" s="351" cm="1">
        <f t="array" ref="NW96">NETWORKDAYS($EZ$2,$GC$2)-SUM(COUNTIF(EZ96:GC96,{"I";"F";"CP";"R";"P";"AC";"AM"}))</f>
        <v>22</v>
      </c>
      <c r="NX96" s="138">
        <f t="shared" si="79"/>
        <v>0</v>
      </c>
      <c r="NY96" s="8">
        <f t="shared" si="80"/>
        <v>0</v>
      </c>
      <c r="NZ96" s="351" cm="1">
        <f t="array" ref="NZ96">NETWORKDAYS($GD$2,$HH$2,$GQ$2)-SUM(COUNTIF(GD96:HH96,{"I";"F";"CP";"R";"P";"AC";"AM"}))</f>
        <v>21</v>
      </c>
      <c r="OA96" s="138">
        <f t="shared" si="81"/>
        <v>0</v>
      </c>
      <c r="OB96" s="8">
        <f t="shared" si="82"/>
        <v>0</v>
      </c>
      <c r="OC96" s="351" cm="1">
        <f t="array" ref="OC96">NETWORKDAYS($HI$2,$IM$2)-SUM(COUNTIF(HI96:IM96,{"I";"F";"CP";"R";"P";"AC";"AM"}))</f>
        <v>21</v>
      </c>
      <c r="OD96" s="138">
        <f t="shared" si="83"/>
        <v>0</v>
      </c>
      <c r="OE96" s="8">
        <f t="shared" si="84"/>
        <v>0</v>
      </c>
      <c r="OF96" s="351" cm="1">
        <f t="array" ref="OF96">NETWORKDAYS($IN$2,$JQ$2)-SUM(COUNTIF(IN96:JQ96,{"I";"F";"CP";"R";"P";"AC";"AM"}))</f>
        <v>22</v>
      </c>
      <c r="OG96" s="138">
        <f t="shared" si="85"/>
        <v>0</v>
      </c>
      <c r="OH96" s="8">
        <f t="shared" si="86"/>
        <v>0</v>
      </c>
      <c r="OI96" s="351" cm="1">
        <f t="array" ref="OI96">NETWORKDAYS($JR$2,$KV$2)-SUM(COUNTIF(JR96:KV96,{"I";"F";"CP";"R";"P";"AC";"AM"}))</f>
        <v>22</v>
      </c>
      <c r="OJ96" s="138">
        <f t="shared" si="87"/>
        <v>0</v>
      </c>
      <c r="OK96" s="8">
        <f t="shared" si="88"/>
        <v>0</v>
      </c>
      <c r="OL96" s="351" cm="1">
        <f t="array" ref="OL96">NETWORKDAYS($KW$2,$LZ$2,$LG$2)-SUM(COUNTIF(KW96:LZ96,{"I";"F";"CP";"R";"P";"AC";"AM"}))</f>
        <v>19</v>
      </c>
      <c r="OM96" s="138">
        <f t="shared" si="89"/>
        <v>0</v>
      </c>
      <c r="ON96" s="8">
        <f t="shared" si="90"/>
        <v>0</v>
      </c>
      <c r="OO96" s="351" cm="1">
        <f t="array" ref="OO96">NETWORKDAYS($MA$2,$MR$2)-SUM(COUNTIF(MA96:MR96,{"I";"F";"CP";"R";"P";"AC";"AM"}))</f>
        <v>14</v>
      </c>
      <c r="OP96" s="138">
        <f t="shared" si="91"/>
        <v>0</v>
      </c>
      <c r="OQ96" s="94">
        <f t="shared" si="92"/>
        <v>41</v>
      </c>
      <c r="OR96" s="94">
        <f t="shared" si="93"/>
        <v>240</v>
      </c>
      <c r="OS96" s="138">
        <f t="shared" si="94"/>
        <v>0.17083333333333334</v>
      </c>
    </row>
    <row r="97" spans="1:409" ht="18" customHeight="1" x14ac:dyDescent="0.25">
      <c r="A97" s="95" t="s">
        <v>178</v>
      </c>
      <c r="B97" s="95" t="s">
        <v>34</v>
      </c>
      <c r="C97" s="89" t="s">
        <v>166</v>
      </c>
      <c r="D97" s="89" t="s">
        <v>272</v>
      </c>
      <c r="E97" s="128"/>
      <c r="F97" s="110"/>
      <c r="G97" s="110"/>
      <c r="H97" s="110"/>
      <c r="I97" s="25" t="s">
        <v>223</v>
      </c>
      <c r="J97" s="25" t="s">
        <v>223</v>
      </c>
      <c r="K97" s="25" t="s">
        <v>223</v>
      </c>
      <c r="L97" s="25" t="s">
        <v>223</v>
      </c>
      <c r="M97" s="25" t="s">
        <v>223</v>
      </c>
      <c r="N97" s="110"/>
      <c r="O97" s="110"/>
      <c r="P97" s="25"/>
      <c r="Q97" s="25"/>
      <c r="R97" s="25">
        <v>1</v>
      </c>
      <c r="S97" s="25">
        <v>1</v>
      </c>
      <c r="T97" s="25">
        <v>1</v>
      </c>
      <c r="U97" s="110"/>
      <c r="V97" s="110"/>
      <c r="W97" s="25">
        <v>1</v>
      </c>
      <c r="X97" s="25">
        <v>1</v>
      </c>
      <c r="Y97" s="25">
        <v>1</v>
      </c>
      <c r="Z97" s="25">
        <v>1</v>
      </c>
      <c r="AA97" s="25">
        <v>1</v>
      </c>
      <c r="AB97" s="110"/>
      <c r="AC97" s="110"/>
      <c r="AD97" s="25"/>
      <c r="AE97" s="25"/>
      <c r="AF97" s="25"/>
      <c r="AG97" s="25"/>
      <c r="AH97" s="25">
        <v>1</v>
      </c>
      <c r="AI97" s="110"/>
      <c r="AJ97" s="110"/>
      <c r="AK97" s="25">
        <v>1</v>
      </c>
      <c r="AL97" s="25">
        <v>1</v>
      </c>
      <c r="AM97" s="25">
        <v>1</v>
      </c>
      <c r="AN97" s="25">
        <v>1</v>
      </c>
      <c r="AO97" s="25">
        <v>1</v>
      </c>
      <c r="AP97" s="110"/>
      <c r="AQ97" s="110"/>
      <c r="AR97" s="25" t="s">
        <v>223</v>
      </c>
      <c r="AS97" s="25" t="s">
        <v>223</v>
      </c>
      <c r="AT97" s="25" t="s">
        <v>223</v>
      </c>
      <c r="AV97" s="25" t="s">
        <v>223</v>
      </c>
      <c r="AW97" s="110"/>
      <c r="AX97" s="110"/>
      <c r="AY97" s="25"/>
      <c r="AZ97" s="25"/>
      <c r="BA97" s="25" t="s">
        <v>162</v>
      </c>
      <c r="BB97" s="25"/>
      <c r="BC97" s="25"/>
      <c r="BD97" s="110"/>
      <c r="BE97" s="110"/>
      <c r="BF97" s="25"/>
      <c r="BG97" s="25" t="s">
        <v>447</v>
      </c>
      <c r="BH97" s="25" t="s">
        <v>447</v>
      </c>
      <c r="BI97" s="25"/>
      <c r="BJ97" s="25">
        <v>1</v>
      </c>
      <c r="BK97" s="110"/>
      <c r="BL97" s="110"/>
      <c r="BM97" s="25" t="s">
        <v>223</v>
      </c>
      <c r="BN97" s="25">
        <v>1</v>
      </c>
      <c r="BO97" s="25" t="s">
        <v>223</v>
      </c>
      <c r="BP97" s="25">
        <v>1</v>
      </c>
      <c r="BQ97" s="25">
        <v>1</v>
      </c>
      <c r="BR97" s="110"/>
      <c r="BS97" s="110"/>
      <c r="BT97" s="25" t="s">
        <v>162</v>
      </c>
      <c r="BU97" s="25" t="s">
        <v>162</v>
      </c>
      <c r="BV97" s="25" t="s">
        <v>162</v>
      </c>
      <c r="BW97" s="25" t="s">
        <v>162</v>
      </c>
      <c r="BX97" s="25" t="s">
        <v>162</v>
      </c>
      <c r="BY97" s="110"/>
      <c r="BZ97" s="110"/>
      <c r="CA97" s="25" t="s">
        <v>162</v>
      </c>
      <c r="CB97" s="25" t="s">
        <v>162</v>
      </c>
      <c r="CC97" s="25" t="s">
        <v>162</v>
      </c>
      <c r="CD97" s="25" t="s">
        <v>162</v>
      </c>
      <c r="CE97" s="25" t="s">
        <v>162</v>
      </c>
      <c r="CF97" s="110"/>
      <c r="CG97" s="110"/>
      <c r="CH97" s="25" t="s">
        <v>162</v>
      </c>
      <c r="CI97" s="25" t="s">
        <v>162</v>
      </c>
      <c r="CJ97" s="25" t="s">
        <v>162</v>
      </c>
      <c r="CK97" s="25" t="s">
        <v>162</v>
      </c>
      <c r="CL97" s="25" t="s">
        <v>162</v>
      </c>
      <c r="CM97" s="110"/>
      <c r="CN97" s="110"/>
      <c r="CO97" s="25" t="s">
        <v>162</v>
      </c>
      <c r="CP97" s="25" t="s">
        <v>162</v>
      </c>
      <c r="CQ97" s="25" t="s">
        <v>162</v>
      </c>
      <c r="CR97" s="25" t="s">
        <v>162</v>
      </c>
      <c r="CS97" s="25" t="s">
        <v>162</v>
      </c>
      <c r="CT97" s="110"/>
      <c r="CU97" s="110"/>
      <c r="CV97" s="110"/>
      <c r="CW97" s="25" t="s">
        <v>162</v>
      </c>
      <c r="CX97" s="25" t="s">
        <v>162</v>
      </c>
      <c r="CY97" s="25" t="s">
        <v>162</v>
      </c>
      <c r="CZ97" s="25" t="s">
        <v>162</v>
      </c>
      <c r="DA97" s="110"/>
      <c r="DB97" s="110"/>
      <c r="DC97" s="25" t="s">
        <v>162</v>
      </c>
      <c r="DD97" s="25" t="s">
        <v>162</v>
      </c>
      <c r="DE97" s="25" t="s">
        <v>162</v>
      </c>
      <c r="DF97" s="25" t="s">
        <v>162</v>
      </c>
      <c r="DG97" s="25" t="s">
        <v>162</v>
      </c>
      <c r="DH97" s="110"/>
      <c r="DI97" s="110"/>
      <c r="DJ97" s="25" t="s">
        <v>162</v>
      </c>
      <c r="DK97" s="25" t="s">
        <v>162</v>
      </c>
      <c r="DL97" s="25" t="s">
        <v>162</v>
      </c>
      <c r="DM97" s="25" t="s">
        <v>162</v>
      </c>
      <c r="DN97" s="25" t="s">
        <v>162</v>
      </c>
      <c r="DO97" s="110"/>
      <c r="DP97" s="110"/>
      <c r="DQ97" s="25" t="s">
        <v>162</v>
      </c>
      <c r="DR97" s="25" t="s">
        <v>162</v>
      </c>
      <c r="DS97" s="25" t="s">
        <v>162</v>
      </c>
      <c r="DT97" s="25"/>
      <c r="DU97" s="110" t="s">
        <v>445</v>
      </c>
      <c r="DV97" s="110"/>
      <c r="DW97" s="110"/>
      <c r="DX97" s="25" t="s">
        <v>162</v>
      </c>
      <c r="DY97" s="25" t="s">
        <v>162</v>
      </c>
      <c r="DZ97" s="25" t="s">
        <v>162</v>
      </c>
      <c r="EA97" s="25" t="s">
        <v>162</v>
      </c>
      <c r="EB97" s="110" t="s">
        <v>445</v>
      </c>
      <c r="EC97" s="110"/>
      <c r="ED97" s="110"/>
      <c r="EE97" s="25" t="s">
        <v>162</v>
      </c>
      <c r="EF97" s="25" t="s">
        <v>162</v>
      </c>
      <c r="EG97" s="25" t="s">
        <v>162</v>
      </c>
      <c r="EH97" s="110" t="s">
        <v>445</v>
      </c>
      <c r="EI97" s="110" t="s">
        <v>445</v>
      </c>
      <c r="EJ97" s="110"/>
      <c r="EK97" s="110"/>
      <c r="EL97" s="25" t="s">
        <v>162</v>
      </c>
      <c r="EM97" s="25" t="s">
        <v>162</v>
      </c>
      <c r="EN97" s="25" t="s">
        <v>162</v>
      </c>
      <c r="EO97" s="25" t="s">
        <v>162</v>
      </c>
      <c r="EP97" s="25" t="s">
        <v>162</v>
      </c>
      <c r="EQ97" s="110"/>
      <c r="ER97" s="110"/>
      <c r="ES97" s="110" t="s">
        <v>445</v>
      </c>
      <c r="ET97" s="25" t="s">
        <v>162</v>
      </c>
      <c r="EU97" s="25" t="s">
        <v>162</v>
      </c>
      <c r="EV97" s="25" t="s">
        <v>162</v>
      </c>
      <c r="EW97" s="25" t="s">
        <v>162</v>
      </c>
      <c r="EX97" s="110"/>
      <c r="EY97" s="110"/>
      <c r="EZ97" s="25"/>
      <c r="FA97" s="25"/>
      <c r="FB97" s="25"/>
      <c r="FC97" s="25"/>
      <c r="FD97" s="25"/>
      <c r="FE97" s="110"/>
      <c r="FF97" s="110"/>
      <c r="FG97" s="25"/>
      <c r="FH97" s="25"/>
      <c r="FI97" s="25"/>
      <c r="FJ97" s="25"/>
      <c r="FK97" s="25"/>
      <c r="FL97" s="110"/>
      <c r="FM97" s="110"/>
      <c r="FN97" s="25"/>
      <c r="FO97" s="25"/>
      <c r="FP97" s="25"/>
      <c r="FQ97" s="25"/>
      <c r="FR97" s="25"/>
      <c r="FS97" s="110"/>
      <c r="FT97" s="110"/>
      <c r="FU97" s="25"/>
      <c r="FV97" s="25"/>
      <c r="FW97" s="25"/>
      <c r="FX97" s="25"/>
      <c r="FY97" s="25"/>
      <c r="FZ97" s="110"/>
      <c r="GA97" s="110"/>
      <c r="GB97" s="25"/>
      <c r="GC97" s="25"/>
      <c r="GD97" s="25"/>
      <c r="GE97" s="25"/>
      <c r="GF97" s="25"/>
      <c r="GG97" s="110"/>
      <c r="GH97" s="110"/>
      <c r="GI97" s="25"/>
      <c r="GJ97" s="25"/>
      <c r="GK97" s="25"/>
      <c r="GL97" s="25"/>
      <c r="GM97" s="25"/>
      <c r="GN97" s="110"/>
      <c r="GO97" s="110"/>
      <c r="GP97" s="110" t="s">
        <v>445</v>
      </c>
      <c r="GQ97" s="110"/>
      <c r="GR97" s="25"/>
      <c r="GS97" s="25"/>
      <c r="GT97" s="25"/>
      <c r="GU97" s="110"/>
      <c r="GV97" s="110"/>
      <c r="GW97" s="25"/>
      <c r="GX97" s="25"/>
      <c r="GY97" s="25"/>
      <c r="GZ97" s="25"/>
      <c r="HA97" s="25"/>
      <c r="HB97" s="110"/>
      <c r="HC97" s="110"/>
      <c r="HD97" s="25"/>
      <c r="HE97" s="25"/>
      <c r="HF97" s="25"/>
      <c r="HG97" s="25"/>
      <c r="HH97" s="25"/>
      <c r="HI97" s="110"/>
      <c r="HJ97" s="110"/>
      <c r="HK97" s="25"/>
      <c r="HL97" s="25"/>
      <c r="HM97" s="25"/>
      <c r="HN97" s="25"/>
      <c r="HO97" s="25"/>
      <c r="HP97" s="110"/>
      <c r="HQ97" s="110"/>
      <c r="HR97" s="25"/>
      <c r="HS97" s="25"/>
      <c r="HT97" s="25"/>
      <c r="HU97" s="25"/>
      <c r="HV97" s="25"/>
      <c r="HW97" s="110"/>
      <c r="HX97" s="110"/>
      <c r="HY97" s="25"/>
      <c r="HZ97" s="25"/>
      <c r="IA97" s="25"/>
      <c r="IB97" s="25"/>
      <c r="IC97" s="25"/>
      <c r="ID97" s="110"/>
      <c r="IE97" s="110"/>
      <c r="IF97" s="25"/>
      <c r="IG97" s="25"/>
      <c r="IH97" s="25"/>
      <c r="II97" s="25"/>
      <c r="IJ97" s="25"/>
      <c r="IK97" s="110"/>
      <c r="IL97" s="110"/>
      <c r="IM97" s="25"/>
      <c r="IN97" s="25"/>
      <c r="IO97" s="25"/>
      <c r="IP97" s="25"/>
      <c r="IQ97" s="25"/>
      <c r="IR97" s="110"/>
      <c r="IS97" s="110"/>
      <c r="IT97" s="25"/>
      <c r="IU97" s="25"/>
      <c r="IV97" s="25"/>
      <c r="IW97" s="25"/>
      <c r="IX97" s="25"/>
      <c r="IY97" s="110"/>
      <c r="IZ97" s="110"/>
      <c r="JA97" s="25"/>
      <c r="JB97" s="25"/>
      <c r="JC97" s="25"/>
      <c r="JD97" s="25"/>
      <c r="JE97" s="25"/>
      <c r="JF97" s="110"/>
      <c r="JG97" s="110"/>
      <c r="JH97" s="25"/>
      <c r="JI97" s="25"/>
      <c r="JJ97" s="25"/>
      <c r="JK97" s="25"/>
      <c r="JL97" s="25"/>
      <c r="JM97" s="110"/>
      <c r="JN97" s="110"/>
      <c r="JO97" s="25"/>
      <c r="JP97" s="25"/>
      <c r="JQ97" s="25"/>
      <c r="JR97" s="25"/>
      <c r="JS97" s="25"/>
      <c r="JT97" s="110"/>
      <c r="JU97" s="110"/>
      <c r="JV97" s="25"/>
      <c r="JW97" s="25"/>
      <c r="JX97" s="25"/>
      <c r="JY97" s="25"/>
      <c r="JZ97" s="25"/>
      <c r="KA97" s="110"/>
      <c r="KB97" s="110"/>
      <c r="KC97" s="25"/>
      <c r="KD97" s="25"/>
      <c r="KE97" s="25"/>
      <c r="KF97" s="25"/>
      <c r="KG97" s="25"/>
      <c r="KH97" s="110"/>
      <c r="KI97" s="110"/>
      <c r="KJ97" s="25"/>
      <c r="KK97" s="25"/>
      <c r="KL97" s="25"/>
      <c r="KM97" s="25"/>
      <c r="KN97" s="25"/>
      <c r="KO97" s="110"/>
      <c r="KP97" s="110"/>
      <c r="KQ97" s="25"/>
      <c r="KR97" s="25"/>
      <c r="KS97" s="25"/>
      <c r="KT97" s="25"/>
      <c r="KU97" s="25"/>
      <c r="KV97" s="110"/>
      <c r="KW97" s="110"/>
      <c r="KX97" s="25"/>
      <c r="KY97" s="25"/>
      <c r="KZ97" s="25"/>
      <c r="LA97" s="25"/>
      <c r="LB97" s="25"/>
      <c r="LC97" s="110"/>
      <c r="LD97" s="110"/>
      <c r="LE97" s="25"/>
      <c r="LF97" s="25"/>
      <c r="LG97" s="110" t="s">
        <v>445</v>
      </c>
      <c r="LH97" s="25"/>
      <c r="LI97" s="25"/>
      <c r="LJ97" s="110"/>
      <c r="LK97" s="110"/>
      <c r="LL97" s="25"/>
      <c r="LM97" s="25"/>
      <c r="LN97" s="25"/>
      <c r="LO97" s="25"/>
      <c r="LP97" s="25"/>
      <c r="LQ97" s="110"/>
      <c r="LR97" s="110"/>
      <c r="LS97" s="25"/>
      <c r="LT97" s="25"/>
      <c r="LU97" s="25"/>
      <c r="LV97" s="25"/>
      <c r="LW97" s="25"/>
      <c r="LX97" s="110"/>
      <c r="LY97" s="110"/>
      <c r="LZ97" s="25"/>
      <c r="MA97" s="25"/>
      <c r="MB97" s="25"/>
      <c r="MC97" s="25"/>
      <c r="MD97" s="25"/>
      <c r="ME97" s="110"/>
      <c r="MF97" s="110"/>
      <c r="MG97" s="25"/>
      <c r="MH97" s="25"/>
      <c r="MI97" s="25"/>
      <c r="MJ97" s="25"/>
      <c r="MK97" s="25"/>
      <c r="ML97" s="110"/>
      <c r="MM97" s="110"/>
      <c r="MN97" s="25"/>
      <c r="MO97" s="25"/>
      <c r="MP97" s="25"/>
      <c r="MQ97" s="25"/>
      <c r="MR97" s="25"/>
      <c r="MS97" s="110"/>
      <c r="MT97" s="110"/>
      <c r="MU97" s="25"/>
      <c r="MV97" s="25"/>
      <c r="MW97" s="25"/>
      <c r="MX97" s="25"/>
      <c r="MY97" s="25"/>
      <c r="MZ97" s="110"/>
      <c r="NA97" s="110"/>
      <c r="NB97" s="25"/>
      <c r="NC97" s="25"/>
      <c r="ND97" s="25"/>
      <c r="NE97" s="129"/>
      <c r="NF97" s="111"/>
      <c r="NG97" s="8">
        <f t="shared" si="72"/>
        <v>9</v>
      </c>
      <c r="NH97" s="351" cm="1">
        <f t="array" ref="NH97">NETWORKDAYS($I$2,$AH$2)- SUM(COUNTIF(I97:AH97,{"I";"F";"CP";"R";"P";"AC";"AM"}))</f>
        <v>15</v>
      </c>
      <c r="NI97" s="138">
        <f t="shared" si="67"/>
        <v>0.6</v>
      </c>
      <c r="NJ97" s="8">
        <f t="shared" si="73"/>
        <v>6</v>
      </c>
      <c r="NK97" s="351" cm="1">
        <f t="array" ref="NK97">NETWORKDAYS($AJ$2,$BK$2)- SUM(COUNTIF(AJ97:BK97,{"I";"F";"CP";"R";"P";"AC";"AM"}))</f>
        <v>13</v>
      </c>
      <c r="NL97" s="138">
        <f t="shared" si="68"/>
        <v>0.46153846153846156</v>
      </c>
      <c r="NM97" s="8">
        <f t="shared" si="74"/>
        <v>3</v>
      </c>
      <c r="NN97" s="351" cm="1">
        <f t="array" ref="NN97">NETWORKDAYS($BL$2,$CP$2)- SUM(COUNTIF(BL97:CP97,{"I";"F";"CP";"R";"P";"AC";"AM"}))</f>
        <v>3</v>
      </c>
      <c r="NO97" s="138">
        <f t="shared" si="69"/>
        <v>1</v>
      </c>
      <c r="NP97" s="8">
        <f t="shared" si="75"/>
        <v>0</v>
      </c>
      <c r="NQ97" s="351" cm="1">
        <f t="array" ref="NQ97">NETWORKDAYS($CQ$2,$DT$2,$CV$2)- SUM(COUNTIF(CQ97:DT97,{"I";"F";"CP";"R";"P";"AC";"AM"}))</f>
        <v>1</v>
      </c>
      <c r="NR97" s="138">
        <f t="shared" si="70"/>
        <v>0</v>
      </c>
      <c r="NS97" s="8">
        <f t="shared" si="76"/>
        <v>0</v>
      </c>
      <c r="NT97" s="351" cm="1">
        <f t="array" ref="NT97">NETWORKDAYS($DV$2,$EY$2)-SUM(COUNTIF(DV97:EY97,{"I";"F";"CP";"R";"P";"AC";"AM"}))</f>
        <v>0</v>
      </c>
      <c r="NU97" s="138" t="str">
        <f t="shared" si="71"/>
        <v/>
      </c>
      <c r="NV97" s="8">
        <f t="shared" si="78"/>
        <v>0</v>
      </c>
      <c r="NW97" s="351" cm="1">
        <f t="array" ref="NW97">NETWORKDAYS($EZ$2,$GC$2)-SUM(COUNTIF(EZ97:GC97,{"I";"F";"CP";"R";"P";"AC";"AM"}))</f>
        <v>22</v>
      </c>
      <c r="NX97" s="138">
        <f t="shared" si="79"/>
        <v>0</v>
      </c>
      <c r="NY97" s="8">
        <f t="shared" si="80"/>
        <v>0</v>
      </c>
      <c r="NZ97" s="351" cm="1">
        <f t="array" ref="NZ97">NETWORKDAYS($GD$2,$HH$2,$GQ$2)-SUM(COUNTIF(GD97:HH97,{"I";"F";"CP";"R";"P";"AC";"AM"}))</f>
        <v>21</v>
      </c>
      <c r="OA97" s="138">
        <f t="shared" si="81"/>
        <v>0</v>
      </c>
      <c r="OB97" s="8">
        <f t="shared" si="82"/>
        <v>0</v>
      </c>
      <c r="OC97" s="351" cm="1">
        <f t="array" ref="OC97">NETWORKDAYS($HI$2,$IM$2)-SUM(COUNTIF(HI97:IM97,{"I";"F";"CP";"R";"P";"AC";"AM"}))</f>
        <v>21</v>
      </c>
      <c r="OD97" s="138">
        <f t="shared" si="83"/>
        <v>0</v>
      </c>
      <c r="OE97" s="8">
        <f t="shared" si="84"/>
        <v>0</v>
      </c>
      <c r="OF97" s="351" cm="1">
        <f t="array" ref="OF97">NETWORKDAYS($IN$2,$JQ$2)-SUM(COUNTIF(IN97:JQ97,{"I";"F";"CP";"R";"P";"AC";"AM"}))</f>
        <v>22</v>
      </c>
      <c r="OG97" s="138">
        <f t="shared" si="85"/>
        <v>0</v>
      </c>
      <c r="OH97" s="8">
        <f t="shared" si="86"/>
        <v>0</v>
      </c>
      <c r="OI97" s="351" cm="1">
        <f t="array" ref="OI97">NETWORKDAYS($JR$2,$KV$2)-SUM(COUNTIF(JR97:KV97,{"I";"F";"CP";"R";"P";"AC";"AM"}))</f>
        <v>22</v>
      </c>
      <c r="OJ97" s="138">
        <f t="shared" si="87"/>
        <v>0</v>
      </c>
      <c r="OK97" s="8">
        <f t="shared" si="88"/>
        <v>0</v>
      </c>
      <c r="OL97" s="351" cm="1">
        <f t="array" ref="OL97">NETWORKDAYS($KW$2,$LZ$2,$LG$2)-SUM(COUNTIF(KW97:LZ97,{"I";"F";"CP";"R";"P";"AC";"AM"}))</f>
        <v>19</v>
      </c>
      <c r="OM97" s="138">
        <f t="shared" si="89"/>
        <v>0</v>
      </c>
      <c r="ON97" s="8">
        <f t="shared" si="90"/>
        <v>0</v>
      </c>
      <c r="OO97" s="351" cm="1">
        <f t="array" ref="OO97">NETWORKDAYS($MA$2,$MR$2)-SUM(COUNTIF(MA97:MR97,{"I";"F";"CP";"R";"P";"AC";"AM"}))</f>
        <v>14</v>
      </c>
      <c r="OP97" s="138">
        <f t="shared" si="91"/>
        <v>0</v>
      </c>
      <c r="OQ97" s="94">
        <f t="shared" si="92"/>
        <v>18</v>
      </c>
      <c r="OR97" s="94">
        <f t="shared" si="93"/>
        <v>173</v>
      </c>
      <c r="OS97" s="138">
        <f t="shared" si="94"/>
        <v>0.10404624277456648</v>
      </c>
    </row>
    <row r="98" spans="1:409" ht="18" customHeight="1" x14ac:dyDescent="0.25">
      <c r="A98" s="95" t="s">
        <v>181</v>
      </c>
      <c r="B98" s="95" t="s">
        <v>34</v>
      </c>
      <c r="C98" s="89" t="s">
        <v>160</v>
      </c>
      <c r="D98" s="89" t="s">
        <v>273</v>
      </c>
      <c r="E98" s="128"/>
      <c r="F98" s="110"/>
      <c r="G98" s="110"/>
      <c r="H98" s="110"/>
      <c r="I98" s="25" t="s">
        <v>223</v>
      </c>
      <c r="J98" s="25" t="s">
        <v>223</v>
      </c>
      <c r="K98" s="25" t="s">
        <v>223</v>
      </c>
      <c r="L98" s="25" t="s">
        <v>223</v>
      </c>
      <c r="M98" s="25" t="s">
        <v>223</v>
      </c>
      <c r="N98" s="110"/>
      <c r="O98" s="110"/>
      <c r="P98" s="25"/>
      <c r="Q98" s="25">
        <v>1</v>
      </c>
      <c r="R98" s="25">
        <v>1</v>
      </c>
      <c r="S98" s="25" t="s">
        <v>447</v>
      </c>
      <c r="T98" s="25">
        <v>1</v>
      </c>
      <c r="U98" s="110"/>
      <c r="V98" s="110"/>
      <c r="W98" s="25">
        <v>1</v>
      </c>
      <c r="X98" s="25"/>
      <c r="Y98" s="25">
        <v>1</v>
      </c>
      <c r="Z98" s="25">
        <v>1</v>
      </c>
      <c r="AA98" s="25">
        <v>1</v>
      </c>
      <c r="AB98" s="110"/>
      <c r="AC98" s="110"/>
      <c r="AD98" s="25">
        <v>1</v>
      </c>
      <c r="AE98" s="25">
        <v>1</v>
      </c>
      <c r="AF98" s="25">
        <v>1</v>
      </c>
      <c r="AG98" s="25"/>
      <c r="AH98" s="25">
        <v>1</v>
      </c>
      <c r="AI98" s="110"/>
      <c r="AJ98" s="110"/>
      <c r="AK98" s="25">
        <v>1</v>
      </c>
      <c r="AL98" s="25">
        <v>1</v>
      </c>
      <c r="AM98" s="25">
        <v>1</v>
      </c>
      <c r="AN98" s="25">
        <v>1</v>
      </c>
      <c r="AO98" s="25">
        <v>1</v>
      </c>
      <c r="AP98" s="110"/>
      <c r="AQ98" s="110"/>
      <c r="AR98" s="25">
        <v>1</v>
      </c>
      <c r="AS98" s="25"/>
      <c r="AT98" s="25" t="s">
        <v>447</v>
      </c>
      <c r="AV98" s="25"/>
      <c r="AW98" s="110"/>
      <c r="AX98" s="110"/>
      <c r="AY98" s="25">
        <v>1</v>
      </c>
      <c r="AZ98" s="25"/>
      <c r="BA98" s="25">
        <v>1</v>
      </c>
      <c r="BB98" s="25">
        <v>1</v>
      </c>
      <c r="BC98" s="25">
        <v>1</v>
      </c>
      <c r="BD98" s="110"/>
      <c r="BE98" s="110"/>
      <c r="BF98" s="25">
        <v>1</v>
      </c>
      <c r="BG98" s="25">
        <v>1</v>
      </c>
      <c r="BH98" s="25">
        <v>1</v>
      </c>
      <c r="BI98" s="25">
        <v>1</v>
      </c>
      <c r="BJ98" s="25">
        <v>1</v>
      </c>
      <c r="BK98" s="110"/>
      <c r="BL98" s="110"/>
      <c r="BM98" s="25">
        <v>1</v>
      </c>
      <c r="BN98" s="25">
        <v>1</v>
      </c>
      <c r="BO98" s="25">
        <v>1</v>
      </c>
      <c r="BP98" s="25">
        <v>1</v>
      </c>
      <c r="BQ98" s="25"/>
      <c r="BR98" s="110"/>
      <c r="BS98" s="110"/>
      <c r="BT98" s="25">
        <v>1</v>
      </c>
      <c r="BU98" s="25">
        <v>1</v>
      </c>
      <c r="BV98" s="25">
        <v>1</v>
      </c>
      <c r="BW98" s="25">
        <v>1</v>
      </c>
      <c r="BX98" s="25">
        <v>1</v>
      </c>
      <c r="BY98" s="110"/>
      <c r="BZ98" s="110"/>
      <c r="CA98" s="25">
        <v>1</v>
      </c>
      <c r="CB98" s="25">
        <v>1</v>
      </c>
      <c r="CC98" s="25">
        <v>1</v>
      </c>
      <c r="CD98" s="25">
        <v>1</v>
      </c>
      <c r="CE98" s="25">
        <v>1</v>
      </c>
      <c r="CF98" s="110"/>
      <c r="CG98" s="110"/>
      <c r="CH98" s="25">
        <v>1</v>
      </c>
      <c r="CI98" s="25">
        <v>1</v>
      </c>
      <c r="CJ98" s="25">
        <v>1</v>
      </c>
      <c r="CK98" s="25">
        <v>1</v>
      </c>
      <c r="CL98" s="25" t="s">
        <v>445</v>
      </c>
      <c r="CM98" s="110"/>
      <c r="CN98" s="110"/>
      <c r="CO98" s="25">
        <v>1</v>
      </c>
      <c r="CP98" s="25">
        <v>1</v>
      </c>
      <c r="CQ98" s="25">
        <v>1</v>
      </c>
      <c r="CR98" s="25">
        <v>1</v>
      </c>
      <c r="CS98" s="25">
        <v>1</v>
      </c>
      <c r="CT98" s="110"/>
      <c r="CU98" s="110"/>
      <c r="CV98" s="110"/>
      <c r="CW98" s="25">
        <v>1</v>
      </c>
      <c r="CX98" s="25">
        <v>1</v>
      </c>
      <c r="CY98" s="25">
        <v>1</v>
      </c>
      <c r="CZ98" s="25">
        <v>1</v>
      </c>
      <c r="DA98" s="110"/>
      <c r="DB98" s="110"/>
      <c r="DC98" s="25"/>
      <c r="DD98" s="25">
        <v>1</v>
      </c>
      <c r="DE98" s="25">
        <v>1</v>
      </c>
      <c r="DF98" s="25">
        <v>1</v>
      </c>
      <c r="DG98" s="25">
        <v>1</v>
      </c>
      <c r="DH98" s="110"/>
      <c r="DI98" s="110"/>
      <c r="DJ98" s="25">
        <v>1</v>
      </c>
      <c r="DK98" s="25">
        <v>1</v>
      </c>
      <c r="DL98" s="25">
        <v>1</v>
      </c>
      <c r="DM98" s="25">
        <v>1</v>
      </c>
      <c r="DN98" s="25">
        <v>1</v>
      </c>
      <c r="DO98" s="110"/>
      <c r="DP98" s="110"/>
      <c r="DQ98" s="25">
        <v>1</v>
      </c>
      <c r="DR98" s="25">
        <v>1</v>
      </c>
      <c r="DS98" s="25">
        <v>1</v>
      </c>
      <c r="DT98" s="25"/>
      <c r="DU98" s="110" t="s">
        <v>445</v>
      </c>
      <c r="DV98" s="110"/>
      <c r="DW98" s="110"/>
      <c r="DX98" s="25"/>
      <c r="DY98" s="25">
        <v>1</v>
      </c>
      <c r="DZ98" s="25">
        <v>1</v>
      </c>
      <c r="EA98" s="25">
        <v>1</v>
      </c>
      <c r="EB98" s="110" t="s">
        <v>445</v>
      </c>
      <c r="EC98" s="110"/>
      <c r="ED98" s="110"/>
      <c r="EE98" s="25" t="s">
        <v>223</v>
      </c>
      <c r="EF98" s="25" t="s">
        <v>223</v>
      </c>
      <c r="EG98" s="25" t="s">
        <v>223</v>
      </c>
      <c r="EH98" s="110" t="s">
        <v>445</v>
      </c>
      <c r="EI98" s="110" t="s">
        <v>445</v>
      </c>
      <c r="EJ98" s="110"/>
      <c r="EK98" s="110"/>
      <c r="EL98" s="25">
        <v>1</v>
      </c>
      <c r="EM98" s="25"/>
      <c r="EN98" s="25"/>
      <c r="EO98" s="25"/>
      <c r="EP98" s="25"/>
      <c r="EQ98" s="110"/>
      <c r="ER98" s="110"/>
      <c r="ES98" s="110" t="s">
        <v>445</v>
      </c>
      <c r="ET98" s="25"/>
      <c r="EU98" s="25"/>
      <c r="EV98" s="25"/>
      <c r="EW98" s="25"/>
      <c r="EX98" s="110"/>
      <c r="EY98" s="110"/>
      <c r="EZ98" s="25"/>
      <c r="FA98" s="25"/>
      <c r="FB98" s="25"/>
      <c r="FC98" s="25"/>
      <c r="FD98" s="25"/>
      <c r="FE98" s="110"/>
      <c r="FF98" s="110"/>
      <c r="FG98" s="25"/>
      <c r="FH98" s="25"/>
      <c r="FI98" s="25"/>
      <c r="FJ98" s="25"/>
      <c r="FK98" s="25"/>
      <c r="FL98" s="110"/>
      <c r="FM98" s="110"/>
      <c r="FN98" s="25"/>
      <c r="FO98" s="25"/>
      <c r="FP98" s="25"/>
      <c r="FQ98" s="25"/>
      <c r="FR98" s="25"/>
      <c r="FS98" s="110"/>
      <c r="FT98" s="110"/>
      <c r="FU98" s="25"/>
      <c r="FV98" s="25"/>
      <c r="FW98" s="25"/>
      <c r="FX98" s="25"/>
      <c r="FY98" s="25"/>
      <c r="FZ98" s="110"/>
      <c r="GA98" s="110"/>
      <c r="GB98" s="25"/>
      <c r="GC98" s="25"/>
      <c r="GD98" s="25"/>
      <c r="GE98" s="25"/>
      <c r="GF98" s="25"/>
      <c r="GG98" s="110"/>
      <c r="GH98" s="110"/>
      <c r="GI98" s="25"/>
      <c r="GJ98" s="25"/>
      <c r="GK98" s="25"/>
      <c r="GL98" s="25"/>
      <c r="GM98" s="25"/>
      <c r="GN98" s="110"/>
      <c r="GO98" s="110"/>
      <c r="GP98" s="110" t="s">
        <v>445</v>
      </c>
      <c r="GQ98" s="110"/>
      <c r="GR98" s="25"/>
      <c r="GS98" s="25"/>
      <c r="GT98" s="25"/>
      <c r="GU98" s="110"/>
      <c r="GV98" s="110"/>
      <c r="GW98" s="25"/>
      <c r="GX98" s="25"/>
      <c r="GY98" s="25"/>
      <c r="GZ98" s="25"/>
      <c r="HA98" s="25"/>
      <c r="HB98" s="110"/>
      <c r="HC98" s="110"/>
      <c r="HD98" s="25"/>
      <c r="HE98" s="25"/>
      <c r="HF98" s="25"/>
      <c r="HG98" s="25"/>
      <c r="HH98" s="25"/>
      <c r="HI98" s="110"/>
      <c r="HJ98" s="110"/>
      <c r="HK98" s="25"/>
      <c r="HL98" s="25"/>
      <c r="HM98" s="25"/>
      <c r="HN98" s="25"/>
      <c r="HO98" s="25"/>
      <c r="HP98" s="110"/>
      <c r="HQ98" s="110"/>
      <c r="HR98" s="25"/>
      <c r="HS98" s="25"/>
      <c r="HT98" s="25"/>
      <c r="HU98" s="25"/>
      <c r="HV98" s="25"/>
      <c r="HW98" s="110"/>
      <c r="HX98" s="110"/>
      <c r="HY98" s="25"/>
      <c r="HZ98" s="25"/>
      <c r="IA98" s="25"/>
      <c r="IB98" s="25"/>
      <c r="IC98" s="25"/>
      <c r="ID98" s="110"/>
      <c r="IE98" s="110"/>
      <c r="IF98" s="25"/>
      <c r="IG98" s="25"/>
      <c r="IH98" s="25"/>
      <c r="II98" s="25"/>
      <c r="IJ98" s="25"/>
      <c r="IK98" s="110"/>
      <c r="IL98" s="110"/>
      <c r="IM98" s="25"/>
      <c r="IN98" s="25"/>
      <c r="IO98" s="25"/>
      <c r="IP98" s="25"/>
      <c r="IQ98" s="25"/>
      <c r="IR98" s="110"/>
      <c r="IS98" s="110"/>
      <c r="IT98" s="25"/>
      <c r="IU98" s="25"/>
      <c r="IV98" s="25"/>
      <c r="IW98" s="25"/>
      <c r="IX98" s="25"/>
      <c r="IY98" s="110"/>
      <c r="IZ98" s="110"/>
      <c r="JA98" s="25"/>
      <c r="JB98" s="25"/>
      <c r="JC98" s="25"/>
      <c r="JD98" s="25"/>
      <c r="JE98" s="25"/>
      <c r="JF98" s="110"/>
      <c r="JG98" s="110"/>
      <c r="JH98" s="25"/>
      <c r="JI98" s="25"/>
      <c r="JJ98" s="25"/>
      <c r="JK98" s="25"/>
      <c r="JL98" s="25"/>
      <c r="JM98" s="110"/>
      <c r="JN98" s="110"/>
      <c r="JO98" s="25"/>
      <c r="JP98" s="25"/>
      <c r="JQ98" s="25"/>
      <c r="JR98" s="25"/>
      <c r="JS98" s="25"/>
      <c r="JT98" s="110"/>
      <c r="JU98" s="110"/>
      <c r="JV98" s="25"/>
      <c r="JW98" s="25"/>
      <c r="JX98" s="25"/>
      <c r="JY98" s="25"/>
      <c r="JZ98" s="25"/>
      <c r="KA98" s="110"/>
      <c r="KB98" s="110"/>
      <c r="KC98" s="25"/>
      <c r="KD98" s="25"/>
      <c r="KE98" s="25"/>
      <c r="KF98" s="25"/>
      <c r="KG98" s="25"/>
      <c r="KH98" s="110"/>
      <c r="KI98" s="110"/>
      <c r="KJ98" s="25"/>
      <c r="KK98" s="25"/>
      <c r="KL98" s="25"/>
      <c r="KM98" s="25"/>
      <c r="KN98" s="25"/>
      <c r="KO98" s="110"/>
      <c r="KP98" s="110"/>
      <c r="KQ98" s="25"/>
      <c r="KR98" s="25"/>
      <c r="KS98" s="25"/>
      <c r="KT98" s="25"/>
      <c r="KU98" s="25"/>
      <c r="KV98" s="110"/>
      <c r="KW98" s="110"/>
      <c r="KX98" s="25"/>
      <c r="KY98" s="25"/>
      <c r="KZ98" s="25"/>
      <c r="LA98" s="25"/>
      <c r="LB98" s="25"/>
      <c r="LC98" s="110"/>
      <c r="LD98" s="110"/>
      <c r="LE98" s="25"/>
      <c r="LF98" s="25"/>
      <c r="LG98" s="110" t="s">
        <v>445</v>
      </c>
      <c r="LH98" s="25"/>
      <c r="LI98" s="25"/>
      <c r="LJ98" s="110"/>
      <c r="LK98" s="110"/>
      <c r="LL98" s="25"/>
      <c r="LM98" s="25"/>
      <c r="LN98" s="25"/>
      <c r="LO98" s="25"/>
      <c r="LP98" s="25"/>
      <c r="LQ98" s="110"/>
      <c r="LR98" s="110"/>
      <c r="LS98" s="25"/>
      <c r="LT98" s="25"/>
      <c r="LU98" s="25"/>
      <c r="LV98" s="25"/>
      <c r="LW98" s="25"/>
      <c r="LX98" s="110"/>
      <c r="LY98" s="110"/>
      <c r="LZ98" s="25"/>
      <c r="MA98" s="25"/>
      <c r="MB98" s="25"/>
      <c r="MC98" s="25"/>
      <c r="MD98" s="25"/>
      <c r="ME98" s="110"/>
      <c r="MF98" s="110"/>
      <c r="MG98" s="25"/>
      <c r="MH98" s="25"/>
      <c r="MI98" s="25"/>
      <c r="MJ98" s="25"/>
      <c r="MK98" s="25"/>
      <c r="ML98" s="110"/>
      <c r="MM98" s="110"/>
      <c r="MN98" s="25"/>
      <c r="MO98" s="25"/>
      <c r="MP98" s="25"/>
      <c r="MQ98" s="25"/>
      <c r="MR98" s="25"/>
      <c r="MS98" s="110"/>
      <c r="MT98" s="110"/>
      <c r="MU98" s="25"/>
      <c r="MV98" s="25"/>
      <c r="MW98" s="25"/>
      <c r="MX98" s="25"/>
      <c r="MY98" s="25"/>
      <c r="MZ98" s="110"/>
      <c r="NA98" s="110"/>
      <c r="NB98" s="25"/>
      <c r="NC98" s="25"/>
      <c r="ND98" s="25"/>
      <c r="NE98" s="129"/>
      <c r="NF98" s="111"/>
      <c r="NG98" s="8">
        <f t="shared" si="72"/>
        <v>11</v>
      </c>
      <c r="NH98" s="351" cm="1">
        <f t="array" ref="NH98">NETWORKDAYS($I$2,$AH$2)- SUM(COUNTIF(I98:AH98,{"I";"F";"CP";"R";"P";"AC";"AM"}))</f>
        <v>14</v>
      </c>
      <c r="NI98" s="138">
        <f t="shared" si="67"/>
        <v>0.7857142857142857</v>
      </c>
      <c r="NJ98" s="8">
        <f t="shared" si="73"/>
        <v>15</v>
      </c>
      <c r="NK98" s="351" cm="1">
        <f t="array" ref="NK98">NETWORKDAYS($AJ$2,$BK$2)- SUM(COUNTIF(AJ98:BK98,{"I";"F";"CP";"R";"P";"AC";"AM"}))</f>
        <v>19</v>
      </c>
      <c r="NL98" s="138">
        <f t="shared" si="68"/>
        <v>0.78947368421052633</v>
      </c>
      <c r="NM98" s="8">
        <f t="shared" si="74"/>
        <v>20</v>
      </c>
      <c r="NN98" s="351" cm="1">
        <f t="array" ref="NN98">NETWORKDAYS($BL$2,$CP$2)- SUM(COUNTIF(BL98:CP98,{"I";"F";"CP";"R";"P";"AC";"AM"}))</f>
        <v>21</v>
      </c>
      <c r="NO98" s="138">
        <f t="shared" si="69"/>
        <v>0.95238095238095233</v>
      </c>
      <c r="NP98" s="8">
        <f t="shared" si="75"/>
        <v>19</v>
      </c>
      <c r="NQ98" s="351" cm="1">
        <f t="array" ref="NQ98">NETWORKDAYS($CQ$2,$DT$2,$CV$2)- SUM(COUNTIF(CQ98:DT98,{"I";"F";"CP";"R";"P";"AC";"AM"}))</f>
        <v>21</v>
      </c>
      <c r="NR98" s="138">
        <f t="shared" si="70"/>
        <v>0.90476190476190477</v>
      </c>
      <c r="NS98" s="8">
        <f t="shared" si="76"/>
        <v>4</v>
      </c>
      <c r="NT98" s="351" cm="1">
        <f t="array" ref="NT98">NETWORKDAYS($DV$2,$EY$2)-SUM(COUNTIF(DV98:EY98,{"I";"F";"CP";"R";"P";"AC";"AM"}))</f>
        <v>13</v>
      </c>
      <c r="NU98" s="138">
        <f t="shared" si="71"/>
        <v>0.30769230769230771</v>
      </c>
      <c r="NV98" s="8">
        <f t="shared" si="78"/>
        <v>0</v>
      </c>
      <c r="NW98" s="351" cm="1">
        <f t="array" ref="NW98">NETWORKDAYS($EZ$2,$GC$2)-SUM(COUNTIF(EZ98:GC98,{"I";"F";"CP";"R";"P";"AC";"AM"}))</f>
        <v>22</v>
      </c>
      <c r="NX98" s="138">
        <f t="shared" si="79"/>
        <v>0</v>
      </c>
      <c r="NY98" s="8">
        <f t="shared" si="80"/>
        <v>0</v>
      </c>
      <c r="NZ98" s="351" cm="1">
        <f t="array" ref="NZ98">NETWORKDAYS($GD$2,$HH$2,$GQ$2)-SUM(COUNTIF(GD98:HH98,{"I";"F";"CP";"R";"P";"AC";"AM"}))</f>
        <v>21</v>
      </c>
      <c r="OA98" s="138">
        <f t="shared" si="81"/>
        <v>0</v>
      </c>
      <c r="OB98" s="8">
        <f t="shared" si="82"/>
        <v>0</v>
      </c>
      <c r="OC98" s="351" cm="1">
        <f t="array" ref="OC98">NETWORKDAYS($HI$2,$IM$2)-SUM(COUNTIF(HI98:IM98,{"I";"F";"CP";"R";"P";"AC";"AM"}))</f>
        <v>21</v>
      </c>
      <c r="OD98" s="138">
        <f t="shared" si="83"/>
        <v>0</v>
      </c>
      <c r="OE98" s="8">
        <f t="shared" si="84"/>
        <v>0</v>
      </c>
      <c r="OF98" s="351" cm="1">
        <f t="array" ref="OF98">NETWORKDAYS($IN$2,$JQ$2)-SUM(COUNTIF(IN98:JQ98,{"I";"F";"CP";"R";"P";"AC";"AM"}))</f>
        <v>22</v>
      </c>
      <c r="OG98" s="138">
        <f t="shared" si="85"/>
        <v>0</v>
      </c>
      <c r="OH98" s="8">
        <f t="shared" si="86"/>
        <v>0</v>
      </c>
      <c r="OI98" s="351" cm="1">
        <f t="array" ref="OI98">NETWORKDAYS($JR$2,$KV$2)-SUM(COUNTIF(JR98:KV98,{"I";"F";"CP";"R";"P";"AC";"AM"}))</f>
        <v>22</v>
      </c>
      <c r="OJ98" s="138">
        <f t="shared" si="87"/>
        <v>0</v>
      </c>
      <c r="OK98" s="8">
        <f t="shared" si="88"/>
        <v>0</v>
      </c>
      <c r="OL98" s="351" cm="1">
        <f t="array" ref="OL98">NETWORKDAYS($KW$2,$LZ$2,$LG$2)-SUM(COUNTIF(KW98:LZ98,{"I";"F";"CP";"R";"P";"AC";"AM"}))</f>
        <v>19</v>
      </c>
      <c r="OM98" s="138">
        <f t="shared" si="89"/>
        <v>0</v>
      </c>
      <c r="ON98" s="8">
        <f t="shared" si="90"/>
        <v>0</v>
      </c>
      <c r="OO98" s="351" cm="1">
        <f t="array" ref="OO98">NETWORKDAYS($MA$2,$MR$2)-SUM(COUNTIF(MA98:MR98,{"I";"F";"CP";"R";"P";"AC";"AM"}))</f>
        <v>14</v>
      </c>
      <c r="OP98" s="138">
        <f t="shared" si="91"/>
        <v>0</v>
      </c>
      <c r="OQ98" s="94">
        <f t="shared" si="92"/>
        <v>69</v>
      </c>
      <c r="OR98" s="94">
        <f t="shared" si="93"/>
        <v>229</v>
      </c>
      <c r="OS98" s="138">
        <f t="shared" si="94"/>
        <v>0.30131004366812225</v>
      </c>
    </row>
    <row r="99" spans="1:409" ht="18" hidden="1" customHeight="1" x14ac:dyDescent="0.25">
      <c r="A99" s="95" t="s">
        <v>168</v>
      </c>
      <c r="B99" s="95" t="s">
        <v>168</v>
      </c>
      <c r="C99" s="89" t="s">
        <v>166</v>
      </c>
      <c r="D99" s="89" t="s">
        <v>460</v>
      </c>
      <c r="E99" s="128"/>
      <c r="F99" s="110"/>
      <c r="G99" s="110"/>
      <c r="H99" s="110"/>
      <c r="I99" s="25"/>
      <c r="J99" s="25"/>
      <c r="K99" s="25"/>
      <c r="L99" s="25"/>
      <c r="M99" s="25"/>
      <c r="N99" s="110"/>
      <c r="O99" s="110"/>
      <c r="P99" s="25"/>
      <c r="Q99" s="25"/>
      <c r="R99" s="25"/>
      <c r="S99" s="25"/>
      <c r="T99" s="25"/>
      <c r="U99" s="110"/>
      <c r="V99" s="110"/>
      <c r="W99" s="25"/>
      <c r="X99" s="25"/>
      <c r="Y99" s="25"/>
      <c r="Z99" s="25"/>
      <c r="AA99" s="25"/>
      <c r="AB99" s="110"/>
      <c r="AC99" s="110"/>
      <c r="AD99" s="25"/>
      <c r="AE99" s="25"/>
      <c r="AF99" s="25"/>
      <c r="AG99" s="25"/>
      <c r="AH99" s="25"/>
      <c r="AI99" s="110"/>
      <c r="AJ99" s="110"/>
      <c r="AK99" s="25"/>
      <c r="AL99" s="25"/>
      <c r="AM99" s="25"/>
      <c r="AN99" s="25"/>
      <c r="AO99" s="25"/>
      <c r="AP99" s="110"/>
      <c r="AQ99" s="110"/>
      <c r="AR99" s="25"/>
      <c r="AS99" s="25"/>
      <c r="AT99" s="25"/>
      <c r="AU99" s="25"/>
      <c r="AV99" s="25"/>
      <c r="AW99" s="110"/>
      <c r="AX99" s="110"/>
      <c r="AY99" s="25"/>
      <c r="AZ99" s="25"/>
      <c r="BA99" s="25"/>
      <c r="BB99" s="25"/>
      <c r="BC99" s="25"/>
      <c r="BD99" s="110"/>
      <c r="BE99" s="110"/>
      <c r="BF99" s="25"/>
      <c r="BG99" s="25"/>
      <c r="BH99" s="25"/>
      <c r="BI99" s="25"/>
      <c r="BJ99" s="25"/>
      <c r="BK99" s="110"/>
      <c r="BL99" s="110"/>
      <c r="BM99" s="25"/>
      <c r="BN99" s="25"/>
      <c r="BO99" s="25"/>
      <c r="BP99" s="25"/>
      <c r="BQ99" s="25"/>
      <c r="BR99" s="110"/>
      <c r="BS99" s="110"/>
      <c r="BT99" s="25"/>
      <c r="BU99" s="25"/>
      <c r="BV99" s="25"/>
      <c r="BW99" s="25"/>
      <c r="BX99" s="25"/>
      <c r="BY99" s="110"/>
      <c r="BZ99" s="110"/>
      <c r="CA99" s="25"/>
      <c r="CB99" s="25"/>
      <c r="CC99" s="25"/>
      <c r="CD99" s="25"/>
      <c r="CE99" s="25"/>
      <c r="CF99" s="110"/>
      <c r="CG99" s="110"/>
      <c r="CH99" s="25"/>
      <c r="CI99" s="25"/>
      <c r="CJ99" s="25"/>
      <c r="CK99" s="25"/>
      <c r="CL99" s="25"/>
      <c r="CM99" s="110"/>
      <c r="CN99" s="110"/>
      <c r="CO99" s="25" t="s">
        <v>445</v>
      </c>
      <c r="CP99" s="25" t="s">
        <v>445</v>
      </c>
      <c r="CQ99" s="25"/>
      <c r="CR99" s="25"/>
      <c r="CS99" s="25"/>
      <c r="CT99" s="110"/>
      <c r="CU99" s="110"/>
      <c r="CV99" s="110"/>
      <c r="CW99" s="25"/>
      <c r="CX99" s="25"/>
      <c r="CY99" s="25"/>
      <c r="CZ99" s="25"/>
      <c r="DA99" s="110"/>
      <c r="DB99" s="110"/>
      <c r="DC99" s="25"/>
      <c r="DD99" s="25"/>
      <c r="DE99" s="25"/>
      <c r="DF99" s="25"/>
      <c r="DG99" s="25"/>
      <c r="DH99" s="110"/>
      <c r="DI99" s="110"/>
      <c r="DJ99" s="25"/>
      <c r="DK99" s="25"/>
      <c r="DL99" s="25"/>
      <c r="DM99" s="25"/>
      <c r="DN99" s="25"/>
      <c r="DO99" s="110"/>
      <c r="DP99" s="110"/>
      <c r="DQ99" s="25"/>
      <c r="DR99" s="25"/>
      <c r="DS99" s="25"/>
      <c r="DT99" s="25"/>
      <c r="DU99" s="110"/>
      <c r="DV99" s="110"/>
      <c r="DW99" s="110"/>
      <c r="DX99" s="25"/>
      <c r="DY99" s="25"/>
      <c r="DZ99" s="25"/>
      <c r="EA99" s="25"/>
      <c r="EB99" s="110"/>
      <c r="EC99" s="110"/>
      <c r="ED99" s="110"/>
      <c r="EE99" s="25"/>
      <c r="EF99" s="25"/>
      <c r="EG99" s="25"/>
      <c r="EH99" s="110"/>
      <c r="EI99" s="110"/>
      <c r="EJ99" s="110"/>
      <c r="EK99" s="110"/>
      <c r="EL99" s="25"/>
      <c r="EM99" s="25"/>
      <c r="EN99" s="25"/>
      <c r="EO99" s="25"/>
      <c r="EP99" s="25"/>
      <c r="EQ99" s="110"/>
      <c r="ER99" s="110"/>
      <c r="ES99" s="110"/>
      <c r="ET99" s="25"/>
      <c r="EU99" s="25"/>
      <c r="EV99" s="25"/>
      <c r="EW99" s="25"/>
      <c r="EX99" s="110"/>
      <c r="EY99" s="110"/>
      <c r="EZ99" s="25"/>
      <c r="FA99" s="25"/>
      <c r="FB99" s="25"/>
      <c r="FC99" s="25"/>
      <c r="FD99" s="25"/>
      <c r="FE99" s="110"/>
      <c r="FF99" s="110"/>
      <c r="FG99" s="25"/>
      <c r="FH99" s="25"/>
      <c r="FI99" s="25"/>
      <c r="FJ99" s="25"/>
      <c r="FK99" s="25"/>
      <c r="FL99" s="110"/>
      <c r="FM99" s="110"/>
      <c r="FN99" s="25"/>
      <c r="FO99" s="25"/>
      <c r="FP99" s="25"/>
      <c r="FQ99" s="25"/>
      <c r="FR99" s="25"/>
      <c r="FS99" s="110"/>
      <c r="FT99" s="110"/>
      <c r="FU99" s="25"/>
      <c r="FV99" s="25"/>
      <c r="FW99" s="25"/>
      <c r="FX99" s="25"/>
      <c r="FY99" s="25"/>
      <c r="FZ99" s="110"/>
      <c r="GA99" s="110"/>
      <c r="GB99" s="25"/>
      <c r="GC99" s="25"/>
      <c r="GD99" s="25"/>
      <c r="GE99" s="25"/>
      <c r="GF99" s="25"/>
      <c r="GG99" s="110"/>
      <c r="GH99" s="110"/>
      <c r="GI99" s="25"/>
      <c r="GJ99" s="25"/>
      <c r="GK99" s="25"/>
      <c r="GL99" s="25"/>
      <c r="GM99" s="25"/>
      <c r="GN99" s="110"/>
      <c r="GO99" s="110"/>
      <c r="GP99" s="110"/>
      <c r="GQ99" s="110"/>
      <c r="GR99" s="25"/>
      <c r="GS99" s="25"/>
      <c r="GT99" s="25"/>
      <c r="GU99" s="110"/>
      <c r="GV99" s="110"/>
      <c r="GW99" s="25"/>
      <c r="GX99" s="25"/>
      <c r="GY99" s="25"/>
      <c r="GZ99" s="25"/>
      <c r="HA99" s="25"/>
      <c r="HB99" s="110"/>
      <c r="HC99" s="110"/>
      <c r="HD99" s="25"/>
      <c r="HE99" s="25"/>
      <c r="HF99" s="25"/>
      <c r="HG99" s="25"/>
      <c r="HH99" s="25"/>
      <c r="HI99" s="110"/>
      <c r="HJ99" s="110"/>
      <c r="HK99" s="25"/>
      <c r="HL99" s="25"/>
      <c r="HM99" s="25"/>
      <c r="HN99" s="25"/>
      <c r="HO99" s="25"/>
      <c r="HP99" s="110"/>
      <c r="HQ99" s="110"/>
      <c r="HR99" s="25"/>
      <c r="HS99" s="25"/>
      <c r="HT99" s="25"/>
      <c r="HU99" s="25"/>
      <c r="HV99" s="25"/>
      <c r="HW99" s="110"/>
      <c r="HX99" s="110"/>
      <c r="HY99" s="25"/>
      <c r="HZ99" s="25"/>
      <c r="IA99" s="25"/>
      <c r="IB99" s="25"/>
      <c r="IC99" s="25"/>
      <c r="ID99" s="110"/>
      <c r="IE99" s="110"/>
      <c r="IF99" s="25"/>
      <c r="IG99" s="25"/>
      <c r="IH99" s="25"/>
      <c r="II99" s="25"/>
      <c r="IJ99" s="25"/>
      <c r="IK99" s="110"/>
      <c r="IL99" s="110"/>
      <c r="IM99" s="25"/>
      <c r="IN99" s="25"/>
      <c r="IO99" s="25"/>
      <c r="IP99" s="25"/>
      <c r="IQ99" s="25"/>
      <c r="IR99" s="110"/>
      <c r="IS99" s="110"/>
      <c r="IT99" s="25"/>
      <c r="IU99" s="25"/>
      <c r="IV99" s="25"/>
      <c r="IW99" s="25"/>
      <c r="IX99" s="25"/>
      <c r="IY99" s="110"/>
      <c r="IZ99" s="110"/>
      <c r="JA99" s="25"/>
      <c r="JB99" s="25"/>
      <c r="JC99" s="25"/>
      <c r="JD99" s="25"/>
      <c r="JE99" s="25"/>
      <c r="JF99" s="110"/>
      <c r="JG99" s="110"/>
      <c r="JH99" s="25"/>
      <c r="JI99" s="25"/>
      <c r="JJ99" s="25"/>
      <c r="JK99" s="25"/>
      <c r="JL99" s="25"/>
      <c r="JM99" s="110"/>
      <c r="JN99" s="110"/>
      <c r="JO99" s="25"/>
      <c r="JP99" s="25"/>
      <c r="JQ99" s="25"/>
      <c r="JR99" s="25"/>
      <c r="JS99" s="25"/>
      <c r="JT99" s="110"/>
      <c r="JU99" s="110"/>
      <c r="JV99" s="25"/>
      <c r="JW99" s="25"/>
      <c r="JX99" s="25"/>
      <c r="JY99" s="25"/>
      <c r="JZ99" s="25"/>
      <c r="KA99" s="110"/>
      <c r="KB99" s="110"/>
      <c r="KC99" s="25"/>
      <c r="KD99" s="25"/>
      <c r="KE99" s="25"/>
      <c r="KF99" s="25"/>
      <c r="KG99" s="25"/>
      <c r="KH99" s="110"/>
      <c r="KI99" s="110"/>
      <c r="KJ99" s="25"/>
      <c r="KK99" s="25"/>
      <c r="KL99" s="25"/>
      <c r="KM99" s="25"/>
      <c r="KN99" s="25"/>
      <c r="KO99" s="110"/>
      <c r="KP99" s="110"/>
      <c r="KQ99" s="25"/>
      <c r="KR99" s="25"/>
      <c r="KS99" s="25"/>
      <c r="KT99" s="25"/>
      <c r="KU99" s="25"/>
      <c r="KV99" s="110"/>
      <c r="KW99" s="110"/>
      <c r="KX99" s="25"/>
      <c r="KY99" s="25"/>
      <c r="KZ99" s="25"/>
      <c r="LA99" s="25"/>
      <c r="LB99" s="25"/>
      <c r="LC99" s="110"/>
      <c r="LD99" s="110"/>
      <c r="LE99" s="25"/>
      <c r="LF99" s="25"/>
      <c r="LG99" s="110"/>
      <c r="LH99" s="25"/>
      <c r="LI99" s="25"/>
      <c r="LJ99" s="110"/>
      <c r="LK99" s="110"/>
      <c r="LL99" s="25"/>
      <c r="LM99" s="25"/>
      <c r="LN99" s="25"/>
      <c r="LO99" s="25"/>
      <c r="LP99" s="25"/>
      <c r="LQ99" s="110"/>
      <c r="LR99" s="110"/>
      <c r="LS99" s="25"/>
      <c r="LT99" s="25"/>
      <c r="LU99" s="25"/>
      <c r="LV99" s="25"/>
      <c r="LW99" s="25"/>
      <c r="LX99" s="110"/>
      <c r="LY99" s="110"/>
      <c r="LZ99" s="25"/>
      <c r="MA99" s="25"/>
      <c r="MB99" s="25"/>
      <c r="MC99" s="25"/>
      <c r="MD99" s="25"/>
      <c r="ME99" s="110"/>
      <c r="MF99" s="110"/>
      <c r="MG99" s="25"/>
      <c r="MH99" s="25"/>
      <c r="MI99" s="25"/>
      <c r="MJ99" s="25"/>
      <c r="MK99" s="25"/>
      <c r="ML99" s="110"/>
      <c r="MM99" s="110"/>
      <c r="MN99" s="25"/>
      <c r="MO99" s="25"/>
      <c r="MP99" s="25"/>
      <c r="MQ99" s="25"/>
      <c r="MR99" s="25"/>
      <c r="MS99" s="110"/>
      <c r="MT99" s="110"/>
      <c r="MU99" s="25"/>
      <c r="MV99" s="25"/>
      <c r="MW99" s="25"/>
      <c r="MX99" s="25"/>
      <c r="MY99" s="25"/>
      <c r="MZ99" s="110"/>
      <c r="NA99" s="110"/>
      <c r="NB99" s="25"/>
      <c r="NC99" s="25"/>
      <c r="ND99" s="25"/>
      <c r="NE99" s="129"/>
      <c r="NF99" s="111"/>
      <c r="NG99" s="8"/>
      <c r="NH99" s="351"/>
      <c r="NI99" s="138" t="str">
        <f t="shared" si="67"/>
        <v/>
      </c>
      <c r="NJ99" s="8"/>
      <c r="NK99" s="351"/>
      <c r="NL99" s="138" t="str">
        <f t="shared" si="68"/>
        <v/>
      </c>
      <c r="NM99" s="8"/>
      <c r="NN99" s="351"/>
      <c r="NO99" s="138" t="str">
        <f t="shared" si="69"/>
        <v/>
      </c>
      <c r="NP99" s="8"/>
      <c r="NQ99" s="351"/>
      <c r="NR99" s="138" t="str">
        <f t="shared" si="70"/>
        <v/>
      </c>
      <c r="NS99" s="8"/>
      <c r="NT99" s="351"/>
      <c r="NU99" s="138" t="str">
        <f t="shared" si="71"/>
        <v/>
      </c>
      <c r="NV99" s="8"/>
      <c r="NW99" s="351"/>
      <c r="NX99" s="138"/>
      <c r="NY99" s="8"/>
      <c r="NZ99" s="351"/>
      <c r="OA99" s="138"/>
      <c r="OB99" s="8"/>
      <c r="OC99" s="351"/>
      <c r="OD99" s="138"/>
      <c r="OE99" s="8"/>
      <c r="OF99" s="351"/>
      <c r="OG99" s="138"/>
      <c r="OH99" s="8"/>
      <c r="OI99" s="351"/>
      <c r="OJ99" s="138"/>
      <c r="OK99" s="8"/>
      <c r="OL99" s="351"/>
      <c r="OM99" s="138"/>
      <c r="ON99" s="8"/>
      <c r="OO99" s="351"/>
      <c r="OP99" s="138"/>
      <c r="OQ99" s="94"/>
      <c r="OR99" s="94"/>
      <c r="OS99" s="138"/>
    </row>
    <row r="100" spans="1:409" ht="18" hidden="1" customHeight="1" x14ac:dyDescent="0.25">
      <c r="A100" s="95" t="s">
        <v>192</v>
      </c>
      <c r="B100" s="95" t="s">
        <v>192</v>
      </c>
      <c r="C100" s="89" t="s">
        <v>160</v>
      </c>
      <c r="D100" s="89" t="s">
        <v>274</v>
      </c>
      <c r="E100" s="128"/>
      <c r="F100" s="110"/>
      <c r="G100" s="110"/>
      <c r="H100" s="110"/>
      <c r="I100" s="25"/>
      <c r="J100" s="25"/>
      <c r="K100" s="25"/>
      <c r="L100" s="25"/>
      <c r="M100" s="25"/>
      <c r="N100" s="110"/>
      <c r="O100" s="110"/>
      <c r="P100" s="25"/>
      <c r="Q100" s="25"/>
      <c r="R100" s="25"/>
      <c r="S100" s="25"/>
      <c r="T100" s="25"/>
      <c r="U100" s="110"/>
      <c r="V100" s="110"/>
      <c r="W100" s="25"/>
      <c r="X100" s="25"/>
      <c r="Y100" s="25"/>
      <c r="Z100" s="25"/>
      <c r="AA100" s="25"/>
      <c r="AB100" s="110"/>
      <c r="AC100" s="110"/>
      <c r="AD100" s="25"/>
      <c r="AE100" s="25"/>
      <c r="AF100" s="25"/>
      <c r="AG100" s="25"/>
      <c r="AH100" s="25"/>
      <c r="AI100" s="110"/>
      <c r="AJ100" s="110"/>
      <c r="AK100" s="25"/>
      <c r="AL100" s="25"/>
      <c r="AM100" s="25"/>
      <c r="AN100" s="25"/>
      <c r="AO100" s="25"/>
      <c r="AP100" s="110"/>
      <c r="AQ100" s="110"/>
      <c r="AR100" s="25"/>
      <c r="AS100" s="25"/>
      <c r="AT100" s="25"/>
      <c r="AV100" s="25"/>
      <c r="AW100" s="110"/>
      <c r="AX100" s="110"/>
      <c r="AY100" s="25"/>
      <c r="AZ100" s="25"/>
      <c r="BA100" s="25"/>
      <c r="BB100" s="25"/>
      <c r="BC100" s="25"/>
      <c r="BD100" s="110"/>
      <c r="BE100" s="110"/>
      <c r="BF100" s="25"/>
      <c r="BG100" s="25"/>
      <c r="BH100" s="25"/>
      <c r="BI100" s="25"/>
      <c r="BJ100" s="25"/>
      <c r="BK100" s="110"/>
      <c r="BL100" s="110"/>
      <c r="BM100" s="25"/>
      <c r="BN100" s="25"/>
      <c r="BO100" s="25"/>
      <c r="BP100" s="25"/>
      <c r="BQ100" s="25"/>
      <c r="BR100" s="110"/>
      <c r="BS100" s="110"/>
      <c r="BT100" s="25"/>
      <c r="BU100" s="25">
        <v>1</v>
      </c>
      <c r="BV100" s="25">
        <v>1</v>
      </c>
      <c r="BW100" s="25">
        <v>1</v>
      </c>
      <c r="BX100" s="25"/>
      <c r="BY100" s="110"/>
      <c r="BZ100" s="110"/>
      <c r="CA100" s="25"/>
      <c r="CB100" s="25">
        <v>1</v>
      </c>
      <c r="CC100" s="25">
        <v>1</v>
      </c>
      <c r="CD100" s="25">
        <v>1</v>
      </c>
      <c r="CE100" s="25">
        <v>1</v>
      </c>
      <c r="CF100" s="110"/>
      <c r="CG100" s="110"/>
      <c r="CH100" s="25">
        <v>1</v>
      </c>
      <c r="CI100" s="25">
        <v>1</v>
      </c>
      <c r="CJ100" s="25">
        <v>1</v>
      </c>
      <c r="CK100" s="25"/>
      <c r="CL100" s="25"/>
      <c r="CM100" s="110"/>
      <c r="CN100" s="110"/>
      <c r="CO100" s="25">
        <v>1</v>
      </c>
      <c r="CP100" s="25"/>
      <c r="CQ100" s="25"/>
      <c r="CR100" s="25"/>
      <c r="CS100" s="25"/>
      <c r="CT100" s="110"/>
      <c r="CU100" s="110"/>
      <c r="CV100" s="110"/>
      <c r="CW100" s="25"/>
      <c r="CX100" s="25"/>
      <c r="CY100" s="25"/>
      <c r="CZ100" s="25"/>
      <c r="DA100" s="110"/>
      <c r="DB100" s="110"/>
      <c r="DC100" s="25"/>
      <c r="DD100" s="25"/>
      <c r="DE100" s="25"/>
      <c r="DF100" s="25"/>
      <c r="DG100" s="25"/>
      <c r="DH100" s="110"/>
      <c r="DI100" s="110"/>
      <c r="DJ100" s="25"/>
      <c r="DK100" s="25">
        <v>1</v>
      </c>
      <c r="DL100" s="25"/>
      <c r="DM100" s="25"/>
      <c r="DN100" s="25">
        <v>1</v>
      </c>
      <c r="DO100" s="110"/>
      <c r="DP100" s="110"/>
      <c r="DQ100" s="25">
        <v>1</v>
      </c>
      <c r="DR100" s="25"/>
      <c r="DS100" s="25"/>
      <c r="DT100" s="25">
        <v>1</v>
      </c>
      <c r="DU100" s="110" t="s">
        <v>445</v>
      </c>
      <c r="DV100" s="110"/>
      <c r="DW100" s="110"/>
      <c r="DX100" s="25"/>
      <c r="DY100" s="25"/>
      <c r="DZ100" s="25"/>
      <c r="EA100" s="25"/>
      <c r="EB100" s="110" t="s">
        <v>445</v>
      </c>
      <c r="EC100" s="110"/>
      <c r="ED100" s="110"/>
      <c r="EE100" s="25"/>
      <c r="EF100" s="25"/>
      <c r="EG100" s="25"/>
      <c r="EH100" s="110" t="s">
        <v>445</v>
      </c>
      <c r="EI100" s="110" t="s">
        <v>445</v>
      </c>
      <c r="EJ100" s="110"/>
      <c r="EK100" s="110"/>
      <c r="EL100" s="25"/>
      <c r="EM100" s="25"/>
      <c r="EN100" s="25"/>
      <c r="EO100" s="25"/>
      <c r="EP100" s="25"/>
      <c r="EQ100" s="110"/>
      <c r="ER100" s="110"/>
      <c r="ES100" s="110" t="s">
        <v>445</v>
      </c>
      <c r="ET100" s="25"/>
      <c r="EU100" s="25"/>
      <c r="EV100" s="25"/>
      <c r="EW100" s="25"/>
      <c r="EX100" s="110"/>
      <c r="EY100" s="110"/>
      <c r="EZ100" s="25"/>
      <c r="FA100" s="25"/>
      <c r="FB100" s="25"/>
      <c r="FC100" s="25"/>
      <c r="FD100" s="25"/>
      <c r="FE100" s="110"/>
      <c r="FF100" s="110"/>
      <c r="FG100" s="25"/>
      <c r="FH100" s="25"/>
      <c r="FI100" s="25"/>
      <c r="FJ100" s="25"/>
      <c r="FK100" s="25"/>
      <c r="FL100" s="110"/>
      <c r="FM100" s="110"/>
      <c r="FN100" s="25"/>
      <c r="FO100" s="25"/>
      <c r="FP100" s="25"/>
      <c r="FQ100" s="25"/>
      <c r="FR100" s="25"/>
      <c r="FS100" s="110"/>
      <c r="FT100" s="110"/>
      <c r="FU100" s="25"/>
      <c r="FV100" s="25"/>
      <c r="FW100" s="25"/>
      <c r="FX100" s="25"/>
      <c r="FY100" s="25"/>
      <c r="FZ100" s="110"/>
      <c r="GA100" s="110"/>
      <c r="GB100" s="25"/>
      <c r="GC100" s="25"/>
      <c r="GD100" s="25"/>
      <c r="GE100" s="25"/>
      <c r="GF100" s="25"/>
      <c r="GG100" s="110"/>
      <c r="GH100" s="110"/>
      <c r="GI100" s="25"/>
      <c r="GJ100" s="25"/>
      <c r="GK100" s="25"/>
      <c r="GL100" s="25"/>
      <c r="GM100" s="25"/>
      <c r="GN100" s="110"/>
      <c r="GO100" s="110"/>
      <c r="GP100" s="110" t="s">
        <v>445</v>
      </c>
      <c r="GQ100" s="110"/>
      <c r="GR100" s="25"/>
      <c r="GS100" s="25"/>
      <c r="GT100" s="25"/>
      <c r="GU100" s="110"/>
      <c r="GV100" s="110"/>
      <c r="GW100" s="25"/>
      <c r="GX100" s="25"/>
      <c r="GY100" s="25"/>
      <c r="GZ100" s="25"/>
      <c r="HA100" s="25"/>
      <c r="HB100" s="110"/>
      <c r="HC100" s="110"/>
      <c r="HD100" s="25"/>
      <c r="HE100" s="25"/>
      <c r="HF100" s="25"/>
      <c r="HG100" s="25"/>
      <c r="HH100" s="25"/>
      <c r="HI100" s="110"/>
      <c r="HJ100" s="110"/>
      <c r="HK100" s="25"/>
      <c r="HL100" s="25"/>
      <c r="HM100" s="25"/>
      <c r="HN100" s="25"/>
      <c r="HO100" s="25"/>
      <c r="HP100" s="110"/>
      <c r="HQ100" s="110"/>
      <c r="HR100" s="25"/>
      <c r="HS100" s="25"/>
      <c r="HT100" s="25"/>
      <c r="HU100" s="25"/>
      <c r="HV100" s="25"/>
      <c r="HW100" s="110"/>
      <c r="HX100" s="110"/>
      <c r="HY100" s="25"/>
      <c r="HZ100" s="25"/>
      <c r="IA100" s="25"/>
      <c r="IB100" s="25"/>
      <c r="IC100" s="25"/>
      <c r="ID100" s="110"/>
      <c r="IE100" s="110"/>
      <c r="IF100" s="25"/>
      <c r="IG100" s="25"/>
      <c r="IH100" s="25"/>
      <c r="II100" s="25"/>
      <c r="IJ100" s="25"/>
      <c r="IK100" s="110"/>
      <c r="IL100" s="110"/>
      <c r="IM100" s="25"/>
      <c r="IN100" s="25"/>
      <c r="IO100" s="25"/>
      <c r="IP100" s="25"/>
      <c r="IQ100" s="25"/>
      <c r="IR100" s="110"/>
      <c r="IS100" s="110"/>
      <c r="IT100" s="25"/>
      <c r="IU100" s="25"/>
      <c r="IV100" s="25"/>
      <c r="IW100" s="25"/>
      <c r="IX100" s="25"/>
      <c r="IY100" s="110"/>
      <c r="IZ100" s="110"/>
      <c r="JA100" s="25"/>
      <c r="JB100" s="25"/>
      <c r="JC100" s="25"/>
      <c r="JD100" s="25"/>
      <c r="JE100" s="25"/>
      <c r="JF100" s="110"/>
      <c r="JG100" s="110"/>
      <c r="JH100" s="25"/>
      <c r="JI100" s="25"/>
      <c r="JJ100" s="25"/>
      <c r="JK100" s="25"/>
      <c r="JL100" s="25"/>
      <c r="JM100" s="110"/>
      <c r="JN100" s="110"/>
      <c r="JO100" s="25"/>
      <c r="JP100" s="25"/>
      <c r="JQ100" s="25"/>
      <c r="JR100" s="25"/>
      <c r="JS100" s="25"/>
      <c r="JT100" s="110"/>
      <c r="JU100" s="110"/>
      <c r="JV100" s="25"/>
      <c r="JW100" s="25"/>
      <c r="JX100" s="25"/>
      <c r="JY100" s="25"/>
      <c r="JZ100" s="25"/>
      <c r="KA100" s="110"/>
      <c r="KB100" s="110"/>
      <c r="KC100" s="25"/>
      <c r="KD100" s="25"/>
      <c r="KE100" s="25"/>
      <c r="KF100" s="25"/>
      <c r="KG100" s="25"/>
      <c r="KH100" s="110"/>
      <c r="KI100" s="110"/>
      <c r="KJ100" s="25"/>
      <c r="KK100" s="25"/>
      <c r="KL100" s="25"/>
      <c r="KM100" s="25"/>
      <c r="KN100" s="25"/>
      <c r="KO100" s="110"/>
      <c r="KP100" s="110"/>
      <c r="KQ100" s="25"/>
      <c r="KR100" s="25"/>
      <c r="KS100" s="25"/>
      <c r="KT100" s="25"/>
      <c r="KU100" s="25"/>
      <c r="KV100" s="110"/>
      <c r="KW100" s="110"/>
      <c r="KX100" s="25"/>
      <c r="KY100" s="25"/>
      <c r="KZ100" s="25"/>
      <c r="LA100" s="25"/>
      <c r="LB100" s="25"/>
      <c r="LC100" s="110"/>
      <c r="LD100" s="110"/>
      <c r="LE100" s="25"/>
      <c r="LF100" s="25"/>
      <c r="LG100" s="110" t="s">
        <v>445</v>
      </c>
      <c r="LH100" s="25"/>
      <c r="LI100" s="25"/>
      <c r="LJ100" s="110"/>
      <c r="LK100" s="110"/>
      <c r="LL100" s="25"/>
      <c r="LM100" s="25"/>
      <c r="LN100" s="25"/>
      <c r="LO100" s="25"/>
      <c r="LP100" s="25"/>
      <c r="LQ100" s="110"/>
      <c r="LR100" s="110"/>
      <c r="LS100" s="25"/>
      <c r="LT100" s="25"/>
      <c r="LU100" s="25"/>
      <c r="LV100" s="25"/>
      <c r="LW100" s="25"/>
      <c r="LX100" s="110"/>
      <c r="LY100" s="110"/>
      <c r="LZ100" s="25"/>
      <c r="MA100" s="25"/>
      <c r="MB100" s="25"/>
      <c r="MC100" s="25"/>
      <c r="MD100" s="25"/>
      <c r="ME100" s="110"/>
      <c r="MF100" s="110"/>
      <c r="MG100" s="25"/>
      <c r="MH100" s="25"/>
      <c r="MI100" s="25"/>
      <c r="MJ100" s="25"/>
      <c r="MK100" s="25"/>
      <c r="ML100" s="110"/>
      <c r="MM100" s="110"/>
      <c r="MN100" s="25"/>
      <c r="MO100" s="25"/>
      <c r="MP100" s="25"/>
      <c r="MQ100" s="25"/>
      <c r="MR100" s="25"/>
      <c r="MS100" s="110"/>
      <c r="MT100" s="110"/>
      <c r="MU100" s="25"/>
      <c r="MV100" s="25"/>
      <c r="MW100" s="25"/>
      <c r="MX100" s="25"/>
      <c r="MY100" s="25"/>
      <c r="MZ100" s="110"/>
      <c r="NA100" s="110"/>
      <c r="NB100" s="25"/>
      <c r="NC100" s="25"/>
      <c r="ND100" s="25"/>
      <c r="NE100" s="129"/>
      <c r="NF100" s="111"/>
      <c r="NG100" s="8">
        <f t="shared" si="72"/>
        <v>0</v>
      </c>
      <c r="NH100" s="351" cm="1">
        <f t="array" ref="NH100">NETWORKDAYS($I$2,$AH$2)- SUM(COUNTIF(I100:AH100,{"I";"F";"CP";"R";"P";"AC";"AM"}))</f>
        <v>20</v>
      </c>
      <c r="NI100" s="138">
        <f t="shared" si="67"/>
        <v>0</v>
      </c>
      <c r="NJ100" s="8">
        <f t="shared" si="73"/>
        <v>0</v>
      </c>
      <c r="NK100" s="351" cm="1">
        <f t="array" ref="NK100">NETWORKDAYS($AJ$2,$BK$2)- SUM(COUNTIF(AJ100:BK100,{"I";"F";"CP";"R";"P";"AC";"AM"}))</f>
        <v>20</v>
      </c>
      <c r="NL100" s="138">
        <f t="shared" si="68"/>
        <v>0</v>
      </c>
      <c r="NM100" s="8">
        <f t="shared" si="74"/>
        <v>11</v>
      </c>
      <c r="NN100" s="351" cm="1">
        <f t="array" ref="NN100">NETWORKDAYS($BL$2,$CP$2)- SUM(COUNTIF(BL100:CP100,{"I";"F";"CP";"R";"P";"AC";"AM"}))</f>
        <v>22</v>
      </c>
      <c r="NO100" s="138">
        <f t="shared" si="69"/>
        <v>0.5</v>
      </c>
      <c r="NP100" s="8">
        <f t="shared" si="75"/>
        <v>4</v>
      </c>
      <c r="NQ100" s="351" cm="1">
        <f t="array" ref="NQ100">NETWORKDAYS($CQ$2,$DT$2,$CV$2)- SUM(COUNTIF(CQ100:DT100,{"I";"F";"CP";"R";"P";"AC";"AM"}))</f>
        <v>21</v>
      </c>
      <c r="NR100" s="138">
        <f t="shared" si="70"/>
        <v>0.19047619047619047</v>
      </c>
      <c r="NS100" s="8">
        <f t="shared" si="76"/>
        <v>0</v>
      </c>
      <c r="NT100" s="351" cm="1">
        <f t="array" ref="NT100">NETWORKDAYS($DV$2,$EY$2)-SUM(COUNTIF(DV100:EY100,{"I";"F";"CP";"R";"P";"AC";"AM"}))</f>
        <v>16</v>
      </c>
      <c r="NU100" s="138">
        <f t="shared" si="71"/>
        <v>0</v>
      </c>
      <c r="NV100" s="8">
        <f t="shared" si="78"/>
        <v>0</v>
      </c>
      <c r="NW100" s="351" cm="1">
        <f t="array" ref="NW100">NETWORKDAYS($EZ$2,$GC$2)-SUM(COUNTIF(EZ100:GC100,{"I";"F";"CP";"R";"P";"AC";"AM"}))</f>
        <v>22</v>
      </c>
      <c r="NX100" s="138">
        <f t="shared" si="79"/>
        <v>0</v>
      </c>
      <c r="NY100" s="8">
        <f t="shared" si="80"/>
        <v>0</v>
      </c>
      <c r="NZ100" s="351" cm="1">
        <f t="array" ref="NZ100">NETWORKDAYS($GD$2,$HH$2,$GQ$2)-SUM(COUNTIF(GD100:HH100,{"I";"F";"CP";"R";"P";"AC";"AM"}))</f>
        <v>21</v>
      </c>
      <c r="OA100" s="138">
        <f t="shared" si="81"/>
        <v>0</v>
      </c>
      <c r="OB100" s="8">
        <f t="shared" si="82"/>
        <v>0</v>
      </c>
      <c r="OC100" s="351" cm="1">
        <f t="array" ref="OC100">NETWORKDAYS($HI$2,$IM$2)-SUM(COUNTIF(HI100:IM100,{"I";"F";"CP";"R";"P";"AC";"AM"}))</f>
        <v>21</v>
      </c>
      <c r="OD100" s="138">
        <f t="shared" si="83"/>
        <v>0</v>
      </c>
      <c r="OE100" s="8">
        <f t="shared" si="84"/>
        <v>0</v>
      </c>
      <c r="OF100" s="351" cm="1">
        <f t="array" ref="OF100">NETWORKDAYS($IN$2,$JQ$2)-SUM(COUNTIF(IN100:JQ100,{"I";"F";"CP";"R";"P";"AC";"AM"}))</f>
        <v>22</v>
      </c>
      <c r="OG100" s="138">
        <f t="shared" si="85"/>
        <v>0</v>
      </c>
      <c r="OH100" s="8">
        <f t="shared" si="86"/>
        <v>0</v>
      </c>
      <c r="OI100" s="351" cm="1">
        <f t="array" ref="OI100">NETWORKDAYS($JR$2,$KV$2)-SUM(COUNTIF(JR100:KV100,{"I";"F";"CP";"R";"P";"AC";"AM"}))</f>
        <v>22</v>
      </c>
      <c r="OJ100" s="138">
        <f t="shared" si="87"/>
        <v>0</v>
      </c>
      <c r="OK100" s="8">
        <f t="shared" si="88"/>
        <v>0</v>
      </c>
      <c r="OL100" s="351" cm="1">
        <f t="array" ref="OL100">NETWORKDAYS($KW$2,$LZ$2,$LG$2)-SUM(COUNTIF(KW100:LZ100,{"I";"F";"CP";"R";"P";"AC";"AM"}))</f>
        <v>19</v>
      </c>
      <c r="OM100" s="138">
        <f t="shared" si="89"/>
        <v>0</v>
      </c>
      <c r="ON100" s="8">
        <f t="shared" si="90"/>
        <v>0</v>
      </c>
      <c r="OO100" s="351" cm="1">
        <f t="array" ref="OO100">NETWORKDAYS($MA$2,$MR$2)-SUM(COUNTIF(MA100:MR100,{"I";"F";"CP";"R";"P";"AC";"AM"}))</f>
        <v>14</v>
      </c>
      <c r="OP100" s="138">
        <f t="shared" si="91"/>
        <v>0</v>
      </c>
      <c r="OQ100" s="94">
        <f t="shared" si="92"/>
        <v>15</v>
      </c>
      <c r="OR100" s="94">
        <f t="shared" si="93"/>
        <v>240</v>
      </c>
      <c r="OS100" s="138">
        <f t="shared" si="94"/>
        <v>6.25E-2</v>
      </c>
    </row>
    <row r="101" spans="1:409" ht="18" customHeight="1" x14ac:dyDescent="0.25">
      <c r="A101" s="95" t="s">
        <v>181</v>
      </c>
      <c r="B101" s="95" t="s">
        <v>34</v>
      </c>
      <c r="C101" s="89" t="s">
        <v>188</v>
      </c>
      <c r="D101" s="89" t="s">
        <v>275</v>
      </c>
      <c r="E101" s="128"/>
      <c r="F101" s="110"/>
      <c r="G101" s="110"/>
      <c r="H101" s="110"/>
      <c r="I101" s="25" t="s">
        <v>223</v>
      </c>
      <c r="J101" s="25"/>
      <c r="K101" s="25"/>
      <c r="L101" s="25"/>
      <c r="M101" s="25" t="s">
        <v>223</v>
      </c>
      <c r="N101" s="110"/>
      <c r="O101" s="110"/>
      <c r="P101" s="25" t="s">
        <v>223</v>
      </c>
      <c r="Q101" s="25" t="s">
        <v>223</v>
      </c>
      <c r="R101" s="25"/>
      <c r="S101" s="25"/>
      <c r="T101" s="25" t="s">
        <v>447</v>
      </c>
      <c r="U101" s="110"/>
      <c r="V101" s="110"/>
      <c r="W101" s="25" t="s">
        <v>223</v>
      </c>
      <c r="X101" s="25" t="s">
        <v>223</v>
      </c>
      <c r="Y101" s="25" t="s">
        <v>223</v>
      </c>
      <c r="Z101" s="25"/>
      <c r="AA101" s="25"/>
      <c r="AB101" s="110"/>
      <c r="AC101" s="110"/>
      <c r="AD101" s="25" t="s">
        <v>447</v>
      </c>
      <c r="AE101" s="25" t="s">
        <v>447</v>
      </c>
      <c r="AF101" s="25" t="s">
        <v>447</v>
      </c>
      <c r="AG101" s="25" t="s">
        <v>223</v>
      </c>
      <c r="AH101" s="25" t="s">
        <v>223</v>
      </c>
      <c r="AI101" s="110"/>
      <c r="AJ101" s="110"/>
      <c r="AK101" s="25" t="s">
        <v>223</v>
      </c>
      <c r="AL101" s="25" t="s">
        <v>223</v>
      </c>
      <c r="AM101" s="25" t="s">
        <v>223</v>
      </c>
      <c r="AN101" s="25" t="s">
        <v>223</v>
      </c>
      <c r="AO101" s="25" t="s">
        <v>223</v>
      </c>
      <c r="AP101" s="110"/>
      <c r="AQ101" s="110"/>
      <c r="AR101" s="25" t="s">
        <v>223</v>
      </c>
      <c r="AS101" s="25" t="s">
        <v>223</v>
      </c>
      <c r="AT101" s="25" t="s">
        <v>223</v>
      </c>
      <c r="AV101" s="25" t="s">
        <v>223</v>
      </c>
      <c r="AW101" s="110"/>
      <c r="AX101" s="110"/>
      <c r="AY101" s="25"/>
      <c r="AZ101" s="25"/>
      <c r="BA101" s="25"/>
      <c r="BB101" s="25">
        <v>1</v>
      </c>
      <c r="BC101" s="25">
        <v>1</v>
      </c>
      <c r="BD101" s="110"/>
      <c r="BE101" s="110"/>
      <c r="BF101" s="25">
        <v>1</v>
      </c>
      <c r="BG101" s="25">
        <v>1</v>
      </c>
      <c r="BH101" s="25">
        <v>1</v>
      </c>
      <c r="BI101" s="25">
        <v>1</v>
      </c>
      <c r="BJ101" s="25">
        <v>1</v>
      </c>
      <c r="BK101" s="110"/>
      <c r="BL101" s="110"/>
      <c r="BM101" s="25">
        <v>1</v>
      </c>
      <c r="BN101" s="25">
        <v>1</v>
      </c>
      <c r="BO101" s="25">
        <v>1</v>
      </c>
      <c r="BP101" s="25">
        <v>1</v>
      </c>
      <c r="BQ101" s="25">
        <v>1</v>
      </c>
      <c r="BR101" s="110"/>
      <c r="BS101" s="110"/>
      <c r="BT101" s="25">
        <v>1</v>
      </c>
      <c r="BU101" s="25">
        <v>1</v>
      </c>
      <c r="BV101" s="25">
        <v>1</v>
      </c>
      <c r="BW101" s="25">
        <v>1</v>
      </c>
      <c r="BX101" s="25">
        <v>1</v>
      </c>
      <c r="BY101" s="110"/>
      <c r="BZ101" s="110"/>
      <c r="CA101" s="25">
        <v>1</v>
      </c>
      <c r="CB101" s="25">
        <v>1</v>
      </c>
      <c r="CC101" s="25">
        <v>1</v>
      </c>
      <c r="CD101" s="25">
        <v>1</v>
      </c>
      <c r="CE101" s="25" t="s">
        <v>445</v>
      </c>
      <c r="CF101" s="110"/>
      <c r="CG101" s="110"/>
      <c r="CH101" s="25"/>
      <c r="CI101" s="25"/>
      <c r="CJ101" s="25"/>
      <c r="CK101" s="25"/>
      <c r="CL101" s="25"/>
      <c r="CM101" s="110"/>
      <c r="CN101" s="110"/>
      <c r="CO101" s="25">
        <v>1</v>
      </c>
      <c r="CP101" s="25">
        <v>1</v>
      </c>
      <c r="CQ101" s="25">
        <v>1</v>
      </c>
      <c r="CR101" s="25">
        <v>1</v>
      </c>
      <c r="CS101" s="25"/>
      <c r="CT101" s="110"/>
      <c r="CU101" s="110"/>
      <c r="CV101" s="110"/>
      <c r="CW101" s="25"/>
      <c r="CX101" s="25"/>
      <c r="CY101" s="25"/>
      <c r="CZ101" s="25"/>
      <c r="DA101" s="110"/>
      <c r="DB101" s="110"/>
      <c r="DC101" s="25">
        <v>1</v>
      </c>
      <c r="DD101" s="25">
        <v>1</v>
      </c>
      <c r="DE101" s="25">
        <v>1</v>
      </c>
      <c r="DF101" s="25">
        <v>1</v>
      </c>
      <c r="DG101" s="25"/>
      <c r="DH101" s="110"/>
      <c r="DI101" s="110"/>
      <c r="DJ101" s="25"/>
      <c r="DK101" s="25"/>
      <c r="DL101" s="25"/>
      <c r="DM101" s="25"/>
      <c r="DN101" s="25"/>
      <c r="DO101" s="110"/>
      <c r="DP101" s="110"/>
      <c r="DQ101" s="25">
        <v>1</v>
      </c>
      <c r="DR101" s="25">
        <v>1</v>
      </c>
      <c r="DS101" s="25">
        <v>1</v>
      </c>
      <c r="DT101" s="25"/>
      <c r="DU101" s="110" t="s">
        <v>445</v>
      </c>
      <c r="DV101" s="110"/>
      <c r="DW101" s="110"/>
      <c r="DX101" s="25"/>
      <c r="DY101" s="25">
        <v>1</v>
      </c>
      <c r="DZ101" s="25">
        <v>1</v>
      </c>
      <c r="EA101" s="25"/>
      <c r="EB101" s="110" t="s">
        <v>445</v>
      </c>
      <c r="EC101" s="110"/>
      <c r="ED101" s="110"/>
      <c r="EE101" s="25">
        <v>1</v>
      </c>
      <c r="EF101" s="25">
        <v>1</v>
      </c>
      <c r="EG101" s="25"/>
      <c r="EH101" s="110" t="s">
        <v>445</v>
      </c>
      <c r="EI101" s="110" t="s">
        <v>445</v>
      </c>
      <c r="EJ101" s="110"/>
      <c r="EK101" s="110"/>
      <c r="EL101" s="25">
        <v>1</v>
      </c>
      <c r="EM101" s="25"/>
      <c r="EN101" s="25"/>
      <c r="EO101" s="25"/>
      <c r="EP101" s="25"/>
      <c r="EQ101" s="110"/>
      <c r="ER101" s="110"/>
      <c r="ES101" s="110" t="s">
        <v>445</v>
      </c>
      <c r="ET101" s="25"/>
      <c r="EU101" s="25"/>
      <c r="EV101" s="25"/>
      <c r="EW101" s="25"/>
      <c r="EX101" s="110"/>
      <c r="EY101" s="110"/>
      <c r="EZ101" s="25"/>
      <c r="FA101" s="25"/>
      <c r="FB101" s="25"/>
      <c r="FC101" s="25"/>
      <c r="FD101" s="25"/>
      <c r="FE101" s="110"/>
      <c r="FF101" s="110"/>
      <c r="FG101" s="25"/>
      <c r="FH101" s="25"/>
      <c r="FI101" s="25"/>
      <c r="FJ101" s="25"/>
      <c r="FK101" s="25"/>
      <c r="FL101" s="110"/>
      <c r="FM101" s="110"/>
      <c r="FN101" s="25"/>
      <c r="FO101" s="25"/>
      <c r="FP101" s="25"/>
      <c r="FQ101" s="25"/>
      <c r="FR101" s="25"/>
      <c r="FS101" s="110"/>
      <c r="FT101" s="110"/>
      <c r="FU101" s="25"/>
      <c r="FV101" s="25"/>
      <c r="FW101" s="25"/>
      <c r="FX101" s="25"/>
      <c r="FY101" s="25"/>
      <c r="FZ101" s="110"/>
      <c r="GA101" s="110"/>
      <c r="GB101" s="25"/>
      <c r="GC101" s="25"/>
      <c r="GD101" s="25"/>
      <c r="GE101" s="25"/>
      <c r="GF101" s="25"/>
      <c r="GG101" s="110"/>
      <c r="GH101" s="110"/>
      <c r="GI101" s="25"/>
      <c r="GJ101" s="25"/>
      <c r="GK101" s="25"/>
      <c r="GL101" s="25"/>
      <c r="GM101" s="25"/>
      <c r="GN101" s="110"/>
      <c r="GO101" s="110"/>
      <c r="GP101" s="110" t="s">
        <v>445</v>
      </c>
      <c r="GQ101" s="110"/>
      <c r="GR101" s="25"/>
      <c r="GS101" s="25"/>
      <c r="GT101" s="25"/>
      <c r="GU101" s="110"/>
      <c r="GV101" s="110"/>
      <c r="GW101" s="25"/>
      <c r="GX101" s="25"/>
      <c r="GY101" s="25"/>
      <c r="GZ101" s="25"/>
      <c r="HA101" s="25"/>
      <c r="HB101" s="110"/>
      <c r="HC101" s="110"/>
      <c r="HD101" s="25"/>
      <c r="HE101" s="25"/>
      <c r="HF101" s="25"/>
      <c r="HG101" s="25"/>
      <c r="HH101" s="25"/>
      <c r="HI101" s="110"/>
      <c r="HJ101" s="110"/>
      <c r="HK101" s="25"/>
      <c r="HL101" s="25"/>
      <c r="HM101" s="25"/>
      <c r="HN101" s="25"/>
      <c r="HO101" s="25"/>
      <c r="HP101" s="110"/>
      <c r="HQ101" s="110"/>
      <c r="HR101" s="25"/>
      <c r="HS101" s="25"/>
      <c r="HT101" s="25"/>
      <c r="HU101" s="25"/>
      <c r="HV101" s="25"/>
      <c r="HW101" s="110"/>
      <c r="HX101" s="110"/>
      <c r="HY101" s="25"/>
      <c r="HZ101" s="25"/>
      <c r="IA101" s="25"/>
      <c r="IB101" s="25"/>
      <c r="IC101" s="25"/>
      <c r="ID101" s="110"/>
      <c r="IE101" s="110"/>
      <c r="IF101" s="25"/>
      <c r="IG101" s="25"/>
      <c r="IH101" s="25"/>
      <c r="II101" s="25"/>
      <c r="IJ101" s="25"/>
      <c r="IK101" s="110"/>
      <c r="IL101" s="110"/>
      <c r="IM101" s="25"/>
      <c r="IN101" s="25"/>
      <c r="IO101" s="25"/>
      <c r="IP101" s="25"/>
      <c r="IQ101" s="25"/>
      <c r="IR101" s="110"/>
      <c r="IS101" s="110"/>
      <c r="IT101" s="25"/>
      <c r="IU101" s="25"/>
      <c r="IV101" s="25"/>
      <c r="IW101" s="25"/>
      <c r="IX101" s="25"/>
      <c r="IY101" s="110"/>
      <c r="IZ101" s="110"/>
      <c r="JA101" s="25"/>
      <c r="JB101" s="25"/>
      <c r="JC101" s="25"/>
      <c r="JD101" s="25"/>
      <c r="JE101" s="25"/>
      <c r="JF101" s="110"/>
      <c r="JG101" s="110"/>
      <c r="JH101" s="25"/>
      <c r="JI101" s="25"/>
      <c r="JJ101" s="25"/>
      <c r="JK101" s="25"/>
      <c r="JL101" s="25"/>
      <c r="JM101" s="110"/>
      <c r="JN101" s="110"/>
      <c r="JO101" s="25"/>
      <c r="JP101" s="25"/>
      <c r="JQ101" s="25"/>
      <c r="JR101" s="25"/>
      <c r="JS101" s="25"/>
      <c r="JT101" s="110"/>
      <c r="JU101" s="110"/>
      <c r="JV101" s="25"/>
      <c r="JW101" s="25"/>
      <c r="JX101" s="25"/>
      <c r="JY101" s="25"/>
      <c r="JZ101" s="25"/>
      <c r="KA101" s="110"/>
      <c r="KB101" s="110"/>
      <c r="KC101" s="25"/>
      <c r="KD101" s="25"/>
      <c r="KE101" s="25"/>
      <c r="KF101" s="25"/>
      <c r="KG101" s="25"/>
      <c r="KH101" s="110"/>
      <c r="KI101" s="110"/>
      <c r="KJ101" s="25"/>
      <c r="KK101" s="25"/>
      <c r="KL101" s="25"/>
      <c r="KM101" s="25"/>
      <c r="KN101" s="25"/>
      <c r="KO101" s="110"/>
      <c r="KP101" s="110"/>
      <c r="KQ101" s="25"/>
      <c r="KR101" s="25"/>
      <c r="KS101" s="25"/>
      <c r="KT101" s="25"/>
      <c r="KU101" s="25"/>
      <c r="KV101" s="110"/>
      <c r="KW101" s="110"/>
      <c r="KX101" s="25"/>
      <c r="KY101" s="25"/>
      <c r="KZ101" s="25"/>
      <c r="LA101" s="25"/>
      <c r="LB101" s="25"/>
      <c r="LC101" s="110"/>
      <c r="LD101" s="110"/>
      <c r="LE101" s="25"/>
      <c r="LF101" s="25"/>
      <c r="LG101" s="110" t="s">
        <v>445</v>
      </c>
      <c r="LH101" s="25"/>
      <c r="LI101" s="25"/>
      <c r="LJ101" s="110"/>
      <c r="LK101" s="110"/>
      <c r="LL101" s="25"/>
      <c r="LM101" s="25"/>
      <c r="LN101" s="25"/>
      <c r="LO101" s="25"/>
      <c r="LP101" s="25"/>
      <c r="LQ101" s="110"/>
      <c r="LR101" s="110"/>
      <c r="LS101" s="25"/>
      <c r="LT101" s="25"/>
      <c r="LU101" s="25"/>
      <c r="LV101" s="25"/>
      <c r="LW101" s="25"/>
      <c r="LX101" s="110"/>
      <c r="LY101" s="110"/>
      <c r="LZ101" s="25"/>
      <c r="MA101" s="25"/>
      <c r="MB101" s="25"/>
      <c r="MC101" s="25"/>
      <c r="MD101" s="25"/>
      <c r="ME101" s="110"/>
      <c r="MF101" s="110"/>
      <c r="MG101" s="25"/>
      <c r="MH101" s="25"/>
      <c r="MI101" s="25"/>
      <c r="MJ101" s="25"/>
      <c r="MK101" s="25"/>
      <c r="ML101" s="110"/>
      <c r="MM101" s="110"/>
      <c r="MN101" s="25"/>
      <c r="MO101" s="25"/>
      <c r="MP101" s="25"/>
      <c r="MQ101" s="25"/>
      <c r="MR101" s="25"/>
      <c r="MS101" s="110"/>
      <c r="MT101" s="110"/>
      <c r="MU101" s="25"/>
      <c r="MV101" s="25"/>
      <c r="MW101" s="25"/>
      <c r="MX101" s="25"/>
      <c r="MY101" s="25"/>
      <c r="MZ101" s="110"/>
      <c r="NA101" s="110"/>
      <c r="NB101" s="25"/>
      <c r="NC101" s="25"/>
      <c r="ND101" s="25"/>
      <c r="NE101" s="129"/>
      <c r="NF101" s="111"/>
      <c r="NG101" s="8">
        <f t="shared" si="72"/>
        <v>0</v>
      </c>
      <c r="NH101" s="351" cm="1">
        <f t="array" ref="NH101">NETWORKDAYS($I$2,$AH$2)- SUM(COUNTIF(I101:AH101,{"I";"F";"CP";"R";"P";"AC";"AM"}))</f>
        <v>7</v>
      </c>
      <c r="NI101" s="138">
        <f t="shared" si="67"/>
        <v>0</v>
      </c>
      <c r="NJ101" s="8">
        <f t="shared" si="73"/>
        <v>7</v>
      </c>
      <c r="NK101" s="351" cm="1">
        <f t="array" ref="NK101">NETWORKDAYS($AJ$2,$BK$2)- SUM(COUNTIF(AJ101:BK101,{"I";"F";"CP";"R";"P";"AC";"AM"}))</f>
        <v>11</v>
      </c>
      <c r="NL101" s="138">
        <f t="shared" si="68"/>
        <v>0.63636363636363635</v>
      </c>
      <c r="NM101" s="8">
        <f t="shared" si="74"/>
        <v>16</v>
      </c>
      <c r="NN101" s="351" cm="1">
        <f t="array" ref="NN101">NETWORKDAYS($BL$2,$CP$2)- SUM(COUNTIF(BL101:CP101,{"I";"F";"CP";"R";"P";"AC";"AM"}))</f>
        <v>21</v>
      </c>
      <c r="NO101" s="138">
        <f t="shared" si="69"/>
        <v>0.76190476190476186</v>
      </c>
      <c r="NP101" s="8">
        <f t="shared" si="75"/>
        <v>9</v>
      </c>
      <c r="NQ101" s="351" cm="1">
        <f t="array" ref="NQ101">NETWORKDAYS($CQ$2,$DT$2,$CV$2)- SUM(COUNTIF(CQ101:DT101,{"I";"F";"CP";"R";"P";"AC";"AM"}))</f>
        <v>21</v>
      </c>
      <c r="NR101" s="138">
        <f t="shared" si="70"/>
        <v>0.42857142857142855</v>
      </c>
      <c r="NS101" s="8">
        <f t="shared" si="76"/>
        <v>5</v>
      </c>
      <c r="NT101" s="351" cm="1">
        <f t="array" ref="NT101">NETWORKDAYS($DV$2,$EY$2)-SUM(COUNTIF(DV101:EY101,{"I";"F";"CP";"R";"P";"AC";"AM"}))</f>
        <v>16</v>
      </c>
      <c r="NU101" s="138">
        <f t="shared" si="71"/>
        <v>0.3125</v>
      </c>
      <c r="NV101" s="8">
        <f t="shared" si="78"/>
        <v>0</v>
      </c>
      <c r="NW101" s="351" cm="1">
        <f t="array" ref="NW101">NETWORKDAYS($EZ$2,$GC$2)-SUM(COUNTIF(EZ101:GC101,{"I";"F";"CP";"R";"P";"AC";"AM"}))</f>
        <v>22</v>
      </c>
      <c r="NX101" s="138">
        <f t="shared" si="79"/>
        <v>0</v>
      </c>
      <c r="NY101" s="8">
        <f t="shared" si="80"/>
        <v>0</v>
      </c>
      <c r="NZ101" s="351" cm="1">
        <f t="array" ref="NZ101">NETWORKDAYS($GD$2,$HH$2,$GQ$2)-SUM(COUNTIF(GD101:HH101,{"I";"F";"CP";"R";"P";"AC";"AM"}))</f>
        <v>21</v>
      </c>
      <c r="OA101" s="138">
        <f t="shared" si="81"/>
        <v>0</v>
      </c>
      <c r="OB101" s="8">
        <f t="shared" si="82"/>
        <v>0</v>
      </c>
      <c r="OC101" s="351" cm="1">
        <f t="array" ref="OC101">NETWORKDAYS($HI$2,$IM$2)-SUM(COUNTIF(HI101:IM101,{"I";"F";"CP";"R";"P";"AC";"AM"}))</f>
        <v>21</v>
      </c>
      <c r="OD101" s="138">
        <f t="shared" si="83"/>
        <v>0</v>
      </c>
      <c r="OE101" s="8">
        <f t="shared" si="84"/>
        <v>0</v>
      </c>
      <c r="OF101" s="351" cm="1">
        <f t="array" ref="OF101">NETWORKDAYS($IN$2,$JQ$2)-SUM(COUNTIF(IN101:JQ101,{"I";"F";"CP";"R";"P";"AC";"AM"}))</f>
        <v>22</v>
      </c>
      <c r="OG101" s="138">
        <f t="shared" si="85"/>
        <v>0</v>
      </c>
      <c r="OH101" s="8">
        <f t="shared" si="86"/>
        <v>0</v>
      </c>
      <c r="OI101" s="351" cm="1">
        <f t="array" ref="OI101">NETWORKDAYS($JR$2,$KV$2)-SUM(COUNTIF(JR101:KV101,{"I";"F";"CP";"R";"P";"AC";"AM"}))</f>
        <v>22</v>
      </c>
      <c r="OJ101" s="138">
        <f t="shared" si="87"/>
        <v>0</v>
      </c>
      <c r="OK101" s="8">
        <f t="shared" si="88"/>
        <v>0</v>
      </c>
      <c r="OL101" s="351" cm="1">
        <f t="array" ref="OL101">NETWORKDAYS($KW$2,$LZ$2,$LG$2)-SUM(COUNTIF(KW101:LZ101,{"I";"F";"CP";"R";"P";"AC";"AM"}))</f>
        <v>19</v>
      </c>
      <c r="OM101" s="138">
        <f t="shared" si="89"/>
        <v>0</v>
      </c>
      <c r="ON101" s="8">
        <f t="shared" si="90"/>
        <v>0</v>
      </c>
      <c r="OO101" s="351" cm="1">
        <f t="array" ref="OO101">NETWORKDAYS($MA$2,$MR$2)-SUM(COUNTIF(MA101:MR101,{"I";"F";"CP";"R";"P";"AC";"AM"}))</f>
        <v>14</v>
      </c>
      <c r="OP101" s="138">
        <f t="shared" si="91"/>
        <v>0</v>
      </c>
      <c r="OQ101" s="94">
        <f t="shared" si="92"/>
        <v>37</v>
      </c>
      <c r="OR101" s="94">
        <f t="shared" si="93"/>
        <v>217</v>
      </c>
      <c r="OS101" s="138">
        <f t="shared" si="94"/>
        <v>0.17050691244239632</v>
      </c>
    </row>
    <row r="102" spans="1:409" ht="18" hidden="1" customHeight="1" x14ac:dyDescent="0.25">
      <c r="A102" s="93" t="s">
        <v>100</v>
      </c>
      <c r="B102" s="95" t="s">
        <v>34</v>
      </c>
      <c r="C102" s="89" t="s">
        <v>160</v>
      </c>
      <c r="D102" s="89" t="s">
        <v>278</v>
      </c>
      <c r="E102" s="128"/>
      <c r="F102" s="110"/>
      <c r="G102" s="110"/>
      <c r="H102" s="110"/>
      <c r="I102" s="25"/>
      <c r="J102" s="25"/>
      <c r="K102" s="25"/>
      <c r="L102" s="25"/>
      <c r="M102" s="25"/>
      <c r="N102" s="110"/>
      <c r="O102" s="110"/>
      <c r="P102" s="25"/>
      <c r="Q102" s="25">
        <v>1</v>
      </c>
      <c r="R102" s="25"/>
      <c r="S102" s="25">
        <v>1</v>
      </c>
      <c r="T102" s="25"/>
      <c r="U102" s="110"/>
      <c r="V102" s="110"/>
      <c r="W102" s="25">
        <v>1</v>
      </c>
      <c r="X102" s="25"/>
      <c r="Y102" s="25"/>
      <c r="Z102" s="25">
        <v>1</v>
      </c>
      <c r="AA102" s="25">
        <v>1</v>
      </c>
      <c r="AB102" s="110"/>
      <c r="AC102" s="110"/>
      <c r="AD102" s="25">
        <v>1</v>
      </c>
      <c r="AE102" s="25"/>
      <c r="AF102" s="25">
        <v>1</v>
      </c>
      <c r="AG102" s="25">
        <v>1</v>
      </c>
      <c r="AH102" s="25">
        <v>1</v>
      </c>
      <c r="AI102" s="110"/>
      <c r="AJ102" s="110"/>
      <c r="AK102" s="25">
        <v>1</v>
      </c>
      <c r="AL102" s="25">
        <v>1</v>
      </c>
      <c r="AM102" s="25">
        <v>1</v>
      </c>
      <c r="AN102" s="25">
        <v>1</v>
      </c>
      <c r="AO102" s="25"/>
      <c r="AP102" s="110"/>
      <c r="AQ102" s="110"/>
      <c r="AR102" s="25">
        <v>1</v>
      </c>
      <c r="AS102" s="25">
        <v>1</v>
      </c>
      <c r="AT102" s="25">
        <v>1</v>
      </c>
      <c r="AV102" s="25"/>
      <c r="AW102" s="110"/>
      <c r="AX102" s="110"/>
      <c r="AY102" s="25"/>
      <c r="AZ102" s="25">
        <v>1</v>
      </c>
      <c r="BA102" s="25">
        <v>1</v>
      </c>
      <c r="BB102" s="25"/>
      <c r="BC102" s="25">
        <v>1</v>
      </c>
      <c r="BD102" s="110"/>
      <c r="BE102" s="110"/>
      <c r="BF102" s="25"/>
      <c r="BG102" s="25">
        <v>1</v>
      </c>
      <c r="BH102" s="25">
        <v>1</v>
      </c>
      <c r="BI102" s="25"/>
      <c r="BJ102" s="25"/>
      <c r="BK102" s="110"/>
      <c r="BL102" s="110"/>
      <c r="BM102" s="25"/>
      <c r="BN102" s="25"/>
      <c r="BO102" s="25"/>
      <c r="BP102" s="25">
        <v>1</v>
      </c>
      <c r="BQ102" s="25"/>
      <c r="BR102" s="110"/>
      <c r="BS102" s="110"/>
      <c r="BT102" s="25"/>
      <c r="BU102" s="25"/>
      <c r="BV102" s="25"/>
      <c r="BW102" s="25"/>
      <c r="BX102" s="25"/>
      <c r="BY102" s="110"/>
      <c r="BZ102" s="110"/>
      <c r="CA102" s="25"/>
      <c r="CB102" s="25">
        <v>1</v>
      </c>
      <c r="CC102" s="25">
        <v>1</v>
      </c>
      <c r="CD102" s="25"/>
      <c r="CE102" s="25"/>
      <c r="CF102" s="110"/>
      <c r="CG102" s="110"/>
      <c r="CH102" s="25"/>
      <c r="CI102" s="25"/>
      <c r="CJ102" s="25"/>
      <c r="CK102" s="25"/>
      <c r="CL102" s="25"/>
      <c r="CM102" s="110"/>
      <c r="CN102" s="110"/>
      <c r="CO102" s="25"/>
      <c r="CP102" s="25"/>
      <c r="CQ102" s="25"/>
      <c r="CR102" s="25"/>
      <c r="CS102" s="25"/>
      <c r="CT102" s="110"/>
      <c r="CU102" s="110"/>
      <c r="CV102" s="110"/>
      <c r="CW102" s="25"/>
      <c r="CX102" s="25"/>
      <c r="CY102" s="25"/>
      <c r="CZ102" s="25"/>
      <c r="DA102" s="110"/>
      <c r="DB102" s="110"/>
      <c r="DC102" s="25"/>
      <c r="DD102" s="25"/>
      <c r="DE102" s="25"/>
      <c r="DF102" s="25"/>
      <c r="DG102" s="25"/>
      <c r="DH102" s="110"/>
      <c r="DI102" s="110"/>
      <c r="DJ102" s="25">
        <v>1</v>
      </c>
      <c r="DK102" s="25"/>
      <c r="DL102" s="25"/>
      <c r="DM102" s="25"/>
      <c r="DN102" s="25"/>
      <c r="DO102" s="110"/>
      <c r="DP102" s="110"/>
      <c r="DQ102" s="25"/>
      <c r="DR102" s="25"/>
      <c r="DS102" s="25"/>
      <c r="DT102" s="25"/>
      <c r="DU102" s="110" t="s">
        <v>445</v>
      </c>
      <c r="DV102" s="110"/>
      <c r="DW102" s="110"/>
      <c r="DX102" s="25"/>
      <c r="DY102" s="25"/>
      <c r="DZ102" s="25"/>
      <c r="EA102" s="25">
        <v>1</v>
      </c>
      <c r="EB102" s="110" t="s">
        <v>445</v>
      </c>
      <c r="EC102" s="110"/>
      <c r="ED102" s="110"/>
      <c r="EE102" s="25">
        <v>1</v>
      </c>
      <c r="EF102" s="25">
        <v>1</v>
      </c>
      <c r="EG102" s="25">
        <v>1</v>
      </c>
      <c r="EH102" s="110" t="s">
        <v>445</v>
      </c>
      <c r="EI102" s="110" t="s">
        <v>445</v>
      </c>
      <c r="EJ102" s="110"/>
      <c r="EK102" s="110"/>
      <c r="EL102" s="25"/>
      <c r="EM102" s="25"/>
      <c r="EN102" s="25"/>
      <c r="EO102" s="25"/>
      <c r="EP102" s="25"/>
      <c r="EQ102" s="110"/>
      <c r="ER102" s="110"/>
      <c r="ES102" s="110" t="s">
        <v>445</v>
      </c>
      <c r="ET102" s="25"/>
      <c r="EU102" s="25"/>
      <c r="EV102" s="25"/>
      <c r="EW102" s="25"/>
      <c r="EX102" s="110"/>
      <c r="EY102" s="110"/>
      <c r="EZ102" s="25"/>
      <c r="FA102" s="25"/>
      <c r="FB102" s="25"/>
      <c r="FC102" s="25"/>
      <c r="FD102" s="25"/>
      <c r="FE102" s="110"/>
      <c r="FF102" s="110"/>
      <c r="FG102" s="25"/>
      <c r="FH102" s="25"/>
      <c r="FI102" s="25"/>
      <c r="FJ102" s="25"/>
      <c r="FK102" s="25"/>
      <c r="FL102" s="110"/>
      <c r="FM102" s="110"/>
      <c r="FN102" s="25"/>
      <c r="FO102" s="25"/>
      <c r="FP102" s="25"/>
      <c r="FQ102" s="25"/>
      <c r="FR102" s="25"/>
      <c r="FS102" s="110"/>
      <c r="FT102" s="110"/>
      <c r="FU102" s="25"/>
      <c r="FV102" s="25"/>
      <c r="FW102" s="25"/>
      <c r="FX102" s="25"/>
      <c r="FY102" s="25"/>
      <c r="FZ102" s="110"/>
      <c r="GA102" s="110"/>
      <c r="GB102" s="25"/>
      <c r="GC102" s="25"/>
      <c r="GD102" s="25"/>
      <c r="GE102" s="25"/>
      <c r="GF102" s="25"/>
      <c r="GG102" s="110"/>
      <c r="GH102" s="110"/>
      <c r="GI102" s="25"/>
      <c r="GJ102" s="25"/>
      <c r="GK102" s="25"/>
      <c r="GL102" s="25"/>
      <c r="GM102" s="25"/>
      <c r="GN102" s="110"/>
      <c r="GO102" s="110"/>
      <c r="GP102" s="110" t="s">
        <v>445</v>
      </c>
      <c r="GQ102" s="110"/>
      <c r="GR102" s="25"/>
      <c r="GS102" s="25"/>
      <c r="GT102" s="25"/>
      <c r="GU102" s="110"/>
      <c r="GV102" s="110"/>
      <c r="GW102" s="25"/>
      <c r="GX102" s="25"/>
      <c r="GY102" s="25"/>
      <c r="GZ102" s="25"/>
      <c r="HA102" s="25"/>
      <c r="HB102" s="110"/>
      <c r="HC102" s="110"/>
      <c r="HD102" s="25"/>
      <c r="HE102" s="25"/>
      <c r="HF102" s="25"/>
      <c r="HG102" s="25"/>
      <c r="HH102" s="25"/>
      <c r="HI102" s="110"/>
      <c r="HJ102" s="110"/>
      <c r="HK102" s="25"/>
      <c r="HL102" s="25"/>
      <c r="HM102" s="25"/>
      <c r="HN102" s="25"/>
      <c r="HO102" s="25"/>
      <c r="HP102" s="110"/>
      <c r="HQ102" s="110"/>
      <c r="HR102" s="25"/>
      <c r="HS102" s="25"/>
      <c r="HT102" s="25"/>
      <c r="HU102" s="25"/>
      <c r="HV102" s="25"/>
      <c r="HW102" s="110"/>
      <c r="HX102" s="110"/>
      <c r="HY102" s="25"/>
      <c r="HZ102" s="25"/>
      <c r="IA102" s="25"/>
      <c r="IB102" s="25"/>
      <c r="IC102" s="25"/>
      <c r="ID102" s="110"/>
      <c r="IE102" s="110"/>
      <c r="IF102" s="25"/>
      <c r="IG102" s="25"/>
      <c r="IH102" s="25"/>
      <c r="II102" s="25"/>
      <c r="IJ102" s="25"/>
      <c r="IK102" s="110"/>
      <c r="IL102" s="110"/>
      <c r="IM102" s="25"/>
      <c r="IN102" s="25"/>
      <c r="IO102" s="25"/>
      <c r="IP102" s="25"/>
      <c r="IQ102" s="25"/>
      <c r="IR102" s="110"/>
      <c r="IS102" s="110"/>
      <c r="IT102" s="25"/>
      <c r="IU102" s="25"/>
      <c r="IV102" s="25"/>
      <c r="IW102" s="25"/>
      <c r="IX102" s="25"/>
      <c r="IY102" s="110"/>
      <c r="IZ102" s="110"/>
      <c r="JA102" s="25"/>
      <c r="JB102" s="25"/>
      <c r="JC102" s="25"/>
      <c r="JD102" s="25"/>
      <c r="JE102" s="25"/>
      <c r="JF102" s="110"/>
      <c r="JG102" s="110"/>
      <c r="JH102" s="25"/>
      <c r="JI102" s="25"/>
      <c r="JJ102" s="25"/>
      <c r="JK102" s="25"/>
      <c r="JL102" s="25"/>
      <c r="JM102" s="110"/>
      <c r="JN102" s="110"/>
      <c r="JO102" s="25"/>
      <c r="JP102" s="25"/>
      <c r="JQ102" s="25"/>
      <c r="JR102" s="25"/>
      <c r="JS102" s="25"/>
      <c r="JT102" s="110"/>
      <c r="JU102" s="110"/>
      <c r="JV102" s="25"/>
      <c r="JW102" s="25"/>
      <c r="JX102" s="25"/>
      <c r="JY102" s="25"/>
      <c r="JZ102" s="25"/>
      <c r="KA102" s="110"/>
      <c r="KB102" s="110"/>
      <c r="KC102" s="25"/>
      <c r="KD102" s="25"/>
      <c r="KE102" s="25"/>
      <c r="KF102" s="25"/>
      <c r="KG102" s="25"/>
      <c r="KH102" s="110"/>
      <c r="KI102" s="110"/>
      <c r="KJ102" s="25"/>
      <c r="KK102" s="25"/>
      <c r="KL102" s="25"/>
      <c r="KM102" s="25"/>
      <c r="KN102" s="25"/>
      <c r="KO102" s="110"/>
      <c r="KP102" s="110"/>
      <c r="KQ102" s="25"/>
      <c r="KR102" s="25"/>
      <c r="KS102" s="25"/>
      <c r="KT102" s="25"/>
      <c r="KU102" s="25"/>
      <c r="KV102" s="110"/>
      <c r="KW102" s="110"/>
      <c r="KX102" s="25"/>
      <c r="KY102" s="25"/>
      <c r="KZ102" s="25"/>
      <c r="LA102" s="25"/>
      <c r="LB102" s="25"/>
      <c r="LC102" s="110"/>
      <c r="LD102" s="110"/>
      <c r="LE102" s="25"/>
      <c r="LF102" s="25"/>
      <c r="LG102" s="110" t="s">
        <v>445</v>
      </c>
      <c r="LH102" s="25"/>
      <c r="LI102" s="25"/>
      <c r="LJ102" s="110"/>
      <c r="LK102" s="110"/>
      <c r="LL102" s="25"/>
      <c r="LM102" s="25"/>
      <c r="LN102" s="25"/>
      <c r="LO102" s="25"/>
      <c r="LP102" s="25"/>
      <c r="LQ102" s="110"/>
      <c r="LR102" s="110"/>
      <c r="LS102" s="25"/>
      <c r="LT102" s="25"/>
      <c r="LU102" s="25"/>
      <c r="LV102" s="25"/>
      <c r="LW102" s="25"/>
      <c r="LX102" s="110"/>
      <c r="LY102" s="110"/>
      <c r="LZ102" s="25"/>
      <c r="MA102" s="25"/>
      <c r="MB102" s="25"/>
      <c r="MC102" s="25"/>
      <c r="MD102" s="25"/>
      <c r="ME102" s="110"/>
      <c r="MF102" s="110"/>
      <c r="MG102" s="25"/>
      <c r="MH102" s="25"/>
      <c r="MI102" s="25"/>
      <c r="MJ102" s="25"/>
      <c r="MK102" s="25"/>
      <c r="ML102" s="110"/>
      <c r="MM102" s="110"/>
      <c r="MN102" s="25"/>
      <c r="MO102" s="25"/>
      <c r="MP102" s="25"/>
      <c r="MQ102" s="25"/>
      <c r="MR102" s="25"/>
      <c r="MS102" s="110"/>
      <c r="MT102" s="110"/>
      <c r="MU102" s="25"/>
      <c r="MV102" s="25"/>
      <c r="MW102" s="25"/>
      <c r="MX102" s="25"/>
      <c r="MY102" s="25"/>
      <c r="MZ102" s="110"/>
      <c r="NA102" s="110"/>
      <c r="NB102" s="25"/>
      <c r="NC102" s="25"/>
      <c r="ND102" s="25"/>
      <c r="NE102" s="129"/>
      <c r="NF102" s="111"/>
      <c r="NG102" s="8">
        <f t="shared" si="72"/>
        <v>9</v>
      </c>
      <c r="NH102" s="351" cm="1">
        <f t="array" ref="NH102">NETWORKDAYS($I$2,$AH$2)- SUM(COUNTIF(I102:AH102,{"I";"F";"CP";"R";"P";"AC";"AM"}))</f>
        <v>20</v>
      </c>
      <c r="NI102" s="138">
        <f t="shared" si="67"/>
        <v>0.45</v>
      </c>
      <c r="NJ102" s="8">
        <f t="shared" si="73"/>
        <v>12</v>
      </c>
      <c r="NK102" s="351" cm="1">
        <f t="array" ref="NK102">NETWORKDAYS($AJ$2,$BK$2)- SUM(COUNTIF(AJ102:BK102,{"I";"F";"CP";"R";"P";"AC";"AM"}))</f>
        <v>20</v>
      </c>
      <c r="NL102" s="138">
        <f t="shared" si="68"/>
        <v>0.6</v>
      </c>
      <c r="NM102" s="8">
        <f t="shared" si="74"/>
        <v>3</v>
      </c>
      <c r="NN102" s="351" cm="1">
        <f t="array" ref="NN102">NETWORKDAYS($BL$2,$CP$2)- SUM(COUNTIF(BL102:CP102,{"I";"F";"CP";"R";"P";"AC";"AM"}))</f>
        <v>22</v>
      </c>
      <c r="NO102" s="138">
        <f t="shared" si="69"/>
        <v>0.13636363636363635</v>
      </c>
      <c r="NP102" s="8">
        <f t="shared" si="75"/>
        <v>1</v>
      </c>
      <c r="NQ102" s="351" cm="1">
        <f t="array" ref="NQ102">NETWORKDAYS($CQ$2,$DT$2,$CV$2)- SUM(COUNTIF(CQ102:DT102,{"I";"F";"CP";"R";"P";"AC";"AM"}))</f>
        <v>21</v>
      </c>
      <c r="NR102" s="138">
        <f t="shared" si="70"/>
        <v>4.7619047619047616E-2</v>
      </c>
      <c r="NS102" s="8">
        <f t="shared" si="76"/>
        <v>4</v>
      </c>
      <c r="NT102" s="351" cm="1">
        <f t="array" ref="NT102">NETWORKDAYS($DV$2,$EY$2)-SUM(COUNTIF(DV102:EY102,{"I";"F";"CP";"R";"P";"AC";"AM"}))</f>
        <v>16</v>
      </c>
      <c r="NU102" s="138">
        <f t="shared" si="71"/>
        <v>0.25</v>
      </c>
      <c r="NV102" s="8">
        <f t="shared" si="78"/>
        <v>0</v>
      </c>
      <c r="NW102" s="351" cm="1">
        <f t="array" ref="NW102">NETWORKDAYS($EZ$2,$GC$2)-SUM(COUNTIF(EZ102:GC102,{"I";"F";"CP";"R";"P";"AC";"AM"}))</f>
        <v>22</v>
      </c>
      <c r="NX102" s="138">
        <f t="shared" si="79"/>
        <v>0</v>
      </c>
      <c r="NY102" s="8">
        <f t="shared" si="80"/>
        <v>0</v>
      </c>
      <c r="NZ102" s="351" cm="1">
        <f t="array" ref="NZ102">NETWORKDAYS($GD$2,$HH$2,$GQ$2)-SUM(COUNTIF(GD102:HH102,{"I";"F";"CP";"R";"P";"AC";"AM"}))</f>
        <v>21</v>
      </c>
      <c r="OA102" s="138">
        <f t="shared" si="81"/>
        <v>0</v>
      </c>
      <c r="OB102" s="8">
        <f t="shared" si="82"/>
        <v>0</v>
      </c>
      <c r="OC102" s="351" cm="1">
        <f t="array" ref="OC102">NETWORKDAYS($HI$2,$IM$2)-SUM(COUNTIF(HI102:IM102,{"I";"F";"CP";"R";"P";"AC";"AM"}))</f>
        <v>21</v>
      </c>
      <c r="OD102" s="138">
        <f t="shared" si="83"/>
        <v>0</v>
      </c>
      <c r="OE102" s="8">
        <f t="shared" si="84"/>
        <v>0</v>
      </c>
      <c r="OF102" s="351" cm="1">
        <f t="array" ref="OF102">NETWORKDAYS($IN$2,$JQ$2)-SUM(COUNTIF(IN102:JQ102,{"I";"F";"CP";"R";"P";"AC";"AM"}))</f>
        <v>22</v>
      </c>
      <c r="OG102" s="138">
        <f t="shared" si="85"/>
        <v>0</v>
      </c>
      <c r="OH102" s="8">
        <f t="shared" si="86"/>
        <v>0</v>
      </c>
      <c r="OI102" s="351" cm="1">
        <f t="array" ref="OI102">NETWORKDAYS($JR$2,$KV$2)-SUM(COUNTIF(JR102:KV102,{"I";"F";"CP";"R";"P";"AC";"AM"}))</f>
        <v>22</v>
      </c>
      <c r="OJ102" s="138">
        <f t="shared" si="87"/>
        <v>0</v>
      </c>
      <c r="OK102" s="8">
        <f t="shared" si="88"/>
        <v>0</v>
      </c>
      <c r="OL102" s="351" cm="1">
        <f t="array" ref="OL102">NETWORKDAYS($KW$2,$LZ$2,$LG$2)-SUM(COUNTIF(KW102:LZ102,{"I";"F";"CP";"R";"P";"AC";"AM"}))</f>
        <v>19</v>
      </c>
      <c r="OM102" s="138">
        <f t="shared" si="89"/>
        <v>0</v>
      </c>
      <c r="ON102" s="8">
        <f t="shared" si="90"/>
        <v>0</v>
      </c>
      <c r="OO102" s="351" cm="1">
        <f t="array" ref="OO102">NETWORKDAYS($MA$2,$MR$2)-SUM(COUNTIF(MA102:MR102,{"I";"F";"CP";"R";"P";"AC";"AM"}))</f>
        <v>14</v>
      </c>
      <c r="OP102" s="138">
        <f t="shared" si="91"/>
        <v>0</v>
      </c>
      <c r="OQ102" s="94">
        <f t="shared" si="92"/>
        <v>29</v>
      </c>
      <c r="OR102" s="94">
        <f t="shared" si="93"/>
        <v>240</v>
      </c>
      <c r="OS102" s="138">
        <f t="shared" si="94"/>
        <v>0.12083333333333333</v>
      </c>
    </row>
    <row r="103" spans="1:409" ht="18" customHeight="1" x14ac:dyDescent="0.25">
      <c r="A103" s="97" t="s">
        <v>181</v>
      </c>
      <c r="B103" s="95" t="s">
        <v>34</v>
      </c>
      <c r="C103" s="89" t="s">
        <v>166</v>
      </c>
      <c r="D103" s="89" t="s">
        <v>279</v>
      </c>
      <c r="E103" s="128"/>
      <c r="F103" s="110"/>
      <c r="G103" s="110"/>
      <c r="H103" s="110"/>
      <c r="I103" s="25" t="s">
        <v>223</v>
      </c>
      <c r="J103" s="25" t="s">
        <v>223</v>
      </c>
      <c r="K103" s="25" t="s">
        <v>223</v>
      </c>
      <c r="L103" s="25" t="s">
        <v>223</v>
      </c>
      <c r="M103" s="25" t="s">
        <v>223</v>
      </c>
      <c r="N103" s="110"/>
      <c r="O103" s="110"/>
      <c r="P103" s="25">
        <v>1</v>
      </c>
      <c r="Q103" s="25">
        <v>1</v>
      </c>
      <c r="R103" s="25">
        <v>1</v>
      </c>
      <c r="S103" s="25">
        <v>1</v>
      </c>
      <c r="T103" s="25">
        <v>1</v>
      </c>
      <c r="U103" s="110"/>
      <c r="V103" s="110"/>
      <c r="W103" s="25"/>
      <c r="X103" s="25">
        <v>1</v>
      </c>
      <c r="Y103" s="25">
        <v>1</v>
      </c>
      <c r="Z103" s="25">
        <v>1</v>
      </c>
      <c r="AA103" s="25"/>
      <c r="AB103" s="110"/>
      <c r="AC103" s="110"/>
      <c r="AD103" s="25"/>
      <c r="AE103" s="25">
        <v>1</v>
      </c>
      <c r="AF103" s="25">
        <v>1</v>
      </c>
      <c r="AG103" s="25">
        <v>1</v>
      </c>
      <c r="AH103" s="25" t="s">
        <v>447</v>
      </c>
      <c r="AI103" s="110"/>
      <c r="AJ103" s="110"/>
      <c r="AK103" s="25">
        <v>1</v>
      </c>
      <c r="AL103" s="25"/>
      <c r="AM103" s="25">
        <v>1</v>
      </c>
      <c r="AN103" s="25"/>
      <c r="AO103" s="25"/>
      <c r="AP103" s="110"/>
      <c r="AQ103" s="110"/>
      <c r="AR103" s="25">
        <v>1</v>
      </c>
      <c r="AS103" s="25">
        <v>1</v>
      </c>
      <c r="AT103" s="25">
        <v>1</v>
      </c>
      <c r="AV103" s="25">
        <v>1</v>
      </c>
      <c r="AW103" s="110"/>
      <c r="AX103" s="110"/>
      <c r="AY103" s="25"/>
      <c r="AZ103" s="25">
        <v>1</v>
      </c>
      <c r="BA103" s="25">
        <v>1</v>
      </c>
      <c r="BB103" s="25">
        <v>1</v>
      </c>
      <c r="BC103" s="25"/>
      <c r="BD103" s="110"/>
      <c r="BE103" s="110"/>
      <c r="BF103" s="25">
        <v>1</v>
      </c>
      <c r="BG103" s="25"/>
      <c r="BH103" s="25">
        <v>1</v>
      </c>
      <c r="BI103" s="25">
        <v>1</v>
      </c>
      <c r="BJ103" s="25"/>
      <c r="BK103" s="110"/>
      <c r="BL103" s="110"/>
      <c r="BM103" s="25">
        <v>1</v>
      </c>
      <c r="BN103" s="25">
        <v>1</v>
      </c>
      <c r="BO103" s="25">
        <v>1</v>
      </c>
      <c r="BP103" s="25">
        <v>1</v>
      </c>
      <c r="BQ103" s="25">
        <v>1</v>
      </c>
      <c r="BR103" s="110"/>
      <c r="BS103" s="110"/>
      <c r="BT103" s="25" t="s">
        <v>223</v>
      </c>
      <c r="BU103" s="25" t="s">
        <v>223</v>
      </c>
      <c r="BV103" s="25" t="s">
        <v>223</v>
      </c>
      <c r="BW103" s="25" t="s">
        <v>223</v>
      </c>
      <c r="BX103" s="25" t="s">
        <v>445</v>
      </c>
      <c r="BY103" s="110"/>
      <c r="BZ103" s="110"/>
      <c r="CA103" s="25">
        <v>1</v>
      </c>
      <c r="CB103" s="25"/>
      <c r="CC103" s="25">
        <v>1</v>
      </c>
      <c r="CD103" s="25">
        <v>1</v>
      </c>
      <c r="CE103" s="25" t="s">
        <v>445</v>
      </c>
      <c r="CF103" s="110"/>
      <c r="CG103" s="110"/>
      <c r="CH103" s="25"/>
      <c r="CI103" s="25">
        <v>1</v>
      </c>
      <c r="CJ103" s="25">
        <v>1</v>
      </c>
      <c r="CK103" s="25">
        <v>1</v>
      </c>
      <c r="CL103" s="25">
        <v>1</v>
      </c>
      <c r="CM103" s="110"/>
      <c r="CN103" s="110"/>
      <c r="CO103" s="25">
        <v>1</v>
      </c>
      <c r="CP103" s="25"/>
      <c r="CQ103" s="25">
        <v>1</v>
      </c>
      <c r="CR103" s="25">
        <v>1</v>
      </c>
      <c r="CS103" s="25">
        <v>1</v>
      </c>
      <c r="CT103" s="110"/>
      <c r="CU103" s="110"/>
      <c r="CV103" s="110"/>
      <c r="CW103" s="25" t="s">
        <v>223</v>
      </c>
      <c r="CX103" s="25" t="s">
        <v>223</v>
      </c>
      <c r="CY103" s="25" t="s">
        <v>223</v>
      </c>
      <c r="CZ103" s="25" t="s">
        <v>223</v>
      </c>
      <c r="DA103" s="110"/>
      <c r="DB103" s="110"/>
      <c r="DC103" s="25" t="s">
        <v>223</v>
      </c>
      <c r="DD103" s="25"/>
      <c r="DE103" s="25"/>
      <c r="DF103" s="25"/>
      <c r="DG103" s="25"/>
      <c r="DH103" s="110"/>
      <c r="DI103" s="110"/>
      <c r="DJ103" s="25"/>
      <c r="DK103" s="25">
        <v>1</v>
      </c>
      <c r="DL103" s="25">
        <v>1</v>
      </c>
      <c r="DM103" s="25">
        <v>1</v>
      </c>
      <c r="DN103" s="25">
        <v>1</v>
      </c>
      <c r="DO103" s="110"/>
      <c r="DP103" s="110"/>
      <c r="DQ103" s="25"/>
      <c r="DR103" s="25"/>
      <c r="DS103" s="25"/>
      <c r="DT103" s="25"/>
      <c r="DU103" s="110" t="s">
        <v>445</v>
      </c>
      <c r="DV103" s="110"/>
      <c r="DW103" s="110"/>
      <c r="DX103" s="25" t="s">
        <v>450</v>
      </c>
      <c r="DY103" s="25">
        <v>1</v>
      </c>
      <c r="DZ103" s="25">
        <v>1</v>
      </c>
      <c r="EA103" s="25">
        <v>1</v>
      </c>
      <c r="EB103" s="110" t="s">
        <v>445</v>
      </c>
      <c r="EC103" s="110"/>
      <c r="ED103" s="110"/>
      <c r="EE103" s="25">
        <v>1</v>
      </c>
      <c r="EF103" s="25">
        <v>1</v>
      </c>
      <c r="EG103" s="25">
        <v>1</v>
      </c>
      <c r="EH103" s="110" t="s">
        <v>445</v>
      </c>
      <c r="EI103" s="110" t="s">
        <v>445</v>
      </c>
      <c r="EJ103" s="110"/>
      <c r="EK103" s="110"/>
      <c r="EL103" s="25" t="s">
        <v>445</v>
      </c>
      <c r="EM103" s="25" t="s">
        <v>445</v>
      </c>
      <c r="EN103" s="25"/>
      <c r="EO103" s="25"/>
      <c r="EP103" s="25"/>
      <c r="EQ103" s="110"/>
      <c r="ER103" s="110"/>
      <c r="ES103" s="110" t="s">
        <v>445</v>
      </c>
      <c r="ET103" s="25"/>
      <c r="EU103" s="25"/>
      <c r="EV103" s="25"/>
      <c r="EW103" s="25"/>
      <c r="EX103" s="110"/>
      <c r="EY103" s="110"/>
      <c r="EZ103" s="25"/>
      <c r="FA103" s="25"/>
      <c r="FB103" s="25"/>
      <c r="FC103" s="25"/>
      <c r="FD103" s="25"/>
      <c r="FE103" s="110"/>
      <c r="FF103" s="110"/>
      <c r="FG103" s="25"/>
      <c r="FH103" s="25"/>
      <c r="FI103" s="25"/>
      <c r="FJ103" s="25"/>
      <c r="FK103" s="25"/>
      <c r="FL103" s="110"/>
      <c r="FM103" s="110"/>
      <c r="FN103" s="25"/>
      <c r="FO103" s="25"/>
      <c r="FP103" s="25"/>
      <c r="FQ103" s="25"/>
      <c r="FR103" s="25"/>
      <c r="FS103" s="110"/>
      <c r="FT103" s="110"/>
      <c r="FU103" s="25"/>
      <c r="FV103" s="25"/>
      <c r="FW103" s="25"/>
      <c r="FX103" s="25"/>
      <c r="FY103" s="25"/>
      <c r="FZ103" s="110"/>
      <c r="GA103" s="110"/>
      <c r="GB103" s="25"/>
      <c r="GC103" s="25"/>
      <c r="GD103" s="25"/>
      <c r="GE103" s="25"/>
      <c r="GF103" s="25"/>
      <c r="GG103" s="110"/>
      <c r="GH103" s="110"/>
      <c r="GI103" s="25"/>
      <c r="GJ103" s="25"/>
      <c r="GK103" s="25"/>
      <c r="GL103" s="25"/>
      <c r="GM103" s="25"/>
      <c r="GN103" s="110"/>
      <c r="GO103" s="110"/>
      <c r="GP103" s="110" t="s">
        <v>445</v>
      </c>
      <c r="GQ103" s="110"/>
      <c r="GR103" s="25"/>
      <c r="GS103" s="25"/>
      <c r="GT103" s="25"/>
      <c r="GU103" s="110"/>
      <c r="GV103" s="110"/>
      <c r="GW103" s="25"/>
      <c r="GX103" s="25"/>
      <c r="GY103" s="25"/>
      <c r="GZ103" s="25"/>
      <c r="HA103" s="25"/>
      <c r="HB103" s="110"/>
      <c r="HC103" s="110"/>
      <c r="HD103" s="25"/>
      <c r="HE103" s="25"/>
      <c r="HF103" s="25"/>
      <c r="HG103" s="25"/>
      <c r="HH103" s="25"/>
      <c r="HI103" s="110"/>
      <c r="HJ103" s="110"/>
      <c r="HK103" s="25"/>
      <c r="HL103" s="25"/>
      <c r="HM103" s="25"/>
      <c r="HN103" s="25"/>
      <c r="HO103" s="25"/>
      <c r="HP103" s="110"/>
      <c r="HQ103" s="110"/>
      <c r="HR103" s="25"/>
      <c r="HS103" s="25"/>
      <c r="HT103" s="25"/>
      <c r="HU103" s="25"/>
      <c r="HV103" s="25"/>
      <c r="HW103" s="110"/>
      <c r="HX103" s="110"/>
      <c r="HY103" s="25"/>
      <c r="HZ103" s="25"/>
      <c r="IA103" s="25"/>
      <c r="IB103" s="25"/>
      <c r="IC103" s="25"/>
      <c r="ID103" s="110"/>
      <c r="IE103" s="110"/>
      <c r="IF103" s="25"/>
      <c r="IG103" s="25"/>
      <c r="IH103" s="25"/>
      <c r="II103" s="25"/>
      <c r="IJ103" s="25"/>
      <c r="IK103" s="110"/>
      <c r="IL103" s="110"/>
      <c r="IM103" s="25"/>
      <c r="IN103" s="25"/>
      <c r="IO103" s="25"/>
      <c r="IP103" s="25"/>
      <c r="IQ103" s="25"/>
      <c r="IR103" s="110"/>
      <c r="IS103" s="110"/>
      <c r="IT103" s="25"/>
      <c r="IU103" s="25"/>
      <c r="IV103" s="25"/>
      <c r="IW103" s="25"/>
      <c r="IX103" s="25"/>
      <c r="IY103" s="110"/>
      <c r="IZ103" s="110"/>
      <c r="JA103" s="25"/>
      <c r="JB103" s="25"/>
      <c r="JC103" s="25"/>
      <c r="JD103" s="25"/>
      <c r="JE103" s="25"/>
      <c r="JF103" s="110"/>
      <c r="JG103" s="110"/>
      <c r="JH103" s="25"/>
      <c r="JI103" s="25"/>
      <c r="JJ103" s="25"/>
      <c r="JK103" s="25"/>
      <c r="JL103" s="25"/>
      <c r="JM103" s="110"/>
      <c r="JN103" s="110"/>
      <c r="JO103" s="25"/>
      <c r="JP103" s="25"/>
      <c r="JQ103" s="25"/>
      <c r="JR103" s="25"/>
      <c r="JS103" s="25"/>
      <c r="JT103" s="110"/>
      <c r="JU103" s="110"/>
      <c r="JV103" s="25"/>
      <c r="JW103" s="25"/>
      <c r="JX103" s="25"/>
      <c r="JY103" s="25"/>
      <c r="JZ103" s="25"/>
      <c r="KA103" s="110"/>
      <c r="KB103" s="110"/>
      <c r="KC103" s="25"/>
      <c r="KD103" s="25"/>
      <c r="KE103" s="25"/>
      <c r="KF103" s="25"/>
      <c r="KG103" s="25"/>
      <c r="KH103" s="110"/>
      <c r="KI103" s="110"/>
      <c r="KJ103" s="25"/>
      <c r="KK103" s="25"/>
      <c r="KL103" s="25"/>
      <c r="KM103" s="25"/>
      <c r="KN103" s="25"/>
      <c r="KO103" s="110"/>
      <c r="KP103" s="110"/>
      <c r="KQ103" s="25"/>
      <c r="KR103" s="25"/>
      <c r="KS103" s="25"/>
      <c r="KT103" s="25"/>
      <c r="KU103" s="25"/>
      <c r="KV103" s="110"/>
      <c r="KW103" s="110"/>
      <c r="KX103" s="25"/>
      <c r="KY103" s="25"/>
      <c r="KZ103" s="25"/>
      <c r="LA103" s="25"/>
      <c r="LB103" s="25"/>
      <c r="LC103" s="110"/>
      <c r="LD103" s="110"/>
      <c r="LE103" s="25"/>
      <c r="LF103" s="25"/>
      <c r="LG103" s="110" t="s">
        <v>445</v>
      </c>
      <c r="LH103" s="25"/>
      <c r="LI103" s="25"/>
      <c r="LJ103" s="110"/>
      <c r="LK103" s="110"/>
      <c r="LL103" s="25"/>
      <c r="LM103" s="25"/>
      <c r="LN103" s="25"/>
      <c r="LO103" s="25"/>
      <c r="LP103" s="25"/>
      <c r="LQ103" s="110"/>
      <c r="LR103" s="110"/>
      <c r="LS103" s="25"/>
      <c r="LT103" s="25"/>
      <c r="LU103" s="25"/>
      <c r="LV103" s="25"/>
      <c r="LW103" s="25"/>
      <c r="LX103" s="110"/>
      <c r="LY103" s="110"/>
      <c r="LZ103" s="25"/>
      <c r="MA103" s="25"/>
      <c r="MB103" s="25"/>
      <c r="MC103" s="25"/>
      <c r="MD103" s="25"/>
      <c r="ME103" s="110"/>
      <c r="MF103" s="110"/>
      <c r="MG103" s="25"/>
      <c r="MH103" s="25"/>
      <c r="MI103" s="25"/>
      <c r="MJ103" s="25"/>
      <c r="MK103" s="25"/>
      <c r="ML103" s="110"/>
      <c r="MM103" s="110"/>
      <c r="MN103" s="25"/>
      <c r="MO103" s="25"/>
      <c r="MP103" s="25"/>
      <c r="MQ103" s="25"/>
      <c r="MR103" s="25"/>
      <c r="MS103" s="110"/>
      <c r="MT103" s="110"/>
      <c r="MU103" s="25"/>
      <c r="MV103" s="25"/>
      <c r="MW103" s="25"/>
      <c r="MX103" s="25"/>
      <c r="MY103" s="25"/>
      <c r="MZ103" s="110"/>
      <c r="NA103" s="110"/>
      <c r="NB103" s="25"/>
      <c r="NC103" s="25"/>
      <c r="ND103" s="25"/>
      <c r="NE103" s="129"/>
      <c r="NF103" s="111"/>
      <c r="NG103" s="8">
        <f t="shared" si="72"/>
        <v>11</v>
      </c>
      <c r="NH103" s="351" cm="1">
        <f t="array" ref="NH103">NETWORKDAYS($I$2,$AH$2)- SUM(COUNTIF(I103:AH103,{"I";"F";"CP";"R";"P";"AC";"AM"}))</f>
        <v>14</v>
      </c>
      <c r="NI103" s="138">
        <f t="shared" si="67"/>
        <v>0.7857142857142857</v>
      </c>
      <c r="NJ103" s="8">
        <f t="shared" si="73"/>
        <v>12</v>
      </c>
      <c r="NK103" s="351" cm="1">
        <f t="array" ref="NK103">NETWORKDAYS($AJ$2,$BK$2)- SUM(COUNTIF(AJ103:BK103,{"I";"F";"CP";"R";"P";"AC";"AM"}))</f>
        <v>20</v>
      </c>
      <c r="NL103" s="138">
        <f t="shared" si="68"/>
        <v>0.6</v>
      </c>
      <c r="NM103" s="8">
        <f t="shared" si="74"/>
        <v>13</v>
      </c>
      <c r="NN103" s="351" cm="1">
        <f t="array" ref="NN103">NETWORKDAYS($BL$2,$CP$2)- SUM(COUNTIF(BL103:CP103,{"I";"F";"CP";"R";"P";"AC";"AM"}))</f>
        <v>16</v>
      </c>
      <c r="NO103" s="138">
        <f t="shared" si="69"/>
        <v>0.8125</v>
      </c>
      <c r="NP103" s="8">
        <f t="shared" si="75"/>
        <v>7</v>
      </c>
      <c r="NQ103" s="351" cm="1">
        <f t="array" ref="NQ103">NETWORKDAYS($CQ$2,$DT$2,$CV$2)- SUM(COUNTIF(CQ103:DT103,{"I";"F";"CP";"R";"P";"AC";"AM"}))</f>
        <v>16</v>
      </c>
      <c r="NR103" s="138">
        <f t="shared" si="70"/>
        <v>0.4375</v>
      </c>
      <c r="NS103" s="8">
        <f t="shared" si="76"/>
        <v>6</v>
      </c>
      <c r="NT103" s="351" cm="1">
        <f t="array" ref="NT103">NETWORKDAYS($DV$2,$EY$2)-SUM(COUNTIF(DV103:EY103,{"I";"F";"CP";"R";"P";"AC";"AM"}))</f>
        <v>13</v>
      </c>
      <c r="NU103" s="138">
        <f t="shared" si="71"/>
        <v>0.46153846153846156</v>
      </c>
      <c r="NV103" s="8">
        <f t="shared" si="78"/>
        <v>0</v>
      </c>
      <c r="NW103" s="351" cm="1">
        <f t="array" ref="NW103">NETWORKDAYS($EZ$2,$GC$2)-SUM(COUNTIF(EZ103:GC103,{"I";"F";"CP";"R";"P";"AC";"AM"}))</f>
        <v>22</v>
      </c>
      <c r="NX103" s="138">
        <f t="shared" si="79"/>
        <v>0</v>
      </c>
      <c r="NY103" s="8">
        <f t="shared" si="80"/>
        <v>0</v>
      </c>
      <c r="NZ103" s="351" cm="1">
        <f t="array" ref="NZ103">NETWORKDAYS($GD$2,$HH$2,$GQ$2)-SUM(COUNTIF(GD103:HH103,{"I";"F";"CP";"R";"P";"AC";"AM"}))</f>
        <v>21</v>
      </c>
      <c r="OA103" s="138">
        <f t="shared" si="81"/>
        <v>0</v>
      </c>
      <c r="OB103" s="8">
        <f t="shared" si="82"/>
        <v>0</v>
      </c>
      <c r="OC103" s="351" cm="1">
        <f t="array" ref="OC103">NETWORKDAYS($HI$2,$IM$2)-SUM(COUNTIF(HI103:IM103,{"I";"F";"CP";"R";"P";"AC";"AM"}))</f>
        <v>21</v>
      </c>
      <c r="OD103" s="138">
        <f t="shared" si="83"/>
        <v>0</v>
      </c>
      <c r="OE103" s="8">
        <f t="shared" si="84"/>
        <v>0</v>
      </c>
      <c r="OF103" s="351" cm="1">
        <f t="array" ref="OF103">NETWORKDAYS($IN$2,$JQ$2)-SUM(COUNTIF(IN103:JQ103,{"I";"F";"CP";"R";"P";"AC";"AM"}))</f>
        <v>22</v>
      </c>
      <c r="OG103" s="138">
        <f t="shared" si="85"/>
        <v>0</v>
      </c>
      <c r="OH103" s="8">
        <f t="shared" si="86"/>
        <v>0</v>
      </c>
      <c r="OI103" s="351" cm="1">
        <f t="array" ref="OI103">NETWORKDAYS($JR$2,$KV$2)-SUM(COUNTIF(JR103:KV103,{"I";"F";"CP";"R";"P";"AC";"AM"}))</f>
        <v>22</v>
      </c>
      <c r="OJ103" s="138">
        <f t="shared" si="87"/>
        <v>0</v>
      </c>
      <c r="OK103" s="8">
        <f t="shared" si="88"/>
        <v>0</v>
      </c>
      <c r="OL103" s="351" cm="1">
        <f t="array" ref="OL103">NETWORKDAYS($KW$2,$LZ$2,$LG$2)-SUM(COUNTIF(KW103:LZ103,{"I";"F";"CP";"R";"P";"AC";"AM"}))</f>
        <v>19</v>
      </c>
      <c r="OM103" s="138">
        <f t="shared" si="89"/>
        <v>0</v>
      </c>
      <c r="ON103" s="8">
        <f t="shared" si="90"/>
        <v>0</v>
      </c>
      <c r="OO103" s="351" cm="1">
        <f t="array" ref="OO103">NETWORKDAYS($MA$2,$MR$2)-SUM(COUNTIF(MA103:MR103,{"I";"F";"CP";"R";"P";"AC";"AM"}))</f>
        <v>14</v>
      </c>
      <c r="OP103" s="138">
        <f t="shared" si="91"/>
        <v>0</v>
      </c>
      <c r="OQ103" s="94">
        <f t="shared" si="92"/>
        <v>49</v>
      </c>
      <c r="OR103" s="94">
        <f t="shared" si="93"/>
        <v>220</v>
      </c>
      <c r="OS103" s="138">
        <f t="shared" si="94"/>
        <v>0.22272727272727272</v>
      </c>
    </row>
    <row r="104" spans="1:409" ht="18" hidden="1" customHeight="1" x14ac:dyDescent="0.25">
      <c r="A104" s="95" t="s">
        <v>269</v>
      </c>
      <c r="B104" s="95" t="s">
        <v>34</v>
      </c>
      <c r="C104" s="89" t="s">
        <v>160</v>
      </c>
      <c r="D104" s="89" t="s">
        <v>280</v>
      </c>
      <c r="E104" s="128"/>
      <c r="F104" s="110"/>
      <c r="G104" s="110"/>
      <c r="H104" s="110"/>
      <c r="I104" s="25"/>
      <c r="J104" s="25"/>
      <c r="K104" s="25"/>
      <c r="L104" s="25"/>
      <c r="M104" s="25"/>
      <c r="N104" s="110"/>
      <c r="O104" s="110"/>
      <c r="P104" s="25">
        <v>1</v>
      </c>
      <c r="Q104" s="25">
        <v>1</v>
      </c>
      <c r="R104" s="25">
        <v>1</v>
      </c>
      <c r="S104" s="25">
        <v>1</v>
      </c>
      <c r="T104" s="25">
        <v>1</v>
      </c>
      <c r="U104" s="110"/>
      <c r="V104" s="110"/>
      <c r="W104" s="25">
        <v>1</v>
      </c>
      <c r="X104" s="25">
        <v>1</v>
      </c>
      <c r="Y104" s="25">
        <v>1</v>
      </c>
      <c r="Z104" s="25"/>
      <c r="AA104" s="25"/>
      <c r="AB104" s="110"/>
      <c r="AC104" s="110"/>
      <c r="AD104" s="25">
        <v>1</v>
      </c>
      <c r="AE104" s="25">
        <v>1</v>
      </c>
      <c r="AF104" s="25"/>
      <c r="AG104" s="25">
        <v>1</v>
      </c>
      <c r="AH104" s="25">
        <v>1</v>
      </c>
      <c r="AI104" s="110"/>
      <c r="AJ104" s="110"/>
      <c r="AK104" s="25">
        <v>1</v>
      </c>
      <c r="AL104" s="25"/>
      <c r="AM104" s="25">
        <v>1</v>
      </c>
      <c r="AN104" s="25">
        <v>1</v>
      </c>
      <c r="AO104" s="25">
        <v>1</v>
      </c>
      <c r="AP104" s="110"/>
      <c r="AQ104" s="110"/>
      <c r="AR104" s="25">
        <v>1</v>
      </c>
      <c r="AS104" s="25">
        <v>1</v>
      </c>
      <c r="AT104" s="25">
        <v>1</v>
      </c>
      <c r="AV104" s="25">
        <v>1</v>
      </c>
      <c r="AW104" s="110"/>
      <c r="AX104" s="110"/>
      <c r="AY104" s="25"/>
      <c r="AZ104" s="25">
        <v>1</v>
      </c>
      <c r="BA104" s="25">
        <v>1</v>
      </c>
      <c r="BB104" s="25"/>
      <c r="BC104" s="25"/>
      <c r="BD104" s="110"/>
      <c r="BE104" s="110"/>
      <c r="BF104" s="25">
        <v>1</v>
      </c>
      <c r="BG104" s="25">
        <v>1</v>
      </c>
      <c r="BH104" s="25">
        <v>1</v>
      </c>
      <c r="BI104" s="25">
        <v>1</v>
      </c>
      <c r="BJ104" s="25"/>
      <c r="BK104" s="110"/>
      <c r="BL104" s="110"/>
      <c r="BM104" s="25"/>
      <c r="BN104" s="25">
        <v>1</v>
      </c>
      <c r="BO104" s="25"/>
      <c r="BP104" s="25"/>
      <c r="BQ104" s="25"/>
      <c r="BR104" s="110"/>
      <c r="BS104" s="110"/>
      <c r="BT104" s="25">
        <v>1</v>
      </c>
      <c r="BU104" s="25">
        <v>1</v>
      </c>
      <c r="BV104" s="25">
        <v>1</v>
      </c>
      <c r="BW104" s="25">
        <v>1</v>
      </c>
      <c r="BX104" s="25"/>
      <c r="BY104" s="110"/>
      <c r="BZ104" s="110"/>
      <c r="CA104" s="25"/>
      <c r="CB104" s="25">
        <v>1</v>
      </c>
      <c r="CC104" s="25">
        <v>1</v>
      </c>
      <c r="CD104" s="25">
        <v>1</v>
      </c>
      <c r="CE104" s="25">
        <v>1</v>
      </c>
      <c r="CF104" s="110"/>
      <c r="CG104" s="110"/>
      <c r="CH104" s="25">
        <v>1</v>
      </c>
      <c r="CI104" s="25">
        <v>1</v>
      </c>
      <c r="CJ104" s="25">
        <v>1</v>
      </c>
      <c r="CK104" s="25"/>
      <c r="CL104" s="25"/>
      <c r="CM104" s="110"/>
      <c r="CN104" s="110"/>
      <c r="CO104" s="25">
        <v>1</v>
      </c>
      <c r="CP104" s="25"/>
      <c r="CQ104" s="25"/>
      <c r="CR104" s="25"/>
      <c r="CS104" s="25"/>
      <c r="CT104" s="110"/>
      <c r="CU104" s="110"/>
      <c r="CV104" s="110"/>
      <c r="CW104" s="25" t="s">
        <v>223</v>
      </c>
      <c r="CX104" s="25" t="s">
        <v>223</v>
      </c>
      <c r="CY104" s="25" t="s">
        <v>223</v>
      </c>
      <c r="CZ104" s="25" t="s">
        <v>223</v>
      </c>
      <c r="DA104" s="110"/>
      <c r="DB104" s="110"/>
      <c r="DC104" s="25" t="s">
        <v>223</v>
      </c>
      <c r="DD104" s="25" t="s">
        <v>223</v>
      </c>
      <c r="DE104" s="25" t="s">
        <v>223</v>
      </c>
      <c r="DF104" s="25" t="s">
        <v>223</v>
      </c>
      <c r="DG104" s="25" t="s">
        <v>223</v>
      </c>
      <c r="DH104" s="110"/>
      <c r="DI104" s="110"/>
      <c r="DJ104" s="25"/>
      <c r="DK104" s="25"/>
      <c r="DL104" s="25"/>
      <c r="DM104" s="25"/>
      <c r="DN104" s="25">
        <v>1</v>
      </c>
      <c r="DO104" s="110"/>
      <c r="DP104" s="110"/>
      <c r="DQ104" s="25">
        <v>1</v>
      </c>
      <c r="DR104" s="25"/>
      <c r="DS104" s="25"/>
      <c r="DT104" s="25"/>
      <c r="DU104" s="110" t="s">
        <v>445</v>
      </c>
      <c r="DV104" s="110"/>
      <c r="DW104" s="110"/>
      <c r="DX104" s="25"/>
      <c r="DY104" s="25"/>
      <c r="DZ104" s="25"/>
      <c r="EA104" s="25"/>
      <c r="EB104" s="110" t="s">
        <v>445</v>
      </c>
      <c r="EC104" s="110"/>
      <c r="ED104" s="110"/>
      <c r="EE104" s="25"/>
      <c r="EF104" s="25">
        <v>1</v>
      </c>
      <c r="EG104" s="25"/>
      <c r="EH104" s="110" t="s">
        <v>445</v>
      </c>
      <c r="EI104" s="110" t="s">
        <v>445</v>
      </c>
      <c r="EJ104" s="110"/>
      <c r="EK104" s="110"/>
      <c r="EL104" s="25"/>
      <c r="EM104" s="25"/>
      <c r="EN104" s="25"/>
      <c r="EO104" s="25"/>
      <c r="EP104" s="25"/>
      <c r="EQ104" s="110"/>
      <c r="ER104" s="110"/>
      <c r="ES104" s="110" t="s">
        <v>445</v>
      </c>
      <c r="ET104" s="25"/>
      <c r="EU104" s="25"/>
      <c r="EV104" s="25"/>
      <c r="EW104" s="25"/>
      <c r="EX104" s="110"/>
      <c r="EY104" s="110"/>
      <c r="EZ104" s="25"/>
      <c r="FA104" s="25"/>
      <c r="FB104" s="25"/>
      <c r="FC104" s="25"/>
      <c r="FD104" s="25"/>
      <c r="FE104" s="110"/>
      <c r="FF104" s="110"/>
      <c r="FG104" s="25"/>
      <c r="FH104" s="25"/>
      <c r="FI104" s="25"/>
      <c r="FJ104" s="25"/>
      <c r="FK104" s="25"/>
      <c r="FL104" s="110"/>
      <c r="FM104" s="110"/>
      <c r="FN104" s="25"/>
      <c r="FO104" s="25"/>
      <c r="FP104" s="25"/>
      <c r="FQ104" s="25"/>
      <c r="FR104" s="25"/>
      <c r="FS104" s="110"/>
      <c r="FT104" s="110"/>
      <c r="FU104" s="25"/>
      <c r="FV104" s="25"/>
      <c r="FW104" s="25"/>
      <c r="FX104" s="25"/>
      <c r="FY104" s="25"/>
      <c r="FZ104" s="110"/>
      <c r="GA104" s="110"/>
      <c r="GB104" s="25"/>
      <c r="GC104" s="25"/>
      <c r="GD104" s="25"/>
      <c r="GE104" s="25"/>
      <c r="GF104" s="25"/>
      <c r="GG104" s="110"/>
      <c r="GH104" s="110"/>
      <c r="GI104" s="25"/>
      <c r="GJ104" s="25"/>
      <c r="GK104" s="25"/>
      <c r="GL104" s="25"/>
      <c r="GM104" s="25"/>
      <c r="GN104" s="110"/>
      <c r="GO104" s="110"/>
      <c r="GP104" s="110" t="s">
        <v>445</v>
      </c>
      <c r="GQ104" s="110"/>
      <c r="GR104" s="25"/>
      <c r="GS104" s="25"/>
      <c r="GT104" s="25"/>
      <c r="GU104" s="110"/>
      <c r="GV104" s="110"/>
      <c r="GW104" s="25"/>
      <c r="GX104" s="25"/>
      <c r="GY104" s="25"/>
      <c r="GZ104" s="25"/>
      <c r="HA104" s="25"/>
      <c r="HB104" s="110"/>
      <c r="HC104" s="110"/>
      <c r="HD104" s="25"/>
      <c r="HE104" s="25"/>
      <c r="HF104" s="25"/>
      <c r="HG104" s="25"/>
      <c r="HH104" s="25"/>
      <c r="HI104" s="110"/>
      <c r="HJ104" s="110"/>
      <c r="HK104" s="25"/>
      <c r="HL104" s="25"/>
      <c r="HM104" s="25"/>
      <c r="HN104" s="25"/>
      <c r="HO104" s="25"/>
      <c r="HP104" s="110"/>
      <c r="HQ104" s="110"/>
      <c r="HR104" s="25"/>
      <c r="HS104" s="25"/>
      <c r="HT104" s="25"/>
      <c r="HU104" s="25"/>
      <c r="HV104" s="25"/>
      <c r="HW104" s="110"/>
      <c r="HX104" s="110"/>
      <c r="HY104" s="25"/>
      <c r="HZ104" s="25"/>
      <c r="IA104" s="25"/>
      <c r="IB104" s="25"/>
      <c r="IC104" s="25"/>
      <c r="ID104" s="110"/>
      <c r="IE104" s="110"/>
      <c r="IF104" s="25"/>
      <c r="IG104" s="25"/>
      <c r="IH104" s="25"/>
      <c r="II104" s="25"/>
      <c r="IJ104" s="25"/>
      <c r="IK104" s="110"/>
      <c r="IL104" s="110"/>
      <c r="IM104" s="25"/>
      <c r="IN104" s="25"/>
      <c r="IO104" s="25"/>
      <c r="IP104" s="25"/>
      <c r="IQ104" s="25"/>
      <c r="IR104" s="110"/>
      <c r="IS104" s="110"/>
      <c r="IT104" s="25"/>
      <c r="IU104" s="25"/>
      <c r="IV104" s="25"/>
      <c r="IW104" s="25"/>
      <c r="IX104" s="25"/>
      <c r="IY104" s="110"/>
      <c r="IZ104" s="110"/>
      <c r="JA104" s="25"/>
      <c r="JB104" s="25"/>
      <c r="JC104" s="25"/>
      <c r="JD104" s="25"/>
      <c r="JE104" s="25"/>
      <c r="JF104" s="110"/>
      <c r="JG104" s="110"/>
      <c r="JH104" s="25"/>
      <c r="JI104" s="25"/>
      <c r="JJ104" s="25"/>
      <c r="JK104" s="25"/>
      <c r="JL104" s="25"/>
      <c r="JM104" s="110"/>
      <c r="JN104" s="110"/>
      <c r="JO104" s="25"/>
      <c r="JP104" s="25"/>
      <c r="JQ104" s="25"/>
      <c r="JR104" s="25"/>
      <c r="JS104" s="25"/>
      <c r="JT104" s="110"/>
      <c r="JU104" s="110"/>
      <c r="JV104" s="25"/>
      <c r="JW104" s="25"/>
      <c r="JX104" s="25"/>
      <c r="JY104" s="25"/>
      <c r="JZ104" s="25"/>
      <c r="KA104" s="110"/>
      <c r="KB104" s="110"/>
      <c r="KC104" s="25"/>
      <c r="KD104" s="25"/>
      <c r="KE104" s="25"/>
      <c r="KF104" s="25"/>
      <c r="KG104" s="25"/>
      <c r="KH104" s="110"/>
      <c r="KI104" s="110"/>
      <c r="KJ104" s="25"/>
      <c r="KK104" s="25"/>
      <c r="KL104" s="25"/>
      <c r="KM104" s="25"/>
      <c r="KN104" s="25"/>
      <c r="KO104" s="110"/>
      <c r="KP104" s="110"/>
      <c r="KQ104" s="25"/>
      <c r="KR104" s="25"/>
      <c r="KS104" s="25"/>
      <c r="KT104" s="25"/>
      <c r="KU104" s="25"/>
      <c r="KV104" s="110"/>
      <c r="KW104" s="110"/>
      <c r="KX104" s="25"/>
      <c r="KY104" s="25"/>
      <c r="KZ104" s="25"/>
      <c r="LA104" s="25"/>
      <c r="LB104" s="25"/>
      <c r="LC104" s="110"/>
      <c r="LD104" s="110"/>
      <c r="LE104" s="25"/>
      <c r="LF104" s="25"/>
      <c r="LG104" s="110" t="s">
        <v>445</v>
      </c>
      <c r="LH104" s="25"/>
      <c r="LI104" s="25"/>
      <c r="LJ104" s="110"/>
      <c r="LK104" s="110"/>
      <c r="LL104" s="25"/>
      <c r="LM104" s="25"/>
      <c r="LN104" s="25"/>
      <c r="LO104" s="25"/>
      <c r="LP104" s="25"/>
      <c r="LQ104" s="110"/>
      <c r="LR104" s="110"/>
      <c r="LS104" s="25"/>
      <c r="LT104" s="25"/>
      <c r="LU104" s="25"/>
      <c r="LV104" s="25"/>
      <c r="LW104" s="25"/>
      <c r="LX104" s="110"/>
      <c r="LY104" s="110"/>
      <c r="LZ104" s="25"/>
      <c r="MA104" s="25"/>
      <c r="MB104" s="25"/>
      <c r="MC104" s="25"/>
      <c r="MD104" s="25"/>
      <c r="ME104" s="110"/>
      <c r="MF104" s="110"/>
      <c r="MG104" s="25"/>
      <c r="MH104" s="25"/>
      <c r="MI104" s="25"/>
      <c r="MJ104" s="25"/>
      <c r="MK104" s="25"/>
      <c r="ML104" s="110"/>
      <c r="MM104" s="110"/>
      <c r="MN104" s="25"/>
      <c r="MO104" s="25"/>
      <c r="MP104" s="25"/>
      <c r="MQ104" s="25"/>
      <c r="MR104" s="25"/>
      <c r="MS104" s="110"/>
      <c r="MT104" s="110"/>
      <c r="MU104" s="25"/>
      <c r="MV104" s="25"/>
      <c r="MW104" s="25"/>
      <c r="MX104" s="25"/>
      <c r="MY104" s="25"/>
      <c r="MZ104" s="110"/>
      <c r="NA104" s="110"/>
      <c r="NB104" s="25"/>
      <c r="NC104" s="25"/>
      <c r="ND104" s="25"/>
      <c r="NE104" s="129"/>
      <c r="NF104" s="111"/>
      <c r="NG104" s="8">
        <f t="shared" si="72"/>
        <v>12</v>
      </c>
      <c r="NH104" s="351" cm="1">
        <f t="array" ref="NH104">NETWORKDAYS($I$2,$AH$2)- SUM(COUNTIF(I104:AH104,{"I";"F";"CP";"R";"P";"AC";"AM"}))</f>
        <v>20</v>
      </c>
      <c r="NI104" s="138">
        <f t="shared" si="67"/>
        <v>0.6</v>
      </c>
      <c r="NJ104" s="8">
        <f t="shared" si="73"/>
        <v>14</v>
      </c>
      <c r="NK104" s="351" cm="1">
        <f t="array" ref="NK104">NETWORKDAYS($AJ$2,$BK$2)- SUM(COUNTIF(AJ104:BK104,{"I";"F";"CP";"R";"P";"AC";"AM"}))</f>
        <v>20</v>
      </c>
      <c r="NL104" s="138">
        <f t="shared" si="68"/>
        <v>0.7</v>
      </c>
      <c r="NM104" s="8">
        <f t="shared" si="74"/>
        <v>13</v>
      </c>
      <c r="NN104" s="351" cm="1">
        <f t="array" ref="NN104">NETWORKDAYS($BL$2,$CP$2)- SUM(COUNTIF(BL104:CP104,{"I";"F";"CP";"R";"P";"AC";"AM"}))</f>
        <v>22</v>
      </c>
      <c r="NO104" s="138">
        <f t="shared" si="69"/>
        <v>0.59090909090909094</v>
      </c>
      <c r="NP104" s="8">
        <f t="shared" si="75"/>
        <v>2</v>
      </c>
      <c r="NQ104" s="351" cm="1">
        <f t="array" ref="NQ104">NETWORKDAYS($CQ$2,$DT$2,$CV$2)- SUM(COUNTIF(CQ104:DT104,{"I";"F";"CP";"R";"P";"AC";"AM"}))</f>
        <v>12</v>
      </c>
      <c r="NR104" s="138">
        <f t="shared" si="70"/>
        <v>0.16666666666666666</v>
      </c>
      <c r="NS104" s="8">
        <f t="shared" si="76"/>
        <v>1</v>
      </c>
      <c r="NT104" s="351" cm="1">
        <f t="array" ref="NT104">NETWORKDAYS($DV$2,$EY$2)-SUM(COUNTIF(DV104:EY104,{"I";"F";"CP";"R";"P";"AC";"AM"}))</f>
        <v>16</v>
      </c>
      <c r="NU104" s="138">
        <f t="shared" si="71"/>
        <v>6.25E-2</v>
      </c>
      <c r="NV104" s="8">
        <f t="shared" ref="NV104:NV108" si="113">SUM(EZ104:GC104)</f>
        <v>0</v>
      </c>
      <c r="NW104" s="351" cm="1">
        <f t="array" ref="NW104">NETWORKDAYS($EZ$2,$GC$2)-SUM(COUNTIF(EZ104:GC104,{"I";"F";"CP";"R";"P";"AC";"AM"}))</f>
        <v>22</v>
      </c>
      <c r="NX104" s="138">
        <f t="shared" ref="NX104:NX115" si="114">NV104/NW104</f>
        <v>0</v>
      </c>
      <c r="NY104" s="8">
        <f t="shared" ref="NY104:NY108" si="115">SUM(GD104:HH104)</f>
        <v>0</v>
      </c>
      <c r="NZ104" s="351" cm="1">
        <f t="array" ref="NZ104">NETWORKDAYS($GD$2,$HH$2,$GQ$2)-SUM(COUNTIF(GD104:HH104,{"I";"F";"CP";"R";"P";"AC";"AM"}))</f>
        <v>21</v>
      </c>
      <c r="OA104" s="138">
        <f t="shared" ref="OA104:OA115" si="116">NY104/NZ104</f>
        <v>0</v>
      </c>
      <c r="OB104" s="8">
        <f t="shared" ref="OB104:OB108" si="117">SUM(HI104:IM104)</f>
        <v>0</v>
      </c>
      <c r="OC104" s="351" cm="1">
        <f t="array" ref="OC104">NETWORKDAYS($HI$2,$IM$2)-SUM(COUNTIF(HI104:IM104,{"I";"F";"CP";"R";"P";"AC";"AM"}))</f>
        <v>21</v>
      </c>
      <c r="OD104" s="138">
        <f t="shared" ref="OD104:OD115" si="118">OB104/OC104</f>
        <v>0</v>
      </c>
      <c r="OE104" s="8">
        <f t="shared" ref="OE104:OE108" si="119">SUM(IN104:JQ104)</f>
        <v>0</v>
      </c>
      <c r="OF104" s="351" cm="1">
        <f t="array" ref="OF104">NETWORKDAYS($IN$2,$JQ$2)-SUM(COUNTIF(IN104:JQ104,{"I";"F";"CP";"R";"P";"AC";"AM"}))</f>
        <v>22</v>
      </c>
      <c r="OG104" s="138">
        <f t="shared" ref="OG104:OG115" si="120">OE104/OF104</f>
        <v>0</v>
      </c>
      <c r="OH104" s="8">
        <f t="shared" ref="OH104:OH108" si="121">SUM(JR104:KV104)</f>
        <v>0</v>
      </c>
      <c r="OI104" s="351" cm="1">
        <f t="array" ref="OI104">NETWORKDAYS($JR$2,$KV$2)-SUM(COUNTIF(JR104:KV104,{"I";"F";"CP";"R";"P";"AC";"AM"}))</f>
        <v>22</v>
      </c>
      <c r="OJ104" s="138">
        <f t="shared" ref="OJ104:OJ115" si="122">OH104/OI104</f>
        <v>0</v>
      </c>
      <c r="OK104" s="8">
        <f t="shared" ref="OK104:OK108" si="123">SUM(KW104:LZ104)</f>
        <v>0</v>
      </c>
      <c r="OL104" s="351" cm="1">
        <f t="array" ref="OL104">NETWORKDAYS($KW$2,$LZ$2,$LG$2)-SUM(COUNTIF(KW104:LZ104,{"I";"F";"CP";"R";"P";"AC";"AM"}))</f>
        <v>19</v>
      </c>
      <c r="OM104" s="138">
        <f t="shared" ref="OM104:OM115" si="124">OK104/OL104</f>
        <v>0</v>
      </c>
      <c r="ON104" s="8">
        <f t="shared" ref="ON104:ON108" si="125">SUM(MA104:NE104)</f>
        <v>0</v>
      </c>
      <c r="OO104" s="351" cm="1">
        <f t="array" ref="OO104">NETWORKDAYS($MA$2,$MR$2)-SUM(COUNTIF(MA104:MR104,{"I";"F";"CP";"R";"P";"AC";"AM"}))</f>
        <v>14</v>
      </c>
      <c r="OP104" s="138">
        <f t="shared" ref="OP104:OP115" si="126">ON104/OO104</f>
        <v>0</v>
      </c>
      <c r="OQ104" s="94">
        <f t="shared" ref="OQ104:OQ115" si="127">NG104+NJ104+NM104+NP104+NS104+NV104+NY104+OB104+OE104+OH104+OK104+ON104</f>
        <v>42</v>
      </c>
      <c r="OR104" s="94">
        <f t="shared" ref="OR104:OR115" si="128">NH104+NK104+NN104+NQ104+NT104+NW104+NZ104+OC104+OF104+OI104+OL104+OO104</f>
        <v>231</v>
      </c>
      <c r="OS104" s="138">
        <f t="shared" ref="OS104:OS115" si="129">OQ104/OR104</f>
        <v>0.18181818181818182</v>
      </c>
    </row>
    <row r="105" spans="1:409" ht="18" hidden="1" customHeight="1" x14ac:dyDescent="0.25">
      <c r="A105" s="95" t="s">
        <v>164</v>
      </c>
      <c r="B105" s="95" t="s">
        <v>34</v>
      </c>
      <c r="C105" s="89" t="s">
        <v>160</v>
      </c>
      <c r="D105" s="89" t="s">
        <v>281</v>
      </c>
      <c r="E105" s="128"/>
      <c r="F105" s="110"/>
      <c r="G105" s="110"/>
      <c r="H105" s="110"/>
      <c r="I105" s="25"/>
      <c r="J105" s="25"/>
      <c r="K105" s="25"/>
      <c r="L105" s="25"/>
      <c r="M105" s="25"/>
      <c r="N105" s="110"/>
      <c r="O105" s="110"/>
      <c r="P105" s="25"/>
      <c r="Q105" s="25"/>
      <c r="R105" s="25">
        <v>1</v>
      </c>
      <c r="S105" s="25"/>
      <c r="T105" s="25">
        <v>1</v>
      </c>
      <c r="U105" s="110"/>
      <c r="V105" s="110"/>
      <c r="W105" s="25">
        <v>1</v>
      </c>
      <c r="X105" s="25"/>
      <c r="Y105" s="25"/>
      <c r="Z105" s="25"/>
      <c r="AA105" s="25"/>
      <c r="AB105" s="110"/>
      <c r="AC105" s="110"/>
      <c r="AD105" s="25"/>
      <c r="AE105" s="25"/>
      <c r="AF105" s="25"/>
      <c r="AG105" s="25"/>
      <c r="AH105" s="25"/>
      <c r="AI105" s="110"/>
      <c r="AJ105" s="110"/>
      <c r="AK105" s="25">
        <v>1</v>
      </c>
      <c r="AL105" s="25"/>
      <c r="AM105" s="25"/>
      <c r="AN105" s="25" t="s">
        <v>447</v>
      </c>
      <c r="AO105" s="25" t="s">
        <v>447</v>
      </c>
      <c r="AP105" s="110"/>
      <c r="AQ105" s="110"/>
      <c r="AR105" s="25"/>
      <c r="AS105" s="25"/>
      <c r="AT105" s="25"/>
      <c r="AU105" s="25"/>
      <c r="AV105" s="25"/>
      <c r="AW105" s="110"/>
      <c r="AX105" s="110"/>
      <c r="AY105" s="25"/>
      <c r="AZ105" s="25"/>
      <c r="BA105" s="25"/>
      <c r="BB105" s="25"/>
      <c r="BC105" s="25"/>
      <c r="BD105" s="110"/>
      <c r="BE105" s="110"/>
      <c r="BF105" s="25"/>
      <c r="BG105" s="25"/>
      <c r="BH105" s="25"/>
      <c r="BI105" s="25"/>
      <c r="BJ105" s="25"/>
      <c r="BK105" s="110"/>
      <c r="BL105" s="110"/>
      <c r="BM105" s="25"/>
      <c r="BN105" s="25"/>
      <c r="BO105" s="25"/>
      <c r="BP105" s="25"/>
      <c r="BQ105" s="25"/>
      <c r="BR105" s="110"/>
      <c r="BS105" s="110"/>
      <c r="BT105" s="25"/>
      <c r="BU105" s="25"/>
      <c r="BV105" s="25"/>
      <c r="BW105" s="25"/>
      <c r="BX105" s="25"/>
      <c r="BY105" s="110"/>
      <c r="BZ105" s="110"/>
      <c r="CA105" s="25"/>
      <c r="CB105" s="25"/>
      <c r="CC105" s="25"/>
      <c r="CD105" s="25"/>
      <c r="CE105" s="25"/>
      <c r="CF105" s="110"/>
      <c r="CG105" s="110"/>
      <c r="CH105" s="25"/>
      <c r="CI105" s="25"/>
      <c r="CJ105" s="25"/>
      <c r="CK105" s="25"/>
      <c r="CL105" s="25"/>
      <c r="CM105" s="110"/>
      <c r="CN105" s="110"/>
      <c r="CO105" s="25"/>
      <c r="CP105" s="25"/>
      <c r="CQ105" s="25"/>
      <c r="CR105" s="25"/>
      <c r="CS105" s="25"/>
      <c r="CT105" s="110"/>
      <c r="CU105" s="110"/>
      <c r="CV105" s="110"/>
      <c r="CW105" s="25"/>
      <c r="CX105" s="25">
        <v>1</v>
      </c>
      <c r="CY105" s="25"/>
      <c r="CZ105" s="25"/>
      <c r="DA105" s="110"/>
      <c r="DB105" s="110"/>
      <c r="DC105" s="25" t="s">
        <v>223</v>
      </c>
      <c r="DD105" s="25" t="s">
        <v>223</v>
      </c>
      <c r="DE105" s="25" t="s">
        <v>223</v>
      </c>
      <c r="DF105" s="25"/>
      <c r="DG105" s="25">
        <v>1</v>
      </c>
      <c r="DH105" s="110"/>
      <c r="DI105" s="110"/>
      <c r="DJ105" s="25">
        <v>1</v>
      </c>
      <c r="DK105" s="25">
        <v>1</v>
      </c>
      <c r="DL105" s="25">
        <v>1</v>
      </c>
      <c r="DM105" s="25">
        <v>1</v>
      </c>
      <c r="DN105" s="25">
        <v>1</v>
      </c>
      <c r="DO105" s="110"/>
      <c r="DP105" s="110"/>
      <c r="DQ105" s="25"/>
      <c r="DR105" s="25">
        <v>1</v>
      </c>
      <c r="DS105" s="25">
        <v>1</v>
      </c>
      <c r="DT105" s="25"/>
      <c r="DU105" s="110" t="s">
        <v>445</v>
      </c>
      <c r="DV105" s="110"/>
      <c r="DW105" s="110"/>
      <c r="DX105" s="25"/>
      <c r="DY105" s="25"/>
      <c r="DZ105" s="25"/>
      <c r="EA105" s="25">
        <v>1</v>
      </c>
      <c r="EB105" s="110" t="s">
        <v>445</v>
      </c>
      <c r="EC105" s="110"/>
      <c r="ED105" s="110"/>
      <c r="EE105" s="25"/>
      <c r="EF105" s="25"/>
      <c r="EG105" s="25"/>
      <c r="EH105" s="110" t="s">
        <v>445</v>
      </c>
      <c r="EI105" s="110" t="s">
        <v>445</v>
      </c>
      <c r="EJ105" s="110"/>
      <c r="EK105" s="110"/>
      <c r="EL105" s="25">
        <v>1</v>
      </c>
      <c r="EM105" s="25"/>
      <c r="EN105" s="25"/>
      <c r="EO105" s="25"/>
      <c r="EP105" s="25"/>
      <c r="EQ105" s="110"/>
      <c r="ER105" s="110"/>
      <c r="ES105" s="110" t="s">
        <v>445</v>
      </c>
      <c r="ET105" s="25"/>
      <c r="EU105" s="25"/>
      <c r="EV105" s="25"/>
      <c r="EW105" s="25"/>
      <c r="EX105" s="110"/>
      <c r="EY105" s="110"/>
      <c r="EZ105" s="25"/>
      <c r="FA105" s="25"/>
      <c r="FB105" s="25"/>
      <c r="FC105" s="25"/>
      <c r="FD105" s="25"/>
      <c r="FE105" s="110"/>
      <c r="FF105" s="110"/>
      <c r="FG105" s="25"/>
      <c r="FH105" s="25"/>
      <c r="FI105" s="25"/>
      <c r="FJ105" s="25"/>
      <c r="FK105" s="25"/>
      <c r="FL105" s="110"/>
      <c r="FM105" s="110"/>
      <c r="FN105" s="25"/>
      <c r="FO105" s="25"/>
      <c r="FP105" s="25"/>
      <c r="FQ105" s="25"/>
      <c r="FR105" s="25"/>
      <c r="FS105" s="110"/>
      <c r="FT105" s="110"/>
      <c r="FU105" s="25"/>
      <c r="FV105" s="25"/>
      <c r="FW105" s="25"/>
      <c r="FX105" s="25"/>
      <c r="FY105" s="25"/>
      <c r="FZ105" s="110"/>
      <c r="GA105" s="110"/>
      <c r="GB105" s="25"/>
      <c r="GC105" s="25"/>
      <c r="GD105" s="25"/>
      <c r="GE105" s="25"/>
      <c r="GF105" s="25"/>
      <c r="GG105" s="110"/>
      <c r="GH105" s="110"/>
      <c r="GI105" s="25"/>
      <c r="GJ105" s="25"/>
      <c r="GK105" s="25"/>
      <c r="GL105" s="25"/>
      <c r="GM105" s="25"/>
      <c r="GN105" s="110"/>
      <c r="GO105" s="110"/>
      <c r="GP105" s="110" t="s">
        <v>445</v>
      </c>
      <c r="GQ105" s="110"/>
      <c r="GR105" s="25"/>
      <c r="GS105" s="25"/>
      <c r="GT105" s="25"/>
      <c r="GU105" s="110"/>
      <c r="GV105" s="110"/>
      <c r="GW105" s="25"/>
      <c r="GX105" s="25"/>
      <c r="GY105" s="25"/>
      <c r="GZ105" s="25"/>
      <c r="HA105" s="25"/>
      <c r="HB105" s="110"/>
      <c r="HC105" s="110"/>
      <c r="HD105" s="25"/>
      <c r="HE105" s="25"/>
      <c r="HF105" s="25"/>
      <c r="HG105" s="25"/>
      <c r="HH105" s="25"/>
      <c r="HI105" s="110"/>
      <c r="HJ105" s="110"/>
      <c r="HK105" s="25"/>
      <c r="HL105" s="25"/>
      <c r="HM105" s="25"/>
      <c r="HN105" s="25"/>
      <c r="HO105" s="25"/>
      <c r="HP105" s="110"/>
      <c r="HQ105" s="110"/>
      <c r="HR105" s="25"/>
      <c r="HS105" s="25"/>
      <c r="HT105" s="25"/>
      <c r="HU105" s="25"/>
      <c r="HV105" s="25"/>
      <c r="HW105" s="110"/>
      <c r="HX105" s="110"/>
      <c r="HY105" s="25"/>
      <c r="HZ105" s="25"/>
      <c r="IA105" s="25"/>
      <c r="IB105" s="25"/>
      <c r="IC105" s="25"/>
      <c r="ID105" s="110"/>
      <c r="IE105" s="110"/>
      <c r="IF105" s="25"/>
      <c r="IG105" s="25"/>
      <c r="IH105" s="25"/>
      <c r="II105" s="25"/>
      <c r="IJ105" s="25"/>
      <c r="IK105" s="110"/>
      <c r="IL105" s="110"/>
      <c r="IM105" s="25"/>
      <c r="IN105" s="25"/>
      <c r="IO105" s="25"/>
      <c r="IP105" s="25"/>
      <c r="IQ105" s="25"/>
      <c r="IR105" s="110"/>
      <c r="IS105" s="110"/>
      <c r="IT105" s="25"/>
      <c r="IU105" s="25"/>
      <c r="IV105" s="25"/>
      <c r="IW105" s="25"/>
      <c r="IX105" s="25"/>
      <c r="IY105" s="110"/>
      <c r="IZ105" s="110"/>
      <c r="JA105" s="25"/>
      <c r="JB105" s="25"/>
      <c r="JC105" s="25"/>
      <c r="JD105" s="25"/>
      <c r="JE105" s="25"/>
      <c r="JF105" s="110"/>
      <c r="JG105" s="110"/>
      <c r="JH105" s="25"/>
      <c r="JI105" s="25"/>
      <c r="JJ105" s="25"/>
      <c r="JK105" s="25"/>
      <c r="JL105" s="25"/>
      <c r="JM105" s="110"/>
      <c r="JN105" s="110"/>
      <c r="JO105" s="25"/>
      <c r="JP105" s="25"/>
      <c r="JQ105" s="25"/>
      <c r="JR105" s="25"/>
      <c r="JS105" s="25"/>
      <c r="JT105" s="110"/>
      <c r="JU105" s="110"/>
      <c r="JV105" s="25"/>
      <c r="JW105" s="25"/>
      <c r="JX105" s="25"/>
      <c r="JY105" s="25"/>
      <c r="JZ105" s="25"/>
      <c r="KA105" s="110"/>
      <c r="KB105" s="110"/>
      <c r="KC105" s="25"/>
      <c r="KD105" s="25"/>
      <c r="KE105" s="25"/>
      <c r="KF105" s="25"/>
      <c r="KG105" s="25"/>
      <c r="KH105" s="110"/>
      <c r="KI105" s="110"/>
      <c r="KJ105" s="25"/>
      <c r="KK105" s="25"/>
      <c r="KL105" s="25"/>
      <c r="KM105" s="25"/>
      <c r="KN105" s="25"/>
      <c r="KO105" s="110"/>
      <c r="KP105" s="110"/>
      <c r="KQ105" s="25"/>
      <c r="KR105" s="25"/>
      <c r="KS105" s="25"/>
      <c r="KT105" s="25"/>
      <c r="KU105" s="25"/>
      <c r="KV105" s="110"/>
      <c r="KW105" s="110"/>
      <c r="KX105" s="25"/>
      <c r="KY105" s="25"/>
      <c r="KZ105" s="25"/>
      <c r="LA105" s="25"/>
      <c r="LB105" s="25"/>
      <c r="LC105" s="110"/>
      <c r="LD105" s="110"/>
      <c r="LE105" s="25"/>
      <c r="LF105" s="25"/>
      <c r="LG105" s="110" t="s">
        <v>445</v>
      </c>
      <c r="LH105" s="25"/>
      <c r="LI105" s="25"/>
      <c r="LJ105" s="110"/>
      <c r="LK105" s="110"/>
      <c r="LL105" s="25"/>
      <c r="LM105" s="25"/>
      <c r="LN105" s="25"/>
      <c r="LO105" s="25"/>
      <c r="LP105" s="25"/>
      <c r="LQ105" s="110"/>
      <c r="LR105" s="110"/>
      <c r="LS105" s="25"/>
      <c r="LT105" s="25"/>
      <c r="LU105" s="25"/>
      <c r="LV105" s="25"/>
      <c r="LW105" s="25"/>
      <c r="LX105" s="110"/>
      <c r="LY105" s="110"/>
      <c r="LZ105" s="25"/>
      <c r="MA105" s="25"/>
      <c r="MB105" s="25"/>
      <c r="MC105" s="25"/>
      <c r="MD105" s="25"/>
      <c r="ME105" s="110"/>
      <c r="MF105" s="110"/>
      <c r="MG105" s="25"/>
      <c r="MH105" s="25"/>
      <c r="MI105" s="25"/>
      <c r="MJ105" s="25"/>
      <c r="MK105" s="25"/>
      <c r="ML105" s="110"/>
      <c r="MM105" s="110"/>
      <c r="MN105" s="25"/>
      <c r="MO105" s="25"/>
      <c r="MP105" s="25"/>
      <c r="MQ105" s="25"/>
      <c r="MR105" s="25"/>
      <c r="MS105" s="110"/>
      <c r="MT105" s="110"/>
      <c r="MU105" s="25"/>
      <c r="MV105" s="25"/>
      <c r="MW105" s="25"/>
      <c r="MX105" s="25"/>
      <c r="MY105" s="25"/>
      <c r="MZ105" s="110"/>
      <c r="NA105" s="110"/>
      <c r="NB105" s="25"/>
      <c r="NC105" s="25"/>
      <c r="ND105" s="25"/>
      <c r="NE105" s="129"/>
      <c r="NF105" s="111"/>
      <c r="NG105" s="8">
        <f t="shared" si="72"/>
        <v>3</v>
      </c>
      <c r="NH105" s="351" cm="1">
        <f t="array" ref="NH105">NETWORKDAYS($I$2,$AH$2)- SUM(COUNTIF(I105:AH105,{"I";"F";"CP";"R";"P";"AC";"AM"}))</f>
        <v>20</v>
      </c>
      <c r="NI105" s="138">
        <f t="shared" si="67"/>
        <v>0.15</v>
      </c>
      <c r="NJ105" s="8">
        <f t="shared" si="73"/>
        <v>1</v>
      </c>
      <c r="NK105" s="351" cm="1">
        <f t="array" ref="NK105">NETWORKDAYS($AJ$2,$BK$2)- SUM(COUNTIF(AJ105:BK105,{"I";"F";"CP";"R";"P";"AC";"AM"}))</f>
        <v>18</v>
      </c>
      <c r="NL105" s="138">
        <f t="shared" si="68"/>
        <v>5.5555555555555552E-2</v>
      </c>
      <c r="NM105" s="8">
        <f t="shared" si="74"/>
        <v>0</v>
      </c>
      <c r="NN105" s="351" cm="1">
        <f t="array" ref="NN105">NETWORKDAYS($BL$2,$CP$2)- SUM(COUNTIF(BL105:CP105,{"I";"F";"CP";"R";"P";"AC";"AM"}))</f>
        <v>22</v>
      </c>
      <c r="NO105" s="138">
        <f t="shared" si="69"/>
        <v>0</v>
      </c>
      <c r="NP105" s="8">
        <f t="shared" si="75"/>
        <v>9</v>
      </c>
      <c r="NQ105" s="351" cm="1">
        <f t="array" ref="NQ105">NETWORKDAYS($CQ$2,$DT$2,$CV$2)- SUM(COUNTIF(CQ105:DT105,{"I";"F";"CP";"R";"P";"AC";"AM"}))</f>
        <v>18</v>
      </c>
      <c r="NR105" s="138">
        <f t="shared" si="70"/>
        <v>0.5</v>
      </c>
      <c r="NS105" s="8">
        <f t="shared" si="76"/>
        <v>2</v>
      </c>
      <c r="NT105" s="351" cm="1">
        <f t="array" ref="NT105">NETWORKDAYS($DV$2,$EY$2)-SUM(COUNTIF(DV105:EY105,{"I";"F";"CP";"R";"P";"AC";"AM"}))</f>
        <v>16</v>
      </c>
      <c r="NU105" s="138">
        <f t="shared" si="71"/>
        <v>0.125</v>
      </c>
      <c r="NV105" s="8">
        <f t="shared" si="113"/>
        <v>0</v>
      </c>
      <c r="NW105" s="351" cm="1">
        <f t="array" ref="NW105">NETWORKDAYS($EZ$2,$GC$2)-SUM(COUNTIF(EZ105:GC105,{"I";"F";"CP";"R";"P";"AC";"AM"}))</f>
        <v>22</v>
      </c>
      <c r="NX105" s="138">
        <f t="shared" si="114"/>
        <v>0</v>
      </c>
      <c r="NY105" s="8">
        <f t="shared" si="115"/>
        <v>0</v>
      </c>
      <c r="NZ105" s="351" cm="1">
        <f t="array" ref="NZ105">NETWORKDAYS($GD$2,$HH$2,$GQ$2)-SUM(COUNTIF(GD105:HH105,{"I";"F";"CP";"R";"P";"AC";"AM"}))</f>
        <v>21</v>
      </c>
      <c r="OA105" s="138">
        <f t="shared" si="116"/>
        <v>0</v>
      </c>
      <c r="OB105" s="8">
        <f t="shared" si="117"/>
        <v>0</v>
      </c>
      <c r="OC105" s="351" cm="1">
        <f t="array" ref="OC105">NETWORKDAYS($HI$2,$IM$2)-SUM(COUNTIF(HI105:IM105,{"I";"F";"CP";"R";"P";"AC";"AM"}))</f>
        <v>21</v>
      </c>
      <c r="OD105" s="138">
        <f t="shared" si="118"/>
        <v>0</v>
      </c>
      <c r="OE105" s="8">
        <f t="shared" si="119"/>
        <v>0</v>
      </c>
      <c r="OF105" s="351" cm="1">
        <f t="array" ref="OF105">NETWORKDAYS($IN$2,$JQ$2)-SUM(COUNTIF(IN105:JQ105,{"I";"F";"CP";"R";"P";"AC";"AM"}))</f>
        <v>22</v>
      </c>
      <c r="OG105" s="138">
        <f t="shared" si="120"/>
        <v>0</v>
      </c>
      <c r="OH105" s="8">
        <f t="shared" si="121"/>
        <v>0</v>
      </c>
      <c r="OI105" s="351" cm="1">
        <f t="array" ref="OI105">NETWORKDAYS($JR$2,$KV$2)-SUM(COUNTIF(JR105:KV105,{"I";"F";"CP";"R";"P";"AC";"AM"}))</f>
        <v>22</v>
      </c>
      <c r="OJ105" s="138">
        <f t="shared" si="122"/>
        <v>0</v>
      </c>
      <c r="OK105" s="8">
        <f t="shared" si="123"/>
        <v>0</v>
      </c>
      <c r="OL105" s="351" cm="1">
        <f t="array" ref="OL105">NETWORKDAYS($KW$2,$LZ$2,$LG$2)-SUM(COUNTIF(KW105:LZ105,{"I";"F";"CP";"R";"P";"AC";"AM"}))</f>
        <v>19</v>
      </c>
      <c r="OM105" s="138">
        <f t="shared" si="124"/>
        <v>0</v>
      </c>
      <c r="ON105" s="8">
        <f t="shared" si="125"/>
        <v>0</v>
      </c>
      <c r="OO105" s="351" cm="1">
        <f t="array" ref="OO105">NETWORKDAYS($MA$2,$MR$2)-SUM(COUNTIF(MA105:MR105,{"I";"F";"CP";"R";"P";"AC";"AM"}))</f>
        <v>14</v>
      </c>
      <c r="OP105" s="138">
        <f t="shared" si="126"/>
        <v>0</v>
      </c>
      <c r="OQ105" s="94">
        <f t="shared" si="127"/>
        <v>15</v>
      </c>
      <c r="OR105" s="94">
        <f t="shared" si="128"/>
        <v>235</v>
      </c>
      <c r="OS105" s="138">
        <f t="shared" si="129"/>
        <v>6.3829787234042548E-2</v>
      </c>
    </row>
    <row r="106" spans="1:409" ht="18" hidden="1" customHeight="1" x14ac:dyDescent="0.25">
      <c r="A106" s="93" t="s">
        <v>54</v>
      </c>
      <c r="B106" s="93" t="s">
        <v>230</v>
      </c>
      <c r="C106" s="89" t="s">
        <v>166</v>
      </c>
      <c r="D106" s="413" t="s">
        <v>285</v>
      </c>
      <c r="E106" s="128"/>
      <c r="F106" s="110"/>
      <c r="G106" s="110"/>
      <c r="H106" s="110"/>
      <c r="I106" s="25">
        <v>0</v>
      </c>
      <c r="J106" s="25">
        <v>0</v>
      </c>
      <c r="K106" s="25">
        <v>0</v>
      </c>
      <c r="L106" s="25">
        <v>0</v>
      </c>
      <c r="M106" s="25">
        <v>0</v>
      </c>
      <c r="N106" s="110"/>
      <c r="O106" s="110"/>
      <c r="P106" s="25">
        <v>0</v>
      </c>
      <c r="Q106" s="25">
        <v>0</v>
      </c>
      <c r="R106" s="25">
        <v>0</v>
      </c>
      <c r="S106" s="25">
        <v>0</v>
      </c>
      <c r="T106" s="25">
        <v>0</v>
      </c>
      <c r="U106" s="110"/>
      <c r="V106" s="110"/>
      <c r="W106" s="25">
        <v>0</v>
      </c>
      <c r="X106" s="25">
        <v>0</v>
      </c>
      <c r="Y106" s="25">
        <v>0</v>
      </c>
      <c r="Z106" s="25">
        <v>0</v>
      </c>
      <c r="AA106" s="25">
        <v>0</v>
      </c>
      <c r="AB106" s="110"/>
      <c r="AC106" s="110"/>
      <c r="AD106" s="25">
        <v>0</v>
      </c>
      <c r="AE106" s="25">
        <v>0</v>
      </c>
      <c r="AF106" s="25">
        <v>0</v>
      </c>
      <c r="AG106" s="25">
        <v>1</v>
      </c>
      <c r="AH106" s="25">
        <v>0</v>
      </c>
      <c r="AI106" s="110"/>
      <c r="AJ106" s="110"/>
      <c r="AK106" s="25">
        <v>1</v>
      </c>
      <c r="AL106" s="25">
        <v>1</v>
      </c>
      <c r="AM106" s="25">
        <v>1</v>
      </c>
      <c r="AN106" s="25"/>
      <c r="AO106" s="25">
        <v>1</v>
      </c>
      <c r="AP106" s="110"/>
      <c r="AQ106" s="110"/>
      <c r="AR106" s="25">
        <v>1</v>
      </c>
      <c r="AS106" s="25"/>
      <c r="AT106" s="25"/>
      <c r="AU106" s="25">
        <v>1</v>
      </c>
      <c r="AV106" s="25">
        <v>1</v>
      </c>
      <c r="AW106" s="110"/>
      <c r="AX106" s="110"/>
      <c r="AY106" s="25">
        <v>1</v>
      </c>
      <c r="AZ106" s="25">
        <v>1</v>
      </c>
      <c r="BA106" s="25">
        <v>1</v>
      </c>
      <c r="BB106" s="25"/>
      <c r="BC106" s="25">
        <v>1</v>
      </c>
      <c r="BD106" s="110"/>
      <c r="BE106" s="110"/>
      <c r="BF106" s="25">
        <v>1</v>
      </c>
      <c r="BG106" s="25">
        <v>1</v>
      </c>
      <c r="BH106" s="25">
        <v>1</v>
      </c>
      <c r="BI106" s="25"/>
      <c r="BJ106" s="25"/>
      <c r="BK106" s="110"/>
      <c r="BL106" s="110"/>
      <c r="BM106" s="25">
        <v>1</v>
      </c>
      <c r="BN106" s="25">
        <v>1</v>
      </c>
      <c r="BO106" s="25">
        <v>1</v>
      </c>
      <c r="BP106" s="25">
        <v>1</v>
      </c>
      <c r="BQ106" s="25"/>
      <c r="BR106" s="110"/>
      <c r="BS106" s="110"/>
      <c r="BT106" s="25">
        <v>1</v>
      </c>
      <c r="BU106" s="25"/>
      <c r="BV106" s="25"/>
      <c r="BW106" s="25">
        <v>1</v>
      </c>
      <c r="BX106" s="25"/>
      <c r="BY106" s="110"/>
      <c r="BZ106" s="110"/>
      <c r="CA106" s="25"/>
      <c r="CB106" s="25"/>
      <c r="CC106" s="25"/>
      <c r="CD106" s="25"/>
      <c r="CE106" s="25"/>
      <c r="CF106" s="110"/>
      <c r="CG106" s="110"/>
      <c r="CH106" s="25">
        <v>1</v>
      </c>
      <c r="CI106" s="25">
        <v>1</v>
      </c>
      <c r="CJ106" s="25">
        <v>1</v>
      </c>
      <c r="CK106" s="25"/>
      <c r="CL106" s="25"/>
      <c r="CM106" s="110"/>
      <c r="CN106" s="110"/>
      <c r="CO106" s="25">
        <v>1</v>
      </c>
      <c r="CP106" s="25">
        <v>1</v>
      </c>
      <c r="CQ106" s="25">
        <v>1</v>
      </c>
      <c r="CR106" s="25">
        <v>1</v>
      </c>
      <c r="CS106" s="25"/>
      <c r="CT106" s="110"/>
      <c r="CU106" s="110"/>
      <c r="CV106" s="110"/>
      <c r="CW106" s="25"/>
      <c r="CX106" s="25"/>
      <c r="CY106" s="25"/>
      <c r="CZ106" s="25">
        <v>1</v>
      </c>
      <c r="DA106" s="110"/>
      <c r="DB106" s="110"/>
      <c r="DC106" s="25"/>
      <c r="DD106" s="25"/>
      <c r="DE106" s="25"/>
      <c r="DF106" s="25">
        <v>1</v>
      </c>
      <c r="DG106" s="25">
        <v>1</v>
      </c>
      <c r="DH106" s="110"/>
      <c r="DI106" s="110"/>
      <c r="DJ106" s="25"/>
      <c r="DK106" s="25">
        <v>1</v>
      </c>
      <c r="DL106" s="25">
        <v>1</v>
      </c>
      <c r="DM106" s="25">
        <v>1</v>
      </c>
      <c r="DN106" s="25"/>
      <c r="DO106" s="110"/>
      <c r="DP106" s="110"/>
      <c r="DQ106" s="25"/>
      <c r="DR106" s="25"/>
      <c r="DS106" s="25"/>
      <c r="DT106" s="25"/>
      <c r="DU106" s="110" t="s">
        <v>445</v>
      </c>
      <c r="DV106" s="110"/>
      <c r="DW106" s="110"/>
      <c r="DX106" s="25"/>
      <c r="DY106" s="25"/>
      <c r="DZ106" s="25"/>
      <c r="EA106" s="25"/>
      <c r="EB106" s="110" t="s">
        <v>445</v>
      </c>
      <c r="EC106" s="110"/>
      <c r="ED106" s="110"/>
      <c r="EE106" s="25"/>
      <c r="EF106" s="25"/>
      <c r="EG106" s="25"/>
      <c r="EH106" s="110" t="s">
        <v>445</v>
      </c>
      <c r="EI106" s="110" t="s">
        <v>445</v>
      </c>
      <c r="EJ106" s="110"/>
      <c r="EK106" s="110"/>
      <c r="EL106" s="25"/>
      <c r="EM106" s="25"/>
      <c r="EN106" s="25"/>
      <c r="EO106" s="25"/>
      <c r="EP106" s="25"/>
      <c r="EQ106" s="110"/>
      <c r="ER106" s="110"/>
      <c r="ES106" s="110" t="s">
        <v>445</v>
      </c>
      <c r="ET106" s="25"/>
      <c r="EU106" s="25"/>
      <c r="EV106" s="25"/>
      <c r="EW106" s="25"/>
      <c r="EX106" s="110"/>
      <c r="EY106" s="110"/>
      <c r="EZ106" s="25"/>
      <c r="FA106" s="25"/>
      <c r="FB106" s="25"/>
      <c r="FC106" s="25"/>
      <c r="FD106" s="25"/>
      <c r="FE106" s="110"/>
      <c r="FF106" s="110"/>
      <c r="FG106" s="25"/>
      <c r="FH106" s="25"/>
      <c r="FI106" s="25"/>
      <c r="FJ106" s="25"/>
      <c r="FK106" s="25"/>
      <c r="FL106" s="110"/>
      <c r="FM106" s="110"/>
      <c r="FN106" s="25"/>
      <c r="FO106" s="25"/>
      <c r="FP106" s="25"/>
      <c r="FQ106" s="25"/>
      <c r="FR106" s="25"/>
      <c r="FS106" s="110"/>
      <c r="FT106" s="110"/>
      <c r="FU106" s="25"/>
      <c r="FV106" s="25"/>
      <c r="FW106" s="25"/>
      <c r="FX106" s="25"/>
      <c r="FY106" s="25"/>
      <c r="FZ106" s="110"/>
      <c r="GA106" s="110"/>
      <c r="GB106" s="25"/>
      <c r="GC106" s="25"/>
      <c r="GD106" s="25"/>
      <c r="GE106" s="25"/>
      <c r="GF106" s="25"/>
      <c r="GG106" s="110"/>
      <c r="GH106" s="110"/>
      <c r="GI106" s="25"/>
      <c r="GJ106" s="25"/>
      <c r="GK106" s="25"/>
      <c r="GL106" s="25"/>
      <c r="GM106" s="25"/>
      <c r="GN106" s="110"/>
      <c r="GO106" s="110"/>
      <c r="GP106" s="110" t="s">
        <v>445</v>
      </c>
      <c r="GQ106" s="110"/>
      <c r="GR106" s="25"/>
      <c r="GS106" s="25"/>
      <c r="GT106" s="25"/>
      <c r="GU106" s="110"/>
      <c r="GV106" s="110"/>
      <c r="GW106" s="25"/>
      <c r="GX106" s="25"/>
      <c r="GY106" s="25"/>
      <c r="GZ106" s="25"/>
      <c r="HA106" s="25"/>
      <c r="HB106" s="110"/>
      <c r="HC106" s="110"/>
      <c r="HD106" s="25"/>
      <c r="HE106" s="25"/>
      <c r="HF106" s="25"/>
      <c r="HG106" s="25"/>
      <c r="HH106" s="25"/>
      <c r="HI106" s="110"/>
      <c r="HJ106" s="110"/>
      <c r="HK106" s="25"/>
      <c r="HL106" s="25"/>
      <c r="HM106" s="25"/>
      <c r="HN106" s="25"/>
      <c r="HO106" s="25"/>
      <c r="HP106" s="110"/>
      <c r="HQ106" s="110"/>
      <c r="HR106" s="25"/>
      <c r="HS106" s="25"/>
      <c r="HT106" s="25"/>
      <c r="HU106" s="25"/>
      <c r="HV106" s="25"/>
      <c r="HW106" s="110"/>
      <c r="HX106" s="110"/>
      <c r="HY106" s="25"/>
      <c r="HZ106" s="25"/>
      <c r="IA106" s="25"/>
      <c r="IB106" s="25"/>
      <c r="IC106" s="25"/>
      <c r="ID106" s="110"/>
      <c r="IE106" s="110"/>
      <c r="IF106" s="25"/>
      <c r="IG106" s="25"/>
      <c r="IH106" s="25"/>
      <c r="II106" s="25"/>
      <c r="IJ106" s="25"/>
      <c r="IK106" s="110"/>
      <c r="IL106" s="110"/>
      <c r="IM106" s="25"/>
      <c r="IN106" s="25"/>
      <c r="IO106" s="25"/>
      <c r="IP106" s="25"/>
      <c r="IQ106" s="25"/>
      <c r="IR106" s="110"/>
      <c r="IS106" s="110"/>
      <c r="IT106" s="25"/>
      <c r="IU106" s="25"/>
      <c r="IV106" s="25"/>
      <c r="IW106" s="25"/>
      <c r="IX106" s="25"/>
      <c r="IY106" s="110"/>
      <c r="IZ106" s="110"/>
      <c r="JA106" s="25"/>
      <c r="JB106" s="25"/>
      <c r="JC106" s="25"/>
      <c r="JD106" s="25"/>
      <c r="JE106" s="25"/>
      <c r="JF106" s="110"/>
      <c r="JG106" s="110"/>
      <c r="JH106" s="25"/>
      <c r="JI106" s="25"/>
      <c r="JJ106" s="25"/>
      <c r="JK106" s="25"/>
      <c r="JL106" s="25"/>
      <c r="JM106" s="110"/>
      <c r="JN106" s="110"/>
      <c r="JO106" s="25"/>
      <c r="JP106" s="25"/>
      <c r="JQ106" s="25"/>
      <c r="JR106" s="25"/>
      <c r="JS106" s="25"/>
      <c r="JT106" s="110"/>
      <c r="JU106" s="110"/>
      <c r="JV106" s="25"/>
      <c r="JW106" s="25"/>
      <c r="JX106" s="25"/>
      <c r="JY106" s="25"/>
      <c r="JZ106" s="25"/>
      <c r="KA106" s="110"/>
      <c r="KB106" s="110"/>
      <c r="KC106" s="25"/>
      <c r="KD106" s="25"/>
      <c r="KE106" s="25"/>
      <c r="KF106" s="25"/>
      <c r="KG106" s="25"/>
      <c r="KH106" s="110"/>
      <c r="KI106" s="110"/>
      <c r="KJ106" s="25"/>
      <c r="KK106" s="25"/>
      <c r="KL106" s="25"/>
      <c r="KM106" s="25"/>
      <c r="KN106" s="25"/>
      <c r="KO106" s="110"/>
      <c r="KP106" s="110"/>
      <c r="KQ106" s="25"/>
      <c r="KR106" s="25"/>
      <c r="KS106" s="25"/>
      <c r="KT106" s="25"/>
      <c r="KU106" s="25"/>
      <c r="KV106" s="110"/>
      <c r="KW106" s="110"/>
      <c r="KX106" s="25"/>
      <c r="KY106" s="25"/>
      <c r="KZ106" s="25"/>
      <c r="LA106" s="25"/>
      <c r="LB106" s="25"/>
      <c r="LC106" s="110"/>
      <c r="LD106" s="110"/>
      <c r="LE106" s="25"/>
      <c r="LF106" s="25"/>
      <c r="LG106" s="110" t="s">
        <v>445</v>
      </c>
      <c r="LH106" s="25"/>
      <c r="LI106" s="25"/>
      <c r="LJ106" s="110"/>
      <c r="LK106" s="110"/>
      <c r="LL106" s="25"/>
      <c r="LM106" s="25"/>
      <c r="LN106" s="25"/>
      <c r="LO106" s="25"/>
      <c r="LP106" s="25"/>
      <c r="LQ106" s="110"/>
      <c r="LR106" s="110"/>
      <c r="LS106" s="25"/>
      <c r="LT106" s="25"/>
      <c r="LU106" s="25"/>
      <c r="LV106" s="25"/>
      <c r="LW106" s="25"/>
      <c r="LX106" s="110"/>
      <c r="LY106" s="110"/>
      <c r="LZ106" s="25"/>
      <c r="MA106" s="25"/>
      <c r="MB106" s="25"/>
      <c r="MC106" s="25"/>
      <c r="MD106" s="25"/>
      <c r="ME106" s="110"/>
      <c r="MF106" s="110"/>
      <c r="MG106" s="25"/>
      <c r="MH106" s="25"/>
      <c r="MI106" s="25"/>
      <c r="MJ106" s="25"/>
      <c r="MK106" s="25"/>
      <c r="ML106" s="110"/>
      <c r="MM106" s="110"/>
      <c r="MN106" s="25"/>
      <c r="MO106" s="25"/>
      <c r="MP106" s="25"/>
      <c r="MQ106" s="25"/>
      <c r="MR106" s="25"/>
      <c r="MS106" s="110"/>
      <c r="MT106" s="110"/>
      <c r="MU106" s="25"/>
      <c r="MV106" s="25"/>
      <c r="MW106" s="25"/>
      <c r="MX106" s="25"/>
      <c r="MY106" s="25"/>
      <c r="MZ106" s="110"/>
      <c r="NA106" s="110"/>
      <c r="NB106" s="25"/>
      <c r="NC106" s="25"/>
      <c r="ND106" s="25"/>
      <c r="NE106" s="129"/>
      <c r="NF106" s="111"/>
      <c r="NG106" s="8">
        <f t="shared" ref="NG106" si="130">SUM(E106:AI106)</f>
        <v>1</v>
      </c>
      <c r="NH106" s="351" cm="1">
        <f t="array" ref="NH106">NETWORKDAYS($I$2,$AH$2)- SUM(COUNTIF(I106:AH106,{"I";"F";"CP";"R";"P";"AC";"AM"}))</f>
        <v>20</v>
      </c>
      <c r="NI106" s="138">
        <f t="shared" si="67"/>
        <v>0.05</v>
      </c>
      <c r="NJ106" s="8">
        <f t="shared" ref="NJ106" si="131">SUM(AJ106:BK106)</f>
        <v>14</v>
      </c>
      <c r="NK106" s="351" cm="1">
        <f t="array" ref="NK106">NETWORKDAYS($AJ$2,$BK$2)- SUM(COUNTIF(AJ106:BK106,{"I";"F";"CP";"R";"P";"AC";"AM"}))</f>
        <v>20</v>
      </c>
      <c r="NL106" s="138">
        <f t="shared" si="68"/>
        <v>0.7</v>
      </c>
      <c r="NM106" s="8">
        <f t="shared" ref="NM106" si="132">SUM(BM106:CP106)</f>
        <v>11</v>
      </c>
      <c r="NN106" s="351" cm="1">
        <f t="array" ref="NN106">NETWORKDAYS($BL$2,$CP$2)- SUM(COUNTIF(BL106:CP106,{"I";"F";"CP";"R";"P";"AC";"AM"}))</f>
        <v>22</v>
      </c>
      <c r="NO106" s="138">
        <f t="shared" si="69"/>
        <v>0.5</v>
      </c>
      <c r="NP106" s="8">
        <f t="shared" ref="NP106" si="133">SUM(CQ106:DT106)</f>
        <v>8</v>
      </c>
      <c r="NQ106" s="351" cm="1">
        <f t="array" ref="NQ106">NETWORKDAYS($CQ$2,$DT$2,$CV$2)- SUM(COUNTIF(CQ106:DT106,{"I";"F";"CP";"R";"P";"AC";"AM"}))</f>
        <v>21</v>
      </c>
      <c r="NR106" s="138">
        <f t="shared" si="70"/>
        <v>0.38095238095238093</v>
      </c>
      <c r="NS106" s="8">
        <f t="shared" ref="NS106" si="134">SUM(DV106:EY106)</f>
        <v>0</v>
      </c>
      <c r="NT106" s="351" cm="1">
        <f t="array" ref="NT106">NETWORKDAYS($DV$2,$EY$2)-SUM(COUNTIF(DV106:EY106,{"I";"F";"CP";"R";"P";"AC";"AM"}))</f>
        <v>16</v>
      </c>
      <c r="NU106" s="138">
        <f t="shared" si="71"/>
        <v>0</v>
      </c>
      <c r="NV106" s="8">
        <f t="shared" si="113"/>
        <v>0</v>
      </c>
      <c r="NW106" s="351" cm="1">
        <f t="array" ref="NW106">NETWORKDAYS($EZ$2,$GC$2)-SUM(COUNTIF(EZ106:GC106,{"I";"F";"CP";"R";"P";"AC";"AM"}))</f>
        <v>22</v>
      </c>
      <c r="NX106" s="138">
        <f t="shared" si="114"/>
        <v>0</v>
      </c>
      <c r="NY106" s="8">
        <f t="shared" si="115"/>
        <v>0</v>
      </c>
      <c r="NZ106" s="351" cm="1">
        <f t="array" ref="NZ106">NETWORKDAYS($GD$2,$HH$2,$GQ$2)-SUM(COUNTIF(GD106:HH106,{"I";"F";"CP";"R";"P";"AC";"AM"}))</f>
        <v>21</v>
      </c>
      <c r="OA106" s="138">
        <f t="shared" si="116"/>
        <v>0</v>
      </c>
      <c r="OB106" s="8">
        <f t="shared" si="117"/>
        <v>0</v>
      </c>
      <c r="OC106" s="351" cm="1">
        <f t="array" ref="OC106">NETWORKDAYS($HI$2,$IM$2)-SUM(COUNTIF(HI106:IM106,{"I";"F";"CP";"R";"P";"AC";"AM"}))</f>
        <v>21</v>
      </c>
      <c r="OD106" s="138">
        <f t="shared" si="118"/>
        <v>0</v>
      </c>
      <c r="OE106" s="8">
        <f t="shared" si="119"/>
        <v>0</v>
      </c>
      <c r="OF106" s="351" cm="1">
        <f t="array" ref="OF106">NETWORKDAYS($IN$2,$JQ$2)-SUM(COUNTIF(IN106:JQ106,{"I";"F";"CP";"R";"P";"AC";"AM"}))</f>
        <v>22</v>
      </c>
      <c r="OG106" s="138">
        <f t="shared" si="120"/>
        <v>0</v>
      </c>
      <c r="OH106" s="8">
        <f t="shared" si="121"/>
        <v>0</v>
      </c>
      <c r="OI106" s="351" cm="1">
        <f t="array" ref="OI106">NETWORKDAYS($JR$2,$KV$2)-SUM(COUNTIF(JR106:KV106,{"I";"F";"CP";"R";"P";"AC";"AM"}))</f>
        <v>22</v>
      </c>
      <c r="OJ106" s="138">
        <f t="shared" si="122"/>
        <v>0</v>
      </c>
      <c r="OK106" s="8">
        <f t="shared" si="123"/>
        <v>0</v>
      </c>
      <c r="OL106" s="351" cm="1">
        <f t="array" ref="OL106">NETWORKDAYS($KW$2,$LZ$2,$LG$2)-SUM(COUNTIF(KW106:LZ106,{"I";"F";"CP";"R";"P";"AC";"AM"}))</f>
        <v>19</v>
      </c>
      <c r="OM106" s="138">
        <f t="shared" si="124"/>
        <v>0</v>
      </c>
      <c r="ON106" s="8">
        <f t="shared" si="125"/>
        <v>0</v>
      </c>
      <c r="OO106" s="351" cm="1">
        <f t="array" ref="OO106">NETWORKDAYS($MA$2,$MR$2)-SUM(COUNTIF(MA106:MR106,{"I";"F";"CP";"R";"P";"AC";"AM"}))</f>
        <v>14</v>
      </c>
      <c r="OP106" s="138">
        <f t="shared" si="126"/>
        <v>0</v>
      </c>
      <c r="OQ106" s="94">
        <f t="shared" si="127"/>
        <v>34</v>
      </c>
      <c r="OR106" s="94">
        <f t="shared" si="128"/>
        <v>240</v>
      </c>
      <c r="OS106" s="138">
        <f t="shared" si="129"/>
        <v>0.14166666666666666</v>
      </c>
    </row>
    <row r="107" spans="1:409" ht="18" hidden="1" customHeight="1" x14ac:dyDescent="0.25">
      <c r="A107" s="95" t="s">
        <v>253</v>
      </c>
      <c r="B107" s="95" t="s">
        <v>34</v>
      </c>
      <c r="C107" s="89" t="s">
        <v>160</v>
      </c>
      <c r="D107" s="89" t="s">
        <v>283</v>
      </c>
      <c r="E107" s="128"/>
      <c r="F107" s="110"/>
      <c r="G107" s="110"/>
      <c r="H107" s="110"/>
      <c r="I107" s="25">
        <v>1</v>
      </c>
      <c r="J107" s="25">
        <v>1</v>
      </c>
      <c r="K107" s="25">
        <v>1</v>
      </c>
      <c r="L107" s="25">
        <v>1</v>
      </c>
      <c r="M107" s="25">
        <v>1</v>
      </c>
      <c r="N107" s="110"/>
      <c r="O107" s="110"/>
      <c r="P107" s="25">
        <v>1</v>
      </c>
      <c r="Q107" s="25">
        <v>1</v>
      </c>
      <c r="R107" s="25">
        <v>1</v>
      </c>
      <c r="S107" s="25"/>
      <c r="T107" s="25"/>
      <c r="U107" s="110"/>
      <c r="V107" s="110"/>
      <c r="W107" s="25">
        <v>1</v>
      </c>
      <c r="X107" s="25">
        <v>1</v>
      </c>
      <c r="Y107" s="25">
        <v>1</v>
      </c>
      <c r="Z107" s="25">
        <v>1</v>
      </c>
      <c r="AA107" s="25"/>
      <c r="AB107" s="110"/>
      <c r="AC107" s="110"/>
      <c r="AD107" s="25"/>
      <c r="AE107" s="25"/>
      <c r="AF107" s="25"/>
      <c r="AG107" s="25"/>
      <c r="AH107" s="25"/>
      <c r="AI107" s="110"/>
      <c r="AJ107" s="110"/>
      <c r="AK107" s="25"/>
      <c r="AL107" s="25"/>
      <c r="AM107" s="25"/>
      <c r="AN107" s="25"/>
      <c r="AO107" s="25"/>
      <c r="AP107" s="110"/>
      <c r="AQ107" s="110"/>
      <c r="AR107" s="25"/>
      <c r="AS107" s="25"/>
      <c r="AT107" s="25"/>
      <c r="AU107" s="483"/>
      <c r="AV107" s="25"/>
      <c r="AW107" s="110"/>
      <c r="AX107" s="110"/>
      <c r="AY107" s="25"/>
      <c r="AZ107" s="25"/>
      <c r="BA107" s="25"/>
      <c r="BB107" s="25"/>
      <c r="BC107" s="25"/>
      <c r="BD107" s="110"/>
      <c r="BE107" s="110"/>
      <c r="BF107" s="25"/>
      <c r="BG107" s="25"/>
      <c r="BH107" s="25"/>
      <c r="BI107" s="25"/>
      <c r="BJ107" s="25"/>
      <c r="BK107" s="110"/>
      <c r="BL107" s="110"/>
      <c r="BM107" s="25"/>
      <c r="BN107" s="25"/>
      <c r="BO107" s="25"/>
      <c r="BP107" s="25"/>
      <c r="BQ107" s="25"/>
      <c r="BR107" s="110"/>
      <c r="BS107" s="110"/>
      <c r="BT107" s="25"/>
      <c r="BU107" s="25"/>
      <c r="BV107" s="25"/>
      <c r="BW107" s="25"/>
      <c r="BX107" s="25"/>
      <c r="BY107" s="110"/>
      <c r="BZ107" s="110"/>
      <c r="CA107" s="25"/>
      <c r="CB107" s="25"/>
      <c r="CC107" s="25"/>
      <c r="CD107" s="25"/>
      <c r="CE107" s="25"/>
      <c r="CF107" s="110"/>
      <c r="CG107" s="110"/>
      <c r="CH107" s="25"/>
      <c r="CI107" s="25"/>
      <c r="CJ107" s="25"/>
      <c r="CK107" s="25"/>
      <c r="CL107" s="25"/>
      <c r="CM107" s="110"/>
      <c r="CN107" s="110"/>
      <c r="CO107" s="25"/>
      <c r="CP107" s="25"/>
      <c r="CQ107" s="25"/>
      <c r="CR107" s="25"/>
      <c r="CS107" s="25"/>
      <c r="CT107" s="110"/>
      <c r="CU107" s="110"/>
      <c r="CV107" s="110"/>
      <c r="CW107" s="25"/>
      <c r="CX107" s="25"/>
      <c r="CY107" s="25"/>
      <c r="CZ107" s="25"/>
      <c r="DA107" s="110"/>
      <c r="DB107" s="110"/>
      <c r="DC107" s="25"/>
      <c r="DD107" s="25"/>
      <c r="DE107" s="25"/>
      <c r="DF107" s="25"/>
      <c r="DG107" s="25"/>
      <c r="DH107" s="110"/>
      <c r="DI107" s="110"/>
      <c r="DJ107" s="25"/>
      <c r="DK107" s="25"/>
      <c r="DL107" s="25"/>
      <c r="DM107" s="25"/>
      <c r="DN107" s="25"/>
      <c r="DO107" s="110"/>
      <c r="DP107" s="110"/>
      <c r="DQ107" s="25"/>
      <c r="DR107" s="25"/>
      <c r="DS107" s="25"/>
      <c r="DT107" s="25"/>
      <c r="DU107" s="110" t="s">
        <v>445</v>
      </c>
      <c r="DV107" s="110"/>
      <c r="DW107" s="110"/>
      <c r="DX107" s="25"/>
      <c r="DY107" s="25"/>
      <c r="DZ107" s="25"/>
      <c r="EA107" s="25"/>
      <c r="EB107" s="110" t="s">
        <v>445</v>
      </c>
      <c r="EC107" s="110"/>
      <c r="ED107" s="110"/>
      <c r="EE107" s="25"/>
      <c r="EF107" s="25"/>
      <c r="EG107" s="25"/>
      <c r="EH107" s="110" t="s">
        <v>445</v>
      </c>
      <c r="EI107" s="110" t="s">
        <v>445</v>
      </c>
      <c r="EJ107" s="110"/>
      <c r="EK107" s="110"/>
      <c r="EL107" s="25"/>
      <c r="EM107" s="25"/>
      <c r="EN107" s="25"/>
      <c r="EO107" s="25"/>
      <c r="EP107" s="25"/>
      <c r="EQ107" s="110"/>
      <c r="ER107" s="110"/>
      <c r="ES107" s="110" t="s">
        <v>445</v>
      </c>
      <c r="ET107" s="25"/>
      <c r="EU107" s="25"/>
      <c r="EV107" s="25"/>
      <c r="EW107" s="25"/>
      <c r="EX107" s="110"/>
      <c r="EY107" s="110"/>
      <c r="EZ107" s="25"/>
      <c r="FA107" s="25"/>
      <c r="FB107" s="25"/>
      <c r="FC107" s="25"/>
      <c r="FD107" s="25"/>
      <c r="FE107" s="110"/>
      <c r="FF107" s="110"/>
      <c r="FG107" s="25"/>
      <c r="FH107" s="25"/>
      <c r="FI107" s="25"/>
      <c r="FJ107" s="25"/>
      <c r="FK107" s="25"/>
      <c r="FL107" s="110"/>
      <c r="FM107" s="110"/>
      <c r="FN107" s="25"/>
      <c r="FO107" s="25"/>
      <c r="FP107" s="25"/>
      <c r="FQ107" s="25"/>
      <c r="FR107" s="25"/>
      <c r="FS107" s="110"/>
      <c r="FT107" s="110"/>
      <c r="FU107" s="25"/>
      <c r="FV107" s="25"/>
      <c r="FW107" s="25"/>
      <c r="FX107" s="25"/>
      <c r="FY107" s="25"/>
      <c r="FZ107" s="110"/>
      <c r="GA107" s="110"/>
      <c r="GB107" s="25"/>
      <c r="GC107" s="25"/>
      <c r="GD107" s="25"/>
      <c r="GE107" s="25"/>
      <c r="GF107" s="25"/>
      <c r="GG107" s="110"/>
      <c r="GH107" s="110"/>
      <c r="GI107" s="25"/>
      <c r="GJ107" s="25"/>
      <c r="GK107" s="25"/>
      <c r="GL107" s="25"/>
      <c r="GM107" s="25"/>
      <c r="GN107" s="110"/>
      <c r="GO107" s="110"/>
      <c r="GP107" s="110" t="s">
        <v>445</v>
      </c>
      <c r="GQ107" s="110"/>
      <c r="GR107" s="25"/>
      <c r="GS107" s="25"/>
      <c r="GT107" s="25"/>
      <c r="GU107" s="110"/>
      <c r="GV107" s="110"/>
      <c r="GW107" s="25"/>
      <c r="GX107" s="25"/>
      <c r="GY107" s="25"/>
      <c r="GZ107" s="25"/>
      <c r="HA107" s="25"/>
      <c r="HB107" s="110"/>
      <c r="HC107" s="110"/>
      <c r="HD107" s="25"/>
      <c r="HE107" s="25"/>
      <c r="HF107" s="25"/>
      <c r="HG107" s="25"/>
      <c r="HH107" s="25"/>
      <c r="HI107" s="110"/>
      <c r="HJ107" s="110"/>
      <c r="HK107" s="25"/>
      <c r="HL107" s="25"/>
      <c r="HM107" s="25"/>
      <c r="HN107" s="25"/>
      <c r="HO107" s="25"/>
      <c r="HP107" s="110"/>
      <c r="HQ107" s="110"/>
      <c r="HR107" s="25"/>
      <c r="HS107" s="25"/>
      <c r="HT107" s="25"/>
      <c r="HU107" s="25"/>
      <c r="HV107" s="25"/>
      <c r="HW107" s="110"/>
      <c r="HX107" s="110"/>
      <c r="HY107" s="25"/>
      <c r="HZ107" s="25"/>
      <c r="IA107" s="25"/>
      <c r="IB107" s="25"/>
      <c r="IC107" s="25"/>
      <c r="ID107" s="110"/>
      <c r="IE107" s="110"/>
      <c r="IF107" s="25"/>
      <c r="IG107" s="25"/>
      <c r="IH107" s="25"/>
      <c r="II107" s="25"/>
      <c r="IJ107" s="25"/>
      <c r="IK107" s="110"/>
      <c r="IL107" s="110"/>
      <c r="IM107" s="25"/>
      <c r="IN107" s="25"/>
      <c r="IO107" s="25"/>
      <c r="IP107" s="25"/>
      <c r="IQ107" s="25"/>
      <c r="IR107" s="110"/>
      <c r="IS107" s="110"/>
      <c r="IT107" s="25"/>
      <c r="IU107" s="25"/>
      <c r="IV107" s="25"/>
      <c r="IW107" s="25"/>
      <c r="IX107" s="25"/>
      <c r="IY107" s="110"/>
      <c r="IZ107" s="110"/>
      <c r="JA107" s="25"/>
      <c r="JB107" s="25"/>
      <c r="JC107" s="25"/>
      <c r="JD107" s="25"/>
      <c r="JE107" s="25"/>
      <c r="JF107" s="110"/>
      <c r="JG107" s="110"/>
      <c r="JH107" s="25"/>
      <c r="JI107" s="25"/>
      <c r="JJ107" s="25"/>
      <c r="JK107" s="25"/>
      <c r="JL107" s="25"/>
      <c r="JM107" s="110"/>
      <c r="JN107" s="110"/>
      <c r="JO107" s="25"/>
      <c r="JP107" s="25"/>
      <c r="JQ107" s="25"/>
      <c r="JR107" s="25"/>
      <c r="JS107" s="25"/>
      <c r="JT107" s="110"/>
      <c r="JU107" s="110"/>
      <c r="JV107" s="25"/>
      <c r="JW107" s="25"/>
      <c r="JX107" s="25"/>
      <c r="JY107" s="25"/>
      <c r="JZ107" s="25"/>
      <c r="KA107" s="110"/>
      <c r="KB107" s="110"/>
      <c r="KC107" s="25"/>
      <c r="KD107" s="25"/>
      <c r="KE107" s="25"/>
      <c r="KF107" s="25"/>
      <c r="KG107" s="25"/>
      <c r="KH107" s="110"/>
      <c r="KI107" s="110"/>
      <c r="KJ107" s="25"/>
      <c r="KK107" s="25"/>
      <c r="KL107" s="25"/>
      <c r="KM107" s="25"/>
      <c r="KN107" s="25"/>
      <c r="KO107" s="110"/>
      <c r="KP107" s="110"/>
      <c r="KQ107" s="25"/>
      <c r="KR107" s="25"/>
      <c r="KS107" s="25"/>
      <c r="KT107" s="25"/>
      <c r="KU107" s="25"/>
      <c r="KV107" s="110"/>
      <c r="KW107" s="110"/>
      <c r="KX107" s="25"/>
      <c r="KY107" s="25"/>
      <c r="KZ107" s="25"/>
      <c r="LA107" s="25"/>
      <c r="LB107" s="25"/>
      <c r="LC107" s="110"/>
      <c r="LD107" s="110"/>
      <c r="LE107" s="25"/>
      <c r="LF107" s="25"/>
      <c r="LG107" s="110" t="s">
        <v>445</v>
      </c>
      <c r="LH107" s="25"/>
      <c r="LI107" s="25"/>
      <c r="LJ107" s="110"/>
      <c r="LK107" s="110"/>
      <c r="LL107" s="25"/>
      <c r="LM107" s="25"/>
      <c r="LN107" s="25"/>
      <c r="LO107" s="25"/>
      <c r="LP107" s="25"/>
      <c r="LQ107" s="110"/>
      <c r="LR107" s="110"/>
      <c r="LS107" s="25"/>
      <c r="LT107" s="25"/>
      <c r="LU107" s="25"/>
      <c r="LV107" s="25"/>
      <c r="LW107" s="25"/>
      <c r="LX107" s="110"/>
      <c r="LY107" s="110"/>
      <c r="LZ107" s="25"/>
      <c r="MA107" s="25"/>
      <c r="MB107" s="25"/>
      <c r="MC107" s="25"/>
      <c r="MD107" s="25"/>
      <c r="ME107" s="110"/>
      <c r="MF107" s="110"/>
      <c r="MG107" s="25"/>
      <c r="MH107" s="25"/>
      <c r="MI107" s="25"/>
      <c r="MJ107" s="25"/>
      <c r="MK107" s="25"/>
      <c r="ML107" s="110"/>
      <c r="MM107" s="110"/>
      <c r="MN107" s="25"/>
      <c r="MO107" s="25"/>
      <c r="MP107" s="25"/>
      <c r="MQ107" s="25"/>
      <c r="MR107" s="25"/>
      <c r="MS107" s="110"/>
      <c r="MT107" s="110"/>
      <c r="MU107" s="25"/>
      <c r="MV107" s="25"/>
      <c r="MW107" s="25"/>
      <c r="MX107" s="25"/>
      <c r="MY107" s="25"/>
      <c r="MZ107" s="110"/>
      <c r="NA107" s="110"/>
      <c r="NB107" s="25"/>
      <c r="NC107" s="25"/>
      <c r="ND107" s="25"/>
      <c r="NE107" s="129"/>
      <c r="NF107" s="111"/>
      <c r="NG107" s="8">
        <f t="shared" ref="NG107:NG115" si="135">SUM(E107:AI107)</f>
        <v>12</v>
      </c>
      <c r="NH107" s="351" cm="1">
        <f t="array" ref="NH107">NETWORKDAYS($I$2,$AH$2)- SUM(COUNTIF(I107:AH107,{"I";"F";"CP";"R";"P";"AC";"AM"}))</f>
        <v>20</v>
      </c>
      <c r="NI107" s="138">
        <f t="shared" si="67"/>
        <v>0.6</v>
      </c>
      <c r="NJ107" s="8">
        <f t="shared" ref="NJ107:NJ115" si="136">SUM(AJ107:BK107)</f>
        <v>0</v>
      </c>
      <c r="NK107" s="351" cm="1">
        <f t="array" ref="NK107">NETWORKDAYS($AJ$2,$BK$2)- SUM(COUNTIF(AJ107:BK107,{"I";"F";"CP";"R";"P";"AC";"AM"}))</f>
        <v>20</v>
      </c>
      <c r="NL107" s="138">
        <f t="shared" si="68"/>
        <v>0</v>
      </c>
      <c r="NM107" s="8">
        <f t="shared" ref="NM107:NM115" si="137">SUM(BM107:CP107)</f>
        <v>0</v>
      </c>
      <c r="NN107" s="351" cm="1">
        <f t="array" ref="NN107">NETWORKDAYS($BL$2,$CP$2)- SUM(COUNTIF(BL107:CP107,{"I";"F";"CP";"R";"P";"AC";"AM"}))</f>
        <v>22</v>
      </c>
      <c r="NO107" s="138">
        <f t="shared" si="69"/>
        <v>0</v>
      </c>
      <c r="NP107" s="8">
        <f t="shared" ref="NP107:NP115" si="138">SUM(CQ107:DT107)</f>
        <v>0</v>
      </c>
      <c r="NQ107" s="351" cm="1">
        <f t="array" ref="NQ107">NETWORKDAYS($CQ$2,$DT$2,$CV$2)- SUM(COUNTIF(CQ107:DT107,{"I";"F";"CP";"R";"P";"AC";"AM"}))</f>
        <v>21</v>
      </c>
      <c r="NR107" s="138">
        <f t="shared" si="70"/>
        <v>0</v>
      </c>
      <c r="NS107" s="8">
        <f t="shared" ref="NS107:NS115" si="139">SUM(DV107:EY107)</f>
        <v>0</v>
      </c>
      <c r="NT107" s="351" cm="1">
        <f t="array" ref="NT107">NETWORKDAYS($DV$2,$EY$2)-SUM(COUNTIF(DV107:EY107,{"I";"F";"CP";"R";"P";"AC";"AM"}))</f>
        <v>16</v>
      </c>
      <c r="NU107" s="138">
        <f t="shared" si="71"/>
        <v>0</v>
      </c>
      <c r="NV107" s="8">
        <f t="shared" si="113"/>
        <v>0</v>
      </c>
      <c r="NW107" s="351" cm="1">
        <f t="array" ref="NW107">NETWORKDAYS($EZ$2,$GC$2)-SUM(COUNTIF(EZ107:GC107,{"I";"F";"CP";"R";"P";"AC";"AM"}))</f>
        <v>22</v>
      </c>
      <c r="NX107" s="138">
        <f t="shared" si="114"/>
        <v>0</v>
      </c>
      <c r="NY107" s="8">
        <f t="shared" si="115"/>
        <v>0</v>
      </c>
      <c r="NZ107" s="351" cm="1">
        <f t="array" ref="NZ107">NETWORKDAYS($GD$2,$HH$2,$GQ$2)-SUM(COUNTIF(GD107:HH107,{"I";"F";"CP";"R";"P";"AC";"AM"}))</f>
        <v>21</v>
      </c>
      <c r="OA107" s="138">
        <f t="shared" si="116"/>
        <v>0</v>
      </c>
      <c r="OB107" s="8">
        <f t="shared" si="117"/>
        <v>0</v>
      </c>
      <c r="OC107" s="351" cm="1">
        <f t="array" ref="OC107">NETWORKDAYS($HI$2,$IM$2)-SUM(COUNTIF(HI107:IM107,{"I";"F";"CP";"R";"P";"AC";"AM"}))</f>
        <v>21</v>
      </c>
      <c r="OD107" s="138">
        <f t="shared" si="118"/>
        <v>0</v>
      </c>
      <c r="OE107" s="8">
        <f t="shared" si="119"/>
        <v>0</v>
      </c>
      <c r="OF107" s="351" cm="1">
        <f t="array" ref="OF107">NETWORKDAYS($IN$2,$JQ$2)-SUM(COUNTIF(IN107:JQ107,{"I";"F";"CP";"R";"P";"AC";"AM"}))</f>
        <v>22</v>
      </c>
      <c r="OG107" s="138">
        <f t="shared" si="120"/>
        <v>0</v>
      </c>
      <c r="OH107" s="8">
        <f t="shared" si="121"/>
        <v>0</v>
      </c>
      <c r="OI107" s="351" cm="1">
        <f t="array" ref="OI107">NETWORKDAYS($JR$2,$KV$2)-SUM(COUNTIF(JR107:KV107,{"I";"F";"CP";"R";"P";"AC";"AM"}))</f>
        <v>22</v>
      </c>
      <c r="OJ107" s="138">
        <f t="shared" si="122"/>
        <v>0</v>
      </c>
      <c r="OK107" s="8">
        <f t="shared" si="123"/>
        <v>0</v>
      </c>
      <c r="OL107" s="351" cm="1">
        <f t="array" ref="OL107">NETWORKDAYS($KW$2,$LZ$2,$LG$2)-SUM(COUNTIF(KW107:LZ107,{"I";"F";"CP";"R";"P";"AC";"AM"}))</f>
        <v>19</v>
      </c>
      <c r="OM107" s="138">
        <f t="shared" si="124"/>
        <v>0</v>
      </c>
      <c r="ON107" s="8">
        <f t="shared" si="125"/>
        <v>0</v>
      </c>
      <c r="OO107" s="351" cm="1">
        <f t="array" ref="OO107">NETWORKDAYS($MA$2,$MR$2)-SUM(COUNTIF(MA107:MR107,{"I";"F";"CP";"R";"P";"AC";"AM"}))</f>
        <v>14</v>
      </c>
      <c r="OP107" s="138">
        <f t="shared" si="126"/>
        <v>0</v>
      </c>
      <c r="OQ107" s="94">
        <f t="shared" si="127"/>
        <v>12</v>
      </c>
      <c r="OR107" s="94">
        <f t="shared" si="128"/>
        <v>240</v>
      </c>
      <c r="OS107" s="138">
        <f t="shared" si="129"/>
        <v>0.05</v>
      </c>
    </row>
    <row r="108" spans="1:409" ht="18" hidden="1" customHeight="1" x14ac:dyDescent="0.25">
      <c r="A108" s="95" t="s">
        <v>168</v>
      </c>
      <c r="B108" s="95" t="s">
        <v>168</v>
      </c>
      <c r="C108" s="89" t="s">
        <v>166</v>
      </c>
      <c r="D108" s="89" t="s">
        <v>284</v>
      </c>
      <c r="E108" s="128"/>
      <c r="F108" s="110"/>
      <c r="G108" s="110"/>
      <c r="H108" s="110"/>
      <c r="I108" s="25"/>
      <c r="J108" s="25"/>
      <c r="K108" s="25"/>
      <c r="L108" s="25"/>
      <c r="M108" s="25"/>
      <c r="N108" s="110"/>
      <c r="O108" s="110"/>
      <c r="P108" s="25"/>
      <c r="Q108" s="25"/>
      <c r="R108" s="25"/>
      <c r="S108" s="25"/>
      <c r="T108" s="25"/>
      <c r="U108" s="110"/>
      <c r="V108" s="110"/>
      <c r="W108" s="25"/>
      <c r="X108" s="25"/>
      <c r="Y108" s="25"/>
      <c r="Z108" s="25"/>
      <c r="AA108" s="25"/>
      <c r="AB108" s="110"/>
      <c r="AC108" s="110"/>
      <c r="AD108" s="25"/>
      <c r="AE108" s="25"/>
      <c r="AF108" s="25"/>
      <c r="AG108" s="25"/>
      <c r="AH108" s="25"/>
      <c r="AI108" s="110"/>
      <c r="AJ108" s="110"/>
      <c r="AK108" s="25"/>
      <c r="AL108" s="25"/>
      <c r="AM108" s="25"/>
      <c r="AN108" s="25"/>
      <c r="AO108" s="25"/>
      <c r="AP108" s="110"/>
      <c r="AQ108" s="110"/>
      <c r="AR108" s="25"/>
      <c r="AS108" s="25"/>
      <c r="AT108" s="25"/>
      <c r="AU108" s="25"/>
      <c r="AV108" s="25"/>
      <c r="AW108" s="110"/>
      <c r="AX108" s="110"/>
      <c r="AY108" s="25"/>
      <c r="AZ108" s="25"/>
      <c r="BA108" s="25"/>
      <c r="BB108" s="25"/>
      <c r="BC108" s="25"/>
      <c r="BD108" s="110"/>
      <c r="BE108" s="110"/>
      <c r="BF108" s="25"/>
      <c r="BG108" s="25"/>
      <c r="BH108" s="25"/>
      <c r="BI108" s="25"/>
      <c r="BJ108" s="25"/>
      <c r="BK108" s="110"/>
      <c r="BL108" s="110"/>
      <c r="BM108" s="25"/>
      <c r="BN108" s="25"/>
      <c r="BO108" s="25"/>
      <c r="BP108" s="25"/>
      <c r="BQ108" s="25"/>
      <c r="BR108" s="110"/>
      <c r="BS108" s="110"/>
      <c r="BT108" s="25"/>
      <c r="BU108" s="25"/>
      <c r="BV108" s="25"/>
      <c r="BW108" s="25"/>
      <c r="BX108" s="25"/>
      <c r="BY108" s="110"/>
      <c r="BZ108" s="110"/>
      <c r="CA108" s="25"/>
      <c r="CB108" s="25"/>
      <c r="CC108" s="25"/>
      <c r="CD108" s="25"/>
      <c r="CE108" s="25"/>
      <c r="CF108" s="110"/>
      <c r="CG108" s="110"/>
      <c r="CH108" s="25"/>
      <c r="CI108" s="25"/>
      <c r="CJ108" s="25"/>
      <c r="CK108" s="25"/>
      <c r="CL108" s="25"/>
      <c r="CM108" s="110"/>
      <c r="CN108" s="110"/>
      <c r="CO108" s="25"/>
      <c r="CP108" s="25"/>
      <c r="CQ108" s="25"/>
      <c r="CR108" s="25"/>
      <c r="CS108" s="25"/>
      <c r="CT108" s="110"/>
      <c r="CU108" s="110"/>
      <c r="CV108" s="110"/>
      <c r="CW108" s="25"/>
      <c r="CX108" s="25"/>
      <c r="CY108" s="25"/>
      <c r="CZ108" s="25"/>
      <c r="DA108" s="110"/>
      <c r="DB108" s="110"/>
      <c r="DC108" s="25"/>
      <c r="DD108" s="25"/>
      <c r="DE108" s="25"/>
      <c r="DF108" s="25"/>
      <c r="DG108" s="25"/>
      <c r="DH108" s="110"/>
      <c r="DI108" s="110"/>
      <c r="DJ108" s="25"/>
      <c r="DK108" s="25"/>
      <c r="DL108" s="25"/>
      <c r="DM108" s="25"/>
      <c r="DN108" s="25"/>
      <c r="DO108" s="110"/>
      <c r="DP108" s="110"/>
      <c r="DQ108" s="25"/>
      <c r="DR108" s="25"/>
      <c r="DS108" s="25"/>
      <c r="DT108" s="25"/>
      <c r="DU108" s="110" t="s">
        <v>445</v>
      </c>
      <c r="DV108" s="110"/>
      <c r="DW108" s="110"/>
      <c r="DX108" s="25"/>
      <c r="DY108" s="25"/>
      <c r="DZ108" s="25"/>
      <c r="EA108" s="25"/>
      <c r="EB108" s="110" t="s">
        <v>445</v>
      </c>
      <c r="EC108" s="110"/>
      <c r="ED108" s="110"/>
      <c r="EE108" s="25"/>
      <c r="EF108" s="25"/>
      <c r="EG108" s="25"/>
      <c r="EH108" s="110" t="s">
        <v>445</v>
      </c>
      <c r="EI108" s="110" t="s">
        <v>445</v>
      </c>
      <c r="EJ108" s="110"/>
      <c r="EK108" s="110"/>
      <c r="EL108" s="25"/>
      <c r="EM108" s="25"/>
      <c r="EN108" s="25"/>
      <c r="EO108" s="25"/>
      <c r="EP108" s="25"/>
      <c r="EQ108" s="110"/>
      <c r="ER108" s="110"/>
      <c r="ES108" s="110" t="s">
        <v>445</v>
      </c>
      <c r="ET108" s="25"/>
      <c r="EU108" s="25"/>
      <c r="EV108" s="25"/>
      <c r="EW108" s="25"/>
      <c r="EX108" s="110"/>
      <c r="EY108" s="110"/>
      <c r="EZ108" s="25"/>
      <c r="FA108" s="25"/>
      <c r="FB108" s="25"/>
      <c r="FC108" s="25"/>
      <c r="FD108" s="25"/>
      <c r="FE108" s="110"/>
      <c r="FF108" s="110"/>
      <c r="FG108" s="25"/>
      <c r="FH108" s="25"/>
      <c r="FI108" s="25"/>
      <c r="FJ108" s="25"/>
      <c r="FK108" s="25"/>
      <c r="FL108" s="110"/>
      <c r="FM108" s="110"/>
      <c r="FN108" s="25"/>
      <c r="FO108" s="25"/>
      <c r="FP108" s="25"/>
      <c r="FQ108" s="25"/>
      <c r="FR108" s="25"/>
      <c r="FS108" s="110"/>
      <c r="FT108" s="110"/>
      <c r="FU108" s="25"/>
      <c r="FV108" s="25"/>
      <c r="FW108" s="25"/>
      <c r="FX108" s="25"/>
      <c r="FY108" s="25"/>
      <c r="FZ108" s="110"/>
      <c r="GA108" s="110"/>
      <c r="GB108" s="25"/>
      <c r="GC108" s="25"/>
      <c r="GD108" s="25"/>
      <c r="GE108" s="25"/>
      <c r="GF108" s="25"/>
      <c r="GG108" s="110"/>
      <c r="GH108" s="110"/>
      <c r="GI108" s="25"/>
      <c r="GJ108" s="25"/>
      <c r="GK108" s="25"/>
      <c r="GL108" s="25"/>
      <c r="GM108" s="25"/>
      <c r="GN108" s="110"/>
      <c r="GO108" s="110"/>
      <c r="GP108" s="110" t="s">
        <v>445</v>
      </c>
      <c r="GQ108" s="110"/>
      <c r="GR108" s="25"/>
      <c r="GS108" s="25"/>
      <c r="GT108" s="25"/>
      <c r="GU108" s="110"/>
      <c r="GV108" s="110"/>
      <c r="GW108" s="25"/>
      <c r="GX108" s="25"/>
      <c r="GY108" s="25"/>
      <c r="GZ108" s="25"/>
      <c r="HA108" s="25"/>
      <c r="HB108" s="110"/>
      <c r="HC108" s="110"/>
      <c r="HD108" s="25"/>
      <c r="HE108" s="25"/>
      <c r="HF108" s="25"/>
      <c r="HG108" s="25"/>
      <c r="HH108" s="25"/>
      <c r="HI108" s="110"/>
      <c r="HJ108" s="110"/>
      <c r="HK108" s="25"/>
      <c r="HL108" s="25"/>
      <c r="HM108" s="25"/>
      <c r="HN108" s="25"/>
      <c r="HO108" s="25"/>
      <c r="HP108" s="110"/>
      <c r="HQ108" s="110"/>
      <c r="HR108" s="25"/>
      <c r="HS108" s="25"/>
      <c r="HT108" s="25"/>
      <c r="HU108" s="25"/>
      <c r="HV108" s="25"/>
      <c r="HW108" s="110"/>
      <c r="HX108" s="110"/>
      <c r="HY108" s="25"/>
      <c r="HZ108" s="25"/>
      <c r="IA108" s="25"/>
      <c r="IB108" s="25"/>
      <c r="IC108" s="25"/>
      <c r="ID108" s="110"/>
      <c r="IE108" s="110"/>
      <c r="IF108" s="25"/>
      <c r="IG108" s="25"/>
      <c r="IH108" s="25"/>
      <c r="II108" s="25"/>
      <c r="IJ108" s="25"/>
      <c r="IK108" s="110"/>
      <c r="IL108" s="110"/>
      <c r="IM108" s="25"/>
      <c r="IN108" s="25"/>
      <c r="IO108" s="25"/>
      <c r="IP108" s="25"/>
      <c r="IQ108" s="25"/>
      <c r="IR108" s="110"/>
      <c r="IS108" s="110"/>
      <c r="IT108" s="25"/>
      <c r="IU108" s="25"/>
      <c r="IV108" s="25"/>
      <c r="IW108" s="25"/>
      <c r="IX108" s="25"/>
      <c r="IY108" s="110"/>
      <c r="IZ108" s="110"/>
      <c r="JA108" s="25"/>
      <c r="JB108" s="25"/>
      <c r="JC108" s="25"/>
      <c r="JD108" s="25"/>
      <c r="JE108" s="25"/>
      <c r="JF108" s="110"/>
      <c r="JG108" s="110"/>
      <c r="JH108" s="25"/>
      <c r="JI108" s="25"/>
      <c r="JJ108" s="25"/>
      <c r="JK108" s="25"/>
      <c r="JL108" s="25"/>
      <c r="JM108" s="110"/>
      <c r="JN108" s="110"/>
      <c r="JO108" s="25"/>
      <c r="JP108" s="25"/>
      <c r="JQ108" s="25"/>
      <c r="JR108" s="25"/>
      <c r="JS108" s="25"/>
      <c r="JT108" s="110"/>
      <c r="JU108" s="110"/>
      <c r="JV108" s="25"/>
      <c r="JW108" s="25"/>
      <c r="JX108" s="25"/>
      <c r="JY108" s="25"/>
      <c r="JZ108" s="25"/>
      <c r="KA108" s="110"/>
      <c r="KB108" s="110"/>
      <c r="KC108" s="25"/>
      <c r="KD108" s="25"/>
      <c r="KE108" s="25"/>
      <c r="KF108" s="25"/>
      <c r="KG108" s="25"/>
      <c r="KH108" s="110"/>
      <c r="KI108" s="110"/>
      <c r="KJ108" s="25"/>
      <c r="KK108" s="25"/>
      <c r="KL108" s="25"/>
      <c r="KM108" s="25"/>
      <c r="KN108" s="25"/>
      <c r="KO108" s="110"/>
      <c r="KP108" s="110"/>
      <c r="KQ108" s="25"/>
      <c r="KR108" s="25"/>
      <c r="KS108" s="25"/>
      <c r="KT108" s="25"/>
      <c r="KU108" s="25"/>
      <c r="KV108" s="110"/>
      <c r="KW108" s="110"/>
      <c r="KX108" s="25"/>
      <c r="KY108" s="25"/>
      <c r="KZ108" s="25"/>
      <c r="LA108" s="25"/>
      <c r="LB108" s="25"/>
      <c r="LC108" s="110"/>
      <c r="LD108" s="110"/>
      <c r="LE108" s="25"/>
      <c r="LF108" s="25"/>
      <c r="LG108" s="110" t="s">
        <v>445</v>
      </c>
      <c r="LH108" s="25"/>
      <c r="LI108" s="25"/>
      <c r="LJ108" s="110"/>
      <c r="LK108" s="110"/>
      <c r="LL108" s="25"/>
      <c r="LM108" s="25"/>
      <c r="LN108" s="25"/>
      <c r="LO108" s="25"/>
      <c r="LP108" s="25"/>
      <c r="LQ108" s="110"/>
      <c r="LR108" s="110"/>
      <c r="LS108" s="25"/>
      <c r="LT108" s="25"/>
      <c r="LU108" s="25"/>
      <c r="LV108" s="25"/>
      <c r="LW108" s="25"/>
      <c r="LX108" s="110"/>
      <c r="LY108" s="110"/>
      <c r="LZ108" s="25"/>
      <c r="MA108" s="25"/>
      <c r="MB108" s="25"/>
      <c r="MC108" s="25"/>
      <c r="MD108" s="25"/>
      <c r="ME108" s="110"/>
      <c r="MF108" s="110"/>
      <c r="MG108" s="25"/>
      <c r="MH108" s="25"/>
      <c r="MI108" s="25"/>
      <c r="MJ108" s="25"/>
      <c r="MK108" s="25"/>
      <c r="ML108" s="110"/>
      <c r="MM108" s="110"/>
      <c r="MN108" s="25"/>
      <c r="MO108" s="25"/>
      <c r="MP108" s="25"/>
      <c r="MQ108" s="25"/>
      <c r="MR108" s="25"/>
      <c r="MS108" s="110"/>
      <c r="MT108" s="110"/>
      <c r="MU108" s="25"/>
      <c r="MV108" s="25"/>
      <c r="MW108" s="25"/>
      <c r="MX108" s="25"/>
      <c r="MY108" s="25"/>
      <c r="MZ108" s="110"/>
      <c r="NA108" s="110"/>
      <c r="NB108" s="25"/>
      <c r="NC108" s="25"/>
      <c r="ND108" s="25"/>
      <c r="NE108" s="129"/>
      <c r="NF108" s="111"/>
      <c r="NG108" s="8">
        <f t="shared" si="135"/>
        <v>0</v>
      </c>
      <c r="NH108" s="351" cm="1">
        <f t="array" ref="NH108">NETWORKDAYS($I$2,$AH$2)- SUM(COUNTIF(I108:AH108,{"I";"F";"CP";"R";"P";"AC";"AM"}))</f>
        <v>20</v>
      </c>
      <c r="NI108" s="138">
        <f t="shared" si="67"/>
        <v>0</v>
      </c>
      <c r="NJ108" s="8">
        <f t="shared" si="136"/>
        <v>0</v>
      </c>
      <c r="NK108" s="351" cm="1">
        <f t="array" ref="NK108">NETWORKDAYS($AJ$2,$BK$2)- SUM(COUNTIF(AJ108:BK108,{"I";"F";"CP";"R";"P";"AC";"AM"}))</f>
        <v>20</v>
      </c>
      <c r="NL108" s="138">
        <f t="shared" si="68"/>
        <v>0</v>
      </c>
      <c r="NM108" s="8">
        <f t="shared" si="137"/>
        <v>0</v>
      </c>
      <c r="NN108" s="351" cm="1">
        <f t="array" ref="NN108">NETWORKDAYS($BL$2,$CP$2)- SUM(COUNTIF(BL108:CP108,{"I";"F";"CP";"R";"P";"AC";"AM"}))</f>
        <v>22</v>
      </c>
      <c r="NO108" s="138">
        <f t="shared" si="69"/>
        <v>0</v>
      </c>
      <c r="NP108" s="8">
        <f t="shared" si="138"/>
        <v>0</v>
      </c>
      <c r="NQ108" s="351" cm="1">
        <f t="array" ref="NQ108">NETWORKDAYS($CQ$2,$DT$2,$CV$2)- SUM(COUNTIF(CQ108:DT108,{"I";"F";"CP";"R";"P";"AC";"AM"}))</f>
        <v>21</v>
      </c>
      <c r="NR108" s="138">
        <f t="shared" si="70"/>
        <v>0</v>
      </c>
      <c r="NS108" s="8">
        <f t="shared" si="139"/>
        <v>0</v>
      </c>
      <c r="NT108" s="351" cm="1">
        <f t="array" ref="NT108">NETWORKDAYS($DV$2,$EY$2)-SUM(COUNTIF(DV108:EY108,{"I";"F";"CP";"R";"P";"AC";"AM"}))</f>
        <v>16</v>
      </c>
      <c r="NU108" s="138">
        <f t="shared" si="71"/>
        <v>0</v>
      </c>
      <c r="NV108" s="8">
        <f t="shared" si="113"/>
        <v>0</v>
      </c>
      <c r="NW108" s="351" cm="1">
        <f t="array" ref="NW108">NETWORKDAYS($EZ$2,$GC$2)-SUM(COUNTIF(EZ108:GC108,{"I";"F";"CP";"R";"P";"AC";"AM"}))</f>
        <v>22</v>
      </c>
      <c r="NX108" s="138">
        <f t="shared" si="114"/>
        <v>0</v>
      </c>
      <c r="NY108" s="8">
        <f t="shared" si="115"/>
        <v>0</v>
      </c>
      <c r="NZ108" s="351" cm="1">
        <f t="array" ref="NZ108">NETWORKDAYS($GD$2,$HH$2,$GQ$2)-SUM(COUNTIF(GD108:HH108,{"I";"F";"CP";"R";"P";"AC";"AM"}))</f>
        <v>21</v>
      </c>
      <c r="OA108" s="138">
        <f t="shared" si="116"/>
        <v>0</v>
      </c>
      <c r="OB108" s="8">
        <f t="shared" si="117"/>
        <v>0</v>
      </c>
      <c r="OC108" s="351" cm="1">
        <f t="array" ref="OC108">NETWORKDAYS($HI$2,$IM$2)-SUM(COUNTIF(HI108:IM108,{"I";"F";"CP";"R";"P";"AC";"AM"}))</f>
        <v>21</v>
      </c>
      <c r="OD108" s="138">
        <f t="shared" si="118"/>
        <v>0</v>
      </c>
      <c r="OE108" s="8">
        <f t="shared" si="119"/>
        <v>0</v>
      </c>
      <c r="OF108" s="351" cm="1">
        <f t="array" ref="OF108">NETWORKDAYS($IN$2,$JQ$2)-SUM(COUNTIF(IN108:JQ108,{"I";"F";"CP";"R";"P";"AC";"AM"}))</f>
        <v>22</v>
      </c>
      <c r="OG108" s="138">
        <f t="shared" si="120"/>
        <v>0</v>
      </c>
      <c r="OH108" s="8">
        <f t="shared" si="121"/>
        <v>0</v>
      </c>
      <c r="OI108" s="351" cm="1">
        <f t="array" ref="OI108">NETWORKDAYS($JR$2,$KV$2)-SUM(COUNTIF(JR108:KV108,{"I";"F";"CP";"R";"P";"AC";"AM"}))</f>
        <v>22</v>
      </c>
      <c r="OJ108" s="138">
        <f t="shared" si="122"/>
        <v>0</v>
      </c>
      <c r="OK108" s="8">
        <f t="shared" si="123"/>
        <v>0</v>
      </c>
      <c r="OL108" s="351" cm="1">
        <f t="array" ref="OL108">NETWORKDAYS($KW$2,$LZ$2,$LG$2)-SUM(COUNTIF(KW108:LZ108,{"I";"F";"CP";"R";"P";"AC";"AM"}))</f>
        <v>19</v>
      </c>
      <c r="OM108" s="138">
        <f t="shared" si="124"/>
        <v>0</v>
      </c>
      <c r="ON108" s="8">
        <f t="shared" si="125"/>
        <v>0</v>
      </c>
      <c r="OO108" s="351" cm="1">
        <f t="array" ref="OO108">NETWORKDAYS($MA$2,$MR$2)-SUM(COUNTIF(MA108:MR108,{"I";"F";"CP";"R";"P";"AC";"AM"}))</f>
        <v>14</v>
      </c>
      <c r="OP108" s="138">
        <f t="shared" si="126"/>
        <v>0</v>
      </c>
      <c r="OQ108" s="94">
        <f t="shared" si="127"/>
        <v>0</v>
      </c>
      <c r="OR108" s="94">
        <f t="shared" si="128"/>
        <v>240</v>
      </c>
      <c r="OS108" s="138">
        <f t="shared" si="129"/>
        <v>0</v>
      </c>
    </row>
    <row r="109" spans="1:409" ht="18" hidden="1" customHeight="1" x14ac:dyDescent="0.25">
      <c r="A109" s="95" t="s">
        <v>100</v>
      </c>
      <c r="B109" s="95" t="s">
        <v>34</v>
      </c>
      <c r="C109" s="89" t="s">
        <v>160</v>
      </c>
      <c r="D109" s="89" t="s">
        <v>286</v>
      </c>
      <c r="E109" s="128"/>
      <c r="F109" s="110"/>
      <c r="G109" s="110"/>
      <c r="H109" s="110"/>
      <c r="I109" s="25"/>
      <c r="J109" s="25"/>
      <c r="K109" s="25"/>
      <c r="L109" s="25"/>
      <c r="M109" s="25">
        <v>1</v>
      </c>
      <c r="N109" s="110"/>
      <c r="O109" s="110"/>
      <c r="P109" s="25">
        <v>1</v>
      </c>
      <c r="Q109" s="25">
        <v>1</v>
      </c>
      <c r="R109" s="25"/>
      <c r="S109" s="25"/>
      <c r="T109" s="25"/>
      <c r="U109" s="110"/>
      <c r="V109" s="110"/>
      <c r="W109" s="25">
        <v>1</v>
      </c>
      <c r="X109" s="25">
        <v>1</v>
      </c>
      <c r="Y109" s="25">
        <v>1</v>
      </c>
      <c r="Z109" s="25">
        <v>1</v>
      </c>
      <c r="AA109" s="25">
        <v>1</v>
      </c>
      <c r="AB109" s="110"/>
      <c r="AC109" s="110"/>
      <c r="AD109" s="25">
        <v>1</v>
      </c>
      <c r="AE109" s="25">
        <v>1</v>
      </c>
      <c r="AF109" s="25" t="s">
        <v>447</v>
      </c>
      <c r="AG109" s="25">
        <v>1</v>
      </c>
      <c r="AH109" s="25">
        <v>1</v>
      </c>
      <c r="AI109" s="110"/>
      <c r="AJ109" s="110"/>
      <c r="AK109" s="25">
        <v>1</v>
      </c>
      <c r="AL109" s="25"/>
      <c r="AM109" s="25">
        <v>1</v>
      </c>
      <c r="AN109" s="25" t="s">
        <v>447</v>
      </c>
      <c r="AO109" s="25" t="s">
        <v>447</v>
      </c>
      <c r="AP109" s="110"/>
      <c r="AQ109" s="110"/>
      <c r="AR109" s="25">
        <v>1</v>
      </c>
      <c r="AS109" s="25">
        <v>1</v>
      </c>
      <c r="AT109" s="25">
        <v>1</v>
      </c>
      <c r="AU109" s="484"/>
      <c r="AV109" s="25"/>
      <c r="AW109" s="110"/>
      <c r="AX109" s="110"/>
      <c r="AY109" s="25"/>
      <c r="AZ109" s="25">
        <v>1</v>
      </c>
      <c r="BA109" s="25">
        <v>1</v>
      </c>
      <c r="BB109" s="25">
        <v>1</v>
      </c>
      <c r="BC109" s="25"/>
      <c r="BD109" s="110"/>
      <c r="BE109" s="110"/>
      <c r="BF109" s="25" t="s">
        <v>448</v>
      </c>
      <c r="BG109" s="25" t="s">
        <v>448</v>
      </c>
      <c r="BH109" s="25" t="s">
        <v>448</v>
      </c>
      <c r="BI109" s="25" t="s">
        <v>448</v>
      </c>
      <c r="BJ109" s="25" t="s">
        <v>448</v>
      </c>
      <c r="BK109" s="110"/>
      <c r="BL109" s="110"/>
      <c r="BM109" s="25"/>
      <c r="BN109" s="25"/>
      <c r="BO109" s="25">
        <v>1</v>
      </c>
      <c r="BP109" s="25"/>
      <c r="BQ109" s="25">
        <v>1</v>
      </c>
      <c r="BR109" s="110"/>
      <c r="BS109" s="110"/>
      <c r="BT109" s="25" t="s">
        <v>447</v>
      </c>
      <c r="BU109" s="25">
        <v>1</v>
      </c>
      <c r="BV109" s="25">
        <v>1</v>
      </c>
      <c r="BW109" s="25">
        <v>1</v>
      </c>
      <c r="BX109" s="25">
        <v>1</v>
      </c>
      <c r="BY109" s="110"/>
      <c r="BZ109" s="110"/>
      <c r="CA109" s="25"/>
      <c r="CB109" s="25">
        <v>1</v>
      </c>
      <c r="CC109" s="25">
        <v>1</v>
      </c>
      <c r="CD109" s="25">
        <v>1</v>
      </c>
      <c r="CE109" s="25"/>
      <c r="CF109" s="110"/>
      <c r="CG109" s="110"/>
      <c r="CH109" s="25"/>
      <c r="CI109" s="25"/>
      <c r="CJ109" s="25">
        <v>1</v>
      </c>
      <c r="CK109" s="25"/>
      <c r="CL109" s="25"/>
      <c r="CM109" s="110"/>
      <c r="CN109" s="110"/>
      <c r="CO109" s="25">
        <v>1</v>
      </c>
      <c r="CP109" s="25">
        <v>1</v>
      </c>
      <c r="CQ109" s="25"/>
      <c r="CR109" s="25"/>
      <c r="CS109" s="25"/>
      <c r="CT109" s="110"/>
      <c r="CU109" s="110"/>
      <c r="CV109" s="110"/>
      <c r="CW109" s="25">
        <v>1</v>
      </c>
      <c r="CX109" s="25">
        <v>1</v>
      </c>
      <c r="CY109" s="25">
        <v>1</v>
      </c>
      <c r="CZ109" s="25">
        <v>1</v>
      </c>
      <c r="DA109" s="110"/>
      <c r="DB109" s="110"/>
      <c r="DC109" s="25"/>
      <c r="DD109" s="25">
        <v>1</v>
      </c>
      <c r="DE109" s="25">
        <v>1</v>
      </c>
      <c r="DF109" s="25"/>
      <c r="DG109" s="25">
        <v>1</v>
      </c>
      <c r="DH109" s="110"/>
      <c r="DI109" s="110"/>
      <c r="DJ109" s="25">
        <v>1</v>
      </c>
      <c r="DK109" s="25">
        <v>1</v>
      </c>
      <c r="DL109" s="25">
        <v>1</v>
      </c>
      <c r="DM109" s="25">
        <v>1</v>
      </c>
      <c r="DN109" s="25">
        <v>1</v>
      </c>
      <c r="DO109" s="110"/>
      <c r="DP109" s="110"/>
      <c r="DQ109" s="25">
        <v>1</v>
      </c>
      <c r="DR109" s="25">
        <v>1</v>
      </c>
      <c r="DS109" s="25">
        <v>1</v>
      </c>
      <c r="DT109" s="25">
        <v>1</v>
      </c>
      <c r="DU109" s="110" t="s">
        <v>445</v>
      </c>
      <c r="DV109" s="110"/>
      <c r="DW109" s="110"/>
      <c r="DX109" s="25"/>
      <c r="DY109" s="25">
        <v>1</v>
      </c>
      <c r="DZ109" s="25"/>
      <c r="EA109" s="25"/>
      <c r="EB109" s="110" t="s">
        <v>445</v>
      </c>
      <c r="EC109" s="110"/>
      <c r="ED109" s="110"/>
      <c r="EE109" s="25" t="s">
        <v>448</v>
      </c>
      <c r="EF109" s="25" t="s">
        <v>448</v>
      </c>
      <c r="EG109" s="25" t="s">
        <v>448</v>
      </c>
      <c r="EH109" s="110" t="s">
        <v>445</v>
      </c>
      <c r="EI109" s="110" t="s">
        <v>445</v>
      </c>
      <c r="EJ109" s="110"/>
      <c r="EK109" s="110"/>
      <c r="EL109" s="25"/>
      <c r="EM109" s="25"/>
      <c r="EN109" s="25"/>
      <c r="EO109" s="25"/>
      <c r="EP109" s="25"/>
      <c r="EQ109" s="110"/>
      <c r="ER109" s="110"/>
      <c r="ES109" s="110" t="s">
        <v>445</v>
      </c>
      <c r="ET109" s="25"/>
      <c r="EU109" s="25"/>
      <c r="EV109" s="25"/>
      <c r="EW109" s="25"/>
      <c r="EX109" s="110"/>
      <c r="EY109" s="110"/>
      <c r="EZ109" s="25"/>
      <c r="FA109" s="25"/>
      <c r="FB109" s="25"/>
      <c r="FC109" s="25"/>
      <c r="FD109" s="25"/>
      <c r="FE109" s="110"/>
      <c r="FF109" s="110"/>
      <c r="FG109" s="25"/>
      <c r="FH109" s="25"/>
      <c r="FI109" s="25"/>
      <c r="FJ109" s="25"/>
      <c r="FK109" s="25"/>
      <c r="FL109" s="110"/>
      <c r="FM109" s="110"/>
      <c r="FN109" s="25"/>
      <c r="FO109" s="25"/>
      <c r="FP109" s="25"/>
      <c r="FQ109" s="25"/>
      <c r="FR109" s="25"/>
      <c r="FS109" s="110"/>
      <c r="FT109" s="110"/>
      <c r="FU109" s="25"/>
      <c r="FV109" s="25"/>
      <c r="FW109" s="25"/>
      <c r="FX109" s="25"/>
      <c r="FY109" s="25"/>
      <c r="FZ109" s="110"/>
      <c r="GA109" s="110"/>
      <c r="GB109" s="25"/>
      <c r="GC109" s="25"/>
      <c r="GD109" s="25"/>
      <c r="GE109" s="25"/>
      <c r="GF109" s="25"/>
      <c r="GG109" s="110"/>
      <c r="GH109" s="110"/>
      <c r="GI109" s="25"/>
      <c r="GJ109" s="25"/>
      <c r="GK109" s="25"/>
      <c r="GL109" s="25"/>
      <c r="GM109" s="25"/>
      <c r="GN109" s="110"/>
      <c r="GO109" s="110"/>
      <c r="GP109" s="110" t="s">
        <v>445</v>
      </c>
      <c r="GQ109" s="110"/>
      <c r="GR109" s="25"/>
      <c r="GS109" s="25"/>
      <c r="GT109" s="25"/>
      <c r="GU109" s="110"/>
      <c r="GV109" s="110"/>
      <c r="GW109" s="25"/>
      <c r="GX109" s="25"/>
      <c r="GY109" s="25"/>
      <c r="GZ109" s="25"/>
      <c r="HA109" s="25"/>
      <c r="HB109" s="110"/>
      <c r="HC109" s="110"/>
      <c r="HD109" s="25"/>
      <c r="HE109" s="25"/>
      <c r="HF109" s="25"/>
      <c r="HG109" s="25"/>
      <c r="HH109" s="25"/>
      <c r="HI109" s="110"/>
      <c r="HJ109" s="110"/>
      <c r="HK109" s="25"/>
      <c r="HL109" s="25"/>
      <c r="HM109" s="25"/>
      <c r="HN109" s="25"/>
      <c r="HO109" s="25"/>
      <c r="HP109" s="110"/>
      <c r="HQ109" s="110"/>
      <c r="HR109" s="25"/>
      <c r="HS109" s="25"/>
      <c r="HT109" s="25"/>
      <c r="HU109" s="25"/>
      <c r="HV109" s="25"/>
      <c r="HW109" s="110"/>
      <c r="HX109" s="110"/>
      <c r="HY109" s="25"/>
      <c r="HZ109" s="25"/>
      <c r="IA109" s="25"/>
      <c r="IB109" s="25"/>
      <c r="IC109" s="25"/>
      <c r="ID109" s="110"/>
      <c r="IE109" s="110"/>
      <c r="IF109" s="25"/>
      <c r="IG109" s="25"/>
      <c r="IH109" s="25"/>
      <c r="II109" s="25"/>
      <c r="IJ109" s="25"/>
      <c r="IK109" s="110"/>
      <c r="IL109" s="110"/>
      <c r="IM109" s="25"/>
      <c r="IN109" s="25"/>
      <c r="IO109" s="25"/>
      <c r="IP109" s="25"/>
      <c r="IQ109" s="25"/>
      <c r="IR109" s="110"/>
      <c r="IS109" s="110"/>
      <c r="IT109" s="25"/>
      <c r="IU109" s="25"/>
      <c r="IV109" s="25"/>
      <c r="IW109" s="25"/>
      <c r="IX109" s="25"/>
      <c r="IY109" s="110"/>
      <c r="IZ109" s="110"/>
      <c r="JA109" s="25"/>
      <c r="JB109" s="25"/>
      <c r="JC109" s="25"/>
      <c r="JD109" s="25"/>
      <c r="JE109" s="25"/>
      <c r="JF109" s="110"/>
      <c r="JG109" s="110"/>
      <c r="JH109" s="25"/>
      <c r="JI109" s="25"/>
      <c r="JJ109" s="25"/>
      <c r="JK109" s="25"/>
      <c r="JL109" s="25"/>
      <c r="JM109" s="110"/>
      <c r="JN109" s="110"/>
      <c r="JO109" s="25"/>
      <c r="JP109" s="25"/>
      <c r="JQ109" s="25"/>
      <c r="JR109" s="25"/>
      <c r="JS109" s="25"/>
      <c r="JT109" s="110"/>
      <c r="JU109" s="110"/>
      <c r="JV109" s="25"/>
      <c r="JW109" s="25"/>
      <c r="JX109" s="25"/>
      <c r="JY109" s="25"/>
      <c r="JZ109" s="25"/>
      <c r="KA109" s="110"/>
      <c r="KB109" s="110"/>
      <c r="KC109" s="25"/>
      <c r="KD109" s="25"/>
      <c r="KE109" s="25"/>
      <c r="KF109" s="25"/>
      <c r="KG109" s="25"/>
      <c r="KH109" s="110"/>
      <c r="KI109" s="110"/>
      <c r="KJ109" s="25"/>
      <c r="KK109" s="25"/>
      <c r="KL109" s="25"/>
      <c r="KM109" s="25"/>
      <c r="KN109" s="25"/>
      <c r="KO109" s="110"/>
      <c r="KP109" s="110"/>
      <c r="KQ109" s="25"/>
      <c r="KR109" s="25"/>
      <c r="KS109" s="25"/>
      <c r="KT109" s="25"/>
      <c r="KU109" s="25"/>
      <c r="KV109" s="110"/>
      <c r="KW109" s="110"/>
      <c r="KX109" s="25"/>
      <c r="KY109" s="25"/>
      <c r="KZ109" s="25"/>
      <c r="LA109" s="25"/>
      <c r="LB109" s="25"/>
      <c r="LC109" s="110"/>
      <c r="LD109" s="110"/>
      <c r="LE109" s="25"/>
      <c r="LF109" s="25"/>
      <c r="LG109" s="110" t="s">
        <v>445</v>
      </c>
      <c r="LH109" s="25"/>
      <c r="LI109" s="25"/>
      <c r="LJ109" s="110"/>
      <c r="LK109" s="110"/>
      <c r="LL109" s="25"/>
      <c r="LM109" s="25"/>
      <c r="LN109" s="25"/>
      <c r="LO109" s="25"/>
      <c r="LP109" s="25"/>
      <c r="LQ109" s="110"/>
      <c r="LR109" s="110"/>
      <c r="LS109" s="25"/>
      <c r="LT109" s="25"/>
      <c r="LU109" s="25"/>
      <c r="LV109" s="25"/>
      <c r="LW109" s="25"/>
      <c r="LX109" s="110"/>
      <c r="LY109" s="110"/>
      <c r="LZ109" s="25"/>
      <c r="MA109" s="25"/>
      <c r="MB109" s="25"/>
      <c r="MC109" s="25"/>
      <c r="MD109" s="25"/>
      <c r="ME109" s="110"/>
      <c r="MF109" s="110"/>
      <c r="MG109" s="25"/>
      <c r="MH109" s="25"/>
      <c r="MI109" s="25"/>
      <c r="MJ109" s="25"/>
      <c r="MK109" s="25"/>
      <c r="ML109" s="110"/>
      <c r="MM109" s="110"/>
      <c r="MN109" s="25"/>
      <c r="MO109" s="25"/>
      <c r="MP109" s="25"/>
      <c r="MQ109" s="25"/>
      <c r="MR109" s="25"/>
      <c r="MS109" s="110"/>
      <c r="MT109" s="110"/>
      <c r="MU109" s="25"/>
      <c r="MV109" s="25"/>
      <c r="MW109" s="25"/>
      <c r="MX109" s="25"/>
      <c r="MY109" s="25"/>
      <c r="MZ109" s="110"/>
      <c r="NA109" s="110"/>
      <c r="NB109" s="25"/>
      <c r="NC109" s="25"/>
      <c r="ND109" s="25"/>
      <c r="NE109" s="129"/>
      <c r="NF109" s="111"/>
      <c r="NG109" s="8">
        <f t="shared" si="135"/>
        <v>12</v>
      </c>
      <c r="NH109" s="351" cm="1">
        <f t="array" ref="NH109">NETWORKDAYS($I$2,$AH$2)- SUM(COUNTIF(I109:AH109,{"I";"F";"CP";"R";"P";"AC";"AM"}))</f>
        <v>19</v>
      </c>
      <c r="NI109" s="138">
        <f t="shared" si="67"/>
        <v>0.63157894736842102</v>
      </c>
      <c r="NJ109" s="8">
        <f t="shared" si="136"/>
        <v>8</v>
      </c>
      <c r="NK109" s="351" cm="1">
        <f t="array" ref="NK109">NETWORKDAYS($AJ$2,$BK$2)- SUM(COUNTIF(AJ109:BK109,{"I";"F";"CP";"R";"P";"AC";"AM"}))</f>
        <v>18</v>
      </c>
      <c r="NL109" s="138">
        <f t="shared" si="68"/>
        <v>0.44444444444444442</v>
      </c>
      <c r="NM109" s="8">
        <f t="shared" si="137"/>
        <v>12</v>
      </c>
      <c r="NN109" s="351" cm="1">
        <f t="array" ref="NN109">NETWORKDAYS($BL$2,$CP$2)- SUM(COUNTIF(BL109:CP109,{"I";"F";"CP";"R";"P";"AC";"AM"}))</f>
        <v>21</v>
      </c>
      <c r="NO109" s="138">
        <f t="shared" si="69"/>
        <v>0.5714285714285714</v>
      </c>
      <c r="NP109" s="8">
        <f t="shared" si="138"/>
        <v>16</v>
      </c>
      <c r="NQ109" s="351" cm="1">
        <f t="array" ref="NQ109">NETWORKDAYS($CQ$2,$DT$2,$CV$2)- SUM(COUNTIF(CQ109:DT109,{"I";"F";"CP";"R";"P";"AC";"AM"}))</f>
        <v>21</v>
      </c>
      <c r="NR109" s="138">
        <f t="shared" si="70"/>
        <v>0.76190476190476186</v>
      </c>
      <c r="NS109" s="8">
        <f t="shared" si="139"/>
        <v>1</v>
      </c>
      <c r="NT109" s="351" cm="1">
        <f t="array" ref="NT109">NETWORKDAYS($DV$2,$EY$2)-SUM(COUNTIF(DV109:EY109,{"I";"F";"CP";"R";"P";"AC";"AM"}))</f>
        <v>16</v>
      </c>
      <c r="NU109" s="138">
        <f t="shared" si="71"/>
        <v>6.25E-2</v>
      </c>
      <c r="NV109" s="8">
        <f t="shared" ref="NV109:NV115" si="140">SUM(EZ109:GC109)</f>
        <v>0</v>
      </c>
      <c r="NW109" s="351" cm="1">
        <f t="array" ref="NW109">NETWORKDAYS($EZ$2,$GC$2)-SUM(COUNTIF(EZ109:GC109,{"I";"F";"CP";"R";"P";"AC";"AM"}))</f>
        <v>22</v>
      </c>
      <c r="NX109" s="138">
        <f t="shared" si="114"/>
        <v>0</v>
      </c>
      <c r="NY109" s="8">
        <f t="shared" ref="NY109:NY115" si="141">SUM(GD109:HH109)</f>
        <v>0</v>
      </c>
      <c r="NZ109" s="351" cm="1">
        <f t="array" ref="NZ109">NETWORKDAYS($GD$2,$HH$2,$GQ$2)-SUM(COUNTIF(GD109:HH109,{"I";"F";"CP";"R";"P";"AC";"AM"}))</f>
        <v>21</v>
      </c>
      <c r="OA109" s="138">
        <f t="shared" si="116"/>
        <v>0</v>
      </c>
      <c r="OB109" s="8">
        <f t="shared" ref="OB109:OB115" si="142">SUM(HI109:IM109)</f>
        <v>0</v>
      </c>
      <c r="OC109" s="351" cm="1">
        <f t="array" ref="OC109">NETWORKDAYS($HI$2,$IM$2)-SUM(COUNTIF(HI109:IM109,{"I";"F";"CP";"R";"P";"AC";"AM"}))</f>
        <v>21</v>
      </c>
      <c r="OD109" s="138">
        <f t="shared" si="118"/>
        <v>0</v>
      </c>
      <c r="OE109" s="8">
        <f t="shared" ref="OE109:OE115" si="143">SUM(IN109:JQ109)</f>
        <v>0</v>
      </c>
      <c r="OF109" s="351" cm="1">
        <f t="array" ref="OF109">NETWORKDAYS($IN$2,$JQ$2)-SUM(COUNTIF(IN109:JQ109,{"I";"F";"CP";"R";"P";"AC";"AM"}))</f>
        <v>22</v>
      </c>
      <c r="OG109" s="138">
        <f t="shared" si="120"/>
        <v>0</v>
      </c>
      <c r="OH109" s="8">
        <f t="shared" ref="OH109:OH115" si="144">SUM(JR109:KV109)</f>
        <v>0</v>
      </c>
      <c r="OI109" s="351" cm="1">
        <f t="array" ref="OI109">NETWORKDAYS($JR$2,$KV$2)-SUM(COUNTIF(JR109:KV109,{"I";"F";"CP";"R";"P";"AC";"AM"}))</f>
        <v>22</v>
      </c>
      <c r="OJ109" s="138">
        <f t="shared" si="122"/>
        <v>0</v>
      </c>
      <c r="OK109" s="8">
        <f t="shared" ref="OK109:OK115" si="145">SUM(KW109:LZ109)</f>
        <v>0</v>
      </c>
      <c r="OL109" s="351" cm="1">
        <f t="array" ref="OL109">NETWORKDAYS($KW$2,$LZ$2,$LG$2)-SUM(COUNTIF(KW109:LZ109,{"I";"F";"CP";"R";"P";"AC";"AM"}))</f>
        <v>19</v>
      </c>
      <c r="OM109" s="138">
        <f t="shared" si="124"/>
        <v>0</v>
      </c>
      <c r="ON109" s="8">
        <f t="shared" ref="ON109:ON115" si="146">SUM(MA109:NE109)</f>
        <v>0</v>
      </c>
      <c r="OO109" s="351" cm="1">
        <f t="array" ref="OO109">NETWORKDAYS($MA$2,$MR$2)-SUM(COUNTIF(MA109:MR109,{"I";"F";"CP";"R";"P";"AC";"AM"}))</f>
        <v>14</v>
      </c>
      <c r="OP109" s="138">
        <f t="shared" si="126"/>
        <v>0</v>
      </c>
      <c r="OQ109" s="94">
        <f t="shared" si="127"/>
        <v>49</v>
      </c>
      <c r="OR109" s="94">
        <f t="shared" si="128"/>
        <v>236</v>
      </c>
      <c r="OS109" s="138">
        <f t="shared" si="129"/>
        <v>0.2076271186440678</v>
      </c>
    </row>
    <row r="110" spans="1:409" ht="18" hidden="1" customHeight="1" x14ac:dyDescent="0.25">
      <c r="A110" s="93" t="s">
        <v>54</v>
      </c>
      <c r="B110" s="95" t="s">
        <v>34</v>
      </c>
      <c r="C110" s="89" t="s">
        <v>160</v>
      </c>
      <c r="D110" s="89" t="s">
        <v>282</v>
      </c>
      <c r="E110" s="128"/>
      <c r="F110" s="110"/>
      <c r="G110" s="110"/>
      <c r="H110" s="110"/>
      <c r="I110" s="25"/>
      <c r="J110" s="25">
        <v>1</v>
      </c>
      <c r="K110" s="25">
        <v>1</v>
      </c>
      <c r="L110" s="25"/>
      <c r="M110" s="25">
        <v>1</v>
      </c>
      <c r="N110" s="110"/>
      <c r="O110" s="110"/>
      <c r="P110" s="25">
        <v>1</v>
      </c>
      <c r="Q110" s="25">
        <v>1</v>
      </c>
      <c r="R110" s="25">
        <v>1</v>
      </c>
      <c r="S110" s="25">
        <v>1</v>
      </c>
      <c r="T110" s="25"/>
      <c r="U110" s="110"/>
      <c r="V110" s="110"/>
      <c r="W110" s="25">
        <v>1</v>
      </c>
      <c r="X110" s="25">
        <v>1</v>
      </c>
      <c r="Y110" s="25">
        <v>1</v>
      </c>
      <c r="Z110" s="25"/>
      <c r="AA110" s="25"/>
      <c r="AB110" s="110"/>
      <c r="AC110" s="110"/>
      <c r="AD110" s="25">
        <v>1</v>
      </c>
      <c r="AE110" s="25"/>
      <c r="AF110" s="25"/>
      <c r="AG110" s="25">
        <v>1</v>
      </c>
      <c r="AH110" s="25">
        <v>1</v>
      </c>
      <c r="AI110" s="110"/>
      <c r="AJ110" s="110"/>
      <c r="AK110" s="25">
        <v>1</v>
      </c>
      <c r="AL110" s="25"/>
      <c r="AM110" s="25">
        <v>1</v>
      </c>
      <c r="AN110" s="25">
        <v>1</v>
      </c>
      <c r="AO110" s="25">
        <v>1</v>
      </c>
      <c r="AP110" s="110"/>
      <c r="AQ110" s="110"/>
      <c r="AR110" s="25">
        <v>1</v>
      </c>
      <c r="AS110" s="25">
        <v>1</v>
      </c>
      <c r="AT110" s="25">
        <v>1</v>
      </c>
      <c r="AU110" s="25">
        <v>1</v>
      </c>
      <c r="AV110" s="25">
        <v>1</v>
      </c>
      <c r="AW110" s="110"/>
      <c r="AX110" s="110"/>
      <c r="AY110" s="25"/>
      <c r="AZ110" s="25">
        <v>1</v>
      </c>
      <c r="BA110" s="25">
        <v>1</v>
      </c>
      <c r="BB110" s="25"/>
      <c r="BC110" s="25">
        <v>1</v>
      </c>
      <c r="BD110" s="110"/>
      <c r="BE110" s="110"/>
      <c r="BF110" s="25">
        <v>1</v>
      </c>
      <c r="BG110" s="25">
        <v>1</v>
      </c>
      <c r="BH110" s="25">
        <v>1</v>
      </c>
      <c r="BI110" s="25">
        <v>1</v>
      </c>
      <c r="BJ110" s="25">
        <v>1</v>
      </c>
      <c r="BK110" s="110"/>
      <c r="BL110" s="110"/>
      <c r="BM110" s="25">
        <v>1</v>
      </c>
      <c r="BN110" s="25">
        <v>1</v>
      </c>
      <c r="BO110" s="25">
        <v>1</v>
      </c>
      <c r="BP110" s="25">
        <v>1</v>
      </c>
      <c r="BQ110" s="25"/>
      <c r="BR110" s="110"/>
      <c r="BS110" s="110"/>
      <c r="BT110" s="25">
        <v>1</v>
      </c>
      <c r="BU110" s="25">
        <v>1</v>
      </c>
      <c r="BV110" s="25"/>
      <c r="BW110" s="25">
        <v>1</v>
      </c>
      <c r="BX110" s="25">
        <v>1</v>
      </c>
      <c r="BY110" s="110"/>
      <c r="BZ110" s="110"/>
      <c r="CA110" s="25">
        <v>1</v>
      </c>
      <c r="CB110" s="25">
        <v>1</v>
      </c>
      <c r="CC110" s="25">
        <v>1</v>
      </c>
      <c r="CD110" s="25">
        <v>1</v>
      </c>
      <c r="CE110" s="25"/>
      <c r="CF110" s="110"/>
      <c r="CG110" s="110"/>
      <c r="CH110" s="25">
        <v>1</v>
      </c>
      <c r="CI110" s="25">
        <v>1</v>
      </c>
      <c r="CJ110" s="25">
        <v>1</v>
      </c>
      <c r="CK110" s="25">
        <v>1</v>
      </c>
      <c r="CL110" s="25"/>
      <c r="CM110" s="110"/>
      <c r="CN110" s="110"/>
      <c r="CO110" s="25">
        <v>1</v>
      </c>
      <c r="CP110" s="25">
        <v>1</v>
      </c>
      <c r="CQ110" s="25">
        <v>1</v>
      </c>
      <c r="CR110" s="25">
        <v>1</v>
      </c>
      <c r="CS110" s="25">
        <v>1</v>
      </c>
      <c r="CT110" s="110"/>
      <c r="CU110" s="110"/>
      <c r="CV110" s="110"/>
      <c r="CW110" s="25">
        <v>1</v>
      </c>
      <c r="CX110" s="25"/>
      <c r="CY110" s="25">
        <v>1</v>
      </c>
      <c r="CZ110" s="25">
        <v>1</v>
      </c>
      <c r="DA110" s="110"/>
      <c r="DB110" s="110"/>
      <c r="DC110" s="25"/>
      <c r="DD110" s="25">
        <v>1</v>
      </c>
      <c r="DE110" s="25">
        <v>1</v>
      </c>
      <c r="DF110" s="25">
        <v>1</v>
      </c>
      <c r="DG110" s="25">
        <v>1</v>
      </c>
      <c r="DH110" s="110"/>
      <c r="DI110" s="110"/>
      <c r="DJ110" s="25">
        <v>1</v>
      </c>
      <c r="DK110" s="25">
        <v>1</v>
      </c>
      <c r="DL110" s="25">
        <v>1</v>
      </c>
      <c r="DM110" s="25">
        <v>1</v>
      </c>
      <c r="DN110" s="25">
        <v>1</v>
      </c>
      <c r="DO110" s="110"/>
      <c r="DP110" s="110"/>
      <c r="DQ110" s="25">
        <v>1</v>
      </c>
      <c r="DR110" s="25">
        <v>1</v>
      </c>
      <c r="DS110" s="25">
        <v>1</v>
      </c>
      <c r="DT110" s="25">
        <v>1</v>
      </c>
      <c r="DU110" s="110" t="s">
        <v>445</v>
      </c>
      <c r="DV110" s="110"/>
      <c r="DW110" s="110"/>
      <c r="DX110" s="25">
        <v>1</v>
      </c>
      <c r="DY110" s="25">
        <v>1</v>
      </c>
      <c r="DZ110" s="25"/>
      <c r="EA110" s="25"/>
      <c r="EB110" s="110" t="s">
        <v>445</v>
      </c>
      <c r="EC110" s="110"/>
      <c r="ED110" s="110"/>
      <c r="EE110" s="25"/>
      <c r="EF110" s="25"/>
      <c r="EG110" s="25"/>
      <c r="EH110" s="110" t="s">
        <v>445</v>
      </c>
      <c r="EI110" s="110" t="s">
        <v>445</v>
      </c>
      <c r="EJ110" s="110"/>
      <c r="EK110" s="110"/>
      <c r="EL110" s="25"/>
      <c r="EM110" s="25"/>
      <c r="EN110" s="25"/>
      <c r="EO110" s="25"/>
      <c r="EP110" s="25"/>
      <c r="EQ110" s="110"/>
      <c r="ER110" s="110"/>
      <c r="ES110" s="110" t="s">
        <v>445</v>
      </c>
      <c r="ET110" s="25"/>
      <c r="EU110" s="25"/>
      <c r="EV110" s="25"/>
      <c r="EW110" s="25"/>
      <c r="EX110" s="110"/>
      <c r="EY110" s="110"/>
      <c r="EZ110" s="25"/>
      <c r="FA110" s="25"/>
      <c r="FB110" s="25"/>
      <c r="FC110" s="25"/>
      <c r="FD110" s="25"/>
      <c r="FE110" s="110"/>
      <c r="FF110" s="110"/>
      <c r="FG110" s="25"/>
      <c r="FH110" s="25"/>
      <c r="FI110" s="25"/>
      <c r="FJ110" s="25"/>
      <c r="FK110" s="25"/>
      <c r="FL110" s="110"/>
      <c r="FM110" s="110"/>
      <c r="FN110" s="25"/>
      <c r="FO110" s="25"/>
      <c r="FP110" s="25"/>
      <c r="FQ110" s="25"/>
      <c r="FR110" s="25"/>
      <c r="FS110" s="110"/>
      <c r="FT110" s="110"/>
      <c r="FU110" s="25"/>
      <c r="FV110" s="25"/>
      <c r="FW110" s="25"/>
      <c r="FX110" s="25"/>
      <c r="FY110" s="25"/>
      <c r="FZ110" s="110"/>
      <c r="GA110" s="110"/>
      <c r="GB110" s="25"/>
      <c r="GC110" s="25"/>
      <c r="GD110" s="25"/>
      <c r="GE110" s="25"/>
      <c r="GF110" s="25"/>
      <c r="GG110" s="110"/>
      <c r="GH110" s="110"/>
      <c r="GI110" s="25"/>
      <c r="GJ110" s="25"/>
      <c r="GK110" s="25"/>
      <c r="GL110" s="25"/>
      <c r="GM110" s="25"/>
      <c r="GN110" s="110"/>
      <c r="GO110" s="110"/>
      <c r="GP110" s="110" t="s">
        <v>445</v>
      </c>
      <c r="GQ110" s="110"/>
      <c r="GR110" s="25"/>
      <c r="GS110" s="25"/>
      <c r="GT110" s="25"/>
      <c r="GU110" s="110"/>
      <c r="GV110" s="110"/>
      <c r="GW110" s="25"/>
      <c r="GX110" s="25"/>
      <c r="GY110" s="25"/>
      <c r="GZ110" s="25"/>
      <c r="HA110" s="25"/>
      <c r="HB110" s="110"/>
      <c r="HC110" s="110"/>
      <c r="HD110" s="25"/>
      <c r="HE110" s="25"/>
      <c r="HF110" s="25"/>
      <c r="HG110" s="25"/>
      <c r="HH110" s="25"/>
      <c r="HI110" s="110"/>
      <c r="HJ110" s="110"/>
      <c r="HK110" s="25"/>
      <c r="HL110" s="25"/>
      <c r="HM110" s="25"/>
      <c r="HN110" s="25"/>
      <c r="HO110" s="25"/>
      <c r="HP110" s="110"/>
      <c r="HQ110" s="110"/>
      <c r="HR110" s="25"/>
      <c r="HS110" s="25"/>
      <c r="HT110" s="25"/>
      <c r="HU110" s="25"/>
      <c r="HV110" s="25"/>
      <c r="HW110" s="110"/>
      <c r="HX110" s="110"/>
      <c r="HY110" s="25"/>
      <c r="HZ110" s="25"/>
      <c r="IA110" s="25"/>
      <c r="IB110" s="25"/>
      <c r="IC110" s="25"/>
      <c r="ID110" s="110"/>
      <c r="IE110" s="110"/>
      <c r="IF110" s="25"/>
      <c r="IG110" s="25"/>
      <c r="IH110" s="25"/>
      <c r="II110" s="25"/>
      <c r="IJ110" s="25"/>
      <c r="IK110" s="110"/>
      <c r="IL110" s="110"/>
      <c r="IM110" s="25"/>
      <c r="IN110" s="25"/>
      <c r="IO110" s="25"/>
      <c r="IP110" s="25"/>
      <c r="IQ110" s="25"/>
      <c r="IR110" s="110"/>
      <c r="IS110" s="110"/>
      <c r="IT110" s="25"/>
      <c r="IU110" s="25"/>
      <c r="IV110" s="25"/>
      <c r="IW110" s="25"/>
      <c r="IX110" s="25"/>
      <c r="IY110" s="110"/>
      <c r="IZ110" s="110"/>
      <c r="JA110" s="25"/>
      <c r="JB110" s="25"/>
      <c r="JC110" s="25"/>
      <c r="JD110" s="25"/>
      <c r="JE110" s="25"/>
      <c r="JF110" s="110"/>
      <c r="JG110" s="110"/>
      <c r="JH110" s="25"/>
      <c r="JI110" s="25"/>
      <c r="JJ110" s="25"/>
      <c r="JK110" s="25"/>
      <c r="JL110" s="25"/>
      <c r="JM110" s="110"/>
      <c r="JN110" s="110"/>
      <c r="JO110" s="25"/>
      <c r="JP110" s="25"/>
      <c r="JQ110" s="25"/>
      <c r="JR110" s="25"/>
      <c r="JS110" s="25"/>
      <c r="JT110" s="110"/>
      <c r="JU110" s="110"/>
      <c r="JV110" s="25"/>
      <c r="JW110" s="25"/>
      <c r="JX110" s="25"/>
      <c r="JY110" s="25"/>
      <c r="JZ110" s="25"/>
      <c r="KA110" s="110"/>
      <c r="KB110" s="110"/>
      <c r="KC110" s="25"/>
      <c r="KD110" s="25"/>
      <c r="KE110" s="25"/>
      <c r="KF110" s="25"/>
      <c r="KG110" s="25"/>
      <c r="KH110" s="110"/>
      <c r="KI110" s="110"/>
      <c r="KJ110" s="25"/>
      <c r="KK110" s="25"/>
      <c r="KL110" s="25"/>
      <c r="KM110" s="25"/>
      <c r="KN110" s="25"/>
      <c r="KO110" s="110"/>
      <c r="KP110" s="110"/>
      <c r="KQ110" s="25"/>
      <c r="KR110" s="25"/>
      <c r="KS110" s="25"/>
      <c r="KT110" s="25"/>
      <c r="KU110" s="25"/>
      <c r="KV110" s="110"/>
      <c r="KW110" s="110"/>
      <c r="KX110" s="25"/>
      <c r="KY110" s="25"/>
      <c r="KZ110" s="25"/>
      <c r="LA110" s="25"/>
      <c r="LB110" s="25"/>
      <c r="LC110" s="110"/>
      <c r="LD110" s="110"/>
      <c r="LE110" s="25"/>
      <c r="LF110" s="25"/>
      <c r="LG110" s="110" t="s">
        <v>445</v>
      </c>
      <c r="LH110" s="25"/>
      <c r="LI110" s="25"/>
      <c r="LJ110" s="110"/>
      <c r="LK110" s="110"/>
      <c r="LL110" s="25"/>
      <c r="LM110" s="25"/>
      <c r="LN110" s="25"/>
      <c r="LO110" s="25"/>
      <c r="LP110" s="25"/>
      <c r="LQ110" s="110"/>
      <c r="LR110" s="110"/>
      <c r="LS110" s="25"/>
      <c r="LT110" s="25"/>
      <c r="LU110" s="25"/>
      <c r="LV110" s="25"/>
      <c r="LW110" s="25"/>
      <c r="LX110" s="110"/>
      <c r="LY110" s="110"/>
      <c r="LZ110" s="25"/>
      <c r="MA110" s="25"/>
      <c r="MB110" s="25"/>
      <c r="MC110" s="25"/>
      <c r="MD110" s="25"/>
      <c r="ME110" s="110"/>
      <c r="MF110" s="110"/>
      <c r="MG110" s="25"/>
      <c r="MH110" s="25"/>
      <c r="MI110" s="25"/>
      <c r="MJ110" s="25"/>
      <c r="MK110" s="25"/>
      <c r="ML110" s="110"/>
      <c r="MM110" s="110"/>
      <c r="MN110" s="25"/>
      <c r="MO110" s="25"/>
      <c r="MP110" s="25"/>
      <c r="MQ110" s="25"/>
      <c r="MR110" s="25"/>
      <c r="MS110" s="110"/>
      <c r="MT110" s="110"/>
      <c r="MU110" s="25"/>
      <c r="MV110" s="25"/>
      <c r="MW110" s="25"/>
      <c r="MX110" s="25"/>
      <c r="MY110" s="25"/>
      <c r="MZ110" s="110"/>
      <c r="NA110" s="110"/>
      <c r="NB110" s="25"/>
      <c r="NC110" s="25"/>
      <c r="ND110" s="25"/>
      <c r="NE110" s="129"/>
      <c r="NF110" s="111"/>
      <c r="NG110" s="8">
        <f t="shared" si="135"/>
        <v>13</v>
      </c>
      <c r="NH110" s="351" cm="1">
        <f t="array" ref="NH110">NETWORKDAYS($I$2,$AH$2)- SUM(COUNTIF(I110:AH110,{"I";"F";"CP";"R";"P";"AC";"AM"}))</f>
        <v>20</v>
      </c>
      <c r="NI110" s="138">
        <f t="shared" si="67"/>
        <v>0.65</v>
      </c>
      <c r="NJ110" s="8">
        <f t="shared" si="136"/>
        <v>17</v>
      </c>
      <c r="NK110" s="351" cm="1">
        <f t="array" ref="NK110">NETWORKDAYS($AJ$2,$BK$2)- SUM(COUNTIF(AJ110:BK110,{"I";"F";"CP";"R";"P";"AC";"AM"}))</f>
        <v>20</v>
      </c>
      <c r="NL110" s="138">
        <f t="shared" si="68"/>
        <v>0.85</v>
      </c>
      <c r="NM110" s="8">
        <f t="shared" si="137"/>
        <v>18</v>
      </c>
      <c r="NN110" s="351" cm="1">
        <f t="array" ref="NN110">NETWORKDAYS($BL$2,$CP$2)- SUM(COUNTIF(BL110:CP110,{"I";"F";"CP";"R";"P";"AC";"AM"}))</f>
        <v>22</v>
      </c>
      <c r="NO110" s="138">
        <f t="shared" si="69"/>
        <v>0.81818181818181823</v>
      </c>
      <c r="NP110" s="8">
        <f t="shared" si="138"/>
        <v>19</v>
      </c>
      <c r="NQ110" s="351" cm="1">
        <f t="array" ref="NQ110">NETWORKDAYS($CQ$2,$DT$2,$CV$2)- SUM(COUNTIF(CQ110:DT110,{"I";"F";"CP";"R";"P";"AC";"AM"}))</f>
        <v>21</v>
      </c>
      <c r="NR110" s="138">
        <f t="shared" si="70"/>
        <v>0.90476190476190477</v>
      </c>
      <c r="NS110" s="8">
        <f t="shared" si="139"/>
        <v>2</v>
      </c>
      <c r="NT110" s="351" cm="1">
        <f t="array" ref="NT110">NETWORKDAYS($DV$2,$EY$2)-SUM(COUNTIF(DV110:EY110,{"I";"F";"CP";"R";"P";"AC";"AM"}))</f>
        <v>16</v>
      </c>
      <c r="NU110" s="138">
        <f t="shared" si="71"/>
        <v>0.125</v>
      </c>
      <c r="NV110" s="8">
        <f t="shared" si="140"/>
        <v>0</v>
      </c>
      <c r="NW110" s="351" cm="1">
        <f t="array" ref="NW110">NETWORKDAYS($EZ$2,$GC$2)-SUM(COUNTIF(EZ110:GC110,{"I";"F";"CP";"R";"P";"AC";"AM"}))</f>
        <v>22</v>
      </c>
      <c r="NX110" s="138">
        <f t="shared" si="114"/>
        <v>0</v>
      </c>
      <c r="NY110" s="8">
        <f t="shared" si="141"/>
        <v>0</v>
      </c>
      <c r="NZ110" s="351" cm="1">
        <f t="array" ref="NZ110">NETWORKDAYS($GD$2,$HH$2,$GQ$2)-SUM(COUNTIF(GD110:HH110,{"I";"F";"CP";"R";"P";"AC";"AM"}))</f>
        <v>21</v>
      </c>
      <c r="OA110" s="138">
        <f t="shared" si="116"/>
        <v>0</v>
      </c>
      <c r="OB110" s="8">
        <f t="shared" si="142"/>
        <v>0</v>
      </c>
      <c r="OC110" s="351" cm="1">
        <f t="array" ref="OC110">NETWORKDAYS($HI$2,$IM$2)-SUM(COUNTIF(HI110:IM110,{"I";"F";"CP";"R";"P";"AC";"AM"}))</f>
        <v>21</v>
      </c>
      <c r="OD110" s="138">
        <f t="shared" si="118"/>
        <v>0</v>
      </c>
      <c r="OE110" s="8">
        <f t="shared" si="143"/>
        <v>0</v>
      </c>
      <c r="OF110" s="351" cm="1">
        <f t="array" ref="OF110">NETWORKDAYS($IN$2,$JQ$2)-SUM(COUNTIF(IN110:JQ110,{"I";"F";"CP";"R";"P";"AC";"AM"}))</f>
        <v>22</v>
      </c>
      <c r="OG110" s="138">
        <f t="shared" si="120"/>
        <v>0</v>
      </c>
      <c r="OH110" s="8">
        <f t="shared" si="144"/>
        <v>0</v>
      </c>
      <c r="OI110" s="351" cm="1">
        <f t="array" ref="OI110">NETWORKDAYS($JR$2,$KV$2)-SUM(COUNTIF(JR110:KV110,{"I";"F";"CP";"R";"P";"AC";"AM"}))</f>
        <v>22</v>
      </c>
      <c r="OJ110" s="138">
        <f t="shared" si="122"/>
        <v>0</v>
      </c>
      <c r="OK110" s="8">
        <f t="shared" si="145"/>
        <v>0</v>
      </c>
      <c r="OL110" s="351" cm="1">
        <f t="array" ref="OL110">NETWORKDAYS($KW$2,$LZ$2,$LG$2)-SUM(COUNTIF(KW110:LZ110,{"I";"F";"CP";"R";"P";"AC";"AM"}))</f>
        <v>19</v>
      </c>
      <c r="OM110" s="138">
        <f t="shared" si="124"/>
        <v>0</v>
      </c>
      <c r="ON110" s="8">
        <f t="shared" si="146"/>
        <v>0</v>
      </c>
      <c r="OO110" s="351" cm="1">
        <f t="array" ref="OO110">NETWORKDAYS($MA$2,$MR$2)-SUM(COUNTIF(MA110:MR110,{"I";"F";"CP";"R";"P";"AC";"AM"}))</f>
        <v>14</v>
      </c>
      <c r="OP110" s="138">
        <f t="shared" si="126"/>
        <v>0</v>
      </c>
      <c r="OQ110" s="94">
        <f t="shared" si="127"/>
        <v>69</v>
      </c>
      <c r="OR110" s="94">
        <f t="shared" si="128"/>
        <v>240</v>
      </c>
      <c r="OS110" s="138">
        <f t="shared" si="129"/>
        <v>0.28749999999999998</v>
      </c>
    </row>
    <row r="111" spans="1:409" ht="18" hidden="1" customHeight="1" x14ac:dyDescent="0.25">
      <c r="A111" s="93" t="s">
        <v>109</v>
      </c>
      <c r="B111" s="95" t="s">
        <v>34</v>
      </c>
      <c r="C111" s="89" t="s">
        <v>166</v>
      </c>
      <c r="D111" s="89" t="s">
        <v>287</v>
      </c>
      <c r="E111" s="128"/>
      <c r="F111" s="110"/>
      <c r="G111" s="110"/>
      <c r="H111" s="110"/>
      <c r="I111" s="25" t="s">
        <v>208</v>
      </c>
      <c r="J111" s="25" t="s">
        <v>208</v>
      </c>
      <c r="K111" s="25" t="s">
        <v>208</v>
      </c>
      <c r="L111" s="25" t="s">
        <v>208</v>
      </c>
      <c r="M111" s="25" t="s">
        <v>208</v>
      </c>
      <c r="N111" s="110"/>
      <c r="O111" s="110"/>
      <c r="P111" s="25" t="s">
        <v>208</v>
      </c>
      <c r="Q111" s="25" t="s">
        <v>208</v>
      </c>
      <c r="R111" s="25" t="s">
        <v>208</v>
      </c>
      <c r="S111" s="25" t="s">
        <v>208</v>
      </c>
      <c r="T111" s="25" t="s">
        <v>208</v>
      </c>
      <c r="U111" s="110"/>
      <c r="V111" s="110"/>
      <c r="W111" s="25" t="s">
        <v>208</v>
      </c>
      <c r="X111" s="25" t="s">
        <v>208</v>
      </c>
      <c r="Y111" s="25" t="s">
        <v>208</v>
      </c>
      <c r="Z111" s="25" t="s">
        <v>208</v>
      </c>
      <c r="AA111" s="25" t="s">
        <v>208</v>
      </c>
      <c r="AB111" s="110"/>
      <c r="AC111" s="110"/>
      <c r="AD111" s="25" t="s">
        <v>208</v>
      </c>
      <c r="AE111" s="25" t="s">
        <v>208</v>
      </c>
      <c r="AF111" s="25" t="s">
        <v>208</v>
      </c>
      <c r="AG111" s="25">
        <v>1</v>
      </c>
      <c r="AH111" s="25">
        <v>1</v>
      </c>
      <c r="AI111" s="110"/>
      <c r="AJ111" s="110"/>
      <c r="AK111" s="25">
        <v>1</v>
      </c>
      <c r="AL111" s="25">
        <v>1</v>
      </c>
      <c r="AM111" s="25">
        <v>1</v>
      </c>
      <c r="AN111" s="25">
        <v>1</v>
      </c>
      <c r="AO111" s="25">
        <v>1</v>
      </c>
      <c r="AP111" s="110"/>
      <c r="AQ111" s="110"/>
      <c r="AR111" s="25">
        <v>1</v>
      </c>
      <c r="AS111" s="25">
        <v>1</v>
      </c>
      <c r="AT111" s="25">
        <v>1</v>
      </c>
      <c r="AU111" s="483">
        <v>1</v>
      </c>
      <c r="AV111" s="25">
        <v>1</v>
      </c>
      <c r="AW111" s="110"/>
      <c r="AX111" s="110"/>
      <c r="AY111" s="25">
        <v>1</v>
      </c>
      <c r="AZ111" s="25">
        <v>1</v>
      </c>
      <c r="BA111" s="25">
        <v>1</v>
      </c>
      <c r="BB111" s="25">
        <v>1</v>
      </c>
      <c r="BC111" s="25">
        <v>1</v>
      </c>
      <c r="BD111" s="110"/>
      <c r="BE111" s="110"/>
      <c r="BF111" s="25">
        <v>1</v>
      </c>
      <c r="BG111" s="25">
        <v>1</v>
      </c>
      <c r="BH111" s="25">
        <v>1</v>
      </c>
      <c r="BI111" s="25">
        <v>1</v>
      </c>
      <c r="BJ111" s="25">
        <v>1</v>
      </c>
      <c r="BK111" s="110"/>
      <c r="BL111" s="110"/>
      <c r="BM111" s="25">
        <v>1</v>
      </c>
      <c r="BN111" s="25">
        <v>1</v>
      </c>
      <c r="BO111" s="25">
        <v>1</v>
      </c>
      <c r="BP111" s="25">
        <v>1</v>
      </c>
      <c r="BQ111" s="25">
        <v>1</v>
      </c>
      <c r="BR111" s="110"/>
      <c r="BS111" s="110"/>
      <c r="BT111" s="25">
        <v>1</v>
      </c>
      <c r="BU111" s="25">
        <v>1</v>
      </c>
      <c r="BV111" s="25">
        <v>1</v>
      </c>
      <c r="BW111" s="25">
        <v>1</v>
      </c>
      <c r="BX111" s="25">
        <v>1</v>
      </c>
      <c r="BY111" s="110"/>
      <c r="BZ111" s="110"/>
      <c r="CA111" s="25">
        <v>1</v>
      </c>
      <c r="CB111" s="25">
        <v>1</v>
      </c>
      <c r="CC111" s="25">
        <v>1</v>
      </c>
      <c r="CD111" s="25">
        <v>1</v>
      </c>
      <c r="CE111" s="25">
        <v>1</v>
      </c>
      <c r="CF111" s="110"/>
      <c r="CG111" s="110"/>
      <c r="CH111" s="25">
        <v>1</v>
      </c>
      <c r="CI111" s="25">
        <v>1</v>
      </c>
      <c r="CJ111" s="25">
        <v>1</v>
      </c>
      <c r="CK111" s="25">
        <v>1</v>
      </c>
      <c r="CL111" s="25">
        <v>1</v>
      </c>
      <c r="CM111" s="110"/>
      <c r="CN111" s="110"/>
      <c r="CO111" s="25">
        <v>1</v>
      </c>
      <c r="CP111" s="25">
        <v>1</v>
      </c>
      <c r="CQ111" s="25">
        <v>1</v>
      </c>
      <c r="CR111" s="25">
        <v>1</v>
      </c>
      <c r="CS111" s="25">
        <v>1</v>
      </c>
      <c r="CT111" s="110"/>
      <c r="CU111" s="110"/>
      <c r="CV111" s="110"/>
      <c r="CW111" s="25">
        <v>1</v>
      </c>
      <c r="CX111" s="25">
        <v>1</v>
      </c>
      <c r="CY111" s="25">
        <v>1</v>
      </c>
      <c r="CZ111" s="25">
        <v>1</v>
      </c>
      <c r="DA111" s="110"/>
      <c r="DB111" s="110"/>
      <c r="DC111" s="25">
        <v>1</v>
      </c>
      <c r="DD111" s="25">
        <v>1</v>
      </c>
      <c r="DE111" s="25">
        <v>1</v>
      </c>
      <c r="DF111" s="25">
        <v>1</v>
      </c>
      <c r="DG111" s="25">
        <v>1</v>
      </c>
      <c r="DH111" s="110"/>
      <c r="DI111" s="110"/>
      <c r="DJ111" s="25">
        <v>1</v>
      </c>
      <c r="DK111" s="25">
        <v>1</v>
      </c>
      <c r="DL111" s="25">
        <v>1</v>
      </c>
      <c r="DM111" s="25">
        <v>1</v>
      </c>
      <c r="DN111" s="25">
        <v>1</v>
      </c>
      <c r="DO111" s="110"/>
      <c r="DP111" s="110"/>
      <c r="DQ111" s="25">
        <v>1</v>
      </c>
      <c r="DR111" s="25">
        <v>1</v>
      </c>
      <c r="DS111" s="25">
        <v>1</v>
      </c>
      <c r="DT111" s="25">
        <v>1</v>
      </c>
      <c r="DU111" s="110" t="s">
        <v>445</v>
      </c>
      <c r="DV111" s="110"/>
      <c r="DW111" s="110"/>
      <c r="DX111" s="25">
        <v>1</v>
      </c>
      <c r="DY111" s="25">
        <v>1</v>
      </c>
      <c r="DZ111" s="25"/>
      <c r="EA111" s="25"/>
      <c r="EB111" s="110" t="s">
        <v>445</v>
      </c>
      <c r="EC111" s="110"/>
      <c r="ED111" s="110"/>
      <c r="EE111" s="25"/>
      <c r="EF111" s="25"/>
      <c r="EG111" s="25"/>
      <c r="EH111" s="110" t="s">
        <v>445</v>
      </c>
      <c r="EI111" s="110" t="s">
        <v>445</v>
      </c>
      <c r="EJ111" s="110"/>
      <c r="EK111" s="110"/>
      <c r="EL111" s="25"/>
      <c r="EM111" s="25"/>
      <c r="EN111" s="25"/>
      <c r="EO111" s="25"/>
      <c r="EP111" s="25"/>
      <c r="EQ111" s="110"/>
      <c r="ER111" s="110"/>
      <c r="ES111" s="110" t="s">
        <v>445</v>
      </c>
      <c r="ET111" s="25"/>
      <c r="EU111" s="25"/>
      <c r="EV111" s="25"/>
      <c r="EW111" s="25"/>
      <c r="EX111" s="110"/>
      <c r="EY111" s="110"/>
      <c r="EZ111" s="25"/>
      <c r="FA111" s="25"/>
      <c r="FB111" s="25"/>
      <c r="FC111" s="25"/>
      <c r="FD111" s="25"/>
      <c r="FE111" s="110"/>
      <c r="FF111" s="110"/>
      <c r="FG111" s="25"/>
      <c r="FH111" s="25"/>
      <c r="FI111" s="25"/>
      <c r="FJ111" s="25"/>
      <c r="FK111" s="25"/>
      <c r="FL111" s="110"/>
      <c r="FM111" s="110"/>
      <c r="FN111" s="25"/>
      <c r="FO111" s="25"/>
      <c r="FP111" s="25"/>
      <c r="FQ111" s="25"/>
      <c r="FR111" s="25"/>
      <c r="FS111" s="110"/>
      <c r="FT111" s="110"/>
      <c r="FU111" s="25"/>
      <c r="FV111" s="25"/>
      <c r="FW111" s="25"/>
      <c r="FX111" s="25"/>
      <c r="FY111" s="25"/>
      <c r="FZ111" s="110"/>
      <c r="GA111" s="110"/>
      <c r="GB111" s="25"/>
      <c r="GC111" s="25"/>
      <c r="GD111" s="25"/>
      <c r="GE111" s="25"/>
      <c r="GF111" s="25"/>
      <c r="GG111" s="110"/>
      <c r="GH111" s="110"/>
      <c r="GI111" s="25"/>
      <c r="GJ111" s="25"/>
      <c r="GK111" s="25"/>
      <c r="GL111" s="25"/>
      <c r="GM111" s="25"/>
      <c r="GN111" s="110"/>
      <c r="GO111" s="110"/>
      <c r="GP111" s="110" t="s">
        <v>445</v>
      </c>
      <c r="GQ111" s="110"/>
      <c r="GR111" s="25"/>
      <c r="GS111" s="25"/>
      <c r="GT111" s="25"/>
      <c r="GU111" s="110"/>
      <c r="GV111" s="110"/>
      <c r="GW111" s="25"/>
      <c r="GX111" s="25"/>
      <c r="GY111" s="25"/>
      <c r="GZ111" s="25"/>
      <c r="HA111" s="25"/>
      <c r="HB111" s="110"/>
      <c r="HC111" s="110"/>
      <c r="HD111" s="25"/>
      <c r="HE111" s="25"/>
      <c r="HF111" s="25"/>
      <c r="HG111" s="25"/>
      <c r="HH111" s="25"/>
      <c r="HI111" s="110"/>
      <c r="HJ111" s="110"/>
      <c r="HK111" s="25"/>
      <c r="HL111" s="25"/>
      <c r="HM111" s="25"/>
      <c r="HN111" s="25"/>
      <c r="HO111" s="25"/>
      <c r="HP111" s="110"/>
      <c r="HQ111" s="110"/>
      <c r="HR111" s="25"/>
      <c r="HS111" s="25"/>
      <c r="HT111" s="25"/>
      <c r="HU111" s="25"/>
      <c r="HV111" s="25"/>
      <c r="HW111" s="110"/>
      <c r="HX111" s="110"/>
      <c r="HY111" s="25"/>
      <c r="HZ111" s="25"/>
      <c r="IA111" s="25"/>
      <c r="IB111" s="25"/>
      <c r="IC111" s="25"/>
      <c r="ID111" s="110"/>
      <c r="IE111" s="110"/>
      <c r="IF111" s="25"/>
      <c r="IG111" s="25"/>
      <c r="IH111" s="25"/>
      <c r="II111" s="25"/>
      <c r="IJ111" s="25"/>
      <c r="IK111" s="110"/>
      <c r="IL111" s="110"/>
      <c r="IM111" s="25"/>
      <c r="IN111" s="25"/>
      <c r="IO111" s="25"/>
      <c r="IP111" s="25"/>
      <c r="IQ111" s="25"/>
      <c r="IR111" s="110"/>
      <c r="IS111" s="110"/>
      <c r="IT111" s="25"/>
      <c r="IU111" s="25"/>
      <c r="IV111" s="25"/>
      <c r="IW111" s="25"/>
      <c r="IX111" s="25"/>
      <c r="IY111" s="110"/>
      <c r="IZ111" s="110"/>
      <c r="JA111" s="25"/>
      <c r="JB111" s="25"/>
      <c r="JC111" s="25"/>
      <c r="JD111" s="25"/>
      <c r="JE111" s="25"/>
      <c r="JF111" s="110"/>
      <c r="JG111" s="110"/>
      <c r="JH111" s="25"/>
      <c r="JI111" s="25"/>
      <c r="JJ111" s="25"/>
      <c r="JK111" s="25"/>
      <c r="JL111" s="25"/>
      <c r="JM111" s="110"/>
      <c r="JN111" s="110"/>
      <c r="JO111" s="25"/>
      <c r="JP111" s="25"/>
      <c r="JQ111" s="25"/>
      <c r="JR111" s="25"/>
      <c r="JS111" s="25"/>
      <c r="JT111" s="110"/>
      <c r="JU111" s="110"/>
      <c r="JV111" s="25"/>
      <c r="JW111" s="25"/>
      <c r="JX111" s="25"/>
      <c r="JY111" s="25"/>
      <c r="JZ111" s="25"/>
      <c r="KA111" s="110"/>
      <c r="KB111" s="110"/>
      <c r="KC111" s="25"/>
      <c r="KD111" s="25"/>
      <c r="KE111" s="25"/>
      <c r="KF111" s="25"/>
      <c r="KG111" s="25"/>
      <c r="KH111" s="110"/>
      <c r="KI111" s="110"/>
      <c r="KJ111" s="25"/>
      <c r="KK111" s="25"/>
      <c r="KL111" s="25"/>
      <c r="KM111" s="25"/>
      <c r="KN111" s="25"/>
      <c r="KO111" s="110"/>
      <c r="KP111" s="110"/>
      <c r="KQ111" s="25"/>
      <c r="KR111" s="25"/>
      <c r="KS111" s="25"/>
      <c r="KT111" s="25"/>
      <c r="KU111" s="25"/>
      <c r="KV111" s="110"/>
      <c r="KW111" s="110"/>
      <c r="KX111" s="25"/>
      <c r="KY111" s="25"/>
      <c r="KZ111" s="25"/>
      <c r="LA111" s="25"/>
      <c r="LB111" s="25"/>
      <c r="LC111" s="110"/>
      <c r="LD111" s="110"/>
      <c r="LE111" s="25"/>
      <c r="LF111" s="25"/>
      <c r="LG111" s="110" t="s">
        <v>445</v>
      </c>
      <c r="LH111" s="25"/>
      <c r="LI111" s="25"/>
      <c r="LJ111" s="110"/>
      <c r="LK111" s="110"/>
      <c r="LL111" s="25"/>
      <c r="LM111" s="25"/>
      <c r="LN111" s="25"/>
      <c r="LO111" s="25"/>
      <c r="LP111" s="25"/>
      <c r="LQ111" s="110"/>
      <c r="LR111" s="110"/>
      <c r="LS111" s="25"/>
      <c r="LT111" s="25"/>
      <c r="LU111" s="25"/>
      <c r="LV111" s="25"/>
      <c r="LW111" s="25"/>
      <c r="LX111" s="110"/>
      <c r="LY111" s="110"/>
      <c r="LZ111" s="25"/>
      <c r="MA111" s="25"/>
      <c r="MB111" s="25"/>
      <c r="MC111" s="25"/>
      <c r="MD111" s="25"/>
      <c r="ME111" s="110"/>
      <c r="MF111" s="110"/>
      <c r="MG111" s="25"/>
      <c r="MH111" s="25"/>
      <c r="MI111" s="25"/>
      <c r="MJ111" s="25"/>
      <c r="MK111" s="25"/>
      <c r="ML111" s="110"/>
      <c r="MM111" s="110"/>
      <c r="MN111" s="25"/>
      <c r="MO111" s="25"/>
      <c r="MP111" s="25"/>
      <c r="MQ111" s="25"/>
      <c r="MR111" s="25"/>
      <c r="MS111" s="110"/>
      <c r="MT111" s="110"/>
      <c r="MU111" s="25"/>
      <c r="MV111" s="25"/>
      <c r="MW111" s="25"/>
      <c r="MX111" s="25"/>
      <c r="MY111" s="25"/>
      <c r="MZ111" s="110"/>
      <c r="NA111" s="110"/>
      <c r="NB111" s="25"/>
      <c r="NC111" s="25"/>
      <c r="ND111" s="25"/>
      <c r="NE111" s="129"/>
      <c r="NF111" s="111"/>
      <c r="NG111" s="8">
        <f t="shared" si="135"/>
        <v>2</v>
      </c>
      <c r="NH111" s="351" cm="1">
        <f t="array" ref="NH111">NETWORKDAYS($I$2,$AH$2)- SUM(COUNTIF(I111:AH111,{"I";"F";"CP";"R";"P";"AC";"AM"}))</f>
        <v>20</v>
      </c>
      <c r="NI111" s="138">
        <f t="shared" si="67"/>
        <v>0.1</v>
      </c>
      <c r="NJ111" s="8">
        <f t="shared" si="136"/>
        <v>20</v>
      </c>
      <c r="NK111" s="351" cm="1">
        <f t="array" ref="NK111">NETWORKDAYS($AJ$2,$BK$2)- SUM(COUNTIF(AJ111:BK111,{"I";"F";"CP";"R";"P";"AC";"AM"}))</f>
        <v>20</v>
      </c>
      <c r="NL111" s="138">
        <f t="shared" si="68"/>
        <v>1</v>
      </c>
      <c r="NM111" s="8">
        <f t="shared" si="137"/>
        <v>22</v>
      </c>
      <c r="NN111" s="351" cm="1">
        <f t="array" ref="NN111">NETWORKDAYS($BL$2,$CP$2)- SUM(COUNTIF(BL111:CP111,{"I";"F";"CP";"R";"P";"AC";"AM"}))</f>
        <v>22</v>
      </c>
      <c r="NO111" s="138">
        <f t="shared" si="69"/>
        <v>1</v>
      </c>
      <c r="NP111" s="8">
        <f t="shared" si="138"/>
        <v>21</v>
      </c>
      <c r="NQ111" s="351" cm="1">
        <f t="array" ref="NQ111">NETWORKDAYS($CQ$2,$DT$2,$CV$2)- SUM(COUNTIF(CQ111:DT111,{"I";"F";"CP";"R";"P";"AC";"AM"}))</f>
        <v>21</v>
      </c>
      <c r="NR111" s="138">
        <f t="shared" si="70"/>
        <v>1</v>
      </c>
      <c r="NS111" s="8">
        <f t="shared" si="139"/>
        <v>2</v>
      </c>
      <c r="NT111" s="351" cm="1">
        <f t="array" ref="NT111">NETWORKDAYS($DV$2,$EY$2)-SUM(COUNTIF(DV111:EY111,{"I";"F";"CP";"R";"P";"AC";"AM"}))</f>
        <v>16</v>
      </c>
      <c r="NU111" s="138">
        <f t="shared" si="71"/>
        <v>0.125</v>
      </c>
      <c r="NV111" s="8">
        <f t="shared" si="140"/>
        <v>0</v>
      </c>
      <c r="NW111" s="351" cm="1">
        <f t="array" ref="NW111">NETWORKDAYS($EZ$2,$GC$2)-SUM(COUNTIF(EZ111:GC111,{"I";"F";"CP";"R";"P";"AC";"AM"}))</f>
        <v>22</v>
      </c>
      <c r="NX111" s="138">
        <f t="shared" si="114"/>
        <v>0</v>
      </c>
      <c r="NY111" s="8">
        <f t="shared" si="141"/>
        <v>0</v>
      </c>
      <c r="NZ111" s="351" cm="1">
        <f t="array" ref="NZ111">NETWORKDAYS($GD$2,$HH$2,$GQ$2)-SUM(COUNTIF(GD111:HH111,{"I";"F";"CP";"R";"P";"AC";"AM"}))</f>
        <v>21</v>
      </c>
      <c r="OA111" s="138">
        <f t="shared" si="116"/>
        <v>0</v>
      </c>
      <c r="OB111" s="8">
        <f t="shared" si="142"/>
        <v>0</v>
      </c>
      <c r="OC111" s="351" cm="1">
        <f t="array" ref="OC111">NETWORKDAYS($HI$2,$IM$2)-SUM(COUNTIF(HI111:IM111,{"I";"F";"CP";"R";"P";"AC";"AM"}))</f>
        <v>21</v>
      </c>
      <c r="OD111" s="138">
        <f t="shared" si="118"/>
        <v>0</v>
      </c>
      <c r="OE111" s="8">
        <f t="shared" si="143"/>
        <v>0</v>
      </c>
      <c r="OF111" s="351" cm="1">
        <f t="array" ref="OF111">NETWORKDAYS($IN$2,$JQ$2)-SUM(COUNTIF(IN111:JQ111,{"I";"F";"CP";"R";"P";"AC";"AM"}))</f>
        <v>22</v>
      </c>
      <c r="OG111" s="138">
        <f t="shared" si="120"/>
        <v>0</v>
      </c>
      <c r="OH111" s="8">
        <f t="shared" si="144"/>
        <v>0</v>
      </c>
      <c r="OI111" s="351" cm="1">
        <f t="array" ref="OI111">NETWORKDAYS($JR$2,$KV$2)-SUM(COUNTIF(JR111:KV111,{"I";"F";"CP";"R";"P";"AC";"AM"}))</f>
        <v>22</v>
      </c>
      <c r="OJ111" s="138">
        <f t="shared" si="122"/>
        <v>0</v>
      </c>
      <c r="OK111" s="8">
        <f t="shared" si="145"/>
        <v>0</v>
      </c>
      <c r="OL111" s="351" cm="1">
        <f t="array" ref="OL111">NETWORKDAYS($KW$2,$LZ$2,$LG$2)-SUM(COUNTIF(KW111:LZ111,{"I";"F";"CP";"R";"P";"AC";"AM"}))</f>
        <v>19</v>
      </c>
      <c r="OM111" s="138">
        <f t="shared" si="124"/>
        <v>0</v>
      </c>
      <c r="ON111" s="8">
        <f t="shared" si="146"/>
        <v>0</v>
      </c>
      <c r="OO111" s="351" cm="1">
        <f t="array" ref="OO111">NETWORKDAYS($MA$2,$MR$2)-SUM(COUNTIF(MA111:MR111,{"I";"F";"CP";"R";"P";"AC";"AM"}))</f>
        <v>14</v>
      </c>
      <c r="OP111" s="138">
        <f t="shared" si="126"/>
        <v>0</v>
      </c>
      <c r="OQ111" s="94">
        <f t="shared" si="127"/>
        <v>67</v>
      </c>
      <c r="OR111" s="94">
        <f t="shared" si="128"/>
        <v>240</v>
      </c>
      <c r="OS111" s="138">
        <f t="shared" si="129"/>
        <v>0.27916666666666667</v>
      </c>
    </row>
    <row r="112" spans="1:409" ht="18" hidden="1" customHeight="1" x14ac:dyDescent="0.25">
      <c r="A112" s="95" t="s">
        <v>168</v>
      </c>
      <c r="B112" s="95" t="s">
        <v>168</v>
      </c>
      <c r="C112" s="89" t="s">
        <v>166</v>
      </c>
      <c r="D112" s="89" t="s">
        <v>86</v>
      </c>
      <c r="E112" s="128"/>
      <c r="F112" s="110"/>
      <c r="G112" s="110"/>
      <c r="H112" s="110"/>
      <c r="I112" s="25"/>
      <c r="J112" s="25"/>
      <c r="K112" s="25"/>
      <c r="L112" s="25"/>
      <c r="M112" s="25"/>
      <c r="N112" s="110"/>
      <c r="O112" s="110"/>
      <c r="P112" s="25"/>
      <c r="Q112" s="25"/>
      <c r="R112" s="25"/>
      <c r="S112" s="25"/>
      <c r="T112" s="25"/>
      <c r="U112" s="110"/>
      <c r="V112" s="110"/>
      <c r="W112" s="25"/>
      <c r="X112" s="25"/>
      <c r="Y112" s="25"/>
      <c r="Z112" s="25"/>
      <c r="AA112" s="25"/>
      <c r="AB112" s="110"/>
      <c r="AC112" s="110"/>
      <c r="AD112" s="25"/>
      <c r="AE112" s="25"/>
      <c r="AF112" s="25"/>
      <c r="AG112" s="25"/>
      <c r="AH112" s="25"/>
      <c r="AI112" s="110"/>
      <c r="AJ112" s="110"/>
      <c r="AK112" s="25"/>
      <c r="AL112" s="25"/>
      <c r="AM112" s="25"/>
      <c r="AN112" s="25"/>
      <c r="AO112" s="25"/>
      <c r="AP112" s="110"/>
      <c r="AQ112" s="110"/>
      <c r="AR112" s="25">
        <v>1</v>
      </c>
      <c r="AS112" s="25">
        <v>1</v>
      </c>
      <c r="AT112" s="25"/>
      <c r="AU112" s="25"/>
      <c r="AV112" s="25">
        <v>1</v>
      </c>
      <c r="AW112" s="110"/>
      <c r="AX112" s="110"/>
      <c r="AY112" s="25"/>
      <c r="AZ112" s="25">
        <v>1</v>
      </c>
      <c r="BA112" s="25">
        <v>1</v>
      </c>
      <c r="BB112" s="25">
        <v>1</v>
      </c>
      <c r="BC112" s="25">
        <v>1</v>
      </c>
      <c r="BD112" s="110"/>
      <c r="BE112" s="110"/>
      <c r="BF112" s="25">
        <v>1</v>
      </c>
      <c r="BG112" s="25">
        <v>1</v>
      </c>
      <c r="BH112" s="25"/>
      <c r="BI112" s="25"/>
      <c r="BJ112" s="25"/>
      <c r="BK112" s="110"/>
      <c r="BL112" s="110"/>
      <c r="BM112" s="25" t="s">
        <v>223</v>
      </c>
      <c r="BN112" s="25" t="s">
        <v>223</v>
      </c>
      <c r="BO112" s="25" t="s">
        <v>223</v>
      </c>
      <c r="BP112" s="25" t="s">
        <v>223</v>
      </c>
      <c r="BQ112" s="25" t="s">
        <v>223</v>
      </c>
      <c r="BR112" s="110"/>
      <c r="BS112" s="110"/>
      <c r="BT112" s="25" t="s">
        <v>223</v>
      </c>
      <c r="BU112" s="25" t="s">
        <v>223</v>
      </c>
      <c r="BV112" s="25" t="s">
        <v>223</v>
      </c>
      <c r="BW112" s="25" t="s">
        <v>223</v>
      </c>
      <c r="BX112" s="25" t="s">
        <v>223</v>
      </c>
      <c r="BY112" s="110"/>
      <c r="BZ112" s="110"/>
      <c r="CA112" s="25" t="s">
        <v>223</v>
      </c>
      <c r="CB112" s="25" t="s">
        <v>223</v>
      </c>
      <c r="CC112" s="25"/>
      <c r="CD112" s="25"/>
      <c r="CE112" s="25"/>
      <c r="CF112" s="110"/>
      <c r="CG112" s="110"/>
      <c r="CH112" s="25"/>
      <c r="CI112" s="25"/>
      <c r="CJ112" s="25"/>
      <c r="CK112" s="25"/>
      <c r="CL112" s="25"/>
      <c r="CM112" s="110"/>
      <c r="CN112" s="110"/>
      <c r="CO112" s="25"/>
      <c r="CP112" s="25"/>
      <c r="CQ112" s="25"/>
      <c r="CR112" s="25"/>
      <c r="CS112" s="25"/>
      <c r="CT112" s="110"/>
      <c r="CU112" s="110"/>
      <c r="CV112" s="110"/>
      <c r="CW112" s="25"/>
      <c r="CX112" s="25"/>
      <c r="CY112" s="25"/>
      <c r="CZ112" s="25"/>
      <c r="DA112" s="110"/>
      <c r="DB112" s="110"/>
      <c r="DC112" s="25"/>
      <c r="DD112" s="25"/>
      <c r="DE112" s="25">
        <v>1</v>
      </c>
      <c r="DF112" s="25">
        <v>1</v>
      </c>
      <c r="DG112" s="25">
        <v>1</v>
      </c>
      <c r="DH112" s="110"/>
      <c r="DI112" s="110"/>
      <c r="DJ112" s="25">
        <v>1</v>
      </c>
      <c r="DK112" s="25">
        <v>1</v>
      </c>
      <c r="DL112" s="25">
        <v>1</v>
      </c>
      <c r="DM112" s="25">
        <v>1</v>
      </c>
      <c r="DN112" s="25">
        <v>1</v>
      </c>
      <c r="DO112" s="110"/>
      <c r="DP112" s="110"/>
      <c r="DQ112" s="25">
        <v>1</v>
      </c>
      <c r="DR112" s="25">
        <v>1</v>
      </c>
      <c r="DS112" s="25">
        <v>1</v>
      </c>
      <c r="DT112" s="25">
        <v>1</v>
      </c>
      <c r="DU112" s="110" t="s">
        <v>445</v>
      </c>
      <c r="DV112" s="110"/>
      <c r="DW112" s="110"/>
      <c r="DX112" s="25"/>
      <c r="DY112" s="25"/>
      <c r="DZ112" s="25"/>
      <c r="EA112" s="25"/>
      <c r="EB112" s="110" t="s">
        <v>445</v>
      </c>
      <c r="EC112" s="110"/>
      <c r="ED112" s="110"/>
      <c r="EE112" s="25"/>
      <c r="EF112" s="25"/>
      <c r="EG112" s="25"/>
      <c r="EH112" s="110" t="s">
        <v>445</v>
      </c>
      <c r="EI112" s="110" t="s">
        <v>445</v>
      </c>
      <c r="EJ112" s="110"/>
      <c r="EK112" s="110"/>
      <c r="EL112" s="25"/>
      <c r="EM112" s="25"/>
      <c r="EN112" s="25"/>
      <c r="EO112" s="25"/>
      <c r="EP112" s="25"/>
      <c r="EQ112" s="110"/>
      <c r="ER112" s="110"/>
      <c r="ES112" s="110" t="s">
        <v>445</v>
      </c>
      <c r="ET112" s="25"/>
      <c r="EU112" s="25"/>
      <c r="EV112" s="25"/>
      <c r="EW112" s="25"/>
      <c r="EX112" s="110"/>
      <c r="EY112" s="110"/>
      <c r="EZ112" s="25"/>
      <c r="FA112" s="25"/>
      <c r="FB112" s="25"/>
      <c r="FC112" s="25"/>
      <c r="FD112" s="25"/>
      <c r="FE112" s="110"/>
      <c r="FF112" s="110"/>
      <c r="FG112" s="25"/>
      <c r="FH112" s="25"/>
      <c r="FI112" s="25"/>
      <c r="FJ112" s="25"/>
      <c r="FK112" s="25"/>
      <c r="FL112" s="110"/>
      <c r="FM112" s="110"/>
      <c r="FN112" s="25"/>
      <c r="FO112" s="25"/>
      <c r="FP112" s="25"/>
      <c r="FQ112" s="25"/>
      <c r="FR112" s="25"/>
      <c r="FS112" s="110"/>
      <c r="FT112" s="110"/>
      <c r="FU112" s="25"/>
      <c r="FV112" s="25"/>
      <c r="FW112" s="25"/>
      <c r="FX112" s="25"/>
      <c r="FY112" s="25"/>
      <c r="FZ112" s="110"/>
      <c r="GA112" s="110"/>
      <c r="GB112" s="25"/>
      <c r="GC112" s="25"/>
      <c r="GD112" s="25"/>
      <c r="GE112" s="25"/>
      <c r="GF112" s="25"/>
      <c r="GG112" s="110"/>
      <c r="GH112" s="110"/>
      <c r="GI112" s="25"/>
      <c r="GJ112" s="25"/>
      <c r="GK112" s="25"/>
      <c r="GL112" s="25"/>
      <c r="GM112" s="25"/>
      <c r="GN112" s="110"/>
      <c r="GO112" s="110"/>
      <c r="GP112" s="110" t="s">
        <v>445</v>
      </c>
      <c r="GQ112" s="110"/>
      <c r="GR112" s="25"/>
      <c r="GS112" s="25"/>
      <c r="GT112" s="25"/>
      <c r="GU112" s="110"/>
      <c r="GV112" s="110"/>
      <c r="GW112" s="25"/>
      <c r="GX112" s="25"/>
      <c r="GY112" s="25"/>
      <c r="GZ112" s="25"/>
      <c r="HA112" s="25"/>
      <c r="HB112" s="110"/>
      <c r="HC112" s="110"/>
      <c r="HD112" s="25"/>
      <c r="HE112" s="25"/>
      <c r="HF112" s="25"/>
      <c r="HG112" s="25"/>
      <c r="HH112" s="25"/>
      <c r="HI112" s="110"/>
      <c r="HJ112" s="110"/>
      <c r="HK112" s="25"/>
      <c r="HL112" s="25"/>
      <c r="HM112" s="25"/>
      <c r="HN112" s="25"/>
      <c r="HO112" s="25"/>
      <c r="HP112" s="110"/>
      <c r="HQ112" s="110"/>
      <c r="HR112" s="25"/>
      <c r="HS112" s="25"/>
      <c r="HT112" s="25"/>
      <c r="HU112" s="25"/>
      <c r="HV112" s="25"/>
      <c r="HW112" s="110"/>
      <c r="HX112" s="110"/>
      <c r="HY112" s="25"/>
      <c r="HZ112" s="25"/>
      <c r="IA112" s="25"/>
      <c r="IB112" s="25"/>
      <c r="IC112" s="25"/>
      <c r="ID112" s="110"/>
      <c r="IE112" s="110"/>
      <c r="IF112" s="25"/>
      <c r="IG112" s="25"/>
      <c r="IH112" s="25"/>
      <c r="II112" s="25"/>
      <c r="IJ112" s="25"/>
      <c r="IK112" s="110"/>
      <c r="IL112" s="110"/>
      <c r="IM112" s="25"/>
      <c r="IN112" s="25"/>
      <c r="IO112" s="25"/>
      <c r="IP112" s="25"/>
      <c r="IQ112" s="25"/>
      <c r="IR112" s="110"/>
      <c r="IS112" s="110"/>
      <c r="IT112" s="25"/>
      <c r="IU112" s="25"/>
      <c r="IV112" s="25"/>
      <c r="IW112" s="25"/>
      <c r="IX112" s="25"/>
      <c r="IY112" s="110"/>
      <c r="IZ112" s="110"/>
      <c r="JA112" s="25"/>
      <c r="JB112" s="25"/>
      <c r="JC112" s="25"/>
      <c r="JD112" s="25"/>
      <c r="JE112" s="25"/>
      <c r="JF112" s="110"/>
      <c r="JG112" s="110"/>
      <c r="JH112" s="25"/>
      <c r="JI112" s="25"/>
      <c r="JJ112" s="25"/>
      <c r="JK112" s="25"/>
      <c r="JL112" s="25"/>
      <c r="JM112" s="110"/>
      <c r="JN112" s="110"/>
      <c r="JO112" s="25"/>
      <c r="JP112" s="25"/>
      <c r="JQ112" s="25"/>
      <c r="JR112" s="25"/>
      <c r="JS112" s="25"/>
      <c r="JT112" s="110"/>
      <c r="JU112" s="110"/>
      <c r="JV112" s="25"/>
      <c r="JW112" s="25"/>
      <c r="JX112" s="25"/>
      <c r="JY112" s="25"/>
      <c r="JZ112" s="25"/>
      <c r="KA112" s="110"/>
      <c r="KB112" s="110"/>
      <c r="KC112" s="25"/>
      <c r="KD112" s="25"/>
      <c r="KE112" s="25"/>
      <c r="KF112" s="25"/>
      <c r="KG112" s="25"/>
      <c r="KH112" s="110"/>
      <c r="KI112" s="110"/>
      <c r="KJ112" s="25"/>
      <c r="KK112" s="25"/>
      <c r="KL112" s="25"/>
      <c r="KM112" s="25"/>
      <c r="KN112" s="25"/>
      <c r="KO112" s="110"/>
      <c r="KP112" s="110"/>
      <c r="KQ112" s="25"/>
      <c r="KR112" s="25"/>
      <c r="KS112" s="25"/>
      <c r="KT112" s="25"/>
      <c r="KU112" s="25"/>
      <c r="KV112" s="110"/>
      <c r="KW112" s="110"/>
      <c r="KX112" s="25"/>
      <c r="KY112" s="25"/>
      <c r="KZ112" s="25"/>
      <c r="LA112" s="25"/>
      <c r="LB112" s="25"/>
      <c r="LC112" s="110"/>
      <c r="LD112" s="110"/>
      <c r="LE112" s="25"/>
      <c r="LF112" s="25"/>
      <c r="LG112" s="110" t="s">
        <v>445</v>
      </c>
      <c r="LH112" s="25"/>
      <c r="LI112" s="25"/>
      <c r="LJ112" s="110"/>
      <c r="LK112" s="110"/>
      <c r="LL112" s="25"/>
      <c r="LM112" s="25"/>
      <c r="LN112" s="25"/>
      <c r="LO112" s="25"/>
      <c r="LP112" s="25"/>
      <c r="LQ112" s="110"/>
      <c r="LR112" s="110"/>
      <c r="LS112" s="25"/>
      <c r="LT112" s="25"/>
      <c r="LU112" s="25"/>
      <c r="LV112" s="25"/>
      <c r="LW112" s="25"/>
      <c r="LX112" s="110"/>
      <c r="LY112" s="110"/>
      <c r="LZ112" s="25"/>
      <c r="MA112" s="25"/>
      <c r="MB112" s="25"/>
      <c r="MC112" s="25"/>
      <c r="MD112" s="25"/>
      <c r="ME112" s="110"/>
      <c r="MF112" s="110"/>
      <c r="MG112" s="25"/>
      <c r="MH112" s="25"/>
      <c r="MI112" s="25"/>
      <c r="MJ112" s="25"/>
      <c r="MK112" s="25"/>
      <c r="ML112" s="110"/>
      <c r="MM112" s="110"/>
      <c r="MN112" s="25"/>
      <c r="MO112" s="25"/>
      <c r="MP112" s="25"/>
      <c r="MQ112" s="25"/>
      <c r="MR112" s="25"/>
      <c r="MS112" s="110"/>
      <c r="MT112" s="110"/>
      <c r="MU112" s="25"/>
      <c r="MV112" s="25"/>
      <c r="MW112" s="25"/>
      <c r="MX112" s="25"/>
      <c r="MY112" s="25"/>
      <c r="MZ112" s="110"/>
      <c r="NA112" s="110"/>
      <c r="NB112" s="25"/>
      <c r="NC112" s="25"/>
      <c r="ND112" s="25"/>
      <c r="NE112" s="129"/>
      <c r="NF112" s="111"/>
      <c r="NG112" s="8">
        <f t="shared" si="135"/>
        <v>0</v>
      </c>
      <c r="NH112" s="351" cm="1">
        <f t="array" ref="NH112">NETWORKDAYS($I$2,$AH$2)- SUM(COUNTIF(I112:AH112,{"I";"F";"CP";"R";"P";"AC";"AM"}))</f>
        <v>20</v>
      </c>
      <c r="NI112" s="138">
        <f t="shared" si="67"/>
        <v>0</v>
      </c>
      <c r="NJ112" s="8">
        <f t="shared" si="136"/>
        <v>9</v>
      </c>
      <c r="NK112" s="351" cm="1">
        <f t="array" ref="NK112">NETWORKDAYS($AJ$2,$BK$2)- SUM(COUNTIF(AJ112:BK112,{"I";"F";"CP";"R";"P";"AC";"AM"}))</f>
        <v>20</v>
      </c>
      <c r="NL112" s="138">
        <f t="shared" si="68"/>
        <v>0.45</v>
      </c>
      <c r="NM112" s="8">
        <f t="shared" si="137"/>
        <v>0</v>
      </c>
      <c r="NN112" s="351" cm="1">
        <f t="array" ref="NN112">NETWORKDAYS($BL$2,$CP$2)- SUM(COUNTIF(BL112:CP112,{"I";"F";"CP";"R";"P";"AC";"AM"}))</f>
        <v>10</v>
      </c>
      <c r="NO112" s="138">
        <f t="shared" si="69"/>
        <v>0</v>
      </c>
      <c r="NP112" s="8">
        <f t="shared" si="138"/>
        <v>12</v>
      </c>
      <c r="NQ112" s="351" cm="1">
        <f t="array" ref="NQ112">NETWORKDAYS($CQ$2,$DT$2,$CV$2)- SUM(COUNTIF(CQ112:DT112,{"I";"F";"CP";"R";"P";"AC";"AM"}))</f>
        <v>21</v>
      </c>
      <c r="NR112" s="138">
        <f t="shared" si="70"/>
        <v>0.5714285714285714</v>
      </c>
      <c r="NS112" s="8">
        <f t="shared" si="139"/>
        <v>0</v>
      </c>
      <c r="NT112" s="351" cm="1">
        <f t="array" ref="NT112">NETWORKDAYS($DV$2,$EY$2)-SUM(COUNTIF(DV112:EY112,{"I";"F";"CP";"R";"P";"AC";"AM"}))</f>
        <v>16</v>
      </c>
      <c r="NU112" s="138">
        <f t="shared" si="71"/>
        <v>0</v>
      </c>
      <c r="NV112" s="8">
        <f t="shared" si="140"/>
        <v>0</v>
      </c>
      <c r="NW112" s="351" cm="1">
        <f t="array" ref="NW112">NETWORKDAYS($EZ$2,$GC$2)-SUM(COUNTIF(EZ112:GC112,{"I";"F";"CP";"R";"P";"AC";"AM"}))</f>
        <v>22</v>
      </c>
      <c r="NX112" s="138">
        <f t="shared" si="114"/>
        <v>0</v>
      </c>
      <c r="NY112" s="8">
        <f t="shared" si="141"/>
        <v>0</v>
      </c>
      <c r="NZ112" s="351" cm="1">
        <f t="array" ref="NZ112">NETWORKDAYS($GD$2,$HH$2,$GQ$2)-SUM(COUNTIF(GD112:HH112,{"I";"F";"CP";"R";"P";"AC";"AM"}))</f>
        <v>21</v>
      </c>
      <c r="OA112" s="138">
        <f t="shared" si="116"/>
        <v>0</v>
      </c>
      <c r="OB112" s="8">
        <f t="shared" si="142"/>
        <v>0</v>
      </c>
      <c r="OC112" s="351" cm="1">
        <f t="array" ref="OC112">NETWORKDAYS($HI$2,$IM$2)-SUM(COUNTIF(HI112:IM112,{"I";"F";"CP";"R";"P";"AC";"AM"}))</f>
        <v>21</v>
      </c>
      <c r="OD112" s="138">
        <f t="shared" si="118"/>
        <v>0</v>
      </c>
      <c r="OE112" s="8">
        <f t="shared" si="143"/>
        <v>0</v>
      </c>
      <c r="OF112" s="351" cm="1">
        <f t="array" ref="OF112">NETWORKDAYS($IN$2,$JQ$2)-SUM(COUNTIF(IN112:JQ112,{"I";"F";"CP";"R";"P";"AC";"AM"}))</f>
        <v>22</v>
      </c>
      <c r="OG112" s="138">
        <f t="shared" si="120"/>
        <v>0</v>
      </c>
      <c r="OH112" s="8">
        <f t="shared" si="144"/>
        <v>0</v>
      </c>
      <c r="OI112" s="351" cm="1">
        <f t="array" ref="OI112">NETWORKDAYS($JR$2,$KV$2)-SUM(COUNTIF(JR112:KV112,{"I";"F";"CP";"R";"P";"AC";"AM"}))</f>
        <v>22</v>
      </c>
      <c r="OJ112" s="138">
        <f t="shared" si="122"/>
        <v>0</v>
      </c>
      <c r="OK112" s="8">
        <f t="shared" si="145"/>
        <v>0</v>
      </c>
      <c r="OL112" s="351" cm="1">
        <f t="array" ref="OL112">NETWORKDAYS($KW$2,$LZ$2,$LG$2)-SUM(COUNTIF(KW112:LZ112,{"I";"F";"CP";"R";"P";"AC";"AM"}))</f>
        <v>19</v>
      </c>
      <c r="OM112" s="138">
        <f t="shared" si="124"/>
        <v>0</v>
      </c>
      <c r="ON112" s="8">
        <f t="shared" si="146"/>
        <v>0</v>
      </c>
      <c r="OO112" s="351" cm="1">
        <f t="array" ref="OO112">NETWORKDAYS($MA$2,$MR$2)-SUM(COUNTIF(MA112:MR112,{"I";"F";"CP";"R";"P";"AC";"AM"}))</f>
        <v>14</v>
      </c>
      <c r="OP112" s="138">
        <f t="shared" si="126"/>
        <v>0</v>
      </c>
      <c r="OQ112" s="94">
        <f t="shared" si="127"/>
        <v>21</v>
      </c>
      <c r="OR112" s="94">
        <f t="shared" si="128"/>
        <v>228</v>
      </c>
      <c r="OS112" s="138">
        <f t="shared" si="129"/>
        <v>9.2105263157894732E-2</v>
      </c>
    </row>
    <row r="113" spans="1:409" ht="18" hidden="1" customHeight="1" x14ac:dyDescent="0.25">
      <c r="A113" s="95" t="s">
        <v>192</v>
      </c>
      <c r="B113" s="95" t="s">
        <v>192</v>
      </c>
      <c r="C113" s="89" t="s">
        <v>166</v>
      </c>
      <c r="D113" s="89" t="s">
        <v>288</v>
      </c>
      <c r="E113" s="128"/>
      <c r="F113" s="110"/>
      <c r="G113" s="110"/>
      <c r="H113" s="110"/>
      <c r="I113" s="25"/>
      <c r="J113" s="25"/>
      <c r="K113" s="25"/>
      <c r="L113" s="25"/>
      <c r="M113" s="25"/>
      <c r="N113" s="110"/>
      <c r="O113" s="110"/>
      <c r="P113" s="25"/>
      <c r="Q113" s="25"/>
      <c r="R113" s="25"/>
      <c r="S113" s="25"/>
      <c r="T113" s="25"/>
      <c r="U113" s="110"/>
      <c r="V113" s="110"/>
      <c r="W113" s="25"/>
      <c r="X113" s="25"/>
      <c r="Y113" s="25"/>
      <c r="Z113" s="25"/>
      <c r="AA113" s="25"/>
      <c r="AB113" s="110"/>
      <c r="AC113" s="110"/>
      <c r="AD113" s="25"/>
      <c r="AE113" s="25"/>
      <c r="AF113" s="25"/>
      <c r="AG113" s="25"/>
      <c r="AH113" s="25"/>
      <c r="AI113" s="110"/>
      <c r="AJ113" s="110"/>
      <c r="AK113" s="25"/>
      <c r="AL113" s="25"/>
      <c r="AM113" s="25"/>
      <c r="AN113" s="25"/>
      <c r="AO113" s="25"/>
      <c r="AP113" s="110"/>
      <c r="AQ113" s="110"/>
      <c r="AR113" s="25"/>
      <c r="AS113" s="25"/>
      <c r="AT113" s="25"/>
      <c r="AU113" s="484"/>
      <c r="AV113" s="25"/>
      <c r="AW113" s="110"/>
      <c r="AX113" s="110"/>
      <c r="AY113" s="25"/>
      <c r="AZ113" s="25"/>
      <c r="BA113" s="25"/>
      <c r="BB113" s="25"/>
      <c r="BC113" s="25"/>
      <c r="BD113" s="110"/>
      <c r="BE113" s="110"/>
      <c r="BF113" s="25"/>
      <c r="BG113" s="25"/>
      <c r="BH113" s="25"/>
      <c r="BI113" s="25"/>
      <c r="BJ113" s="25"/>
      <c r="BK113" s="110"/>
      <c r="BL113" s="110"/>
      <c r="BM113" s="25"/>
      <c r="BN113" s="25"/>
      <c r="BO113" s="25"/>
      <c r="BP113" s="25"/>
      <c r="BQ113" s="25"/>
      <c r="BR113" s="110"/>
      <c r="BS113" s="110"/>
      <c r="BT113" s="25"/>
      <c r="BU113" s="25"/>
      <c r="BV113" s="25"/>
      <c r="BW113" s="25"/>
      <c r="BX113" s="25"/>
      <c r="BY113" s="110"/>
      <c r="BZ113" s="110"/>
      <c r="CA113" s="25"/>
      <c r="CB113" s="25"/>
      <c r="CC113" s="25"/>
      <c r="CD113" s="25"/>
      <c r="CE113" s="25">
        <v>1</v>
      </c>
      <c r="CF113" s="110"/>
      <c r="CG113" s="110"/>
      <c r="CH113" s="25"/>
      <c r="CI113" s="25"/>
      <c r="CJ113" s="25"/>
      <c r="CK113" s="25"/>
      <c r="CL113" s="25"/>
      <c r="CM113" s="110"/>
      <c r="CN113" s="110"/>
      <c r="CO113" s="25"/>
      <c r="CP113" s="25"/>
      <c r="CQ113" s="25"/>
      <c r="CR113" s="25"/>
      <c r="CS113" s="25"/>
      <c r="CT113" s="110"/>
      <c r="CU113" s="110"/>
      <c r="CV113" s="110"/>
      <c r="CW113" s="25"/>
      <c r="CX113" s="25"/>
      <c r="CY113" s="25"/>
      <c r="CZ113" s="25"/>
      <c r="DA113" s="110"/>
      <c r="DB113" s="110"/>
      <c r="DC113" s="25"/>
      <c r="DD113" s="25"/>
      <c r="DE113" s="25"/>
      <c r="DF113" s="25"/>
      <c r="DG113" s="25"/>
      <c r="DH113" s="110"/>
      <c r="DI113" s="110"/>
      <c r="DJ113" s="25"/>
      <c r="DK113" s="25"/>
      <c r="DL113" s="25"/>
      <c r="DM113" s="25"/>
      <c r="DN113" s="25"/>
      <c r="DO113" s="110"/>
      <c r="DP113" s="110"/>
      <c r="DQ113" s="25"/>
      <c r="DR113" s="25"/>
      <c r="DS113" s="25"/>
      <c r="DT113" s="25"/>
      <c r="DU113" s="110" t="s">
        <v>445</v>
      </c>
      <c r="DV113" s="110"/>
      <c r="DW113" s="110"/>
      <c r="DX113" s="25"/>
      <c r="DY113" s="25"/>
      <c r="DZ113" s="25"/>
      <c r="EA113" s="25"/>
      <c r="EB113" s="110" t="s">
        <v>445</v>
      </c>
      <c r="EC113" s="110"/>
      <c r="ED113" s="110"/>
      <c r="EE113" s="25"/>
      <c r="EF113" s="25"/>
      <c r="EG113" s="25"/>
      <c r="EH113" s="110" t="s">
        <v>445</v>
      </c>
      <c r="EI113" s="110" t="s">
        <v>445</v>
      </c>
      <c r="EJ113" s="110"/>
      <c r="EK113" s="110"/>
      <c r="EL113" s="25"/>
      <c r="EM113" s="25"/>
      <c r="EN113" s="25"/>
      <c r="EO113" s="25"/>
      <c r="EP113" s="25"/>
      <c r="EQ113" s="110"/>
      <c r="ER113" s="110"/>
      <c r="ES113" s="110" t="s">
        <v>445</v>
      </c>
      <c r="ET113" s="25"/>
      <c r="EU113" s="25"/>
      <c r="EV113" s="25"/>
      <c r="EW113" s="25"/>
      <c r="EX113" s="110"/>
      <c r="EY113" s="110"/>
      <c r="EZ113" s="25"/>
      <c r="FA113" s="25"/>
      <c r="FB113" s="25"/>
      <c r="FC113" s="25"/>
      <c r="FD113" s="25"/>
      <c r="FE113" s="110"/>
      <c r="FF113" s="110"/>
      <c r="FG113" s="25"/>
      <c r="FH113" s="25"/>
      <c r="FI113" s="25"/>
      <c r="FJ113" s="25"/>
      <c r="FK113" s="25"/>
      <c r="FL113" s="110"/>
      <c r="FM113" s="110"/>
      <c r="FN113" s="25"/>
      <c r="FO113" s="25"/>
      <c r="FP113" s="25"/>
      <c r="FQ113" s="25"/>
      <c r="FR113" s="25"/>
      <c r="FS113" s="110"/>
      <c r="FT113" s="110"/>
      <c r="FU113" s="25"/>
      <c r="FV113" s="25"/>
      <c r="FW113" s="25"/>
      <c r="FX113" s="25"/>
      <c r="FY113" s="25"/>
      <c r="FZ113" s="110"/>
      <c r="GA113" s="110"/>
      <c r="GB113" s="25"/>
      <c r="GC113" s="25"/>
      <c r="GD113" s="25"/>
      <c r="GE113" s="25"/>
      <c r="GF113" s="25"/>
      <c r="GG113" s="110"/>
      <c r="GH113" s="110"/>
      <c r="GI113" s="25"/>
      <c r="GJ113" s="25"/>
      <c r="GK113" s="25"/>
      <c r="GL113" s="25"/>
      <c r="GM113" s="25"/>
      <c r="GN113" s="110"/>
      <c r="GO113" s="110"/>
      <c r="GP113" s="110" t="s">
        <v>445</v>
      </c>
      <c r="GQ113" s="110"/>
      <c r="GR113" s="25"/>
      <c r="GS113" s="25"/>
      <c r="GT113" s="25"/>
      <c r="GU113" s="110"/>
      <c r="GV113" s="110"/>
      <c r="GW113" s="25"/>
      <c r="GX113" s="25"/>
      <c r="GY113" s="25"/>
      <c r="GZ113" s="25"/>
      <c r="HA113" s="25"/>
      <c r="HB113" s="110"/>
      <c r="HC113" s="110"/>
      <c r="HD113" s="25"/>
      <c r="HE113" s="25"/>
      <c r="HF113" s="25"/>
      <c r="HG113" s="25"/>
      <c r="HH113" s="25"/>
      <c r="HI113" s="110"/>
      <c r="HJ113" s="110"/>
      <c r="HK113" s="25"/>
      <c r="HL113" s="25"/>
      <c r="HM113" s="25"/>
      <c r="HN113" s="25"/>
      <c r="HO113" s="25"/>
      <c r="HP113" s="110"/>
      <c r="HQ113" s="110"/>
      <c r="HR113" s="25"/>
      <c r="HS113" s="25"/>
      <c r="HT113" s="25"/>
      <c r="HU113" s="25"/>
      <c r="HV113" s="25"/>
      <c r="HW113" s="110"/>
      <c r="HX113" s="110"/>
      <c r="HY113" s="25"/>
      <c r="HZ113" s="25"/>
      <c r="IA113" s="25"/>
      <c r="IB113" s="25"/>
      <c r="IC113" s="25"/>
      <c r="ID113" s="110"/>
      <c r="IE113" s="110"/>
      <c r="IF113" s="25"/>
      <c r="IG113" s="25"/>
      <c r="IH113" s="25"/>
      <c r="II113" s="25"/>
      <c r="IJ113" s="25"/>
      <c r="IK113" s="110"/>
      <c r="IL113" s="110"/>
      <c r="IM113" s="25"/>
      <c r="IN113" s="25"/>
      <c r="IO113" s="25"/>
      <c r="IP113" s="25"/>
      <c r="IQ113" s="25"/>
      <c r="IR113" s="110"/>
      <c r="IS113" s="110"/>
      <c r="IT113" s="25"/>
      <c r="IU113" s="25"/>
      <c r="IV113" s="25"/>
      <c r="IW113" s="25"/>
      <c r="IX113" s="25"/>
      <c r="IY113" s="110"/>
      <c r="IZ113" s="110"/>
      <c r="JA113" s="25"/>
      <c r="JB113" s="25"/>
      <c r="JC113" s="25"/>
      <c r="JD113" s="25"/>
      <c r="JE113" s="25"/>
      <c r="JF113" s="110"/>
      <c r="JG113" s="110"/>
      <c r="JH113" s="25"/>
      <c r="JI113" s="25"/>
      <c r="JJ113" s="25"/>
      <c r="JK113" s="25"/>
      <c r="JL113" s="25"/>
      <c r="JM113" s="110"/>
      <c r="JN113" s="110"/>
      <c r="JO113" s="25"/>
      <c r="JP113" s="25"/>
      <c r="JQ113" s="25"/>
      <c r="JR113" s="25"/>
      <c r="JS113" s="25"/>
      <c r="JT113" s="110"/>
      <c r="JU113" s="110"/>
      <c r="JV113" s="25"/>
      <c r="JW113" s="25"/>
      <c r="JX113" s="25"/>
      <c r="JY113" s="25"/>
      <c r="JZ113" s="25"/>
      <c r="KA113" s="110"/>
      <c r="KB113" s="110"/>
      <c r="KC113" s="25"/>
      <c r="KD113" s="25"/>
      <c r="KE113" s="25"/>
      <c r="KF113" s="25"/>
      <c r="KG113" s="25"/>
      <c r="KH113" s="110"/>
      <c r="KI113" s="110"/>
      <c r="KJ113" s="25"/>
      <c r="KK113" s="25"/>
      <c r="KL113" s="25"/>
      <c r="KM113" s="25"/>
      <c r="KN113" s="25"/>
      <c r="KO113" s="110"/>
      <c r="KP113" s="110"/>
      <c r="KQ113" s="25"/>
      <c r="KR113" s="25"/>
      <c r="KS113" s="25"/>
      <c r="KT113" s="25"/>
      <c r="KU113" s="25"/>
      <c r="KV113" s="110"/>
      <c r="KW113" s="110"/>
      <c r="KX113" s="25"/>
      <c r="KY113" s="25"/>
      <c r="KZ113" s="25"/>
      <c r="LA113" s="25"/>
      <c r="LB113" s="25"/>
      <c r="LC113" s="110"/>
      <c r="LD113" s="110"/>
      <c r="LE113" s="25"/>
      <c r="LF113" s="25"/>
      <c r="LG113" s="110" t="s">
        <v>445</v>
      </c>
      <c r="LH113" s="25"/>
      <c r="LI113" s="25"/>
      <c r="LJ113" s="110"/>
      <c r="LK113" s="110"/>
      <c r="LL113" s="25"/>
      <c r="LM113" s="25"/>
      <c r="LN113" s="25"/>
      <c r="LO113" s="25"/>
      <c r="LP113" s="25"/>
      <c r="LQ113" s="110"/>
      <c r="LR113" s="110"/>
      <c r="LS113" s="25"/>
      <c r="LT113" s="25"/>
      <c r="LU113" s="25"/>
      <c r="LV113" s="25"/>
      <c r="LW113" s="25"/>
      <c r="LX113" s="110"/>
      <c r="LY113" s="110"/>
      <c r="LZ113" s="25"/>
      <c r="MA113" s="25"/>
      <c r="MB113" s="25"/>
      <c r="MC113" s="25"/>
      <c r="MD113" s="25"/>
      <c r="ME113" s="110"/>
      <c r="MF113" s="110"/>
      <c r="MG113" s="25"/>
      <c r="MH113" s="25"/>
      <c r="MI113" s="25"/>
      <c r="MJ113" s="25"/>
      <c r="MK113" s="25"/>
      <c r="ML113" s="110"/>
      <c r="MM113" s="110"/>
      <c r="MN113" s="25"/>
      <c r="MO113" s="25"/>
      <c r="MP113" s="25"/>
      <c r="MQ113" s="25"/>
      <c r="MR113" s="25"/>
      <c r="MS113" s="110"/>
      <c r="MT113" s="110"/>
      <c r="MU113" s="25"/>
      <c r="MV113" s="25"/>
      <c r="MW113" s="25"/>
      <c r="MX113" s="25"/>
      <c r="MY113" s="25"/>
      <c r="MZ113" s="110"/>
      <c r="NA113" s="110"/>
      <c r="NB113" s="25"/>
      <c r="NC113" s="25"/>
      <c r="ND113" s="25"/>
      <c r="NE113" s="129"/>
      <c r="NF113" s="111"/>
      <c r="NG113" s="8">
        <f t="shared" si="135"/>
        <v>0</v>
      </c>
      <c r="NH113" s="351" cm="1">
        <f t="array" ref="NH113">NETWORKDAYS($I$2,$AH$2)- SUM(COUNTIF(I113:AH113,{"I";"F";"CP";"R";"P";"AC";"AM"}))</f>
        <v>20</v>
      </c>
      <c r="NI113" s="138">
        <f t="shared" si="67"/>
        <v>0</v>
      </c>
      <c r="NJ113" s="8">
        <f t="shared" si="136"/>
        <v>0</v>
      </c>
      <c r="NK113" s="351" cm="1">
        <f t="array" ref="NK113">NETWORKDAYS($AJ$2,$BK$2)- SUM(COUNTIF(AJ113:BK113,{"I";"F";"CP";"R";"P";"AC";"AM"}))</f>
        <v>20</v>
      </c>
      <c r="NL113" s="138">
        <f t="shared" si="68"/>
        <v>0</v>
      </c>
      <c r="NM113" s="8">
        <f t="shared" si="137"/>
        <v>1</v>
      </c>
      <c r="NN113" s="351" cm="1">
        <f t="array" ref="NN113">NETWORKDAYS($BL$2,$CP$2)- SUM(COUNTIF(BL113:CP113,{"I";"F";"CP";"R";"P";"AC";"AM"}))</f>
        <v>22</v>
      </c>
      <c r="NO113" s="138">
        <f t="shared" si="69"/>
        <v>4.5454545454545456E-2</v>
      </c>
      <c r="NP113" s="8">
        <f t="shared" si="138"/>
        <v>0</v>
      </c>
      <c r="NQ113" s="351" cm="1">
        <f t="array" ref="NQ113">NETWORKDAYS($CQ$2,$DT$2,$CV$2)- SUM(COUNTIF(CQ113:DT113,{"I";"F";"CP";"R";"P";"AC";"AM"}))</f>
        <v>21</v>
      </c>
      <c r="NR113" s="138">
        <f t="shared" si="70"/>
        <v>0</v>
      </c>
      <c r="NS113" s="8">
        <f t="shared" si="139"/>
        <v>0</v>
      </c>
      <c r="NT113" s="351" cm="1">
        <f t="array" ref="NT113">NETWORKDAYS($DV$2,$EY$2)-SUM(COUNTIF(DV113:EY113,{"I";"F";"CP";"R";"P";"AC";"AM"}))</f>
        <v>16</v>
      </c>
      <c r="NU113" s="138">
        <f t="shared" si="71"/>
        <v>0</v>
      </c>
      <c r="NV113" s="8">
        <f t="shared" si="140"/>
        <v>0</v>
      </c>
      <c r="NW113" s="351" cm="1">
        <f t="array" ref="NW113">NETWORKDAYS($EZ$2,$GC$2)-SUM(COUNTIF(EZ113:GC113,{"I";"F";"CP";"R";"P";"AC";"AM"}))</f>
        <v>22</v>
      </c>
      <c r="NX113" s="138">
        <f t="shared" si="114"/>
        <v>0</v>
      </c>
      <c r="NY113" s="8">
        <f t="shared" si="141"/>
        <v>0</v>
      </c>
      <c r="NZ113" s="351" cm="1">
        <f t="array" ref="NZ113">NETWORKDAYS($GD$2,$HH$2,$GQ$2)-SUM(COUNTIF(GD113:HH113,{"I";"F";"CP";"R";"P";"AC";"AM"}))</f>
        <v>21</v>
      </c>
      <c r="OA113" s="138">
        <f t="shared" si="116"/>
        <v>0</v>
      </c>
      <c r="OB113" s="8">
        <f t="shared" si="142"/>
        <v>0</v>
      </c>
      <c r="OC113" s="351" cm="1">
        <f t="array" ref="OC113">NETWORKDAYS($HI$2,$IM$2)-SUM(COUNTIF(HI113:IM113,{"I";"F";"CP";"R";"P";"AC";"AM"}))</f>
        <v>21</v>
      </c>
      <c r="OD113" s="138">
        <f t="shared" si="118"/>
        <v>0</v>
      </c>
      <c r="OE113" s="8">
        <f t="shared" si="143"/>
        <v>0</v>
      </c>
      <c r="OF113" s="351" cm="1">
        <f t="array" ref="OF113">NETWORKDAYS($IN$2,$JQ$2)-SUM(COUNTIF(IN113:JQ113,{"I";"F";"CP";"R";"P";"AC";"AM"}))</f>
        <v>22</v>
      </c>
      <c r="OG113" s="138">
        <f t="shared" si="120"/>
        <v>0</v>
      </c>
      <c r="OH113" s="8">
        <f t="shared" si="144"/>
        <v>0</v>
      </c>
      <c r="OI113" s="351" cm="1">
        <f t="array" ref="OI113">NETWORKDAYS($JR$2,$KV$2)-SUM(COUNTIF(JR113:KV113,{"I";"F";"CP";"R";"P";"AC";"AM"}))</f>
        <v>22</v>
      </c>
      <c r="OJ113" s="138">
        <f t="shared" si="122"/>
        <v>0</v>
      </c>
      <c r="OK113" s="8">
        <f t="shared" si="145"/>
        <v>0</v>
      </c>
      <c r="OL113" s="351" cm="1">
        <f t="array" ref="OL113">NETWORKDAYS($KW$2,$LZ$2,$LG$2)-SUM(COUNTIF(KW113:LZ113,{"I";"F";"CP";"R";"P";"AC";"AM"}))</f>
        <v>19</v>
      </c>
      <c r="OM113" s="138">
        <f t="shared" si="124"/>
        <v>0</v>
      </c>
      <c r="ON113" s="8">
        <f t="shared" si="146"/>
        <v>0</v>
      </c>
      <c r="OO113" s="351" cm="1">
        <f t="array" ref="OO113">NETWORKDAYS($MA$2,$MR$2)-SUM(COUNTIF(MA113:MR113,{"I";"F";"CP";"R";"P";"AC";"AM"}))</f>
        <v>14</v>
      </c>
      <c r="OP113" s="138">
        <f t="shared" si="126"/>
        <v>0</v>
      </c>
      <c r="OQ113" s="94">
        <f t="shared" si="127"/>
        <v>1</v>
      </c>
      <c r="OR113" s="94">
        <f t="shared" si="128"/>
        <v>240</v>
      </c>
      <c r="OS113" s="138">
        <f t="shared" si="129"/>
        <v>4.1666666666666666E-3</v>
      </c>
    </row>
    <row r="114" spans="1:409" ht="18" hidden="1" customHeight="1" x14ac:dyDescent="0.25">
      <c r="A114" s="95" t="s">
        <v>168</v>
      </c>
      <c r="B114" s="95" t="s">
        <v>168</v>
      </c>
      <c r="C114" s="89" t="s">
        <v>160</v>
      </c>
      <c r="D114" s="89" t="s">
        <v>289</v>
      </c>
      <c r="E114" s="128"/>
      <c r="F114" s="110"/>
      <c r="G114" s="110"/>
      <c r="H114" s="110"/>
      <c r="I114" s="25">
        <v>1</v>
      </c>
      <c r="J114" s="25">
        <v>1</v>
      </c>
      <c r="K114" s="25">
        <v>1</v>
      </c>
      <c r="L114" s="25" t="s">
        <v>447</v>
      </c>
      <c r="M114" s="25">
        <v>1</v>
      </c>
      <c r="N114" s="110"/>
      <c r="O114" s="110"/>
      <c r="P114" s="25">
        <v>1</v>
      </c>
      <c r="Q114" s="25">
        <v>1</v>
      </c>
      <c r="R114" s="25">
        <v>1</v>
      </c>
      <c r="S114" s="25">
        <v>1</v>
      </c>
      <c r="T114" s="25">
        <v>1</v>
      </c>
      <c r="U114" s="110"/>
      <c r="V114" s="110"/>
      <c r="W114" s="25" t="s">
        <v>447</v>
      </c>
      <c r="X114" s="25">
        <v>1</v>
      </c>
      <c r="Y114" s="25">
        <v>1</v>
      </c>
      <c r="Z114" s="25">
        <v>1</v>
      </c>
      <c r="AA114" s="25">
        <v>1</v>
      </c>
      <c r="AB114" s="110"/>
      <c r="AC114" s="110"/>
      <c r="AD114" s="25">
        <v>1</v>
      </c>
      <c r="AE114" s="25">
        <v>1</v>
      </c>
      <c r="AF114" s="25" t="s">
        <v>223</v>
      </c>
      <c r="AG114" s="25">
        <v>1</v>
      </c>
      <c r="AH114" s="25">
        <v>1</v>
      </c>
      <c r="AI114" s="110"/>
      <c r="AJ114" s="110"/>
      <c r="AK114" s="25">
        <v>1</v>
      </c>
      <c r="AL114" s="25">
        <v>1</v>
      </c>
      <c r="AM114" s="25">
        <v>1</v>
      </c>
      <c r="AN114" s="25">
        <v>1</v>
      </c>
      <c r="AO114" s="25" t="s">
        <v>445</v>
      </c>
      <c r="AP114" s="110"/>
      <c r="AQ114" s="110"/>
      <c r="AR114" s="25">
        <v>1</v>
      </c>
      <c r="AS114" s="25">
        <v>1</v>
      </c>
      <c r="AT114" s="25">
        <v>1</v>
      </c>
      <c r="AU114" s="25">
        <v>1</v>
      </c>
      <c r="AV114" s="25">
        <v>1</v>
      </c>
      <c r="AW114" s="110"/>
      <c r="AX114" s="110"/>
      <c r="AY114" s="25" t="s">
        <v>445</v>
      </c>
      <c r="AZ114" s="25" t="s">
        <v>445</v>
      </c>
      <c r="BA114" s="25" t="s">
        <v>445</v>
      </c>
      <c r="BB114" s="25" t="s">
        <v>445</v>
      </c>
      <c r="BC114" s="25" t="s">
        <v>223</v>
      </c>
      <c r="BD114" s="110"/>
      <c r="BE114" s="110"/>
      <c r="BF114" s="25" t="s">
        <v>223</v>
      </c>
      <c r="BG114" s="25" t="s">
        <v>223</v>
      </c>
      <c r="BH114" s="25" t="s">
        <v>223</v>
      </c>
      <c r="BI114" s="25" t="s">
        <v>223</v>
      </c>
      <c r="BJ114" s="25" t="s">
        <v>223</v>
      </c>
      <c r="BK114" s="110"/>
      <c r="BL114" s="110"/>
      <c r="BM114" s="25">
        <v>1</v>
      </c>
      <c r="BN114" s="25">
        <v>1</v>
      </c>
      <c r="BO114" s="25">
        <v>1</v>
      </c>
      <c r="BP114" s="25"/>
      <c r="BQ114" s="25">
        <v>1</v>
      </c>
      <c r="BR114" s="110"/>
      <c r="BS114" s="110"/>
      <c r="BT114" s="25">
        <v>1</v>
      </c>
      <c r="BU114" s="25">
        <v>1</v>
      </c>
      <c r="BV114" s="25">
        <v>1</v>
      </c>
      <c r="BW114" s="25">
        <v>1</v>
      </c>
      <c r="BX114" s="25">
        <v>1</v>
      </c>
      <c r="BY114" s="110"/>
      <c r="BZ114" s="110"/>
      <c r="CA114" s="25">
        <v>1</v>
      </c>
      <c r="CB114" s="25">
        <v>1</v>
      </c>
      <c r="CC114" s="25">
        <v>1</v>
      </c>
      <c r="CD114" s="25"/>
      <c r="CE114" s="25">
        <v>1</v>
      </c>
      <c r="CF114" s="110"/>
      <c r="CG114" s="110"/>
      <c r="CH114" s="25">
        <v>1</v>
      </c>
      <c r="CI114" s="25">
        <v>1</v>
      </c>
      <c r="CJ114" s="25">
        <v>1</v>
      </c>
      <c r="CK114" s="25">
        <v>1</v>
      </c>
      <c r="CL114" s="25">
        <v>1</v>
      </c>
      <c r="CM114" s="110"/>
      <c r="CN114" s="110"/>
      <c r="CO114" s="25">
        <v>1</v>
      </c>
      <c r="CP114" s="25">
        <v>1</v>
      </c>
      <c r="CQ114" s="25">
        <v>1</v>
      </c>
      <c r="CR114" s="25">
        <v>1</v>
      </c>
      <c r="CS114" s="25">
        <v>1</v>
      </c>
      <c r="CT114" s="110"/>
      <c r="CU114" s="110"/>
      <c r="CV114" s="110"/>
      <c r="CW114" s="25"/>
      <c r="CX114" s="25">
        <v>1</v>
      </c>
      <c r="CY114" s="25">
        <v>1</v>
      </c>
      <c r="CZ114" s="25">
        <v>1</v>
      </c>
      <c r="DA114" s="110"/>
      <c r="DB114" s="110"/>
      <c r="DC114" s="25">
        <v>1</v>
      </c>
      <c r="DD114" s="25">
        <v>1</v>
      </c>
      <c r="DE114" s="25">
        <v>1</v>
      </c>
      <c r="DF114" s="25">
        <v>1</v>
      </c>
      <c r="DG114" s="25">
        <v>1</v>
      </c>
      <c r="DH114" s="110"/>
      <c r="DI114" s="110"/>
      <c r="DJ114" s="25"/>
      <c r="DK114" s="25">
        <v>1</v>
      </c>
      <c r="DL114" s="25">
        <v>1</v>
      </c>
      <c r="DM114" s="25">
        <v>1</v>
      </c>
      <c r="DN114" s="25">
        <v>1</v>
      </c>
      <c r="DO114" s="110"/>
      <c r="DP114" s="110"/>
      <c r="DQ114" s="25">
        <v>1</v>
      </c>
      <c r="DR114" s="25">
        <v>1</v>
      </c>
      <c r="DS114" s="25">
        <v>1</v>
      </c>
      <c r="DT114" s="25">
        <v>1</v>
      </c>
      <c r="DU114" s="110" t="s">
        <v>445</v>
      </c>
      <c r="DV114" s="110"/>
      <c r="DW114" s="110"/>
      <c r="DX114" s="25"/>
      <c r="DY114" s="25"/>
      <c r="DZ114" s="25"/>
      <c r="EA114" s="25"/>
      <c r="EB114" s="110" t="s">
        <v>445</v>
      </c>
      <c r="EC114" s="110"/>
      <c r="ED114" s="110"/>
      <c r="EE114" s="25"/>
      <c r="EF114" s="25"/>
      <c r="EG114" s="25"/>
      <c r="EH114" s="110" t="s">
        <v>445</v>
      </c>
      <c r="EI114" s="110" t="s">
        <v>445</v>
      </c>
      <c r="EJ114" s="110"/>
      <c r="EK114" s="110"/>
      <c r="EL114" s="25"/>
      <c r="EM114" s="25"/>
      <c r="EN114" s="25"/>
      <c r="EO114" s="25"/>
      <c r="EP114" s="25"/>
      <c r="EQ114" s="110"/>
      <c r="ER114" s="110"/>
      <c r="ES114" s="110" t="s">
        <v>445</v>
      </c>
      <c r="ET114" s="25"/>
      <c r="EU114" s="25"/>
      <c r="EV114" s="25"/>
      <c r="EW114" s="25"/>
      <c r="EX114" s="110"/>
      <c r="EY114" s="110"/>
      <c r="EZ114" s="25"/>
      <c r="FA114" s="25"/>
      <c r="FB114" s="25"/>
      <c r="FC114" s="25"/>
      <c r="FD114" s="25"/>
      <c r="FE114" s="110"/>
      <c r="FF114" s="110"/>
      <c r="FG114" s="25"/>
      <c r="FH114" s="25"/>
      <c r="FI114" s="25"/>
      <c r="FJ114" s="25"/>
      <c r="FK114" s="25"/>
      <c r="FL114" s="110"/>
      <c r="FM114" s="110"/>
      <c r="FN114" s="25"/>
      <c r="FO114" s="25"/>
      <c r="FP114" s="25"/>
      <c r="FQ114" s="25"/>
      <c r="FR114" s="25"/>
      <c r="FS114" s="110"/>
      <c r="FT114" s="110"/>
      <c r="FU114" s="25"/>
      <c r="FV114" s="25"/>
      <c r="FW114" s="25"/>
      <c r="FX114" s="25"/>
      <c r="FY114" s="25"/>
      <c r="FZ114" s="110"/>
      <c r="GA114" s="110"/>
      <c r="GB114" s="25"/>
      <c r="GC114" s="25"/>
      <c r="GD114" s="25"/>
      <c r="GE114" s="25"/>
      <c r="GF114" s="25"/>
      <c r="GG114" s="110"/>
      <c r="GH114" s="110"/>
      <c r="GI114" s="25"/>
      <c r="GJ114" s="25"/>
      <c r="GK114" s="25"/>
      <c r="GL114" s="25"/>
      <c r="GM114" s="25"/>
      <c r="GN114" s="110"/>
      <c r="GO114" s="110"/>
      <c r="GP114" s="110" t="s">
        <v>445</v>
      </c>
      <c r="GQ114" s="110"/>
      <c r="GR114" s="25"/>
      <c r="GS114" s="25"/>
      <c r="GT114" s="25"/>
      <c r="GU114" s="110"/>
      <c r="GV114" s="110"/>
      <c r="GW114" s="25"/>
      <c r="GX114" s="25"/>
      <c r="GY114" s="25"/>
      <c r="GZ114" s="25"/>
      <c r="HA114" s="25"/>
      <c r="HB114" s="110"/>
      <c r="HC114" s="110"/>
      <c r="HD114" s="25"/>
      <c r="HE114" s="25"/>
      <c r="HF114" s="25"/>
      <c r="HG114" s="25"/>
      <c r="HH114" s="25"/>
      <c r="HI114" s="110"/>
      <c r="HJ114" s="110"/>
      <c r="HK114" s="25"/>
      <c r="HL114" s="25"/>
      <c r="HM114" s="25"/>
      <c r="HN114" s="25"/>
      <c r="HO114" s="25"/>
      <c r="HP114" s="110"/>
      <c r="HQ114" s="110"/>
      <c r="HR114" s="25"/>
      <c r="HS114" s="25"/>
      <c r="HT114" s="25"/>
      <c r="HU114" s="25"/>
      <c r="HV114" s="25"/>
      <c r="HW114" s="110"/>
      <c r="HX114" s="110"/>
      <c r="HY114" s="25"/>
      <c r="HZ114" s="25"/>
      <c r="IA114" s="25"/>
      <c r="IB114" s="25"/>
      <c r="IC114" s="25"/>
      <c r="ID114" s="110"/>
      <c r="IE114" s="110"/>
      <c r="IF114" s="25"/>
      <c r="IG114" s="25"/>
      <c r="IH114" s="25"/>
      <c r="II114" s="25"/>
      <c r="IJ114" s="25"/>
      <c r="IK114" s="110"/>
      <c r="IL114" s="110"/>
      <c r="IM114" s="25"/>
      <c r="IN114" s="25"/>
      <c r="IO114" s="25"/>
      <c r="IP114" s="25"/>
      <c r="IQ114" s="25"/>
      <c r="IR114" s="110"/>
      <c r="IS114" s="110"/>
      <c r="IT114" s="25"/>
      <c r="IU114" s="25"/>
      <c r="IV114" s="25"/>
      <c r="IW114" s="25"/>
      <c r="IX114" s="25"/>
      <c r="IY114" s="110"/>
      <c r="IZ114" s="110"/>
      <c r="JA114" s="25"/>
      <c r="JB114" s="25"/>
      <c r="JC114" s="25"/>
      <c r="JD114" s="25"/>
      <c r="JE114" s="25"/>
      <c r="JF114" s="110"/>
      <c r="JG114" s="110"/>
      <c r="JH114" s="25"/>
      <c r="JI114" s="25"/>
      <c r="JJ114" s="25"/>
      <c r="JK114" s="25"/>
      <c r="JL114" s="25"/>
      <c r="JM114" s="110"/>
      <c r="JN114" s="110"/>
      <c r="JO114" s="25"/>
      <c r="JP114" s="25"/>
      <c r="JQ114" s="25"/>
      <c r="JR114" s="25"/>
      <c r="JS114" s="25"/>
      <c r="JT114" s="110"/>
      <c r="JU114" s="110"/>
      <c r="JV114" s="25"/>
      <c r="JW114" s="25"/>
      <c r="JX114" s="25"/>
      <c r="JY114" s="25"/>
      <c r="JZ114" s="25"/>
      <c r="KA114" s="110"/>
      <c r="KB114" s="110"/>
      <c r="KC114" s="25"/>
      <c r="KD114" s="25"/>
      <c r="KE114" s="25"/>
      <c r="KF114" s="25"/>
      <c r="KG114" s="25"/>
      <c r="KH114" s="110"/>
      <c r="KI114" s="110"/>
      <c r="KJ114" s="25"/>
      <c r="KK114" s="25"/>
      <c r="KL114" s="25"/>
      <c r="KM114" s="25"/>
      <c r="KN114" s="25"/>
      <c r="KO114" s="110"/>
      <c r="KP114" s="110"/>
      <c r="KQ114" s="25"/>
      <c r="KR114" s="25"/>
      <c r="KS114" s="25"/>
      <c r="KT114" s="25"/>
      <c r="KU114" s="25"/>
      <c r="KV114" s="110"/>
      <c r="KW114" s="110"/>
      <c r="KX114" s="25"/>
      <c r="KY114" s="25"/>
      <c r="KZ114" s="25"/>
      <c r="LA114" s="25"/>
      <c r="LB114" s="25"/>
      <c r="LC114" s="110"/>
      <c r="LD114" s="110"/>
      <c r="LE114" s="25"/>
      <c r="LF114" s="25"/>
      <c r="LG114" s="110" t="s">
        <v>445</v>
      </c>
      <c r="LH114" s="25"/>
      <c r="LI114" s="25"/>
      <c r="LJ114" s="110"/>
      <c r="LK114" s="110"/>
      <c r="LL114" s="25"/>
      <c r="LM114" s="25"/>
      <c r="LN114" s="25"/>
      <c r="LO114" s="25"/>
      <c r="LP114" s="25"/>
      <c r="LQ114" s="110"/>
      <c r="LR114" s="110"/>
      <c r="LS114" s="25"/>
      <c r="LT114" s="25"/>
      <c r="LU114" s="25"/>
      <c r="LV114" s="25"/>
      <c r="LW114" s="25"/>
      <c r="LX114" s="110"/>
      <c r="LY114" s="110"/>
      <c r="LZ114" s="25"/>
      <c r="MA114" s="25"/>
      <c r="MB114" s="25"/>
      <c r="MC114" s="25"/>
      <c r="MD114" s="25"/>
      <c r="ME114" s="110"/>
      <c r="MF114" s="110"/>
      <c r="MG114" s="25"/>
      <c r="MH114" s="25"/>
      <c r="MI114" s="25"/>
      <c r="MJ114" s="25"/>
      <c r="MK114" s="25"/>
      <c r="ML114" s="110"/>
      <c r="MM114" s="110"/>
      <c r="MN114" s="25"/>
      <c r="MO114" s="25"/>
      <c r="MP114" s="25"/>
      <c r="MQ114" s="25"/>
      <c r="MR114" s="25"/>
      <c r="MS114" s="110"/>
      <c r="MT114" s="110"/>
      <c r="MU114" s="25"/>
      <c r="MV114" s="25"/>
      <c r="MW114" s="25"/>
      <c r="MX114" s="25"/>
      <c r="MY114" s="25"/>
      <c r="MZ114" s="110"/>
      <c r="NA114" s="110"/>
      <c r="NB114" s="25"/>
      <c r="NC114" s="25"/>
      <c r="ND114" s="25"/>
      <c r="NE114" s="129"/>
      <c r="NF114" s="111"/>
      <c r="NG114" s="8">
        <f t="shared" si="135"/>
        <v>17</v>
      </c>
      <c r="NH114" s="351" cm="1">
        <f t="array" ref="NH114">NETWORKDAYS($I$2,$AH$2)- SUM(COUNTIF(I114:AH114,{"I";"F";"CP";"R";"P";"AC";"AM"}))</f>
        <v>17</v>
      </c>
      <c r="NI114" s="138">
        <f t="shared" si="67"/>
        <v>1</v>
      </c>
      <c r="NJ114" s="8">
        <f t="shared" si="136"/>
        <v>9</v>
      </c>
      <c r="NK114" s="351" cm="1">
        <f t="array" ref="NK114">NETWORKDAYS($AJ$2,$BK$2)- SUM(COUNTIF(AJ114:BK114,{"I";"F";"CP";"R";"P";"AC";"AM"}))</f>
        <v>9</v>
      </c>
      <c r="NL114" s="138">
        <f t="shared" si="68"/>
        <v>1</v>
      </c>
      <c r="NM114" s="8">
        <f t="shared" si="137"/>
        <v>20</v>
      </c>
      <c r="NN114" s="351" cm="1">
        <f t="array" ref="NN114">NETWORKDAYS($BL$2,$CP$2)- SUM(COUNTIF(BL114:CP114,{"I";"F";"CP";"R";"P";"AC";"AM"}))</f>
        <v>22</v>
      </c>
      <c r="NO114" s="138">
        <f t="shared" si="69"/>
        <v>0.90909090909090906</v>
      </c>
      <c r="NP114" s="8">
        <f t="shared" si="138"/>
        <v>19</v>
      </c>
      <c r="NQ114" s="351" cm="1">
        <f t="array" ref="NQ114">NETWORKDAYS($CQ$2,$DT$2,$CV$2)- SUM(COUNTIF(CQ114:DT114,{"I";"F";"CP";"R";"P";"AC";"AM"}))</f>
        <v>21</v>
      </c>
      <c r="NR114" s="138">
        <f t="shared" si="70"/>
        <v>0.90476190476190477</v>
      </c>
      <c r="NS114" s="8">
        <f t="shared" si="139"/>
        <v>0</v>
      </c>
      <c r="NT114" s="351" cm="1">
        <f t="array" ref="NT114">NETWORKDAYS($DV$2,$EY$2)-SUM(COUNTIF(DV114:EY114,{"I";"F";"CP";"R";"P";"AC";"AM"}))</f>
        <v>16</v>
      </c>
      <c r="NU114" s="138">
        <f t="shared" si="71"/>
        <v>0</v>
      </c>
      <c r="NV114" s="8">
        <f t="shared" si="140"/>
        <v>0</v>
      </c>
      <c r="NW114" s="351" cm="1">
        <f t="array" ref="NW114">NETWORKDAYS($EZ$2,$GC$2)-SUM(COUNTIF(EZ114:GC114,{"I";"F";"CP";"R";"P";"AC";"AM"}))</f>
        <v>22</v>
      </c>
      <c r="NX114" s="138">
        <f t="shared" si="114"/>
        <v>0</v>
      </c>
      <c r="NY114" s="8">
        <f t="shared" si="141"/>
        <v>0</v>
      </c>
      <c r="NZ114" s="351" cm="1">
        <f t="array" ref="NZ114">NETWORKDAYS($GD$2,$HH$2,$GQ$2)-SUM(COUNTIF(GD114:HH114,{"I";"F";"CP";"R";"P";"AC";"AM"}))</f>
        <v>21</v>
      </c>
      <c r="OA114" s="138">
        <f t="shared" si="116"/>
        <v>0</v>
      </c>
      <c r="OB114" s="8">
        <f t="shared" si="142"/>
        <v>0</v>
      </c>
      <c r="OC114" s="351" cm="1">
        <f t="array" ref="OC114">NETWORKDAYS($HI$2,$IM$2)-SUM(COUNTIF(HI114:IM114,{"I";"F";"CP";"R";"P";"AC";"AM"}))</f>
        <v>21</v>
      </c>
      <c r="OD114" s="138">
        <f t="shared" si="118"/>
        <v>0</v>
      </c>
      <c r="OE114" s="8">
        <f t="shared" si="143"/>
        <v>0</v>
      </c>
      <c r="OF114" s="351" cm="1">
        <f t="array" ref="OF114">NETWORKDAYS($IN$2,$JQ$2)-SUM(COUNTIF(IN114:JQ114,{"I";"F";"CP";"R";"P";"AC";"AM"}))</f>
        <v>22</v>
      </c>
      <c r="OG114" s="138">
        <f t="shared" si="120"/>
        <v>0</v>
      </c>
      <c r="OH114" s="8">
        <f t="shared" si="144"/>
        <v>0</v>
      </c>
      <c r="OI114" s="351" cm="1">
        <f t="array" ref="OI114">NETWORKDAYS($JR$2,$KV$2)-SUM(COUNTIF(JR114:KV114,{"I";"F";"CP";"R";"P";"AC";"AM"}))</f>
        <v>22</v>
      </c>
      <c r="OJ114" s="138">
        <f t="shared" si="122"/>
        <v>0</v>
      </c>
      <c r="OK114" s="8">
        <f t="shared" si="145"/>
        <v>0</v>
      </c>
      <c r="OL114" s="351" cm="1">
        <f t="array" ref="OL114">NETWORKDAYS($KW$2,$LZ$2,$LG$2)-SUM(COUNTIF(KW114:LZ114,{"I";"F";"CP";"R";"P";"AC";"AM"}))</f>
        <v>19</v>
      </c>
      <c r="OM114" s="138">
        <f t="shared" si="124"/>
        <v>0</v>
      </c>
      <c r="ON114" s="8">
        <f t="shared" si="146"/>
        <v>0</v>
      </c>
      <c r="OO114" s="351" cm="1">
        <f t="array" ref="OO114">NETWORKDAYS($MA$2,$MR$2)-SUM(COUNTIF(MA114:MR114,{"I";"F";"CP";"R";"P";"AC";"AM"}))</f>
        <v>14</v>
      </c>
      <c r="OP114" s="138">
        <f t="shared" si="126"/>
        <v>0</v>
      </c>
      <c r="OQ114" s="94">
        <f t="shared" si="127"/>
        <v>65</v>
      </c>
      <c r="OR114" s="94">
        <f t="shared" si="128"/>
        <v>226</v>
      </c>
      <c r="OS114" s="138">
        <f t="shared" si="129"/>
        <v>0.28761061946902655</v>
      </c>
    </row>
    <row r="115" spans="1:409" ht="18" hidden="1" customHeight="1" thickBot="1" x14ac:dyDescent="0.3">
      <c r="A115" s="93" t="s">
        <v>109</v>
      </c>
      <c r="B115" s="96" t="s">
        <v>34</v>
      </c>
      <c r="C115" s="100" t="s">
        <v>166</v>
      </c>
      <c r="D115" s="100" t="s">
        <v>290</v>
      </c>
      <c r="E115" s="130"/>
      <c r="F115" s="131"/>
      <c r="G115" s="131"/>
      <c r="H115" s="131"/>
      <c r="I115" s="132"/>
      <c r="J115" s="132"/>
      <c r="K115" s="132"/>
      <c r="L115" s="132">
        <v>1</v>
      </c>
      <c r="M115" s="132"/>
      <c r="N115" s="131"/>
      <c r="O115" s="131"/>
      <c r="P115" s="132"/>
      <c r="Q115" s="132"/>
      <c r="R115" s="132"/>
      <c r="S115" s="132"/>
      <c r="T115" s="132"/>
      <c r="U115" s="131"/>
      <c r="V115" s="131"/>
      <c r="W115" s="132"/>
      <c r="X115" s="132"/>
      <c r="Y115" s="132"/>
      <c r="Z115" s="132"/>
      <c r="AA115" s="132"/>
      <c r="AB115" s="131"/>
      <c r="AC115" s="131"/>
      <c r="AD115" s="132"/>
      <c r="AE115" s="132"/>
      <c r="AF115" s="132"/>
      <c r="AG115" s="132"/>
      <c r="AH115" s="132"/>
      <c r="AI115" s="131"/>
      <c r="AJ115" s="131"/>
      <c r="AK115" s="132"/>
      <c r="AL115" s="132"/>
      <c r="AM115" s="132"/>
      <c r="AN115" s="132"/>
      <c r="AO115" s="132"/>
      <c r="AP115" s="131"/>
      <c r="AQ115" s="131"/>
      <c r="AR115" s="132"/>
      <c r="AS115" s="132"/>
      <c r="AT115" s="132"/>
      <c r="AU115" s="132"/>
      <c r="AV115" s="132"/>
      <c r="AW115" s="131"/>
      <c r="AX115" s="131"/>
      <c r="AY115" s="132"/>
      <c r="AZ115" s="132"/>
      <c r="BA115" s="132"/>
      <c r="BB115" s="132"/>
      <c r="BC115" s="132"/>
      <c r="BD115" s="131"/>
      <c r="BE115" s="131"/>
      <c r="BF115" s="132"/>
      <c r="BG115" s="132"/>
      <c r="BH115" s="132"/>
      <c r="BI115" s="132"/>
      <c r="BJ115" s="132"/>
      <c r="BK115" s="131"/>
      <c r="BL115" s="131"/>
      <c r="BM115" s="132"/>
      <c r="BN115" s="132"/>
      <c r="BO115" s="132"/>
      <c r="BP115" s="132"/>
      <c r="BQ115" s="132"/>
      <c r="BR115" s="131"/>
      <c r="BS115" s="131"/>
      <c r="BT115" s="132"/>
      <c r="BU115" s="132"/>
      <c r="BV115" s="132"/>
      <c r="BW115" s="132"/>
      <c r="BX115" s="132"/>
      <c r="BY115" s="131"/>
      <c r="BZ115" s="131"/>
      <c r="CA115" s="132"/>
      <c r="CB115" s="132"/>
      <c r="CC115" s="132"/>
      <c r="CD115" s="132"/>
      <c r="CE115" s="132"/>
      <c r="CF115" s="131"/>
      <c r="CG115" s="131"/>
      <c r="CH115" s="132"/>
      <c r="CI115" s="132"/>
      <c r="CJ115" s="132"/>
      <c r="CK115" s="132"/>
      <c r="CL115" s="132"/>
      <c r="CM115" s="131"/>
      <c r="CN115" s="131"/>
      <c r="CO115" s="132"/>
      <c r="CP115" s="132"/>
      <c r="CQ115" s="132"/>
      <c r="CR115" s="132"/>
      <c r="CS115" s="132"/>
      <c r="CT115" s="131"/>
      <c r="CU115" s="131"/>
      <c r="CV115" s="131"/>
      <c r="CW115" s="132"/>
      <c r="CX115" s="132"/>
      <c r="CY115" s="132"/>
      <c r="CZ115" s="132"/>
      <c r="DA115" s="131"/>
      <c r="DB115" s="131"/>
      <c r="DC115" s="132"/>
      <c r="DD115" s="132"/>
      <c r="DE115" s="132"/>
      <c r="DF115" s="132"/>
      <c r="DG115" s="132"/>
      <c r="DH115" s="131"/>
      <c r="DI115" s="131"/>
      <c r="DJ115" s="132"/>
      <c r="DK115" s="132"/>
      <c r="DL115" s="132"/>
      <c r="DM115" s="132"/>
      <c r="DN115" s="132"/>
      <c r="DO115" s="131"/>
      <c r="DP115" s="131"/>
      <c r="DQ115" s="132"/>
      <c r="DR115" s="132"/>
      <c r="DS115" s="132"/>
      <c r="DT115" s="132"/>
      <c r="DU115" s="131" t="s">
        <v>445</v>
      </c>
      <c r="DV115" s="131"/>
      <c r="DW115" s="131"/>
      <c r="DX115" s="132"/>
      <c r="DY115" s="132"/>
      <c r="DZ115" s="132"/>
      <c r="EA115" s="132"/>
      <c r="EB115" s="131" t="s">
        <v>445</v>
      </c>
      <c r="EC115" s="131"/>
      <c r="ED115" s="131"/>
      <c r="EE115" s="132"/>
      <c r="EF115" s="132"/>
      <c r="EG115" s="132"/>
      <c r="EH115" s="131" t="s">
        <v>445</v>
      </c>
      <c r="EI115" s="131" t="s">
        <v>445</v>
      </c>
      <c r="EJ115" s="131"/>
      <c r="EK115" s="131"/>
      <c r="EL115" s="132"/>
      <c r="EM115" s="132"/>
      <c r="EN115" s="132"/>
      <c r="EO115" s="132"/>
      <c r="EP115" s="132"/>
      <c r="EQ115" s="131"/>
      <c r="ER115" s="131"/>
      <c r="ES115" s="131" t="s">
        <v>445</v>
      </c>
      <c r="ET115" s="132"/>
      <c r="EU115" s="132"/>
      <c r="EV115" s="132"/>
      <c r="EW115" s="132"/>
      <c r="EX115" s="131"/>
      <c r="EY115" s="131"/>
      <c r="EZ115" s="132"/>
      <c r="FA115" s="132"/>
      <c r="FB115" s="132"/>
      <c r="FC115" s="132"/>
      <c r="FD115" s="132"/>
      <c r="FE115" s="131"/>
      <c r="FF115" s="131"/>
      <c r="FG115" s="132"/>
      <c r="FH115" s="132"/>
      <c r="FI115" s="132"/>
      <c r="FJ115" s="132"/>
      <c r="FK115" s="132"/>
      <c r="FL115" s="131"/>
      <c r="FM115" s="131"/>
      <c r="FN115" s="132"/>
      <c r="FO115" s="132"/>
      <c r="FP115" s="132"/>
      <c r="FQ115" s="132"/>
      <c r="FR115" s="132"/>
      <c r="FS115" s="131"/>
      <c r="FT115" s="131"/>
      <c r="FU115" s="132"/>
      <c r="FV115" s="132"/>
      <c r="FW115" s="132"/>
      <c r="FX115" s="132"/>
      <c r="FY115" s="132"/>
      <c r="FZ115" s="131"/>
      <c r="GA115" s="131"/>
      <c r="GB115" s="132"/>
      <c r="GC115" s="132"/>
      <c r="GD115" s="132"/>
      <c r="GE115" s="132"/>
      <c r="GF115" s="132"/>
      <c r="GG115" s="131"/>
      <c r="GH115" s="131"/>
      <c r="GI115" s="132"/>
      <c r="GJ115" s="132"/>
      <c r="GK115" s="132"/>
      <c r="GL115" s="132"/>
      <c r="GM115" s="132"/>
      <c r="GN115" s="131"/>
      <c r="GO115" s="131"/>
      <c r="GP115" s="131" t="s">
        <v>445</v>
      </c>
      <c r="GQ115" s="131"/>
      <c r="GR115" s="132"/>
      <c r="GS115" s="132"/>
      <c r="GT115" s="132"/>
      <c r="GU115" s="131"/>
      <c r="GV115" s="131"/>
      <c r="GW115" s="132"/>
      <c r="GX115" s="132"/>
      <c r="GY115" s="132"/>
      <c r="GZ115" s="132"/>
      <c r="HA115" s="132"/>
      <c r="HB115" s="131"/>
      <c r="HC115" s="131"/>
      <c r="HD115" s="132"/>
      <c r="HE115" s="132"/>
      <c r="HF115" s="132"/>
      <c r="HG115" s="132"/>
      <c r="HH115" s="132"/>
      <c r="HI115" s="131"/>
      <c r="HJ115" s="131"/>
      <c r="HK115" s="132"/>
      <c r="HL115" s="132"/>
      <c r="HM115" s="132"/>
      <c r="HN115" s="132"/>
      <c r="HO115" s="132"/>
      <c r="HP115" s="131"/>
      <c r="HQ115" s="131"/>
      <c r="HR115" s="132"/>
      <c r="HS115" s="132"/>
      <c r="HT115" s="132"/>
      <c r="HU115" s="132"/>
      <c r="HV115" s="132"/>
      <c r="HW115" s="131"/>
      <c r="HX115" s="131"/>
      <c r="HY115" s="132"/>
      <c r="HZ115" s="132"/>
      <c r="IA115" s="132"/>
      <c r="IB115" s="132"/>
      <c r="IC115" s="132"/>
      <c r="ID115" s="131"/>
      <c r="IE115" s="131"/>
      <c r="IF115" s="132"/>
      <c r="IG115" s="132"/>
      <c r="IH115" s="132"/>
      <c r="II115" s="132"/>
      <c r="IJ115" s="132"/>
      <c r="IK115" s="131"/>
      <c r="IL115" s="131"/>
      <c r="IM115" s="132"/>
      <c r="IN115" s="132"/>
      <c r="IO115" s="132"/>
      <c r="IP115" s="132"/>
      <c r="IQ115" s="132"/>
      <c r="IR115" s="131"/>
      <c r="IS115" s="131"/>
      <c r="IT115" s="132"/>
      <c r="IU115" s="132"/>
      <c r="IV115" s="132"/>
      <c r="IW115" s="132"/>
      <c r="IX115" s="132"/>
      <c r="IY115" s="131"/>
      <c r="IZ115" s="131"/>
      <c r="JA115" s="132"/>
      <c r="JB115" s="132"/>
      <c r="JC115" s="132"/>
      <c r="JD115" s="132"/>
      <c r="JE115" s="132"/>
      <c r="JF115" s="131"/>
      <c r="JG115" s="131"/>
      <c r="JH115" s="132"/>
      <c r="JI115" s="132"/>
      <c r="JJ115" s="132"/>
      <c r="JK115" s="132"/>
      <c r="JL115" s="132"/>
      <c r="JM115" s="131"/>
      <c r="JN115" s="131"/>
      <c r="JO115" s="132"/>
      <c r="JP115" s="132"/>
      <c r="JQ115" s="132"/>
      <c r="JR115" s="132"/>
      <c r="JS115" s="132"/>
      <c r="JT115" s="131"/>
      <c r="JU115" s="131"/>
      <c r="JV115" s="132"/>
      <c r="JW115" s="132"/>
      <c r="JX115" s="132"/>
      <c r="JY115" s="132"/>
      <c r="JZ115" s="132"/>
      <c r="KA115" s="131"/>
      <c r="KB115" s="131"/>
      <c r="KC115" s="132"/>
      <c r="KD115" s="132"/>
      <c r="KE115" s="132"/>
      <c r="KF115" s="132"/>
      <c r="KG115" s="132"/>
      <c r="KH115" s="131"/>
      <c r="KI115" s="131"/>
      <c r="KJ115" s="132"/>
      <c r="KK115" s="132"/>
      <c r="KL115" s="132"/>
      <c r="KM115" s="132"/>
      <c r="KN115" s="132"/>
      <c r="KO115" s="131"/>
      <c r="KP115" s="131"/>
      <c r="KQ115" s="132"/>
      <c r="KR115" s="132"/>
      <c r="KS115" s="132"/>
      <c r="KT115" s="132"/>
      <c r="KU115" s="132"/>
      <c r="KV115" s="131"/>
      <c r="KW115" s="131"/>
      <c r="KX115" s="132"/>
      <c r="KY115" s="132"/>
      <c r="KZ115" s="132"/>
      <c r="LA115" s="132"/>
      <c r="LB115" s="132"/>
      <c r="LC115" s="131"/>
      <c r="LD115" s="131"/>
      <c r="LE115" s="132"/>
      <c r="LF115" s="132"/>
      <c r="LG115" s="131" t="s">
        <v>445</v>
      </c>
      <c r="LH115" s="132"/>
      <c r="LI115" s="132"/>
      <c r="LJ115" s="131"/>
      <c r="LK115" s="131"/>
      <c r="LL115" s="132"/>
      <c r="LM115" s="132"/>
      <c r="LN115" s="132"/>
      <c r="LO115" s="132"/>
      <c r="LP115" s="132"/>
      <c r="LQ115" s="131"/>
      <c r="LR115" s="131"/>
      <c r="LS115" s="132"/>
      <c r="LT115" s="132"/>
      <c r="LU115" s="132"/>
      <c r="LV115" s="132"/>
      <c r="LW115" s="132"/>
      <c r="LX115" s="131"/>
      <c r="LY115" s="131"/>
      <c r="LZ115" s="132"/>
      <c r="MA115" s="132"/>
      <c r="MB115" s="132"/>
      <c r="MC115" s="132"/>
      <c r="MD115" s="132"/>
      <c r="ME115" s="131"/>
      <c r="MF115" s="131"/>
      <c r="MG115" s="132"/>
      <c r="MH115" s="132"/>
      <c r="MI115" s="132"/>
      <c r="MJ115" s="132"/>
      <c r="MK115" s="132"/>
      <c r="ML115" s="131"/>
      <c r="MM115" s="131"/>
      <c r="MN115" s="132"/>
      <c r="MO115" s="132"/>
      <c r="MP115" s="132"/>
      <c r="MQ115" s="132"/>
      <c r="MR115" s="132"/>
      <c r="MS115" s="131"/>
      <c r="MT115" s="131"/>
      <c r="MU115" s="132"/>
      <c r="MV115" s="132"/>
      <c r="MW115" s="132"/>
      <c r="MX115" s="132"/>
      <c r="MY115" s="132"/>
      <c r="MZ115" s="131"/>
      <c r="NA115" s="131"/>
      <c r="NB115" s="132"/>
      <c r="NC115" s="132"/>
      <c r="ND115" s="132"/>
      <c r="NE115" s="133"/>
      <c r="NF115" s="111"/>
      <c r="NG115" s="8">
        <f t="shared" si="135"/>
        <v>1</v>
      </c>
      <c r="NH115" s="351" cm="1">
        <f t="array" ref="NH115">NETWORKDAYS($I$2,$AH$2)- SUM(COUNTIF(I115:AH115,{"I";"F";"CP";"R";"P";"AC";"AM"}))</f>
        <v>20</v>
      </c>
      <c r="NI115" s="138">
        <f t="shared" si="67"/>
        <v>0.05</v>
      </c>
      <c r="NJ115" s="8">
        <f t="shared" si="136"/>
        <v>0</v>
      </c>
      <c r="NK115" s="351" cm="1">
        <f t="array" ref="NK115">NETWORKDAYS($AJ$2,$BK$2)- SUM(COUNTIF(AJ115:BK115,{"I";"F";"CP";"R";"P";"AC";"AM"}))</f>
        <v>20</v>
      </c>
      <c r="NL115" s="138">
        <f t="shared" si="68"/>
        <v>0</v>
      </c>
      <c r="NM115" s="8">
        <f t="shared" si="137"/>
        <v>0</v>
      </c>
      <c r="NN115" s="351" cm="1">
        <f t="array" ref="NN115">NETWORKDAYS($BL$2,$CP$2)- SUM(COUNTIF(BL115:CP115,{"I";"F";"CP";"R";"P";"AC";"AM"}))</f>
        <v>22</v>
      </c>
      <c r="NO115" s="138">
        <f t="shared" si="69"/>
        <v>0</v>
      </c>
      <c r="NP115" s="8">
        <f t="shared" si="138"/>
        <v>0</v>
      </c>
      <c r="NQ115" s="351" cm="1">
        <f t="array" ref="NQ115">NETWORKDAYS($CQ$2,$DT$2,$CV$2)- SUM(COUNTIF(CQ115:DT115,{"I";"F";"CP";"R";"P";"AC";"AM"}))</f>
        <v>21</v>
      </c>
      <c r="NR115" s="138">
        <f t="shared" si="70"/>
        <v>0</v>
      </c>
      <c r="NS115" s="8">
        <f t="shared" si="139"/>
        <v>0</v>
      </c>
      <c r="NT115" s="351" cm="1">
        <f t="array" ref="NT115">NETWORKDAYS($DV$2,$EY$2)-SUM(COUNTIF(DV115:EY115,{"I";"F";"CP";"R";"P";"AC";"AM"}))</f>
        <v>16</v>
      </c>
      <c r="NU115" s="138">
        <f t="shared" si="71"/>
        <v>0</v>
      </c>
      <c r="NV115" s="8">
        <f t="shared" si="140"/>
        <v>0</v>
      </c>
      <c r="NW115" s="351" cm="1">
        <f t="array" ref="NW115">NETWORKDAYS($EZ$2,$GC$2)-SUM(COUNTIF(EZ115:GC115,{"I";"F";"CP";"R";"P";"AC";"AM"}))</f>
        <v>22</v>
      </c>
      <c r="NX115" s="138">
        <f t="shared" si="114"/>
        <v>0</v>
      </c>
      <c r="NY115" s="8">
        <f t="shared" si="141"/>
        <v>0</v>
      </c>
      <c r="NZ115" s="351" cm="1">
        <f t="array" ref="NZ115">NETWORKDAYS($GD$2,$HH$2,$GQ$2)-SUM(COUNTIF(GD115:HH115,{"I";"F";"CP";"R";"P";"AC";"AM"}))</f>
        <v>21</v>
      </c>
      <c r="OA115" s="138">
        <f t="shared" si="116"/>
        <v>0</v>
      </c>
      <c r="OB115" s="8">
        <f t="shared" si="142"/>
        <v>0</v>
      </c>
      <c r="OC115" s="351" cm="1">
        <f t="array" ref="OC115">NETWORKDAYS($HI$2,$IM$2)-SUM(COUNTIF(HI115:IM115,{"I";"F";"CP";"R";"P";"AC";"AM"}))</f>
        <v>21</v>
      </c>
      <c r="OD115" s="138">
        <f t="shared" si="118"/>
        <v>0</v>
      </c>
      <c r="OE115" s="8">
        <f t="shared" si="143"/>
        <v>0</v>
      </c>
      <c r="OF115" s="351" cm="1">
        <f t="array" ref="OF115">NETWORKDAYS($IN$2,$JQ$2)-SUM(COUNTIF(IN115:JQ115,{"I";"F";"CP";"R";"P";"AC";"AM"}))</f>
        <v>22</v>
      </c>
      <c r="OG115" s="138">
        <f t="shared" si="120"/>
        <v>0</v>
      </c>
      <c r="OH115" s="8">
        <f t="shared" si="144"/>
        <v>0</v>
      </c>
      <c r="OI115" s="351" cm="1">
        <f t="array" ref="OI115">NETWORKDAYS($JR$2,$KV$2)-SUM(COUNTIF(JR115:KV115,{"I";"F";"CP";"R";"P";"AC";"AM"}))</f>
        <v>22</v>
      </c>
      <c r="OJ115" s="138">
        <f t="shared" si="122"/>
        <v>0</v>
      </c>
      <c r="OK115" s="8">
        <f t="shared" si="145"/>
        <v>0</v>
      </c>
      <c r="OL115" s="351" cm="1">
        <f t="array" ref="OL115">NETWORKDAYS($KW$2,$LZ$2,$LG$2)-SUM(COUNTIF(KW115:LZ115,{"I";"F";"CP";"R";"P";"AC";"AM"}))</f>
        <v>19</v>
      </c>
      <c r="OM115" s="138">
        <f t="shared" si="124"/>
        <v>0</v>
      </c>
      <c r="ON115" s="8">
        <f t="shared" si="146"/>
        <v>0</v>
      </c>
      <c r="OO115" s="351" cm="1">
        <f t="array" ref="OO115">NETWORKDAYS($MA$2,$MR$2)-SUM(COUNTIF(MA115:MR115,{"I";"F";"CP";"R";"P";"AC";"AM"}))</f>
        <v>14</v>
      </c>
      <c r="OP115" s="138">
        <f t="shared" si="126"/>
        <v>0</v>
      </c>
      <c r="OQ115" s="94">
        <f t="shared" si="127"/>
        <v>1</v>
      </c>
      <c r="OR115" s="94">
        <f t="shared" si="128"/>
        <v>240</v>
      </c>
      <c r="OS115" s="138">
        <f t="shared" si="129"/>
        <v>4.1666666666666666E-3</v>
      </c>
    </row>
    <row r="116" spans="1:409" s="30" customFormat="1" ht="15.75" thickBot="1" x14ac:dyDescent="0.3">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1"/>
      <c r="BK116" s="111"/>
      <c r="BL116" s="111"/>
      <c r="BM116" s="111"/>
      <c r="BN116" s="111"/>
      <c r="BO116" s="111"/>
      <c r="BP116" s="111"/>
      <c r="BQ116" s="111"/>
      <c r="BR116" s="111"/>
      <c r="BS116" s="111"/>
      <c r="BT116" s="111"/>
      <c r="BU116" s="111"/>
      <c r="BV116" s="111"/>
      <c r="BW116" s="111"/>
      <c r="BX116" s="111"/>
      <c r="BY116" s="111"/>
      <c r="BZ116" s="111"/>
      <c r="CA116" s="111"/>
      <c r="CB116" s="111"/>
      <c r="CC116" s="111"/>
      <c r="CD116" s="111"/>
      <c r="CE116" s="111"/>
      <c r="CF116" s="111"/>
      <c r="CG116" s="111"/>
      <c r="CH116" s="111"/>
      <c r="CI116" s="111"/>
      <c r="CJ116" s="111"/>
      <c r="CK116" s="111"/>
      <c r="CL116" s="111"/>
      <c r="CM116" s="111"/>
      <c r="CN116" s="111"/>
      <c r="CO116" s="111"/>
      <c r="CP116" s="111"/>
      <c r="CQ116" s="111"/>
      <c r="CR116" s="111"/>
      <c r="CS116" s="111"/>
      <c r="CT116" s="111"/>
      <c r="CU116" s="111"/>
      <c r="CV116" s="111"/>
      <c r="CW116" s="111"/>
      <c r="CX116" s="111"/>
      <c r="CY116" s="111"/>
      <c r="CZ116" s="111"/>
      <c r="DA116" s="111"/>
      <c r="DB116" s="111"/>
      <c r="DC116" s="111"/>
      <c r="DD116" s="111"/>
      <c r="DE116" s="111"/>
      <c r="DF116" s="111"/>
      <c r="DG116" s="111"/>
      <c r="DH116" s="111"/>
      <c r="DI116" s="111"/>
      <c r="DJ116" s="111"/>
      <c r="DK116" s="111"/>
      <c r="DL116" s="111"/>
      <c r="DM116" s="111"/>
      <c r="DN116" s="111"/>
      <c r="DO116" s="111"/>
      <c r="DP116" s="111"/>
      <c r="DQ116" s="111"/>
      <c r="DR116" s="111"/>
      <c r="DS116" s="111"/>
      <c r="DT116" s="111"/>
      <c r="DU116" s="111"/>
      <c r="DV116" s="111"/>
      <c r="DW116" s="111"/>
      <c r="DX116" s="111"/>
      <c r="DY116" s="111"/>
      <c r="DZ116" s="111"/>
      <c r="EA116" s="111"/>
      <c r="EB116" s="111"/>
      <c r="EC116" s="111"/>
      <c r="ED116" s="111"/>
      <c r="EE116" s="111"/>
      <c r="EF116" s="111"/>
      <c r="EG116" s="111"/>
      <c r="EH116" s="111"/>
      <c r="EI116" s="111"/>
      <c r="EJ116" s="111"/>
      <c r="EK116" s="111"/>
      <c r="EL116" s="111"/>
      <c r="EM116" s="111"/>
      <c r="EN116" s="111"/>
      <c r="EO116" s="111"/>
      <c r="EP116" s="111"/>
      <c r="EQ116" s="111"/>
      <c r="ER116" s="111"/>
      <c r="ES116" s="111"/>
      <c r="ET116" s="111"/>
      <c r="EU116" s="111"/>
      <c r="EV116" s="111"/>
      <c r="EW116" s="111"/>
      <c r="EX116" s="111"/>
      <c r="EY116" s="111"/>
      <c r="EZ116" s="111"/>
      <c r="FA116" s="111"/>
      <c r="FB116" s="111"/>
      <c r="FC116" s="111"/>
      <c r="FD116" s="111"/>
      <c r="FE116" s="111"/>
      <c r="FF116" s="111"/>
      <c r="FG116" s="111"/>
      <c r="FH116" s="111"/>
      <c r="FI116" s="111"/>
      <c r="FJ116" s="111"/>
      <c r="FK116" s="111"/>
      <c r="FL116" s="111"/>
      <c r="FM116" s="111"/>
      <c r="FN116" s="111"/>
      <c r="FO116" s="111"/>
      <c r="FP116" s="111"/>
      <c r="FQ116" s="111"/>
      <c r="FR116" s="111"/>
      <c r="FS116" s="111"/>
      <c r="FT116" s="111"/>
      <c r="FU116" s="111"/>
      <c r="FV116" s="111"/>
      <c r="FW116" s="111"/>
      <c r="FX116" s="111"/>
      <c r="FY116" s="111"/>
      <c r="FZ116" s="111"/>
      <c r="GA116" s="111"/>
      <c r="GB116" s="111"/>
      <c r="GC116" s="111"/>
      <c r="GD116" s="111"/>
      <c r="GE116" s="111"/>
      <c r="GF116" s="111"/>
      <c r="GG116" s="111"/>
      <c r="GH116" s="111"/>
      <c r="GI116" s="111"/>
      <c r="GJ116" s="111"/>
      <c r="GK116" s="111"/>
      <c r="GL116" s="111"/>
      <c r="GM116" s="111"/>
      <c r="GN116" s="111"/>
      <c r="GO116" s="111"/>
      <c r="GP116" s="111"/>
      <c r="GQ116" s="111"/>
      <c r="GR116" s="111"/>
      <c r="GS116" s="111"/>
      <c r="GT116" s="111"/>
      <c r="GU116" s="111"/>
      <c r="GV116" s="111"/>
      <c r="GW116" s="111"/>
      <c r="GX116" s="111"/>
      <c r="GY116" s="111"/>
      <c r="GZ116" s="111"/>
      <c r="HA116" s="111"/>
      <c r="HB116" s="111"/>
      <c r="HC116" s="111"/>
      <c r="HD116" s="111"/>
      <c r="HE116" s="111"/>
      <c r="HF116" s="111"/>
      <c r="HG116" s="111"/>
      <c r="HH116" s="111"/>
      <c r="HI116" s="111"/>
      <c r="HJ116" s="111"/>
      <c r="HK116" s="111"/>
      <c r="HL116" s="111"/>
      <c r="HM116" s="111"/>
      <c r="HN116" s="111"/>
      <c r="HO116" s="111"/>
      <c r="HP116" s="111"/>
      <c r="HQ116" s="111"/>
      <c r="HR116" s="111"/>
      <c r="HS116" s="111"/>
      <c r="HT116" s="111"/>
      <c r="HU116" s="111"/>
      <c r="HV116" s="111"/>
      <c r="HW116" s="111"/>
      <c r="HX116" s="111"/>
      <c r="HY116" s="111"/>
      <c r="HZ116" s="111"/>
      <c r="IA116" s="111"/>
      <c r="IB116" s="111"/>
      <c r="IC116" s="111"/>
      <c r="ID116" s="111"/>
      <c r="IE116" s="111"/>
      <c r="IF116" s="111"/>
      <c r="IG116" s="111"/>
      <c r="IH116" s="111"/>
      <c r="II116" s="111"/>
      <c r="IJ116" s="111"/>
      <c r="IK116" s="111"/>
      <c r="IL116" s="111"/>
      <c r="IM116" s="111"/>
      <c r="IN116" s="111"/>
      <c r="IO116" s="111"/>
      <c r="IP116" s="111"/>
      <c r="IQ116" s="111"/>
      <c r="IR116" s="111"/>
      <c r="IS116" s="111"/>
      <c r="IT116" s="111"/>
      <c r="IU116" s="111"/>
      <c r="IV116" s="111"/>
      <c r="IW116" s="111"/>
      <c r="IX116" s="111"/>
      <c r="IY116" s="111"/>
      <c r="IZ116" s="111"/>
      <c r="JA116" s="111"/>
      <c r="JB116" s="111"/>
      <c r="JC116" s="111"/>
      <c r="JD116" s="111"/>
      <c r="JE116" s="111"/>
      <c r="JF116" s="111"/>
      <c r="JG116" s="111"/>
      <c r="JH116" s="111"/>
      <c r="JI116" s="111"/>
      <c r="JJ116" s="111"/>
      <c r="JK116" s="111"/>
      <c r="JL116" s="111"/>
      <c r="JM116" s="111"/>
      <c r="JN116" s="111"/>
      <c r="JO116" s="111"/>
      <c r="JP116" s="111"/>
      <c r="JQ116" s="111"/>
      <c r="JR116" s="111"/>
      <c r="JS116" s="111"/>
      <c r="JT116" s="111"/>
      <c r="JU116" s="111"/>
      <c r="JV116" s="111"/>
      <c r="JW116" s="111"/>
      <c r="JX116" s="111"/>
      <c r="JY116" s="111"/>
      <c r="JZ116" s="111"/>
      <c r="KA116" s="111"/>
      <c r="KB116" s="111"/>
      <c r="KC116" s="111"/>
      <c r="KD116" s="111"/>
      <c r="KE116" s="111"/>
      <c r="KF116" s="111"/>
      <c r="KG116" s="111"/>
      <c r="KH116" s="111"/>
      <c r="KI116" s="111"/>
      <c r="KJ116" s="111"/>
      <c r="KK116" s="111"/>
      <c r="KL116" s="111"/>
      <c r="KM116" s="111"/>
      <c r="KN116" s="111"/>
      <c r="KO116" s="111"/>
      <c r="KP116" s="111"/>
      <c r="KQ116" s="111"/>
      <c r="KR116" s="111"/>
      <c r="KS116" s="111"/>
      <c r="KT116" s="111"/>
      <c r="KU116" s="111"/>
      <c r="KV116" s="111"/>
      <c r="KW116" s="111"/>
      <c r="KX116" s="111"/>
      <c r="KY116" s="111"/>
      <c r="KZ116" s="111"/>
      <c r="LA116" s="111"/>
      <c r="LB116" s="111"/>
      <c r="LC116" s="111"/>
      <c r="LD116" s="111"/>
      <c r="LE116" s="111"/>
      <c r="LF116" s="111"/>
      <c r="LG116" s="111"/>
      <c r="LH116" s="111"/>
      <c r="LI116" s="111"/>
      <c r="LJ116" s="111"/>
      <c r="LK116" s="111"/>
      <c r="LL116" s="111"/>
      <c r="LM116" s="111"/>
      <c r="LN116" s="111"/>
      <c r="LO116" s="111"/>
      <c r="LP116" s="111"/>
      <c r="LQ116" s="111"/>
      <c r="LR116" s="111"/>
      <c r="LS116" s="111"/>
      <c r="LT116" s="111"/>
      <c r="LU116" s="111"/>
      <c r="LV116" s="111"/>
      <c r="LW116" s="111"/>
      <c r="LX116" s="111"/>
      <c r="LY116" s="111"/>
      <c r="LZ116" s="111"/>
      <c r="MA116" s="111"/>
      <c r="MB116" s="111"/>
      <c r="MC116" s="111"/>
      <c r="MD116" s="111"/>
      <c r="ME116" s="111"/>
      <c r="MF116" s="111"/>
      <c r="MG116" s="111"/>
      <c r="MH116" s="111"/>
      <c r="MI116" s="111"/>
      <c r="MJ116" s="111"/>
      <c r="MK116" s="111"/>
      <c r="ML116" s="111"/>
      <c r="MM116" s="111"/>
      <c r="MN116" s="111"/>
      <c r="MO116" s="111"/>
      <c r="MP116" s="111"/>
      <c r="MQ116" s="111"/>
      <c r="MR116" s="111"/>
      <c r="MS116" s="111"/>
      <c r="MT116" s="111"/>
      <c r="MU116" s="111"/>
      <c r="MV116" s="111"/>
      <c r="MW116" s="111"/>
      <c r="MX116" s="111"/>
      <c r="MY116" s="111"/>
      <c r="MZ116" s="111"/>
      <c r="NA116" s="111"/>
      <c r="NB116" s="111"/>
      <c r="NC116" s="111"/>
      <c r="ND116" s="111"/>
      <c r="NE116" s="111"/>
      <c r="NF116" s="111"/>
      <c r="NG116" s="118">
        <v>20</v>
      </c>
      <c r="NH116" s="118"/>
      <c r="NI116" s="118"/>
      <c r="NJ116" s="118">
        <v>20</v>
      </c>
      <c r="NK116" s="118"/>
      <c r="NL116" s="118"/>
      <c r="NM116" s="118">
        <v>22</v>
      </c>
      <c r="NN116" s="118"/>
      <c r="NO116" s="118"/>
      <c r="NP116" s="118">
        <v>21</v>
      </c>
      <c r="NQ116" s="118"/>
      <c r="NR116" s="118"/>
      <c r="NS116" s="118">
        <v>16</v>
      </c>
      <c r="NT116" s="118"/>
      <c r="NU116" s="118"/>
      <c r="NV116" s="118">
        <v>22</v>
      </c>
      <c r="NW116" s="118"/>
      <c r="NX116" s="118"/>
      <c r="NY116" s="118">
        <v>21</v>
      </c>
      <c r="NZ116" s="118"/>
      <c r="OA116" s="118"/>
      <c r="OB116" s="118">
        <v>21</v>
      </c>
      <c r="OC116" s="118"/>
      <c r="OD116" s="118"/>
      <c r="OE116" s="118">
        <v>22</v>
      </c>
      <c r="OF116" s="118"/>
      <c r="OG116" s="118"/>
      <c r="OH116" s="118">
        <v>22</v>
      </c>
      <c r="OI116" s="118"/>
      <c r="OJ116" s="118"/>
      <c r="OK116" s="118">
        <v>19</v>
      </c>
      <c r="OL116" s="118"/>
      <c r="OM116" s="118"/>
      <c r="ON116" s="118">
        <v>14</v>
      </c>
      <c r="OO116" s="118"/>
      <c r="OP116" s="135"/>
      <c r="OQ116" s="119">
        <f>SUM(NG116:ON116)</f>
        <v>240</v>
      </c>
      <c r="OR116" s="119">
        <f t="shared" ref="OR116:OS116" si="147">SUM(NH116:OO116)</f>
        <v>220</v>
      </c>
      <c r="OS116" s="119">
        <f t="shared" si="147"/>
        <v>220</v>
      </c>
    </row>
    <row r="117" spans="1:409" s="30" customFormat="1" x14ac:dyDescent="0.25">
      <c r="E117" s="113"/>
      <c r="F117" s="113"/>
      <c r="G117" s="113"/>
      <c r="H117" s="113"/>
      <c r="I117" s="113"/>
      <c r="J117" s="113"/>
      <c r="K117" s="113"/>
      <c r="L117" s="113"/>
      <c r="M117" s="113"/>
      <c r="N117" s="113"/>
      <c r="O117" s="113"/>
      <c r="P117" s="113"/>
      <c r="Q117" s="113"/>
      <c r="R117" s="114"/>
    </row>
    <row r="118" spans="1:409" s="30" customFormat="1" x14ac:dyDescent="0.25">
      <c r="E118" s="113"/>
      <c r="F118" s="113"/>
      <c r="G118" s="113"/>
      <c r="H118" s="113"/>
      <c r="I118" s="113"/>
      <c r="J118" s="113"/>
      <c r="K118" s="113"/>
      <c r="L118" s="113"/>
      <c r="M118" s="113"/>
      <c r="N118" s="113"/>
      <c r="O118" s="113"/>
      <c r="P118" s="113"/>
      <c r="Q118" s="113"/>
      <c r="R118" s="114"/>
      <c r="NF118" s="485" t="s">
        <v>461</v>
      </c>
      <c r="NI118" s="482">
        <f>SUBTOTAL(105,NI$3:NI$115)</f>
        <v>0</v>
      </c>
      <c r="NL118" s="482">
        <f>SUBTOTAL(105,NL$3:NL$115)</f>
        <v>0</v>
      </c>
      <c r="NO118" s="482">
        <f>SUBTOTAL(105,NO$3:NO$115)</f>
        <v>0</v>
      </c>
      <c r="NR118" s="482">
        <f>SUBTOTAL(105,NR$3:NR$115)</f>
        <v>0</v>
      </c>
      <c r="NU118" s="482">
        <f>SUBTOTAL(105,NU$3:NU$115)</f>
        <v>0</v>
      </c>
      <c r="NX118" s="482">
        <f>SUBTOTAL(105,NX$3:NX$115)</f>
        <v>0</v>
      </c>
    </row>
    <row r="119" spans="1:409" s="30" customFormat="1" x14ac:dyDescent="0.25">
      <c r="E119" s="112"/>
      <c r="F119" s="115"/>
      <c r="G119" s="115"/>
      <c r="H119" s="115"/>
      <c r="I119" s="115"/>
      <c r="J119" s="115"/>
      <c r="K119" s="115"/>
      <c r="L119" s="115"/>
      <c r="M119" s="115"/>
      <c r="N119" s="115"/>
      <c r="O119" s="115"/>
      <c r="P119" s="115"/>
      <c r="Q119" s="115"/>
      <c r="R119" s="116"/>
      <c r="NF119" s="485" t="s">
        <v>462</v>
      </c>
      <c r="NI119" s="482">
        <f>SUBTOTAL(101,NI$3:NI$115)</f>
        <v>0.50346497573388338</v>
      </c>
      <c r="NL119" s="482">
        <f>SUBTOTAL(101,NL$3:NL$115)</f>
        <v>0.5155461710560395</v>
      </c>
      <c r="NO119" s="482">
        <f>SUBTOTAL(101,NO$3:NO$115)</f>
        <v>0.61297054394880479</v>
      </c>
      <c r="NR119" s="482">
        <f>SUBTOTAL(101,NR$3:NR$115)</f>
        <v>0.55152285794700662</v>
      </c>
      <c r="NU119" s="482">
        <f>SUBTOTAL(101,NU$3:NU$115)</f>
        <v>0.24190329872148053</v>
      </c>
      <c r="NX119" s="482">
        <f>SUBTOTAL(101,NX$3:NX$115)</f>
        <v>0</v>
      </c>
    </row>
    <row r="120" spans="1:409" s="30" customFormat="1" x14ac:dyDescent="0.25">
      <c r="E120" s="113"/>
      <c r="F120" s="502"/>
      <c r="G120" s="502"/>
      <c r="H120" s="502"/>
      <c r="I120" s="502"/>
      <c r="J120" s="502"/>
      <c r="K120" s="502"/>
      <c r="L120" s="502"/>
      <c r="M120" s="502"/>
      <c r="N120" s="502"/>
      <c r="O120" s="502"/>
      <c r="P120" s="502"/>
      <c r="Q120" s="502"/>
      <c r="R120" s="113"/>
      <c r="NF120" s="485" t="s">
        <v>463</v>
      </c>
      <c r="NI120" s="482">
        <f>SUBTOTAL(104,NI$3:NI$115)</f>
        <v>1</v>
      </c>
      <c r="NL120" s="482">
        <f>SUBTOTAL(104,NL$3:NL$115)</f>
        <v>0.95</v>
      </c>
      <c r="NO120" s="482">
        <f>SUBTOTAL(104,NO$3:NO$115)</f>
        <v>1</v>
      </c>
      <c r="NR120" s="482">
        <f>SUBTOTAL(104,NR$3:NR$115)</f>
        <v>1</v>
      </c>
      <c r="NU120" s="482">
        <f>SUBTOTAL(104,NU$3:NU$115)</f>
        <v>0.5</v>
      </c>
      <c r="NX120" s="482">
        <f>SUBTOTAL(104,NX$3:NX$115)</f>
        <v>0</v>
      </c>
    </row>
    <row r="121" spans="1:409" s="30" customFormat="1" x14ac:dyDescent="0.25">
      <c r="E121" s="113"/>
      <c r="F121" s="502"/>
      <c r="G121" s="502"/>
      <c r="H121" s="502"/>
      <c r="I121" s="502"/>
      <c r="J121" s="502"/>
      <c r="K121" s="502"/>
      <c r="L121" s="502"/>
      <c r="M121" s="502"/>
      <c r="N121" s="502"/>
      <c r="O121" s="502"/>
      <c r="P121" s="502"/>
      <c r="Q121" s="502"/>
      <c r="R121" s="113"/>
      <c r="NF121" s="485" t="s">
        <v>29</v>
      </c>
      <c r="NG121" s="487">
        <f t="shared" ref="NG121:NJ121" si="148">SUBTOTAL(109,NG$3:NG$115)</f>
        <v>138</v>
      </c>
      <c r="NH121" s="486"/>
      <c r="NI121" s="486"/>
      <c r="NJ121" s="487">
        <f t="shared" si="148"/>
        <v>220</v>
      </c>
      <c r="NL121" s="482"/>
      <c r="NM121" s="487">
        <f t="shared" ref="NM121" si="149">SUBTOTAL(109,NM$3:NM$115)</f>
        <v>264</v>
      </c>
      <c r="NO121" s="482"/>
      <c r="NP121" s="487" t="s">
        <v>464</v>
      </c>
    </row>
    <row r="122" spans="1:409" s="30" customFormat="1" x14ac:dyDescent="0.25">
      <c r="E122" s="112"/>
      <c r="F122" s="505"/>
      <c r="G122" s="505"/>
      <c r="H122" s="505"/>
      <c r="I122" s="505"/>
      <c r="J122" s="505"/>
      <c r="K122" s="505"/>
      <c r="L122" s="505"/>
      <c r="M122" s="505"/>
      <c r="N122" s="505"/>
      <c r="O122" s="505"/>
      <c r="P122" s="505"/>
      <c r="Q122" s="505"/>
      <c r="R122" s="117"/>
    </row>
    <row r="123" spans="1:409" s="30" customFormat="1" x14ac:dyDescent="0.25"/>
    <row r="124" spans="1:409" s="30" customFormat="1" x14ac:dyDescent="0.25">
      <c r="E124" s="113"/>
      <c r="F124" s="113"/>
      <c r="G124" s="113"/>
      <c r="H124" s="113"/>
      <c r="I124" s="113"/>
      <c r="J124" s="113"/>
      <c r="K124" s="113"/>
      <c r="L124" s="113"/>
      <c r="M124" s="113"/>
      <c r="N124" s="113"/>
      <c r="O124" s="113"/>
      <c r="P124" s="113"/>
      <c r="Q124" s="113"/>
      <c r="R124" s="114"/>
    </row>
    <row r="125" spans="1:409" s="30" customFormat="1" x14ac:dyDescent="0.25">
      <c r="E125" s="113"/>
      <c r="F125" s="113"/>
      <c r="G125" s="113"/>
      <c r="H125" s="113"/>
      <c r="I125" s="113"/>
      <c r="J125" s="113"/>
      <c r="K125" s="113"/>
      <c r="L125" s="113"/>
      <c r="M125" s="113"/>
      <c r="N125" s="113"/>
      <c r="O125" s="113"/>
      <c r="P125" s="113"/>
      <c r="Q125" s="113"/>
      <c r="R125" s="114"/>
    </row>
    <row r="126" spans="1:409" s="30" customFormat="1" x14ac:dyDescent="0.25">
      <c r="E126" s="112"/>
      <c r="F126" s="115"/>
      <c r="G126" s="115"/>
      <c r="H126" s="115"/>
      <c r="I126" s="115"/>
      <c r="J126" s="115"/>
      <c r="K126" s="115"/>
      <c r="L126" s="115"/>
      <c r="M126" s="115"/>
      <c r="N126" s="115"/>
      <c r="O126" s="115"/>
      <c r="P126" s="115"/>
      <c r="Q126" s="115"/>
      <c r="R126" s="116"/>
    </row>
    <row r="127" spans="1:409" s="30" customFormat="1" x14ac:dyDescent="0.25">
      <c r="E127" s="113"/>
      <c r="F127" s="502"/>
      <c r="G127" s="502"/>
      <c r="H127" s="502"/>
      <c r="I127" s="502"/>
      <c r="J127" s="502"/>
      <c r="K127" s="502"/>
      <c r="L127" s="502"/>
      <c r="M127" s="502"/>
      <c r="N127" s="502"/>
      <c r="O127" s="502"/>
      <c r="P127" s="502"/>
      <c r="Q127" s="502"/>
      <c r="R127" s="113"/>
    </row>
    <row r="128" spans="1:409" s="30" customFormat="1" x14ac:dyDescent="0.25">
      <c r="E128" s="113"/>
      <c r="F128" s="502"/>
      <c r="G128" s="502"/>
      <c r="H128" s="502"/>
      <c r="I128" s="502"/>
      <c r="J128" s="502"/>
      <c r="K128" s="502"/>
      <c r="L128" s="502"/>
      <c r="M128" s="502"/>
      <c r="N128" s="502"/>
      <c r="O128" s="502"/>
      <c r="P128" s="502"/>
      <c r="Q128" s="502"/>
      <c r="R128" s="113"/>
    </row>
    <row r="129" spans="5:18" s="30" customFormat="1" x14ac:dyDescent="0.25">
      <c r="E129" s="112"/>
      <c r="F129" s="505"/>
      <c r="G129" s="505"/>
      <c r="H129" s="505"/>
      <c r="I129" s="505"/>
      <c r="J129" s="505"/>
      <c r="K129" s="505"/>
      <c r="L129" s="505"/>
      <c r="M129" s="505"/>
      <c r="N129" s="505"/>
      <c r="O129" s="505"/>
      <c r="P129" s="505"/>
      <c r="Q129" s="505"/>
      <c r="R129" s="117"/>
    </row>
    <row r="130" spans="5:18" s="30" customFormat="1" x14ac:dyDescent="0.25"/>
    <row r="131" spans="5:18" s="30" customFormat="1" x14ac:dyDescent="0.25"/>
    <row r="132" spans="5:18" s="30" customFormat="1" x14ac:dyDescent="0.25"/>
    <row r="133" spans="5:18" s="30" customFormat="1" x14ac:dyDescent="0.25"/>
    <row r="134" spans="5:18" s="30" customFormat="1" x14ac:dyDescent="0.25"/>
  </sheetData>
  <autoFilter ref="A2:OS115" xr:uid="{CEFB756A-53E0-4000-9333-93222F9B89A2}">
    <filterColumn colId="0">
      <filters>
        <filter val="AUVERGNE"/>
      </filters>
    </filterColumn>
  </autoFilter>
  <mergeCells count="38">
    <mergeCell ref="F129:H129"/>
    <mergeCell ref="I129:K129"/>
    <mergeCell ref="L129:N129"/>
    <mergeCell ref="O129:Q129"/>
    <mergeCell ref="F127:H127"/>
    <mergeCell ref="I127:K127"/>
    <mergeCell ref="L127:N127"/>
    <mergeCell ref="O127:Q127"/>
    <mergeCell ref="F128:H128"/>
    <mergeCell ref="I128:K128"/>
    <mergeCell ref="L128:N128"/>
    <mergeCell ref="O128:Q128"/>
    <mergeCell ref="F121:H121"/>
    <mergeCell ref="I121:K121"/>
    <mergeCell ref="L121:N121"/>
    <mergeCell ref="O121:Q121"/>
    <mergeCell ref="F122:H122"/>
    <mergeCell ref="I122:K122"/>
    <mergeCell ref="L122:N122"/>
    <mergeCell ref="O122:Q122"/>
    <mergeCell ref="NM1:NO1"/>
    <mergeCell ref="NJ1:NL1"/>
    <mergeCell ref="NG1:NI1"/>
    <mergeCell ref="F120:H120"/>
    <mergeCell ref="I120:K120"/>
    <mergeCell ref="L120:N120"/>
    <mergeCell ref="O120:Q120"/>
    <mergeCell ref="E1:O1"/>
    <mergeCell ref="OB1:OD1"/>
    <mergeCell ref="NY1:OA1"/>
    <mergeCell ref="NV1:NX1"/>
    <mergeCell ref="NS1:NU1"/>
    <mergeCell ref="NP1:NR1"/>
    <mergeCell ref="OQ1:OS1"/>
    <mergeCell ref="ON1:OP1"/>
    <mergeCell ref="OK1:OM1"/>
    <mergeCell ref="OH1:OJ1"/>
    <mergeCell ref="OE1:OG1"/>
  </mergeCells>
  <conditionalFormatting sqref="A3:D115">
    <cfRule type="expression" dxfId="80" priority="50">
      <formula>MOD(ROW(),2)</formula>
    </cfRule>
  </conditionalFormatting>
  <conditionalFormatting sqref="E3:NF4 AV5:NF6 E5:AT104 AV7:LG22 AU8:AU9 AU12 AU18 AV23:NF78 AU24:AU25 AU42 AU46 AU57 AU67 AU70 AV79:CG79 CI79:NF79 AV80:NF104 AU85 AU94 E105:NF115">
    <cfRule type="cellIs" dxfId="79" priority="283" operator="equal">
      <formula>1</formula>
    </cfRule>
  </conditionalFormatting>
  <conditionalFormatting sqref="F119:Q119">
    <cfRule type="dataBar" priority="329">
      <dataBar>
        <cfvo type="min"/>
        <cfvo type="max"/>
        <color rgb="FFD6007B"/>
      </dataBar>
      <extLst>
        <ext xmlns:x14="http://schemas.microsoft.com/office/spreadsheetml/2009/9/main" uri="{B025F937-C7B1-47D3-B67F-A62EFF666E3E}">
          <x14:id>{40ECEAC4-38E9-4E4F-A0F2-580D01F5EB1C}</x14:id>
        </ext>
      </extLst>
    </cfRule>
    <cfRule type="dataBar" priority="331">
      <dataBar>
        <cfvo type="min"/>
        <cfvo type="max"/>
        <color rgb="FFD6007B"/>
      </dataBar>
      <extLst>
        <ext xmlns:x14="http://schemas.microsoft.com/office/spreadsheetml/2009/9/main" uri="{B025F937-C7B1-47D3-B67F-A62EFF666E3E}">
          <x14:id>{965A71C8-09C7-49B6-BD3A-264E439C7649}</x14:id>
        </ext>
      </extLst>
    </cfRule>
  </conditionalFormatting>
  <conditionalFormatting sqref="F122:Q122">
    <cfRule type="dataBar" priority="334">
      <dataBar>
        <cfvo type="min"/>
        <cfvo type="max"/>
        <color rgb="FFFFB628"/>
      </dataBar>
      <extLst>
        <ext xmlns:x14="http://schemas.microsoft.com/office/spreadsheetml/2009/9/main" uri="{B025F937-C7B1-47D3-B67F-A62EFF666E3E}">
          <x14:id>{5E1DC7BC-5591-4F4F-8618-9FFEB7C16880}</x14:id>
        </ext>
      </extLst>
    </cfRule>
  </conditionalFormatting>
  <conditionalFormatting sqref="F126:Q126 F119:Q119">
    <cfRule type="dataBar" priority="402">
      <dataBar>
        <cfvo type="min"/>
        <cfvo type="max"/>
        <color rgb="FF008AEF"/>
      </dataBar>
      <extLst>
        <ext xmlns:x14="http://schemas.microsoft.com/office/spreadsheetml/2009/9/main" uri="{B025F937-C7B1-47D3-B67F-A62EFF666E3E}">
          <x14:id>{3D275C61-75DC-44D3-B642-041B6A098E7E}</x14:id>
        </ext>
      </extLst>
    </cfRule>
  </conditionalFormatting>
  <conditionalFormatting sqref="F126:Q126">
    <cfRule type="dataBar" priority="323">
      <dataBar>
        <cfvo type="min"/>
        <cfvo type="max"/>
        <color rgb="FFD6007B"/>
      </dataBar>
      <extLst>
        <ext xmlns:x14="http://schemas.microsoft.com/office/spreadsheetml/2009/9/main" uri="{B025F937-C7B1-47D3-B67F-A62EFF666E3E}">
          <x14:id>{F6BE8919-E32F-4858-BEAC-5D2A1B43B28D}</x14:id>
        </ext>
      </extLst>
    </cfRule>
    <cfRule type="dataBar" priority="325">
      <dataBar>
        <cfvo type="min"/>
        <cfvo type="max"/>
        <color rgb="FFD6007B"/>
      </dataBar>
      <extLst>
        <ext xmlns:x14="http://schemas.microsoft.com/office/spreadsheetml/2009/9/main" uri="{B025F937-C7B1-47D3-B67F-A62EFF666E3E}">
          <x14:id>{B454FD84-AE4F-48D3-99BE-1C17121DDD1A}</x14:id>
        </ext>
      </extLst>
    </cfRule>
  </conditionalFormatting>
  <conditionalFormatting sqref="F129:Q129">
    <cfRule type="dataBar" priority="328">
      <dataBar>
        <cfvo type="min"/>
        <cfvo type="max"/>
        <color rgb="FFFFB628"/>
      </dataBar>
      <extLst>
        <ext xmlns:x14="http://schemas.microsoft.com/office/spreadsheetml/2009/9/main" uri="{B025F937-C7B1-47D3-B67F-A62EFF666E3E}">
          <x14:id>{BC7F50F0-9B9A-4652-A399-C5E119AE059B}</x14:id>
        </ext>
      </extLst>
    </cfRule>
  </conditionalFormatting>
  <conditionalFormatting sqref="R119">
    <cfRule type="colorScale" priority="330">
      <colorScale>
        <cfvo type="min"/>
        <cfvo type="percentile" val="50"/>
        <cfvo type="max"/>
        <color rgb="FFF8696B"/>
        <color rgb="FFFFEB84"/>
        <color rgb="FF63BE7B"/>
      </colorScale>
    </cfRule>
    <cfRule type="colorScale" priority="332">
      <colorScale>
        <cfvo type="min"/>
        <cfvo type="percentile" val="50"/>
        <cfvo type="max"/>
        <color rgb="FFF8696B"/>
        <color rgb="FFFFEB84"/>
        <color rgb="FF63BE7B"/>
      </colorScale>
    </cfRule>
  </conditionalFormatting>
  <conditionalFormatting sqref="R122">
    <cfRule type="dataBar" priority="333">
      <dataBar>
        <cfvo type="min"/>
        <cfvo type="max"/>
        <color rgb="FFFFB628"/>
      </dataBar>
      <extLst>
        <ext xmlns:x14="http://schemas.microsoft.com/office/spreadsheetml/2009/9/main" uri="{B025F937-C7B1-47D3-B67F-A62EFF666E3E}">
          <x14:id>{3F4AE0B3-FC10-4802-B452-25F103531B82}</x14:id>
        </ext>
      </extLst>
    </cfRule>
  </conditionalFormatting>
  <conditionalFormatting sqref="R126">
    <cfRule type="colorScale" priority="326">
      <colorScale>
        <cfvo type="min"/>
        <cfvo type="percentile" val="50"/>
        <cfvo type="max"/>
        <color rgb="FFF8696B"/>
        <color rgb="FFFFEB84"/>
        <color rgb="FF63BE7B"/>
      </colorScale>
    </cfRule>
    <cfRule type="colorScale" priority="324">
      <colorScale>
        <cfvo type="min"/>
        <cfvo type="percentile" val="50"/>
        <cfvo type="max"/>
        <color rgb="FFF8696B"/>
        <color rgb="FFFFEB84"/>
        <color rgb="FF63BE7B"/>
      </colorScale>
    </cfRule>
  </conditionalFormatting>
  <conditionalFormatting sqref="R129">
    <cfRule type="dataBar" priority="327">
      <dataBar>
        <cfvo type="min"/>
        <cfvo type="max"/>
        <color rgb="FFFFB628"/>
      </dataBar>
      <extLst>
        <ext xmlns:x14="http://schemas.microsoft.com/office/spreadsheetml/2009/9/main" uri="{B025F937-C7B1-47D3-B67F-A62EFF666E3E}">
          <x14:id>{E12AD515-0B2E-490E-856A-F46DBB490F8E}</x14:id>
        </ext>
      </extLst>
    </cfRule>
  </conditionalFormatting>
  <conditionalFormatting sqref="LH7:NF9 LH10:MC10 ME10:NF10 LH11:NF22">
    <cfRule type="cellIs" dxfId="78" priority="400" operator="equal">
      <formula>1</formula>
    </cfRule>
  </conditionalFormatting>
  <conditionalFormatting sqref="NG3:OP115 OS66:OS78 NQ77:OS77 OS80:OS109 NQ85:OS85 NQ92:OS92">
    <cfRule type="containsBlanks" dxfId="77" priority="53">
      <formula>LEN(TRIM(NG3))=0</formula>
    </cfRule>
    <cfRule type="containsText" dxfId="76" priority="55" operator="containsText" text="0">
      <formula>NOT(ISERROR(SEARCH("0",NG3)))</formula>
    </cfRule>
  </conditionalFormatting>
  <conditionalFormatting sqref="NG3:OS115">
    <cfRule type="expression" dxfId="75" priority="54">
      <formula>MOD(ROW(),2)</formula>
    </cfRule>
  </conditionalFormatting>
  <conditionalFormatting sqref="NI3:NI115">
    <cfRule type="dataBar" priority="426">
      <dataBar>
        <cfvo type="percent" val="0"/>
        <cfvo type="percent" val="100"/>
        <color rgb="FFF94607"/>
      </dataBar>
      <extLst>
        <ext xmlns:x14="http://schemas.microsoft.com/office/spreadsheetml/2009/9/main" uri="{B025F937-C7B1-47D3-B67F-A62EFF666E3E}">
          <x14:id>{BF081E45-6193-4C05-830E-704E75CC0316}</x14:id>
        </ext>
      </extLst>
    </cfRule>
  </conditionalFormatting>
  <conditionalFormatting sqref="NI6">
    <cfRule type="dataBar" priority="288">
      <dataBar>
        <cfvo type="percent" val="0"/>
        <cfvo type="percent" val="100"/>
        <color rgb="FFF94607"/>
      </dataBar>
      <extLst>
        <ext xmlns:x14="http://schemas.microsoft.com/office/spreadsheetml/2009/9/main" uri="{B025F937-C7B1-47D3-B67F-A62EFF666E3E}">
          <x14:id>{CD24EE92-1444-47E0-9DF5-A8C60BBA5C14}</x14:id>
        </ext>
      </extLst>
    </cfRule>
  </conditionalFormatting>
  <conditionalFormatting sqref="NI23">
    <cfRule type="dataBar" priority="267">
      <dataBar>
        <cfvo type="percent" val="0"/>
        <cfvo type="percent" val="100"/>
        <color rgb="FFF94607"/>
      </dataBar>
      <extLst>
        <ext xmlns:x14="http://schemas.microsoft.com/office/spreadsheetml/2009/9/main" uri="{B025F937-C7B1-47D3-B67F-A62EFF666E3E}">
          <x14:id>{CE150635-120F-430F-A5DC-A7C7D8238C0A}</x14:id>
        </ext>
      </extLst>
    </cfRule>
  </conditionalFormatting>
  <conditionalFormatting sqref="NI30">
    <cfRule type="dataBar" priority="246">
      <dataBar>
        <cfvo type="percent" val="0"/>
        <cfvo type="percent" val="100"/>
        <color rgb="FFF94607"/>
      </dataBar>
      <extLst>
        <ext xmlns:x14="http://schemas.microsoft.com/office/spreadsheetml/2009/9/main" uri="{B025F937-C7B1-47D3-B67F-A62EFF666E3E}">
          <x14:id>{78A51FB3-EB61-48F2-AE0E-9839AE052011}</x14:id>
        </ext>
      </extLst>
    </cfRule>
  </conditionalFormatting>
  <conditionalFormatting sqref="NI41">
    <cfRule type="dataBar" priority="225">
      <dataBar>
        <cfvo type="percent" val="0"/>
        <cfvo type="percent" val="100"/>
        <color rgb="FFF94607"/>
      </dataBar>
      <extLst>
        <ext xmlns:x14="http://schemas.microsoft.com/office/spreadsheetml/2009/9/main" uri="{B025F937-C7B1-47D3-B67F-A62EFF666E3E}">
          <x14:id>{1D51C16E-0567-45E8-9934-D3BB895BAFEB}</x14:id>
        </ext>
      </extLst>
    </cfRule>
  </conditionalFormatting>
  <conditionalFormatting sqref="NI43">
    <cfRule type="dataBar" priority="204">
      <dataBar>
        <cfvo type="percent" val="0"/>
        <cfvo type="percent" val="100"/>
        <color rgb="FFF94607"/>
      </dataBar>
      <extLst>
        <ext xmlns:x14="http://schemas.microsoft.com/office/spreadsheetml/2009/9/main" uri="{B025F937-C7B1-47D3-B67F-A62EFF666E3E}">
          <x14:id>{212C9869-9B6C-4090-9BE3-88099A22749F}</x14:id>
        </ext>
      </extLst>
    </cfRule>
  </conditionalFormatting>
  <conditionalFormatting sqref="NI45">
    <cfRule type="dataBar" priority="183">
      <dataBar>
        <cfvo type="percent" val="0"/>
        <cfvo type="percent" val="100"/>
        <color rgb="FFF94607"/>
      </dataBar>
      <extLst>
        <ext xmlns:x14="http://schemas.microsoft.com/office/spreadsheetml/2009/9/main" uri="{B025F937-C7B1-47D3-B67F-A62EFF666E3E}">
          <x14:id>{2CC387F1-89A3-41A0-BD65-797913379642}</x14:id>
        </ext>
      </extLst>
    </cfRule>
  </conditionalFormatting>
  <conditionalFormatting sqref="NI53">
    <cfRule type="dataBar" priority="162">
      <dataBar>
        <cfvo type="percent" val="0"/>
        <cfvo type="percent" val="100"/>
        <color rgb="FFF94607"/>
      </dataBar>
      <extLst>
        <ext xmlns:x14="http://schemas.microsoft.com/office/spreadsheetml/2009/9/main" uri="{B025F937-C7B1-47D3-B67F-A62EFF666E3E}">
          <x14:id>{AA93F39B-ACFE-407B-9D6A-1552469C67E5}</x14:id>
        </ext>
      </extLst>
    </cfRule>
  </conditionalFormatting>
  <conditionalFormatting sqref="NI61">
    <cfRule type="dataBar" priority="141">
      <dataBar>
        <cfvo type="percent" val="0"/>
        <cfvo type="percent" val="100"/>
        <color rgb="FFF94607"/>
      </dataBar>
      <extLst>
        <ext xmlns:x14="http://schemas.microsoft.com/office/spreadsheetml/2009/9/main" uri="{B025F937-C7B1-47D3-B67F-A62EFF666E3E}">
          <x14:id>{3B05F59F-91CF-4EE1-AA0A-E1D2C772DF35}</x14:id>
        </ext>
      </extLst>
    </cfRule>
  </conditionalFormatting>
  <conditionalFormatting sqref="NI64:NI65">
    <cfRule type="dataBar" priority="120">
      <dataBar>
        <cfvo type="percent" val="0"/>
        <cfvo type="percent" val="100"/>
        <color rgb="FFF94607"/>
      </dataBar>
      <extLst>
        <ext xmlns:x14="http://schemas.microsoft.com/office/spreadsheetml/2009/9/main" uri="{B025F937-C7B1-47D3-B67F-A62EFF666E3E}">
          <x14:id>{794965D9-671F-40A7-BA55-5AC008B23DBD}</x14:id>
        </ext>
      </extLst>
    </cfRule>
  </conditionalFormatting>
  <conditionalFormatting sqref="NI79">
    <cfRule type="dataBar" priority="99">
      <dataBar>
        <cfvo type="percent" val="0"/>
        <cfvo type="percent" val="100"/>
        <color rgb="FFF94607"/>
      </dataBar>
      <extLst>
        <ext xmlns:x14="http://schemas.microsoft.com/office/spreadsheetml/2009/9/main" uri="{B025F937-C7B1-47D3-B67F-A62EFF666E3E}">
          <x14:id>{432E6D6A-6BB3-487C-AB91-F9FE1E89011C}</x14:id>
        </ext>
      </extLst>
    </cfRule>
  </conditionalFormatting>
  <conditionalFormatting sqref="NI110">
    <cfRule type="dataBar" priority="78">
      <dataBar>
        <cfvo type="percent" val="0"/>
        <cfvo type="percent" val="100"/>
        <color rgb="FFF94607"/>
      </dataBar>
      <extLst>
        <ext xmlns:x14="http://schemas.microsoft.com/office/spreadsheetml/2009/9/main" uri="{B025F937-C7B1-47D3-B67F-A62EFF666E3E}">
          <x14:id>{B3375342-E85B-4C04-8252-38627E61C5B7}</x14:id>
        </ext>
      </extLst>
    </cfRule>
  </conditionalFormatting>
  <conditionalFormatting sqref="NI111">
    <cfRule type="dataBar" priority="57">
      <dataBar>
        <cfvo type="percent" val="0"/>
        <cfvo type="percent" val="100"/>
        <color rgb="FFF94607"/>
      </dataBar>
      <extLst>
        <ext xmlns:x14="http://schemas.microsoft.com/office/spreadsheetml/2009/9/main" uri="{B025F937-C7B1-47D3-B67F-A62EFF666E3E}">
          <x14:id>{DB488BE8-F433-49E5-A3E9-A3360D38F259}</x14:id>
        </ext>
      </extLst>
    </cfRule>
  </conditionalFormatting>
  <conditionalFormatting sqref="NL3:NL115">
    <cfRule type="dataBar" priority="428">
      <dataBar>
        <cfvo type="percent" val="0"/>
        <cfvo type="percent" val="100"/>
        <color rgb="FFF94607"/>
      </dataBar>
      <extLst>
        <ext xmlns:x14="http://schemas.microsoft.com/office/spreadsheetml/2009/9/main" uri="{B025F937-C7B1-47D3-B67F-A62EFF666E3E}">
          <x14:id>{4C78C0FF-B351-43E9-AF7C-ADD5471B5C53}</x14:id>
        </ext>
      </extLst>
    </cfRule>
    <cfRule type="dataBar" priority="48">
      <dataBar>
        <cfvo type="percent" val="0"/>
        <cfvo type="percent" val="100"/>
        <color rgb="FFF94607"/>
      </dataBar>
      <extLst>
        <ext xmlns:x14="http://schemas.microsoft.com/office/spreadsheetml/2009/9/main" uri="{B025F937-C7B1-47D3-B67F-A62EFF666E3E}">
          <x14:id>{709E045E-024E-4050-919B-87BFD8246C5F}</x14:id>
        </ext>
      </extLst>
    </cfRule>
  </conditionalFormatting>
  <conditionalFormatting sqref="NL6">
    <cfRule type="dataBar" priority="289">
      <dataBar>
        <cfvo type="percent" val="0"/>
        <cfvo type="percent" val="100"/>
        <color rgb="FFF94607"/>
      </dataBar>
      <extLst>
        <ext xmlns:x14="http://schemas.microsoft.com/office/spreadsheetml/2009/9/main" uri="{B025F937-C7B1-47D3-B67F-A62EFF666E3E}">
          <x14:id>{B893ECB2-EF81-48D3-8653-D297C402EA5E}</x14:id>
        </ext>
      </extLst>
    </cfRule>
  </conditionalFormatting>
  <conditionalFormatting sqref="NL23">
    <cfRule type="dataBar" priority="268">
      <dataBar>
        <cfvo type="percent" val="0"/>
        <cfvo type="percent" val="100"/>
        <color rgb="FFF94607"/>
      </dataBar>
      <extLst>
        <ext xmlns:x14="http://schemas.microsoft.com/office/spreadsheetml/2009/9/main" uri="{B025F937-C7B1-47D3-B67F-A62EFF666E3E}">
          <x14:id>{4674D22B-B82A-4316-A019-97A0DF5DC20F}</x14:id>
        </ext>
      </extLst>
    </cfRule>
  </conditionalFormatting>
  <conditionalFormatting sqref="NL30">
    <cfRule type="dataBar" priority="247">
      <dataBar>
        <cfvo type="percent" val="0"/>
        <cfvo type="percent" val="100"/>
        <color rgb="FFF94607"/>
      </dataBar>
      <extLst>
        <ext xmlns:x14="http://schemas.microsoft.com/office/spreadsheetml/2009/9/main" uri="{B025F937-C7B1-47D3-B67F-A62EFF666E3E}">
          <x14:id>{DEF1B899-AA16-441F-9A9C-BEC958F98616}</x14:id>
        </ext>
      </extLst>
    </cfRule>
  </conditionalFormatting>
  <conditionalFormatting sqref="NL41">
    <cfRule type="dataBar" priority="226">
      <dataBar>
        <cfvo type="percent" val="0"/>
        <cfvo type="percent" val="100"/>
        <color rgb="FFF94607"/>
      </dataBar>
      <extLst>
        <ext xmlns:x14="http://schemas.microsoft.com/office/spreadsheetml/2009/9/main" uri="{B025F937-C7B1-47D3-B67F-A62EFF666E3E}">
          <x14:id>{374C96E8-E28A-4597-99E6-1F3BEC424691}</x14:id>
        </ext>
      </extLst>
    </cfRule>
  </conditionalFormatting>
  <conditionalFormatting sqref="NL43">
    <cfRule type="dataBar" priority="205">
      <dataBar>
        <cfvo type="percent" val="0"/>
        <cfvo type="percent" val="100"/>
        <color rgb="FFF94607"/>
      </dataBar>
      <extLst>
        <ext xmlns:x14="http://schemas.microsoft.com/office/spreadsheetml/2009/9/main" uri="{B025F937-C7B1-47D3-B67F-A62EFF666E3E}">
          <x14:id>{E833DA69-38E5-416C-937B-0CB09539E9B0}</x14:id>
        </ext>
      </extLst>
    </cfRule>
  </conditionalFormatting>
  <conditionalFormatting sqref="NL45">
    <cfRule type="dataBar" priority="184">
      <dataBar>
        <cfvo type="percent" val="0"/>
        <cfvo type="percent" val="100"/>
        <color rgb="FFF94607"/>
      </dataBar>
      <extLst>
        <ext xmlns:x14="http://schemas.microsoft.com/office/spreadsheetml/2009/9/main" uri="{B025F937-C7B1-47D3-B67F-A62EFF666E3E}">
          <x14:id>{180BA55B-2681-4039-9346-0A5072BE1A37}</x14:id>
        </ext>
      </extLst>
    </cfRule>
  </conditionalFormatting>
  <conditionalFormatting sqref="NL53">
    <cfRule type="dataBar" priority="163">
      <dataBar>
        <cfvo type="percent" val="0"/>
        <cfvo type="percent" val="100"/>
        <color rgb="FFF94607"/>
      </dataBar>
      <extLst>
        <ext xmlns:x14="http://schemas.microsoft.com/office/spreadsheetml/2009/9/main" uri="{B025F937-C7B1-47D3-B67F-A62EFF666E3E}">
          <x14:id>{C70E378D-FF70-46CD-A6F0-38B495B14146}</x14:id>
        </ext>
      </extLst>
    </cfRule>
  </conditionalFormatting>
  <conditionalFormatting sqref="NL61">
    <cfRule type="dataBar" priority="142">
      <dataBar>
        <cfvo type="percent" val="0"/>
        <cfvo type="percent" val="100"/>
        <color rgb="FFF94607"/>
      </dataBar>
      <extLst>
        <ext xmlns:x14="http://schemas.microsoft.com/office/spreadsheetml/2009/9/main" uri="{B025F937-C7B1-47D3-B67F-A62EFF666E3E}">
          <x14:id>{FB11DE2B-EE80-4727-A983-CC28FB170FE6}</x14:id>
        </ext>
      </extLst>
    </cfRule>
  </conditionalFormatting>
  <conditionalFormatting sqref="NL65">
    <cfRule type="dataBar" priority="121">
      <dataBar>
        <cfvo type="percent" val="0"/>
        <cfvo type="percent" val="100"/>
        <color rgb="FFF94607"/>
      </dataBar>
      <extLst>
        <ext xmlns:x14="http://schemas.microsoft.com/office/spreadsheetml/2009/9/main" uri="{B025F937-C7B1-47D3-B67F-A62EFF666E3E}">
          <x14:id>{859126A9-A698-42B3-AB26-D61020CA511C}</x14:id>
        </ext>
      </extLst>
    </cfRule>
  </conditionalFormatting>
  <conditionalFormatting sqref="NL79">
    <cfRule type="dataBar" priority="100">
      <dataBar>
        <cfvo type="percent" val="0"/>
        <cfvo type="percent" val="100"/>
        <color rgb="FFF94607"/>
      </dataBar>
      <extLst>
        <ext xmlns:x14="http://schemas.microsoft.com/office/spreadsheetml/2009/9/main" uri="{B025F937-C7B1-47D3-B67F-A62EFF666E3E}">
          <x14:id>{C689D5E1-1300-4F12-A261-AC8367701F55}</x14:id>
        </ext>
      </extLst>
    </cfRule>
  </conditionalFormatting>
  <conditionalFormatting sqref="NL110">
    <cfRule type="dataBar" priority="79">
      <dataBar>
        <cfvo type="percent" val="0"/>
        <cfvo type="percent" val="100"/>
        <color rgb="FFF94607"/>
      </dataBar>
      <extLst>
        <ext xmlns:x14="http://schemas.microsoft.com/office/spreadsheetml/2009/9/main" uri="{B025F937-C7B1-47D3-B67F-A62EFF666E3E}">
          <x14:id>{FEB8690A-3A22-49FC-BE52-FC17BAA675A3}</x14:id>
        </ext>
      </extLst>
    </cfRule>
  </conditionalFormatting>
  <conditionalFormatting sqref="NL111">
    <cfRule type="dataBar" priority="58">
      <dataBar>
        <cfvo type="percent" val="0"/>
        <cfvo type="percent" val="100"/>
        <color rgb="FFF94607"/>
      </dataBar>
      <extLst>
        <ext xmlns:x14="http://schemas.microsoft.com/office/spreadsheetml/2009/9/main" uri="{B025F937-C7B1-47D3-B67F-A62EFF666E3E}">
          <x14:id>{BA5D851B-65DC-487C-B9E3-1D5663F6BD3C}</x14:id>
        </ext>
      </extLst>
    </cfRule>
  </conditionalFormatting>
  <conditionalFormatting sqref="NO3:NO115">
    <cfRule type="dataBar" priority="46">
      <dataBar>
        <cfvo type="percent" val="0"/>
        <cfvo type="percent" val="100"/>
        <color rgb="FFF94607"/>
      </dataBar>
      <extLst>
        <ext xmlns:x14="http://schemas.microsoft.com/office/spreadsheetml/2009/9/main" uri="{B025F937-C7B1-47D3-B67F-A62EFF666E3E}">
          <x14:id>{81C6A2C5-4E91-4182-B2FC-A6E28E4B2FE5}</x14:id>
        </ext>
      </extLst>
    </cfRule>
    <cfRule type="dataBar" priority="430">
      <dataBar>
        <cfvo type="percent" val="0"/>
        <cfvo type="percent" val="100"/>
        <color rgb="FFF94607"/>
      </dataBar>
      <extLst>
        <ext xmlns:x14="http://schemas.microsoft.com/office/spreadsheetml/2009/9/main" uri="{B025F937-C7B1-47D3-B67F-A62EFF666E3E}">
          <x14:id>{4DFFACEB-C1CF-4AF3-A2A4-51AA9DD9ABA7}</x14:id>
        </ext>
      </extLst>
    </cfRule>
    <cfRule type="dataBar" priority="47">
      <dataBar>
        <cfvo type="percent" val="0"/>
        <cfvo type="percent" val="100"/>
        <color rgb="FFF94607"/>
      </dataBar>
      <extLst>
        <ext xmlns:x14="http://schemas.microsoft.com/office/spreadsheetml/2009/9/main" uri="{B025F937-C7B1-47D3-B67F-A62EFF666E3E}">
          <x14:id>{6C27E0C3-8BDA-48B2-92C6-DC3E9938EEBF}</x14:id>
        </ext>
      </extLst>
    </cfRule>
  </conditionalFormatting>
  <conditionalFormatting sqref="NO6">
    <cfRule type="dataBar" priority="290">
      <dataBar>
        <cfvo type="percent" val="0"/>
        <cfvo type="percent" val="100"/>
        <color rgb="FFF94607"/>
      </dataBar>
      <extLst>
        <ext xmlns:x14="http://schemas.microsoft.com/office/spreadsheetml/2009/9/main" uri="{B025F937-C7B1-47D3-B67F-A62EFF666E3E}">
          <x14:id>{BE0F6B72-DEF4-4686-A321-6D628E81F0B1}</x14:id>
        </ext>
      </extLst>
    </cfRule>
  </conditionalFormatting>
  <conditionalFormatting sqref="NO23">
    <cfRule type="dataBar" priority="269">
      <dataBar>
        <cfvo type="percent" val="0"/>
        <cfvo type="percent" val="100"/>
        <color rgb="FFF94607"/>
      </dataBar>
      <extLst>
        <ext xmlns:x14="http://schemas.microsoft.com/office/spreadsheetml/2009/9/main" uri="{B025F937-C7B1-47D3-B67F-A62EFF666E3E}">
          <x14:id>{DA41884F-B84F-4A23-94E8-ADDD45CF8D72}</x14:id>
        </ext>
      </extLst>
    </cfRule>
  </conditionalFormatting>
  <conditionalFormatting sqref="NO30">
    <cfRule type="dataBar" priority="248">
      <dataBar>
        <cfvo type="percent" val="0"/>
        <cfvo type="percent" val="100"/>
        <color rgb="FFF94607"/>
      </dataBar>
      <extLst>
        <ext xmlns:x14="http://schemas.microsoft.com/office/spreadsheetml/2009/9/main" uri="{B025F937-C7B1-47D3-B67F-A62EFF666E3E}">
          <x14:id>{52729832-7CBD-478B-B647-63F1EABA9286}</x14:id>
        </ext>
      </extLst>
    </cfRule>
  </conditionalFormatting>
  <conditionalFormatting sqref="NO41">
    <cfRule type="dataBar" priority="227">
      <dataBar>
        <cfvo type="percent" val="0"/>
        <cfvo type="percent" val="100"/>
        <color rgb="FFF94607"/>
      </dataBar>
      <extLst>
        <ext xmlns:x14="http://schemas.microsoft.com/office/spreadsheetml/2009/9/main" uri="{B025F937-C7B1-47D3-B67F-A62EFF666E3E}">
          <x14:id>{EC418009-4A9E-489C-8B1B-04865623B283}</x14:id>
        </ext>
      </extLst>
    </cfRule>
  </conditionalFormatting>
  <conditionalFormatting sqref="NO43">
    <cfRule type="dataBar" priority="206">
      <dataBar>
        <cfvo type="percent" val="0"/>
        <cfvo type="percent" val="100"/>
        <color rgb="FFF94607"/>
      </dataBar>
      <extLst>
        <ext xmlns:x14="http://schemas.microsoft.com/office/spreadsheetml/2009/9/main" uri="{B025F937-C7B1-47D3-B67F-A62EFF666E3E}">
          <x14:id>{095B08D8-231C-4104-939B-E78794DBDF3E}</x14:id>
        </ext>
      </extLst>
    </cfRule>
  </conditionalFormatting>
  <conditionalFormatting sqref="NO45">
    <cfRule type="dataBar" priority="185">
      <dataBar>
        <cfvo type="percent" val="0"/>
        <cfvo type="percent" val="100"/>
        <color rgb="FFF94607"/>
      </dataBar>
      <extLst>
        <ext xmlns:x14="http://schemas.microsoft.com/office/spreadsheetml/2009/9/main" uri="{B025F937-C7B1-47D3-B67F-A62EFF666E3E}">
          <x14:id>{EA6E910B-BB07-40ED-8860-FF3DC15C3567}</x14:id>
        </ext>
      </extLst>
    </cfRule>
  </conditionalFormatting>
  <conditionalFormatting sqref="NO53">
    <cfRule type="dataBar" priority="164">
      <dataBar>
        <cfvo type="percent" val="0"/>
        <cfvo type="percent" val="100"/>
        <color rgb="FFF94607"/>
      </dataBar>
      <extLst>
        <ext xmlns:x14="http://schemas.microsoft.com/office/spreadsheetml/2009/9/main" uri="{B025F937-C7B1-47D3-B67F-A62EFF666E3E}">
          <x14:id>{AF0FD2AF-AF9F-4C51-B75F-2181CC002869}</x14:id>
        </ext>
      </extLst>
    </cfRule>
  </conditionalFormatting>
  <conditionalFormatting sqref="NO61">
    <cfRule type="dataBar" priority="143">
      <dataBar>
        <cfvo type="percent" val="0"/>
        <cfvo type="percent" val="100"/>
        <color rgb="FFF94607"/>
      </dataBar>
      <extLst>
        <ext xmlns:x14="http://schemas.microsoft.com/office/spreadsheetml/2009/9/main" uri="{B025F937-C7B1-47D3-B67F-A62EFF666E3E}">
          <x14:id>{922EC54E-E524-41FF-AEA6-7E4BD31E7B70}</x14:id>
        </ext>
      </extLst>
    </cfRule>
  </conditionalFormatting>
  <conditionalFormatting sqref="NO64">
    <cfRule type="dataBar" priority="49">
      <dataBar>
        <cfvo type="percent" val="0"/>
        <cfvo type="percent" val="100"/>
        <color rgb="FFF94607"/>
      </dataBar>
      <extLst>
        <ext xmlns:x14="http://schemas.microsoft.com/office/spreadsheetml/2009/9/main" uri="{B025F937-C7B1-47D3-B67F-A62EFF666E3E}">
          <x14:id>{482AE173-C88C-4137-A509-1D33C1CD5F38}</x14:id>
        </ext>
      </extLst>
    </cfRule>
  </conditionalFormatting>
  <conditionalFormatting sqref="NO64:NO65">
    <cfRule type="dataBar" priority="122">
      <dataBar>
        <cfvo type="percent" val="0"/>
        <cfvo type="percent" val="100"/>
        <color rgb="FFF94607"/>
      </dataBar>
      <extLst>
        <ext xmlns:x14="http://schemas.microsoft.com/office/spreadsheetml/2009/9/main" uri="{B025F937-C7B1-47D3-B67F-A62EFF666E3E}">
          <x14:id>{BF9A332E-8C56-4E8C-8853-02404BEA796A}</x14:id>
        </ext>
      </extLst>
    </cfRule>
  </conditionalFormatting>
  <conditionalFormatting sqref="NO79">
    <cfRule type="dataBar" priority="101">
      <dataBar>
        <cfvo type="percent" val="0"/>
        <cfvo type="percent" val="100"/>
        <color rgb="FFF94607"/>
      </dataBar>
      <extLst>
        <ext xmlns:x14="http://schemas.microsoft.com/office/spreadsheetml/2009/9/main" uri="{B025F937-C7B1-47D3-B67F-A62EFF666E3E}">
          <x14:id>{26EEAF5E-5C54-4B43-AD32-1FA74E43FBB2}</x14:id>
        </ext>
      </extLst>
    </cfRule>
  </conditionalFormatting>
  <conditionalFormatting sqref="NO110">
    <cfRule type="dataBar" priority="80">
      <dataBar>
        <cfvo type="percent" val="0"/>
        <cfvo type="percent" val="100"/>
        <color rgb="FFF94607"/>
      </dataBar>
      <extLst>
        <ext xmlns:x14="http://schemas.microsoft.com/office/spreadsheetml/2009/9/main" uri="{B025F937-C7B1-47D3-B67F-A62EFF666E3E}">
          <x14:id>{B5203131-8C75-4AA4-A02B-979CACE9EA86}</x14:id>
        </ext>
      </extLst>
    </cfRule>
  </conditionalFormatting>
  <conditionalFormatting sqref="NO111">
    <cfRule type="dataBar" priority="59">
      <dataBar>
        <cfvo type="percent" val="0"/>
        <cfvo type="percent" val="100"/>
        <color rgb="FFF94607"/>
      </dataBar>
      <extLst>
        <ext xmlns:x14="http://schemas.microsoft.com/office/spreadsheetml/2009/9/main" uri="{B025F937-C7B1-47D3-B67F-A62EFF666E3E}">
          <x14:id>{942A881A-ACF8-4DDC-9D68-45C981B0D4F5}</x14:id>
        </ext>
      </extLst>
    </cfRule>
  </conditionalFormatting>
  <conditionalFormatting sqref="NR3:NR115">
    <cfRule type="dataBar" priority="30">
      <dataBar>
        <cfvo type="percent" val="0"/>
        <cfvo type="percent" val="100"/>
        <color rgb="FFF94607"/>
      </dataBar>
      <extLst>
        <ext xmlns:x14="http://schemas.microsoft.com/office/spreadsheetml/2009/9/main" uri="{B025F937-C7B1-47D3-B67F-A62EFF666E3E}">
          <x14:id>{250EE43B-431B-4050-8C36-E42DAC12A624}</x14:id>
        </ext>
      </extLst>
    </cfRule>
    <cfRule type="dataBar" priority="45">
      <dataBar>
        <cfvo type="percent" val="0"/>
        <cfvo type="percent" val="100"/>
        <color rgb="FFF94607"/>
      </dataBar>
      <extLst>
        <ext xmlns:x14="http://schemas.microsoft.com/office/spreadsheetml/2009/9/main" uri="{B025F937-C7B1-47D3-B67F-A62EFF666E3E}">
          <x14:id>{7E6E026F-BC84-42B3-A730-6CFBC87D3FCB}</x14:id>
        </ext>
      </extLst>
    </cfRule>
    <cfRule type="dataBar" priority="31">
      <dataBar>
        <cfvo type="percent" val="0"/>
        <cfvo type="percent" val="100"/>
        <color rgb="FFF94607"/>
      </dataBar>
      <extLst>
        <ext xmlns:x14="http://schemas.microsoft.com/office/spreadsheetml/2009/9/main" uri="{B025F937-C7B1-47D3-B67F-A62EFF666E3E}">
          <x14:id>{CAEC1DDC-4258-42D9-B878-7949F71F32F0}</x14:id>
        </ext>
      </extLst>
    </cfRule>
  </conditionalFormatting>
  <conditionalFormatting sqref="NR6">
    <cfRule type="dataBar" priority="291">
      <dataBar>
        <cfvo type="percent" val="0"/>
        <cfvo type="percent" val="100"/>
        <color rgb="FFF94607"/>
      </dataBar>
      <extLst>
        <ext xmlns:x14="http://schemas.microsoft.com/office/spreadsheetml/2009/9/main" uri="{B025F937-C7B1-47D3-B67F-A62EFF666E3E}">
          <x14:id>{9DA33F09-B456-45FC-BEFA-1902DC4E8CE7}</x14:id>
        </ext>
      </extLst>
    </cfRule>
    <cfRule type="dataBar" priority="44">
      <dataBar>
        <cfvo type="percent" val="0"/>
        <cfvo type="percent" val="100"/>
        <color rgb="FFF94607"/>
      </dataBar>
      <extLst>
        <ext xmlns:x14="http://schemas.microsoft.com/office/spreadsheetml/2009/9/main" uri="{B025F937-C7B1-47D3-B67F-A62EFF666E3E}">
          <x14:id>{DB9D22C7-5F66-45F4-A433-085932323056}</x14:id>
        </ext>
      </extLst>
    </cfRule>
  </conditionalFormatting>
  <conditionalFormatting sqref="NR23">
    <cfRule type="dataBar" priority="43">
      <dataBar>
        <cfvo type="percent" val="0"/>
        <cfvo type="percent" val="100"/>
        <color rgb="FFF94607"/>
      </dataBar>
      <extLst>
        <ext xmlns:x14="http://schemas.microsoft.com/office/spreadsheetml/2009/9/main" uri="{B025F937-C7B1-47D3-B67F-A62EFF666E3E}">
          <x14:id>{6D7321B9-D220-40B7-B340-6D604CE1938E}</x14:id>
        </ext>
      </extLst>
    </cfRule>
    <cfRule type="dataBar" priority="270">
      <dataBar>
        <cfvo type="percent" val="0"/>
        <cfvo type="percent" val="100"/>
        <color rgb="FFF94607"/>
      </dataBar>
      <extLst>
        <ext xmlns:x14="http://schemas.microsoft.com/office/spreadsheetml/2009/9/main" uri="{B025F937-C7B1-47D3-B67F-A62EFF666E3E}">
          <x14:id>{DDBC4DBA-1DDD-40EA-9DDB-3C53CB8F965E}</x14:id>
        </ext>
      </extLst>
    </cfRule>
  </conditionalFormatting>
  <conditionalFormatting sqref="NR30">
    <cfRule type="dataBar" priority="249">
      <dataBar>
        <cfvo type="percent" val="0"/>
        <cfvo type="percent" val="100"/>
        <color rgb="FFF94607"/>
      </dataBar>
      <extLst>
        <ext xmlns:x14="http://schemas.microsoft.com/office/spreadsheetml/2009/9/main" uri="{B025F937-C7B1-47D3-B67F-A62EFF666E3E}">
          <x14:id>{89057F50-6507-441A-9997-E229C8E82B3C}</x14:id>
        </ext>
      </extLst>
    </cfRule>
    <cfRule type="dataBar" priority="42">
      <dataBar>
        <cfvo type="percent" val="0"/>
        <cfvo type="percent" val="100"/>
        <color rgb="FFF94607"/>
      </dataBar>
      <extLst>
        <ext xmlns:x14="http://schemas.microsoft.com/office/spreadsheetml/2009/9/main" uri="{B025F937-C7B1-47D3-B67F-A62EFF666E3E}">
          <x14:id>{8862E8D0-A305-4755-A6FC-93F42AD03D47}</x14:id>
        </ext>
      </extLst>
    </cfRule>
  </conditionalFormatting>
  <conditionalFormatting sqref="NR41">
    <cfRule type="dataBar" priority="228">
      <dataBar>
        <cfvo type="percent" val="0"/>
        <cfvo type="percent" val="100"/>
        <color rgb="FFF94607"/>
      </dataBar>
      <extLst>
        <ext xmlns:x14="http://schemas.microsoft.com/office/spreadsheetml/2009/9/main" uri="{B025F937-C7B1-47D3-B67F-A62EFF666E3E}">
          <x14:id>{EC19987D-9E85-413D-8554-5081E76FB669}</x14:id>
        </ext>
      </extLst>
    </cfRule>
    <cfRule type="dataBar" priority="41">
      <dataBar>
        <cfvo type="percent" val="0"/>
        <cfvo type="percent" val="100"/>
        <color rgb="FFF94607"/>
      </dataBar>
      <extLst>
        <ext xmlns:x14="http://schemas.microsoft.com/office/spreadsheetml/2009/9/main" uri="{B025F937-C7B1-47D3-B67F-A62EFF666E3E}">
          <x14:id>{5D0F91EA-A967-46AA-89D3-7CD14F1464E4}</x14:id>
        </ext>
      </extLst>
    </cfRule>
  </conditionalFormatting>
  <conditionalFormatting sqref="NR43">
    <cfRule type="dataBar" priority="40">
      <dataBar>
        <cfvo type="percent" val="0"/>
        <cfvo type="percent" val="100"/>
        <color rgb="FFF94607"/>
      </dataBar>
      <extLst>
        <ext xmlns:x14="http://schemas.microsoft.com/office/spreadsheetml/2009/9/main" uri="{B025F937-C7B1-47D3-B67F-A62EFF666E3E}">
          <x14:id>{414F100C-5318-4F2D-AD7B-F846B2ACB999}</x14:id>
        </ext>
      </extLst>
    </cfRule>
    <cfRule type="dataBar" priority="207">
      <dataBar>
        <cfvo type="percent" val="0"/>
        <cfvo type="percent" val="100"/>
        <color rgb="FFF94607"/>
      </dataBar>
      <extLst>
        <ext xmlns:x14="http://schemas.microsoft.com/office/spreadsheetml/2009/9/main" uri="{B025F937-C7B1-47D3-B67F-A62EFF666E3E}">
          <x14:id>{D2788E7E-CACC-42AB-AFDE-055E2024C4C3}</x14:id>
        </ext>
      </extLst>
    </cfRule>
  </conditionalFormatting>
  <conditionalFormatting sqref="NR45">
    <cfRule type="dataBar" priority="39">
      <dataBar>
        <cfvo type="percent" val="0"/>
        <cfvo type="percent" val="100"/>
        <color rgb="FFF94607"/>
      </dataBar>
      <extLst>
        <ext xmlns:x14="http://schemas.microsoft.com/office/spreadsheetml/2009/9/main" uri="{B025F937-C7B1-47D3-B67F-A62EFF666E3E}">
          <x14:id>{29B6AA22-31AC-447C-8B14-3B8A62D468AF}</x14:id>
        </ext>
      </extLst>
    </cfRule>
    <cfRule type="dataBar" priority="186">
      <dataBar>
        <cfvo type="percent" val="0"/>
        <cfvo type="percent" val="100"/>
        <color rgb="FFF94607"/>
      </dataBar>
      <extLst>
        <ext xmlns:x14="http://schemas.microsoft.com/office/spreadsheetml/2009/9/main" uri="{B025F937-C7B1-47D3-B67F-A62EFF666E3E}">
          <x14:id>{59E43AF3-E212-4FBF-84D8-E8F505D6DAB6}</x14:id>
        </ext>
      </extLst>
    </cfRule>
  </conditionalFormatting>
  <conditionalFormatting sqref="NR53">
    <cfRule type="dataBar" priority="38">
      <dataBar>
        <cfvo type="percent" val="0"/>
        <cfvo type="percent" val="100"/>
        <color rgb="FFF94607"/>
      </dataBar>
      <extLst>
        <ext xmlns:x14="http://schemas.microsoft.com/office/spreadsheetml/2009/9/main" uri="{B025F937-C7B1-47D3-B67F-A62EFF666E3E}">
          <x14:id>{7DB6BA17-0703-49F9-A7E2-461AE16FB8D7}</x14:id>
        </ext>
      </extLst>
    </cfRule>
    <cfRule type="dataBar" priority="165">
      <dataBar>
        <cfvo type="percent" val="0"/>
        <cfvo type="percent" val="100"/>
        <color rgb="FFF94607"/>
      </dataBar>
      <extLst>
        <ext xmlns:x14="http://schemas.microsoft.com/office/spreadsheetml/2009/9/main" uri="{B025F937-C7B1-47D3-B67F-A62EFF666E3E}">
          <x14:id>{CBB72062-BBD5-47CC-834F-B620B6D0D055}</x14:id>
        </ext>
      </extLst>
    </cfRule>
  </conditionalFormatting>
  <conditionalFormatting sqref="NR61">
    <cfRule type="dataBar" priority="144">
      <dataBar>
        <cfvo type="percent" val="0"/>
        <cfvo type="percent" val="100"/>
        <color rgb="FFF94607"/>
      </dataBar>
      <extLst>
        <ext xmlns:x14="http://schemas.microsoft.com/office/spreadsheetml/2009/9/main" uri="{B025F937-C7B1-47D3-B67F-A62EFF666E3E}">
          <x14:id>{8442FEE1-7F86-4AD3-90D0-7BAC64F6C5CE}</x14:id>
        </ext>
      </extLst>
    </cfRule>
    <cfRule type="dataBar" priority="37">
      <dataBar>
        <cfvo type="percent" val="0"/>
        <cfvo type="percent" val="100"/>
        <color rgb="FFF94607"/>
      </dataBar>
      <extLst>
        <ext xmlns:x14="http://schemas.microsoft.com/office/spreadsheetml/2009/9/main" uri="{B025F937-C7B1-47D3-B67F-A62EFF666E3E}">
          <x14:id>{995210F5-D86F-4936-99D3-A2E25FA5CAC3}</x14:id>
        </ext>
      </extLst>
    </cfRule>
  </conditionalFormatting>
  <conditionalFormatting sqref="NR64">
    <cfRule type="dataBar" priority="32">
      <dataBar>
        <cfvo type="percent" val="0"/>
        <cfvo type="percent" val="100"/>
        <color rgb="FFF94607"/>
      </dataBar>
      <extLst>
        <ext xmlns:x14="http://schemas.microsoft.com/office/spreadsheetml/2009/9/main" uri="{B025F937-C7B1-47D3-B67F-A62EFF666E3E}">
          <x14:id>{C7D5A5C3-589B-468A-B73C-ECDB83E5F35B}</x14:id>
        </ext>
      </extLst>
    </cfRule>
  </conditionalFormatting>
  <conditionalFormatting sqref="NR64:NR65">
    <cfRule type="dataBar" priority="123">
      <dataBar>
        <cfvo type="percent" val="0"/>
        <cfvo type="percent" val="100"/>
        <color rgb="FFF94607"/>
      </dataBar>
      <extLst>
        <ext xmlns:x14="http://schemas.microsoft.com/office/spreadsheetml/2009/9/main" uri="{B025F937-C7B1-47D3-B67F-A62EFF666E3E}">
          <x14:id>{F211A4C4-CFD8-4F24-9BD2-8EE55D67A01E}</x14:id>
        </ext>
      </extLst>
    </cfRule>
    <cfRule type="dataBar" priority="36">
      <dataBar>
        <cfvo type="percent" val="0"/>
        <cfvo type="percent" val="100"/>
        <color rgb="FFF94607"/>
      </dataBar>
      <extLst>
        <ext xmlns:x14="http://schemas.microsoft.com/office/spreadsheetml/2009/9/main" uri="{B025F937-C7B1-47D3-B67F-A62EFF666E3E}">
          <x14:id>{AFEFF47E-5EFE-437F-92F5-3653288B70BF}</x14:id>
        </ext>
      </extLst>
    </cfRule>
  </conditionalFormatting>
  <conditionalFormatting sqref="NR79">
    <cfRule type="dataBar" priority="102">
      <dataBar>
        <cfvo type="percent" val="0"/>
        <cfvo type="percent" val="100"/>
        <color rgb="FFF94607"/>
      </dataBar>
      <extLst>
        <ext xmlns:x14="http://schemas.microsoft.com/office/spreadsheetml/2009/9/main" uri="{B025F937-C7B1-47D3-B67F-A62EFF666E3E}">
          <x14:id>{9FB3A4E4-A4B8-4460-B96B-68B7A38EEAE0}</x14:id>
        </ext>
      </extLst>
    </cfRule>
    <cfRule type="dataBar" priority="35">
      <dataBar>
        <cfvo type="percent" val="0"/>
        <cfvo type="percent" val="100"/>
        <color rgb="FFF94607"/>
      </dataBar>
      <extLst>
        <ext xmlns:x14="http://schemas.microsoft.com/office/spreadsheetml/2009/9/main" uri="{B025F937-C7B1-47D3-B67F-A62EFF666E3E}">
          <x14:id>{DEC64A6D-F971-4B5C-B4F1-8CB645423566}</x14:id>
        </ext>
      </extLst>
    </cfRule>
  </conditionalFormatting>
  <conditionalFormatting sqref="NR110">
    <cfRule type="dataBar" priority="81">
      <dataBar>
        <cfvo type="percent" val="0"/>
        <cfvo type="percent" val="100"/>
        <color rgb="FFF94607"/>
      </dataBar>
      <extLst>
        <ext xmlns:x14="http://schemas.microsoft.com/office/spreadsheetml/2009/9/main" uri="{B025F937-C7B1-47D3-B67F-A62EFF666E3E}">
          <x14:id>{567F23CC-F164-477D-B107-198F02AE19E9}</x14:id>
        </ext>
      </extLst>
    </cfRule>
    <cfRule type="dataBar" priority="34">
      <dataBar>
        <cfvo type="percent" val="0"/>
        <cfvo type="percent" val="100"/>
        <color rgb="FFF94607"/>
      </dataBar>
      <extLst>
        <ext xmlns:x14="http://schemas.microsoft.com/office/spreadsheetml/2009/9/main" uri="{B025F937-C7B1-47D3-B67F-A62EFF666E3E}">
          <x14:id>{FE4C3799-DA3C-42E8-B1CB-B1842A2982E1}</x14:id>
        </ext>
      </extLst>
    </cfRule>
  </conditionalFormatting>
  <conditionalFormatting sqref="NR111">
    <cfRule type="dataBar" priority="33">
      <dataBar>
        <cfvo type="percent" val="0"/>
        <cfvo type="percent" val="100"/>
        <color rgb="FFF94607"/>
      </dataBar>
      <extLst>
        <ext xmlns:x14="http://schemas.microsoft.com/office/spreadsheetml/2009/9/main" uri="{B025F937-C7B1-47D3-B67F-A62EFF666E3E}">
          <x14:id>{AB9BFE72-3926-4E95-9135-F64FEEA0B441}</x14:id>
        </ext>
      </extLst>
    </cfRule>
    <cfRule type="dataBar" priority="60">
      <dataBar>
        <cfvo type="percent" val="0"/>
        <cfvo type="percent" val="100"/>
        <color rgb="FFF94607"/>
      </dataBar>
      <extLst>
        <ext xmlns:x14="http://schemas.microsoft.com/office/spreadsheetml/2009/9/main" uri="{B025F937-C7B1-47D3-B67F-A62EFF666E3E}">
          <x14:id>{BB5843B1-08D2-4DDA-A061-EF810C8E8AC4}</x14:id>
        </ext>
      </extLst>
    </cfRule>
  </conditionalFormatting>
  <conditionalFormatting sqref="NR112:NR115 NR3:NR5 NR7:NR22 NR24:NR29 NR42 NR44 NR46:NR52 NR54:NR60 NR62:NR63 NR66:NR78 NR80:NR109 NR31:NR40">
    <cfRule type="dataBar" priority="432">
      <dataBar>
        <cfvo type="percent" val="0"/>
        <cfvo type="percent" val="100"/>
        <color rgb="FFF94607"/>
      </dataBar>
      <extLst>
        <ext xmlns:x14="http://schemas.microsoft.com/office/spreadsheetml/2009/9/main" uri="{B025F937-C7B1-47D3-B67F-A62EFF666E3E}">
          <x14:id>{9B52A9C4-4A9C-473A-940C-CC28EE3A8E94}</x14:id>
        </ext>
      </extLst>
    </cfRule>
  </conditionalFormatting>
  <conditionalFormatting sqref="NU3:NU115">
    <cfRule type="dataBar" priority="16">
      <dataBar>
        <cfvo type="percent" val="0"/>
        <cfvo type="percent" val="100"/>
        <color rgb="FFF94607"/>
      </dataBar>
      <extLst>
        <ext xmlns:x14="http://schemas.microsoft.com/office/spreadsheetml/2009/9/main" uri="{B025F937-C7B1-47D3-B67F-A62EFF666E3E}">
          <x14:id>{CE0D97AF-2227-45E7-8D6F-8040E18F8A09}</x14:id>
        </ext>
      </extLst>
    </cfRule>
    <cfRule type="dataBar" priority="2">
      <dataBar>
        <cfvo type="percent" val="0"/>
        <cfvo type="percent" val="100"/>
        <color rgb="FFF94607"/>
      </dataBar>
      <extLst>
        <ext xmlns:x14="http://schemas.microsoft.com/office/spreadsheetml/2009/9/main" uri="{B025F937-C7B1-47D3-B67F-A62EFF666E3E}">
          <x14:id>{5D011885-287D-4405-85F2-FF1B854C8AA0}</x14:id>
        </ext>
      </extLst>
    </cfRule>
    <cfRule type="dataBar" priority="1">
      <dataBar>
        <cfvo type="percent" val="0"/>
        <cfvo type="percent" val="100"/>
        <color rgb="FFF94607"/>
      </dataBar>
      <extLst>
        <ext xmlns:x14="http://schemas.microsoft.com/office/spreadsheetml/2009/9/main" uri="{B025F937-C7B1-47D3-B67F-A62EFF666E3E}">
          <x14:id>{BBB124DE-C024-4AD3-A680-474B9C1ADF69}</x14:id>
        </ext>
      </extLst>
    </cfRule>
  </conditionalFormatting>
  <conditionalFormatting sqref="NU6">
    <cfRule type="dataBar" priority="15">
      <dataBar>
        <cfvo type="percent" val="0"/>
        <cfvo type="percent" val="100"/>
        <color rgb="FFF94607"/>
      </dataBar>
      <extLst>
        <ext xmlns:x14="http://schemas.microsoft.com/office/spreadsheetml/2009/9/main" uri="{B025F937-C7B1-47D3-B67F-A62EFF666E3E}">
          <x14:id>{E601CC77-1B87-4EF9-8820-966EBE1A7FCD}</x14:id>
        </ext>
      </extLst>
    </cfRule>
    <cfRule type="dataBar" priority="292">
      <dataBar>
        <cfvo type="percent" val="0"/>
        <cfvo type="percent" val="100"/>
        <color rgb="FFF94607"/>
      </dataBar>
      <extLst>
        <ext xmlns:x14="http://schemas.microsoft.com/office/spreadsheetml/2009/9/main" uri="{B025F937-C7B1-47D3-B67F-A62EFF666E3E}">
          <x14:id>{CD07FA98-6CAC-4B47-A9E6-D81290D18DDA}</x14:id>
        </ext>
      </extLst>
    </cfRule>
    <cfRule type="dataBar" priority="28">
      <dataBar>
        <cfvo type="percent" val="0"/>
        <cfvo type="percent" val="100"/>
        <color rgb="FFF94607"/>
      </dataBar>
      <extLst>
        <ext xmlns:x14="http://schemas.microsoft.com/office/spreadsheetml/2009/9/main" uri="{B025F937-C7B1-47D3-B67F-A62EFF666E3E}">
          <x14:id>{20678474-3AEB-4E7A-B7E4-51685116D000}</x14:id>
        </ext>
      </extLst>
    </cfRule>
  </conditionalFormatting>
  <conditionalFormatting sqref="NU23">
    <cfRule type="dataBar" priority="27">
      <dataBar>
        <cfvo type="percent" val="0"/>
        <cfvo type="percent" val="100"/>
        <color rgb="FFF94607"/>
      </dataBar>
      <extLst>
        <ext xmlns:x14="http://schemas.microsoft.com/office/spreadsheetml/2009/9/main" uri="{B025F937-C7B1-47D3-B67F-A62EFF666E3E}">
          <x14:id>{8B1CE713-FA05-48E3-A38A-69A37E63E5A3}</x14:id>
        </ext>
      </extLst>
    </cfRule>
    <cfRule type="dataBar" priority="14">
      <dataBar>
        <cfvo type="percent" val="0"/>
        <cfvo type="percent" val="100"/>
        <color rgb="FFF94607"/>
      </dataBar>
      <extLst>
        <ext xmlns:x14="http://schemas.microsoft.com/office/spreadsheetml/2009/9/main" uri="{B025F937-C7B1-47D3-B67F-A62EFF666E3E}">
          <x14:id>{07724011-3ACB-4018-A8DD-D3A7F966F9BB}</x14:id>
        </ext>
      </extLst>
    </cfRule>
    <cfRule type="dataBar" priority="271">
      <dataBar>
        <cfvo type="percent" val="0"/>
        <cfvo type="percent" val="100"/>
        <color rgb="FFF94607"/>
      </dataBar>
      <extLst>
        <ext xmlns:x14="http://schemas.microsoft.com/office/spreadsheetml/2009/9/main" uri="{B025F937-C7B1-47D3-B67F-A62EFF666E3E}">
          <x14:id>{4F0D6B00-29A8-4914-87E8-3F2F9BE1DFB9}</x14:id>
        </ext>
      </extLst>
    </cfRule>
  </conditionalFormatting>
  <conditionalFormatting sqref="NU30">
    <cfRule type="dataBar" priority="26">
      <dataBar>
        <cfvo type="percent" val="0"/>
        <cfvo type="percent" val="100"/>
        <color rgb="FFF94607"/>
      </dataBar>
      <extLst>
        <ext xmlns:x14="http://schemas.microsoft.com/office/spreadsheetml/2009/9/main" uri="{B025F937-C7B1-47D3-B67F-A62EFF666E3E}">
          <x14:id>{FC02B038-3B82-4738-9166-0686F8DF34A1}</x14:id>
        </ext>
      </extLst>
    </cfRule>
    <cfRule type="dataBar" priority="250">
      <dataBar>
        <cfvo type="percent" val="0"/>
        <cfvo type="percent" val="100"/>
        <color rgb="FFF94607"/>
      </dataBar>
      <extLst>
        <ext xmlns:x14="http://schemas.microsoft.com/office/spreadsheetml/2009/9/main" uri="{B025F937-C7B1-47D3-B67F-A62EFF666E3E}">
          <x14:id>{E3F06795-C3C0-462F-BD02-33AF3B7FE6E5}</x14:id>
        </ext>
      </extLst>
    </cfRule>
    <cfRule type="dataBar" priority="13">
      <dataBar>
        <cfvo type="percent" val="0"/>
        <cfvo type="percent" val="100"/>
        <color rgb="FFF94607"/>
      </dataBar>
      <extLst>
        <ext xmlns:x14="http://schemas.microsoft.com/office/spreadsheetml/2009/9/main" uri="{B025F937-C7B1-47D3-B67F-A62EFF666E3E}">
          <x14:id>{9A696815-25AE-4EBE-AC88-0DE54CC4806C}</x14:id>
        </ext>
      </extLst>
    </cfRule>
  </conditionalFormatting>
  <conditionalFormatting sqref="NU41">
    <cfRule type="dataBar" priority="25">
      <dataBar>
        <cfvo type="percent" val="0"/>
        <cfvo type="percent" val="100"/>
        <color rgb="FFF94607"/>
      </dataBar>
      <extLst>
        <ext xmlns:x14="http://schemas.microsoft.com/office/spreadsheetml/2009/9/main" uri="{B025F937-C7B1-47D3-B67F-A62EFF666E3E}">
          <x14:id>{57869F3B-9641-41A7-92B7-2A610EE2B4FE}</x14:id>
        </ext>
      </extLst>
    </cfRule>
    <cfRule type="dataBar" priority="12">
      <dataBar>
        <cfvo type="percent" val="0"/>
        <cfvo type="percent" val="100"/>
        <color rgb="FFF94607"/>
      </dataBar>
      <extLst>
        <ext xmlns:x14="http://schemas.microsoft.com/office/spreadsheetml/2009/9/main" uri="{B025F937-C7B1-47D3-B67F-A62EFF666E3E}">
          <x14:id>{745964BF-33E2-4F31-81FA-CBAB91440A2E}</x14:id>
        </ext>
      </extLst>
    </cfRule>
    <cfRule type="dataBar" priority="229">
      <dataBar>
        <cfvo type="percent" val="0"/>
        <cfvo type="percent" val="100"/>
        <color rgb="FFF94607"/>
      </dataBar>
      <extLst>
        <ext xmlns:x14="http://schemas.microsoft.com/office/spreadsheetml/2009/9/main" uri="{B025F937-C7B1-47D3-B67F-A62EFF666E3E}">
          <x14:id>{936BFD27-5B2C-4348-80FA-712EC31EEDE3}</x14:id>
        </ext>
      </extLst>
    </cfRule>
  </conditionalFormatting>
  <conditionalFormatting sqref="NU43">
    <cfRule type="dataBar" priority="208">
      <dataBar>
        <cfvo type="percent" val="0"/>
        <cfvo type="percent" val="100"/>
        <color rgb="FFF94607"/>
      </dataBar>
      <extLst>
        <ext xmlns:x14="http://schemas.microsoft.com/office/spreadsheetml/2009/9/main" uri="{B025F937-C7B1-47D3-B67F-A62EFF666E3E}">
          <x14:id>{875C927B-0307-4D00-9862-FEE247993C99}</x14:id>
        </ext>
      </extLst>
    </cfRule>
    <cfRule type="dataBar" priority="24">
      <dataBar>
        <cfvo type="percent" val="0"/>
        <cfvo type="percent" val="100"/>
        <color rgb="FFF94607"/>
      </dataBar>
      <extLst>
        <ext xmlns:x14="http://schemas.microsoft.com/office/spreadsheetml/2009/9/main" uri="{B025F937-C7B1-47D3-B67F-A62EFF666E3E}">
          <x14:id>{9E85E2BB-5B4F-4274-B39E-7A82A306B442}</x14:id>
        </ext>
      </extLst>
    </cfRule>
    <cfRule type="dataBar" priority="11">
      <dataBar>
        <cfvo type="percent" val="0"/>
        <cfvo type="percent" val="100"/>
        <color rgb="FFF94607"/>
      </dataBar>
      <extLst>
        <ext xmlns:x14="http://schemas.microsoft.com/office/spreadsheetml/2009/9/main" uri="{B025F937-C7B1-47D3-B67F-A62EFF666E3E}">
          <x14:id>{DE308B79-19D1-4CC4-A3DF-D0002C652BB0}</x14:id>
        </ext>
      </extLst>
    </cfRule>
  </conditionalFormatting>
  <conditionalFormatting sqref="NU45">
    <cfRule type="dataBar" priority="187">
      <dataBar>
        <cfvo type="percent" val="0"/>
        <cfvo type="percent" val="100"/>
        <color rgb="FFF94607"/>
      </dataBar>
      <extLst>
        <ext xmlns:x14="http://schemas.microsoft.com/office/spreadsheetml/2009/9/main" uri="{B025F937-C7B1-47D3-B67F-A62EFF666E3E}">
          <x14:id>{DC8B5644-1C2B-4B41-ACF7-3A83CF0B2A91}</x14:id>
        </ext>
      </extLst>
    </cfRule>
    <cfRule type="dataBar" priority="23">
      <dataBar>
        <cfvo type="percent" val="0"/>
        <cfvo type="percent" val="100"/>
        <color rgb="FFF94607"/>
      </dataBar>
      <extLst>
        <ext xmlns:x14="http://schemas.microsoft.com/office/spreadsheetml/2009/9/main" uri="{B025F937-C7B1-47D3-B67F-A62EFF666E3E}">
          <x14:id>{C2AF5404-9234-4F52-8074-94BC5AE1E80E}</x14:id>
        </ext>
      </extLst>
    </cfRule>
    <cfRule type="dataBar" priority="10">
      <dataBar>
        <cfvo type="percent" val="0"/>
        <cfvo type="percent" val="100"/>
        <color rgb="FFF94607"/>
      </dataBar>
      <extLst>
        <ext xmlns:x14="http://schemas.microsoft.com/office/spreadsheetml/2009/9/main" uri="{B025F937-C7B1-47D3-B67F-A62EFF666E3E}">
          <x14:id>{8DEFCA47-080F-4BFE-9BA2-F82718087A8B}</x14:id>
        </ext>
      </extLst>
    </cfRule>
  </conditionalFormatting>
  <conditionalFormatting sqref="NU53">
    <cfRule type="dataBar" priority="9">
      <dataBar>
        <cfvo type="percent" val="0"/>
        <cfvo type="percent" val="100"/>
        <color rgb="FFF94607"/>
      </dataBar>
      <extLst>
        <ext xmlns:x14="http://schemas.microsoft.com/office/spreadsheetml/2009/9/main" uri="{B025F937-C7B1-47D3-B67F-A62EFF666E3E}">
          <x14:id>{98CF02DD-06F9-4DCE-A815-0A68A3C1E38A}</x14:id>
        </ext>
      </extLst>
    </cfRule>
    <cfRule type="dataBar" priority="166">
      <dataBar>
        <cfvo type="percent" val="0"/>
        <cfvo type="percent" val="100"/>
        <color rgb="FFF94607"/>
      </dataBar>
      <extLst>
        <ext xmlns:x14="http://schemas.microsoft.com/office/spreadsheetml/2009/9/main" uri="{B025F937-C7B1-47D3-B67F-A62EFF666E3E}">
          <x14:id>{F7BB2FFF-3146-4C03-B387-189F0BFA45D3}</x14:id>
        </ext>
      </extLst>
    </cfRule>
    <cfRule type="dataBar" priority="22">
      <dataBar>
        <cfvo type="percent" val="0"/>
        <cfvo type="percent" val="100"/>
        <color rgb="FFF94607"/>
      </dataBar>
      <extLst>
        <ext xmlns:x14="http://schemas.microsoft.com/office/spreadsheetml/2009/9/main" uri="{B025F937-C7B1-47D3-B67F-A62EFF666E3E}">
          <x14:id>{C164CDB6-E073-4CD1-8C6F-202C347975A5}</x14:id>
        </ext>
      </extLst>
    </cfRule>
  </conditionalFormatting>
  <conditionalFormatting sqref="NU61">
    <cfRule type="dataBar" priority="8">
      <dataBar>
        <cfvo type="percent" val="0"/>
        <cfvo type="percent" val="100"/>
        <color rgb="FFF94607"/>
      </dataBar>
      <extLst>
        <ext xmlns:x14="http://schemas.microsoft.com/office/spreadsheetml/2009/9/main" uri="{B025F937-C7B1-47D3-B67F-A62EFF666E3E}">
          <x14:id>{E956660B-789B-4D5E-A6CA-1F64AABE74F0}</x14:id>
        </ext>
      </extLst>
    </cfRule>
    <cfRule type="dataBar" priority="21">
      <dataBar>
        <cfvo type="percent" val="0"/>
        <cfvo type="percent" val="100"/>
        <color rgb="FFF94607"/>
      </dataBar>
      <extLst>
        <ext xmlns:x14="http://schemas.microsoft.com/office/spreadsheetml/2009/9/main" uri="{B025F937-C7B1-47D3-B67F-A62EFF666E3E}">
          <x14:id>{39215CA6-DFF8-4A24-A5E8-C72E6651C197}</x14:id>
        </ext>
      </extLst>
    </cfRule>
    <cfRule type="dataBar" priority="145">
      <dataBar>
        <cfvo type="percent" val="0"/>
        <cfvo type="percent" val="100"/>
        <color rgb="FFF94607"/>
      </dataBar>
      <extLst>
        <ext xmlns:x14="http://schemas.microsoft.com/office/spreadsheetml/2009/9/main" uri="{B025F937-C7B1-47D3-B67F-A62EFF666E3E}">
          <x14:id>{C8D2973C-901D-4BF2-B70C-0EB4311A58DC}</x14:id>
        </ext>
      </extLst>
    </cfRule>
  </conditionalFormatting>
  <conditionalFormatting sqref="NU64">
    <cfRule type="dataBar" priority="3">
      <dataBar>
        <cfvo type="percent" val="0"/>
        <cfvo type="percent" val="100"/>
        <color rgb="FFF94607"/>
      </dataBar>
      <extLst>
        <ext xmlns:x14="http://schemas.microsoft.com/office/spreadsheetml/2009/9/main" uri="{B025F937-C7B1-47D3-B67F-A62EFF666E3E}">
          <x14:id>{F897BC2C-94E8-4AC3-A484-59C0552C0F9A}</x14:id>
        </ext>
      </extLst>
    </cfRule>
  </conditionalFormatting>
  <conditionalFormatting sqref="NU64:NU65">
    <cfRule type="dataBar" priority="7">
      <dataBar>
        <cfvo type="percent" val="0"/>
        <cfvo type="percent" val="100"/>
        <color rgb="FFF94607"/>
      </dataBar>
      <extLst>
        <ext xmlns:x14="http://schemas.microsoft.com/office/spreadsheetml/2009/9/main" uri="{B025F937-C7B1-47D3-B67F-A62EFF666E3E}">
          <x14:id>{D5BF1883-B69F-45DC-9923-B83296D2B7C1}</x14:id>
        </ext>
      </extLst>
    </cfRule>
    <cfRule type="dataBar" priority="20">
      <dataBar>
        <cfvo type="percent" val="0"/>
        <cfvo type="percent" val="100"/>
        <color rgb="FFF94607"/>
      </dataBar>
      <extLst>
        <ext xmlns:x14="http://schemas.microsoft.com/office/spreadsheetml/2009/9/main" uri="{B025F937-C7B1-47D3-B67F-A62EFF666E3E}">
          <x14:id>{E163D285-88BA-41E3-9BDF-9B05FA945D83}</x14:id>
        </ext>
      </extLst>
    </cfRule>
    <cfRule type="dataBar" priority="124">
      <dataBar>
        <cfvo type="percent" val="0"/>
        <cfvo type="percent" val="100"/>
        <color rgb="FFF94607"/>
      </dataBar>
      <extLst>
        <ext xmlns:x14="http://schemas.microsoft.com/office/spreadsheetml/2009/9/main" uri="{B025F937-C7B1-47D3-B67F-A62EFF666E3E}">
          <x14:id>{A4211401-E46F-46E3-96D2-9C2DCD586778}</x14:id>
        </ext>
      </extLst>
    </cfRule>
  </conditionalFormatting>
  <conditionalFormatting sqref="NU79">
    <cfRule type="dataBar" priority="6">
      <dataBar>
        <cfvo type="percent" val="0"/>
        <cfvo type="percent" val="100"/>
        <color rgb="FFF94607"/>
      </dataBar>
      <extLst>
        <ext xmlns:x14="http://schemas.microsoft.com/office/spreadsheetml/2009/9/main" uri="{B025F937-C7B1-47D3-B67F-A62EFF666E3E}">
          <x14:id>{D20E807E-3F12-4626-82D4-1BBB41475E5C}</x14:id>
        </ext>
      </extLst>
    </cfRule>
    <cfRule type="dataBar" priority="19">
      <dataBar>
        <cfvo type="percent" val="0"/>
        <cfvo type="percent" val="100"/>
        <color rgb="FFF94607"/>
      </dataBar>
      <extLst>
        <ext xmlns:x14="http://schemas.microsoft.com/office/spreadsheetml/2009/9/main" uri="{B025F937-C7B1-47D3-B67F-A62EFF666E3E}">
          <x14:id>{4054AB8B-0F81-43D3-825B-0E6A0F401F47}</x14:id>
        </ext>
      </extLst>
    </cfRule>
    <cfRule type="dataBar" priority="103">
      <dataBar>
        <cfvo type="percent" val="0"/>
        <cfvo type="percent" val="100"/>
        <color rgb="FFF94607"/>
      </dataBar>
      <extLst>
        <ext xmlns:x14="http://schemas.microsoft.com/office/spreadsheetml/2009/9/main" uri="{B025F937-C7B1-47D3-B67F-A62EFF666E3E}">
          <x14:id>{20D8DE44-4D3F-40A1-A1EA-47D888942F95}</x14:id>
        </ext>
      </extLst>
    </cfRule>
  </conditionalFormatting>
  <conditionalFormatting sqref="NU110">
    <cfRule type="dataBar" priority="5">
      <dataBar>
        <cfvo type="percent" val="0"/>
        <cfvo type="percent" val="100"/>
        <color rgb="FFF94607"/>
      </dataBar>
      <extLst>
        <ext xmlns:x14="http://schemas.microsoft.com/office/spreadsheetml/2009/9/main" uri="{B025F937-C7B1-47D3-B67F-A62EFF666E3E}">
          <x14:id>{2BD3FEE2-5612-4E92-B657-4754CF4D3510}</x14:id>
        </ext>
      </extLst>
    </cfRule>
    <cfRule type="dataBar" priority="18">
      <dataBar>
        <cfvo type="percent" val="0"/>
        <cfvo type="percent" val="100"/>
        <color rgb="FFF94607"/>
      </dataBar>
      <extLst>
        <ext xmlns:x14="http://schemas.microsoft.com/office/spreadsheetml/2009/9/main" uri="{B025F937-C7B1-47D3-B67F-A62EFF666E3E}">
          <x14:id>{BBAC9B47-7C68-4FBD-8BDE-B9F73C9673AB}</x14:id>
        </ext>
      </extLst>
    </cfRule>
    <cfRule type="dataBar" priority="82">
      <dataBar>
        <cfvo type="percent" val="0"/>
        <cfvo type="percent" val="100"/>
        <color rgb="FFF94607"/>
      </dataBar>
      <extLst>
        <ext xmlns:x14="http://schemas.microsoft.com/office/spreadsheetml/2009/9/main" uri="{B025F937-C7B1-47D3-B67F-A62EFF666E3E}">
          <x14:id>{B13059C8-2D2B-4616-BB0D-44F27EFFA7A5}</x14:id>
        </ext>
      </extLst>
    </cfRule>
  </conditionalFormatting>
  <conditionalFormatting sqref="NU111">
    <cfRule type="dataBar" priority="4">
      <dataBar>
        <cfvo type="percent" val="0"/>
        <cfvo type="percent" val="100"/>
        <color rgb="FFF94607"/>
      </dataBar>
      <extLst>
        <ext xmlns:x14="http://schemas.microsoft.com/office/spreadsheetml/2009/9/main" uri="{B025F937-C7B1-47D3-B67F-A62EFF666E3E}">
          <x14:id>{152565F3-4C72-4EBC-B6E4-9A388F18389F}</x14:id>
        </ext>
      </extLst>
    </cfRule>
    <cfRule type="dataBar" priority="17">
      <dataBar>
        <cfvo type="percent" val="0"/>
        <cfvo type="percent" val="100"/>
        <color rgb="FFF94607"/>
      </dataBar>
      <extLst>
        <ext xmlns:x14="http://schemas.microsoft.com/office/spreadsheetml/2009/9/main" uri="{B025F937-C7B1-47D3-B67F-A62EFF666E3E}">
          <x14:id>{DA6D3B6E-7E88-4592-8F5C-2BFA24244B7A}</x14:id>
        </ext>
      </extLst>
    </cfRule>
    <cfRule type="dataBar" priority="61">
      <dataBar>
        <cfvo type="percent" val="0"/>
        <cfvo type="percent" val="100"/>
        <color rgb="FFF94607"/>
      </dataBar>
      <extLst>
        <ext xmlns:x14="http://schemas.microsoft.com/office/spreadsheetml/2009/9/main" uri="{B025F937-C7B1-47D3-B67F-A62EFF666E3E}">
          <x14:id>{C03DDAA7-8DBE-4321-A3B5-9BDF008DBEF2}</x14:id>
        </ext>
      </extLst>
    </cfRule>
  </conditionalFormatting>
  <conditionalFormatting sqref="NU112:NU115 NU3:NU5 NU7:NU22 NU24:NU29 NU31:NU40 NU42 NU44 NU46:NU52 NU54:NU60 NU62:NU63 NU66:NU78 NU80:NU109">
    <cfRule type="dataBar" priority="434">
      <dataBar>
        <cfvo type="percent" val="0"/>
        <cfvo type="percent" val="100"/>
        <color rgb="FFF94607"/>
      </dataBar>
      <extLst>
        <ext xmlns:x14="http://schemas.microsoft.com/office/spreadsheetml/2009/9/main" uri="{B025F937-C7B1-47D3-B67F-A62EFF666E3E}">
          <x14:id>{D4CCC144-AAF8-4474-B284-8516448F1610}</x14:id>
        </ext>
      </extLst>
    </cfRule>
  </conditionalFormatting>
  <conditionalFormatting sqref="NU112:NU115 NU3:NU5 NU7:NU22 NU24:NU29 NU42 NU44 NU46:NU52 NU54:NU60 NU62:NU63 NU66:NU78 NU80:NU109 NU31:NU40">
    <cfRule type="dataBar" priority="29">
      <dataBar>
        <cfvo type="percent" val="0"/>
        <cfvo type="percent" val="100"/>
        <color rgb="FFF94607"/>
      </dataBar>
      <extLst>
        <ext xmlns:x14="http://schemas.microsoft.com/office/spreadsheetml/2009/9/main" uri="{B025F937-C7B1-47D3-B67F-A62EFF666E3E}">
          <x14:id>{06E3340E-912D-41BB-9FC2-105AA0365A0A}</x14:id>
        </ext>
      </extLst>
    </cfRule>
  </conditionalFormatting>
  <conditionalFormatting sqref="NX6">
    <cfRule type="dataBar" priority="293">
      <dataBar>
        <cfvo type="percent" val="0"/>
        <cfvo type="percent" val="100"/>
        <color rgb="FFF94607"/>
      </dataBar>
      <extLst>
        <ext xmlns:x14="http://schemas.microsoft.com/office/spreadsheetml/2009/9/main" uri="{B025F937-C7B1-47D3-B67F-A62EFF666E3E}">
          <x14:id>{E0BD9E2F-5D19-4778-B926-EAD284F0DF99}</x14:id>
        </ext>
      </extLst>
    </cfRule>
  </conditionalFormatting>
  <conditionalFormatting sqref="NX23">
    <cfRule type="dataBar" priority="272">
      <dataBar>
        <cfvo type="percent" val="0"/>
        <cfvo type="percent" val="100"/>
        <color rgb="FFF94607"/>
      </dataBar>
      <extLst>
        <ext xmlns:x14="http://schemas.microsoft.com/office/spreadsheetml/2009/9/main" uri="{B025F937-C7B1-47D3-B67F-A62EFF666E3E}">
          <x14:id>{0CAD4BCD-C073-4685-A8AF-4CA7AFF53B1E}</x14:id>
        </ext>
      </extLst>
    </cfRule>
  </conditionalFormatting>
  <conditionalFormatting sqref="NX30">
    <cfRule type="dataBar" priority="251">
      <dataBar>
        <cfvo type="percent" val="0"/>
        <cfvo type="percent" val="100"/>
        <color rgb="FFF94607"/>
      </dataBar>
      <extLst>
        <ext xmlns:x14="http://schemas.microsoft.com/office/spreadsheetml/2009/9/main" uri="{B025F937-C7B1-47D3-B67F-A62EFF666E3E}">
          <x14:id>{892F1DBF-D0E3-4F02-8853-9014822AA41D}</x14:id>
        </ext>
      </extLst>
    </cfRule>
  </conditionalFormatting>
  <conditionalFormatting sqref="NX41">
    <cfRule type="dataBar" priority="230">
      <dataBar>
        <cfvo type="percent" val="0"/>
        <cfvo type="percent" val="100"/>
        <color rgb="FFF94607"/>
      </dataBar>
      <extLst>
        <ext xmlns:x14="http://schemas.microsoft.com/office/spreadsheetml/2009/9/main" uri="{B025F937-C7B1-47D3-B67F-A62EFF666E3E}">
          <x14:id>{4249F66C-D9CF-47B5-A118-4B5E864AEF23}</x14:id>
        </ext>
      </extLst>
    </cfRule>
  </conditionalFormatting>
  <conditionalFormatting sqref="NX43">
    <cfRule type="dataBar" priority="209">
      <dataBar>
        <cfvo type="percent" val="0"/>
        <cfvo type="percent" val="100"/>
        <color rgb="FFF94607"/>
      </dataBar>
      <extLst>
        <ext xmlns:x14="http://schemas.microsoft.com/office/spreadsheetml/2009/9/main" uri="{B025F937-C7B1-47D3-B67F-A62EFF666E3E}">
          <x14:id>{5BAA01A0-254B-4DE2-8F91-7C3C7FBB52BC}</x14:id>
        </ext>
      </extLst>
    </cfRule>
  </conditionalFormatting>
  <conditionalFormatting sqref="NX45">
    <cfRule type="dataBar" priority="188">
      <dataBar>
        <cfvo type="percent" val="0"/>
        <cfvo type="percent" val="100"/>
        <color rgb="FFF94607"/>
      </dataBar>
      <extLst>
        <ext xmlns:x14="http://schemas.microsoft.com/office/spreadsheetml/2009/9/main" uri="{B025F937-C7B1-47D3-B67F-A62EFF666E3E}">
          <x14:id>{F63720DE-8579-45E5-881E-E00B65EE6116}</x14:id>
        </ext>
      </extLst>
    </cfRule>
  </conditionalFormatting>
  <conditionalFormatting sqref="NX53">
    <cfRule type="dataBar" priority="167">
      <dataBar>
        <cfvo type="percent" val="0"/>
        <cfvo type="percent" val="100"/>
        <color rgb="FFF94607"/>
      </dataBar>
      <extLst>
        <ext xmlns:x14="http://schemas.microsoft.com/office/spreadsheetml/2009/9/main" uri="{B025F937-C7B1-47D3-B67F-A62EFF666E3E}">
          <x14:id>{DD9DFE02-4B7C-4E99-812E-9BCEA64C270D}</x14:id>
        </ext>
      </extLst>
    </cfRule>
  </conditionalFormatting>
  <conditionalFormatting sqref="NX61">
    <cfRule type="dataBar" priority="146">
      <dataBar>
        <cfvo type="percent" val="0"/>
        <cfvo type="percent" val="100"/>
        <color rgb="FFF94607"/>
      </dataBar>
      <extLst>
        <ext xmlns:x14="http://schemas.microsoft.com/office/spreadsheetml/2009/9/main" uri="{B025F937-C7B1-47D3-B67F-A62EFF666E3E}">
          <x14:id>{64BBB898-A9F4-4D1A-BA79-648BD4AE9122}</x14:id>
        </ext>
      </extLst>
    </cfRule>
  </conditionalFormatting>
  <conditionalFormatting sqref="NX64:NX65">
    <cfRule type="dataBar" priority="125">
      <dataBar>
        <cfvo type="percent" val="0"/>
        <cfvo type="percent" val="100"/>
        <color rgb="FFF94607"/>
      </dataBar>
      <extLst>
        <ext xmlns:x14="http://schemas.microsoft.com/office/spreadsheetml/2009/9/main" uri="{B025F937-C7B1-47D3-B67F-A62EFF666E3E}">
          <x14:id>{16F9F66D-15FE-4B5C-AC46-914AF6851132}</x14:id>
        </ext>
      </extLst>
    </cfRule>
  </conditionalFormatting>
  <conditionalFormatting sqref="NX79">
    <cfRule type="dataBar" priority="104">
      <dataBar>
        <cfvo type="percent" val="0"/>
        <cfvo type="percent" val="100"/>
        <color rgb="FFF94607"/>
      </dataBar>
      <extLst>
        <ext xmlns:x14="http://schemas.microsoft.com/office/spreadsheetml/2009/9/main" uri="{B025F937-C7B1-47D3-B67F-A62EFF666E3E}">
          <x14:id>{0365CCCC-8453-4767-9B58-412674147BBB}</x14:id>
        </ext>
      </extLst>
    </cfRule>
  </conditionalFormatting>
  <conditionalFormatting sqref="NX110">
    <cfRule type="dataBar" priority="83">
      <dataBar>
        <cfvo type="percent" val="0"/>
        <cfvo type="percent" val="100"/>
        <color rgb="FFF94607"/>
      </dataBar>
      <extLst>
        <ext xmlns:x14="http://schemas.microsoft.com/office/spreadsheetml/2009/9/main" uri="{B025F937-C7B1-47D3-B67F-A62EFF666E3E}">
          <x14:id>{9D7BF52B-BDF6-4589-B074-46961A8A971E}</x14:id>
        </ext>
      </extLst>
    </cfRule>
  </conditionalFormatting>
  <conditionalFormatting sqref="NX111">
    <cfRule type="dataBar" priority="62">
      <dataBar>
        <cfvo type="percent" val="0"/>
        <cfvo type="percent" val="100"/>
        <color rgb="FFF94607"/>
      </dataBar>
      <extLst>
        <ext xmlns:x14="http://schemas.microsoft.com/office/spreadsheetml/2009/9/main" uri="{B025F937-C7B1-47D3-B67F-A62EFF666E3E}">
          <x14:id>{A2424A85-58AF-4984-B21A-373060C39F3C}</x14:id>
        </ext>
      </extLst>
    </cfRule>
  </conditionalFormatting>
  <conditionalFormatting sqref="NX112:NX115 NX3:NX5 NX7:NX22 NX24:NX29 NX31:NX40 NX42 NX44 NX46:NX52 NX54:NX60 NX62:NX63 NX66:NX78 NX80:NX109">
    <cfRule type="dataBar" priority="436">
      <dataBar>
        <cfvo type="percent" val="0"/>
        <cfvo type="percent" val="100"/>
        <color rgb="FFF94607"/>
      </dataBar>
      <extLst>
        <ext xmlns:x14="http://schemas.microsoft.com/office/spreadsheetml/2009/9/main" uri="{B025F937-C7B1-47D3-B67F-A62EFF666E3E}">
          <x14:id>{62C5B057-6ADF-4A0F-B3C7-9E15206F50FB}</x14:id>
        </ext>
      </extLst>
    </cfRule>
  </conditionalFormatting>
  <conditionalFormatting sqref="OA6">
    <cfRule type="dataBar" priority="294">
      <dataBar>
        <cfvo type="percent" val="0"/>
        <cfvo type="percent" val="100"/>
        <color rgb="FFF94607"/>
      </dataBar>
      <extLst>
        <ext xmlns:x14="http://schemas.microsoft.com/office/spreadsheetml/2009/9/main" uri="{B025F937-C7B1-47D3-B67F-A62EFF666E3E}">
          <x14:id>{D57636EB-B79D-47D0-BB19-A0C7114C2201}</x14:id>
        </ext>
      </extLst>
    </cfRule>
  </conditionalFormatting>
  <conditionalFormatting sqref="OA23">
    <cfRule type="dataBar" priority="273">
      <dataBar>
        <cfvo type="percent" val="0"/>
        <cfvo type="percent" val="100"/>
        <color rgb="FFF94607"/>
      </dataBar>
      <extLst>
        <ext xmlns:x14="http://schemas.microsoft.com/office/spreadsheetml/2009/9/main" uri="{B025F937-C7B1-47D3-B67F-A62EFF666E3E}">
          <x14:id>{51425301-A6BE-4BD4-9710-819085435BE3}</x14:id>
        </ext>
      </extLst>
    </cfRule>
  </conditionalFormatting>
  <conditionalFormatting sqref="OA30">
    <cfRule type="dataBar" priority="252">
      <dataBar>
        <cfvo type="percent" val="0"/>
        <cfvo type="percent" val="100"/>
        <color rgb="FFF94607"/>
      </dataBar>
      <extLst>
        <ext xmlns:x14="http://schemas.microsoft.com/office/spreadsheetml/2009/9/main" uri="{B025F937-C7B1-47D3-B67F-A62EFF666E3E}">
          <x14:id>{FC8E288A-F8FA-42B2-9B3B-209C4863B6A1}</x14:id>
        </ext>
      </extLst>
    </cfRule>
  </conditionalFormatting>
  <conditionalFormatting sqref="OA41">
    <cfRule type="dataBar" priority="231">
      <dataBar>
        <cfvo type="percent" val="0"/>
        <cfvo type="percent" val="100"/>
        <color rgb="FFF94607"/>
      </dataBar>
      <extLst>
        <ext xmlns:x14="http://schemas.microsoft.com/office/spreadsheetml/2009/9/main" uri="{B025F937-C7B1-47D3-B67F-A62EFF666E3E}">
          <x14:id>{752C79FC-E710-49AD-BFFF-B96FB7DA651B}</x14:id>
        </ext>
      </extLst>
    </cfRule>
  </conditionalFormatting>
  <conditionalFormatting sqref="OA43">
    <cfRule type="dataBar" priority="210">
      <dataBar>
        <cfvo type="percent" val="0"/>
        <cfvo type="percent" val="100"/>
        <color rgb="FFF94607"/>
      </dataBar>
      <extLst>
        <ext xmlns:x14="http://schemas.microsoft.com/office/spreadsheetml/2009/9/main" uri="{B025F937-C7B1-47D3-B67F-A62EFF666E3E}">
          <x14:id>{1CD83FAF-82AD-4160-A467-A23E66019098}</x14:id>
        </ext>
      </extLst>
    </cfRule>
  </conditionalFormatting>
  <conditionalFormatting sqref="OA45">
    <cfRule type="dataBar" priority="189">
      <dataBar>
        <cfvo type="percent" val="0"/>
        <cfvo type="percent" val="100"/>
        <color rgb="FFF94607"/>
      </dataBar>
      <extLst>
        <ext xmlns:x14="http://schemas.microsoft.com/office/spreadsheetml/2009/9/main" uri="{B025F937-C7B1-47D3-B67F-A62EFF666E3E}">
          <x14:id>{CCD3BE5A-FF27-46A9-B420-066F826A0112}</x14:id>
        </ext>
      </extLst>
    </cfRule>
  </conditionalFormatting>
  <conditionalFormatting sqref="OA53">
    <cfRule type="dataBar" priority="168">
      <dataBar>
        <cfvo type="percent" val="0"/>
        <cfvo type="percent" val="100"/>
        <color rgb="FFF94607"/>
      </dataBar>
      <extLst>
        <ext xmlns:x14="http://schemas.microsoft.com/office/spreadsheetml/2009/9/main" uri="{B025F937-C7B1-47D3-B67F-A62EFF666E3E}">
          <x14:id>{5476DA2C-D6C4-40F9-8C33-E2FD263BC7EB}</x14:id>
        </ext>
      </extLst>
    </cfRule>
  </conditionalFormatting>
  <conditionalFormatting sqref="OA61">
    <cfRule type="dataBar" priority="147">
      <dataBar>
        <cfvo type="percent" val="0"/>
        <cfvo type="percent" val="100"/>
        <color rgb="FFF94607"/>
      </dataBar>
      <extLst>
        <ext xmlns:x14="http://schemas.microsoft.com/office/spreadsheetml/2009/9/main" uri="{B025F937-C7B1-47D3-B67F-A62EFF666E3E}">
          <x14:id>{0D7BDFC5-DA70-4942-B4E8-0B3C54C70054}</x14:id>
        </ext>
      </extLst>
    </cfRule>
  </conditionalFormatting>
  <conditionalFormatting sqref="OA64:OA65">
    <cfRule type="dataBar" priority="126">
      <dataBar>
        <cfvo type="percent" val="0"/>
        <cfvo type="percent" val="100"/>
        <color rgb="FFF94607"/>
      </dataBar>
      <extLst>
        <ext xmlns:x14="http://schemas.microsoft.com/office/spreadsheetml/2009/9/main" uri="{B025F937-C7B1-47D3-B67F-A62EFF666E3E}">
          <x14:id>{0EB94B21-3159-4A84-BC44-C57D8CE45458}</x14:id>
        </ext>
      </extLst>
    </cfRule>
  </conditionalFormatting>
  <conditionalFormatting sqref="OA79">
    <cfRule type="dataBar" priority="105">
      <dataBar>
        <cfvo type="percent" val="0"/>
        <cfvo type="percent" val="100"/>
        <color rgb="FFF94607"/>
      </dataBar>
      <extLst>
        <ext xmlns:x14="http://schemas.microsoft.com/office/spreadsheetml/2009/9/main" uri="{B025F937-C7B1-47D3-B67F-A62EFF666E3E}">
          <x14:id>{5B5E3328-A342-413A-B1C2-7B1D92D0C054}</x14:id>
        </ext>
      </extLst>
    </cfRule>
  </conditionalFormatting>
  <conditionalFormatting sqref="OA110">
    <cfRule type="dataBar" priority="84">
      <dataBar>
        <cfvo type="percent" val="0"/>
        <cfvo type="percent" val="100"/>
        <color rgb="FFF94607"/>
      </dataBar>
      <extLst>
        <ext xmlns:x14="http://schemas.microsoft.com/office/spreadsheetml/2009/9/main" uri="{B025F937-C7B1-47D3-B67F-A62EFF666E3E}">
          <x14:id>{D5F8CE00-F411-4271-ACE3-B36100395760}</x14:id>
        </ext>
      </extLst>
    </cfRule>
  </conditionalFormatting>
  <conditionalFormatting sqref="OA111">
    <cfRule type="dataBar" priority="63">
      <dataBar>
        <cfvo type="percent" val="0"/>
        <cfvo type="percent" val="100"/>
        <color rgb="FFF94607"/>
      </dataBar>
      <extLst>
        <ext xmlns:x14="http://schemas.microsoft.com/office/spreadsheetml/2009/9/main" uri="{B025F937-C7B1-47D3-B67F-A62EFF666E3E}">
          <x14:id>{BDFA03DA-3005-4300-85BF-6F099D19929C}</x14:id>
        </ext>
      </extLst>
    </cfRule>
  </conditionalFormatting>
  <conditionalFormatting sqref="OA112:OA115 OA3:OA5 OA7:OA22 OA24:OA29 OA31:OA40 OA42 OA44 OA46:OA52 OA54:OA60 OA62:OA63 OA66:OA78 OA80:OA109">
    <cfRule type="dataBar" priority="438">
      <dataBar>
        <cfvo type="percent" val="0"/>
        <cfvo type="percent" val="100"/>
        <color rgb="FFF94607"/>
      </dataBar>
      <extLst>
        <ext xmlns:x14="http://schemas.microsoft.com/office/spreadsheetml/2009/9/main" uri="{B025F937-C7B1-47D3-B67F-A62EFF666E3E}">
          <x14:id>{ADC29EEB-DE14-4342-838C-A5277EF0407A}</x14:id>
        </ext>
      </extLst>
    </cfRule>
  </conditionalFormatting>
  <conditionalFormatting sqref="OD6">
    <cfRule type="dataBar" priority="295">
      <dataBar>
        <cfvo type="percent" val="0"/>
        <cfvo type="percent" val="100"/>
        <color rgb="FFF94607"/>
      </dataBar>
      <extLst>
        <ext xmlns:x14="http://schemas.microsoft.com/office/spreadsheetml/2009/9/main" uri="{B025F937-C7B1-47D3-B67F-A62EFF666E3E}">
          <x14:id>{98EC85CC-20D5-421A-9F92-CDE1A4417FAB}</x14:id>
        </ext>
      </extLst>
    </cfRule>
  </conditionalFormatting>
  <conditionalFormatting sqref="OD23">
    <cfRule type="dataBar" priority="274">
      <dataBar>
        <cfvo type="percent" val="0"/>
        <cfvo type="percent" val="100"/>
        <color rgb="FFF94607"/>
      </dataBar>
      <extLst>
        <ext xmlns:x14="http://schemas.microsoft.com/office/spreadsheetml/2009/9/main" uri="{B025F937-C7B1-47D3-B67F-A62EFF666E3E}">
          <x14:id>{9FC8DC43-A516-4DCD-B68B-1518D521CB32}</x14:id>
        </ext>
      </extLst>
    </cfRule>
  </conditionalFormatting>
  <conditionalFormatting sqref="OD30">
    <cfRule type="dataBar" priority="253">
      <dataBar>
        <cfvo type="percent" val="0"/>
        <cfvo type="percent" val="100"/>
        <color rgb="FFF94607"/>
      </dataBar>
      <extLst>
        <ext xmlns:x14="http://schemas.microsoft.com/office/spreadsheetml/2009/9/main" uri="{B025F937-C7B1-47D3-B67F-A62EFF666E3E}">
          <x14:id>{E398B0B1-C6E6-4377-B9EB-6CF76930D6B9}</x14:id>
        </ext>
      </extLst>
    </cfRule>
  </conditionalFormatting>
  <conditionalFormatting sqref="OD41">
    <cfRule type="dataBar" priority="232">
      <dataBar>
        <cfvo type="percent" val="0"/>
        <cfvo type="percent" val="100"/>
        <color rgb="FFF94607"/>
      </dataBar>
      <extLst>
        <ext xmlns:x14="http://schemas.microsoft.com/office/spreadsheetml/2009/9/main" uri="{B025F937-C7B1-47D3-B67F-A62EFF666E3E}">
          <x14:id>{D430434D-4F53-48E6-A436-6CBC9580B042}</x14:id>
        </ext>
      </extLst>
    </cfRule>
  </conditionalFormatting>
  <conditionalFormatting sqref="OD43">
    <cfRule type="dataBar" priority="211">
      <dataBar>
        <cfvo type="percent" val="0"/>
        <cfvo type="percent" val="100"/>
        <color rgb="FFF94607"/>
      </dataBar>
      <extLst>
        <ext xmlns:x14="http://schemas.microsoft.com/office/spreadsheetml/2009/9/main" uri="{B025F937-C7B1-47D3-B67F-A62EFF666E3E}">
          <x14:id>{EFEDDC9D-5FD0-4E36-856B-19EB78156476}</x14:id>
        </ext>
      </extLst>
    </cfRule>
  </conditionalFormatting>
  <conditionalFormatting sqref="OD45">
    <cfRule type="dataBar" priority="190">
      <dataBar>
        <cfvo type="percent" val="0"/>
        <cfvo type="percent" val="100"/>
        <color rgb="FFF94607"/>
      </dataBar>
      <extLst>
        <ext xmlns:x14="http://schemas.microsoft.com/office/spreadsheetml/2009/9/main" uri="{B025F937-C7B1-47D3-B67F-A62EFF666E3E}">
          <x14:id>{DF79A2FD-0BAA-4E14-9627-C61A195D460E}</x14:id>
        </ext>
      </extLst>
    </cfRule>
  </conditionalFormatting>
  <conditionalFormatting sqref="OD53">
    <cfRule type="dataBar" priority="169">
      <dataBar>
        <cfvo type="percent" val="0"/>
        <cfvo type="percent" val="100"/>
        <color rgb="FFF94607"/>
      </dataBar>
      <extLst>
        <ext xmlns:x14="http://schemas.microsoft.com/office/spreadsheetml/2009/9/main" uri="{B025F937-C7B1-47D3-B67F-A62EFF666E3E}">
          <x14:id>{5612D86B-ABC0-4FD7-A3D4-E3B3268495D0}</x14:id>
        </ext>
      </extLst>
    </cfRule>
  </conditionalFormatting>
  <conditionalFormatting sqref="OD61">
    <cfRule type="dataBar" priority="148">
      <dataBar>
        <cfvo type="percent" val="0"/>
        <cfvo type="percent" val="100"/>
        <color rgb="FFF94607"/>
      </dataBar>
      <extLst>
        <ext xmlns:x14="http://schemas.microsoft.com/office/spreadsheetml/2009/9/main" uri="{B025F937-C7B1-47D3-B67F-A62EFF666E3E}">
          <x14:id>{BD86B089-3562-4908-845F-16F7A6AA6FAE}</x14:id>
        </ext>
      </extLst>
    </cfRule>
  </conditionalFormatting>
  <conditionalFormatting sqref="OD64:OD65">
    <cfRule type="dataBar" priority="127">
      <dataBar>
        <cfvo type="percent" val="0"/>
        <cfvo type="percent" val="100"/>
        <color rgb="FFF94607"/>
      </dataBar>
      <extLst>
        <ext xmlns:x14="http://schemas.microsoft.com/office/spreadsheetml/2009/9/main" uri="{B025F937-C7B1-47D3-B67F-A62EFF666E3E}">
          <x14:id>{A19C1429-B4EB-4903-90D9-3E0991A35E7B}</x14:id>
        </ext>
      </extLst>
    </cfRule>
  </conditionalFormatting>
  <conditionalFormatting sqref="OD79">
    <cfRule type="dataBar" priority="106">
      <dataBar>
        <cfvo type="percent" val="0"/>
        <cfvo type="percent" val="100"/>
        <color rgb="FFF94607"/>
      </dataBar>
      <extLst>
        <ext xmlns:x14="http://schemas.microsoft.com/office/spreadsheetml/2009/9/main" uri="{B025F937-C7B1-47D3-B67F-A62EFF666E3E}">
          <x14:id>{243C75ED-B97D-4783-8387-2CD7714F7B0B}</x14:id>
        </ext>
      </extLst>
    </cfRule>
  </conditionalFormatting>
  <conditionalFormatting sqref="OD110">
    <cfRule type="dataBar" priority="85">
      <dataBar>
        <cfvo type="percent" val="0"/>
        <cfvo type="percent" val="100"/>
        <color rgb="FFF94607"/>
      </dataBar>
      <extLst>
        <ext xmlns:x14="http://schemas.microsoft.com/office/spreadsheetml/2009/9/main" uri="{B025F937-C7B1-47D3-B67F-A62EFF666E3E}">
          <x14:id>{7B01DB37-58AB-40FA-ABA9-3525D82102E8}</x14:id>
        </ext>
      </extLst>
    </cfRule>
  </conditionalFormatting>
  <conditionalFormatting sqref="OD111">
    <cfRule type="dataBar" priority="64">
      <dataBar>
        <cfvo type="percent" val="0"/>
        <cfvo type="percent" val="100"/>
        <color rgb="FFF94607"/>
      </dataBar>
      <extLst>
        <ext xmlns:x14="http://schemas.microsoft.com/office/spreadsheetml/2009/9/main" uri="{B025F937-C7B1-47D3-B67F-A62EFF666E3E}">
          <x14:id>{12028AFA-E6A8-4E03-B91D-4A49C838DFAE}</x14:id>
        </ext>
      </extLst>
    </cfRule>
  </conditionalFormatting>
  <conditionalFormatting sqref="OD112:OD115 OD3:OD5 OD7:OD22 OD24:OD29 OD31:OD40 OD42 OD44 OD46:OD52 OD54:OD60 OD62:OD63 OD66:OD78 OD80:OD109">
    <cfRule type="dataBar" priority="440">
      <dataBar>
        <cfvo type="percent" val="0"/>
        <cfvo type="percent" val="100"/>
        <color rgb="FFF94607"/>
      </dataBar>
      <extLst>
        <ext xmlns:x14="http://schemas.microsoft.com/office/spreadsheetml/2009/9/main" uri="{B025F937-C7B1-47D3-B67F-A62EFF666E3E}">
          <x14:id>{D180BE4B-C47C-402D-B111-1DA4A3C4F303}</x14:id>
        </ext>
      </extLst>
    </cfRule>
  </conditionalFormatting>
  <conditionalFormatting sqref="OG6">
    <cfRule type="dataBar" priority="296">
      <dataBar>
        <cfvo type="percent" val="0"/>
        <cfvo type="percent" val="100"/>
        <color rgb="FFF94607"/>
      </dataBar>
      <extLst>
        <ext xmlns:x14="http://schemas.microsoft.com/office/spreadsheetml/2009/9/main" uri="{B025F937-C7B1-47D3-B67F-A62EFF666E3E}">
          <x14:id>{371AFA07-CEE5-4AC9-A022-6B8F7E4964A7}</x14:id>
        </ext>
      </extLst>
    </cfRule>
  </conditionalFormatting>
  <conditionalFormatting sqref="OG23">
    <cfRule type="dataBar" priority="275">
      <dataBar>
        <cfvo type="percent" val="0"/>
        <cfvo type="percent" val="100"/>
        <color rgb="FFF94607"/>
      </dataBar>
      <extLst>
        <ext xmlns:x14="http://schemas.microsoft.com/office/spreadsheetml/2009/9/main" uri="{B025F937-C7B1-47D3-B67F-A62EFF666E3E}">
          <x14:id>{9DFF4301-F874-4F36-BD80-690CE72D2F8A}</x14:id>
        </ext>
      </extLst>
    </cfRule>
  </conditionalFormatting>
  <conditionalFormatting sqref="OG30">
    <cfRule type="dataBar" priority="254">
      <dataBar>
        <cfvo type="percent" val="0"/>
        <cfvo type="percent" val="100"/>
        <color rgb="FFF94607"/>
      </dataBar>
      <extLst>
        <ext xmlns:x14="http://schemas.microsoft.com/office/spreadsheetml/2009/9/main" uri="{B025F937-C7B1-47D3-B67F-A62EFF666E3E}">
          <x14:id>{0D17D531-54C5-453C-84CD-41CF5D933A77}</x14:id>
        </ext>
      </extLst>
    </cfRule>
  </conditionalFormatting>
  <conditionalFormatting sqref="OG41">
    <cfRule type="dataBar" priority="233">
      <dataBar>
        <cfvo type="percent" val="0"/>
        <cfvo type="percent" val="100"/>
        <color rgb="FFF94607"/>
      </dataBar>
      <extLst>
        <ext xmlns:x14="http://schemas.microsoft.com/office/spreadsheetml/2009/9/main" uri="{B025F937-C7B1-47D3-B67F-A62EFF666E3E}">
          <x14:id>{B26CAA1F-08C5-4756-9577-185823C11A54}</x14:id>
        </ext>
      </extLst>
    </cfRule>
  </conditionalFormatting>
  <conditionalFormatting sqref="OG43">
    <cfRule type="dataBar" priority="212">
      <dataBar>
        <cfvo type="percent" val="0"/>
        <cfvo type="percent" val="100"/>
        <color rgb="FFF94607"/>
      </dataBar>
      <extLst>
        <ext xmlns:x14="http://schemas.microsoft.com/office/spreadsheetml/2009/9/main" uri="{B025F937-C7B1-47D3-B67F-A62EFF666E3E}">
          <x14:id>{36E7966B-FE7D-4103-9A10-206E108ADD1B}</x14:id>
        </ext>
      </extLst>
    </cfRule>
  </conditionalFormatting>
  <conditionalFormatting sqref="OG45">
    <cfRule type="dataBar" priority="191">
      <dataBar>
        <cfvo type="percent" val="0"/>
        <cfvo type="percent" val="100"/>
        <color rgb="FFF94607"/>
      </dataBar>
      <extLst>
        <ext xmlns:x14="http://schemas.microsoft.com/office/spreadsheetml/2009/9/main" uri="{B025F937-C7B1-47D3-B67F-A62EFF666E3E}">
          <x14:id>{40065232-F87E-4EE2-B2BC-F5E6F5E10B0E}</x14:id>
        </ext>
      </extLst>
    </cfRule>
  </conditionalFormatting>
  <conditionalFormatting sqref="OG53">
    <cfRule type="dataBar" priority="170">
      <dataBar>
        <cfvo type="percent" val="0"/>
        <cfvo type="percent" val="100"/>
        <color rgb="FFF94607"/>
      </dataBar>
      <extLst>
        <ext xmlns:x14="http://schemas.microsoft.com/office/spreadsheetml/2009/9/main" uri="{B025F937-C7B1-47D3-B67F-A62EFF666E3E}">
          <x14:id>{2728056B-1895-4F6D-B8E4-8E729F3A1A80}</x14:id>
        </ext>
      </extLst>
    </cfRule>
  </conditionalFormatting>
  <conditionalFormatting sqref="OG61">
    <cfRule type="dataBar" priority="149">
      <dataBar>
        <cfvo type="percent" val="0"/>
        <cfvo type="percent" val="100"/>
        <color rgb="FFF94607"/>
      </dataBar>
      <extLst>
        <ext xmlns:x14="http://schemas.microsoft.com/office/spreadsheetml/2009/9/main" uri="{B025F937-C7B1-47D3-B67F-A62EFF666E3E}">
          <x14:id>{4A16D3D8-29DC-4318-9312-58B1A914AECF}</x14:id>
        </ext>
      </extLst>
    </cfRule>
  </conditionalFormatting>
  <conditionalFormatting sqref="OG64:OG65">
    <cfRule type="dataBar" priority="128">
      <dataBar>
        <cfvo type="percent" val="0"/>
        <cfvo type="percent" val="100"/>
        <color rgb="FFF94607"/>
      </dataBar>
      <extLst>
        <ext xmlns:x14="http://schemas.microsoft.com/office/spreadsheetml/2009/9/main" uri="{B025F937-C7B1-47D3-B67F-A62EFF666E3E}">
          <x14:id>{29721EDC-E8B6-40AC-80F1-71F09EE88C88}</x14:id>
        </ext>
      </extLst>
    </cfRule>
  </conditionalFormatting>
  <conditionalFormatting sqref="OG79">
    <cfRule type="dataBar" priority="107">
      <dataBar>
        <cfvo type="percent" val="0"/>
        <cfvo type="percent" val="100"/>
        <color rgb="FFF94607"/>
      </dataBar>
      <extLst>
        <ext xmlns:x14="http://schemas.microsoft.com/office/spreadsheetml/2009/9/main" uri="{B025F937-C7B1-47D3-B67F-A62EFF666E3E}">
          <x14:id>{1A69018B-9111-4618-B71E-4A04DB07E69D}</x14:id>
        </ext>
      </extLst>
    </cfRule>
  </conditionalFormatting>
  <conditionalFormatting sqref="OG110">
    <cfRule type="dataBar" priority="86">
      <dataBar>
        <cfvo type="percent" val="0"/>
        <cfvo type="percent" val="100"/>
        <color rgb="FFF94607"/>
      </dataBar>
      <extLst>
        <ext xmlns:x14="http://schemas.microsoft.com/office/spreadsheetml/2009/9/main" uri="{B025F937-C7B1-47D3-B67F-A62EFF666E3E}">
          <x14:id>{CE0D6FCE-9258-4366-85CD-6FFC8BFE6A70}</x14:id>
        </ext>
      </extLst>
    </cfRule>
  </conditionalFormatting>
  <conditionalFormatting sqref="OG111">
    <cfRule type="dataBar" priority="65">
      <dataBar>
        <cfvo type="percent" val="0"/>
        <cfvo type="percent" val="100"/>
        <color rgb="FFF94607"/>
      </dataBar>
      <extLst>
        <ext xmlns:x14="http://schemas.microsoft.com/office/spreadsheetml/2009/9/main" uri="{B025F937-C7B1-47D3-B67F-A62EFF666E3E}">
          <x14:id>{1A0233F5-660A-43F9-840E-7933BFF0AA4F}</x14:id>
        </ext>
      </extLst>
    </cfRule>
  </conditionalFormatting>
  <conditionalFormatting sqref="OG112:OG115 OG3:OG5 OG7:OG22 OG24:OG29 OG31:OG40 OG42 OG44 OG46:OG52 OG54:OG60 OG62:OG63 OG66:OG78 OG80:OG109">
    <cfRule type="dataBar" priority="442">
      <dataBar>
        <cfvo type="percent" val="0"/>
        <cfvo type="percent" val="100"/>
        <color rgb="FFF94607"/>
      </dataBar>
      <extLst>
        <ext xmlns:x14="http://schemas.microsoft.com/office/spreadsheetml/2009/9/main" uri="{B025F937-C7B1-47D3-B67F-A62EFF666E3E}">
          <x14:id>{118A194D-0A40-40FB-BDFC-4C1A32A1EEBD}</x14:id>
        </ext>
      </extLst>
    </cfRule>
  </conditionalFormatting>
  <conditionalFormatting sqref="OJ6">
    <cfRule type="dataBar" priority="297">
      <dataBar>
        <cfvo type="percent" val="0"/>
        <cfvo type="percent" val="100"/>
        <color rgb="FFF94607"/>
      </dataBar>
      <extLst>
        <ext xmlns:x14="http://schemas.microsoft.com/office/spreadsheetml/2009/9/main" uri="{B025F937-C7B1-47D3-B67F-A62EFF666E3E}">
          <x14:id>{D54D4E5B-AF49-465C-8A96-E6B6FABA9754}</x14:id>
        </ext>
      </extLst>
    </cfRule>
  </conditionalFormatting>
  <conditionalFormatting sqref="OJ23">
    <cfRule type="dataBar" priority="276">
      <dataBar>
        <cfvo type="percent" val="0"/>
        <cfvo type="percent" val="100"/>
        <color rgb="FFF94607"/>
      </dataBar>
      <extLst>
        <ext xmlns:x14="http://schemas.microsoft.com/office/spreadsheetml/2009/9/main" uri="{B025F937-C7B1-47D3-B67F-A62EFF666E3E}">
          <x14:id>{6FB1172F-7603-4DA8-8C23-73B8842034A2}</x14:id>
        </ext>
      </extLst>
    </cfRule>
  </conditionalFormatting>
  <conditionalFormatting sqref="OJ30">
    <cfRule type="dataBar" priority="255">
      <dataBar>
        <cfvo type="percent" val="0"/>
        <cfvo type="percent" val="100"/>
        <color rgb="FFF94607"/>
      </dataBar>
      <extLst>
        <ext xmlns:x14="http://schemas.microsoft.com/office/spreadsheetml/2009/9/main" uri="{B025F937-C7B1-47D3-B67F-A62EFF666E3E}">
          <x14:id>{1A85A552-4AB0-45E2-B9B4-C3711374647D}</x14:id>
        </ext>
      </extLst>
    </cfRule>
  </conditionalFormatting>
  <conditionalFormatting sqref="OJ41">
    <cfRule type="dataBar" priority="234">
      <dataBar>
        <cfvo type="percent" val="0"/>
        <cfvo type="percent" val="100"/>
        <color rgb="FFF94607"/>
      </dataBar>
      <extLst>
        <ext xmlns:x14="http://schemas.microsoft.com/office/spreadsheetml/2009/9/main" uri="{B025F937-C7B1-47D3-B67F-A62EFF666E3E}">
          <x14:id>{2A782C46-75B8-455D-92D3-59C681F84A3E}</x14:id>
        </ext>
      </extLst>
    </cfRule>
  </conditionalFormatting>
  <conditionalFormatting sqref="OJ43">
    <cfRule type="dataBar" priority="213">
      <dataBar>
        <cfvo type="percent" val="0"/>
        <cfvo type="percent" val="100"/>
        <color rgb="FFF94607"/>
      </dataBar>
      <extLst>
        <ext xmlns:x14="http://schemas.microsoft.com/office/spreadsheetml/2009/9/main" uri="{B025F937-C7B1-47D3-B67F-A62EFF666E3E}">
          <x14:id>{A101770D-4806-445E-B3DF-AF27C397E014}</x14:id>
        </ext>
      </extLst>
    </cfRule>
  </conditionalFormatting>
  <conditionalFormatting sqref="OJ45">
    <cfRule type="dataBar" priority="192">
      <dataBar>
        <cfvo type="percent" val="0"/>
        <cfvo type="percent" val="100"/>
        <color rgb="FFF94607"/>
      </dataBar>
      <extLst>
        <ext xmlns:x14="http://schemas.microsoft.com/office/spreadsheetml/2009/9/main" uri="{B025F937-C7B1-47D3-B67F-A62EFF666E3E}">
          <x14:id>{1B499B46-99BE-4C87-8AE7-BFBA906D2292}</x14:id>
        </ext>
      </extLst>
    </cfRule>
  </conditionalFormatting>
  <conditionalFormatting sqref="OJ53">
    <cfRule type="dataBar" priority="171">
      <dataBar>
        <cfvo type="percent" val="0"/>
        <cfvo type="percent" val="100"/>
        <color rgb="FFF94607"/>
      </dataBar>
      <extLst>
        <ext xmlns:x14="http://schemas.microsoft.com/office/spreadsheetml/2009/9/main" uri="{B025F937-C7B1-47D3-B67F-A62EFF666E3E}">
          <x14:id>{0CAF808C-97CA-48E5-8E3F-2C99E1DD1BE4}</x14:id>
        </ext>
      </extLst>
    </cfRule>
  </conditionalFormatting>
  <conditionalFormatting sqref="OJ61">
    <cfRule type="dataBar" priority="150">
      <dataBar>
        <cfvo type="percent" val="0"/>
        <cfvo type="percent" val="100"/>
        <color rgb="FFF94607"/>
      </dataBar>
      <extLst>
        <ext xmlns:x14="http://schemas.microsoft.com/office/spreadsheetml/2009/9/main" uri="{B025F937-C7B1-47D3-B67F-A62EFF666E3E}">
          <x14:id>{A10F3176-8B2C-4961-A6A1-A35DB6A3719A}</x14:id>
        </ext>
      </extLst>
    </cfRule>
  </conditionalFormatting>
  <conditionalFormatting sqref="OJ64:OJ65">
    <cfRule type="dataBar" priority="129">
      <dataBar>
        <cfvo type="percent" val="0"/>
        <cfvo type="percent" val="100"/>
        <color rgb="FFF94607"/>
      </dataBar>
      <extLst>
        <ext xmlns:x14="http://schemas.microsoft.com/office/spreadsheetml/2009/9/main" uri="{B025F937-C7B1-47D3-B67F-A62EFF666E3E}">
          <x14:id>{14C6C1CA-C1D2-4E2E-8786-9059B4D50449}</x14:id>
        </ext>
      </extLst>
    </cfRule>
  </conditionalFormatting>
  <conditionalFormatting sqref="OJ79">
    <cfRule type="dataBar" priority="108">
      <dataBar>
        <cfvo type="percent" val="0"/>
        <cfvo type="percent" val="100"/>
        <color rgb="FFF94607"/>
      </dataBar>
      <extLst>
        <ext xmlns:x14="http://schemas.microsoft.com/office/spreadsheetml/2009/9/main" uri="{B025F937-C7B1-47D3-B67F-A62EFF666E3E}">
          <x14:id>{DFB7E387-59D3-493F-B775-2AC0C5703A6B}</x14:id>
        </ext>
      </extLst>
    </cfRule>
  </conditionalFormatting>
  <conditionalFormatting sqref="OJ110">
    <cfRule type="dataBar" priority="87">
      <dataBar>
        <cfvo type="percent" val="0"/>
        <cfvo type="percent" val="100"/>
        <color rgb="FFF94607"/>
      </dataBar>
      <extLst>
        <ext xmlns:x14="http://schemas.microsoft.com/office/spreadsheetml/2009/9/main" uri="{B025F937-C7B1-47D3-B67F-A62EFF666E3E}">
          <x14:id>{01557AD4-619F-4B72-B874-E84C75F9A95E}</x14:id>
        </ext>
      </extLst>
    </cfRule>
  </conditionalFormatting>
  <conditionalFormatting sqref="OJ111">
    <cfRule type="dataBar" priority="66">
      <dataBar>
        <cfvo type="percent" val="0"/>
        <cfvo type="percent" val="100"/>
        <color rgb="FFF94607"/>
      </dataBar>
      <extLst>
        <ext xmlns:x14="http://schemas.microsoft.com/office/spreadsheetml/2009/9/main" uri="{B025F937-C7B1-47D3-B67F-A62EFF666E3E}">
          <x14:id>{F53438EC-6787-4665-8B17-DAA2C6601A8E}</x14:id>
        </ext>
      </extLst>
    </cfRule>
  </conditionalFormatting>
  <conditionalFormatting sqref="OJ112:OJ115 OJ3:OJ5 OJ7:OJ22 OJ24:OJ29 OJ31:OJ40 OJ42 OJ44 OJ46:OJ52 OJ54:OJ60 OJ62:OJ63 OJ66:OJ78 OJ80:OJ109">
    <cfRule type="dataBar" priority="444">
      <dataBar>
        <cfvo type="percent" val="0"/>
        <cfvo type="percent" val="100"/>
        <color rgb="FFF94607"/>
      </dataBar>
      <extLst>
        <ext xmlns:x14="http://schemas.microsoft.com/office/spreadsheetml/2009/9/main" uri="{B025F937-C7B1-47D3-B67F-A62EFF666E3E}">
          <x14:id>{1BCF1D55-35CB-4F5C-A26B-B0FF07CDA52F}</x14:id>
        </ext>
      </extLst>
    </cfRule>
  </conditionalFormatting>
  <conditionalFormatting sqref="OM6">
    <cfRule type="dataBar" priority="298">
      <dataBar>
        <cfvo type="percent" val="0"/>
        <cfvo type="percent" val="100"/>
        <color rgb="FFF94607"/>
      </dataBar>
      <extLst>
        <ext xmlns:x14="http://schemas.microsoft.com/office/spreadsheetml/2009/9/main" uri="{B025F937-C7B1-47D3-B67F-A62EFF666E3E}">
          <x14:id>{6D6C0601-977C-4C3F-AA12-12FEC6E6F33E}</x14:id>
        </ext>
      </extLst>
    </cfRule>
  </conditionalFormatting>
  <conditionalFormatting sqref="OM23">
    <cfRule type="dataBar" priority="277">
      <dataBar>
        <cfvo type="percent" val="0"/>
        <cfvo type="percent" val="100"/>
        <color rgb="FFF94607"/>
      </dataBar>
      <extLst>
        <ext xmlns:x14="http://schemas.microsoft.com/office/spreadsheetml/2009/9/main" uri="{B025F937-C7B1-47D3-B67F-A62EFF666E3E}">
          <x14:id>{91EAB88D-9F09-45DF-8C2C-BFD03ABE8638}</x14:id>
        </ext>
      </extLst>
    </cfRule>
  </conditionalFormatting>
  <conditionalFormatting sqref="OM30">
    <cfRule type="dataBar" priority="256">
      <dataBar>
        <cfvo type="percent" val="0"/>
        <cfvo type="percent" val="100"/>
        <color rgb="FFF94607"/>
      </dataBar>
      <extLst>
        <ext xmlns:x14="http://schemas.microsoft.com/office/spreadsheetml/2009/9/main" uri="{B025F937-C7B1-47D3-B67F-A62EFF666E3E}">
          <x14:id>{6216A14B-F41E-45E7-89B0-DDE9B8C615CB}</x14:id>
        </ext>
      </extLst>
    </cfRule>
  </conditionalFormatting>
  <conditionalFormatting sqref="OM41">
    <cfRule type="dataBar" priority="235">
      <dataBar>
        <cfvo type="percent" val="0"/>
        <cfvo type="percent" val="100"/>
        <color rgb="FFF94607"/>
      </dataBar>
      <extLst>
        <ext xmlns:x14="http://schemas.microsoft.com/office/spreadsheetml/2009/9/main" uri="{B025F937-C7B1-47D3-B67F-A62EFF666E3E}">
          <x14:id>{81F36C5D-5924-474A-A6CD-347D3AEF34BE}</x14:id>
        </ext>
      </extLst>
    </cfRule>
  </conditionalFormatting>
  <conditionalFormatting sqref="OM43">
    <cfRule type="dataBar" priority="214">
      <dataBar>
        <cfvo type="percent" val="0"/>
        <cfvo type="percent" val="100"/>
        <color rgb="FFF94607"/>
      </dataBar>
      <extLst>
        <ext xmlns:x14="http://schemas.microsoft.com/office/spreadsheetml/2009/9/main" uri="{B025F937-C7B1-47D3-B67F-A62EFF666E3E}">
          <x14:id>{AC38581C-10AD-4E91-958E-A9FF2B36ED43}</x14:id>
        </ext>
      </extLst>
    </cfRule>
  </conditionalFormatting>
  <conditionalFormatting sqref="OM45">
    <cfRule type="dataBar" priority="193">
      <dataBar>
        <cfvo type="percent" val="0"/>
        <cfvo type="percent" val="100"/>
        <color rgb="FFF94607"/>
      </dataBar>
      <extLst>
        <ext xmlns:x14="http://schemas.microsoft.com/office/spreadsheetml/2009/9/main" uri="{B025F937-C7B1-47D3-B67F-A62EFF666E3E}">
          <x14:id>{325EA519-C122-4120-87BB-E3413F2B5F7A}</x14:id>
        </ext>
      </extLst>
    </cfRule>
  </conditionalFormatting>
  <conditionalFormatting sqref="OM53">
    <cfRule type="dataBar" priority="172">
      <dataBar>
        <cfvo type="percent" val="0"/>
        <cfvo type="percent" val="100"/>
        <color rgb="FFF94607"/>
      </dataBar>
      <extLst>
        <ext xmlns:x14="http://schemas.microsoft.com/office/spreadsheetml/2009/9/main" uri="{B025F937-C7B1-47D3-B67F-A62EFF666E3E}">
          <x14:id>{F5ECE02E-F402-4463-9AAF-2AA9496BA2C9}</x14:id>
        </ext>
      </extLst>
    </cfRule>
  </conditionalFormatting>
  <conditionalFormatting sqref="OM61">
    <cfRule type="dataBar" priority="151">
      <dataBar>
        <cfvo type="percent" val="0"/>
        <cfvo type="percent" val="100"/>
        <color rgb="FFF94607"/>
      </dataBar>
      <extLst>
        <ext xmlns:x14="http://schemas.microsoft.com/office/spreadsheetml/2009/9/main" uri="{B025F937-C7B1-47D3-B67F-A62EFF666E3E}">
          <x14:id>{86A4733D-D2FD-4D9B-9322-8D1F5E0824E5}</x14:id>
        </ext>
      </extLst>
    </cfRule>
  </conditionalFormatting>
  <conditionalFormatting sqref="OM64:OM65">
    <cfRule type="dataBar" priority="130">
      <dataBar>
        <cfvo type="percent" val="0"/>
        <cfvo type="percent" val="100"/>
        <color rgb="FFF94607"/>
      </dataBar>
      <extLst>
        <ext xmlns:x14="http://schemas.microsoft.com/office/spreadsheetml/2009/9/main" uri="{B025F937-C7B1-47D3-B67F-A62EFF666E3E}">
          <x14:id>{13E32B3A-3735-4FCA-A871-F92A0CDDDD79}</x14:id>
        </ext>
      </extLst>
    </cfRule>
  </conditionalFormatting>
  <conditionalFormatting sqref="OM79">
    <cfRule type="dataBar" priority="109">
      <dataBar>
        <cfvo type="percent" val="0"/>
        <cfvo type="percent" val="100"/>
        <color rgb="FFF94607"/>
      </dataBar>
      <extLst>
        <ext xmlns:x14="http://schemas.microsoft.com/office/spreadsheetml/2009/9/main" uri="{B025F937-C7B1-47D3-B67F-A62EFF666E3E}">
          <x14:id>{C65AB2ED-DFB5-4E15-869F-0AAC5990A532}</x14:id>
        </ext>
      </extLst>
    </cfRule>
  </conditionalFormatting>
  <conditionalFormatting sqref="OM110">
    <cfRule type="dataBar" priority="88">
      <dataBar>
        <cfvo type="percent" val="0"/>
        <cfvo type="percent" val="100"/>
        <color rgb="FFF94607"/>
      </dataBar>
      <extLst>
        <ext xmlns:x14="http://schemas.microsoft.com/office/spreadsheetml/2009/9/main" uri="{B025F937-C7B1-47D3-B67F-A62EFF666E3E}">
          <x14:id>{BA7DC39B-3EDE-47C2-A611-AEE103C149C0}</x14:id>
        </ext>
      </extLst>
    </cfRule>
  </conditionalFormatting>
  <conditionalFormatting sqref="OM111">
    <cfRule type="dataBar" priority="67">
      <dataBar>
        <cfvo type="percent" val="0"/>
        <cfvo type="percent" val="100"/>
        <color rgb="FFF94607"/>
      </dataBar>
      <extLst>
        <ext xmlns:x14="http://schemas.microsoft.com/office/spreadsheetml/2009/9/main" uri="{B025F937-C7B1-47D3-B67F-A62EFF666E3E}">
          <x14:id>{2BD50ACF-9EEE-4038-A316-9F37BFBBD883}</x14:id>
        </ext>
      </extLst>
    </cfRule>
  </conditionalFormatting>
  <conditionalFormatting sqref="OM112:OM115 OM3:OM5 OM7:OM22 OM24:OM29 OM31:OM40 OM42 OM44 OM46:OM52 OM54:OM60 OM62:OM63 OM66:OM78 OM80:OM109">
    <cfRule type="dataBar" priority="446">
      <dataBar>
        <cfvo type="percent" val="0"/>
        <cfvo type="percent" val="100"/>
        <color rgb="FFF94607"/>
      </dataBar>
      <extLst>
        <ext xmlns:x14="http://schemas.microsoft.com/office/spreadsheetml/2009/9/main" uri="{B025F937-C7B1-47D3-B67F-A62EFF666E3E}">
          <x14:id>{E7121D9C-932D-456B-8F49-F970DCAE709F}</x14:id>
        </ext>
      </extLst>
    </cfRule>
  </conditionalFormatting>
  <conditionalFormatting sqref="OP6">
    <cfRule type="dataBar" priority="299">
      <dataBar>
        <cfvo type="percent" val="0"/>
        <cfvo type="percent" val="100"/>
        <color rgb="FFF94607"/>
      </dataBar>
      <extLst>
        <ext xmlns:x14="http://schemas.microsoft.com/office/spreadsheetml/2009/9/main" uri="{B025F937-C7B1-47D3-B67F-A62EFF666E3E}">
          <x14:id>{CDAC8620-BCF4-4C44-8A1C-42C67A135107}</x14:id>
        </ext>
      </extLst>
    </cfRule>
  </conditionalFormatting>
  <conditionalFormatting sqref="OP23">
    <cfRule type="dataBar" priority="278">
      <dataBar>
        <cfvo type="percent" val="0"/>
        <cfvo type="percent" val="100"/>
        <color rgb="FFF94607"/>
      </dataBar>
      <extLst>
        <ext xmlns:x14="http://schemas.microsoft.com/office/spreadsheetml/2009/9/main" uri="{B025F937-C7B1-47D3-B67F-A62EFF666E3E}">
          <x14:id>{69CBA0BE-BB37-4972-8896-309FD58604CE}</x14:id>
        </ext>
      </extLst>
    </cfRule>
  </conditionalFormatting>
  <conditionalFormatting sqref="OP30">
    <cfRule type="dataBar" priority="257">
      <dataBar>
        <cfvo type="percent" val="0"/>
        <cfvo type="percent" val="100"/>
        <color rgb="FFF94607"/>
      </dataBar>
      <extLst>
        <ext xmlns:x14="http://schemas.microsoft.com/office/spreadsheetml/2009/9/main" uri="{B025F937-C7B1-47D3-B67F-A62EFF666E3E}">
          <x14:id>{700B5ED1-B9EE-4FE8-927E-F0B5C403B016}</x14:id>
        </ext>
      </extLst>
    </cfRule>
  </conditionalFormatting>
  <conditionalFormatting sqref="OP41">
    <cfRule type="dataBar" priority="236">
      <dataBar>
        <cfvo type="percent" val="0"/>
        <cfvo type="percent" val="100"/>
        <color rgb="FFF94607"/>
      </dataBar>
      <extLst>
        <ext xmlns:x14="http://schemas.microsoft.com/office/spreadsheetml/2009/9/main" uri="{B025F937-C7B1-47D3-B67F-A62EFF666E3E}">
          <x14:id>{E4F84160-70D2-4C41-8733-E1389B5C052F}</x14:id>
        </ext>
      </extLst>
    </cfRule>
  </conditionalFormatting>
  <conditionalFormatting sqref="OP43">
    <cfRule type="dataBar" priority="215">
      <dataBar>
        <cfvo type="percent" val="0"/>
        <cfvo type="percent" val="100"/>
        <color rgb="FFF94607"/>
      </dataBar>
      <extLst>
        <ext xmlns:x14="http://schemas.microsoft.com/office/spreadsheetml/2009/9/main" uri="{B025F937-C7B1-47D3-B67F-A62EFF666E3E}">
          <x14:id>{3B329DFC-49F5-439F-BC23-EC2F940BE23A}</x14:id>
        </ext>
      </extLst>
    </cfRule>
  </conditionalFormatting>
  <conditionalFormatting sqref="OP45">
    <cfRule type="dataBar" priority="194">
      <dataBar>
        <cfvo type="percent" val="0"/>
        <cfvo type="percent" val="100"/>
        <color rgb="FFF94607"/>
      </dataBar>
      <extLst>
        <ext xmlns:x14="http://schemas.microsoft.com/office/spreadsheetml/2009/9/main" uri="{B025F937-C7B1-47D3-B67F-A62EFF666E3E}">
          <x14:id>{9AFE90A0-DF5E-49D8-BB6A-459412CF8F6A}</x14:id>
        </ext>
      </extLst>
    </cfRule>
  </conditionalFormatting>
  <conditionalFormatting sqref="OP53">
    <cfRule type="dataBar" priority="173">
      <dataBar>
        <cfvo type="percent" val="0"/>
        <cfvo type="percent" val="100"/>
        <color rgb="FFF94607"/>
      </dataBar>
      <extLst>
        <ext xmlns:x14="http://schemas.microsoft.com/office/spreadsheetml/2009/9/main" uri="{B025F937-C7B1-47D3-B67F-A62EFF666E3E}">
          <x14:id>{424B768B-931D-4B36-A7D8-9DC6C363980D}</x14:id>
        </ext>
      </extLst>
    </cfRule>
  </conditionalFormatting>
  <conditionalFormatting sqref="OP61">
    <cfRule type="dataBar" priority="152">
      <dataBar>
        <cfvo type="percent" val="0"/>
        <cfvo type="percent" val="100"/>
        <color rgb="FFF94607"/>
      </dataBar>
      <extLst>
        <ext xmlns:x14="http://schemas.microsoft.com/office/spreadsheetml/2009/9/main" uri="{B025F937-C7B1-47D3-B67F-A62EFF666E3E}">
          <x14:id>{12900C81-DD03-48C3-B28A-AFE498689053}</x14:id>
        </ext>
      </extLst>
    </cfRule>
  </conditionalFormatting>
  <conditionalFormatting sqref="OP64:OP65">
    <cfRule type="dataBar" priority="131">
      <dataBar>
        <cfvo type="percent" val="0"/>
        <cfvo type="percent" val="100"/>
        <color rgb="FFF94607"/>
      </dataBar>
      <extLst>
        <ext xmlns:x14="http://schemas.microsoft.com/office/spreadsheetml/2009/9/main" uri="{B025F937-C7B1-47D3-B67F-A62EFF666E3E}">
          <x14:id>{29ED4C2A-B715-442B-856E-121ED38DF131}</x14:id>
        </ext>
      </extLst>
    </cfRule>
  </conditionalFormatting>
  <conditionalFormatting sqref="OP79">
    <cfRule type="dataBar" priority="110">
      <dataBar>
        <cfvo type="percent" val="0"/>
        <cfvo type="percent" val="100"/>
        <color rgb="FFF94607"/>
      </dataBar>
      <extLst>
        <ext xmlns:x14="http://schemas.microsoft.com/office/spreadsheetml/2009/9/main" uri="{B025F937-C7B1-47D3-B67F-A62EFF666E3E}">
          <x14:id>{0596604B-183C-42B8-BA5A-B09C68A9C844}</x14:id>
        </ext>
      </extLst>
    </cfRule>
  </conditionalFormatting>
  <conditionalFormatting sqref="OP110">
    <cfRule type="dataBar" priority="89">
      <dataBar>
        <cfvo type="percent" val="0"/>
        <cfvo type="percent" val="100"/>
        <color rgb="FFF94607"/>
      </dataBar>
      <extLst>
        <ext xmlns:x14="http://schemas.microsoft.com/office/spreadsheetml/2009/9/main" uri="{B025F937-C7B1-47D3-B67F-A62EFF666E3E}">
          <x14:id>{12749674-B5C7-41ED-8DA1-ED15BE037614}</x14:id>
        </ext>
      </extLst>
    </cfRule>
  </conditionalFormatting>
  <conditionalFormatting sqref="OP111">
    <cfRule type="dataBar" priority="68">
      <dataBar>
        <cfvo type="percent" val="0"/>
        <cfvo type="percent" val="100"/>
        <color rgb="FFF94607"/>
      </dataBar>
      <extLst>
        <ext xmlns:x14="http://schemas.microsoft.com/office/spreadsheetml/2009/9/main" uri="{B025F937-C7B1-47D3-B67F-A62EFF666E3E}">
          <x14:id>{D7750B8A-9665-4E13-A0D7-15879C2E9394}</x14:id>
        </ext>
      </extLst>
    </cfRule>
  </conditionalFormatting>
  <conditionalFormatting sqref="OP112:OP115 OP3:OP5 OP7:OP22 OP24:OP29 OP31:OP40 OP42 OP44 OP46:OP52 OP54:OP60 OP62:OP63 OP66:OP78 OP80:OP109">
    <cfRule type="dataBar" priority="448">
      <dataBar>
        <cfvo type="percent" val="0"/>
        <cfvo type="percent" val="100"/>
        <color rgb="FFF94607"/>
      </dataBar>
      <extLst>
        <ext xmlns:x14="http://schemas.microsoft.com/office/spreadsheetml/2009/9/main" uri="{B025F937-C7B1-47D3-B67F-A62EFF666E3E}">
          <x14:id>{D9539039-0B80-463F-AFC1-BA4B5771FA61}</x14:id>
        </ext>
      </extLst>
    </cfRule>
  </conditionalFormatting>
  <conditionalFormatting sqref="OQ3:OS111">
    <cfRule type="containsBlanks" dxfId="74" priority="56">
      <formula>LEN(TRIM(OQ3))=0</formula>
    </cfRule>
  </conditionalFormatting>
  <conditionalFormatting sqref="OQ112:OS116">
    <cfRule type="containsBlanks" dxfId="73" priority="414">
      <formula>LEN(TRIM(OQ112))=0</formula>
    </cfRule>
  </conditionalFormatting>
  <conditionalFormatting sqref="OQ116:OS116">
    <cfRule type="expression" dxfId="72" priority="408">
      <formula>MOD(ROW(),2)</formula>
    </cfRule>
  </conditionalFormatting>
  <conditionalFormatting sqref="OS3:OS5 OS7:OS22 OS24:OS29 OS31:OS40 OS42 OS44 OS46:OS52 OS54:OS60 OS62:OS63 OS112:OS115">
    <cfRule type="containsText" dxfId="71" priority="454" operator="containsText" text="0">
      <formula>NOT(ISERROR(SEARCH("0",OS3)))</formula>
    </cfRule>
    <cfRule type="containsBlanks" dxfId="70" priority="453">
      <formula>LEN(TRIM(OS3))=0</formula>
    </cfRule>
  </conditionalFormatting>
  <conditionalFormatting sqref="OS6">
    <cfRule type="containsBlanks" dxfId="69" priority="301">
      <formula>LEN(TRIM(OS6))=0</formula>
    </cfRule>
    <cfRule type="containsText" dxfId="68" priority="302" operator="containsText" text="0">
      <formula>NOT(ISERROR(SEARCH("0",OS6)))</formula>
    </cfRule>
    <cfRule type="colorScale" priority="300">
      <colorScale>
        <cfvo type="min"/>
        <cfvo type="percent" val="50"/>
        <cfvo type="max"/>
        <color rgb="FFF8696B"/>
        <color rgb="FFFFEB84"/>
        <color rgb="FF63BE7B"/>
      </colorScale>
    </cfRule>
  </conditionalFormatting>
  <conditionalFormatting sqref="OS23">
    <cfRule type="containsText" dxfId="67" priority="281" operator="containsText" text="0">
      <formula>NOT(ISERROR(SEARCH("0",OS23)))</formula>
    </cfRule>
    <cfRule type="containsBlanks" dxfId="66" priority="280">
      <formula>LEN(TRIM(OS23))=0</formula>
    </cfRule>
    <cfRule type="colorScale" priority="279">
      <colorScale>
        <cfvo type="min"/>
        <cfvo type="percent" val="50"/>
        <cfvo type="max"/>
        <color rgb="FFF8696B"/>
        <color rgb="FFFFEB84"/>
        <color rgb="FF63BE7B"/>
      </colorScale>
    </cfRule>
  </conditionalFormatting>
  <conditionalFormatting sqref="OS30">
    <cfRule type="containsBlanks" dxfId="65" priority="259">
      <formula>LEN(TRIM(OS30))=0</formula>
    </cfRule>
    <cfRule type="containsText" dxfId="64" priority="260" operator="containsText" text="0">
      <formula>NOT(ISERROR(SEARCH("0",OS30)))</formula>
    </cfRule>
    <cfRule type="colorScale" priority="258">
      <colorScale>
        <cfvo type="min"/>
        <cfvo type="percent" val="50"/>
        <cfvo type="max"/>
        <color rgb="FFF8696B"/>
        <color rgb="FFFFEB84"/>
        <color rgb="FF63BE7B"/>
      </colorScale>
    </cfRule>
  </conditionalFormatting>
  <conditionalFormatting sqref="OS41">
    <cfRule type="containsText" dxfId="63" priority="239" operator="containsText" text="0">
      <formula>NOT(ISERROR(SEARCH("0",OS41)))</formula>
    </cfRule>
    <cfRule type="colorScale" priority="237">
      <colorScale>
        <cfvo type="min"/>
        <cfvo type="percent" val="50"/>
        <cfvo type="max"/>
        <color rgb="FFF8696B"/>
        <color rgb="FFFFEB84"/>
        <color rgb="FF63BE7B"/>
      </colorScale>
    </cfRule>
    <cfRule type="containsBlanks" dxfId="62" priority="238">
      <formula>LEN(TRIM(OS41))=0</formula>
    </cfRule>
  </conditionalFormatting>
  <conditionalFormatting sqref="OS43">
    <cfRule type="colorScale" priority="216">
      <colorScale>
        <cfvo type="min"/>
        <cfvo type="percent" val="50"/>
        <cfvo type="max"/>
        <color rgb="FFF8696B"/>
        <color rgb="FFFFEB84"/>
        <color rgb="FF63BE7B"/>
      </colorScale>
    </cfRule>
    <cfRule type="containsText" dxfId="61" priority="218" operator="containsText" text="0">
      <formula>NOT(ISERROR(SEARCH("0",OS43)))</formula>
    </cfRule>
    <cfRule type="containsBlanks" dxfId="60" priority="217">
      <formula>LEN(TRIM(OS43))=0</formula>
    </cfRule>
  </conditionalFormatting>
  <conditionalFormatting sqref="OS45">
    <cfRule type="containsText" dxfId="59" priority="197" operator="containsText" text="0">
      <formula>NOT(ISERROR(SEARCH("0",OS45)))</formula>
    </cfRule>
    <cfRule type="containsBlanks" dxfId="58" priority="196">
      <formula>LEN(TRIM(OS45))=0</formula>
    </cfRule>
    <cfRule type="colorScale" priority="195">
      <colorScale>
        <cfvo type="min"/>
        <cfvo type="percent" val="50"/>
        <cfvo type="max"/>
        <color rgb="FFF8696B"/>
        <color rgb="FFFFEB84"/>
        <color rgb="FF63BE7B"/>
      </colorScale>
    </cfRule>
  </conditionalFormatting>
  <conditionalFormatting sqref="OS53">
    <cfRule type="colorScale" priority="174">
      <colorScale>
        <cfvo type="min"/>
        <cfvo type="percent" val="50"/>
        <cfvo type="max"/>
        <color rgb="FFF8696B"/>
        <color rgb="FFFFEB84"/>
        <color rgb="FF63BE7B"/>
      </colorScale>
    </cfRule>
    <cfRule type="containsText" dxfId="57" priority="176" operator="containsText" text="0">
      <formula>NOT(ISERROR(SEARCH("0",OS53)))</formula>
    </cfRule>
    <cfRule type="containsBlanks" dxfId="56" priority="175">
      <formula>LEN(TRIM(OS53))=0</formula>
    </cfRule>
  </conditionalFormatting>
  <conditionalFormatting sqref="OS61">
    <cfRule type="containsText" dxfId="55" priority="155" operator="containsText" text="0">
      <formula>NOT(ISERROR(SEARCH("0",OS61)))</formula>
    </cfRule>
    <cfRule type="colorScale" priority="153">
      <colorScale>
        <cfvo type="min"/>
        <cfvo type="percent" val="50"/>
        <cfvo type="max"/>
        <color rgb="FFF8696B"/>
        <color rgb="FFFFEB84"/>
        <color rgb="FF63BE7B"/>
      </colorScale>
    </cfRule>
    <cfRule type="containsBlanks" dxfId="54" priority="154">
      <formula>LEN(TRIM(OS61))=0</formula>
    </cfRule>
  </conditionalFormatting>
  <conditionalFormatting sqref="OS64:OS65">
    <cfRule type="containsText" dxfId="53" priority="134" operator="containsText" text="0">
      <formula>NOT(ISERROR(SEARCH("0",OS64)))</formula>
    </cfRule>
    <cfRule type="colorScale" priority="132">
      <colorScale>
        <cfvo type="min"/>
        <cfvo type="percent" val="50"/>
        <cfvo type="max"/>
        <color rgb="FFF8696B"/>
        <color rgb="FFFFEB84"/>
        <color rgb="FF63BE7B"/>
      </colorScale>
    </cfRule>
    <cfRule type="containsBlanks" dxfId="52" priority="133">
      <formula>LEN(TRIM(OS64))=0</formula>
    </cfRule>
  </conditionalFormatting>
  <conditionalFormatting sqref="OS79">
    <cfRule type="containsBlanks" dxfId="51" priority="112">
      <formula>LEN(TRIM(OS79))=0</formula>
    </cfRule>
    <cfRule type="colorScale" priority="111">
      <colorScale>
        <cfvo type="min"/>
        <cfvo type="percent" val="50"/>
        <cfvo type="max"/>
        <color rgb="FFF8696B"/>
        <color rgb="FFFFEB84"/>
        <color rgb="FF63BE7B"/>
      </colorScale>
    </cfRule>
    <cfRule type="containsText" dxfId="50" priority="113" operator="containsText" text="0">
      <formula>NOT(ISERROR(SEARCH("0",OS79)))</formula>
    </cfRule>
  </conditionalFormatting>
  <conditionalFormatting sqref="OS110">
    <cfRule type="colorScale" priority="90">
      <colorScale>
        <cfvo type="min"/>
        <cfvo type="percent" val="50"/>
        <cfvo type="max"/>
        <color rgb="FFF8696B"/>
        <color rgb="FFFFEB84"/>
        <color rgb="FF63BE7B"/>
      </colorScale>
    </cfRule>
    <cfRule type="containsBlanks" dxfId="49" priority="91">
      <formula>LEN(TRIM(OS110))=0</formula>
    </cfRule>
    <cfRule type="containsText" dxfId="48" priority="92" operator="containsText" text="0">
      <formula>NOT(ISERROR(SEARCH("0",OS110)))</formula>
    </cfRule>
  </conditionalFormatting>
  <conditionalFormatting sqref="OS111">
    <cfRule type="containsText" dxfId="47" priority="71" operator="containsText" text="0">
      <formula>NOT(ISERROR(SEARCH("0",OS111)))</formula>
    </cfRule>
    <cfRule type="containsBlanks" dxfId="46" priority="70">
      <formula>LEN(TRIM(OS111))=0</formula>
    </cfRule>
    <cfRule type="colorScale" priority="69">
      <colorScale>
        <cfvo type="min"/>
        <cfvo type="percent" val="50"/>
        <cfvo type="max"/>
        <color rgb="FFF8696B"/>
        <color rgb="FFFFEB84"/>
        <color rgb="FF63BE7B"/>
      </colorScale>
    </cfRule>
  </conditionalFormatting>
  <conditionalFormatting sqref="OS112:OS115 OS3:OS5 OS7:OS22 OS24:OS29 OS31:OS40 OS42 OS44 OS46:OS52 OS54:OS60 OS62:OS63 OS66:OS78 OS80:OS109">
    <cfRule type="colorScale" priority="452">
      <colorScale>
        <cfvo type="min"/>
        <cfvo type="percent" val="50"/>
        <cfvo type="max"/>
        <color rgb="FFF8696B"/>
        <color rgb="FFFFEB84"/>
        <color rgb="FF63BE7B"/>
      </colorScale>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40ECEAC4-38E9-4E4F-A0F2-580D01F5EB1C}">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965A71C8-09C7-49B6-BD3A-264E439C7649}">
            <x14:dataBar minLength="0" maxLength="100" border="1" negativeBarBorderColorSameAsPositive="0">
              <x14:cfvo type="autoMin"/>
              <x14:cfvo type="autoMax"/>
              <x14:borderColor rgb="FFD6007B"/>
              <x14:negativeFillColor rgb="FFFF0000"/>
              <x14:negativeBorderColor rgb="FFFF0000"/>
              <x14:axisColor rgb="FF000000"/>
            </x14:dataBar>
          </x14:cfRule>
          <xm:sqref>F119:Q119</xm:sqref>
        </x14:conditionalFormatting>
        <x14:conditionalFormatting xmlns:xm="http://schemas.microsoft.com/office/excel/2006/main">
          <x14:cfRule type="dataBar" id="{5E1DC7BC-5591-4F4F-8618-9FFEB7C16880}">
            <x14:dataBar minLength="0" maxLength="100" border="1" negativeBarBorderColorSameAsPositive="0">
              <x14:cfvo type="autoMin"/>
              <x14:cfvo type="autoMax"/>
              <x14:borderColor rgb="FFFFB628"/>
              <x14:negativeFillColor rgb="FFFF0000"/>
              <x14:negativeBorderColor rgb="FFFF0000"/>
              <x14:axisColor rgb="FF000000"/>
            </x14:dataBar>
          </x14:cfRule>
          <xm:sqref>F122:Q122</xm:sqref>
        </x14:conditionalFormatting>
        <x14:conditionalFormatting xmlns:xm="http://schemas.microsoft.com/office/excel/2006/main">
          <x14:cfRule type="dataBar" id="{3D275C61-75DC-44D3-B642-041B6A098E7E}">
            <x14:dataBar minLength="0" maxLength="100" border="1" negativeBarBorderColorSameAsPositive="0">
              <x14:cfvo type="autoMin"/>
              <x14:cfvo type="autoMax"/>
              <x14:borderColor rgb="FF008AEF"/>
              <x14:negativeFillColor rgb="FFFF0000"/>
              <x14:negativeBorderColor rgb="FFFF0000"/>
              <x14:axisColor rgb="FF000000"/>
            </x14:dataBar>
          </x14:cfRule>
          <xm:sqref>F126:Q126 F119:Q119</xm:sqref>
        </x14:conditionalFormatting>
        <x14:conditionalFormatting xmlns:xm="http://schemas.microsoft.com/office/excel/2006/main">
          <x14:cfRule type="dataBar" id="{F6BE8919-E32F-4858-BEAC-5D2A1B43B28D}">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B454FD84-AE4F-48D3-99BE-1C17121DDD1A}">
            <x14:dataBar minLength="0" maxLength="100" border="1" negativeBarBorderColorSameAsPositive="0">
              <x14:cfvo type="autoMin"/>
              <x14:cfvo type="autoMax"/>
              <x14:borderColor rgb="FFD6007B"/>
              <x14:negativeFillColor rgb="FFFF0000"/>
              <x14:negativeBorderColor rgb="FFFF0000"/>
              <x14:axisColor rgb="FF000000"/>
            </x14:dataBar>
          </x14:cfRule>
          <xm:sqref>F126:Q126</xm:sqref>
        </x14:conditionalFormatting>
        <x14:conditionalFormatting xmlns:xm="http://schemas.microsoft.com/office/excel/2006/main">
          <x14:cfRule type="dataBar" id="{BC7F50F0-9B9A-4652-A399-C5E119AE059B}">
            <x14:dataBar minLength="0" maxLength="100" border="1" negativeBarBorderColorSameAsPositive="0">
              <x14:cfvo type="autoMin"/>
              <x14:cfvo type="autoMax"/>
              <x14:borderColor rgb="FFFFB628"/>
              <x14:negativeFillColor rgb="FFFF0000"/>
              <x14:negativeBorderColor rgb="FFFF0000"/>
              <x14:axisColor rgb="FF000000"/>
            </x14:dataBar>
          </x14:cfRule>
          <xm:sqref>F129:Q129</xm:sqref>
        </x14:conditionalFormatting>
        <x14:conditionalFormatting xmlns:xm="http://schemas.microsoft.com/office/excel/2006/main">
          <x14:cfRule type="dataBar" id="{3F4AE0B3-FC10-4802-B452-25F103531B82}">
            <x14:dataBar minLength="0" maxLength="100" border="1" negativeBarBorderColorSameAsPositive="0">
              <x14:cfvo type="autoMin"/>
              <x14:cfvo type="autoMax"/>
              <x14:borderColor rgb="FFFFB628"/>
              <x14:negativeFillColor rgb="FFFF0000"/>
              <x14:negativeBorderColor rgb="FFFF0000"/>
              <x14:axisColor rgb="FF000000"/>
            </x14:dataBar>
          </x14:cfRule>
          <xm:sqref>R122</xm:sqref>
        </x14:conditionalFormatting>
        <x14:conditionalFormatting xmlns:xm="http://schemas.microsoft.com/office/excel/2006/main">
          <x14:cfRule type="dataBar" id="{E12AD515-0B2E-490E-856A-F46DBB490F8E}">
            <x14:dataBar minLength="0" maxLength="100" border="1" negativeBarBorderColorSameAsPositive="0">
              <x14:cfvo type="autoMin"/>
              <x14:cfvo type="autoMax"/>
              <x14:borderColor rgb="FFFFB628"/>
              <x14:negativeFillColor rgb="FFFF0000"/>
              <x14:negativeBorderColor rgb="FFFF0000"/>
              <x14:axisColor rgb="FF000000"/>
            </x14:dataBar>
          </x14:cfRule>
          <xm:sqref>R129</xm:sqref>
        </x14:conditionalFormatting>
        <x14:conditionalFormatting xmlns:xm="http://schemas.microsoft.com/office/excel/2006/main">
          <x14:cfRule type="dataBar" id="{BF081E45-6193-4C05-830E-704E75CC0316}">
            <x14:dataBar minLength="0" maxLength="100" border="1">
              <x14:cfvo type="percent">
                <xm:f>0</xm:f>
              </x14:cfvo>
              <x14:cfvo type="percent">
                <xm:f>100</xm:f>
              </x14:cfvo>
              <x14:borderColor rgb="FFA20067"/>
              <x14:negativeFillColor rgb="FFFF0000"/>
              <x14:axisColor rgb="FFF94607"/>
            </x14:dataBar>
          </x14:cfRule>
          <xm:sqref>NI3:NI115</xm:sqref>
        </x14:conditionalFormatting>
        <x14:conditionalFormatting xmlns:xm="http://schemas.microsoft.com/office/excel/2006/main">
          <x14:cfRule type="dataBar" id="{CD24EE92-1444-47E0-9DF5-A8C60BBA5C14}">
            <x14:dataBar minLength="0" maxLength="100" border="1">
              <x14:cfvo type="percent">
                <xm:f>0</xm:f>
              </x14:cfvo>
              <x14:cfvo type="percent">
                <xm:f>100</xm:f>
              </x14:cfvo>
              <x14:borderColor rgb="FFA20067"/>
              <x14:negativeFillColor rgb="FFFF0000"/>
              <x14:axisColor rgb="FFF94607"/>
            </x14:dataBar>
          </x14:cfRule>
          <xm:sqref>NI6</xm:sqref>
        </x14:conditionalFormatting>
        <x14:conditionalFormatting xmlns:xm="http://schemas.microsoft.com/office/excel/2006/main">
          <x14:cfRule type="dataBar" id="{CE150635-120F-430F-A5DC-A7C7D8238C0A}">
            <x14:dataBar minLength="0" maxLength="100" border="1">
              <x14:cfvo type="percent">
                <xm:f>0</xm:f>
              </x14:cfvo>
              <x14:cfvo type="percent">
                <xm:f>100</xm:f>
              </x14:cfvo>
              <x14:borderColor rgb="FFA20067"/>
              <x14:negativeFillColor rgb="FFFF0000"/>
              <x14:axisColor rgb="FFF94607"/>
            </x14:dataBar>
          </x14:cfRule>
          <xm:sqref>NI23</xm:sqref>
        </x14:conditionalFormatting>
        <x14:conditionalFormatting xmlns:xm="http://schemas.microsoft.com/office/excel/2006/main">
          <x14:cfRule type="dataBar" id="{78A51FB3-EB61-48F2-AE0E-9839AE052011}">
            <x14:dataBar minLength="0" maxLength="100" border="1">
              <x14:cfvo type="percent">
                <xm:f>0</xm:f>
              </x14:cfvo>
              <x14:cfvo type="percent">
                <xm:f>100</xm:f>
              </x14:cfvo>
              <x14:borderColor rgb="FFA20067"/>
              <x14:negativeFillColor rgb="FFFF0000"/>
              <x14:axisColor rgb="FFF94607"/>
            </x14:dataBar>
          </x14:cfRule>
          <xm:sqref>NI30</xm:sqref>
        </x14:conditionalFormatting>
        <x14:conditionalFormatting xmlns:xm="http://schemas.microsoft.com/office/excel/2006/main">
          <x14:cfRule type="dataBar" id="{1D51C16E-0567-45E8-9934-D3BB895BAFEB}">
            <x14:dataBar minLength="0" maxLength="100" border="1">
              <x14:cfvo type="percent">
                <xm:f>0</xm:f>
              </x14:cfvo>
              <x14:cfvo type="percent">
                <xm:f>100</xm:f>
              </x14:cfvo>
              <x14:borderColor rgb="FFA20067"/>
              <x14:negativeFillColor rgb="FFFF0000"/>
              <x14:axisColor rgb="FFF94607"/>
            </x14:dataBar>
          </x14:cfRule>
          <xm:sqref>NI41</xm:sqref>
        </x14:conditionalFormatting>
        <x14:conditionalFormatting xmlns:xm="http://schemas.microsoft.com/office/excel/2006/main">
          <x14:cfRule type="dataBar" id="{212C9869-9B6C-4090-9BE3-88099A22749F}">
            <x14:dataBar minLength="0" maxLength="100" border="1">
              <x14:cfvo type="percent">
                <xm:f>0</xm:f>
              </x14:cfvo>
              <x14:cfvo type="percent">
                <xm:f>100</xm:f>
              </x14:cfvo>
              <x14:borderColor rgb="FFA20067"/>
              <x14:negativeFillColor rgb="FFFF0000"/>
              <x14:axisColor rgb="FFF94607"/>
            </x14:dataBar>
          </x14:cfRule>
          <xm:sqref>NI43</xm:sqref>
        </x14:conditionalFormatting>
        <x14:conditionalFormatting xmlns:xm="http://schemas.microsoft.com/office/excel/2006/main">
          <x14:cfRule type="dataBar" id="{2CC387F1-89A3-41A0-BD65-797913379642}">
            <x14:dataBar minLength="0" maxLength="100" border="1">
              <x14:cfvo type="percent">
                <xm:f>0</xm:f>
              </x14:cfvo>
              <x14:cfvo type="percent">
                <xm:f>100</xm:f>
              </x14:cfvo>
              <x14:borderColor rgb="FFA20067"/>
              <x14:negativeFillColor rgb="FFFF0000"/>
              <x14:axisColor rgb="FFF94607"/>
            </x14:dataBar>
          </x14:cfRule>
          <xm:sqref>NI45</xm:sqref>
        </x14:conditionalFormatting>
        <x14:conditionalFormatting xmlns:xm="http://schemas.microsoft.com/office/excel/2006/main">
          <x14:cfRule type="dataBar" id="{AA93F39B-ACFE-407B-9D6A-1552469C67E5}">
            <x14:dataBar minLength="0" maxLength="100" border="1">
              <x14:cfvo type="percent">
                <xm:f>0</xm:f>
              </x14:cfvo>
              <x14:cfvo type="percent">
                <xm:f>100</xm:f>
              </x14:cfvo>
              <x14:borderColor rgb="FFA20067"/>
              <x14:negativeFillColor rgb="FFFF0000"/>
              <x14:axisColor rgb="FFF94607"/>
            </x14:dataBar>
          </x14:cfRule>
          <xm:sqref>NI53</xm:sqref>
        </x14:conditionalFormatting>
        <x14:conditionalFormatting xmlns:xm="http://schemas.microsoft.com/office/excel/2006/main">
          <x14:cfRule type="dataBar" id="{3B05F59F-91CF-4EE1-AA0A-E1D2C772DF35}">
            <x14:dataBar minLength="0" maxLength="100" border="1">
              <x14:cfvo type="percent">
                <xm:f>0</xm:f>
              </x14:cfvo>
              <x14:cfvo type="percent">
                <xm:f>100</xm:f>
              </x14:cfvo>
              <x14:borderColor rgb="FFA20067"/>
              <x14:negativeFillColor rgb="FFFF0000"/>
              <x14:axisColor rgb="FFF94607"/>
            </x14:dataBar>
          </x14:cfRule>
          <xm:sqref>NI61</xm:sqref>
        </x14:conditionalFormatting>
        <x14:conditionalFormatting xmlns:xm="http://schemas.microsoft.com/office/excel/2006/main">
          <x14:cfRule type="dataBar" id="{794965D9-671F-40A7-BA55-5AC008B23DBD}">
            <x14:dataBar minLength="0" maxLength="100" border="1">
              <x14:cfvo type="percent">
                <xm:f>0</xm:f>
              </x14:cfvo>
              <x14:cfvo type="percent">
                <xm:f>100</xm:f>
              </x14:cfvo>
              <x14:borderColor rgb="FFA20067"/>
              <x14:negativeFillColor rgb="FFFF0000"/>
              <x14:axisColor rgb="FFF94607"/>
            </x14:dataBar>
          </x14:cfRule>
          <xm:sqref>NI64:NI65</xm:sqref>
        </x14:conditionalFormatting>
        <x14:conditionalFormatting xmlns:xm="http://schemas.microsoft.com/office/excel/2006/main">
          <x14:cfRule type="dataBar" id="{432E6D6A-6BB3-487C-AB91-F9FE1E89011C}">
            <x14:dataBar minLength="0" maxLength="100" border="1">
              <x14:cfvo type="percent">
                <xm:f>0</xm:f>
              </x14:cfvo>
              <x14:cfvo type="percent">
                <xm:f>100</xm:f>
              </x14:cfvo>
              <x14:borderColor rgb="FFA20067"/>
              <x14:negativeFillColor rgb="FFFF0000"/>
              <x14:axisColor rgb="FFF94607"/>
            </x14:dataBar>
          </x14:cfRule>
          <xm:sqref>NI79</xm:sqref>
        </x14:conditionalFormatting>
        <x14:conditionalFormatting xmlns:xm="http://schemas.microsoft.com/office/excel/2006/main">
          <x14:cfRule type="dataBar" id="{B3375342-E85B-4C04-8252-38627E61C5B7}">
            <x14:dataBar minLength="0" maxLength="100" border="1">
              <x14:cfvo type="percent">
                <xm:f>0</xm:f>
              </x14:cfvo>
              <x14:cfvo type="percent">
                <xm:f>100</xm:f>
              </x14:cfvo>
              <x14:borderColor rgb="FFA20067"/>
              <x14:negativeFillColor rgb="FFFF0000"/>
              <x14:axisColor rgb="FFF94607"/>
            </x14:dataBar>
          </x14:cfRule>
          <xm:sqref>NI110</xm:sqref>
        </x14:conditionalFormatting>
        <x14:conditionalFormatting xmlns:xm="http://schemas.microsoft.com/office/excel/2006/main">
          <x14:cfRule type="dataBar" id="{DB488BE8-F433-49E5-A3E9-A3360D38F259}">
            <x14:dataBar minLength="0" maxLength="100" border="1">
              <x14:cfvo type="percent">
                <xm:f>0</xm:f>
              </x14:cfvo>
              <x14:cfvo type="percent">
                <xm:f>100</xm:f>
              </x14:cfvo>
              <x14:borderColor rgb="FFA20067"/>
              <x14:negativeFillColor rgb="FFFF0000"/>
              <x14:axisColor rgb="FFF94607"/>
            </x14:dataBar>
          </x14:cfRule>
          <xm:sqref>NI111</xm:sqref>
        </x14:conditionalFormatting>
        <x14:conditionalFormatting xmlns:xm="http://schemas.microsoft.com/office/excel/2006/main">
          <x14:cfRule type="dataBar" id="{4C78C0FF-B351-43E9-AF7C-ADD5471B5C53}">
            <x14:dataBar minLength="0" maxLength="100" border="1">
              <x14:cfvo type="percent">
                <xm:f>0</xm:f>
              </x14:cfvo>
              <x14:cfvo type="percent">
                <xm:f>100</xm:f>
              </x14:cfvo>
              <x14:borderColor rgb="FFA20067"/>
              <x14:negativeFillColor rgb="FFFF0000"/>
              <x14:axisColor rgb="FFF94607"/>
            </x14:dataBar>
          </x14:cfRule>
          <x14:cfRule type="dataBar" id="{709E045E-024E-4050-919B-87BFD8246C5F}">
            <x14:dataBar minLength="0" maxLength="100" border="1">
              <x14:cfvo type="percent">
                <xm:f>0</xm:f>
              </x14:cfvo>
              <x14:cfvo type="percent">
                <xm:f>100</xm:f>
              </x14:cfvo>
              <x14:borderColor rgb="FFA20067"/>
              <x14:negativeFillColor rgb="FFFF0000"/>
              <x14:axisColor rgb="FFF94607"/>
            </x14:dataBar>
          </x14:cfRule>
          <xm:sqref>NL3:NL115</xm:sqref>
        </x14:conditionalFormatting>
        <x14:conditionalFormatting xmlns:xm="http://schemas.microsoft.com/office/excel/2006/main">
          <x14:cfRule type="dataBar" id="{B893ECB2-EF81-48D3-8653-D297C402EA5E}">
            <x14:dataBar minLength="0" maxLength="100" border="1">
              <x14:cfvo type="percent">
                <xm:f>0</xm:f>
              </x14:cfvo>
              <x14:cfvo type="percent">
                <xm:f>100</xm:f>
              </x14:cfvo>
              <x14:borderColor rgb="FFA20067"/>
              <x14:negativeFillColor rgb="FFFF0000"/>
              <x14:axisColor rgb="FFF94607"/>
            </x14:dataBar>
          </x14:cfRule>
          <xm:sqref>NL6</xm:sqref>
        </x14:conditionalFormatting>
        <x14:conditionalFormatting xmlns:xm="http://schemas.microsoft.com/office/excel/2006/main">
          <x14:cfRule type="dataBar" id="{4674D22B-B82A-4316-A019-97A0DF5DC20F}">
            <x14:dataBar minLength="0" maxLength="100" border="1">
              <x14:cfvo type="percent">
                <xm:f>0</xm:f>
              </x14:cfvo>
              <x14:cfvo type="percent">
                <xm:f>100</xm:f>
              </x14:cfvo>
              <x14:borderColor rgb="FFA20067"/>
              <x14:negativeFillColor rgb="FFFF0000"/>
              <x14:axisColor rgb="FFF94607"/>
            </x14:dataBar>
          </x14:cfRule>
          <xm:sqref>NL23</xm:sqref>
        </x14:conditionalFormatting>
        <x14:conditionalFormatting xmlns:xm="http://schemas.microsoft.com/office/excel/2006/main">
          <x14:cfRule type="dataBar" id="{DEF1B899-AA16-441F-9A9C-BEC958F98616}">
            <x14:dataBar minLength="0" maxLength="100" border="1">
              <x14:cfvo type="percent">
                <xm:f>0</xm:f>
              </x14:cfvo>
              <x14:cfvo type="percent">
                <xm:f>100</xm:f>
              </x14:cfvo>
              <x14:borderColor rgb="FFA20067"/>
              <x14:negativeFillColor rgb="FFFF0000"/>
              <x14:axisColor rgb="FFF94607"/>
            </x14:dataBar>
          </x14:cfRule>
          <xm:sqref>NL30</xm:sqref>
        </x14:conditionalFormatting>
        <x14:conditionalFormatting xmlns:xm="http://schemas.microsoft.com/office/excel/2006/main">
          <x14:cfRule type="dataBar" id="{374C96E8-E28A-4597-99E6-1F3BEC424691}">
            <x14:dataBar minLength="0" maxLength="100" border="1">
              <x14:cfvo type="percent">
                <xm:f>0</xm:f>
              </x14:cfvo>
              <x14:cfvo type="percent">
                <xm:f>100</xm:f>
              </x14:cfvo>
              <x14:borderColor rgb="FFA20067"/>
              <x14:negativeFillColor rgb="FFFF0000"/>
              <x14:axisColor rgb="FFF94607"/>
            </x14:dataBar>
          </x14:cfRule>
          <xm:sqref>NL41</xm:sqref>
        </x14:conditionalFormatting>
        <x14:conditionalFormatting xmlns:xm="http://schemas.microsoft.com/office/excel/2006/main">
          <x14:cfRule type="dataBar" id="{E833DA69-38E5-416C-937B-0CB09539E9B0}">
            <x14:dataBar minLength="0" maxLength="100" border="1">
              <x14:cfvo type="percent">
                <xm:f>0</xm:f>
              </x14:cfvo>
              <x14:cfvo type="percent">
                <xm:f>100</xm:f>
              </x14:cfvo>
              <x14:borderColor rgb="FFA20067"/>
              <x14:negativeFillColor rgb="FFFF0000"/>
              <x14:axisColor rgb="FFF94607"/>
            </x14:dataBar>
          </x14:cfRule>
          <xm:sqref>NL43</xm:sqref>
        </x14:conditionalFormatting>
        <x14:conditionalFormatting xmlns:xm="http://schemas.microsoft.com/office/excel/2006/main">
          <x14:cfRule type="dataBar" id="{180BA55B-2681-4039-9346-0A5072BE1A37}">
            <x14:dataBar minLength="0" maxLength="100" border="1">
              <x14:cfvo type="percent">
                <xm:f>0</xm:f>
              </x14:cfvo>
              <x14:cfvo type="percent">
                <xm:f>100</xm:f>
              </x14:cfvo>
              <x14:borderColor rgb="FFA20067"/>
              <x14:negativeFillColor rgb="FFFF0000"/>
              <x14:axisColor rgb="FFF94607"/>
            </x14:dataBar>
          </x14:cfRule>
          <xm:sqref>NL45</xm:sqref>
        </x14:conditionalFormatting>
        <x14:conditionalFormatting xmlns:xm="http://schemas.microsoft.com/office/excel/2006/main">
          <x14:cfRule type="dataBar" id="{C70E378D-FF70-46CD-A6F0-38B495B14146}">
            <x14:dataBar minLength="0" maxLength="100" border="1">
              <x14:cfvo type="percent">
                <xm:f>0</xm:f>
              </x14:cfvo>
              <x14:cfvo type="percent">
                <xm:f>100</xm:f>
              </x14:cfvo>
              <x14:borderColor rgb="FFA20067"/>
              <x14:negativeFillColor rgb="FFFF0000"/>
              <x14:axisColor rgb="FFF94607"/>
            </x14:dataBar>
          </x14:cfRule>
          <xm:sqref>NL53</xm:sqref>
        </x14:conditionalFormatting>
        <x14:conditionalFormatting xmlns:xm="http://schemas.microsoft.com/office/excel/2006/main">
          <x14:cfRule type="dataBar" id="{FB11DE2B-EE80-4727-A983-CC28FB170FE6}">
            <x14:dataBar minLength="0" maxLength="100" border="1">
              <x14:cfvo type="percent">
                <xm:f>0</xm:f>
              </x14:cfvo>
              <x14:cfvo type="percent">
                <xm:f>100</xm:f>
              </x14:cfvo>
              <x14:borderColor rgb="FFA20067"/>
              <x14:negativeFillColor rgb="FFFF0000"/>
              <x14:axisColor rgb="FFF94607"/>
            </x14:dataBar>
          </x14:cfRule>
          <xm:sqref>NL61</xm:sqref>
        </x14:conditionalFormatting>
        <x14:conditionalFormatting xmlns:xm="http://schemas.microsoft.com/office/excel/2006/main">
          <x14:cfRule type="dataBar" id="{859126A9-A698-42B3-AB26-D61020CA511C}">
            <x14:dataBar minLength="0" maxLength="100" border="1">
              <x14:cfvo type="percent">
                <xm:f>0</xm:f>
              </x14:cfvo>
              <x14:cfvo type="percent">
                <xm:f>100</xm:f>
              </x14:cfvo>
              <x14:borderColor rgb="FFA20067"/>
              <x14:negativeFillColor rgb="FFFF0000"/>
              <x14:axisColor rgb="FFF94607"/>
            </x14:dataBar>
          </x14:cfRule>
          <xm:sqref>NL65</xm:sqref>
        </x14:conditionalFormatting>
        <x14:conditionalFormatting xmlns:xm="http://schemas.microsoft.com/office/excel/2006/main">
          <x14:cfRule type="dataBar" id="{C689D5E1-1300-4F12-A261-AC8367701F55}">
            <x14:dataBar minLength="0" maxLength="100" border="1">
              <x14:cfvo type="percent">
                <xm:f>0</xm:f>
              </x14:cfvo>
              <x14:cfvo type="percent">
                <xm:f>100</xm:f>
              </x14:cfvo>
              <x14:borderColor rgb="FFA20067"/>
              <x14:negativeFillColor rgb="FFFF0000"/>
              <x14:axisColor rgb="FFF94607"/>
            </x14:dataBar>
          </x14:cfRule>
          <xm:sqref>NL79</xm:sqref>
        </x14:conditionalFormatting>
        <x14:conditionalFormatting xmlns:xm="http://schemas.microsoft.com/office/excel/2006/main">
          <x14:cfRule type="dataBar" id="{FEB8690A-3A22-49FC-BE52-FC17BAA675A3}">
            <x14:dataBar minLength="0" maxLength="100" border="1">
              <x14:cfvo type="percent">
                <xm:f>0</xm:f>
              </x14:cfvo>
              <x14:cfvo type="percent">
                <xm:f>100</xm:f>
              </x14:cfvo>
              <x14:borderColor rgb="FFA20067"/>
              <x14:negativeFillColor rgb="FFFF0000"/>
              <x14:axisColor rgb="FFF94607"/>
            </x14:dataBar>
          </x14:cfRule>
          <xm:sqref>NL110</xm:sqref>
        </x14:conditionalFormatting>
        <x14:conditionalFormatting xmlns:xm="http://schemas.microsoft.com/office/excel/2006/main">
          <x14:cfRule type="dataBar" id="{BA5D851B-65DC-487C-B9E3-1D5663F6BD3C}">
            <x14:dataBar minLength="0" maxLength="100" border="1">
              <x14:cfvo type="percent">
                <xm:f>0</xm:f>
              </x14:cfvo>
              <x14:cfvo type="percent">
                <xm:f>100</xm:f>
              </x14:cfvo>
              <x14:borderColor rgb="FFA20067"/>
              <x14:negativeFillColor rgb="FFFF0000"/>
              <x14:axisColor rgb="FFF94607"/>
            </x14:dataBar>
          </x14:cfRule>
          <xm:sqref>NL111</xm:sqref>
        </x14:conditionalFormatting>
        <x14:conditionalFormatting xmlns:xm="http://schemas.microsoft.com/office/excel/2006/main">
          <x14:cfRule type="dataBar" id="{81C6A2C5-4E91-4182-B2FC-A6E28E4B2FE5}">
            <x14:dataBar minLength="0" maxLength="100" border="1">
              <x14:cfvo type="percent">
                <xm:f>0</xm:f>
              </x14:cfvo>
              <x14:cfvo type="percent">
                <xm:f>100</xm:f>
              </x14:cfvo>
              <x14:borderColor rgb="FFA20067"/>
              <x14:negativeFillColor rgb="FFFF0000"/>
              <x14:axisColor rgb="FFF94607"/>
            </x14:dataBar>
          </x14:cfRule>
          <x14:cfRule type="dataBar" id="{4DFFACEB-C1CF-4AF3-A2A4-51AA9DD9ABA7}">
            <x14:dataBar minLength="0" maxLength="100" border="1">
              <x14:cfvo type="percent">
                <xm:f>0</xm:f>
              </x14:cfvo>
              <x14:cfvo type="percent">
                <xm:f>100</xm:f>
              </x14:cfvo>
              <x14:borderColor rgb="FFA20067"/>
              <x14:negativeFillColor rgb="FFFF0000"/>
              <x14:axisColor rgb="FFF94607"/>
            </x14:dataBar>
          </x14:cfRule>
          <x14:cfRule type="dataBar" id="{6C27E0C3-8BDA-48B2-92C6-DC3E9938EEBF}">
            <x14:dataBar minLength="0" maxLength="100" border="1">
              <x14:cfvo type="percent">
                <xm:f>0</xm:f>
              </x14:cfvo>
              <x14:cfvo type="percent">
                <xm:f>100</xm:f>
              </x14:cfvo>
              <x14:borderColor rgb="FFA20067"/>
              <x14:negativeFillColor rgb="FFFF0000"/>
              <x14:axisColor rgb="FFF94607"/>
            </x14:dataBar>
          </x14:cfRule>
          <xm:sqref>NO3:NO115</xm:sqref>
        </x14:conditionalFormatting>
        <x14:conditionalFormatting xmlns:xm="http://schemas.microsoft.com/office/excel/2006/main">
          <x14:cfRule type="dataBar" id="{BE0F6B72-DEF4-4686-A321-6D628E81F0B1}">
            <x14:dataBar minLength="0" maxLength="100" border="1">
              <x14:cfvo type="percent">
                <xm:f>0</xm:f>
              </x14:cfvo>
              <x14:cfvo type="percent">
                <xm:f>100</xm:f>
              </x14:cfvo>
              <x14:borderColor rgb="FFA20067"/>
              <x14:negativeFillColor rgb="FFFF0000"/>
              <x14:axisColor rgb="FFF94607"/>
            </x14:dataBar>
          </x14:cfRule>
          <xm:sqref>NO6</xm:sqref>
        </x14:conditionalFormatting>
        <x14:conditionalFormatting xmlns:xm="http://schemas.microsoft.com/office/excel/2006/main">
          <x14:cfRule type="dataBar" id="{DA41884F-B84F-4A23-94E8-ADDD45CF8D72}">
            <x14:dataBar minLength="0" maxLength="100" border="1">
              <x14:cfvo type="percent">
                <xm:f>0</xm:f>
              </x14:cfvo>
              <x14:cfvo type="percent">
                <xm:f>100</xm:f>
              </x14:cfvo>
              <x14:borderColor rgb="FFA20067"/>
              <x14:negativeFillColor rgb="FFFF0000"/>
              <x14:axisColor rgb="FFF94607"/>
            </x14:dataBar>
          </x14:cfRule>
          <xm:sqref>NO23</xm:sqref>
        </x14:conditionalFormatting>
        <x14:conditionalFormatting xmlns:xm="http://schemas.microsoft.com/office/excel/2006/main">
          <x14:cfRule type="dataBar" id="{52729832-7CBD-478B-B647-63F1EABA9286}">
            <x14:dataBar minLength="0" maxLength="100" border="1">
              <x14:cfvo type="percent">
                <xm:f>0</xm:f>
              </x14:cfvo>
              <x14:cfvo type="percent">
                <xm:f>100</xm:f>
              </x14:cfvo>
              <x14:borderColor rgb="FFA20067"/>
              <x14:negativeFillColor rgb="FFFF0000"/>
              <x14:axisColor rgb="FFF94607"/>
            </x14:dataBar>
          </x14:cfRule>
          <xm:sqref>NO30</xm:sqref>
        </x14:conditionalFormatting>
        <x14:conditionalFormatting xmlns:xm="http://schemas.microsoft.com/office/excel/2006/main">
          <x14:cfRule type="dataBar" id="{EC418009-4A9E-489C-8B1B-04865623B283}">
            <x14:dataBar minLength="0" maxLength="100" border="1">
              <x14:cfvo type="percent">
                <xm:f>0</xm:f>
              </x14:cfvo>
              <x14:cfvo type="percent">
                <xm:f>100</xm:f>
              </x14:cfvo>
              <x14:borderColor rgb="FFA20067"/>
              <x14:negativeFillColor rgb="FFFF0000"/>
              <x14:axisColor rgb="FFF94607"/>
            </x14:dataBar>
          </x14:cfRule>
          <xm:sqref>NO41</xm:sqref>
        </x14:conditionalFormatting>
        <x14:conditionalFormatting xmlns:xm="http://schemas.microsoft.com/office/excel/2006/main">
          <x14:cfRule type="dataBar" id="{095B08D8-231C-4104-939B-E78794DBDF3E}">
            <x14:dataBar minLength="0" maxLength="100" border="1">
              <x14:cfvo type="percent">
                <xm:f>0</xm:f>
              </x14:cfvo>
              <x14:cfvo type="percent">
                <xm:f>100</xm:f>
              </x14:cfvo>
              <x14:borderColor rgb="FFA20067"/>
              <x14:negativeFillColor rgb="FFFF0000"/>
              <x14:axisColor rgb="FFF94607"/>
            </x14:dataBar>
          </x14:cfRule>
          <xm:sqref>NO43</xm:sqref>
        </x14:conditionalFormatting>
        <x14:conditionalFormatting xmlns:xm="http://schemas.microsoft.com/office/excel/2006/main">
          <x14:cfRule type="dataBar" id="{EA6E910B-BB07-40ED-8860-FF3DC15C3567}">
            <x14:dataBar minLength="0" maxLength="100" border="1">
              <x14:cfvo type="percent">
                <xm:f>0</xm:f>
              </x14:cfvo>
              <x14:cfvo type="percent">
                <xm:f>100</xm:f>
              </x14:cfvo>
              <x14:borderColor rgb="FFA20067"/>
              <x14:negativeFillColor rgb="FFFF0000"/>
              <x14:axisColor rgb="FFF94607"/>
            </x14:dataBar>
          </x14:cfRule>
          <xm:sqref>NO45</xm:sqref>
        </x14:conditionalFormatting>
        <x14:conditionalFormatting xmlns:xm="http://schemas.microsoft.com/office/excel/2006/main">
          <x14:cfRule type="dataBar" id="{AF0FD2AF-AF9F-4C51-B75F-2181CC002869}">
            <x14:dataBar minLength="0" maxLength="100" border="1">
              <x14:cfvo type="percent">
                <xm:f>0</xm:f>
              </x14:cfvo>
              <x14:cfvo type="percent">
                <xm:f>100</xm:f>
              </x14:cfvo>
              <x14:borderColor rgb="FFA20067"/>
              <x14:negativeFillColor rgb="FFFF0000"/>
              <x14:axisColor rgb="FFF94607"/>
            </x14:dataBar>
          </x14:cfRule>
          <xm:sqref>NO53</xm:sqref>
        </x14:conditionalFormatting>
        <x14:conditionalFormatting xmlns:xm="http://schemas.microsoft.com/office/excel/2006/main">
          <x14:cfRule type="dataBar" id="{922EC54E-E524-41FF-AEA6-7E4BD31E7B70}">
            <x14:dataBar minLength="0" maxLength="100" border="1">
              <x14:cfvo type="percent">
                <xm:f>0</xm:f>
              </x14:cfvo>
              <x14:cfvo type="percent">
                <xm:f>100</xm:f>
              </x14:cfvo>
              <x14:borderColor rgb="FFA20067"/>
              <x14:negativeFillColor rgb="FFFF0000"/>
              <x14:axisColor rgb="FFF94607"/>
            </x14:dataBar>
          </x14:cfRule>
          <xm:sqref>NO61</xm:sqref>
        </x14:conditionalFormatting>
        <x14:conditionalFormatting xmlns:xm="http://schemas.microsoft.com/office/excel/2006/main">
          <x14:cfRule type="dataBar" id="{482AE173-C88C-4137-A509-1D33C1CD5F38}">
            <x14:dataBar minLength="0" maxLength="100" border="1">
              <x14:cfvo type="percent">
                <xm:f>0</xm:f>
              </x14:cfvo>
              <x14:cfvo type="percent">
                <xm:f>100</xm:f>
              </x14:cfvo>
              <x14:borderColor rgb="FFA20067"/>
              <x14:negativeFillColor rgb="FFFF0000"/>
              <x14:axisColor rgb="FFF94607"/>
            </x14:dataBar>
          </x14:cfRule>
          <xm:sqref>NO64</xm:sqref>
        </x14:conditionalFormatting>
        <x14:conditionalFormatting xmlns:xm="http://schemas.microsoft.com/office/excel/2006/main">
          <x14:cfRule type="dataBar" id="{BF9A332E-8C56-4E8C-8853-02404BEA796A}">
            <x14:dataBar minLength="0" maxLength="100" border="1">
              <x14:cfvo type="percent">
                <xm:f>0</xm:f>
              </x14:cfvo>
              <x14:cfvo type="percent">
                <xm:f>100</xm:f>
              </x14:cfvo>
              <x14:borderColor rgb="FFA20067"/>
              <x14:negativeFillColor rgb="FFFF0000"/>
              <x14:axisColor rgb="FFF94607"/>
            </x14:dataBar>
          </x14:cfRule>
          <xm:sqref>NO64:NO65</xm:sqref>
        </x14:conditionalFormatting>
        <x14:conditionalFormatting xmlns:xm="http://schemas.microsoft.com/office/excel/2006/main">
          <x14:cfRule type="dataBar" id="{26EEAF5E-5C54-4B43-AD32-1FA74E43FBB2}">
            <x14:dataBar minLength="0" maxLength="100" border="1">
              <x14:cfvo type="percent">
                <xm:f>0</xm:f>
              </x14:cfvo>
              <x14:cfvo type="percent">
                <xm:f>100</xm:f>
              </x14:cfvo>
              <x14:borderColor rgb="FFA20067"/>
              <x14:negativeFillColor rgb="FFFF0000"/>
              <x14:axisColor rgb="FFF94607"/>
            </x14:dataBar>
          </x14:cfRule>
          <xm:sqref>NO79</xm:sqref>
        </x14:conditionalFormatting>
        <x14:conditionalFormatting xmlns:xm="http://schemas.microsoft.com/office/excel/2006/main">
          <x14:cfRule type="dataBar" id="{B5203131-8C75-4AA4-A02B-979CACE9EA86}">
            <x14:dataBar minLength="0" maxLength="100" border="1">
              <x14:cfvo type="percent">
                <xm:f>0</xm:f>
              </x14:cfvo>
              <x14:cfvo type="percent">
                <xm:f>100</xm:f>
              </x14:cfvo>
              <x14:borderColor rgb="FFA20067"/>
              <x14:negativeFillColor rgb="FFFF0000"/>
              <x14:axisColor rgb="FFF94607"/>
            </x14:dataBar>
          </x14:cfRule>
          <xm:sqref>NO110</xm:sqref>
        </x14:conditionalFormatting>
        <x14:conditionalFormatting xmlns:xm="http://schemas.microsoft.com/office/excel/2006/main">
          <x14:cfRule type="dataBar" id="{942A881A-ACF8-4DDC-9D68-45C981B0D4F5}">
            <x14:dataBar minLength="0" maxLength="100" border="1">
              <x14:cfvo type="percent">
                <xm:f>0</xm:f>
              </x14:cfvo>
              <x14:cfvo type="percent">
                <xm:f>100</xm:f>
              </x14:cfvo>
              <x14:borderColor rgb="FFA20067"/>
              <x14:negativeFillColor rgb="FFFF0000"/>
              <x14:axisColor rgb="FFF94607"/>
            </x14:dataBar>
          </x14:cfRule>
          <xm:sqref>NO111</xm:sqref>
        </x14:conditionalFormatting>
        <x14:conditionalFormatting xmlns:xm="http://schemas.microsoft.com/office/excel/2006/main">
          <x14:cfRule type="dataBar" id="{250EE43B-431B-4050-8C36-E42DAC12A624}">
            <x14:dataBar minLength="0" maxLength="100" border="1">
              <x14:cfvo type="percent">
                <xm:f>0</xm:f>
              </x14:cfvo>
              <x14:cfvo type="percent">
                <xm:f>100</xm:f>
              </x14:cfvo>
              <x14:borderColor rgb="FFA20067"/>
              <x14:negativeFillColor rgb="FFFF0000"/>
              <x14:axisColor rgb="FFF94607"/>
            </x14:dataBar>
          </x14:cfRule>
          <x14:cfRule type="dataBar" id="{7E6E026F-BC84-42B3-A730-6CFBC87D3FCB}">
            <x14:dataBar minLength="0" maxLength="100" border="1">
              <x14:cfvo type="percent">
                <xm:f>0</xm:f>
              </x14:cfvo>
              <x14:cfvo type="percent">
                <xm:f>100</xm:f>
              </x14:cfvo>
              <x14:borderColor rgb="FFA20067"/>
              <x14:negativeFillColor rgb="FFFF0000"/>
              <x14:axisColor rgb="FFF94607"/>
            </x14:dataBar>
          </x14:cfRule>
          <x14:cfRule type="dataBar" id="{CAEC1DDC-4258-42D9-B878-7949F71F32F0}">
            <x14:dataBar minLength="0" maxLength="100" border="1">
              <x14:cfvo type="percent">
                <xm:f>0</xm:f>
              </x14:cfvo>
              <x14:cfvo type="percent">
                <xm:f>100</xm:f>
              </x14:cfvo>
              <x14:borderColor rgb="FFA20067"/>
              <x14:negativeFillColor rgb="FFFF0000"/>
              <x14:axisColor rgb="FFF94607"/>
            </x14:dataBar>
          </x14:cfRule>
          <xm:sqref>NR3:NR115</xm:sqref>
        </x14:conditionalFormatting>
        <x14:conditionalFormatting xmlns:xm="http://schemas.microsoft.com/office/excel/2006/main">
          <x14:cfRule type="dataBar" id="{9DA33F09-B456-45FC-BEFA-1902DC4E8CE7}">
            <x14:dataBar minLength="0" maxLength="100" border="1">
              <x14:cfvo type="percent">
                <xm:f>0</xm:f>
              </x14:cfvo>
              <x14:cfvo type="percent">
                <xm:f>100</xm:f>
              </x14:cfvo>
              <x14:borderColor rgb="FFA20067"/>
              <x14:negativeFillColor rgb="FFFF0000"/>
              <x14:axisColor rgb="FFF94607"/>
            </x14:dataBar>
          </x14:cfRule>
          <x14:cfRule type="dataBar" id="{DB9D22C7-5F66-45F4-A433-085932323056}">
            <x14:dataBar minLength="0" maxLength="100" border="1">
              <x14:cfvo type="percent">
                <xm:f>0</xm:f>
              </x14:cfvo>
              <x14:cfvo type="percent">
                <xm:f>100</xm:f>
              </x14:cfvo>
              <x14:borderColor rgb="FFA20067"/>
              <x14:negativeFillColor rgb="FFFF0000"/>
              <x14:axisColor rgb="FFF94607"/>
            </x14:dataBar>
          </x14:cfRule>
          <xm:sqref>NR6</xm:sqref>
        </x14:conditionalFormatting>
        <x14:conditionalFormatting xmlns:xm="http://schemas.microsoft.com/office/excel/2006/main">
          <x14:cfRule type="dataBar" id="{6D7321B9-D220-40B7-B340-6D604CE1938E}">
            <x14:dataBar minLength="0" maxLength="100" border="1">
              <x14:cfvo type="percent">
                <xm:f>0</xm:f>
              </x14:cfvo>
              <x14:cfvo type="percent">
                <xm:f>100</xm:f>
              </x14:cfvo>
              <x14:borderColor rgb="FFA20067"/>
              <x14:negativeFillColor rgb="FFFF0000"/>
              <x14:axisColor rgb="FFF94607"/>
            </x14:dataBar>
          </x14:cfRule>
          <x14:cfRule type="dataBar" id="{DDBC4DBA-1DDD-40EA-9DDB-3C53CB8F965E}">
            <x14:dataBar minLength="0" maxLength="100" border="1">
              <x14:cfvo type="percent">
                <xm:f>0</xm:f>
              </x14:cfvo>
              <x14:cfvo type="percent">
                <xm:f>100</xm:f>
              </x14:cfvo>
              <x14:borderColor rgb="FFA20067"/>
              <x14:negativeFillColor rgb="FFFF0000"/>
              <x14:axisColor rgb="FFF94607"/>
            </x14:dataBar>
          </x14:cfRule>
          <xm:sqref>NR23</xm:sqref>
        </x14:conditionalFormatting>
        <x14:conditionalFormatting xmlns:xm="http://schemas.microsoft.com/office/excel/2006/main">
          <x14:cfRule type="dataBar" id="{89057F50-6507-441A-9997-E229C8E82B3C}">
            <x14:dataBar minLength="0" maxLength="100" border="1">
              <x14:cfvo type="percent">
                <xm:f>0</xm:f>
              </x14:cfvo>
              <x14:cfvo type="percent">
                <xm:f>100</xm:f>
              </x14:cfvo>
              <x14:borderColor rgb="FFA20067"/>
              <x14:negativeFillColor rgb="FFFF0000"/>
              <x14:axisColor rgb="FFF94607"/>
            </x14:dataBar>
          </x14:cfRule>
          <x14:cfRule type="dataBar" id="{8862E8D0-A305-4755-A6FC-93F42AD03D47}">
            <x14:dataBar minLength="0" maxLength="100" border="1">
              <x14:cfvo type="percent">
                <xm:f>0</xm:f>
              </x14:cfvo>
              <x14:cfvo type="percent">
                <xm:f>100</xm:f>
              </x14:cfvo>
              <x14:borderColor rgb="FFA20067"/>
              <x14:negativeFillColor rgb="FFFF0000"/>
              <x14:axisColor rgb="FFF94607"/>
            </x14:dataBar>
          </x14:cfRule>
          <xm:sqref>NR30</xm:sqref>
        </x14:conditionalFormatting>
        <x14:conditionalFormatting xmlns:xm="http://schemas.microsoft.com/office/excel/2006/main">
          <x14:cfRule type="dataBar" id="{EC19987D-9E85-413D-8554-5081E76FB669}">
            <x14:dataBar minLength="0" maxLength="100" border="1">
              <x14:cfvo type="percent">
                <xm:f>0</xm:f>
              </x14:cfvo>
              <x14:cfvo type="percent">
                <xm:f>100</xm:f>
              </x14:cfvo>
              <x14:borderColor rgb="FFA20067"/>
              <x14:negativeFillColor rgb="FFFF0000"/>
              <x14:axisColor rgb="FFF94607"/>
            </x14:dataBar>
          </x14:cfRule>
          <x14:cfRule type="dataBar" id="{5D0F91EA-A967-46AA-89D3-7CD14F1464E4}">
            <x14:dataBar minLength="0" maxLength="100" border="1">
              <x14:cfvo type="percent">
                <xm:f>0</xm:f>
              </x14:cfvo>
              <x14:cfvo type="percent">
                <xm:f>100</xm:f>
              </x14:cfvo>
              <x14:borderColor rgb="FFA20067"/>
              <x14:negativeFillColor rgb="FFFF0000"/>
              <x14:axisColor rgb="FFF94607"/>
            </x14:dataBar>
          </x14:cfRule>
          <xm:sqref>NR41</xm:sqref>
        </x14:conditionalFormatting>
        <x14:conditionalFormatting xmlns:xm="http://schemas.microsoft.com/office/excel/2006/main">
          <x14:cfRule type="dataBar" id="{414F100C-5318-4F2D-AD7B-F846B2ACB999}">
            <x14:dataBar minLength="0" maxLength="100" border="1">
              <x14:cfvo type="percent">
                <xm:f>0</xm:f>
              </x14:cfvo>
              <x14:cfvo type="percent">
                <xm:f>100</xm:f>
              </x14:cfvo>
              <x14:borderColor rgb="FFA20067"/>
              <x14:negativeFillColor rgb="FFFF0000"/>
              <x14:axisColor rgb="FFF94607"/>
            </x14:dataBar>
          </x14:cfRule>
          <x14:cfRule type="dataBar" id="{D2788E7E-CACC-42AB-AFDE-055E2024C4C3}">
            <x14:dataBar minLength="0" maxLength="100" border="1">
              <x14:cfvo type="percent">
                <xm:f>0</xm:f>
              </x14:cfvo>
              <x14:cfvo type="percent">
                <xm:f>100</xm:f>
              </x14:cfvo>
              <x14:borderColor rgb="FFA20067"/>
              <x14:negativeFillColor rgb="FFFF0000"/>
              <x14:axisColor rgb="FFF94607"/>
            </x14:dataBar>
          </x14:cfRule>
          <xm:sqref>NR43</xm:sqref>
        </x14:conditionalFormatting>
        <x14:conditionalFormatting xmlns:xm="http://schemas.microsoft.com/office/excel/2006/main">
          <x14:cfRule type="dataBar" id="{29B6AA22-31AC-447C-8B14-3B8A62D468AF}">
            <x14:dataBar minLength="0" maxLength="100" border="1">
              <x14:cfvo type="percent">
                <xm:f>0</xm:f>
              </x14:cfvo>
              <x14:cfvo type="percent">
                <xm:f>100</xm:f>
              </x14:cfvo>
              <x14:borderColor rgb="FFA20067"/>
              <x14:negativeFillColor rgb="FFFF0000"/>
              <x14:axisColor rgb="FFF94607"/>
            </x14:dataBar>
          </x14:cfRule>
          <x14:cfRule type="dataBar" id="{59E43AF3-E212-4FBF-84D8-E8F505D6DAB6}">
            <x14:dataBar minLength="0" maxLength="100" border="1">
              <x14:cfvo type="percent">
                <xm:f>0</xm:f>
              </x14:cfvo>
              <x14:cfvo type="percent">
                <xm:f>100</xm:f>
              </x14:cfvo>
              <x14:borderColor rgb="FFA20067"/>
              <x14:negativeFillColor rgb="FFFF0000"/>
              <x14:axisColor rgb="FFF94607"/>
            </x14:dataBar>
          </x14:cfRule>
          <xm:sqref>NR45</xm:sqref>
        </x14:conditionalFormatting>
        <x14:conditionalFormatting xmlns:xm="http://schemas.microsoft.com/office/excel/2006/main">
          <x14:cfRule type="dataBar" id="{7DB6BA17-0703-49F9-A7E2-461AE16FB8D7}">
            <x14:dataBar minLength="0" maxLength="100" border="1">
              <x14:cfvo type="percent">
                <xm:f>0</xm:f>
              </x14:cfvo>
              <x14:cfvo type="percent">
                <xm:f>100</xm:f>
              </x14:cfvo>
              <x14:borderColor rgb="FFA20067"/>
              <x14:negativeFillColor rgb="FFFF0000"/>
              <x14:axisColor rgb="FFF94607"/>
            </x14:dataBar>
          </x14:cfRule>
          <x14:cfRule type="dataBar" id="{CBB72062-BBD5-47CC-834F-B620B6D0D055}">
            <x14:dataBar minLength="0" maxLength="100" border="1">
              <x14:cfvo type="percent">
                <xm:f>0</xm:f>
              </x14:cfvo>
              <x14:cfvo type="percent">
                <xm:f>100</xm:f>
              </x14:cfvo>
              <x14:borderColor rgb="FFA20067"/>
              <x14:negativeFillColor rgb="FFFF0000"/>
              <x14:axisColor rgb="FFF94607"/>
            </x14:dataBar>
          </x14:cfRule>
          <xm:sqref>NR53</xm:sqref>
        </x14:conditionalFormatting>
        <x14:conditionalFormatting xmlns:xm="http://schemas.microsoft.com/office/excel/2006/main">
          <x14:cfRule type="dataBar" id="{8442FEE1-7F86-4AD3-90D0-7BAC64F6C5CE}">
            <x14:dataBar minLength="0" maxLength="100" border="1">
              <x14:cfvo type="percent">
                <xm:f>0</xm:f>
              </x14:cfvo>
              <x14:cfvo type="percent">
                <xm:f>100</xm:f>
              </x14:cfvo>
              <x14:borderColor rgb="FFA20067"/>
              <x14:negativeFillColor rgb="FFFF0000"/>
              <x14:axisColor rgb="FFF94607"/>
            </x14:dataBar>
          </x14:cfRule>
          <x14:cfRule type="dataBar" id="{995210F5-D86F-4936-99D3-A2E25FA5CAC3}">
            <x14:dataBar minLength="0" maxLength="100" border="1">
              <x14:cfvo type="percent">
                <xm:f>0</xm:f>
              </x14:cfvo>
              <x14:cfvo type="percent">
                <xm:f>100</xm:f>
              </x14:cfvo>
              <x14:borderColor rgb="FFA20067"/>
              <x14:negativeFillColor rgb="FFFF0000"/>
              <x14:axisColor rgb="FFF94607"/>
            </x14:dataBar>
          </x14:cfRule>
          <xm:sqref>NR61</xm:sqref>
        </x14:conditionalFormatting>
        <x14:conditionalFormatting xmlns:xm="http://schemas.microsoft.com/office/excel/2006/main">
          <x14:cfRule type="dataBar" id="{C7D5A5C3-589B-468A-B73C-ECDB83E5F35B}">
            <x14:dataBar minLength="0" maxLength="100" border="1">
              <x14:cfvo type="percent">
                <xm:f>0</xm:f>
              </x14:cfvo>
              <x14:cfvo type="percent">
                <xm:f>100</xm:f>
              </x14:cfvo>
              <x14:borderColor rgb="FFA20067"/>
              <x14:negativeFillColor rgb="FFFF0000"/>
              <x14:axisColor rgb="FFF94607"/>
            </x14:dataBar>
          </x14:cfRule>
          <xm:sqref>NR64</xm:sqref>
        </x14:conditionalFormatting>
        <x14:conditionalFormatting xmlns:xm="http://schemas.microsoft.com/office/excel/2006/main">
          <x14:cfRule type="dataBar" id="{F211A4C4-CFD8-4F24-9BD2-8EE55D67A01E}">
            <x14:dataBar minLength="0" maxLength="100" border="1">
              <x14:cfvo type="percent">
                <xm:f>0</xm:f>
              </x14:cfvo>
              <x14:cfvo type="percent">
                <xm:f>100</xm:f>
              </x14:cfvo>
              <x14:borderColor rgb="FFA20067"/>
              <x14:negativeFillColor rgb="FFFF0000"/>
              <x14:axisColor rgb="FFF94607"/>
            </x14:dataBar>
          </x14:cfRule>
          <x14:cfRule type="dataBar" id="{AFEFF47E-5EFE-437F-92F5-3653288B70BF}">
            <x14:dataBar minLength="0" maxLength="100" border="1">
              <x14:cfvo type="percent">
                <xm:f>0</xm:f>
              </x14:cfvo>
              <x14:cfvo type="percent">
                <xm:f>100</xm:f>
              </x14:cfvo>
              <x14:borderColor rgb="FFA20067"/>
              <x14:negativeFillColor rgb="FFFF0000"/>
              <x14:axisColor rgb="FFF94607"/>
            </x14:dataBar>
          </x14:cfRule>
          <xm:sqref>NR64:NR65</xm:sqref>
        </x14:conditionalFormatting>
        <x14:conditionalFormatting xmlns:xm="http://schemas.microsoft.com/office/excel/2006/main">
          <x14:cfRule type="dataBar" id="{9FB3A4E4-A4B8-4460-B96B-68B7A38EEAE0}">
            <x14:dataBar minLength="0" maxLength="100" border="1">
              <x14:cfvo type="percent">
                <xm:f>0</xm:f>
              </x14:cfvo>
              <x14:cfvo type="percent">
                <xm:f>100</xm:f>
              </x14:cfvo>
              <x14:borderColor rgb="FFA20067"/>
              <x14:negativeFillColor rgb="FFFF0000"/>
              <x14:axisColor rgb="FFF94607"/>
            </x14:dataBar>
          </x14:cfRule>
          <x14:cfRule type="dataBar" id="{DEC64A6D-F971-4B5C-B4F1-8CB645423566}">
            <x14:dataBar minLength="0" maxLength="100" border="1">
              <x14:cfvo type="percent">
                <xm:f>0</xm:f>
              </x14:cfvo>
              <x14:cfvo type="percent">
                <xm:f>100</xm:f>
              </x14:cfvo>
              <x14:borderColor rgb="FFA20067"/>
              <x14:negativeFillColor rgb="FFFF0000"/>
              <x14:axisColor rgb="FFF94607"/>
            </x14:dataBar>
          </x14:cfRule>
          <xm:sqref>NR79</xm:sqref>
        </x14:conditionalFormatting>
        <x14:conditionalFormatting xmlns:xm="http://schemas.microsoft.com/office/excel/2006/main">
          <x14:cfRule type="dataBar" id="{567F23CC-F164-477D-B107-198F02AE19E9}">
            <x14:dataBar minLength="0" maxLength="100" border="1">
              <x14:cfvo type="percent">
                <xm:f>0</xm:f>
              </x14:cfvo>
              <x14:cfvo type="percent">
                <xm:f>100</xm:f>
              </x14:cfvo>
              <x14:borderColor rgb="FFA20067"/>
              <x14:negativeFillColor rgb="FFFF0000"/>
              <x14:axisColor rgb="FFF94607"/>
            </x14:dataBar>
          </x14:cfRule>
          <x14:cfRule type="dataBar" id="{FE4C3799-DA3C-42E8-B1CB-B1842A2982E1}">
            <x14:dataBar minLength="0" maxLength="100" border="1">
              <x14:cfvo type="percent">
                <xm:f>0</xm:f>
              </x14:cfvo>
              <x14:cfvo type="percent">
                <xm:f>100</xm:f>
              </x14:cfvo>
              <x14:borderColor rgb="FFA20067"/>
              <x14:negativeFillColor rgb="FFFF0000"/>
              <x14:axisColor rgb="FFF94607"/>
            </x14:dataBar>
          </x14:cfRule>
          <xm:sqref>NR110</xm:sqref>
        </x14:conditionalFormatting>
        <x14:conditionalFormatting xmlns:xm="http://schemas.microsoft.com/office/excel/2006/main">
          <x14:cfRule type="dataBar" id="{AB9BFE72-3926-4E95-9135-F64FEEA0B441}">
            <x14:dataBar minLength="0" maxLength="100" border="1">
              <x14:cfvo type="percent">
                <xm:f>0</xm:f>
              </x14:cfvo>
              <x14:cfvo type="percent">
                <xm:f>100</xm:f>
              </x14:cfvo>
              <x14:borderColor rgb="FFA20067"/>
              <x14:negativeFillColor rgb="FFFF0000"/>
              <x14:axisColor rgb="FFF94607"/>
            </x14:dataBar>
          </x14:cfRule>
          <x14:cfRule type="dataBar" id="{BB5843B1-08D2-4DDA-A061-EF810C8E8AC4}">
            <x14:dataBar minLength="0" maxLength="100" border="1">
              <x14:cfvo type="percent">
                <xm:f>0</xm:f>
              </x14:cfvo>
              <x14:cfvo type="percent">
                <xm:f>100</xm:f>
              </x14:cfvo>
              <x14:borderColor rgb="FFA20067"/>
              <x14:negativeFillColor rgb="FFFF0000"/>
              <x14:axisColor rgb="FFF94607"/>
            </x14:dataBar>
          </x14:cfRule>
          <xm:sqref>NR111</xm:sqref>
        </x14:conditionalFormatting>
        <x14:conditionalFormatting xmlns:xm="http://schemas.microsoft.com/office/excel/2006/main">
          <x14:cfRule type="dataBar" id="{9B52A9C4-4A9C-473A-940C-CC28EE3A8E94}">
            <x14:dataBar minLength="0" maxLength="100" border="1">
              <x14:cfvo type="percent">
                <xm:f>0</xm:f>
              </x14:cfvo>
              <x14:cfvo type="percent">
                <xm:f>100</xm:f>
              </x14:cfvo>
              <x14:borderColor rgb="FFA20067"/>
              <x14:negativeFillColor rgb="FFFF0000"/>
              <x14:axisColor rgb="FFF94607"/>
            </x14:dataBar>
          </x14:cfRule>
          <xm:sqref>NR112:NR115 NR3:NR5 NR7:NR22 NR24:NR29 NR42 NR44 NR46:NR52 NR54:NR60 NR62:NR63 NR66:NR78 NR80:NR109 NR31:NR40</xm:sqref>
        </x14:conditionalFormatting>
        <x14:conditionalFormatting xmlns:xm="http://schemas.microsoft.com/office/excel/2006/main">
          <x14:cfRule type="dataBar" id="{CE0D97AF-2227-45E7-8D6F-8040E18F8A09}">
            <x14:dataBar minLength="0" maxLength="100" border="1">
              <x14:cfvo type="percent">
                <xm:f>0</xm:f>
              </x14:cfvo>
              <x14:cfvo type="percent">
                <xm:f>100</xm:f>
              </x14:cfvo>
              <x14:borderColor rgb="FFA20067"/>
              <x14:negativeFillColor rgb="FFFF0000"/>
              <x14:axisColor rgb="FFF94607"/>
            </x14:dataBar>
          </x14:cfRule>
          <x14:cfRule type="dataBar" id="{5D011885-287D-4405-85F2-FF1B854C8AA0}">
            <x14:dataBar minLength="0" maxLength="100" border="1">
              <x14:cfvo type="percent">
                <xm:f>0</xm:f>
              </x14:cfvo>
              <x14:cfvo type="percent">
                <xm:f>100</xm:f>
              </x14:cfvo>
              <x14:borderColor rgb="FFA20067"/>
              <x14:negativeFillColor rgb="FFFF0000"/>
              <x14:axisColor rgb="FFF94607"/>
            </x14:dataBar>
          </x14:cfRule>
          <x14:cfRule type="dataBar" id="{BBB124DE-C024-4AD3-A680-474B9C1ADF69}">
            <x14:dataBar minLength="0" maxLength="100" border="1">
              <x14:cfvo type="percent">
                <xm:f>0</xm:f>
              </x14:cfvo>
              <x14:cfvo type="percent">
                <xm:f>100</xm:f>
              </x14:cfvo>
              <x14:borderColor rgb="FFA20067"/>
              <x14:negativeFillColor rgb="FFFF0000"/>
              <x14:axisColor rgb="FFF94607"/>
            </x14:dataBar>
          </x14:cfRule>
          <xm:sqref>NU3:NU115</xm:sqref>
        </x14:conditionalFormatting>
        <x14:conditionalFormatting xmlns:xm="http://schemas.microsoft.com/office/excel/2006/main">
          <x14:cfRule type="dataBar" id="{E601CC77-1B87-4EF9-8820-966EBE1A7FCD}">
            <x14:dataBar minLength="0" maxLength="100" border="1">
              <x14:cfvo type="percent">
                <xm:f>0</xm:f>
              </x14:cfvo>
              <x14:cfvo type="percent">
                <xm:f>100</xm:f>
              </x14:cfvo>
              <x14:borderColor rgb="FFA20067"/>
              <x14:negativeFillColor rgb="FFFF0000"/>
              <x14:axisColor rgb="FFF94607"/>
            </x14:dataBar>
          </x14:cfRule>
          <x14:cfRule type="dataBar" id="{CD07FA98-6CAC-4B47-A9E6-D81290D18DDA}">
            <x14:dataBar minLength="0" maxLength="100" border="1">
              <x14:cfvo type="percent">
                <xm:f>0</xm:f>
              </x14:cfvo>
              <x14:cfvo type="percent">
                <xm:f>100</xm:f>
              </x14:cfvo>
              <x14:borderColor rgb="FFA20067"/>
              <x14:negativeFillColor rgb="FFFF0000"/>
              <x14:axisColor rgb="FFF94607"/>
            </x14:dataBar>
          </x14:cfRule>
          <x14:cfRule type="dataBar" id="{20678474-3AEB-4E7A-B7E4-51685116D000}">
            <x14:dataBar minLength="0" maxLength="100" border="1">
              <x14:cfvo type="percent">
                <xm:f>0</xm:f>
              </x14:cfvo>
              <x14:cfvo type="percent">
                <xm:f>100</xm:f>
              </x14:cfvo>
              <x14:borderColor rgb="FFA20067"/>
              <x14:negativeFillColor rgb="FFFF0000"/>
              <x14:axisColor rgb="FFF94607"/>
            </x14:dataBar>
          </x14:cfRule>
          <xm:sqref>NU6</xm:sqref>
        </x14:conditionalFormatting>
        <x14:conditionalFormatting xmlns:xm="http://schemas.microsoft.com/office/excel/2006/main">
          <x14:cfRule type="dataBar" id="{8B1CE713-FA05-48E3-A38A-69A37E63E5A3}">
            <x14:dataBar minLength="0" maxLength="100" border="1">
              <x14:cfvo type="percent">
                <xm:f>0</xm:f>
              </x14:cfvo>
              <x14:cfvo type="percent">
                <xm:f>100</xm:f>
              </x14:cfvo>
              <x14:borderColor rgb="FFA20067"/>
              <x14:negativeFillColor rgb="FFFF0000"/>
              <x14:axisColor rgb="FFF94607"/>
            </x14:dataBar>
          </x14:cfRule>
          <x14:cfRule type="dataBar" id="{07724011-3ACB-4018-A8DD-D3A7F966F9BB}">
            <x14:dataBar minLength="0" maxLength="100" border="1">
              <x14:cfvo type="percent">
                <xm:f>0</xm:f>
              </x14:cfvo>
              <x14:cfvo type="percent">
                <xm:f>100</xm:f>
              </x14:cfvo>
              <x14:borderColor rgb="FFA20067"/>
              <x14:negativeFillColor rgb="FFFF0000"/>
              <x14:axisColor rgb="FFF94607"/>
            </x14:dataBar>
          </x14:cfRule>
          <x14:cfRule type="dataBar" id="{4F0D6B00-29A8-4914-87E8-3F2F9BE1DFB9}">
            <x14:dataBar minLength="0" maxLength="100" border="1">
              <x14:cfvo type="percent">
                <xm:f>0</xm:f>
              </x14:cfvo>
              <x14:cfvo type="percent">
                <xm:f>100</xm:f>
              </x14:cfvo>
              <x14:borderColor rgb="FFA20067"/>
              <x14:negativeFillColor rgb="FFFF0000"/>
              <x14:axisColor rgb="FFF94607"/>
            </x14:dataBar>
          </x14:cfRule>
          <xm:sqref>NU23</xm:sqref>
        </x14:conditionalFormatting>
        <x14:conditionalFormatting xmlns:xm="http://schemas.microsoft.com/office/excel/2006/main">
          <x14:cfRule type="dataBar" id="{FC02B038-3B82-4738-9166-0686F8DF34A1}">
            <x14:dataBar minLength="0" maxLength="100" border="1">
              <x14:cfvo type="percent">
                <xm:f>0</xm:f>
              </x14:cfvo>
              <x14:cfvo type="percent">
                <xm:f>100</xm:f>
              </x14:cfvo>
              <x14:borderColor rgb="FFA20067"/>
              <x14:negativeFillColor rgb="FFFF0000"/>
              <x14:axisColor rgb="FFF94607"/>
            </x14:dataBar>
          </x14:cfRule>
          <x14:cfRule type="dataBar" id="{E3F06795-C3C0-462F-BD02-33AF3B7FE6E5}">
            <x14:dataBar minLength="0" maxLength="100" border="1">
              <x14:cfvo type="percent">
                <xm:f>0</xm:f>
              </x14:cfvo>
              <x14:cfvo type="percent">
                <xm:f>100</xm:f>
              </x14:cfvo>
              <x14:borderColor rgb="FFA20067"/>
              <x14:negativeFillColor rgb="FFFF0000"/>
              <x14:axisColor rgb="FFF94607"/>
            </x14:dataBar>
          </x14:cfRule>
          <x14:cfRule type="dataBar" id="{9A696815-25AE-4EBE-AC88-0DE54CC4806C}">
            <x14:dataBar minLength="0" maxLength="100" border="1">
              <x14:cfvo type="percent">
                <xm:f>0</xm:f>
              </x14:cfvo>
              <x14:cfvo type="percent">
                <xm:f>100</xm:f>
              </x14:cfvo>
              <x14:borderColor rgb="FFA20067"/>
              <x14:negativeFillColor rgb="FFFF0000"/>
              <x14:axisColor rgb="FFF94607"/>
            </x14:dataBar>
          </x14:cfRule>
          <xm:sqref>NU30</xm:sqref>
        </x14:conditionalFormatting>
        <x14:conditionalFormatting xmlns:xm="http://schemas.microsoft.com/office/excel/2006/main">
          <x14:cfRule type="dataBar" id="{57869F3B-9641-41A7-92B7-2A610EE2B4FE}">
            <x14:dataBar minLength="0" maxLength="100" border="1">
              <x14:cfvo type="percent">
                <xm:f>0</xm:f>
              </x14:cfvo>
              <x14:cfvo type="percent">
                <xm:f>100</xm:f>
              </x14:cfvo>
              <x14:borderColor rgb="FFA20067"/>
              <x14:negativeFillColor rgb="FFFF0000"/>
              <x14:axisColor rgb="FFF94607"/>
            </x14:dataBar>
          </x14:cfRule>
          <x14:cfRule type="dataBar" id="{745964BF-33E2-4F31-81FA-CBAB91440A2E}">
            <x14:dataBar minLength="0" maxLength="100" border="1">
              <x14:cfvo type="percent">
                <xm:f>0</xm:f>
              </x14:cfvo>
              <x14:cfvo type="percent">
                <xm:f>100</xm:f>
              </x14:cfvo>
              <x14:borderColor rgb="FFA20067"/>
              <x14:negativeFillColor rgb="FFFF0000"/>
              <x14:axisColor rgb="FFF94607"/>
            </x14:dataBar>
          </x14:cfRule>
          <x14:cfRule type="dataBar" id="{936BFD27-5B2C-4348-80FA-712EC31EEDE3}">
            <x14:dataBar minLength="0" maxLength="100" border="1">
              <x14:cfvo type="percent">
                <xm:f>0</xm:f>
              </x14:cfvo>
              <x14:cfvo type="percent">
                <xm:f>100</xm:f>
              </x14:cfvo>
              <x14:borderColor rgb="FFA20067"/>
              <x14:negativeFillColor rgb="FFFF0000"/>
              <x14:axisColor rgb="FFF94607"/>
            </x14:dataBar>
          </x14:cfRule>
          <xm:sqref>NU41</xm:sqref>
        </x14:conditionalFormatting>
        <x14:conditionalFormatting xmlns:xm="http://schemas.microsoft.com/office/excel/2006/main">
          <x14:cfRule type="dataBar" id="{875C927B-0307-4D00-9862-FEE247993C99}">
            <x14:dataBar minLength="0" maxLength="100" border="1">
              <x14:cfvo type="percent">
                <xm:f>0</xm:f>
              </x14:cfvo>
              <x14:cfvo type="percent">
                <xm:f>100</xm:f>
              </x14:cfvo>
              <x14:borderColor rgb="FFA20067"/>
              <x14:negativeFillColor rgb="FFFF0000"/>
              <x14:axisColor rgb="FFF94607"/>
            </x14:dataBar>
          </x14:cfRule>
          <x14:cfRule type="dataBar" id="{9E85E2BB-5B4F-4274-B39E-7A82A306B442}">
            <x14:dataBar minLength="0" maxLength="100" border="1">
              <x14:cfvo type="percent">
                <xm:f>0</xm:f>
              </x14:cfvo>
              <x14:cfvo type="percent">
                <xm:f>100</xm:f>
              </x14:cfvo>
              <x14:borderColor rgb="FFA20067"/>
              <x14:negativeFillColor rgb="FFFF0000"/>
              <x14:axisColor rgb="FFF94607"/>
            </x14:dataBar>
          </x14:cfRule>
          <x14:cfRule type="dataBar" id="{DE308B79-19D1-4CC4-A3DF-D0002C652BB0}">
            <x14:dataBar minLength="0" maxLength="100" border="1">
              <x14:cfvo type="percent">
                <xm:f>0</xm:f>
              </x14:cfvo>
              <x14:cfvo type="percent">
                <xm:f>100</xm:f>
              </x14:cfvo>
              <x14:borderColor rgb="FFA20067"/>
              <x14:negativeFillColor rgb="FFFF0000"/>
              <x14:axisColor rgb="FFF94607"/>
            </x14:dataBar>
          </x14:cfRule>
          <xm:sqref>NU43</xm:sqref>
        </x14:conditionalFormatting>
        <x14:conditionalFormatting xmlns:xm="http://schemas.microsoft.com/office/excel/2006/main">
          <x14:cfRule type="dataBar" id="{DC8B5644-1C2B-4B41-ACF7-3A83CF0B2A91}">
            <x14:dataBar minLength="0" maxLength="100" border="1">
              <x14:cfvo type="percent">
                <xm:f>0</xm:f>
              </x14:cfvo>
              <x14:cfvo type="percent">
                <xm:f>100</xm:f>
              </x14:cfvo>
              <x14:borderColor rgb="FFA20067"/>
              <x14:negativeFillColor rgb="FFFF0000"/>
              <x14:axisColor rgb="FFF94607"/>
            </x14:dataBar>
          </x14:cfRule>
          <x14:cfRule type="dataBar" id="{C2AF5404-9234-4F52-8074-94BC5AE1E80E}">
            <x14:dataBar minLength="0" maxLength="100" border="1">
              <x14:cfvo type="percent">
                <xm:f>0</xm:f>
              </x14:cfvo>
              <x14:cfvo type="percent">
                <xm:f>100</xm:f>
              </x14:cfvo>
              <x14:borderColor rgb="FFA20067"/>
              <x14:negativeFillColor rgb="FFFF0000"/>
              <x14:axisColor rgb="FFF94607"/>
            </x14:dataBar>
          </x14:cfRule>
          <x14:cfRule type="dataBar" id="{8DEFCA47-080F-4BFE-9BA2-F82718087A8B}">
            <x14:dataBar minLength="0" maxLength="100" border="1">
              <x14:cfvo type="percent">
                <xm:f>0</xm:f>
              </x14:cfvo>
              <x14:cfvo type="percent">
                <xm:f>100</xm:f>
              </x14:cfvo>
              <x14:borderColor rgb="FFA20067"/>
              <x14:negativeFillColor rgb="FFFF0000"/>
              <x14:axisColor rgb="FFF94607"/>
            </x14:dataBar>
          </x14:cfRule>
          <xm:sqref>NU45</xm:sqref>
        </x14:conditionalFormatting>
        <x14:conditionalFormatting xmlns:xm="http://schemas.microsoft.com/office/excel/2006/main">
          <x14:cfRule type="dataBar" id="{98CF02DD-06F9-4DCE-A815-0A68A3C1E38A}">
            <x14:dataBar minLength="0" maxLength="100" border="1">
              <x14:cfvo type="percent">
                <xm:f>0</xm:f>
              </x14:cfvo>
              <x14:cfvo type="percent">
                <xm:f>100</xm:f>
              </x14:cfvo>
              <x14:borderColor rgb="FFA20067"/>
              <x14:negativeFillColor rgb="FFFF0000"/>
              <x14:axisColor rgb="FFF94607"/>
            </x14:dataBar>
          </x14:cfRule>
          <x14:cfRule type="dataBar" id="{F7BB2FFF-3146-4C03-B387-189F0BFA45D3}">
            <x14:dataBar minLength="0" maxLength="100" border="1">
              <x14:cfvo type="percent">
                <xm:f>0</xm:f>
              </x14:cfvo>
              <x14:cfvo type="percent">
                <xm:f>100</xm:f>
              </x14:cfvo>
              <x14:borderColor rgb="FFA20067"/>
              <x14:negativeFillColor rgb="FFFF0000"/>
              <x14:axisColor rgb="FFF94607"/>
            </x14:dataBar>
          </x14:cfRule>
          <x14:cfRule type="dataBar" id="{C164CDB6-E073-4CD1-8C6F-202C347975A5}">
            <x14:dataBar minLength="0" maxLength="100" border="1">
              <x14:cfvo type="percent">
                <xm:f>0</xm:f>
              </x14:cfvo>
              <x14:cfvo type="percent">
                <xm:f>100</xm:f>
              </x14:cfvo>
              <x14:borderColor rgb="FFA20067"/>
              <x14:negativeFillColor rgb="FFFF0000"/>
              <x14:axisColor rgb="FFF94607"/>
            </x14:dataBar>
          </x14:cfRule>
          <xm:sqref>NU53</xm:sqref>
        </x14:conditionalFormatting>
        <x14:conditionalFormatting xmlns:xm="http://schemas.microsoft.com/office/excel/2006/main">
          <x14:cfRule type="dataBar" id="{E956660B-789B-4D5E-A6CA-1F64AABE74F0}">
            <x14:dataBar minLength="0" maxLength="100" border="1">
              <x14:cfvo type="percent">
                <xm:f>0</xm:f>
              </x14:cfvo>
              <x14:cfvo type="percent">
                <xm:f>100</xm:f>
              </x14:cfvo>
              <x14:borderColor rgb="FFA20067"/>
              <x14:negativeFillColor rgb="FFFF0000"/>
              <x14:axisColor rgb="FFF94607"/>
            </x14:dataBar>
          </x14:cfRule>
          <x14:cfRule type="dataBar" id="{39215CA6-DFF8-4A24-A5E8-C72E6651C197}">
            <x14:dataBar minLength="0" maxLength="100" border="1">
              <x14:cfvo type="percent">
                <xm:f>0</xm:f>
              </x14:cfvo>
              <x14:cfvo type="percent">
                <xm:f>100</xm:f>
              </x14:cfvo>
              <x14:borderColor rgb="FFA20067"/>
              <x14:negativeFillColor rgb="FFFF0000"/>
              <x14:axisColor rgb="FFF94607"/>
            </x14:dataBar>
          </x14:cfRule>
          <x14:cfRule type="dataBar" id="{C8D2973C-901D-4BF2-B70C-0EB4311A58DC}">
            <x14:dataBar minLength="0" maxLength="100" border="1">
              <x14:cfvo type="percent">
                <xm:f>0</xm:f>
              </x14:cfvo>
              <x14:cfvo type="percent">
                <xm:f>100</xm:f>
              </x14:cfvo>
              <x14:borderColor rgb="FFA20067"/>
              <x14:negativeFillColor rgb="FFFF0000"/>
              <x14:axisColor rgb="FFF94607"/>
            </x14:dataBar>
          </x14:cfRule>
          <xm:sqref>NU61</xm:sqref>
        </x14:conditionalFormatting>
        <x14:conditionalFormatting xmlns:xm="http://schemas.microsoft.com/office/excel/2006/main">
          <x14:cfRule type="dataBar" id="{F897BC2C-94E8-4AC3-A484-59C0552C0F9A}">
            <x14:dataBar minLength="0" maxLength="100" border="1">
              <x14:cfvo type="percent">
                <xm:f>0</xm:f>
              </x14:cfvo>
              <x14:cfvo type="percent">
                <xm:f>100</xm:f>
              </x14:cfvo>
              <x14:borderColor rgb="FFA20067"/>
              <x14:negativeFillColor rgb="FFFF0000"/>
              <x14:axisColor rgb="FFF94607"/>
            </x14:dataBar>
          </x14:cfRule>
          <xm:sqref>NU64</xm:sqref>
        </x14:conditionalFormatting>
        <x14:conditionalFormatting xmlns:xm="http://schemas.microsoft.com/office/excel/2006/main">
          <x14:cfRule type="dataBar" id="{D5BF1883-B69F-45DC-9923-B83296D2B7C1}">
            <x14:dataBar minLength="0" maxLength="100" border="1">
              <x14:cfvo type="percent">
                <xm:f>0</xm:f>
              </x14:cfvo>
              <x14:cfvo type="percent">
                <xm:f>100</xm:f>
              </x14:cfvo>
              <x14:borderColor rgb="FFA20067"/>
              <x14:negativeFillColor rgb="FFFF0000"/>
              <x14:axisColor rgb="FFF94607"/>
            </x14:dataBar>
          </x14:cfRule>
          <x14:cfRule type="dataBar" id="{E163D285-88BA-41E3-9BDF-9B05FA945D83}">
            <x14:dataBar minLength="0" maxLength="100" border="1">
              <x14:cfvo type="percent">
                <xm:f>0</xm:f>
              </x14:cfvo>
              <x14:cfvo type="percent">
                <xm:f>100</xm:f>
              </x14:cfvo>
              <x14:borderColor rgb="FFA20067"/>
              <x14:negativeFillColor rgb="FFFF0000"/>
              <x14:axisColor rgb="FFF94607"/>
            </x14:dataBar>
          </x14:cfRule>
          <x14:cfRule type="dataBar" id="{A4211401-E46F-46E3-96D2-9C2DCD586778}">
            <x14:dataBar minLength="0" maxLength="100" border="1">
              <x14:cfvo type="percent">
                <xm:f>0</xm:f>
              </x14:cfvo>
              <x14:cfvo type="percent">
                <xm:f>100</xm:f>
              </x14:cfvo>
              <x14:borderColor rgb="FFA20067"/>
              <x14:negativeFillColor rgb="FFFF0000"/>
              <x14:axisColor rgb="FFF94607"/>
            </x14:dataBar>
          </x14:cfRule>
          <xm:sqref>NU64:NU65</xm:sqref>
        </x14:conditionalFormatting>
        <x14:conditionalFormatting xmlns:xm="http://schemas.microsoft.com/office/excel/2006/main">
          <x14:cfRule type="dataBar" id="{D20E807E-3F12-4626-82D4-1BBB41475E5C}">
            <x14:dataBar minLength="0" maxLength="100" border="1">
              <x14:cfvo type="percent">
                <xm:f>0</xm:f>
              </x14:cfvo>
              <x14:cfvo type="percent">
                <xm:f>100</xm:f>
              </x14:cfvo>
              <x14:borderColor rgb="FFA20067"/>
              <x14:negativeFillColor rgb="FFFF0000"/>
              <x14:axisColor rgb="FFF94607"/>
            </x14:dataBar>
          </x14:cfRule>
          <x14:cfRule type="dataBar" id="{4054AB8B-0F81-43D3-825B-0E6A0F401F47}">
            <x14:dataBar minLength="0" maxLength="100" border="1">
              <x14:cfvo type="percent">
                <xm:f>0</xm:f>
              </x14:cfvo>
              <x14:cfvo type="percent">
                <xm:f>100</xm:f>
              </x14:cfvo>
              <x14:borderColor rgb="FFA20067"/>
              <x14:negativeFillColor rgb="FFFF0000"/>
              <x14:axisColor rgb="FFF94607"/>
            </x14:dataBar>
          </x14:cfRule>
          <x14:cfRule type="dataBar" id="{20D8DE44-4D3F-40A1-A1EA-47D888942F95}">
            <x14:dataBar minLength="0" maxLength="100" border="1">
              <x14:cfvo type="percent">
                <xm:f>0</xm:f>
              </x14:cfvo>
              <x14:cfvo type="percent">
                <xm:f>100</xm:f>
              </x14:cfvo>
              <x14:borderColor rgb="FFA20067"/>
              <x14:negativeFillColor rgb="FFFF0000"/>
              <x14:axisColor rgb="FFF94607"/>
            </x14:dataBar>
          </x14:cfRule>
          <xm:sqref>NU79</xm:sqref>
        </x14:conditionalFormatting>
        <x14:conditionalFormatting xmlns:xm="http://schemas.microsoft.com/office/excel/2006/main">
          <x14:cfRule type="dataBar" id="{2BD3FEE2-5612-4E92-B657-4754CF4D3510}">
            <x14:dataBar minLength="0" maxLength="100" border="1">
              <x14:cfvo type="percent">
                <xm:f>0</xm:f>
              </x14:cfvo>
              <x14:cfvo type="percent">
                <xm:f>100</xm:f>
              </x14:cfvo>
              <x14:borderColor rgb="FFA20067"/>
              <x14:negativeFillColor rgb="FFFF0000"/>
              <x14:axisColor rgb="FFF94607"/>
            </x14:dataBar>
          </x14:cfRule>
          <x14:cfRule type="dataBar" id="{BBAC9B47-7C68-4FBD-8BDE-B9F73C9673AB}">
            <x14:dataBar minLength="0" maxLength="100" border="1">
              <x14:cfvo type="percent">
                <xm:f>0</xm:f>
              </x14:cfvo>
              <x14:cfvo type="percent">
                <xm:f>100</xm:f>
              </x14:cfvo>
              <x14:borderColor rgb="FFA20067"/>
              <x14:negativeFillColor rgb="FFFF0000"/>
              <x14:axisColor rgb="FFF94607"/>
            </x14:dataBar>
          </x14:cfRule>
          <x14:cfRule type="dataBar" id="{B13059C8-2D2B-4616-BB0D-44F27EFFA7A5}">
            <x14:dataBar minLength="0" maxLength="100" border="1">
              <x14:cfvo type="percent">
                <xm:f>0</xm:f>
              </x14:cfvo>
              <x14:cfvo type="percent">
                <xm:f>100</xm:f>
              </x14:cfvo>
              <x14:borderColor rgb="FFA20067"/>
              <x14:negativeFillColor rgb="FFFF0000"/>
              <x14:axisColor rgb="FFF94607"/>
            </x14:dataBar>
          </x14:cfRule>
          <xm:sqref>NU110</xm:sqref>
        </x14:conditionalFormatting>
        <x14:conditionalFormatting xmlns:xm="http://schemas.microsoft.com/office/excel/2006/main">
          <x14:cfRule type="dataBar" id="{152565F3-4C72-4EBC-B6E4-9A388F18389F}">
            <x14:dataBar minLength="0" maxLength="100" border="1">
              <x14:cfvo type="percent">
                <xm:f>0</xm:f>
              </x14:cfvo>
              <x14:cfvo type="percent">
                <xm:f>100</xm:f>
              </x14:cfvo>
              <x14:borderColor rgb="FFA20067"/>
              <x14:negativeFillColor rgb="FFFF0000"/>
              <x14:axisColor rgb="FFF94607"/>
            </x14:dataBar>
          </x14:cfRule>
          <x14:cfRule type="dataBar" id="{DA6D3B6E-7E88-4592-8F5C-2BFA24244B7A}">
            <x14:dataBar minLength="0" maxLength="100" border="1">
              <x14:cfvo type="percent">
                <xm:f>0</xm:f>
              </x14:cfvo>
              <x14:cfvo type="percent">
                <xm:f>100</xm:f>
              </x14:cfvo>
              <x14:borderColor rgb="FFA20067"/>
              <x14:negativeFillColor rgb="FFFF0000"/>
              <x14:axisColor rgb="FFF94607"/>
            </x14:dataBar>
          </x14:cfRule>
          <x14:cfRule type="dataBar" id="{C03DDAA7-8DBE-4321-A3B5-9BDF008DBEF2}">
            <x14:dataBar minLength="0" maxLength="100" border="1">
              <x14:cfvo type="percent">
                <xm:f>0</xm:f>
              </x14:cfvo>
              <x14:cfvo type="percent">
                <xm:f>100</xm:f>
              </x14:cfvo>
              <x14:borderColor rgb="FFA20067"/>
              <x14:negativeFillColor rgb="FFFF0000"/>
              <x14:axisColor rgb="FFF94607"/>
            </x14:dataBar>
          </x14:cfRule>
          <xm:sqref>NU111</xm:sqref>
        </x14:conditionalFormatting>
        <x14:conditionalFormatting xmlns:xm="http://schemas.microsoft.com/office/excel/2006/main">
          <x14:cfRule type="dataBar" id="{D4CCC144-AAF8-4474-B284-8516448F1610}">
            <x14:dataBar minLength="0" maxLength="100" border="1">
              <x14:cfvo type="percent">
                <xm:f>0</xm:f>
              </x14:cfvo>
              <x14:cfvo type="percent">
                <xm:f>100</xm:f>
              </x14:cfvo>
              <x14:borderColor rgb="FFA20067"/>
              <x14:negativeFillColor rgb="FFFF0000"/>
              <x14:axisColor rgb="FFF94607"/>
            </x14:dataBar>
          </x14:cfRule>
          <xm:sqref>NU112:NU115 NU3:NU5 NU7:NU22 NU24:NU29 NU31:NU40 NU42 NU44 NU46:NU52 NU54:NU60 NU62:NU63 NU66:NU78 NU80:NU109</xm:sqref>
        </x14:conditionalFormatting>
        <x14:conditionalFormatting xmlns:xm="http://schemas.microsoft.com/office/excel/2006/main">
          <x14:cfRule type="dataBar" id="{06E3340E-912D-41BB-9FC2-105AA0365A0A}">
            <x14:dataBar minLength="0" maxLength="100" border="1">
              <x14:cfvo type="percent">
                <xm:f>0</xm:f>
              </x14:cfvo>
              <x14:cfvo type="percent">
                <xm:f>100</xm:f>
              </x14:cfvo>
              <x14:borderColor rgb="FFA20067"/>
              <x14:negativeFillColor rgb="FFFF0000"/>
              <x14:axisColor rgb="FFF94607"/>
            </x14:dataBar>
          </x14:cfRule>
          <xm:sqref>NU112:NU115 NU3:NU5 NU7:NU22 NU24:NU29 NU42 NU44 NU46:NU52 NU54:NU60 NU62:NU63 NU66:NU78 NU80:NU109 NU31:NU40</xm:sqref>
        </x14:conditionalFormatting>
        <x14:conditionalFormatting xmlns:xm="http://schemas.microsoft.com/office/excel/2006/main">
          <x14:cfRule type="dataBar" id="{E0BD9E2F-5D19-4778-B926-EAD284F0DF99}">
            <x14:dataBar minLength="0" maxLength="100" border="1">
              <x14:cfvo type="percent">
                <xm:f>0</xm:f>
              </x14:cfvo>
              <x14:cfvo type="percent">
                <xm:f>100</xm:f>
              </x14:cfvo>
              <x14:borderColor rgb="FFA20067"/>
              <x14:negativeFillColor rgb="FFFF0000"/>
              <x14:axisColor rgb="FFF94607"/>
            </x14:dataBar>
          </x14:cfRule>
          <xm:sqref>NX6</xm:sqref>
        </x14:conditionalFormatting>
        <x14:conditionalFormatting xmlns:xm="http://schemas.microsoft.com/office/excel/2006/main">
          <x14:cfRule type="dataBar" id="{0CAD4BCD-C073-4685-A8AF-4CA7AFF53B1E}">
            <x14:dataBar minLength="0" maxLength="100" border="1">
              <x14:cfvo type="percent">
                <xm:f>0</xm:f>
              </x14:cfvo>
              <x14:cfvo type="percent">
                <xm:f>100</xm:f>
              </x14:cfvo>
              <x14:borderColor rgb="FFA20067"/>
              <x14:negativeFillColor rgb="FFFF0000"/>
              <x14:axisColor rgb="FFF94607"/>
            </x14:dataBar>
          </x14:cfRule>
          <xm:sqref>NX23</xm:sqref>
        </x14:conditionalFormatting>
        <x14:conditionalFormatting xmlns:xm="http://schemas.microsoft.com/office/excel/2006/main">
          <x14:cfRule type="dataBar" id="{892F1DBF-D0E3-4F02-8853-9014822AA41D}">
            <x14:dataBar minLength="0" maxLength="100" border="1">
              <x14:cfvo type="percent">
                <xm:f>0</xm:f>
              </x14:cfvo>
              <x14:cfvo type="percent">
                <xm:f>100</xm:f>
              </x14:cfvo>
              <x14:borderColor rgb="FFA20067"/>
              <x14:negativeFillColor rgb="FFFF0000"/>
              <x14:axisColor rgb="FFF94607"/>
            </x14:dataBar>
          </x14:cfRule>
          <xm:sqref>NX30</xm:sqref>
        </x14:conditionalFormatting>
        <x14:conditionalFormatting xmlns:xm="http://schemas.microsoft.com/office/excel/2006/main">
          <x14:cfRule type="dataBar" id="{4249F66C-D9CF-47B5-A118-4B5E864AEF23}">
            <x14:dataBar minLength="0" maxLength="100" border="1">
              <x14:cfvo type="percent">
                <xm:f>0</xm:f>
              </x14:cfvo>
              <x14:cfvo type="percent">
                <xm:f>100</xm:f>
              </x14:cfvo>
              <x14:borderColor rgb="FFA20067"/>
              <x14:negativeFillColor rgb="FFFF0000"/>
              <x14:axisColor rgb="FFF94607"/>
            </x14:dataBar>
          </x14:cfRule>
          <xm:sqref>NX41</xm:sqref>
        </x14:conditionalFormatting>
        <x14:conditionalFormatting xmlns:xm="http://schemas.microsoft.com/office/excel/2006/main">
          <x14:cfRule type="dataBar" id="{5BAA01A0-254B-4DE2-8F91-7C3C7FBB52BC}">
            <x14:dataBar minLength="0" maxLength="100" border="1">
              <x14:cfvo type="percent">
                <xm:f>0</xm:f>
              </x14:cfvo>
              <x14:cfvo type="percent">
                <xm:f>100</xm:f>
              </x14:cfvo>
              <x14:borderColor rgb="FFA20067"/>
              <x14:negativeFillColor rgb="FFFF0000"/>
              <x14:axisColor rgb="FFF94607"/>
            </x14:dataBar>
          </x14:cfRule>
          <xm:sqref>NX43</xm:sqref>
        </x14:conditionalFormatting>
        <x14:conditionalFormatting xmlns:xm="http://schemas.microsoft.com/office/excel/2006/main">
          <x14:cfRule type="dataBar" id="{F63720DE-8579-45E5-881E-E00B65EE6116}">
            <x14:dataBar minLength="0" maxLength="100" border="1">
              <x14:cfvo type="percent">
                <xm:f>0</xm:f>
              </x14:cfvo>
              <x14:cfvo type="percent">
                <xm:f>100</xm:f>
              </x14:cfvo>
              <x14:borderColor rgb="FFA20067"/>
              <x14:negativeFillColor rgb="FFFF0000"/>
              <x14:axisColor rgb="FFF94607"/>
            </x14:dataBar>
          </x14:cfRule>
          <xm:sqref>NX45</xm:sqref>
        </x14:conditionalFormatting>
        <x14:conditionalFormatting xmlns:xm="http://schemas.microsoft.com/office/excel/2006/main">
          <x14:cfRule type="dataBar" id="{DD9DFE02-4B7C-4E99-812E-9BCEA64C270D}">
            <x14:dataBar minLength="0" maxLength="100" border="1">
              <x14:cfvo type="percent">
                <xm:f>0</xm:f>
              </x14:cfvo>
              <x14:cfvo type="percent">
                <xm:f>100</xm:f>
              </x14:cfvo>
              <x14:borderColor rgb="FFA20067"/>
              <x14:negativeFillColor rgb="FFFF0000"/>
              <x14:axisColor rgb="FFF94607"/>
            </x14:dataBar>
          </x14:cfRule>
          <xm:sqref>NX53</xm:sqref>
        </x14:conditionalFormatting>
        <x14:conditionalFormatting xmlns:xm="http://schemas.microsoft.com/office/excel/2006/main">
          <x14:cfRule type="dataBar" id="{64BBB898-A9F4-4D1A-BA79-648BD4AE9122}">
            <x14:dataBar minLength="0" maxLength="100" border="1">
              <x14:cfvo type="percent">
                <xm:f>0</xm:f>
              </x14:cfvo>
              <x14:cfvo type="percent">
                <xm:f>100</xm:f>
              </x14:cfvo>
              <x14:borderColor rgb="FFA20067"/>
              <x14:negativeFillColor rgb="FFFF0000"/>
              <x14:axisColor rgb="FFF94607"/>
            </x14:dataBar>
          </x14:cfRule>
          <xm:sqref>NX61</xm:sqref>
        </x14:conditionalFormatting>
        <x14:conditionalFormatting xmlns:xm="http://schemas.microsoft.com/office/excel/2006/main">
          <x14:cfRule type="dataBar" id="{16F9F66D-15FE-4B5C-AC46-914AF6851132}">
            <x14:dataBar minLength="0" maxLength="100" border="1">
              <x14:cfvo type="percent">
                <xm:f>0</xm:f>
              </x14:cfvo>
              <x14:cfvo type="percent">
                <xm:f>100</xm:f>
              </x14:cfvo>
              <x14:borderColor rgb="FFA20067"/>
              <x14:negativeFillColor rgb="FFFF0000"/>
              <x14:axisColor rgb="FFF94607"/>
            </x14:dataBar>
          </x14:cfRule>
          <xm:sqref>NX64:NX65</xm:sqref>
        </x14:conditionalFormatting>
        <x14:conditionalFormatting xmlns:xm="http://schemas.microsoft.com/office/excel/2006/main">
          <x14:cfRule type="dataBar" id="{0365CCCC-8453-4767-9B58-412674147BBB}">
            <x14:dataBar minLength="0" maxLength="100" border="1">
              <x14:cfvo type="percent">
                <xm:f>0</xm:f>
              </x14:cfvo>
              <x14:cfvo type="percent">
                <xm:f>100</xm:f>
              </x14:cfvo>
              <x14:borderColor rgb="FFA20067"/>
              <x14:negativeFillColor rgb="FFFF0000"/>
              <x14:axisColor rgb="FFF94607"/>
            </x14:dataBar>
          </x14:cfRule>
          <xm:sqref>NX79</xm:sqref>
        </x14:conditionalFormatting>
        <x14:conditionalFormatting xmlns:xm="http://schemas.microsoft.com/office/excel/2006/main">
          <x14:cfRule type="dataBar" id="{9D7BF52B-BDF6-4589-B074-46961A8A971E}">
            <x14:dataBar minLength="0" maxLength="100" border="1">
              <x14:cfvo type="percent">
                <xm:f>0</xm:f>
              </x14:cfvo>
              <x14:cfvo type="percent">
                <xm:f>100</xm:f>
              </x14:cfvo>
              <x14:borderColor rgb="FFA20067"/>
              <x14:negativeFillColor rgb="FFFF0000"/>
              <x14:axisColor rgb="FFF94607"/>
            </x14:dataBar>
          </x14:cfRule>
          <xm:sqref>NX110</xm:sqref>
        </x14:conditionalFormatting>
        <x14:conditionalFormatting xmlns:xm="http://schemas.microsoft.com/office/excel/2006/main">
          <x14:cfRule type="dataBar" id="{A2424A85-58AF-4984-B21A-373060C39F3C}">
            <x14:dataBar minLength="0" maxLength="100" border="1">
              <x14:cfvo type="percent">
                <xm:f>0</xm:f>
              </x14:cfvo>
              <x14:cfvo type="percent">
                <xm:f>100</xm:f>
              </x14:cfvo>
              <x14:borderColor rgb="FFA20067"/>
              <x14:negativeFillColor rgb="FFFF0000"/>
              <x14:axisColor rgb="FFF94607"/>
            </x14:dataBar>
          </x14:cfRule>
          <xm:sqref>NX111</xm:sqref>
        </x14:conditionalFormatting>
        <x14:conditionalFormatting xmlns:xm="http://schemas.microsoft.com/office/excel/2006/main">
          <x14:cfRule type="dataBar" id="{62C5B057-6ADF-4A0F-B3C7-9E15206F50FB}">
            <x14:dataBar minLength="0" maxLength="100" border="1">
              <x14:cfvo type="percent">
                <xm:f>0</xm:f>
              </x14:cfvo>
              <x14:cfvo type="percent">
                <xm:f>100</xm:f>
              </x14:cfvo>
              <x14:borderColor rgb="FFA20067"/>
              <x14:negativeFillColor rgb="FFFF0000"/>
              <x14:axisColor rgb="FFF94607"/>
            </x14:dataBar>
          </x14:cfRule>
          <xm:sqref>NX112:NX115 NX3:NX5 NX7:NX22 NX24:NX29 NX31:NX40 NX42 NX44 NX46:NX52 NX54:NX60 NX62:NX63 NX66:NX78 NX80:NX109</xm:sqref>
        </x14:conditionalFormatting>
        <x14:conditionalFormatting xmlns:xm="http://schemas.microsoft.com/office/excel/2006/main">
          <x14:cfRule type="dataBar" id="{D57636EB-B79D-47D0-BB19-A0C7114C2201}">
            <x14:dataBar minLength="0" maxLength="100" border="1">
              <x14:cfvo type="percent">
                <xm:f>0</xm:f>
              </x14:cfvo>
              <x14:cfvo type="percent">
                <xm:f>100</xm:f>
              </x14:cfvo>
              <x14:borderColor rgb="FFA20067"/>
              <x14:negativeFillColor rgb="FFFF0000"/>
              <x14:axisColor rgb="FFF94607"/>
            </x14:dataBar>
          </x14:cfRule>
          <xm:sqref>OA6</xm:sqref>
        </x14:conditionalFormatting>
        <x14:conditionalFormatting xmlns:xm="http://schemas.microsoft.com/office/excel/2006/main">
          <x14:cfRule type="dataBar" id="{51425301-A6BE-4BD4-9710-819085435BE3}">
            <x14:dataBar minLength="0" maxLength="100" border="1">
              <x14:cfvo type="percent">
                <xm:f>0</xm:f>
              </x14:cfvo>
              <x14:cfvo type="percent">
                <xm:f>100</xm:f>
              </x14:cfvo>
              <x14:borderColor rgb="FFA20067"/>
              <x14:negativeFillColor rgb="FFFF0000"/>
              <x14:axisColor rgb="FFF94607"/>
            </x14:dataBar>
          </x14:cfRule>
          <xm:sqref>OA23</xm:sqref>
        </x14:conditionalFormatting>
        <x14:conditionalFormatting xmlns:xm="http://schemas.microsoft.com/office/excel/2006/main">
          <x14:cfRule type="dataBar" id="{FC8E288A-F8FA-42B2-9B3B-209C4863B6A1}">
            <x14:dataBar minLength="0" maxLength="100" border="1">
              <x14:cfvo type="percent">
                <xm:f>0</xm:f>
              </x14:cfvo>
              <x14:cfvo type="percent">
                <xm:f>100</xm:f>
              </x14:cfvo>
              <x14:borderColor rgb="FFA20067"/>
              <x14:negativeFillColor rgb="FFFF0000"/>
              <x14:axisColor rgb="FFF94607"/>
            </x14:dataBar>
          </x14:cfRule>
          <xm:sqref>OA30</xm:sqref>
        </x14:conditionalFormatting>
        <x14:conditionalFormatting xmlns:xm="http://schemas.microsoft.com/office/excel/2006/main">
          <x14:cfRule type="dataBar" id="{752C79FC-E710-49AD-BFFF-B96FB7DA651B}">
            <x14:dataBar minLength="0" maxLength="100" border="1">
              <x14:cfvo type="percent">
                <xm:f>0</xm:f>
              </x14:cfvo>
              <x14:cfvo type="percent">
                <xm:f>100</xm:f>
              </x14:cfvo>
              <x14:borderColor rgb="FFA20067"/>
              <x14:negativeFillColor rgb="FFFF0000"/>
              <x14:axisColor rgb="FFF94607"/>
            </x14:dataBar>
          </x14:cfRule>
          <xm:sqref>OA41</xm:sqref>
        </x14:conditionalFormatting>
        <x14:conditionalFormatting xmlns:xm="http://schemas.microsoft.com/office/excel/2006/main">
          <x14:cfRule type="dataBar" id="{1CD83FAF-82AD-4160-A467-A23E66019098}">
            <x14:dataBar minLength="0" maxLength="100" border="1">
              <x14:cfvo type="percent">
                <xm:f>0</xm:f>
              </x14:cfvo>
              <x14:cfvo type="percent">
                <xm:f>100</xm:f>
              </x14:cfvo>
              <x14:borderColor rgb="FFA20067"/>
              <x14:negativeFillColor rgb="FFFF0000"/>
              <x14:axisColor rgb="FFF94607"/>
            </x14:dataBar>
          </x14:cfRule>
          <xm:sqref>OA43</xm:sqref>
        </x14:conditionalFormatting>
        <x14:conditionalFormatting xmlns:xm="http://schemas.microsoft.com/office/excel/2006/main">
          <x14:cfRule type="dataBar" id="{CCD3BE5A-FF27-46A9-B420-066F826A0112}">
            <x14:dataBar minLength="0" maxLength="100" border="1">
              <x14:cfvo type="percent">
                <xm:f>0</xm:f>
              </x14:cfvo>
              <x14:cfvo type="percent">
                <xm:f>100</xm:f>
              </x14:cfvo>
              <x14:borderColor rgb="FFA20067"/>
              <x14:negativeFillColor rgb="FFFF0000"/>
              <x14:axisColor rgb="FFF94607"/>
            </x14:dataBar>
          </x14:cfRule>
          <xm:sqref>OA45</xm:sqref>
        </x14:conditionalFormatting>
        <x14:conditionalFormatting xmlns:xm="http://schemas.microsoft.com/office/excel/2006/main">
          <x14:cfRule type="dataBar" id="{5476DA2C-D6C4-40F9-8C33-E2FD263BC7EB}">
            <x14:dataBar minLength="0" maxLength="100" border="1">
              <x14:cfvo type="percent">
                <xm:f>0</xm:f>
              </x14:cfvo>
              <x14:cfvo type="percent">
                <xm:f>100</xm:f>
              </x14:cfvo>
              <x14:borderColor rgb="FFA20067"/>
              <x14:negativeFillColor rgb="FFFF0000"/>
              <x14:axisColor rgb="FFF94607"/>
            </x14:dataBar>
          </x14:cfRule>
          <xm:sqref>OA53</xm:sqref>
        </x14:conditionalFormatting>
        <x14:conditionalFormatting xmlns:xm="http://schemas.microsoft.com/office/excel/2006/main">
          <x14:cfRule type="dataBar" id="{0D7BDFC5-DA70-4942-B4E8-0B3C54C70054}">
            <x14:dataBar minLength="0" maxLength="100" border="1">
              <x14:cfvo type="percent">
                <xm:f>0</xm:f>
              </x14:cfvo>
              <x14:cfvo type="percent">
                <xm:f>100</xm:f>
              </x14:cfvo>
              <x14:borderColor rgb="FFA20067"/>
              <x14:negativeFillColor rgb="FFFF0000"/>
              <x14:axisColor rgb="FFF94607"/>
            </x14:dataBar>
          </x14:cfRule>
          <xm:sqref>OA61</xm:sqref>
        </x14:conditionalFormatting>
        <x14:conditionalFormatting xmlns:xm="http://schemas.microsoft.com/office/excel/2006/main">
          <x14:cfRule type="dataBar" id="{0EB94B21-3159-4A84-BC44-C57D8CE45458}">
            <x14:dataBar minLength="0" maxLength="100" border="1">
              <x14:cfvo type="percent">
                <xm:f>0</xm:f>
              </x14:cfvo>
              <x14:cfvo type="percent">
                <xm:f>100</xm:f>
              </x14:cfvo>
              <x14:borderColor rgb="FFA20067"/>
              <x14:negativeFillColor rgb="FFFF0000"/>
              <x14:axisColor rgb="FFF94607"/>
            </x14:dataBar>
          </x14:cfRule>
          <xm:sqref>OA64:OA65</xm:sqref>
        </x14:conditionalFormatting>
        <x14:conditionalFormatting xmlns:xm="http://schemas.microsoft.com/office/excel/2006/main">
          <x14:cfRule type="dataBar" id="{5B5E3328-A342-413A-B1C2-7B1D92D0C054}">
            <x14:dataBar minLength="0" maxLength="100" border="1">
              <x14:cfvo type="percent">
                <xm:f>0</xm:f>
              </x14:cfvo>
              <x14:cfvo type="percent">
                <xm:f>100</xm:f>
              </x14:cfvo>
              <x14:borderColor rgb="FFA20067"/>
              <x14:negativeFillColor rgb="FFFF0000"/>
              <x14:axisColor rgb="FFF94607"/>
            </x14:dataBar>
          </x14:cfRule>
          <xm:sqref>OA79</xm:sqref>
        </x14:conditionalFormatting>
        <x14:conditionalFormatting xmlns:xm="http://schemas.microsoft.com/office/excel/2006/main">
          <x14:cfRule type="dataBar" id="{D5F8CE00-F411-4271-ACE3-B36100395760}">
            <x14:dataBar minLength="0" maxLength="100" border="1">
              <x14:cfvo type="percent">
                <xm:f>0</xm:f>
              </x14:cfvo>
              <x14:cfvo type="percent">
                <xm:f>100</xm:f>
              </x14:cfvo>
              <x14:borderColor rgb="FFA20067"/>
              <x14:negativeFillColor rgb="FFFF0000"/>
              <x14:axisColor rgb="FFF94607"/>
            </x14:dataBar>
          </x14:cfRule>
          <xm:sqref>OA110</xm:sqref>
        </x14:conditionalFormatting>
        <x14:conditionalFormatting xmlns:xm="http://schemas.microsoft.com/office/excel/2006/main">
          <x14:cfRule type="dataBar" id="{BDFA03DA-3005-4300-85BF-6F099D19929C}">
            <x14:dataBar minLength="0" maxLength="100" border="1">
              <x14:cfvo type="percent">
                <xm:f>0</xm:f>
              </x14:cfvo>
              <x14:cfvo type="percent">
                <xm:f>100</xm:f>
              </x14:cfvo>
              <x14:borderColor rgb="FFA20067"/>
              <x14:negativeFillColor rgb="FFFF0000"/>
              <x14:axisColor rgb="FFF94607"/>
            </x14:dataBar>
          </x14:cfRule>
          <xm:sqref>OA111</xm:sqref>
        </x14:conditionalFormatting>
        <x14:conditionalFormatting xmlns:xm="http://schemas.microsoft.com/office/excel/2006/main">
          <x14:cfRule type="dataBar" id="{ADC29EEB-DE14-4342-838C-A5277EF0407A}">
            <x14:dataBar minLength="0" maxLength="100" border="1">
              <x14:cfvo type="percent">
                <xm:f>0</xm:f>
              </x14:cfvo>
              <x14:cfvo type="percent">
                <xm:f>100</xm:f>
              </x14:cfvo>
              <x14:borderColor rgb="FFA20067"/>
              <x14:negativeFillColor rgb="FFFF0000"/>
              <x14:axisColor rgb="FFF94607"/>
            </x14:dataBar>
          </x14:cfRule>
          <xm:sqref>OA112:OA115 OA3:OA5 OA7:OA22 OA24:OA29 OA31:OA40 OA42 OA44 OA46:OA52 OA54:OA60 OA62:OA63 OA66:OA78 OA80:OA109</xm:sqref>
        </x14:conditionalFormatting>
        <x14:conditionalFormatting xmlns:xm="http://schemas.microsoft.com/office/excel/2006/main">
          <x14:cfRule type="dataBar" id="{98EC85CC-20D5-421A-9F92-CDE1A4417FAB}">
            <x14:dataBar minLength="0" maxLength="100" border="1">
              <x14:cfvo type="percent">
                <xm:f>0</xm:f>
              </x14:cfvo>
              <x14:cfvo type="percent">
                <xm:f>100</xm:f>
              </x14:cfvo>
              <x14:borderColor rgb="FFA20067"/>
              <x14:negativeFillColor rgb="FFFF0000"/>
              <x14:axisColor rgb="FFF94607"/>
            </x14:dataBar>
          </x14:cfRule>
          <xm:sqref>OD6</xm:sqref>
        </x14:conditionalFormatting>
        <x14:conditionalFormatting xmlns:xm="http://schemas.microsoft.com/office/excel/2006/main">
          <x14:cfRule type="dataBar" id="{9FC8DC43-A516-4DCD-B68B-1518D521CB32}">
            <x14:dataBar minLength="0" maxLength="100" border="1">
              <x14:cfvo type="percent">
                <xm:f>0</xm:f>
              </x14:cfvo>
              <x14:cfvo type="percent">
                <xm:f>100</xm:f>
              </x14:cfvo>
              <x14:borderColor rgb="FFA20067"/>
              <x14:negativeFillColor rgb="FFFF0000"/>
              <x14:axisColor rgb="FFF94607"/>
            </x14:dataBar>
          </x14:cfRule>
          <xm:sqref>OD23</xm:sqref>
        </x14:conditionalFormatting>
        <x14:conditionalFormatting xmlns:xm="http://schemas.microsoft.com/office/excel/2006/main">
          <x14:cfRule type="dataBar" id="{E398B0B1-C6E6-4377-B9EB-6CF76930D6B9}">
            <x14:dataBar minLength="0" maxLength="100" border="1">
              <x14:cfvo type="percent">
                <xm:f>0</xm:f>
              </x14:cfvo>
              <x14:cfvo type="percent">
                <xm:f>100</xm:f>
              </x14:cfvo>
              <x14:borderColor rgb="FFA20067"/>
              <x14:negativeFillColor rgb="FFFF0000"/>
              <x14:axisColor rgb="FFF94607"/>
            </x14:dataBar>
          </x14:cfRule>
          <xm:sqref>OD30</xm:sqref>
        </x14:conditionalFormatting>
        <x14:conditionalFormatting xmlns:xm="http://schemas.microsoft.com/office/excel/2006/main">
          <x14:cfRule type="dataBar" id="{D430434D-4F53-48E6-A436-6CBC9580B042}">
            <x14:dataBar minLength="0" maxLength="100" border="1">
              <x14:cfvo type="percent">
                <xm:f>0</xm:f>
              </x14:cfvo>
              <x14:cfvo type="percent">
                <xm:f>100</xm:f>
              </x14:cfvo>
              <x14:borderColor rgb="FFA20067"/>
              <x14:negativeFillColor rgb="FFFF0000"/>
              <x14:axisColor rgb="FFF94607"/>
            </x14:dataBar>
          </x14:cfRule>
          <xm:sqref>OD41</xm:sqref>
        </x14:conditionalFormatting>
        <x14:conditionalFormatting xmlns:xm="http://schemas.microsoft.com/office/excel/2006/main">
          <x14:cfRule type="dataBar" id="{EFEDDC9D-5FD0-4E36-856B-19EB78156476}">
            <x14:dataBar minLength="0" maxLength="100" border="1">
              <x14:cfvo type="percent">
                <xm:f>0</xm:f>
              </x14:cfvo>
              <x14:cfvo type="percent">
                <xm:f>100</xm:f>
              </x14:cfvo>
              <x14:borderColor rgb="FFA20067"/>
              <x14:negativeFillColor rgb="FFFF0000"/>
              <x14:axisColor rgb="FFF94607"/>
            </x14:dataBar>
          </x14:cfRule>
          <xm:sqref>OD43</xm:sqref>
        </x14:conditionalFormatting>
        <x14:conditionalFormatting xmlns:xm="http://schemas.microsoft.com/office/excel/2006/main">
          <x14:cfRule type="dataBar" id="{DF79A2FD-0BAA-4E14-9627-C61A195D460E}">
            <x14:dataBar minLength="0" maxLength="100" border="1">
              <x14:cfvo type="percent">
                <xm:f>0</xm:f>
              </x14:cfvo>
              <x14:cfvo type="percent">
                <xm:f>100</xm:f>
              </x14:cfvo>
              <x14:borderColor rgb="FFA20067"/>
              <x14:negativeFillColor rgb="FFFF0000"/>
              <x14:axisColor rgb="FFF94607"/>
            </x14:dataBar>
          </x14:cfRule>
          <xm:sqref>OD45</xm:sqref>
        </x14:conditionalFormatting>
        <x14:conditionalFormatting xmlns:xm="http://schemas.microsoft.com/office/excel/2006/main">
          <x14:cfRule type="dataBar" id="{5612D86B-ABC0-4FD7-A3D4-E3B3268495D0}">
            <x14:dataBar minLength="0" maxLength="100" border="1">
              <x14:cfvo type="percent">
                <xm:f>0</xm:f>
              </x14:cfvo>
              <x14:cfvo type="percent">
                <xm:f>100</xm:f>
              </x14:cfvo>
              <x14:borderColor rgb="FFA20067"/>
              <x14:negativeFillColor rgb="FFFF0000"/>
              <x14:axisColor rgb="FFF94607"/>
            </x14:dataBar>
          </x14:cfRule>
          <xm:sqref>OD53</xm:sqref>
        </x14:conditionalFormatting>
        <x14:conditionalFormatting xmlns:xm="http://schemas.microsoft.com/office/excel/2006/main">
          <x14:cfRule type="dataBar" id="{BD86B089-3562-4908-845F-16F7A6AA6FAE}">
            <x14:dataBar minLength="0" maxLength="100" border="1">
              <x14:cfvo type="percent">
                <xm:f>0</xm:f>
              </x14:cfvo>
              <x14:cfvo type="percent">
                <xm:f>100</xm:f>
              </x14:cfvo>
              <x14:borderColor rgb="FFA20067"/>
              <x14:negativeFillColor rgb="FFFF0000"/>
              <x14:axisColor rgb="FFF94607"/>
            </x14:dataBar>
          </x14:cfRule>
          <xm:sqref>OD61</xm:sqref>
        </x14:conditionalFormatting>
        <x14:conditionalFormatting xmlns:xm="http://schemas.microsoft.com/office/excel/2006/main">
          <x14:cfRule type="dataBar" id="{A19C1429-B4EB-4903-90D9-3E0991A35E7B}">
            <x14:dataBar minLength="0" maxLength="100" border="1">
              <x14:cfvo type="percent">
                <xm:f>0</xm:f>
              </x14:cfvo>
              <x14:cfvo type="percent">
                <xm:f>100</xm:f>
              </x14:cfvo>
              <x14:borderColor rgb="FFA20067"/>
              <x14:negativeFillColor rgb="FFFF0000"/>
              <x14:axisColor rgb="FFF94607"/>
            </x14:dataBar>
          </x14:cfRule>
          <xm:sqref>OD64:OD65</xm:sqref>
        </x14:conditionalFormatting>
        <x14:conditionalFormatting xmlns:xm="http://schemas.microsoft.com/office/excel/2006/main">
          <x14:cfRule type="dataBar" id="{243C75ED-B97D-4783-8387-2CD7714F7B0B}">
            <x14:dataBar minLength="0" maxLength="100" border="1">
              <x14:cfvo type="percent">
                <xm:f>0</xm:f>
              </x14:cfvo>
              <x14:cfvo type="percent">
                <xm:f>100</xm:f>
              </x14:cfvo>
              <x14:borderColor rgb="FFA20067"/>
              <x14:negativeFillColor rgb="FFFF0000"/>
              <x14:axisColor rgb="FFF94607"/>
            </x14:dataBar>
          </x14:cfRule>
          <xm:sqref>OD79</xm:sqref>
        </x14:conditionalFormatting>
        <x14:conditionalFormatting xmlns:xm="http://schemas.microsoft.com/office/excel/2006/main">
          <x14:cfRule type="dataBar" id="{7B01DB37-58AB-40FA-ABA9-3525D82102E8}">
            <x14:dataBar minLength="0" maxLength="100" border="1">
              <x14:cfvo type="percent">
                <xm:f>0</xm:f>
              </x14:cfvo>
              <x14:cfvo type="percent">
                <xm:f>100</xm:f>
              </x14:cfvo>
              <x14:borderColor rgb="FFA20067"/>
              <x14:negativeFillColor rgb="FFFF0000"/>
              <x14:axisColor rgb="FFF94607"/>
            </x14:dataBar>
          </x14:cfRule>
          <xm:sqref>OD110</xm:sqref>
        </x14:conditionalFormatting>
        <x14:conditionalFormatting xmlns:xm="http://schemas.microsoft.com/office/excel/2006/main">
          <x14:cfRule type="dataBar" id="{12028AFA-E6A8-4E03-B91D-4A49C838DFAE}">
            <x14:dataBar minLength="0" maxLength="100" border="1">
              <x14:cfvo type="percent">
                <xm:f>0</xm:f>
              </x14:cfvo>
              <x14:cfvo type="percent">
                <xm:f>100</xm:f>
              </x14:cfvo>
              <x14:borderColor rgb="FFA20067"/>
              <x14:negativeFillColor rgb="FFFF0000"/>
              <x14:axisColor rgb="FFF94607"/>
            </x14:dataBar>
          </x14:cfRule>
          <xm:sqref>OD111</xm:sqref>
        </x14:conditionalFormatting>
        <x14:conditionalFormatting xmlns:xm="http://schemas.microsoft.com/office/excel/2006/main">
          <x14:cfRule type="dataBar" id="{D180BE4B-C47C-402D-B111-1DA4A3C4F303}">
            <x14:dataBar minLength="0" maxLength="100" border="1">
              <x14:cfvo type="percent">
                <xm:f>0</xm:f>
              </x14:cfvo>
              <x14:cfvo type="percent">
                <xm:f>100</xm:f>
              </x14:cfvo>
              <x14:borderColor rgb="FFA20067"/>
              <x14:negativeFillColor rgb="FFFF0000"/>
              <x14:axisColor rgb="FFF94607"/>
            </x14:dataBar>
          </x14:cfRule>
          <xm:sqref>OD112:OD115 OD3:OD5 OD7:OD22 OD24:OD29 OD31:OD40 OD42 OD44 OD46:OD52 OD54:OD60 OD62:OD63 OD66:OD78 OD80:OD109</xm:sqref>
        </x14:conditionalFormatting>
        <x14:conditionalFormatting xmlns:xm="http://schemas.microsoft.com/office/excel/2006/main">
          <x14:cfRule type="dataBar" id="{371AFA07-CEE5-4AC9-A022-6B8F7E4964A7}">
            <x14:dataBar minLength="0" maxLength="100" border="1">
              <x14:cfvo type="percent">
                <xm:f>0</xm:f>
              </x14:cfvo>
              <x14:cfvo type="percent">
                <xm:f>100</xm:f>
              </x14:cfvo>
              <x14:borderColor rgb="FFA20067"/>
              <x14:negativeFillColor rgb="FFFF0000"/>
              <x14:axisColor rgb="FFF94607"/>
            </x14:dataBar>
          </x14:cfRule>
          <xm:sqref>OG6</xm:sqref>
        </x14:conditionalFormatting>
        <x14:conditionalFormatting xmlns:xm="http://schemas.microsoft.com/office/excel/2006/main">
          <x14:cfRule type="dataBar" id="{9DFF4301-F874-4F36-BD80-690CE72D2F8A}">
            <x14:dataBar minLength="0" maxLength="100" border="1">
              <x14:cfvo type="percent">
                <xm:f>0</xm:f>
              </x14:cfvo>
              <x14:cfvo type="percent">
                <xm:f>100</xm:f>
              </x14:cfvo>
              <x14:borderColor rgb="FFA20067"/>
              <x14:negativeFillColor rgb="FFFF0000"/>
              <x14:axisColor rgb="FFF94607"/>
            </x14:dataBar>
          </x14:cfRule>
          <xm:sqref>OG23</xm:sqref>
        </x14:conditionalFormatting>
        <x14:conditionalFormatting xmlns:xm="http://schemas.microsoft.com/office/excel/2006/main">
          <x14:cfRule type="dataBar" id="{0D17D531-54C5-453C-84CD-41CF5D933A77}">
            <x14:dataBar minLength="0" maxLength="100" border="1">
              <x14:cfvo type="percent">
                <xm:f>0</xm:f>
              </x14:cfvo>
              <x14:cfvo type="percent">
                <xm:f>100</xm:f>
              </x14:cfvo>
              <x14:borderColor rgb="FFA20067"/>
              <x14:negativeFillColor rgb="FFFF0000"/>
              <x14:axisColor rgb="FFF94607"/>
            </x14:dataBar>
          </x14:cfRule>
          <xm:sqref>OG30</xm:sqref>
        </x14:conditionalFormatting>
        <x14:conditionalFormatting xmlns:xm="http://schemas.microsoft.com/office/excel/2006/main">
          <x14:cfRule type="dataBar" id="{B26CAA1F-08C5-4756-9577-185823C11A54}">
            <x14:dataBar minLength="0" maxLength="100" border="1">
              <x14:cfvo type="percent">
                <xm:f>0</xm:f>
              </x14:cfvo>
              <x14:cfvo type="percent">
                <xm:f>100</xm:f>
              </x14:cfvo>
              <x14:borderColor rgb="FFA20067"/>
              <x14:negativeFillColor rgb="FFFF0000"/>
              <x14:axisColor rgb="FFF94607"/>
            </x14:dataBar>
          </x14:cfRule>
          <xm:sqref>OG41</xm:sqref>
        </x14:conditionalFormatting>
        <x14:conditionalFormatting xmlns:xm="http://schemas.microsoft.com/office/excel/2006/main">
          <x14:cfRule type="dataBar" id="{36E7966B-FE7D-4103-9A10-206E108ADD1B}">
            <x14:dataBar minLength="0" maxLength="100" border="1">
              <x14:cfvo type="percent">
                <xm:f>0</xm:f>
              </x14:cfvo>
              <x14:cfvo type="percent">
                <xm:f>100</xm:f>
              </x14:cfvo>
              <x14:borderColor rgb="FFA20067"/>
              <x14:negativeFillColor rgb="FFFF0000"/>
              <x14:axisColor rgb="FFF94607"/>
            </x14:dataBar>
          </x14:cfRule>
          <xm:sqref>OG43</xm:sqref>
        </x14:conditionalFormatting>
        <x14:conditionalFormatting xmlns:xm="http://schemas.microsoft.com/office/excel/2006/main">
          <x14:cfRule type="dataBar" id="{40065232-F87E-4EE2-B2BC-F5E6F5E10B0E}">
            <x14:dataBar minLength="0" maxLength="100" border="1">
              <x14:cfvo type="percent">
                <xm:f>0</xm:f>
              </x14:cfvo>
              <x14:cfvo type="percent">
                <xm:f>100</xm:f>
              </x14:cfvo>
              <x14:borderColor rgb="FFA20067"/>
              <x14:negativeFillColor rgb="FFFF0000"/>
              <x14:axisColor rgb="FFF94607"/>
            </x14:dataBar>
          </x14:cfRule>
          <xm:sqref>OG45</xm:sqref>
        </x14:conditionalFormatting>
        <x14:conditionalFormatting xmlns:xm="http://schemas.microsoft.com/office/excel/2006/main">
          <x14:cfRule type="dataBar" id="{2728056B-1895-4F6D-B8E4-8E729F3A1A80}">
            <x14:dataBar minLength="0" maxLength="100" border="1">
              <x14:cfvo type="percent">
                <xm:f>0</xm:f>
              </x14:cfvo>
              <x14:cfvo type="percent">
                <xm:f>100</xm:f>
              </x14:cfvo>
              <x14:borderColor rgb="FFA20067"/>
              <x14:negativeFillColor rgb="FFFF0000"/>
              <x14:axisColor rgb="FFF94607"/>
            </x14:dataBar>
          </x14:cfRule>
          <xm:sqref>OG53</xm:sqref>
        </x14:conditionalFormatting>
        <x14:conditionalFormatting xmlns:xm="http://schemas.microsoft.com/office/excel/2006/main">
          <x14:cfRule type="dataBar" id="{4A16D3D8-29DC-4318-9312-58B1A914AECF}">
            <x14:dataBar minLength="0" maxLength="100" border="1">
              <x14:cfvo type="percent">
                <xm:f>0</xm:f>
              </x14:cfvo>
              <x14:cfvo type="percent">
                <xm:f>100</xm:f>
              </x14:cfvo>
              <x14:borderColor rgb="FFA20067"/>
              <x14:negativeFillColor rgb="FFFF0000"/>
              <x14:axisColor rgb="FFF94607"/>
            </x14:dataBar>
          </x14:cfRule>
          <xm:sqref>OG61</xm:sqref>
        </x14:conditionalFormatting>
        <x14:conditionalFormatting xmlns:xm="http://schemas.microsoft.com/office/excel/2006/main">
          <x14:cfRule type="dataBar" id="{29721EDC-E8B6-40AC-80F1-71F09EE88C88}">
            <x14:dataBar minLength="0" maxLength="100" border="1">
              <x14:cfvo type="percent">
                <xm:f>0</xm:f>
              </x14:cfvo>
              <x14:cfvo type="percent">
                <xm:f>100</xm:f>
              </x14:cfvo>
              <x14:borderColor rgb="FFA20067"/>
              <x14:negativeFillColor rgb="FFFF0000"/>
              <x14:axisColor rgb="FFF94607"/>
            </x14:dataBar>
          </x14:cfRule>
          <xm:sqref>OG64:OG65</xm:sqref>
        </x14:conditionalFormatting>
        <x14:conditionalFormatting xmlns:xm="http://schemas.microsoft.com/office/excel/2006/main">
          <x14:cfRule type="dataBar" id="{1A69018B-9111-4618-B71E-4A04DB07E69D}">
            <x14:dataBar minLength="0" maxLength="100" border="1">
              <x14:cfvo type="percent">
                <xm:f>0</xm:f>
              </x14:cfvo>
              <x14:cfvo type="percent">
                <xm:f>100</xm:f>
              </x14:cfvo>
              <x14:borderColor rgb="FFA20067"/>
              <x14:negativeFillColor rgb="FFFF0000"/>
              <x14:axisColor rgb="FFF94607"/>
            </x14:dataBar>
          </x14:cfRule>
          <xm:sqref>OG79</xm:sqref>
        </x14:conditionalFormatting>
        <x14:conditionalFormatting xmlns:xm="http://schemas.microsoft.com/office/excel/2006/main">
          <x14:cfRule type="dataBar" id="{CE0D6FCE-9258-4366-85CD-6FFC8BFE6A70}">
            <x14:dataBar minLength="0" maxLength="100" border="1">
              <x14:cfvo type="percent">
                <xm:f>0</xm:f>
              </x14:cfvo>
              <x14:cfvo type="percent">
                <xm:f>100</xm:f>
              </x14:cfvo>
              <x14:borderColor rgb="FFA20067"/>
              <x14:negativeFillColor rgb="FFFF0000"/>
              <x14:axisColor rgb="FFF94607"/>
            </x14:dataBar>
          </x14:cfRule>
          <xm:sqref>OG110</xm:sqref>
        </x14:conditionalFormatting>
        <x14:conditionalFormatting xmlns:xm="http://schemas.microsoft.com/office/excel/2006/main">
          <x14:cfRule type="dataBar" id="{1A0233F5-660A-43F9-840E-7933BFF0AA4F}">
            <x14:dataBar minLength="0" maxLength="100" border="1">
              <x14:cfvo type="percent">
                <xm:f>0</xm:f>
              </x14:cfvo>
              <x14:cfvo type="percent">
                <xm:f>100</xm:f>
              </x14:cfvo>
              <x14:borderColor rgb="FFA20067"/>
              <x14:negativeFillColor rgb="FFFF0000"/>
              <x14:axisColor rgb="FFF94607"/>
            </x14:dataBar>
          </x14:cfRule>
          <xm:sqref>OG111</xm:sqref>
        </x14:conditionalFormatting>
        <x14:conditionalFormatting xmlns:xm="http://schemas.microsoft.com/office/excel/2006/main">
          <x14:cfRule type="dataBar" id="{118A194D-0A40-40FB-BDFC-4C1A32A1EEBD}">
            <x14:dataBar minLength="0" maxLength="100" border="1">
              <x14:cfvo type="percent">
                <xm:f>0</xm:f>
              </x14:cfvo>
              <x14:cfvo type="percent">
                <xm:f>100</xm:f>
              </x14:cfvo>
              <x14:borderColor rgb="FFA20067"/>
              <x14:negativeFillColor rgb="FFFF0000"/>
              <x14:axisColor rgb="FFF94607"/>
            </x14:dataBar>
          </x14:cfRule>
          <xm:sqref>OG112:OG115 OG3:OG5 OG7:OG22 OG24:OG29 OG31:OG40 OG42 OG44 OG46:OG52 OG54:OG60 OG62:OG63 OG66:OG78 OG80:OG109</xm:sqref>
        </x14:conditionalFormatting>
        <x14:conditionalFormatting xmlns:xm="http://schemas.microsoft.com/office/excel/2006/main">
          <x14:cfRule type="dataBar" id="{D54D4E5B-AF49-465C-8A96-E6B6FABA9754}">
            <x14:dataBar minLength="0" maxLength="100" border="1">
              <x14:cfvo type="percent">
                <xm:f>0</xm:f>
              </x14:cfvo>
              <x14:cfvo type="percent">
                <xm:f>100</xm:f>
              </x14:cfvo>
              <x14:borderColor rgb="FFA20067"/>
              <x14:negativeFillColor rgb="FFFF0000"/>
              <x14:axisColor rgb="FFF94607"/>
            </x14:dataBar>
          </x14:cfRule>
          <xm:sqref>OJ6</xm:sqref>
        </x14:conditionalFormatting>
        <x14:conditionalFormatting xmlns:xm="http://schemas.microsoft.com/office/excel/2006/main">
          <x14:cfRule type="dataBar" id="{6FB1172F-7603-4DA8-8C23-73B8842034A2}">
            <x14:dataBar minLength="0" maxLength="100" border="1">
              <x14:cfvo type="percent">
                <xm:f>0</xm:f>
              </x14:cfvo>
              <x14:cfvo type="percent">
                <xm:f>100</xm:f>
              </x14:cfvo>
              <x14:borderColor rgb="FFA20067"/>
              <x14:negativeFillColor rgb="FFFF0000"/>
              <x14:axisColor rgb="FFF94607"/>
            </x14:dataBar>
          </x14:cfRule>
          <xm:sqref>OJ23</xm:sqref>
        </x14:conditionalFormatting>
        <x14:conditionalFormatting xmlns:xm="http://schemas.microsoft.com/office/excel/2006/main">
          <x14:cfRule type="dataBar" id="{1A85A552-4AB0-45E2-B9B4-C3711374647D}">
            <x14:dataBar minLength="0" maxLength="100" border="1">
              <x14:cfvo type="percent">
                <xm:f>0</xm:f>
              </x14:cfvo>
              <x14:cfvo type="percent">
                <xm:f>100</xm:f>
              </x14:cfvo>
              <x14:borderColor rgb="FFA20067"/>
              <x14:negativeFillColor rgb="FFFF0000"/>
              <x14:axisColor rgb="FFF94607"/>
            </x14:dataBar>
          </x14:cfRule>
          <xm:sqref>OJ30</xm:sqref>
        </x14:conditionalFormatting>
        <x14:conditionalFormatting xmlns:xm="http://schemas.microsoft.com/office/excel/2006/main">
          <x14:cfRule type="dataBar" id="{2A782C46-75B8-455D-92D3-59C681F84A3E}">
            <x14:dataBar minLength="0" maxLength="100" border="1">
              <x14:cfvo type="percent">
                <xm:f>0</xm:f>
              </x14:cfvo>
              <x14:cfvo type="percent">
                <xm:f>100</xm:f>
              </x14:cfvo>
              <x14:borderColor rgb="FFA20067"/>
              <x14:negativeFillColor rgb="FFFF0000"/>
              <x14:axisColor rgb="FFF94607"/>
            </x14:dataBar>
          </x14:cfRule>
          <xm:sqref>OJ41</xm:sqref>
        </x14:conditionalFormatting>
        <x14:conditionalFormatting xmlns:xm="http://schemas.microsoft.com/office/excel/2006/main">
          <x14:cfRule type="dataBar" id="{A101770D-4806-445E-B3DF-AF27C397E014}">
            <x14:dataBar minLength="0" maxLength="100" border="1">
              <x14:cfvo type="percent">
                <xm:f>0</xm:f>
              </x14:cfvo>
              <x14:cfvo type="percent">
                <xm:f>100</xm:f>
              </x14:cfvo>
              <x14:borderColor rgb="FFA20067"/>
              <x14:negativeFillColor rgb="FFFF0000"/>
              <x14:axisColor rgb="FFF94607"/>
            </x14:dataBar>
          </x14:cfRule>
          <xm:sqref>OJ43</xm:sqref>
        </x14:conditionalFormatting>
        <x14:conditionalFormatting xmlns:xm="http://schemas.microsoft.com/office/excel/2006/main">
          <x14:cfRule type="dataBar" id="{1B499B46-99BE-4C87-8AE7-BFBA906D2292}">
            <x14:dataBar minLength="0" maxLength="100" border="1">
              <x14:cfvo type="percent">
                <xm:f>0</xm:f>
              </x14:cfvo>
              <x14:cfvo type="percent">
                <xm:f>100</xm:f>
              </x14:cfvo>
              <x14:borderColor rgb="FFA20067"/>
              <x14:negativeFillColor rgb="FFFF0000"/>
              <x14:axisColor rgb="FFF94607"/>
            </x14:dataBar>
          </x14:cfRule>
          <xm:sqref>OJ45</xm:sqref>
        </x14:conditionalFormatting>
        <x14:conditionalFormatting xmlns:xm="http://schemas.microsoft.com/office/excel/2006/main">
          <x14:cfRule type="dataBar" id="{0CAF808C-97CA-48E5-8E3F-2C99E1DD1BE4}">
            <x14:dataBar minLength="0" maxLength="100" border="1">
              <x14:cfvo type="percent">
                <xm:f>0</xm:f>
              </x14:cfvo>
              <x14:cfvo type="percent">
                <xm:f>100</xm:f>
              </x14:cfvo>
              <x14:borderColor rgb="FFA20067"/>
              <x14:negativeFillColor rgb="FFFF0000"/>
              <x14:axisColor rgb="FFF94607"/>
            </x14:dataBar>
          </x14:cfRule>
          <xm:sqref>OJ53</xm:sqref>
        </x14:conditionalFormatting>
        <x14:conditionalFormatting xmlns:xm="http://schemas.microsoft.com/office/excel/2006/main">
          <x14:cfRule type="dataBar" id="{A10F3176-8B2C-4961-A6A1-A35DB6A3719A}">
            <x14:dataBar minLength="0" maxLength="100" border="1">
              <x14:cfvo type="percent">
                <xm:f>0</xm:f>
              </x14:cfvo>
              <x14:cfvo type="percent">
                <xm:f>100</xm:f>
              </x14:cfvo>
              <x14:borderColor rgb="FFA20067"/>
              <x14:negativeFillColor rgb="FFFF0000"/>
              <x14:axisColor rgb="FFF94607"/>
            </x14:dataBar>
          </x14:cfRule>
          <xm:sqref>OJ61</xm:sqref>
        </x14:conditionalFormatting>
        <x14:conditionalFormatting xmlns:xm="http://schemas.microsoft.com/office/excel/2006/main">
          <x14:cfRule type="dataBar" id="{14C6C1CA-C1D2-4E2E-8786-9059B4D50449}">
            <x14:dataBar minLength="0" maxLength="100" border="1">
              <x14:cfvo type="percent">
                <xm:f>0</xm:f>
              </x14:cfvo>
              <x14:cfvo type="percent">
                <xm:f>100</xm:f>
              </x14:cfvo>
              <x14:borderColor rgb="FFA20067"/>
              <x14:negativeFillColor rgb="FFFF0000"/>
              <x14:axisColor rgb="FFF94607"/>
            </x14:dataBar>
          </x14:cfRule>
          <xm:sqref>OJ64:OJ65</xm:sqref>
        </x14:conditionalFormatting>
        <x14:conditionalFormatting xmlns:xm="http://schemas.microsoft.com/office/excel/2006/main">
          <x14:cfRule type="dataBar" id="{DFB7E387-59D3-493F-B775-2AC0C5703A6B}">
            <x14:dataBar minLength="0" maxLength="100" border="1">
              <x14:cfvo type="percent">
                <xm:f>0</xm:f>
              </x14:cfvo>
              <x14:cfvo type="percent">
                <xm:f>100</xm:f>
              </x14:cfvo>
              <x14:borderColor rgb="FFA20067"/>
              <x14:negativeFillColor rgb="FFFF0000"/>
              <x14:axisColor rgb="FFF94607"/>
            </x14:dataBar>
          </x14:cfRule>
          <xm:sqref>OJ79</xm:sqref>
        </x14:conditionalFormatting>
        <x14:conditionalFormatting xmlns:xm="http://schemas.microsoft.com/office/excel/2006/main">
          <x14:cfRule type="dataBar" id="{01557AD4-619F-4B72-B874-E84C75F9A95E}">
            <x14:dataBar minLength="0" maxLength="100" border="1">
              <x14:cfvo type="percent">
                <xm:f>0</xm:f>
              </x14:cfvo>
              <x14:cfvo type="percent">
                <xm:f>100</xm:f>
              </x14:cfvo>
              <x14:borderColor rgb="FFA20067"/>
              <x14:negativeFillColor rgb="FFFF0000"/>
              <x14:axisColor rgb="FFF94607"/>
            </x14:dataBar>
          </x14:cfRule>
          <xm:sqref>OJ110</xm:sqref>
        </x14:conditionalFormatting>
        <x14:conditionalFormatting xmlns:xm="http://schemas.microsoft.com/office/excel/2006/main">
          <x14:cfRule type="dataBar" id="{F53438EC-6787-4665-8B17-DAA2C6601A8E}">
            <x14:dataBar minLength="0" maxLength="100" border="1">
              <x14:cfvo type="percent">
                <xm:f>0</xm:f>
              </x14:cfvo>
              <x14:cfvo type="percent">
                <xm:f>100</xm:f>
              </x14:cfvo>
              <x14:borderColor rgb="FFA20067"/>
              <x14:negativeFillColor rgb="FFFF0000"/>
              <x14:axisColor rgb="FFF94607"/>
            </x14:dataBar>
          </x14:cfRule>
          <xm:sqref>OJ111</xm:sqref>
        </x14:conditionalFormatting>
        <x14:conditionalFormatting xmlns:xm="http://schemas.microsoft.com/office/excel/2006/main">
          <x14:cfRule type="dataBar" id="{1BCF1D55-35CB-4F5C-A26B-B0FF07CDA52F}">
            <x14:dataBar minLength="0" maxLength="100" border="1">
              <x14:cfvo type="percent">
                <xm:f>0</xm:f>
              </x14:cfvo>
              <x14:cfvo type="percent">
                <xm:f>100</xm:f>
              </x14:cfvo>
              <x14:borderColor rgb="FFA20067"/>
              <x14:negativeFillColor rgb="FFFF0000"/>
              <x14:axisColor rgb="FFF94607"/>
            </x14:dataBar>
          </x14:cfRule>
          <xm:sqref>OJ112:OJ115 OJ3:OJ5 OJ7:OJ22 OJ24:OJ29 OJ31:OJ40 OJ42 OJ44 OJ46:OJ52 OJ54:OJ60 OJ62:OJ63 OJ66:OJ78 OJ80:OJ109</xm:sqref>
        </x14:conditionalFormatting>
        <x14:conditionalFormatting xmlns:xm="http://schemas.microsoft.com/office/excel/2006/main">
          <x14:cfRule type="dataBar" id="{6D6C0601-977C-4C3F-AA12-12FEC6E6F33E}">
            <x14:dataBar minLength="0" maxLength="100" border="1">
              <x14:cfvo type="percent">
                <xm:f>0</xm:f>
              </x14:cfvo>
              <x14:cfvo type="percent">
                <xm:f>100</xm:f>
              </x14:cfvo>
              <x14:borderColor rgb="FFA20067"/>
              <x14:negativeFillColor rgb="FFFF0000"/>
              <x14:axisColor rgb="FFF94607"/>
            </x14:dataBar>
          </x14:cfRule>
          <xm:sqref>OM6</xm:sqref>
        </x14:conditionalFormatting>
        <x14:conditionalFormatting xmlns:xm="http://schemas.microsoft.com/office/excel/2006/main">
          <x14:cfRule type="dataBar" id="{91EAB88D-9F09-45DF-8C2C-BFD03ABE8638}">
            <x14:dataBar minLength="0" maxLength="100" border="1">
              <x14:cfvo type="percent">
                <xm:f>0</xm:f>
              </x14:cfvo>
              <x14:cfvo type="percent">
                <xm:f>100</xm:f>
              </x14:cfvo>
              <x14:borderColor rgb="FFA20067"/>
              <x14:negativeFillColor rgb="FFFF0000"/>
              <x14:axisColor rgb="FFF94607"/>
            </x14:dataBar>
          </x14:cfRule>
          <xm:sqref>OM23</xm:sqref>
        </x14:conditionalFormatting>
        <x14:conditionalFormatting xmlns:xm="http://schemas.microsoft.com/office/excel/2006/main">
          <x14:cfRule type="dataBar" id="{6216A14B-F41E-45E7-89B0-DDE9B8C615CB}">
            <x14:dataBar minLength="0" maxLength="100" border="1">
              <x14:cfvo type="percent">
                <xm:f>0</xm:f>
              </x14:cfvo>
              <x14:cfvo type="percent">
                <xm:f>100</xm:f>
              </x14:cfvo>
              <x14:borderColor rgb="FFA20067"/>
              <x14:negativeFillColor rgb="FFFF0000"/>
              <x14:axisColor rgb="FFF94607"/>
            </x14:dataBar>
          </x14:cfRule>
          <xm:sqref>OM30</xm:sqref>
        </x14:conditionalFormatting>
        <x14:conditionalFormatting xmlns:xm="http://schemas.microsoft.com/office/excel/2006/main">
          <x14:cfRule type="dataBar" id="{81F36C5D-5924-474A-A6CD-347D3AEF34BE}">
            <x14:dataBar minLength="0" maxLength="100" border="1">
              <x14:cfvo type="percent">
                <xm:f>0</xm:f>
              </x14:cfvo>
              <x14:cfvo type="percent">
                <xm:f>100</xm:f>
              </x14:cfvo>
              <x14:borderColor rgb="FFA20067"/>
              <x14:negativeFillColor rgb="FFFF0000"/>
              <x14:axisColor rgb="FFF94607"/>
            </x14:dataBar>
          </x14:cfRule>
          <xm:sqref>OM41</xm:sqref>
        </x14:conditionalFormatting>
        <x14:conditionalFormatting xmlns:xm="http://schemas.microsoft.com/office/excel/2006/main">
          <x14:cfRule type="dataBar" id="{AC38581C-10AD-4E91-958E-A9FF2B36ED43}">
            <x14:dataBar minLength="0" maxLength="100" border="1">
              <x14:cfvo type="percent">
                <xm:f>0</xm:f>
              </x14:cfvo>
              <x14:cfvo type="percent">
                <xm:f>100</xm:f>
              </x14:cfvo>
              <x14:borderColor rgb="FFA20067"/>
              <x14:negativeFillColor rgb="FFFF0000"/>
              <x14:axisColor rgb="FFF94607"/>
            </x14:dataBar>
          </x14:cfRule>
          <xm:sqref>OM43</xm:sqref>
        </x14:conditionalFormatting>
        <x14:conditionalFormatting xmlns:xm="http://schemas.microsoft.com/office/excel/2006/main">
          <x14:cfRule type="dataBar" id="{325EA519-C122-4120-87BB-E3413F2B5F7A}">
            <x14:dataBar minLength="0" maxLength="100" border="1">
              <x14:cfvo type="percent">
                <xm:f>0</xm:f>
              </x14:cfvo>
              <x14:cfvo type="percent">
                <xm:f>100</xm:f>
              </x14:cfvo>
              <x14:borderColor rgb="FFA20067"/>
              <x14:negativeFillColor rgb="FFFF0000"/>
              <x14:axisColor rgb="FFF94607"/>
            </x14:dataBar>
          </x14:cfRule>
          <xm:sqref>OM45</xm:sqref>
        </x14:conditionalFormatting>
        <x14:conditionalFormatting xmlns:xm="http://schemas.microsoft.com/office/excel/2006/main">
          <x14:cfRule type="dataBar" id="{F5ECE02E-F402-4463-9AAF-2AA9496BA2C9}">
            <x14:dataBar minLength="0" maxLength="100" border="1">
              <x14:cfvo type="percent">
                <xm:f>0</xm:f>
              </x14:cfvo>
              <x14:cfvo type="percent">
                <xm:f>100</xm:f>
              </x14:cfvo>
              <x14:borderColor rgb="FFA20067"/>
              <x14:negativeFillColor rgb="FFFF0000"/>
              <x14:axisColor rgb="FFF94607"/>
            </x14:dataBar>
          </x14:cfRule>
          <xm:sqref>OM53</xm:sqref>
        </x14:conditionalFormatting>
        <x14:conditionalFormatting xmlns:xm="http://schemas.microsoft.com/office/excel/2006/main">
          <x14:cfRule type="dataBar" id="{86A4733D-D2FD-4D9B-9322-8D1F5E0824E5}">
            <x14:dataBar minLength="0" maxLength="100" border="1">
              <x14:cfvo type="percent">
                <xm:f>0</xm:f>
              </x14:cfvo>
              <x14:cfvo type="percent">
                <xm:f>100</xm:f>
              </x14:cfvo>
              <x14:borderColor rgb="FFA20067"/>
              <x14:negativeFillColor rgb="FFFF0000"/>
              <x14:axisColor rgb="FFF94607"/>
            </x14:dataBar>
          </x14:cfRule>
          <xm:sqref>OM61</xm:sqref>
        </x14:conditionalFormatting>
        <x14:conditionalFormatting xmlns:xm="http://schemas.microsoft.com/office/excel/2006/main">
          <x14:cfRule type="dataBar" id="{13E32B3A-3735-4FCA-A871-F92A0CDDDD79}">
            <x14:dataBar minLength="0" maxLength="100" border="1">
              <x14:cfvo type="percent">
                <xm:f>0</xm:f>
              </x14:cfvo>
              <x14:cfvo type="percent">
                <xm:f>100</xm:f>
              </x14:cfvo>
              <x14:borderColor rgb="FFA20067"/>
              <x14:negativeFillColor rgb="FFFF0000"/>
              <x14:axisColor rgb="FFF94607"/>
            </x14:dataBar>
          </x14:cfRule>
          <xm:sqref>OM64:OM65</xm:sqref>
        </x14:conditionalFormatting>
        <x14:conditionalFormatting xmlns:xm="http://schemas.microsoft.com/office/excel/2006/main">
          <x14:cfRule type="dataBar" id="{C65AB2ED-DFB5-4E15-869F-0AAC5990A532}">
            <x14:dataBar minLength="0" maxLength="100" border="1">
              <x14:cfvo type="percent">
                <xm:f>0</xm:f>
              </x14:cfvo>
              <x14:cfvo type="percent">
                <xm:f>100</xm:f>
              </x14:cfvo>
              <x14:borderColor rgb="FFA20067"/>
              <x14:negativeFillColor rgb="FFFF0000"/>
              <x14:axisColor rgb="FFF94607"/>
            </x14:dataBar>
          </x14:cfRule>
          <xm:sqref>OM79</xm:sqref>
        </x14:conditionalFormatting>
        <x14:conditionalFormatting xmlns:xm="http://schemas.microsoft.com/office/excel/2006/main">
          <x14:cfRule type="dataBar" id="{BA7DC39B-3EDE-47C2-A611-AEE103C149C0}">
            <x14:dataBar minLength="0" maxLength="100" border="1">
              <x14:cfvo type="percent">
                <xm:f>0</xm:f>
              </x14:cfvo>
              <x14:cfvo type="percent">
                <xm:f>100</xm:f>
              </x14:cfvo>
              <x14:borderColor rgb="FFA20067"/>
              <x14:negativeFillColor rgb="FFFF0000"/>
              <x14:axisColor rgb="FFF94607"/>
            </x14:dataBar>
          </x14:cfRule>
          <xm:sqref>OM110</xm:sqref>
        </x14:conditionalFormatting>
        <x14:conditionalFormatting xmlns:xm="http://schemas.microsoft.com/office/excel/2006/main">
          <x14:cfRule type="dataBar" id="{2BD50ACF-9EEE-4038-A316-9F37BFBBD883}">
            <x14:dataBar minLength="0" maxLength="100" border="1">
              <x14:cfvo type="percent">
                <xm:f>0</xm:f>
              </x14:cfvo>
              <x14:cfvo type="percent">
                <xm:f>100</xm:f>
              </x14:cfvo>
              <x14:borderColor rgb="FFA20067"/>
              <x14:negativeFillColor rgb="FFFF0000"/>
              <x14:axisColor rgb="FFF94607"/>
            </x14:dataBar>
          </x14:cfRule>
          <xm:sqref>OM111</xm:sqref>
        </x14:conditionalFormatting>
        <x14:conditionalFormatting xmlns:xm="http://schemas.microsoft.com/office/excel/2006/main">
          <x14:cfRule type="dataBar" id="{E7121D9C-932D-456B-8F49-F970DCAE709F}">
            <x14:dataBar minLength="0" maxLength="100" border="1">
              <x14:cfvo type="percent">
                <xm:f>0</xm:f>
              </x14:cfvo>
              <x14:cfvo type="percent">
                <xm:f>100</xm:f>
              </x14:cfvo>
              <x14:borderColor rgb="FFA20067"/>
              <x14:negativeFillColor rgb="FFFF0000"/>
              <x14:axisColor rgb="FFF94607"/>
            </x14:dataBar>
          </x14:cfRule>
          <xm:sqref>OM112:OM115 OM3:OM5 OM7:OM22 OM24:OM29 OM31:OM40 OM42 OM44 OM46:OM52 OM54:OM60 OM62:OM63 OM66:OM78 OM80:OM109</xm:sqref>
        </x14:conditionalFormatting>
        <x14:conditionalFormatting xmlns:xm="http://schemas.microsoft.com/office/excel/2006/main">
          <x14:cfRule type="dataBar" id="{CDAC8620-BCF4-4C44-8A1C-42C67A135107}">
            <x14:dataBar minLength="0" maxLength="100" border="1">
              <x14:cfvo type="percent">
                <xm:f>0</xm:f>
              </x14:cfvo>
              <x14:cfvo type="percent">
                <xm:f>100</xm:f>
              </x14:cfvo>
              <x14:borderColor rgb="FFA20067"/>
              <x14:negativeFillColor rgb="FFFF0000"/>
              <x14:axisColor rgb="FFF94607"/>
            </x14:dataBar>
          </x14:cfRule>
          <xm:sqref>OP6</xm:sqref>
        </x14:conditionalFormatting>
        <x14:conditionalFormatting xmlns:xm="http://schemas.microsoft.com/office/excel/2006/main">
          <x14:cfRule type="dataBar" id="{69CBA0BE-BB37-4972-8896-309FD58604CE}">
            <x14:dataBar minLength="0" maxLength="100" border="1">
              <x14:cfvo type="percent">
                <xm:f>0</xm:f>
              </x14:cfvo>
              <x14:cfvo type="percent">
                <xm:f>100</xm:f>
              </x14:cfvo>
              <x14:borderColor rgb="FFA20067"/>
              <x14:negativeFillColor rgb="FFFF0000"/>
              <x14:axisColor rgb="FFF94607"/>
            </x14:dataBar>
          </x14:cfRule>
          <xm:sqref>OP23</xm:sqref>
        </x14:conditionalFormatting>
        <x14:conditionalFormatting xmlns:xm="http://schemas.microsoft.com/office/excel/2006/main">
          <x14:cfRule type="dataBar" id="{700B5ED1-B9EE-4FE8-927E-F0B5C403B016}">
            <x14:dataBar minLength="0" maxLength="100" border="1">
              <x14:cfvo type="percent">
                <xm:f>0</xm:f>
              </x14:cfvo>
              <x14:cfvo type="percent">
                <xm:f>100</xm:f>
              </x14:cfvo>
              <x14:borderColor rgb="FFA20067"/>
              <x14:negativeFillColor rgb="FFFF0000"/>
              <x14:axisColor rgb="FFF94607"/>
            </x14:dataBar>
          </x14:cfRule>
          <xm:sqref>OP30</xm:sqref>
        </x14:conditionalFormatting>
        <x14:conditionalFormatting xmlns:xm="http://schemas.microsoft.com/office/excel/2006/main">
          <x14:cfRule type="dataBar" id="{E4F84160-70D2-4C41-8733-E1389B5C052F}">
            <x14:dataBar minLength="0" maxLength="100" border="1">
              <x14:cfvo type="percent">
                <xm:f>0</xm:f>
              </x14:cfvo>
              <x14:cfvo type="percent">
                <xm:f>100</xm:f>
              </x14:cfvo>
              <x14:borderColor rgb="FFA20067"/>
              <x14:negativeFillColor rgb="FFFF0000"/>
              <x14:axisColor rgb="FFF94607"/>
            </x14:dataBar>
          </x14:cfRule>
          <xm:sqref>OP41</xm:sqref>
        </x14:conditionalFormatting>
        <x14:conditionalFormatting xmlns:xm="http://schemas.microsoft.com/office/excel/2006/main">
          <x14:cfRule type="dataBar" id="{3B329DFC-49F5-439F-BC23-EC2F940BE23A}">
            <x14:dataBar minLength="0" maxLength="100" border="1">
              <x14:cfvo type="percent">
                <xm:f>0</xm:f>
              </x14:cfvo>
              <x14:cfvo type="percent">
                <xm:f>100</xm:f>
              </x14:cfvo>
              <x14:borderColor rgb="FFA20067"/>
              <x14:negativeFillColor rgb="FFFF0000"/>
              <x14:axisColor rgb="FFF94607"/>
            </x14:dataBar>
          </x14:cfRule>
          <xm:sqref>OP43</xm:sqref>
        </x14:conditionalFormatting>
        <x14:conditionalFormatting xmlns:xm="http://schemas.microsoft.com/office/excel/2006/main">
          <x14:cfRule type="dataBar" id="{9AFE90A0-DF5E-49D8-BB6A-459412CF8F6A}">
            <x14:dataBar minLength="0" maxLength="100" border="1">
              <x14:cfvo type="percent">
                <xm:f>0</xm:f>
              </x14:cfvo>
              <x14:cfvo type="percent">
                <xm:f>100</xm:f>
              </x14:cfvo>
              <x14:borderColor rgb="FFA20067"/>
              <x14:negativeFillColor rgb="FFFF0000"/>
              <x14:axisColor rgb="FFF94607"/>
            </x14:dataBar>
          </x14:cfRule>
          <xm:sqref>OP45</xm:sqref>
        </x14:conditionalFormatting>
        <x14:conditionalFormatting xmlns:xm="http://schemas.microsoft.com/office/excel/2006/main">
          <x14:cfRule type="dataBar" id="{424B768B-931D-4B36-A7D8-9DC6C363980D}">
            <x14:dataBar minLength="0" maxLength="100" border="1">
              <x14:cfvo type="percent">
                <xm:f>0</xm:f>
              </x14:cfvo>
              <x14:cfvo type="percent">
                <xm:f>100</xm:f>
              </x14:cfvo>
              <x14:borderColor rgb="FFA20067"/>
              <x14:negativeFillColor rgb="FFFF0000"/>
              <x14:axisColor rgb="FFF94607"/>
            </x14:dataBar>
          </x14:cfRule>
          <xm:sqref>OP53</xm:sqref>
        </x14:conditionalFormatting>
        <x14:conditionalFormatting xmlns:xm="http://schemas.microsoft.com/office/excel/2006/main">
          <x14:cfRule type="dataBar" id="{12900C81-DD03-48C3-B28A-AFE498689053}">
            <x14:dataBar minLength="0" maxLength="100" border="1">
              <x14:cfvo type="percent">
                <xm:f>0</xm:f>
              </x14:cfvo>
              <x14:cfvo type="percent">
                <xm:f>100</xm:f>
              </x14:cfvo>
              <x14:borderColor rgb="FFA20067"/>
              <x14:negativeFillColor rgb="FFFF0000"/>
              <x14:axisColor rgb="FFF94607"/>
            </x14:dataBar>
          </x14:cfRule>
          <xm:sqref>OP61</xm:sqref>
        </x14:conditionalFormatting>
        <x14:conditionalFormatting xmlns:xm="http://schemas.microsoft.com/office/excel/2006/main">
          <x14:cfRule type="dataBar" id="{29ED4C2A-B715-442B-856E-121ED38DF131}">
            <x14:dataBar minLength="0" maxLength="100" border="1">
              <x14:cfvo type="percent">
                <xm:f>0</xm:f>
              </x14:cfvo>
              <x14:cfvo type="percent">
                <xm:f>100</xm:f>
              </x14:cfvo>
              <x14:borderColor rgb="FFA20067"/>
              <x14:negativeFillColor rgb="FFFF0000"/>
              <x14:axisColor rgb="FFF94607"/>
            </x14:dataBar>
          </x14:cfRule>
          <xm:sqref>OP64:OP65</xm:sqref>
        </x14:conditionalFormatting>
        <x14:conditionalFormatting xmlns:xm="http://schemas.microsoft.com/office/excel/2006/main">
          <x14:cfRule type="dataBar" id="{0596604B-183C-42B8-BA5A-B09C68A9C844}">
            <x14:dataBar minLength="0" maxLength="100" border="1">
              <x14:cfvo type="percent">
                <xm:f>0</xm:f>
              </x14:cfvo>
              <x14:cfvo type="percent">
                <xm:f>100</xm:f>
              </x14:cfvo>
              <x14:borderColor rgb="FFA20067"/>
              <x14:negativeFillColor rgb="FFFF0000"/>
              <x14:axisColor rgb="FFF94607"/>
            </x14:dataBar>
          </x14:cfRule>
          <xm:sqref>OP79</xm:sqref>
        </x14:conditionalFormatting>
        <x14:conditionalFormatting xmlns:xm="http://schemas.microsoft.com/office/excel/2006/main">
          <x14:cfRule type="dataBar" id="{12749674-B5C7-41ED-8DA1-ED15BE037614}">
            <x14:dataBar minLength="0" maxLength="100" border="1">
              <x14:cfvo type="percent">
                <xm:f>0</xm:f>
              </x14:cfvo>
              <x14:cfvo type="percent">
                <xm:f>100</xm:f>
              </x14:cfvo>
              <x14:borderColor rgb="FFA20067"/>
              <x14:negativeFillColor rgb="FFFF0000"/>
              <x14:axisColor rgb="FFF94607"/>
            </x14:dataBar>
          </x14:cfRule>
          <xm:sqref>OP110</xm:sqref>
        </x14:conditionalFormatting>
        <x14:conditionalFormatting xmlns:xm="http://schemas.microsoft.com/office/excel/2006/main">
          <x14:cfRule type="dataBar" id="{D7750B8A-9665-4E13-A0D7-15879C2E9394}">
            <x14:dataBar minLength="0" maxLength="100" border="1">
              <x14:cfvo type="percent">
                <xm:f>0</xm:f>
              </x14:cfvo>
              <x14:cfvo type="percent">
                <xm:f>100</xm:f>
              </x14:cfvo>
              <x14:borderColor rgb="FFA20067"/>
              <x14:negativeFillColor rgb="FFFF0000"/>
              <x14:axisColor rgb="FFF94607"/>
            </x14:dataBar>
          </x14:cfRule>
          <xm:sqref>OP111</xm:sqref>
        </x14:conditionalFormatting>
        <x14:conditionalFormatting xmlns:xm="http://schemas.microsoft.com/office/excel/2006/main">
          <x14:cfRule type="dataBar" id="{D9539039-0B80-463F-AFC1-BA4B5771FA61}">
            <x14:dataBar minLength="0" maxLength="100" border="1">
              <x14:cfvo type="percent">
                <xm:f>0</xm:f>
              </x14:cfvo>
              <x14:cfvo type="percent">
                <xm:f>100</xm:f>
              </x14:cfvo>
              <x14:borderColor rgb="FFA20067"/>
              <x14:negativeFillColor rgb="FFFF0000"/>
              <x14:axisColor rgb="FFF94607"/>
            </x14:dataBar>
          </x14:cfRule>
          <xm:sqref>OP112:OP115 OP3:OP5 OP7:OP22 OP24:OP29 OP31:OP40 OP42 OP44 OP46:OP52 OP54:OP60 OP62:OP63 OP66:OP78 OP80:OP109</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D6B8-ECA8-47B9-AA0E-8F3CE15F96F0}">
  <sheetPr codeName="Feuil5" filterMode="1">
    <tabColor rgb="FFFF9999"/>
  </sheetPr>
  <dimension ref="A1:OS124"/>
  <sheetViews>
    <sheetView zoomScale="85" zoomScaleNormal="85" workbookViewId="0">
      <pane xSplit="4" topLeftCell="CQ1" activePane="topRight" state="frozen"/>
      <selection pane="topRight" activeCell="EN21" sqref="EN21"/>
    </sheetView>
  </sheetViews>
  <sheetFormatPr baseColWidth="10" defaultColWidth="11.42578125" defaultRowHeight="15" outlineLevelCol="1" x14ac:dyDescent="0.25"/>
  <cols>
    <col min="2" max="2" width="19" bestFit="1" customWidth="1"/>
    <col min="3" max="3" width="26.7109375" bestFit="1" customWidth="1"/>
    <col min="4" max="4" width="28.42578125" bestFit="1" customWidth="1"/>
    <col min="5" max="5" width="5.28515625" hidden="1" customWidth="1"/>
    <col min="6" max="22" width="4.28515625" hidden="1" customWidth="1"/>
    <col min="23" max="23" width="4.42578125" hidden="1" customWidth="1"/>
    <col min="24" max="124" width="4.28515625" hidden="1" customWidth="1"/>
    <col min="125" max="155" width="4.28515625" customWidth="1"/>
    <col min="156" max="369" width="4.28515625" hidden="1" customWidth="1" outlineLevel="1"/>
    <col min="370" max="370" width="4.28515625" style="30" customWidth="1" collapsed="1"/>
    <col min="371" max="371" width="7.28515625" hidden="1" customWidth="1"/>
    <col min="372" max="372" width="9.28515625" hidden="1" customWidth="1"/>
    <col min="373" max="373" width="11.7109375" hidden="1" customWidth="1"/>
    <col min="374" max="379" width="0" hidden="1" customWidth="1"/>
  </cols>
  <sheetData>
    <row r="1" spans="1:409" ht="49.9" customHeight="1" thickBot="1" x14ac:dyDescent="0.3">
      <c r="A1" s="157"/>
      <c r="B1" s="158" t="s">
        <v>138</v>
      </c>
      <c r="C1" s="159">
        <f ca="1">TODAY()</f>
        <v>46161</v>
      </c>
      <c r="D1" s="160" t="s">
        <v>465</v>
      </c>
      <c r="E1" s="124"/>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5"/>
      <c r="DZ1" s="125"/>
      <c r="EA1" s="125"/>
      <c r="EB1" s="125"/>
      <c r="EC1" s="125"/>
      <c r="ED1" s="125"/>
      <c r="EE1" s="125"/>
      <c r="EF1" s="125"/>
      <c r="EG1" s="125"/>
      <c r="EH1" s="125"/>
      <c r="EI1" s="125"/>
      <c r="EJ1" s="125"/>
      <c r="EK1" s="125"/>
      <c r="EL1" s="125"/>
      <c r="EM1" s="125"/>
      <c r="EN1" s="125"/>
      <c r="EO1" s="125"/>
      <c r="EP1" s="125"/>
      <c r="EQ1" s="125"/>
      <c r="ER1" s="125"/>
      <c r="ES1" s="125"/>
      <c r="ET1" s="125"/>
      <c r="EU1" s="125"/>
      <c r="EV1" s="125"/>
      <c r="EW1" s="125"/>
      <c r="EX1" s="125"/>
      <c r="EY1" s="125"/>
      <c r="EZ1" s="125"/>
      <c r="FA1" s="125"/>
      <c r="FB1" s="125"/>
      <c r="FC1" s="125"/>
      <c r="FD1" s="125"/>
      <c r="FE1" s="125"/>
      <c r="FF1" s="125"/>
      <c r="FG1" s="125"/>
      <c r="FH1" s="125"/>
      <c r="FI1" s="125"/>
      <c r="FJ1" s="125"/>
      <c r="FK1" s="125"/>
      <c r="FL1" s="125"/>
      <c r="FM1" s="125"/>
      <c r="FN1" s="125"/>
      <c r="FO1" s="125"/>
      <c r="FP1" s="125"/>
      <c r="FQ1" s="125"/>
      <c r="FR1" s="125"/>
      <c r="FS1" s="125"/>
      <c r="FT1" s="125"/>
      <c r="FU1" s="125"/>
      <c r="FV1" s="125"/>
      <c r="FW1" s="125"/>
      <c r="FX1" s="125"/>
      <c r="FY1" s="125"/>
      <c r="FZ1" s="125"/>
      <c r="GA1" s="125"/>
      <c r="GB1" s="125"/>
      <c r="GC1" s="125"/>
      <c r="GD1" s="125"/>
      <c r="GE1" s="125"/>
      <c r="GF1" s="125"/>
      <c r="GG1" s="125"/>
      <c r="GH1" s="125"/>
      <c r="GI1" s="125"/>
      <c r="GJ1" s="125"/>
      <c r="GK1" s="125"/>
      <c r="GL1" s="125"/>
      <c r="GM1" s="125"/>
      <c r="GN1" s="125"/>
      <c r="GO1" s="125"/>
      <c r="GP1" s="125"/>
      <c r="GQ1" s="125"/>
      <c r="GR1" s="125"/>
      <c r="GS1" s="125"/>
      <c r="GT1" s="125"/>
      <c r="GU1" s="125"/>
      <c r="GV1" s="125"/>
      <c r="GW1" s="125"/>
      <c r="GX1" s="125"/>
      <c r="GY1" s="125"/>
      <c r="GZ1" s="125"/>
      <c r="HA1" s="125"/>
      <c r="HB1" s="125"/>
      <c r="HC1" s="125"/>
      <c r="HD1" s="125"/>
      <c r="HE1" s="125"/>
      <c r="HF1" s="125"/>
      <c r="HG1" s="125"/>
      <c r="HH1" s="125"/>
      <c r="HI1" s="125"/>
      <c r="HJ1" s="125"/>
      <c r="HK1" s="125"/>
      <c r="HL1" s="125"/>
      <c r="HM1" s="125"/>
      <c r="HN1" s="125"/>
      <c r="HO1" s="125"/>
      <c r="HP1" s="125"/>
      <c r="HQ1" s="125"/>
      <c r="HR1" s="125"/>
      <c r="HS1" s="125"/>
      <c r="HT1" s="125"/>
      <c r="HU1" s="125"/>
      <c r="HV1" s="125"/>
      <c r="HW1" s="125"/>
      <c r="HX1" s="125"/>
      <c r="HY1" s="125"/>
      <c r="HZ1" s="125"/>
      <c r="IA1" s="125"/>
      <c r="IB1" s="125"/>
      <c r="IC1" s="125"/>
      <c r="ID1" s="125"/>
      <c r="IE1" s="125"/>
      <c r="IF1" s="125"/>
      <c r="IG1" s="125"/>
      <c r="IH1" s="125"/>
      <c r="II1" s="125"/>
      <c r="IJ1" s="125"/>
      <c r="IK1" s="125"/>
      <c r="IL1" s="125"/>
      <c r="IM1" s="125"/>
      <c r="IN1" s="125"/>
      <c r="IO1" s="125"/>
      <c r="IP1" s="125"/>
      <c r="IQ1" s="125"/>
      <c r="IR1" s="125"/>
      <c r="IS1" s="125"/>
      <c r="IT1" s="125"/>
      <c r="IU1" s="125"/>
      <c r="IV1" s="125"/>
      <c r="IW1" s="125"/>
      <c r="IX1" s="125"/>
      <c r="IY1" s="125"/>
      <c r="IZ1" s="125"/>
      <c r="JA1" s="125"/>
      <c r="JB1" s="125"/>
      <c r="JC1" s="125"/>
      <c r="JD1" s="125"/>
      <c r="JE1" s="125"/>
      <c r="JF1" s="125"/>
      <c r="JG1" s="125"/>
      <c r="JH1" s="125"/>
      <c r="JI1" s="125"/>
      <c r="JJ1" s="125"/>
      <c r="JK1" s="125"/>
      <c r="JL1" s="125"/>
      <c r="JM1" s="125"/>
      <c r="JN1" s="125"/>
      <c r="JO1" s="125"/>
      <c r="JP1" s="125"/>
      <c r="JQ1" s="125"/>
      <c r="JR1" s="125"/>
      <c r="JS1" s="125"/>
      <c r="JT1" s="125"/>
      <c r="JU1" s="125"/>
      <c r="JV1" s="125"/>
      <c r="JW1" s="125"/>
      <c r="JX1" s="125"/>
      <c r="JY1" s="125"/>
      <c r="JZ1" s="125"/>
      <c r="KA1" s="125"/>
      <c r="KB1" s="125"/>
      <c r="KC1" s="125"/>
      <c r="KD1" s="125"/>
      <c r="KE1" s="125"/>
      <c r="KF1" s="125"/>
      <c r="KG1" s="125"/>
      <c r="KH1" s="125"/>
      <c r="KI1" s="125"/>
      <c r="KJ1" s="125"/>
      <c r="KK1" s="125"/>
      <c r="KL1" s="125"/>
      <c r="KM1" s="125"/>
      <c r="KN1" s="125"/>
      <c r="KO1" s="125"/>
      <c r="KP1" s="125"/>
      <c r="KQ1" s="125"/>
      <c r="KR1" s="125"/>
      <c r="KS1" s="125"/>
      <c r="KT1" s="125"/>
      <c r="KU1" s="125"/>
      <c r="KV1" s="125"/>
      <c r="KW1" s="125"/>
      <c r="KX1" s="125"/>
      <c r="KY1" s="125"/>
      <c r="KZ1" s="125"/>
      <c r="LA1" s="125"/>
      <c r="LB1" s="125"/>
      <c r="LC1" s="125"/>
      <c r="LD1" s="125"/>
      <c r="LE1" s="125"/>
      <c r="LF1" s="125"/>
      <c r="LG1" s="125"/>
      <c r="LH1" s="125"/>
      <c r="LI1" s="125"/>
      <c r="LJ1" s="125"/>
      <c r="LK1" s="125"/>
      <c r="LL1" s="125"/>
      <c r="LM1" s="125"/>
      <c r="LN1" s="125"/>
      <c r="LO1" s="125"/>
      <c r="LP1" s="125"/>
      <c r="LQ1" s="125"/>
      <c r="LR1" s="125"/>
      <c r="LS1" s="125"/>
      <c r="LT1" s="125"/>
      <c r="LU1" s="125"/>
      <c r="LV1" s="125"/>
      <c r="LW1" s="125"/>
      <c r="LX1" s="125"/>
      <c r="LY1" s="125"/>
      <c r="LZ1" s="125"/>
      <c r="MA1" s="125"/>
      <c r="MB1" s="125"/>
      <c r="MC1" s="125"/>
      <c r="MD1" s="125"/>
      <c r="ME1" s="125"/>
      <c r="MF1" s="125"/>
      <c r="MG1" s="125"/>
      <c r="MH1" s="125"/>
      <c r="MI1" s="125"/>
      <c r="MJ1" s="125"/>
      <c r="MK1" s="125"/>
      <c r="ML1" s="125"/>
      <c r="MM1" s="125"/>
      <c r="MN1" s="125"/>
      <c r="MO1" s="125"/>
      <c r="MP1" s="125"/>
      <c r="MQ1" s="125"/>
      <c r="MR1" s="125"/>
      <c r="MS1" s="125"/>
      <c r="MT1" s="125"/>
      <c r="MU1" s="125"/>
      <c r="MV1" s="125"/>
      <c r="MW1" s="125"/>
      <c r="MX1" s="125"/>
      <c r="MY1" s="125"/>
      <c r="MZ1" s="125"/>
      <c r="NA1" s="125"/>
      <c r="NB1" s="125"/>
      <c r="NC1" s="125"/>
      <c r="ND1" s="125"/>
      <c r="NE1" s="123"/>
      <c r="NG1" s="499" t="s">
        <v>144</v>
      </c>
      <c r="NH1" s="500"/>
      <c r="NI1" s="501"/>
      <c r="NJ1" s="494" t="s">
        <v>438</v>
      </c>
      <c r="NK1" s="495"/>
      <c r="NL1" s="496"/>
      <c r="NM1" s="494" t="s">
        <v>439</v>
      </c>
      <c r="NN1" s="495"/>
      <c r="NO1" s="496"/>
      <c r="NP1" s="494" t="s">
        <v>147</v>
      </c>
      <c r="NQ1" s="495"/>
      <c r="NR1" s="496"/>
      <c r="NS1" s="494" t="s">
        <v>148</v>
      </c>
      <c r="NT1" s="495"/>
      <c r="NU1" s="496"/>
      <c r="NV1" s="494" t="s">
        <v>149</v>
      </c>
      <c r="NW1" s="495"/>
      <c r="NX1" s="496"/>
      <c r="NY1" s="494" t="s">
        <v>150</v>
      </c>
      <c r="NZ1" s="495"/>
      <c r="OA1" s="496"/>
      <c r="OB1" s="494" t="s">
        <v>151</v>
      </c>
      <c r="OC1" s="495"/>
      <c r="OD1" s="498"/>
      <c r="OE1" s="497" t="s">
        <v>152</v>
      </c>
      <c r="OF1" s="495"/>
      <c r="OG1" s="496"/>
      <c r="OH1" s="494" t="s">
        <v>153</v>
      </c>
      <c r="OI1" s="495"/>
      <c r="OJ1" s="496"/>
      <c r="OK1" s="494" t="s">
        <v>154</v>
      </c>
      <c r="OL1" s="495"/>
      <c r="OM1" s="496"/>
      <c r="ON1" s="494" t="s">
        <v>155</v>
      </c>
      <c r="OO1" s="495"/>
      <c r="OP1" s="495"/>
      <c r="OQ1" s="493" t="s">
        <v>440</v>
      </c>
      <c r="OR1" s="493"/>
      <c r="OS1" s="493"/>
    </row>
    <row r="2" spans="1:409" ht="56.65" customHeight="1" thickBot="1" x14ac:dyDescent="0.3">
      <c r="A2" s="18" t="s">
        <v>140</v>
      </c>
      <c r="B2" s="18" t="s">
        <v>141</v>
      </c>
      <c r="C2" s="99" t="s">
        <v>142</v>
      </c>
      <c r="D2" s="107" t="s">
        <v>143</v>
      </c>
      <c r="E2" s="126">
        <v>46023</v>
      </c>
      <c r="F2" s="109">
        <v>46024</v>
      </c>
      <c r="G2" s="109">
        <v>46025</v>
      </c>
      <c r="H2" s="109">
        <v>46026</v>
      </c>
      <c r="I2" s="109">
        <v>46027</v>
      </c>
      <c r="J2" s="109">
        <v>46028</v>
      </c>
      <c r="K2" s="109">
        <v>46029</v>
      </c>
      <c r="L2" s="109">
        <v>46030</v>
      </c>
      <c r="M2" s="109">
        <v>46031</v>
      </c>
      <c r="N2" s="109">
        <v>46032</v>
      </c>
      <c r="O2" s="109">
        <v>46033</v>
      </c>
      <c r="P2" s="109">
        <v>46034</v>
      </c>
      <c r="Q2" s="109">
        <v>46035</v>
      </c>
      <c r="R2" s="109">
        <v>46036</v>
      </c>
      <c r="S2" s="109">
        <v>46037</v>
      </c>
      <c r="T2" s="109">
        <v>46038</v>
      </c>
      <c r="U2" s="109">
        <v>46039</v>
      </c>
      <c r="V2" s="109">
        <v>46040</v>
      </c>
      <c r="W2" s="109">
        <v>46041</v>
      </c>
      <c r="X2" s="109">
        <v>46042</v>
      </c>
      <c r="Y2" s="109">
        <v>46043</v>
      </c>
      <c r="Z2" s="109">
        <v>46044</v>
      </c>
      <c r="AA2" s="109">
        <v>46045</v>
      </c>
      <c r="AB2" s="109">
        <v>46046</v>
      </c>
      <c r="AC2" s="109">
        <v>46047</v>
      </c>
      <c r="AD2" s="109">
        <v>46048</v>
      </c>
      <c r="AE2" s="109">
        <v>46049</v>
      </c>
      <c r="AF2" s="109">
        <v>46050</v>
      </c>
      <c r="AG2" s="109">
        <v>46051</v>
      </c>
      <c r="AH2" s="109">
        <v>46052</v>
      </c>
      <c r="AI2" s="109">
        <v>46053</v>
      </c>
      <c r="AJ2" s="109">
        <v>46054</v>
      </c>
      <c r="AK2" s="109">
        <v>46055</v>
      </c>
      <c r="AL2" s="109">
        <v>46056</v>
      </c>
      <c r="AM2" s="109">
        <v>46057</v>
      </c>
      <c r="AN2" s="109">
        <v>46058</v>
      </c>
      <c r="AO2" s="109">
        <v>46059</v>
      </c>
      <c r="AP2" s="109">
        <v>46060</v>
      </c>
      <c r="AQ2" s="109">
        <v>46061</v>
      </c>
      <c r="AR2" s="109">
        <v>46062</v>
      </c>
      <c r="AS2" s="109">
        <v>46063</v>
      </c>
      <c r="AT2" s="109">
        <v>46064</v>
      </c>
      <c r="AU2" s="109">
        <v>46065</v>
      </c>
      <c r="AV2" s="109">
        <v>46066</v>
      </c>
      <c r="AW2" s="109">
        <v>46067</v>
      </c>
      <c r="AX2" s="109">
        <v>46068</v>
      </c>
      <c r="AY2" s="109">
        <v>46069</v>
      </c>
      <c r="AZ2" s="109">
        <v>46070</v>
      </c>
      <c r="BA2" s="109">
        <v>46071</v>
      </c>
      <c r="BB2" s="109">
        <v>46072</v>
      </c>
      <c r="BC2" s="109">
        <v>46073</v>
      </c>
      <c r="BD2" s="109">
        <v>46074</v>
      </c>
      <c r="BE2" s="109">
        <v>46075</v>
      </c>
      <c r="BF2" s="109">
        <v>46076</v>
      </c>
      <c r="BG2" s="109">
        <v>46077</v>
      </c>
      <c r="BH2" s="109">
        <v>46078</v>
      </c>
      <c r="BI2" s="109">
        <v>46079</v>
      </c>
      <c r="BJ2" s="109">
        <v>46080</v>
      </c>
      <c r="BK2" s="109">
        <v>46081</v>
      </c>
      <c r="BL2" s="109">
        <v>46082</v>
      </c>
      <c r="BM2" s="109">
        <v>46083</v>
      </c>
      <c r="BN2" s="109">
        <v>46084</v>
      </c>
      <c r="BO2" s="109">
        <v>46085</v>
      </c>
      <c r="BP2" s="109">
        <v>46086</v>
      </c>
      <c r="BQ2" s="109">
        <v>46087</v>
      </c>
      <c r="BR2" s="109">
        <v>46088</v>
      </c>
      <c r="BS2" s="109">
        <v>46089</v>
      </c>
      <c r="BT2" s="109">
        <v>46090</v>
      </c>
      <c r="BU2" s="109">
        <v>46091</v>
      </c>
      <c r="BV2" s="109">
        <v>46092</v>
      </c>
      <c r="BW2" s="109">
        <v>46093</v>
      </c>
      <c r="BX2" s="109">
        <v>46094</v>
      </c>
      <c r="BY2" s="109">
        <v>46095</v>
      </c>
      <c r="BZ2" s="109">
        <v>46096</v>
      </c>
      <c r="CA2" s="109">
        <v>46097</v>
      </c>
      <c r="CB2" s="109">
        <v>46098</v>
      </c>
      <c r="CC2" s="109">
        <v>46099</v>
      </c>
      <c r="CD2" s="109">
        <v>46100</v>
      </c>
      <c r="CE2" s="109">
        <v>46101</v>
      </c>
      <c r="CF2" s="109">
        <v>46102</v>
      </c>
      <c r="CG2" s="109">
        <v>46103</v>
      </c>
      <c r="CH2" s="109">
        <v>46104</v>
      </c>
      <c r="CI2" s="109">
        <v>46105</v>
      </c>
      <c r="CJ2" s="109">
        <v>46106</v>
      </c>
      <c r="CK2" s="109">
        <v>46107</v>
      </c>
      <c r="CL2" s="109">
        <v>46108</v>
      </c>
      <c r="CM2" s="109">
        <v>46109</v>
      </c>
      <c r="CN2" s="109">
        <v>46110</v>
      </c>
      <c r="CO2" s="109">
        <v>46111</v>
      </c>
      <c r="CP2" s="109">
        <v>46112</v>
      </c>
      <c r="CQ2" s="109">
        <v>46113</v>
      </c>
      <c r="CR2" s="109">
        <v>46114</v>
      </c>
      <c r="CS2" s="109">
        <v>46115</v>
      </c>
      <c r="CT2" s="109">
        <v>46116</v>
      </c>
      <c r="CU2" s="109">
        <v>46117</v>
      </c>
      <c r="CV2" s="109">
        <v>46118</v>
      </c>
      <c r="CW2" s="109">
        <v>46119</v>
      </c>
      <c r="CX2" s="109">
        <v>46120</v>
      </c>
      <c r="CY2" s="109">
        <v>46121</v>
      </c>
      <c r="CZ2" s="109">
        <v>46122</v>
      </c>
      <c r="DA2" s="109">
        <v>46123</v>
      </c>
      <c r="DB2" s="109">
        <v>46124</v>
      </c>
      <c r="DC2" s="109">
        <v>46125</v>
      </c>
      <c r="DD2" s="109">
        <v>46126</v>
      </c>
      <c r="DE2" s="109">
        <v>46127</v>
      </c>
      <c r="DF2" s="109">
        <v>46128</v>
      </c>
      <c r="DG2" s="109">
        <v>46129</v>
      </c>
      <c r="DH2" s="109">
        <v>46130</v>
      </c>
      <c r="DI2" s="109">
        <v>46131</v>
      </c>
      <c r="DJ2" s="109">
        <v>46132</v>
      </c>
      <c r="DK2" s="109">
        <v>46133</v>
      </c>
      <c r="DL2" s="109">
        <v>46134</v>
      </c>
      <c r="DM2" s="109">
        <v>46135</v>
      </c>
      <c r="DN2" s="109">
        <v>46136</v>
      </c>
      <c r="DO2" s="109">
        <v>46137</v>
      </c>
      <c r="DP2" s="109">
        <v>46138</v>
      </c>
      <c r="DQ2" s="109">
        <v>46139</v>
      </c>
      <c r="DR2" s="109">
        <v>46140</v>
      </c>
      <c r="DS2" s="109">
        <v>46141</v>
      </c>
      <c r="DT2" s="109">
        <v>46142</v>
      </c>
      <c r="DU2" s="109">
        <v>46143</v>
      </c>
      <c r="DV2" s="109">
        <v>46144</v>
      </c>
      <c r="DW2" s="109">
        <v>46145</v>
      </c>
      <c r="DX2" s="109">
        <v>46146</v>
      </c>
      <c r="DY2" s="109">
        <v>46147</v>
      </c>
      <c r="DZ2" s="109">
        <v>46148</v>
      </c>
      <c r="EA2" s="109">
        <v>46149</v>
      </c>
      <c r="EB2" s="109">
        <v>46150</v>
      </c>
      <c r="EC2" s="109">
        <v>46151</v>
      </c>
      <c r="ED2" s="109">
        <v>46152</v>
      </c>
      <c r="EE2" s="109">
        <v>46153</v>
      </c>
      <c r="EF2" s="109">
        <v>46154</v>
      </c>
      <c r="EG2" s="109">
        <v>46155</v>
      </c>
      <c r="EH2" s="109">
        <v>46156</v>
      </c>
      <c r="EI2" s="109">
        <v>46157</v>
      </c>
      <c r="EJ2" s="109">
        <v>46158</v>
      </c>
      <c r="EK2" s="109">
        <v>46159</v>
      </c>
      <c r="EL2" s="109">
        <v>46160</v>
      </c>
      <c r="EM2" s="109">
        <v>46161</v>
      </c>
      <c r="EN2" s="109">
        <v>46162</v>
      </c>
      <c r="EO2" s="109">
        <v>46163</v>
      </c>
      <c r="EP2" s="109">
        <v>46164</v>
      </c>
      <c r="EQ2" s="109">
        <v>46165</v>
      </c>
      <c r="ER2" s="109">
        <v>46166</v>
      </c>
      <c r="ES2" s="109">
        <v>46167</v>
      </c>
      <c r="ET2" s="109">
        <v>46168</v>
      </c>
      <c r="EU2" s="109">
        <v>46169</v>
      </c>
      <c r="EV2" s="109">
        <v>46170</v>
      </c>
      <c r="EW2" s="109">
        <v>46171</v>
      </c>
      <c r="EX2" s="109">
        <v>46172</v>
      </c>
      <c r="EY2" s="109">
        <v>46173</v>
      </c>
      <c r="EZ2" s="109">
        <v>46174</v>
      </c>
      <c r="FA2" s="109">
        <v>46175</v>
      </c>
      <c r="FB2" s="109">
        <v>46176</v>
      </c>
      <c r="FC2" s="109">
        <v>46177</v>
      </c>
      <c r="FD2" s="109">
        <v>46178</v>
      </c>
      <c r="FE2" s="109">
        <v>46179</v>
      </c>
      <c r="FF2" s="109">
        <v>46180</v>
      </c>
      <c r="FG2" s="109">
        <v>46181</v>
      </c>
      <c r="FH2" s="109">
        <v>46182</v>
      </c>
      <c r="FI2" s="109">
        <v>46183</v>
      </c>
      <c r="FJ2" s="109">
        <v>46184</v>
      </c>
      <c r="FK2" s="109">
        <v>46185</v>
      </c>
      <c r="FL2" s="109">
        <v>46186</v>
      </c>
      <c r="FM2" s="109">
        <v>46187</v>
      </c>
      <c r="FN2" s="109">
        <v>46188</v>
      </c>
      <c r="FO2" s="109">
        <v>46189</v>
      </c>
      <c r="FP2" s="109">
        <v>46190</v>
      </c>
      <c r="FQ2" s="109">
        <v>46191</v>
      </c>
      <c r="FR2" s="109">
        <v>46192</v>
      </c>
      <c r="FS2" s="109">
        <v>46193</v>
      </c>
      <c r="FT2" s="109">
        <v>46194</v>
      </c>
      <c r="FU2" s="109">
        <v>46195</v>
      </c>
      <c r="FV2" s="109">
        <v>46196</v>
      </c>
      <c r="FW2" s="109">
        <v>46197</v>
      </c>
      <c r="FX2" s="109">
        <v>46198</v>
      </c>
      <c r="FY2" s="109">
        <v>46199</v>
      </c>
      <c r="FZ2" s="109">
        <v>46200</v>
      </c>
      <c r="GA2" s="109">
        <v>46201</v>
      </c>
      <c r="GB2" s="109">
        <v>46202</v>
      </c>
      <c r="GC2" s="109">
        <v>46203</v>
      </c>
      <c r="GD2" s="109">
        <v>46204</v>
      </c>
      <c r="GE2" s="109">
        <v>46205</v>
      </c>
      <c r="GF2" s="109">
        <v>46206</v>
      </c>
      <c r="GG2" s="109">
        <v>46207</v>
      </c>
      <c r="GH2" s="109">
        <v>46208</v>
      </c>
      <c r="GI2" s="109">
        <v>46209</v>
      </c>
      <c r="GJ2" s="109">
        <v>46210</v>
      </c>
      <c r="GK2" s="109">
        <v>46211</v>
      </c>
      <c r="GL2" s="109">
        <v>46212</v>
      </c>
      <c r="GM2" s="109">
        <v>46213</v>
      </c>
      <c r="GN2" s="109">
        <v>46214</v>
      </c>
      <c r="GO2" s="109">
        <v>46215</v>
      </c>
      <c r="GP2" s="109">
        <v>46216</v>
      </c>
      <c r="GQ2" s="109">
        <v>46217</v>
      </c>
      <c r="GR2" s="109">
        <v>46218</v>
      </c>
      <c r="GS2" s="109">
        <v>46219</v>
      </c>
      <c r="GT2" s="109">
        <v>46220</v>
      </c>
      <c r="GU2" s="109">
        <v>46221</v>
      </c>
      <c r="GV2" s="109">
        <v>46222</v>
      </c>
      <c r="GW2" s="109">
        <v>46223</v>
      </c>
      <c r="GX2" s="109">
        <v>46224</v>
      </c>
      <c r="GY2" s="109">
        <v>46225</v>
      </c>
      <c r="GZ2" s="109">
        <v>46226</v>
      </c>
      <c r="HA2" s="109">
        <v>46227</v>
      </c>
      <c r="HB2" s="109">
        <v>46228</v>
      </c>
      <c r="HC2" s="109">
        <v>46229</v>
      </c>
      <c r="HD2" s="109">
        <v>46230</v>
      </c>
      <c r="HE2" s="109">
        <v>46231</v>
      </c>
      <c r="HF2" s="109">
        <v>46232</v>
      </c>
      <c r="HG2" s="109">
        <v>46233</v>
      </c>
      <c r="HH2" s="109">
        <v>46234</v>
      </c>
      <c r="HI2" s="109">
        <v>46235</v>
      </c>
      <c r="HJ2" s="109">
        <v>46236</v>
      </c>
      <c r="HK2" s="109">
        <v>46237</v>
      </c>
      <c r="HL2" s="109">
        <v>46238</v>
      </c>
      <c r="HM2" s="109">
        <v>46239</v>
      </c>
      <c r="HN2" s="109">
        <v>46240</v>
      </c>
      <c r="HO2" s="109">
        <v>46241</v>
      </c>
      <c r="HP2" s="109">
        <v>46242</v>
      </c>
      <c r="HQ2" s="109">
        <v>46243</v>
      </c>
      <c r="HR2" s="109">
        <v>46244</v>
      </c>
      <c r="HS2" s="109">
        <v>46245</v>
      </c>
      <c r="HT2" s="109">
        <v>46246</v>
      </c>
      <c r="HU2" s="109">
        <v>46247</v>
      </c>
      <c r="HV2" s="109">
        <v>46248</v>
      </c>
      <c r="HW2" s="109">
        <v>46249</v>
      </c>
      <c r="HX2" s="109">
        <v>46250</v>
      </c>
      <c r="HY2" s="109">
        <v>46251</v>
      </c>
      <c r="HZ2" s="109">
        <v>46252</v>
      </c>
      <c r="IA2" s="109">
        <v>46253</v>
      </c>
      <c r="IB2" s="109">
        <v>46254</v>
      </c>
      <c r="IC2" s="109">
        <v>46255</v>
      </c>
      <c r="ID2" s="109">
        <v>46256</v>
      </c>
      <c r="IE2" s="109">
        <v>46257</v>
      </c>
      <c r="IF2" s="109">
        <v>46258</v>
      </c>
      <c r="IG2" s="109">
        <v>46259</v>
      </c>
      <c r="IH2" s="109">
        <v>46260</v>
      </c>
      <c r="II2" s="109">
        <v>46261</v>
      </c>
      <c r="IJ2" s="109">
        <v>46262</v>
      </c>
      <c r="IK2" s="109">
        <v>46263</v>
      </c>
      <c r="IL2" s="109">
        <v>46264</v>
      </c>
      <c r="IM2" s="109">
        <v>46265</v>
      </c>
      <c r="IN2" s="109">
        <v>46266</v>
      </c>
      <c r="IO2" s="109">
        <v>46267</v>
      </c>
      <c r="IP2" s="109">
        <v>46268</v>
      </c>
      <c r="IQ2" s="109">
        <v>46269</v>
      </c>
      <c r="IR2" s="109">
        <v>46270</v>
      </c>
      <c r="IS2" s="109">
        <v>46271</v>
      </c>
      <c r="IT2" s="109">
        <v>46272</v>
      </c>
      <c r="IU2" s="109">
        <v>46273</v>
      </c>
      <c r="IV2" s="109">
        <v>46274</v>
      </c>
      <c r="IW2" s="109">
        <v>46275</v>
      </c>
      <c r="IX2" s="109">
        <v>46276</v>
      </c>
      <c r="IY2" s="109">
        <v>46277</v>
      </c>
      <c r="IZ2" s="109">
        <v>46278</v>
      </c>
      <c r="JA2" s="109">
        <v>46279</v>
      </c>
      <c r="JB2" s="109">
        <v>46280</v>
      </c>
      <c r="JC2" s="109">
        <v>46281</v>
      </c>
      <c r="JD2" s="109">
        <v>46282</v>
      </c>
      <c r="JE2" s="109">
        <v>46283</v>
      </c>
      <c r="JF2" s="109">
        <v>46284</v>
      </c>
      <c r="JG2" s="109">
        <v>46285</v>
      </c>
      <c r="JH2" s="109">
        <v>46286</v>
      </c>
      <c r="JI2" s="109">
        <v>46287</v>
      </c>
      <c r="JJ2" s="109">
        <v>46288</v>
      </c>
      <c r="JK2" s="109">
        <v>46289</v>
      </c>
      <c r="JL2" s="109">
        <v>46290</v>
      </c>
      <c r="JM2" s="109">
        <v>46291</v>
      </c>
      <c r="JN2" s="109">
        <v>46292</v>
      </c>
      <c r="JO2" s="109">
        <v>46293</v>
      </c>
      <c r="JP2" s="109">
        <v>46294</v>
      </c>
      <c r="JQ2" s="109">
        <v>46295</v>
      </c>
      <c r="JR2" s="109">
        <v>46296</v>
      </c>
      <c r="JS2" s="109">
        <v>46297</v>
      </c>
      <c r="JT2" s="109">
        <v>46298</v>
      </c>
      <c r="JU2" s="109">
        <v>46299</v>
      </c>
      <c r="JV2" s="109">
        <v>46300</v>
      </c>
      <c r="JW2" s="109">
        <v>46301</v>
      </c>
      <c r="JX2" s="109">
        <v>46302</v>
      </c>
      <c r="JY2" s="109">
        <v>46303</v>
      </c>
      <c r="JZ2" s="109">
        <v>46304</v>
      </c>
      <c r="KA2" s="109">
        <v>46305</v>
      </c>
      <c r="KB2" s="109">
        <v>46306</v>
      </c>
      <c r="KC2" s="109">
        <v>46307</v>
      </c>
      <c r="KD2" s="109">
        <v>46308</v>
      </c>
      <c r="KE2" s="109">
        <v>46309</v>
      </c>
      <c r="KF2" s="109">
        <v>46310</v>
      </c>
      <c r="KG2" s="109">
        <v>46311</v>
      </c>
      <c r="KH2" s="109">
        <v>46312</v>
      </c>
      <c r="KI2" s="109">
        <v>46313</v>
      </c>
      <c r="KJ2" s="109">
        <v>46314</v>
      </c>
      <c r="KK2" s="109">
        <v>46315</v>
      </c>
      <c r="KL2" s="109">
        <v>46316</v>
      </c>
      <c r="KM2" s="109">
        <v>46317</v>
      </c>
      <c r="KN2" s="109">
        <v>46318</v>
      </c>
      <c r="KO2" s="109">
        <v>46319</v>
      </c>
      <c r="KP2" s="109">
        <v>46320</v>
      </c>
      <c r="KQ2" s="109">
        <v>46321</v>
      </c>
      <c r="KR2" s="109">
        <v>46322</v>
      </c>
      <c r="KS2" s="109">
        <v>46323</v>
      </c>
      <c r="KT2" s="109">
        <v>46324</v>
      </c>
      <c r="KU2" s="109">
        <v>46325</v>
      </c>
      <c r="KV2" s="109">
        <v>46326</v>
      </c>
      <c r="KW2" s="109">
        <v>46327</v>
      </c>
      <c r="KX2" s="109">
        <v>46328</v>
      </c>
      <c r="KY2" s="109">
        <v>46329</v>
      </c>
      <c r="KZ2" s="109">
        <v>46330</v>
      </c>
      <c r="LA2" s="109">
        <v>46331</v>
      </c>
      <c r="LB2" s="109">
        <v>46332</v>
      </c>
      <c r="LC2" s="109">
        <v>46333</v>
      </c>
      <c r="LD2" s="109">
        <v>46334</v>
      </c>
      <c r="LE2" s="109">
        <v>46335</v>
      </c>
      <c r="LF2" s="109">
        <v>46336</v>
      </c>
      <c r="LG2" s="109">
        <v>46337</v>
      </c>
      <c r="LH2" s="109">
        <v>46338</v>
      </c>
      <c r="LI2" s="109">
        <v>46339</v>
      </c>
      <c r="LJ2" s="109">
        <v>46340</v>
      </c>
      <c r="LK2" s="109">
        <v>46341</v>
      </c>
      <c r="LL2" s="109">
        <v>46342</v>
      </c>
      <c r="LM2" s="109">
        <v>46343</v>
      </c>
      <c r="LN2" s="109">
        <v>46344</v>
      </c>
      <c r="LO2" s="109">
        <v>46345</v>
      </c>
      <c r="LP2" s="109">
        <v>46346</v>
      </c>
      <c r="LQ2" s="109">
        <v>46347</v>
      </c>
      <c r="LR2" s="109">
        <v>46348</v>
      </c>
      <c r="LS2" s="109">
        <v>46349</v>
      </c>
      <c r="LT2" s="109">
        <v>46350</v>
      </c>
      <c r="LU2" s="109">
        <v>46351</v>
      </c>
      <c r="LV2" s="109">
        <v>46352</v>
      </c>
      <c r="LW2" s="109">
        <v>46353</v>
      </c>
      <c r="LX2" s="109">
        <v>46354</v>
      </c>
      <c r="LY2" s="109">
        <v>46355</v>
      </c>
      <c r="LZ2" s="109">
        <v>46356</v>
      </c>
      <c r="MA2" s="109">
        <v>46357</v>
      </c>
      <c r="MB2" s="109">
        <v>46358</v>
      </c>
      <c r="MC2" s="109">
        <v>46359</v>
      </c>
      <c r="MD2" s="109">
        <v>46360</v>
      </c>
      <c r="ME2" s="109">
        <v>46361</v>
      </c>
      <c r="MF2" s="109">
        <v>46362</v>
      </c>
      <c r="MG2" s="109">
        <v>46363</v>
      </c>
      <c r="MH2" s="109">
        <v>46364</v>
      </c>
      <c r="MI2" s="109">
        <v>46365</v>
      </c>
      <c r="MJ2" s="109">
        <v>46366</v>
      </c>
      <c r="MK2" s="109">
        <v>46367</v>
      </c>
      <c r="ML2" s="109">
        <v>46368</v>
      </c>
      <c r="MM2" s="109">
        <v>46369</v>
      </c>
      <c r="MN2" s="109">
        <v>46370</v>
      </c>
      <c r="MO2" s="109">
        <v>46371</v>
      </c>
      <c r="MP2" s="109">
        <v>46372</v>
      </c>
      <c r="MQ2" s="109">
        <v>46373</v>
      </c>
      <c r="MR2" s="109">
        <v>46374</v>
      </c>
      <c r="MS2" s="109">
        <v>46375</v>
      </c>
      <c r="MT2" s="109">
        <v>46376</v>
      </c>
      <c r="MU2" s="109">
        <v>46377</v>
      </c>
      <c r="MV2" s="109">
        <v>46378</v>
      </c>
      <c r="MW2" s="109">
        <v>46379</v>
      </c>
      <c r="MX2" s="109">
        <v>46380</v>
      </c>
      <c r="MY2" s="109">
        <v>46381</v>
      </c>
      <c r="MZ2" s="109">
        <v>46382</v>
      </c>
      <c r="NA2" s="109">
        <v>46383</v>
      </c>
      <c r="NB2" s="109">
        <v>46384</v>
      </c>
      <c r="NC2" s="109">
        <v>46385</v>
      </c>
      <c r="ND2" s="109">
        <v>46386</v>
      </c>
      <c r="NE2" s="127">
        <v>46387</v>
      </c>
      <c r="NF2" s="120"/>
      <c r="NG2" s="121" t="s">
        <v>466</v>
      </c>
      <c r="NH2" s="122" t="s">
        <v>442</v>
      </c>
      <c r="NI2" s="134" t="s">
        <v>443</v>
      </c>
      <c r="NJ2" s="121" t="s">
        <v>466</v>
      </c>
      <c r="NK2" s="122" t="s">
        <v>442</v>
      </c>
      <c r="NL2" s="134" t="s">
        <v>443</v>
      </c>
      <c r="NM2" s="121" t="s">
        <v>466</v>
      </c>
      <c r="NN2" s="122" t="s">
        <v>442</v>
      </c>
      <c r="NO2" s="134" t="s">
        <v>443</v>
      </c>
      <c r="NP2" s="121" t="s">
        <v>466</v>
      </c>
      <c r="NQ2" s="122" t="s">
        <v>442</v>
      </c>
      <c r="NR2" s="134" t="s">
        <v>443</v>
      </c>
      <c r="NS2" s="121" t="s">
        <v>466</v>
      </c>
      <c r="NT2" s="122" t="s">
        <v>442</v>
      </c>
      <c r="NU2" s="134" t="s">
        <v>443</v>
      </c>
      <c r="NV2" s="121" t="s">
        <v>466</v>
      </c>
      <c r="NW2" s="122" t="s">
        <v>442</v>
      </c>
      <c r="NX2" s="134" t="s">
        <v>443</v>
      </c>
      <c r="NY2" s="121" t="s">
        <v>466</v>
      </c>
      <c r="NZ2" s="122" t="s">
        <v>442</v>
      </c>
      <c r="OA2" s="134" t="s">
        <v>443</v>
      </c>
      <c r="OB2" s="121" t="s">
        <v>466</v>
      </c>
      <c r="OC2" s="122" t="s">
        <v>442</v>
      </c>
      <c r="OD2" s="134" t="s">
        <v>443</v>
      </c>
      <c r="OE2" s="121" t="s">
        <v>466</v>
      </c>
      <c r="OF2" s="122" t="s">
        <v>442</v>
      </c>
      <c r="OG2" s="134" t="s">
        <v>443</v>
      </c>
      <c r="OH2" s="121" t="s">
        <v>466</v>
      </c>
      <c r="OI2" s="122" t="s">
        <v>442</v>
      </c>
      <c r="OJ2" s="134" t="s">
        <v>443</v>
      </c>
      <c r="OK2" s="121" t="s">
        <v>466</v>
      </c>
      <c r="OL2" s="122" t="s">
        <v>442</v>
      </c>
      <c r="OM2" s="134" t="s">
        <v>443</v>
      </c>
      <c r="ON2" s="121" t="s">
        <v>466</v>
      </c>
      <c r="OO2" s="122" t="s">
        <v>442</v>
      </c>
      <c r="OP2" s="134" t="s">
        <v>443</v>
      </c>
      <c r="OQ2" s="121" t="s">
        <v>466</v>
      </c>
      <c r="OR2" s="122" t="s">
        <v>442</v>
      </c>
      <c r="OS2" s="137" t="s">
        <v>467</v>
      </c>
    </row>
    <row r="3" spans="1:409" hidden="1" x14ac:dyDescent="0.25">
      <c r="A3" s="93" t="s">
        <v>159</v>
      </c>
      <c r="B3" s="93" t="s">
        <v>45</v>
      </c>
      <c r="C3" s="91" t="s">
        <v>160</v>
      </c>
      <c r="D3" s="91" t="s">
        <v>161</v>
      </c>
      <c r="E3" s="128"/>
      <c r="F3" s="110"/>
      <c r="G3" s="110"/>
      <c r="H3" s="110"/>
      <c r="I3" s="25"/>
      <c r="J3" s="25"/>
      <c r="K3" s="25"/>
      <c r="L3" s="25"/>
      <c r="M3" s="25"/>
      <c r="N3" s="110"/>
      <c r="O3" s="110"/>
      <c r="P3" s="25"/>
      <c r="Q3" s="25"/>
      <c r="R3" s="25"/>
      <c r="S3" s="25"/>
      <c r="T3" s="25"/>
      <c r="U3" s="110"/>
      <c r="V3" s="110"/>
      <c r="W3" s="25"/>
      <c r="X3" s="25"/>
      <c r="Y3" s="25"/>
      <c r="Z3" s="25"/>
      <c r="AA3" s="25"/>
      <c r="AB3" s="110"/>
      <c r="AC3" s="110"/>
      <c r="AD3" s="25"/>
      <c r="AE3" s="25"/>
      <c r="AF3" s="25"/>
      <c r="AG3" s="25"/>
      <c r="AH3" s="25"/>
      <c r="AI3" s="110"/>
      <c r="AJ3" s="110"/>
      <c r="AK3" s="25"/>
      <c r="AL3" s="25"/>
      <c r="AM3" s="25"/>
      <c r="AN3" s="25"/>
      <c r="AO3" s="25"/>
      <c r="AP3" s="110"/>
      <c r="AQ3" s="110"/>
      <c r="AR3" s="25"/>
      <c r="AS3" s="25"/>
      <c r="AT3" s="25"/>
      <c r="AU3" s="25"/>
      <c r="AV3" s="25"/>
      <c r="AW3" s="110"/>
      <c r="AX3" s="110"/>
      <c r="AY3" s="25"/>
      <c r="AZ3" s="25"/>
      <c r="BA3" s="25"/>
      <c r="BB3" s="25"/>
      <c r="BC3" s="25"/>
      <c r="BD3" s="110"/>
      <c r="BE3" s="110"/>
      <c r="BF3" s="25"/>
      <c r="BG3" s="25"/>
      <c r="BH3" s="25"/>
      <c r="BI3" s="25"/>
      <c r="BJ3" s="25"/>
      <c r="BK3" s="110"/>
      <c r="BL3" s="110"/>
      <c r="BM3" s="25"/>
      <c r="BN3" s="25"/>
      <c r="BO3" s="25"/>
      <c r="BP3" s="25"/>
      <c r="BQ3" s="25"/>
      <c r="BR3" s="110"/>
      <c r="BS3" s="110"/>
      <c r="BT3" s="25"/>
      <c r="BU3" s="25"/>
      <c r="BV3" s="25"/>
      <c r="BW3" s="25"/>
      <c r="BX3" s="25"/>
      <c r="BY3" s="110"/>
      <c r="BZ3" s="110"/>
      <c r="CA3" s="25"/>
      <c r="CB3" s="25"/>
      <c r="CC3" s="25"/>
      <c r="CD3" s="25"/>
      <c r="CE3" s="25"/>
      <c r="CF3" s="110"/>
      <c r="CG3" s="110"/>
      <c r="CH3" s="25"/>
      <c r="CI3" s="25"/>
      <c r="CJ3" s="25"/>
      <c r="CK3" s="25"/>
      <c r="CL3" s="25"/>
      <c r="CM3" s="110"/>
      <c r="CN3" s="110"/>
      <c r="CO3" s="25"/>
      <c r="CP3" s="25"/>
      <c r="CQ3" s="25"/>
      <c r="CR3" s="25"/>
      <c r="CS3" s="25"/>
      <c r="CT3" s="110"/>
      <c r="CU3" s="110"/>
      <c r="CV3" s="110"/>
      <c r="CW3" s="25"/>
      <c r="CX3" s="25"/>
      <c r="CY3" s="25"/>
      <c r="CZ3" s="25"/>
      <c r="DA3" s="110"/>
      <c r="DB3" s="110"/>
      <c r="DC3" s="25"/>
      <c r="DD3" s="25"/>
      <c r="DE3" s="25"/>
      <c r="DF3" s="25"/>
      <c r="DG3" s="25"/>
      <c r="DH3" s="110"/>
      <c r="DI3" s="110"/>
      <c r="DJ3" s="25"/>
      <c r="DK3" s="25"/>
      <c r="DL3" s="25"/>
      <c r="DM3" s="25"/>
      <c r="DN3" s="25"/>
      <c r="DO3" s="110"/>
      <c r="DP3" s="110"/>
      <c r="DQ3" s="25"/>
      <c r="DR3" s="25"/>
      <c r="DS3" s="25"/>
      <c r="DT3" s="25"/>
      <c r="DU3" s="110"/>
      <c r="DV3" s="110"/>
      <c r="DW3" s="110"/>
      <c r="DX3" s="25"/>
      <c r="DY3" s="25"/>
      <c r="DZ3" s="25"/>
      <c r="EA3" s="25"/>
      <c r="EB3" s="110" t="s">
        <v>445</v>
      </c>
      <c r="EC3" s="110"/>
      <c r="ED3" s="110"/>
      <c r="EE3" s="25"/>
      <c r="EF3" s="25"/>
      <c r="EG3" s="25"/>
      <c r="EH3" s="110" t="s">
        <v>445</v>
      </c>
      <c r="EI3" s="110" t="s">
        <v>445</v>
      </c>
      <c r="EJ3" s="110"/>
      <c r="EK3" s="110"/>
      <c r="EL3" s="25"/>
      <c r="EM3" s="25"/>
      <c r="EN3" s="25"/>
      <c r="EO3" s="25"/>
      <c r="EP3" s="25"/>
      <c r="EQ3" s="110"/>
      <c r="ER3" s="110"/>
      <c r="ES3" s="110" t="s">
        <v>445</v>
      </c>
      <c r="ET3" s="25"/>
      <c r="EU3" s="25"/>
      <c r="EV3" s="25"/>
      <c r="EW3" s="25"/>
      <c r="EX3" s="110"/>
      <c r="EY3" s="110"/>
      <c r="EZ3" s="25"/>
      <c r="FA3" s="25"/>
      <c r="FB3" s="25"/>
      <c r="FC3" s="25"/>
      <c r="FD3" s="25"/>
      <c r="FE3" s="110"/>
      <c r="FF3" s="110"/>
      <c r="FG3" s="25"/>
      <c r="FH3" s="25"/>
      <c r="FI3" s="25"/>
      <c r="FJ3" s="25"/>
      <c r="FK3" s="25"/>
      <c r="FL3" s="110"/>
      <c r="FM3" s="110"/>
      <c r="FN3" s="25"/>
      <c r="FO3" s="25"/>
      <c r="FP3" s="25"/>
      <c r="FQ3" s="25"/>
      <c r="FR3" s="25"/>
      <c r="FS3" s="110"/>
      <c r="FT3" s="110"/>
      <c r="FU3" s="25"/>
      <c r="FV3" s="25"/>
      <c r="FW3" s="25"/>
      <c r="FX3" s="25"/>
      <c r="FY3" s="25"/>
      <c r="FZ3" s="110"/>
      <c r="GA3" s="110"/>
      <c r="GB3" s="25"/>
      <c r="GC3" s="25"/>
      <c r="GD3" s="25"/>
      <c r="GE3" s="25"/>
      <c r="GF3" s="25"/>
      <c r="GG3" s="110"/>
      <c r="GH3" s="110"/>
      <c r="GI3" s="25"/>
      <c r="GJ3" s="25"/>
      <c r="GK3" s="25"/>
      <c r="GL3" s="25"/>
      <c r="GM3" s="25"/>
      <c r="GN3" s="110"/>
      <c r="GO3" s="110"/>
      <c r="GP3" s="110"/>
      <c r="GQ3" s="110" t="s">
        <v>445</v>
      </c>
      <c r="GR3" s="25"/>
      <c r="GS3" s="25"/>
      <c r="GT3" s="25"/>
      <c r="GU3" s="110"/>
      <c r="GV3" s="110"/>
      <c r="GW3" s="25"/>
      <c r="GX3" s="25"/>
      <c r="GY3" s="25"/>
      <c r="GZ3" s="25"/>
      <c r="HA3" s="25"/>
      <c r="HB3" s="110"/>
      <c r="HC3" s="110"/>
      <c r="HD3" s="25"/>
      <c r="HE3" s="25"/>
      <c r="HF3" s="25"/>
      <c r="HG3" s="25"/>
      <c r="HH3" s="25"/>
      <c r="HI3" s="110"/>
      <c r="HJ3" s="110"/>
      <c r="HK3" s="25"/>
      <c r="HL3" s="25"/>
      <c r="HM3" s="25"/>
      <c r="HN3" s="25"/>
      <c r="HO3" s="25"/>
      <c r="HP3" s="110"/>
      <c r="HQ3" s="110"/>
      <c r="HR3" s="25"/>
      <c r="HS3" s="25"/>
      <c r="HT3" s="25"/>
      <c r="HU3" s="25"/>
      <c r="HV3" s="25"/>
      <c r="HW3" s="110"/>
      <c r="HX3" s="110"/>
      <c r="HY3" s="25"/>
      <c r="HZ3" s="25"/>
      <c r="IA3" s="25"/>
      <c r="IB3" s="25"/>
      <c r="IC3" s="25"/>
      <c r="ID3" s="110"/>
      <c r="IE3" s="110"/>
      <c r="IF3" s="25"/>
      <c r="IG3" s="25"/>
      <c r="IH3" s="25"/>
      <c r="II3" s="25"/>
      <c r="IJ3" s="25"/>
      <c r="IK3" s="110"/>
      <c r="IL3" s="110"/>
      <c r="IM3" s="25"/>
      <c r="IN3" s="25"/>
      <c r="IO3" s="25"/>
      <c r="IP3" s="25"/>
      <c r="IQ3" s="25"/>
      <c r="IR3" s="110"/>
      <c r="IS3" s="110"/>
      <c r="IT3" s="25"/>
      <c r="IU3" s="25"/>
      <c r="IV3" s="25"/>
      <c r="IW3" s="25"/>
      <c r="IX3" s="25"/>
      <c r="IY3" s="110"/>
      <c r="IZ3" s="110"/>
      <c r="JA3" s="25"/>
      <c r="JB3" s="25"/>
      <c r="JC3" s="25"/>
      <c r="JD3" s="25"/>
      <c r="JE3" s="25"/>
      <c r="JF3" s="110"/>
      <c r="JG3" s="110"/>
      <c r="JH3" s="25"/>
      <c r="JI3" s="25"/>
      <c r="JJ3" s="25"/>
      <c r="JK3" s="25"/>
      <c r="JL3" s="25"/>
      <c r="JM3" s="110"/>
      <c r="JN3" s="110"/>
      <c r="JO3" s="25"/>
      <c r="JP3" s="25"/>
      <c r="JQ3" s="25"/>
      <c r="JR3" s="25"/>
      <c r="JS3" s="25"/>
      <c r="JT3" s="110"/>
      <c r="JU3" s="110"/>
      <c r="JV3" s="25"/>
      <c r="JW3" s="25"/>
      <c r="JX3" s="25"/>
      <c r="JY3" s="25"/>
      <c r="JZ3" s="25"/>
      <c r="KA3" s="110"/>
      <c r="KB3" s="110"/>
      <c r="KC3" s="25"/>
      <c r="KD3" s="25"/>
      <c r="KE3" s="25"/>
      <c r="KF3" s="25"/>
      <c r="KG3" s="25"/>
      <c r="KH3" s="110"/>
      <c r="KI3" s="110"/>
      <c r="KJ3" s="25"/>
      <c r="KK3" s="25"/>
      <c r="KL3" s="25"/>
      <c r="KM3" s="25"/>
      <c r="KN3" s="25"/>
      <c r="KO3" s="110"/>
      <c r="KP3" s="110"/>
      <c r="KQ3" s="25"/>
      <c r="KR3" s="25"/>
      <c r="KS3" s="25"/>
      <c r="KT3" s="25"/>
      <c r="KU3" s="25"/>
      <c r="KV3" s="110"/>
      <c r="KW3" s="110"/>
      <c r="KX3" s="25"/>
      <c r="KY3" s="25"/>
      <c r="KZ3" s="25"/>
      <c r="LA3" s="25"/>
      <c r="LB3" s="25"/>
      <c r="LC3" s="110"/>
      <c r="LD3" s="110"/>
      <c r="LE3" s="25"/>
      <c r="LF3" s="25"/>
      <c r="LG3" s="110" t="s">
        <v>445</v>
      </c>
      <c r="LH3" s="25"/>
      <c r="LI3" s="25"/>
      <c r="LJ3" s="110"/>
      <c r="LK3" s="110"/>
      <c r="LL3" s="25"/>
      <c r="LM3" s="25"/>
      <c r="LN3" s="25"/>
      <c r="LO3" s="25"/>
      <c r="LP3" s="25"/>
      <c r="LQ3" s="110"/>
      <c r="LR3" s="110"/>
      <c r="LS3" s="25"/>
      <c r="LT3" s="25"/>
      <c r="LU3" s="25"/>
      <c r="LV3" s="25"/>
      <c r="LW3" s="25"/>
      <c r="LX3" s="110"/>
      <c r="LY3" s="110"/>
      <c r="LZ3" s="25"/>
      <c r="MA3" s="25"/>
      <c r="MB3" s="25"/>
      <c r="MC3" s="25"/>
      <c r="MD3" s="25"/>
      <c r="ME3" s="110"/>
      <c r="MF3" s="110"/>
      <c r="MG3" s="25"/>
      <c r="MH3" s="25"/>
      <c r="MI3" s="25"/>
      <c r="MJ3" s="25"/>
      <c r="MK3" s="25"/>
      <c r="ML3" s="110"/>
      <c r="MM3" s="110"/>
      <c r="MN3" s="25"/>
      <c r="MO3" s="25"/>
      <c r="MP3" s="25"/>
      <c r="MQ3" s="25"/>
      <c r="MR3" s="25"/>
      <c r="MS3" s="110"/>
      <c r="MT3" s="110"/>
      <c r="MU3" s="25"/>
      <c r="MV3" s="25"/>
      <c r="MW3" s="25"/>
      <c r="MX3" s="25"/>
      <c r="MY3" s="25"/>
      <c r="MZ3" s="110"/>
      <c r="NA3" s="110"/>
      <c r="NB3" s="25"/>
      <c r="NC3" s="25"/>
      <c r="ND3" s="25"/>
      <c r="NE3" s="129"/>
      <c r="NF3" s="111"/>
      <c r="NG3" s="32">
        <f t="shared" ref="NG3:NG47" si="0">SUM(E3:AI3)</f>
        <v>0</v>
      </c>
      <c r="NH3" s="32" cm="1">
        <f t="array" ref="NH3">NETWORKDAYS($I$2,$AI$2)- SUM(COUNTIF(I3:AI3,{"I";"F";"CP";"R";"P";"AC";"AM"}))</f>
        <v>20</v>
      </c>
      <c r="NI3" s="138">
        <f t="shared" ref="NI3:NI47" si="1">NG3/NH3</f>
        <v>0</v>
      </c>
      <c r="NJ3" s="32">
        <f t="shared" ref="NJ3:NJ47" si="2">SUM(AJ3:BK3)</f>
        <v>0</v>
      </c>
      <c r="NK3" s="32" cm="1">
        <f t="array" ref="NK3">NETWORKDAYS($AJ$2,$BK$2)- SUM(COUNTIF(AJ3:BK3,{"I";"F";"CP";"R";"P";"AC";"AM"}))</f>
        <v>20</v>
      </c>
      <c r="NL3" s="138">
        <f t="shared" ref="NL3:NL47" si="3">NJ3/NK3</f>
        <v>0</v>
      </c>
      <c r="NM3" s="32">
        <f t="shared" ref="NM3:NM47" si="4">SUM(BM3:CP3)</f>
        <v>0</v>
      </c>
      <c r="NN3" s="32" cm="1">
        <f t="array" ref="NN3">NETWORKDAYS($BL$2,$CP$2)- SUM(COUNTIF(BL3:CP3,{"I";"F";"CP";"R";"P";"AC";"AM"}))</f>
        <v>22</v>
      </c>
      <c r="NO3" s="138">
        <f t="shared" ref="NO3:NO47" si="5">NM3/NN3</f>
        <v>0</v>
      </c>
      <c r="NP3" s="32">
        <f>SUM(CQ3:DT3)</f>
        <v>0</v>
      </c>
      <c r="NQ3" s="32" cm="1">
        <f t="array" ref="NQ3">NETWORKDAYS($CQ$2,$DT$2,$CV$2)- SUM(COUNTIF(CQ3:DT3,{"I";"F";"CP";"R";"P";"AC";"AM"}))</f>
        <v>21</v>
      </c>
      <c r="NR3" s="138">
        <f t="shared" ref="NR3:NR47" si="6">NP3/NQ3</f>
        <v>0</v>
      </c>
      <c r="NS3" s="32">
        <f t="shared" ref="NS3:NS47" si="7">SUM(DU3:EY3)</f>
        <v>0</v>
      </c>
      <c r="NT3" s="32" cm="1">
        <f t="array" ref="NT3">NETWORKDAYS($DV$2,$EY$2)-SUM(COUNTIF(DV3:EY3,{"I";"F";"CP";"R";"P";"AC";"AM"}))</f>
        <v>16</v>
      </c>
      <c r="NU3" s="138">
        <f t="shared" ref="NU3:NU47" si="8">NS3/NT3</f>
        <v>0</v>
      </c>
      <c r="NV3" s="32">
        <f t="shared" ref="NV3:NV47" si="9">SUM(EZ3:GC3)</f>
        <v>0</v>
      </c>
      <c r="NW3" s="32" cm="1">
        <f t="array" ref="NW3">NETWORKDAYS($EZ$2,$GC$2)-SUM(COUNTIF(EZ83:GC83,{"I";"F";"CP";"R";"P";"AC";"AM"}))</f>
        <v>22</v>
      </c>
      <c r="NX3" s="138">
        <f t="shared" ref="NX3:NX47" si="10">NV3/NW3</f>
        <v>0</v>
      </c>
      <c r="NY3" s="32">
        <f t="shared" ref="NY3:NY47" si="11">SUM(GD3:HH3)</f>
        <v>0</v>
      </c>
      <c r="NZ3" s="32" cm="1">
        <f t="array" ref="NZ3">NETWORKDAYS($GD$2,$HH$2,$GQ$2)-SUM(COUNTIF(GD3:HH3,{"I";"F";"CP";"R";"P";"AC";"AM"}))</f>
        <v>21</v>
      </c>
      <c r="OA3" s="138">
        <f t="shared" ref="OA3:OA47" si="12">NY3/NZ3</f>
        <v>0</v>
      </c>
      <c r="OB3" s="32">
        <f t="shared" ref="OB3:OB47" si="13">SUM(HI3:IM3)</f>
        <v>0</v>
      </c>
      <c r="OC3" s="32" cm="1">
        <f t="array" ref="OC3">NETWORKDAYS($HI$2,$IM$2)-SUM(COUNTIF(HI3:IM3,{"I";"F";"CP";"R";"P";"AC";"AM"}))</f>
        <v>21</v>
      </c>
      <c r="OD3" s="138">
        <f t="shared" ref="OD3:OD47" si="14">OB3/OC3</f>
        <v>0</v>
      </c>
      <c r="OE3" s="32">
        <f t="shared" ref="OE3:OE47" si="15">SUM(IN3:JQ3)</f>
        <v>0</v>
      </c>
      <c r="OF3" s="32" cm="1">
        <f t="array" ref="OF3">NETWORKDAYS($IN$2,$JQ$2)-SUM(COUNTIF(IN3:JQ3,{"I";"F";"CP";"R";"P";"AC";"AM"}))</f>
        <v>22</v>
      </c>
      <c r="OG3" s="138">
        <f t="shared" ref="OG3:OG47" si="16">OE3/OF3</f>
        <v>0</v>
      </c>
      <c r="OH3" s="32">
        <f t="shared" ref="OH3:OH47" si="17">SUM(JR3:KV3)</f>
        <v>0</v>
      </c>
      <c r="OI3" s="32" cm="1">
        <f t="array" ref="OI3">NETWORKDAYS($JR$2,$KV$2)-SUM(COUNTIF(JR3:KV3,{"I";"F";"CP";"R";"P";"AC";"AM"}))</f>
        <v>22</v>
      </c>
      <c r="OJ3" s="138">
        <f t="shared" ref="OJ3:OJ47" si="18">OH3/OI3</f>
        <v>0</v>
      </c>
      <c r="OK3" s="32">
        <f t="shared" ref="OK3:OK47" si="19">SUM(KW3:LZ3)</f>
        <v>0</v>
      </c>
      <c r="OL3" s="32" cm="1">
        <f t="array" ref="OL3">NETWORKDAYS($KW$2,$LZ$2,$LG$2)-SUM(COUNTIF(KW3:LZ3,{"I";"F";"CP";"R";"P";"AC";"AM"}))</f>
        <v>19</v>
      </c>
      <c r="OM3" s="138">
        <f t="shared" ref="OM3:OM47" si="20">OK3/OL3</f>
        <v>0</v>
      </c>
      <c r="ON3" s="32">
        <f t="shared" ref="ON3:ON47" si="21">SUM(MA3:NE3)</f>
        <v>0</v>
      </c>
      <c r="OO3" s="32" cm="1">
        <f t="array" ref="OO3">NETWORKDAYS($MA$2,$MR$2)-SUM(COUNTIF(MA3:MR3,{"I";"F";"CP";"R";"P";"AC";"AM"}))</f>
        <v>14</v>
      </c>
      <c r="OP3" s="138">
        <f t="shared" ref="OP3:OP47" si="22">ON3/OO3</f>
        <v>0</v>
      </c>
      <c r="OQ3" s="94">
        <f t="shared" ref="OQ3:OQ47" si="23">NG3+NJ3+NM3+NP3+NS3+NV3+NY3+OB3+OE3+OH3+OK3+ON3</f>
        <v>0</v>
      </c>
      <c r="OR3" s="94">
        <f t="shared" ref="OR3:OR47" si="24">NH3+NK3+NN3+NQ3+NT3+NW3+NZ3+OC3+OF3+OI3+OL3+OO3</f>
        <v>240</v>
      </c>
      <c r="OS3" s="138">
        <f t="shared" ref="OS3:OS47" si="25">OQ3/OR3</f>
        <v>0</v>
      </c>
    </row>
    <row r="4" spans="1:409" hidden="1" x14ac:dyDescent="0.25">
      <c r="A4" s="93" t="s">
        <v>159</v>
      </c>
      <c r="B4" s="93" t="s">
        <v>34</v>
      </c>
      <c r="C4" s="27" t="s">
        <v>160</v>
      </c>
      <c r="D4" s="27" t="s">
        <v>163</v>
      </c>
      <c r="E4" s="128"/>
      <c r="F4" s="110"/>
      <c r="G4" s="110"/>
      <c r="H4" s="110"/>
      <c r="I4" s="25"/>
      <c r="J4" s="25"/>
      <c r="K4" s="25"/>
      <c r="L4" s="25"/>
      <c r="M4" s="25"/>
      <c r="N4" s="110"/>
      <c r="O4" s="110"/>
      <c r="P4" s="25"/>
      <c r="Q4" s="25"/>
      <c r="R4" s="25"/>
      <c r="S4" s="25"/>
      <c r="T4" s="25"/>
      <c r="U4" s="110"/>
      <c r="V4" s="110"/>
      <c r="W4" s="25"/>
      <c r="X4" s="25"/>
      <c r="Y4" s="25"/>
      <c r="Z4" s="25"/>
      <c r="AA4" s="25"/>
      <c r="AB4" s="110"/>
      <c r="AC4" s="110"/>
      <c r="AD4" s="25"/>
      <c r="AE4" s="25"/>
      <c r="AF4" s="25"/>
      <c r="AG4" s="25"/>
      <c r="AH4" s="25"/>
      <c r="AI4" s="110"/>
      <c r="AJ4" s="110"/>
      <c r="AK4" s="25"/>
      <c r="AL4" s="25"/>
      <c r="AM4" s="25"/>
      <c r="AN4" s="25"/>
      <c r="AO4" s="25"/>
      <c r="AP4" s="110"/>
      <c r="AQ4" s="110"/>
      <c r="AR4" s="25"/>
      <c r="AS4" s="25"/>
      <c r="AT4" s="25"/>
      <c r="AU4" s="25"/>
      <c r="AV4" s="25"/>
      <c r="AW4" s="110"/>
      <c r="AX4" s="110"/>
      <c r="AY4" s="25"/>
      <c r="AZ4" s="25"/>
      <c r="BA4" s="25"/>
      <c r="BB4" s="25"/>
      <c r="BC4" s="25"/>
      <c r="BD4" s="110"/>
      <c r="BE4" s="110"/>
      <c r="BF4" s="25"/>
      <c r="BG4" s="25"/>
      <c r="BH4" s="25"/>
      <c r="BI4" s="25"/>
      <c r="BJ4" s="25"/>
      <c r="BK4" s="110"/>
      <c r="BL4" s="110"/>
      <c r="BM4" s="25"/>
      <c r="BN4" s="25"/>
      <c r="BO4" s="25"/>
      <c r="BP4" s="25"/>
      <c r="BQ4" s="25"/>
      <c r="BR4" s="110"/>
      <c r="BS4" s="110"/>
      <c r="BT4" s="25"/>
      <c r="BU4" s="25"/>
      <c r="BV4" s="25"/>
      <c r="BW4" s="25"/>
      <c r="BX4" s="25"/>
      <c r="BY4" s="110"/>
      <c r="BZ4" s="110"/>
      <c r="CA4" s="25"/>
      <c r="CB4" s="25"/>
      <c r="CC4" s="25"/>
      <c r="CD4" s="25"/>
      <c r="CE4" s="25"/>
      <c r="CF4" s="110"/>
      <c r="CG4" s="110"/>
      <c r="CH4" s="25"/>
      <c r="CI4" s="25"/>
      <c r="CJ4" s="25"/>
      <c r="CK4" s="25"/>
      <c r="CL4" s="25"/>
      <c r="CM4" s="110"/>
      <c r="CN4" s="110"/>
      <c r="CO4" s="25"/>
      <c r="CP4" s="25"/>
      <c r="CQ4" s="25"/>
      <c r="CR4" s="25"/>
      <c r="CS4" s="25"/>
      <c r="CT4" s="110"/>
      <c r="CU4" s="110"/>
      <c r="CV4" s="110"/>
      <c r="CW4" s="25"/>
      <c r="CX4" s="25"/>
      <c r="CY4" s="25"/>
      <c r="CZ4" s="25"/>
      <c r="DA4" s="110"/>
      <c r="DB4" s="110"/>
      <c r="DC4" s="25"/>
      <c r="DD4" s="25"/>
      <c r="DE4" s="25"/>
      <c r="DF4" s="25"/>
      <c r="DG4" s="25"/>
      <c r="DH4" s="110"/>
      <c r="DI4" s="110"/>
      <c r="DJ4" s="25"/>
      <c r="DK4" s="25"/>
      <c r="DL4" s="25"/>
      <c r="DM4" s="25"/>
      <c r="DN4" s="25"/>
      <c r="DO4" s="110"/>
      <c r="DP4" s="110"/>
      <c r="DQ4" s="25"/>
      <c r="DR4" s="25"/>
      <c r="DS4" s="25"/>
      <c r="DT4" s="25"/>
      <c r="DU4" s="110"/>
      <c r="DV4" s="110"/>
      <c r="DW4" s="110"/>
      <c r="DX4" s="25"/>
      <c r="DY4" s="25"/>
      <c r="DZ4" s="25"/>
      <c r="EA4" s="25"/>
      <c r="EB4" s="110" t="s">
        <v>445</v>
      </c>
      <c r="EC4" s="110"/>
      <c r="ED4" s="110"/>
      <c r="EE4" s="25"/>
      <c r="EF4" s="25"/>
      <c r="EG4" s="25"/>
      <c r="EH4" s="110" t="s">
        <v>445</v>
      </c>
      <c r="EI4" s="110" t="s">
        <v>445</v>
      </c>
      <c r="EJ4" s="110"/>
      <c r="EK4" s="110"/>
      <c r="EL4" s="25"/>
      <c r="EM4" s="25"/>
      <c r="EN4" s="25"/>
      <c r="EO4" s="25"/>
      <c r="EP4" s="25"/>
      <c r="EQ4" s="110"/>
      <c r="ER4" s="110"/>
      <c r="ES4" s="110" t="s">
        <v>445</v>
      </c>
      <c r="ET4" s="25"/>
      <c r="EU4" s="25"/>
      <c r="EV4" s="25"/>
      <c r="EW4" s="25"/>
      <c r="EX4" s="110"/>
      <c r="EY4" s="110"/>
      <c r="EZ4" s="25"/>
      <c r="FA4" s="25"/>
      <c r="FB4" s="25"/>
      <c r="FC4" s="25"/>
      <c r="FD4" s="25"/>
      <c r="FE4" s="110"/>
      <c r="FF4" s="110"/>
      <c r="FG4" s="25"/>
      <c r="FH4" s="25"/>
      <c r="FI4" s="25"/>
      <c r="FJ4" s="25"/>
      <c r="FK4" s="25"/>
      <c r="FL4" s="110"/>
      <c r="FM4" s="110"/>
      <c r="FN4" s="25"/>
      <c r="FO4" s="25"/>
      <c r="FP4" s="25"/>
      <c r="FQ4" s="25"/>
      <c r="FR4" s="25"/>
      <c r="FS4" s="110"/>
      <c r="FT4" s="110"/>
      <c r="FU4" s="25"/>
      <c r="FV4" s="25"/>
      <c r="FW4" s="25"/>
      <c r="FX4" s="25"/>
      <c r="FY4" s="25"/>
      <c r="FZ4" s="110"/>
      <c r="GA4" s="110"/>
      <c r="GB4" s="25"/>
      <c r="GC4" s="25"/>
      <c r="GD4" s="25"/>
      <c r="GE4" s="25"/>
      <c r="GF4" s="25"/>
      <c r="GG4" s="110"/>
      <c r="GH4" s="110"/>
      <c r="GI4" s="25"/>
      <c r="GJ4" s="25"/>
      <c r="GK4" s="25"/>
      <c r="GL4" s="25"/>
      <c r="GM4" s="25"/>
      <c r="GN4" s="110"/>
      <c r="GO4" s="110"/>
      <c r="GP4" s="110"/>
      <c r="GQ4" s="110" t="s">
        <v>445</v>
      </c>
      <c r="GR4" s="25"/>
      <c r="GS4" s="25"/>
      <c r="GT4" s="25"/>
      <c r="GU4" s="110"/>
      <c r="GV4" s="110"/>
      <c r="GW4" s="25"/>
      <c r="GX4" s="25"/>
      <c r="GY4" s="25"/>
      <c r="GZ4" s="25"/>
      <c r="HA4" s="25"/>
      <c r="HB4" s="110"/>
      <c r="HC4" s="110"/>
      <c r="HD4" s="25"/>
      <c r="HE4" s="25"/>
      <c r="HF4" s="25"/>
      <c r="HG4" s="25"/>
      <c r="HH4" s="25"/>
      <c r="HI4" s="110"/>
      <c r="HJ4" s="110"/>
      <c r="HK4" s="25"/>
      <c r="HL4" s="25"/>
      <c r="HM4" s="25"/>
      <c r="HN4" s="25"/>
      <c r="HO4" s="25"/>
      <c r="HP4" s="110"/>
      <c r="HQ4" s="110"/>
      <c r="HR4" s="25"/>
      <c r="HS4" s="25"/>
      <c r="HT4" s="25"/>
      <c r="HU4" s="25"/>
      <c r="HV4" s="25"/>
      <c r="HW4" s="110"/>
      <c r="HX4" s="110"/>
      <c r="HY4" s="25"/>
      <c r="HZ4" s="25"/>
      <c r="IA4" s="25"/>
      <c r="IB4" s="25"/>
      <c r="IC4" s="25"/>
      <c r="ID4" s="110"/>
      <c r="IE4" s="110"/>
      <c r="IF4" s="25"/>
      <c r="IG4" s="25"/>
      <c r="IH4" s="25"/>
      <c r="II4" s="25"/>
      <c r="IJ4" s="25"/>
      <c r="IK4" s="110"/>
      <c r="IL4" s="110"/>
      <c r="IM4" s="25"/>
      <c r="IN4" s="25"/>
      <c r="IO4" s="25"/>
      <c r="IP4" s="25"/>
      <c r="IQ4" s="25"/>
      <c r="IR4" s="110"/>
      <c r="IS4" s="110"/>
      <c r="IT4" s="25"/>
      <c r="IU4" s="25"/>
      <c r="IV4" s="25"/>
      <c r="IW4" s="25"/>
      <c r="IX4" s="25"/>
      <c r="IY4" s="110"/>
      <c r="IZ4" s="110"/>
      <c r="JA4" s="25"/>
      <c r="JB4" s="25"/>
      <c r="JC4" s="25"/>
      <c r="JD4" s="25"/>
      <c r="JE4" s="25"/>
      <c r="JF4" s="110"/>
      <c r="JG4" s="110"/>
      <c r="JH4" s="25"/>
      <c r="JI4" s="25"/>
      <c r="JJ4" s="25"/>
      <c r="JK4" s="25"/>
      <c r="JL4" s="25"/>
      <c r="JM4" s="110"/>
      <c r="JN4" s="110"/>
      <c r="JO4" s="25"/>
      <c r="JP4" s="25"/>
      <c r="JQ4" s="25"/>
      <c r="JR4" s="25"/>
      <c r="JS4" s="25"/>
      <c r="JT4" s="110"/>
      <c r="JU4" s="110"/>
      <c r="JV4" s="25"/>
      <c r="JW4" s="25"/>
      <c r="JX4" s="25"/>
      <c r="JY4" s="25"/>
      <c r="JZ4" s="25"/>
      <c r="KA4" s="110"/>
      <c r="KB4" s="110"/>
      <c r="KC4" s="25"/>
      <c r="KD4" s="25"/>
      <c r="KE4" s="25"/>
      <c r="KF4" s="25"/>
      <c r="KG4" s="25"/>
      <c r="KH4" s="110"/>
      <c r="KI4" s="110"/>
      <c r="KJ4" s="25"/>
      <c r="KK4" s="25"/>
      <c r="KL4" s="25"/>
      <c r="KM4" s="25"/>
      <c r="KN4" s="25"/>
      <c r="KO4" s="110"/>
      <c r="KP4" s="110"/>
      <c r="KQ4" s="25"/>
      <c r="KR4" s="25"/>
      <c r="KS4" s="25"/>
      <c r="KT4" s="25"/>
      <c r="KU4" s="25"/>
      <c r="KV4" s="110"/>
      <c r="KW4" s="110"/>
      <c r="KX4" s="25"/>
      <c r="KY4" s="25"/>
      <c r="KZ4" s="25"/>
      <c r="LA4" s="25"/>
      <c r="LB4" s="25"/>
      <c r="LC4" s="110"/>
      <c r="LD4" s="110"/>
      <c r="LE4" s="25"/>
      <c r="LF4" s="25"/>
      <c r="LG4" s="110" t="s">
        <v>445</v>
      </c>
      <c r="LH4" s="25"/>
      <c r="LI4" s="25"/>
      <c r="LJ4" s="110"/>
      <c r="LK4" s="110"/>
      <c r="LL4" s="25"/>
      <c r="LM4" s="25"/>
      <c r="LN4" s="25"/>
      <c r="LO4" s="25"/>
      <c r="LP4" s="25"/>
      <c r="LQ4" s="110"/>
      <c r="LR4" s="110"/>
      <c r="LS4" s="25"/>
      <c r="LT4" s="25"/>
      <c r="LU4" s="25"/>
      <c r="LV4" s="25"/>
      <c r="LW4" s="25"/>
      <c r="LX4" s="110"/>
      <c r="LY4" s="110"/>
      <c r="LZ4" s="25"/>
      <c r="MA4" s="25"/>
      <c r="MB4" s="25"/>
      <c r="MC4" s="25"/>
      <c r="MD4" s="25"/>
      <c r="ME4" s="110"/>
      <c r="MF4" s="110"/>
      <c r="MG4" s="25"/>
      <c r="MH4" s="25"/>
      <c r="MI4" s="25"/>
      <c r="MJ4" s="25"/>
      <c r="MK4" s="25"/>
      <c r="ML4" s="110"/>
      <c r="MM4" s="110"/>
      <c r="MN4" s="25"/>
      <c r="MO4" s="25"/>
      <c r="MP4" s="25"/>
      <c r="MQ4" s="25"/>
      <c r="MR4" s="25"/>
      <c r="MS4" s="110"/>
      <c r="MT4" s="110"/>
      <c r="MU4" s="25"/>
      <c r="MV4" s="25"/>
      <c r="MW4" s="25"/>
      <c r="MX4" s="25"/>
      <c r="MY4" s="25"/>
      <c r="MZ4" s="110"/>
      <c r="NA4" s="110"/>
      <c r="NB4" s="25"/>
      <c r="NC4" s="25"/>
      <c r="ND4" s="25"/>
      <c r="NE4" s="129"/>
      <c r="NF4" s="111"/>
      <c r="NG4" s="8">
        <f t="shared" si="0"/>
        <v>0</v>
      </c>
      <c r="NH4" s="32" cm="1">
        <f t="array" ref="NH4">NETWORKDAYS($I$2,$AI$2)- SUM(COUNTIF(I4:AI4,{"I";"F";"CP";"R";"P";"AC";"AM"}))</f>
        <v>20</v>
      </c>
      <c r="NI4" s="138">
        <f t="shared" si="1"/>
        <v>0</v>
      </c>
      <c r="NJ4" s="8">
        <f t="shared" si="2"/>
        <v>0</v>
      </c>
      <c r="NK4" s="32" cm="1">
        <f t="array" ref="NK4">NETWORKDAYS($AJ$2,$BK$2)- SUM(COUNTIF(AJ4:BK4,{"I";"F";"CP";"R";"P";"AC";"AM"}))</f>
        <v>20</v>
      </c>
      <c r="NL4" s="138">
        <f t="shared" si="3"/>
        <v>0</v>
      </c>
      <c r="NM4" s="8">
        <f t="shared" si="4"/>
        <v>0</v>
      </c>
      <c r="NN4" s="32" cm="1">
        <f t="array" ref="NN4">NETWORKDAYS($BL$2,$CP$2)- SUM(COUNTIF(BL4:CP4,{"I";"F";"CP";"R";"P";"AC";"AM"}))</f>
        <v>22</v>
      </c>
      <c r="NO4" s="138">
        <f t="shared" si="5"/>
        <v>0</v>
      </c>
      <c r="NP4" s="8">
        <f t="shared" ref="NP4:NP66" si="26">SUM(CQ4:DT4)</f>
        <v>0</v>
      </c>
      <c r="NQ4" s="32" cm="1">
        <f t="array" ref="NQ4">NETWORKDAYS($CQ$2,$DT$2,$CV$2)- SUM(COUNTIF(CQ4:DT4,{"I";"F";"CP";"R";"P";"AC";"AM"}))</f>
        <v>21</v>
      </c>
      <c r="NR4" s="138">
        <f t="shared" si="6"/>
        <v>0</v>
      </c>
      <c r="NS4" s="8">
        <f t="shared" si="7"/>
        <v>0</v>
      </c>
      <c r="NT4" s="32" cm="1">
        <f t="array" ref="NT4">NETWORKDAYS($DV$2,$EY$2)-SUM(COUNTIF(DV4:EY4,{"I";"F";"CP";"R";"P";"AC";"AM"}))</f>
        <v>16</v>
      </c>
      <c r="NU4" s="138">
        <f t="shared" si="8"/>
        <v>0</v>
      </c>
      <c r="NV4" s="8">
        <f t="shared" si="9"/>
        <v>0</v>
      </c>
      <c r="NW4" s="32" cm="1">
        <f t="array" ref="NW4">NETWORKDAYS($EZ$2,$GC$2)-SUM(COUNTIF(EZ84:GC84,{"I";"F";"CP";"R";"P";"AC";"AM"}))</f>
        <v>22</v>
      </c>
      <c r="NX4" s="138">
        <f t="shared" si="10"/>
        <v>0</v>
      </c>
      <c r="NY4" s="8">
        <f t="shared" si="11"/>
        <v>0</v>
      </c>
      <c r="NZ4" s="32" cm="1">
        <f t="array" ref="NZ4">NETWORKDAYS($GD$2,$HH$2,$GQ$2)-SUM(COUNTIF(GD4:HH4,{"I";"F";"CP";"R";"P";"AC";"AM"}))</f>
        <v>21</v>
      </c>
      <c r="OA4" s="138">
        <f t="shared" si="12"/>
        <v>0</v>
      </c>
      <c r="OB4" s="8">
        <f t="shared" si="13"/>
        <v>0</v>
      </c>
      <c r="OC4" s="32" cm="1">
        <f t="array" ref="OC4">NETWORKDAYS($HI$2,$IM$2)-SUM(COUNTIF(HI4:IM4,{"I";"F";"CP";"R";"P";"AC";"AM"}))</f>
        <v>21</v>
      </c>
      <c r="OD4" s="138">
        <f t="shared" si="14"/>
        <v>0</v>
      </c>
      <c r="OE4" s="8">
        <f t="shared" si="15"/>
        <v>0</v>
      </c>
      <c r="OF4" s="32" cm="1">
        <f t="array" ref="OF4">NETWORKDAYS($IN$2,$JQ$2)-SUM(COUNTIF(IN4:JQ4,{"I";"F";"CP";"R";"P";"AC";"AM"}))</f>
        <v>22</v>
      </c>
      <c r="OG4" s="138">
        <f t="shared" si="16"/>
        <v>0</v>
      </c>
      <c r="OH4" s="8">
        <f t="shared" si="17"/>
        <v>0</v>
      </c>
      <c r="OI4" s="32" cm="1">
        <f t="array" ref="OI4">NETWORKDAYS($JR$2,$KV$2)-SUM(COUNTIF(JR4:KV4,{"I";"F";"CP";"R";"P";"AC";"AM"}))</f>
        <v>22</v>
      </c>
      <c r="OJ4" s="138">
        <f t="shared" si="18"/>
        <v>0</v>
      </c>
      <c r="OK4" s="8">
        <f t="shared" si="19"/>
        <v>0</v>
      </c>
      <c r="OL4" s="32" cm="1">
        <f t="array" ref="OL4">NETWORKDAYS($KW$2,$LZ$2,$LG$2)-SUM(COUNTIF(KW4:LZ4,{"I";"F";"CP";"R";"P";"AC";"AM"}))</f>
        <v>19</v>
      </c>
      <c r="OM4" s="138">
        <f t="shared" si="20"/>
        <v>0</v>
      </c>
      <c r="ON4" s="8">
        <f t="shared" si="21"/>
        <v>0</v>
      </c>
      <c r="OO4" s="32" cm="1">
        <f t="array" ref="OO4">NETWORKDAYS($MA$2,$MR$2)-SUM(COUNTIF(MA4:MR4,{"I";"F";"CP";"R";"P";"AC";"AM"}))</f>
        <v>14</v>
      </c>
      <c r="OP4" s="138">
        <f t="shared" si="22"/>
        <v>0</v>
      </c>
      <c r="OQ4" s="94">
        <f t="shared" si="23"/>
        <v>0</v>
      </c>
      <c r="OR4" s="94">
        <f t="shared" si="24"/>
        <v>240</v>
      </c>
      <c r="OS4" s="138">
        <f t="shared" si="25"/>
        <v>0</v>
      </c>
    </row>
    <row r="5" spans="1:409" hidden="1" x14ac:dyDescent="0.25">
      <c r="A5" s="93" t="s">
        <v>164</v>
      </c>
      <c r="B5" s="93" t="s">
        <v>45</v>
      </c>
      <c r="C5" s="91" t="s">
        <v>160</v>
      </c>
      <c r="D5" s="91" t="s">
        <v>165</v>
      </c>
      <c r="E5" s="128"/>
      <c r="F5" s="110"/>
      <c r="G5" s="110"/>
      <c r="H5" s="110"/>
      <c r="I5" s="25"/>
      <c r="J5" s="25"/>
      <c r="K5" s="25"/>
      <c r="L5" s="25"/>
      <c r="M5" s="25"/>
      <c r="N5" s="110"/>
      <c r="O5" s="110"/>
      <c r="P5" s="25"/>
      <c r="Q5" s="25"/>
      <c r="R5" s="25"/>
      <c r="S5" s="25"/>
      <c r="T5" s="25"/>
      <c r="U5" s="110"/>
      <c r="V5" s="110"/>
      <c r="W5" s="25"/>
      <c r="X5" s="25"/>
      <c r="Y5" s="25"/>
      <c r="Z5" s="25"/>
      <c r="AA5" s="25"/>
      <c r="AB5" s="110"/>
      <c r="AC5" s="110"/>
      <c r="AD5" s="25"/>
      <c r="AE5" s="25"/>
      <c r="AF5" s="25"/>
      <c r="AG5" s="25"/>
      <c r="AH5" s="25"/>
      <c r="AI5" s="110"/>
      <c r="AJ5" s="110"/>
      <c r="AK5" s="25"/>
      <c r="AL5" s="25"/>
      <c r="AM5" s="25"/>
      <c r="AN5" s="25"/>
      <c r="AO5" s="25"/>
      <c r="AP5" s="110"/>
      <c r="AQ5" s="110"/>
      <c r="AR5" s="25"/>
      <c r="AS5" s="25"/>
      <c r="AT5" s="25"/>
      <c r="AU5" s="25"/>
      <c r="AV5" s="25"/>
      <c r="AW5" s="110"/>
      <c r="AX5" s="110"/>
      <c r="AY5" s="25"/>
      <c r="AZ5" s="25"/>
      <c r="BA5" s="25"/>
      <c r="BB5" s="25"/>
      <c r="BC5" s="25"/>
      <c r="BD5" s="110"/>
      <c r="BE5" s="110"/>
      <c r="BF5" s="25"/>
      <c r="BG5" s="25"/>
      <c r="BH5" s="25"/>
      <c r="BI5" s="25"/>
      <c r="BJ5" s="25"/>
      <c r="BK5" s="110"/>
      <c r="BL5" s="110"/>
      <c r="BM5" s="25"/>
      <c r="BN5" s="25"/>
      <c r="BO5" s="25"/>
      <c r="BP5" s="25"/>
      <c r="BQ5" s="25"/>
      <c r="BR5" s="110"/>
      <c r="BS5" s="110"/>
      <c r="BT5" s="25"/>
      <c r="BU5" s="25"/>
      <c r="BV5" s="25"/>
      <c r="BW5" s="25"/>
      <c r="BX5" s="25"/>
      <c r="BY5" s="110"/>
      <c r="BZ5" s="110"/>
      <c r="CA5" s="25"/>
      <c r="CB5" s="25"/>
      <c r="CC5" s="25"/>
      <c r="CD5" s="25"/>
      <c r="CE5" s="25"/>
      <c r="CF5" s="110"/>
      <c r="CG5" s="110"/>
      <c r="CH5" s="25"/>
      <c r="CI5" s="25"/>
      <c r="CJ5" s="25"/>
      <c r="CK5" s="25"/>
      <c r="CL5" s="25"/>
      <c r="CM5" s="110"/>
      <c r="CN5" s="110"/>
      <c r="CO5" s="25"/>
      <c r="CP5" s="25"/>
      <c r="CQ5" s="25"/>
      <c r="CR5" s="25"/>
      <c r="CS5" s="25"/>
      <c r="CT5" s="110"/>
      <c r="CU5" s="110"/>
      <c r="CV5" s="110"/>
      <c r="CW5" s="25"/>
      <c r="CX5" s="25"/>
      <c r="CY5" s="25"/>
      <c r="CZ5" s="25"/>
      <c r="DA5" s="110"/>
      <c r="DB5" s="110"/>
      <c r="DC5" s="25"/>
      <c r="DD5" s="25"/>
      <c r="DE5" s="25"/>
      <c r="DF5" s="25"/>
      <c r="DG5" s="25"/>
      <c r="DH5" s="110"/>
      <c r="DI5" s="110"/>
      <c r="DJ5" s="25"/>
      <c r="DK5" s="25"/>
      <c r="DL5" s="25"/>
      <c r="DM5" s="25"/>
      <c r="DN5" s="25"/>
      <c r="DO5" s="110"/>
      <c r="DP5" s="110"/>
      <c r="DQ5" s="25"/>
      <c r="DR5" s="25"/>
      <c r="DS5" s="25"/>
      <c r="DT5" s="25"/>
      <c r="DU5" s="110"/>
      <c r="DV5" s="110"/>
      <c r="DW5" s="110"/>
      <c r="DX5" s="25"/>
      <c r="DY5" s="25"/>
      <c r="DZ5" s="25"/>
      <c r="EA5" s="25"/>
      <c r="EB5" s="110" t="s">
        <v>445</v>
      </c>
      <c r="EC5" s="110"/>
      <c r="ED5" s="110"/>
      <c r="EE5" s="25"/>
      <c r="EF5" s="25"/>
      <c r="EG5" s="25"/>
      <c r="EH5" s="110" t="s">
        <v>445</v>
      </c>
      <c r="EI5" s="110" t="s">
        <v>445</v>
      </c>
      <c r="EJ5" s="110"/>
      <c r="EK5" s="110"/>
      <c r="EL5" s="25"/>
      <c r="EM5" s="25"/>
      <c r="EN5" s="25"/>
      <c r="EO5" s="25"/>
      <c r="EP5" s="25"/>
      <c r="EQ5" s="110"/>
      <c r="ER5" s="110"/>
      <c r="ES5" s="110" t="s">
        <v>445</v>
      </c>
      <c r="ET5" s="25"/>
      <c r="EU5" s="25"/>
      <c r="EV5" s="25"/>
      <c r="EW5" s="25"/>
      <c r="EX5" s="110"/>
      <c r="EY5" s="110"/>
      <c r="EZ5" s="25"/>
      <c r="FA5" s="25"/>
      <c r="FB5" s="25"/>
      <c r="FC5" s="25"/>
      <c r="FD5" s="25"/>
      <c r="FE5" s="110"/>
      <c r="FF5" s="110"/>
      <c r="FG5" s="25"/>
      <c r="FH5" s="25"/>
      <c r="FI5" s="25"/>
      <c r="FJ5" s="25"/>
      <c r="FK5" s="25"/>
      <c r="FL5" s="110"/>
      <c r="FM5" s="110"/>
      <c r="FN5" s="25"/>
      <c r="FO5" s="25"/>
      <c r="FP5" s="25"/>
      <c r="FQ5" s="25"/>
      <c r="FR5" s="25"/>
      <c r="FS5" s="110"/>
      <c r="FT5" s="110"/>
      <c r="FU5" s="25"/>
      <c r="FV5" s="25"/>
      <c r="FW5" s="25"/>
      <c r="FX5" s="25"/>
      <c r="FY5" s="25"/>
      <c r="FZ5" s="110"/>
      <c r="GA5" s="110"/>
      <c r="GB5" s="25"/>
      <c r="GC5" s="25"/>
      <c r="GD5" s="25"/>
      <c r="GE5" s="25"/>
      <c r="GF5" s="25"/>
      <c r="GG5" s="110"/>
      <c r="GH5" s="110"/>
      <c r="GI5" s="25"/>
      <c r="GJ5" s="25"/>
      <c r="GK5" s="25"/>
      <c r="GL5" s="25"/>
      <c r="GM5" s="25"/>
      <c r="GN5" s="110"/>
      <c r="GO5" s="110"/>
      <c r="GP5" s="110"/>
      <c r="GQ5" s="110" t="s">
        <v>445</v>
      </c>
      <c r="GR5" s="25"/>
      <c r="GS5" s="25"/>
      <c r="GT5" s="25"/>
      <c r="GU5" s="110"/>
      <c r="GV5" s="110"/>
      <c r="GW5" s="25"/>
      <c r="GX5" s="25"/>
      <c r="GY5" s="25"/>
      <c r="GZ5" s="25"/>
      <c r="HA5" s="25"/>
      <c r="HB5" s="110"/>
      <c r="HC5" s="110"/>
      <c r="HD5" s="25"/>
      <c r="HE5" s="25"/>
      <c r="HF5" s="25"/>
      <c r="HG5" s="25"/>
      <c r="HH5" s="25"/>
      <c r="HI5" s="110"/>
      <c r="HJ5" s="110"/>
      <c r="HK5" s="25"/>
      <c r="HL5" s="25"/>
      <c r="HM5" s="25"/>
      <c r="HN5" s="25"/>
      <c r="HO5" s="25"/>
      <c r="HP5" s="110"/>
      <c r="HQ5" s="110"/>
      <c r="HR5" s="25"/>
      <c r="HS5" s="25"/>
      <c r="HT5" s="25"/>
      <c r="HU5" s="25"/>
      <c r="HV5" s="25"/>
      <c r="HW5" s="110"/>
      <c r="HX5" s="110"/>
      <c r="HY5" s="25"/>
      <c r="HZ5" s="25"/>
      <c r="IA5" s="25"/>
      <c r="IB5" s="25"/>
      <c r="IC5" s="25"/>
      <c r="ID5" s="110"/>
      <c r="IE5" s="110"/>
      <c r="IF5" s="25"/>
      <c r="IG5" s="25"/>
      <c r="IH5" s="25"/>
      <c r="II5" s="25"/>
      <c r="IJ5" s="25"/>
      <c r="IK5" s="110"/>
      <c r="IL5" s="110"/>
      <c r="IM5" s="25"/>
      <c r="IN5" s="25"/>
      <c r="IO5" s="25"/>
      <c r="IP5" s="25"/>
      <c r="IQ5" s="25"/>
      <c r="IR5" s="110"/>
      <c r="IS5" s="110"/>
      <c r="IT5" s="25"/>
      <c r="IU5" s="25"/>
      <c r="IV5" s="25"/>
      <c r="IW5" s="25"/>
      <c r="IX5" s="25"/>
      <c r="IY5" s="110"/>
      <c r="IZ5" s="110"/>
      <c r="JA5" s="25"/>
      <c r="JB5" s="25"/>
      <c r="JC5" s="25"/>
      <c r="JD5" s="25"/>
      <c r="JE5" s="25"/>
      <c r="JF5" s="110"/>
      <c r="JG5" s="110"/>
      <c r="JH5" s="25"/>
      <c r="JI5" s="25"/>
      <c r="JJ5" s="25"/>
      <c r="JK5" s="25"/>
      <c r="JL5" s="25"/>
      <c r="JM5" s="110"/>
      <c r="JN5" s="110"/>
      <c r="JO5" s="25"/>
      <c r="JP5" s="25"/>
      <c r="JQ5" s="25"/>
      <c r="JR5" s="25"/>
      <c r="JS5" s="25"/>
      <c r="JT5" s="110"/>
      <c r="JU5" s="110"/>
      <c r="JV5" s="25"/>
      <c r="JW5" s="25"/>
      <c r="JX5" s="25"/>
      <c r="JY5" s="25"/>
      <c r="JZ5" s="25"/>
      <c r="KA5" s="110"/>
      <c r="KB5" s="110"/>
      <c r="KC5" s="25"/>
      <c r="KD5" s="25"/>
      <c r="KE5" s="25"/>
      <c r="KF5" s="25"/>
      <c r="KG5" s="25"/>
      <c r="KH5" s="110"/>
      <c r="KI5" s="110"/>
      <c r="KJ5" s="25"/>
      <c r="KK5" s="25"/>
      <c r="KL5" s="25"/>
      <c r="KM5" s="25"/>
      <c r="KN5" s="25"/>
      <c r="KO5" s="110"/>
      <c r="KP5" s="110"/>
      <c r="KQ5" s="25"/>
      <c r="KR5" s="25"/>
      <c r="KS5" s="25"/>
      <c r="KT5" s="25"/>
      <c r="KU5" s="25"/>
      <c r="KV5" s="110"/>
      <c r="KW5" s="110"/>
      <c r="KX5" s="25"/>
      <c r="KY5" s="25"/>
      <c r="KZ5" s="25"/>
      <c r="LA5" s="25"/>
      <c r="LB5" s="25"/>
      <c r="LC5" s="110"/>
      <c r="LD5" s="110"/>
      <c r="LE5" s="25"/>
      <c r="LF5" s="25"/>
      <c r="LG5" s="110" t="s">
        <v>445</v>
      </c>
      <c r="LH5" s="25"/>
      <c r="LI5" s="25"/>
      <c r="LJ5" s="110"/>
      <c r="LK5" s="110"/>
      <c r="LL5" s="25"/>
      <c r="LM5" s="25"/>
      <c r="LN5" s="25"/>
      <c r="LO5" s="25"/>
      <c r="LP5" s="25"/>
      <c r="LQ5" s="110"/>
      <c r="LR5" s="110"/>
      <c r="LS5" s="25"/>
      <c r="LT5" s="25"/>
      <c r="LU5" s="25"/>
      <c r="LV5" s="25"/>
      <c r="LW5" s="25"/>
      <c r="LX5" s="110"/>
      <c r="LY5" s="110"/>
      <c r="LZ5" s="25"/>
      <c r="MA5" s="25"/>
      <c r="MB5" s="25"/>
      <c r="MC5" s="25"/>
      <c r="MD5" s="25"/>
      <c r="ME5" s="110"/>
      <c r="MF5" s="110"/>
      <c r="MG5" s="25"/>
      <c r="MH5" s="25"/>
      <c r="MI5" s="25"/>
      <c r="MJ5" s="25"/>
      <c r="MK5" s="25"/>
      <c r="ML5" s="110"/>
      <c r="MM5" s="110"/>
      <c r="MN5" s="25"/>
      <c r="MO5" s="25"/>
      <c r="MP5" s="25"/>
      <c r="MQ5" s="25"/>
      <c r="MR5" s="25"/>
      <c r="MS5" s="110"/>
      <c r="MT5" s="110"/>
      <c r="MU5" s="25"/>
      <c r="MV5" s="25"/>
      <c r="MW5" s="25"/>
      <c r="MX5" s="25"/>
      <c r="MY5" s="25"/>
      <c r="MZ5" s="110"/>
      <c r="NA5" s="110"/>
      <c r="NB5" s="25"/>
      <c r="NC5" s="25"/>
      <c r="ND5" s="25"/>
      <c r="NE5" s="129"/>
      <c r="NF5" s="111"/>
      <c r="NG5" s="8">
        <f t="shared" si="0"/>
        <v>0</v>
      </c>
      <c r="NH5" s="32" cm="1">
        <f t="array" ref="NH5">NETWORKDAYS($I$2,$AI$2)- SUM(COUNTIF(I5:AI5,{"I";"F";"CP";"R";"P";"AC";"AM"}))</f>
        <v>20</v>
      </c>
      <c r="NI5" s="138">
        <f t="shared" si="1"/>
        <v>0</v>
      </c>
      <c r="NJ5" s="8">
        <f t="shared" si="2"/>
        <v>0</v>
      </c>
      <c r="NK5" s="32" cm="1">
        <f t="array" ref="NK5">NETWORKDAYS($AJ$2,$BK$2)- SUM(COUNTIF(AJ5:BK5,{"I";"F";"CP";"R";"P";"AC";"AM"}))</f>
        <v>20</v>
      </c>
      <c r="NL5" s="138">
        <f t="shared" si="3"/>
        <v>0</v>
      </c>
      <c r="NM5" s="8">
        <f t="shared" si="4"/>
        <v>0</v>
      </c>
      <c r="NN5" s="32" cm="1">
        <f t="array" ref="NN5">NETWORKDAYS($BL$2,$CP$2)- SUM(COUNTIF(BL5:CP5,{"I";"F";"CP";"R";"P";"AC";"AM"}))</f>
        <v>22</v>
      </c>
      <c r="NO5" s="138">
        <f t="shared" si="5"/>
        <v>0</v>
      </c>
      <c r="NP5" s="32">
        <f t="shared" si="26"/>
        <v>0</v>
      </c>
      <c r="NQ5" s="32" cm="1">
        <f t="array" ref="NQ5">NETWORKDAYS($CQ$2,$DT$2,$CV$2)- SUM(COUNTIF(CQ5:DT5,{"I";"F";"CP";"R";"P";"AC";"AM"}))</f>
        <v>21</v>
      </c>
      <c r="NR5" s="138">
        <f t="shared" si="6"/>
        <v>0</v>
      </c>
      <c r="NS5" s="8">
        <f t="shared" si="7"/>
        <v>0</v>
      </c>
      <c r="NT5" s="32" cm="1">
        <f t="array" ref="NT5">NETWORKDAYS($DV$2,$EY$2)-SUM(COUNTIF(DV5:EY5,{"I";"F";"CP";"R";"P";"AC";"AM"}))</f>
        <v>16</v>
      </c>
      <c r="NU5" s="138">
        <f t="shared" si="8"/>
        <v>0</v>
      </c>
      <c r="NV5" s="8">
        <f t="shared" si="9"/>
        <v>0</v>
      </c>
      <c r="NW5" s="32" cm="1">
        <f t="array" ref="NW5">NETWORKDAYS($EZ$2,$GC$2)-SUM(COUNTIF(EZ85:GC85,{"I";"F";"CP";"R";"P";"AC";"AM"}))</f>
        <v>22</v>
      </c>
      <c r="NX5" s="138">
        <f t="shared" si="10"/>
        <v>0</v>
      </c>
      <c r="NY5" s="8">
        <f t="shared" si="11"/>
        <v>0</v>
      </c>
      <c r="NZ5" s="32" cm="1">
        <f t="array" ref="NZ5">NETWORKDAYS($GD$2,$HH$2,$GQ$2)-SUM(COUNTIF(GD5:HH5,{"I";"F";"CP";"R";"P";"AC";"AM"}))</f>
        <v>21</v>
      </c>
      <c r="OA5" s="138">
        <f t="shared" si="12"/>
        <v>0</v>
      </c>
      <c r="OB5" s="8">
        <f t="shared" si="13"/>
        <v>0</v>
      </c>
      <c r="OC5" s="32" cm="1">
        <f t="array" ref="OC5">NETWORKDAYS($HI$2,$IM$2)-SUM(COUNTIF(HI5:IM5,{"I";"F";"CP";"R";"P";"AC";"AM"}))</f>
        <v>21</v>
      </c>
      <c r="OD5" s="138">
        <f t="shared" si="14"/>
        <v>0</v>
      </c>
      <c r="OE5" s="8">
        <f t="shared" si="15"/>
        <v>0</v>
      </c>
      <c r="OF5" s="32" cm="1">
        <f t="array" ref="OF5">NETWORKDAYS($IN$2,$JQ$2)-SUM(COUNTIF(IN5:JQ5,{"I";"F";"CP";"R";"P";"AC";"AM"}))</f>
        <v>22</v>
      </c>
      <c r="OG5" s="138">
        <f t="shared" si="16"/>
        <v>0</v>
      </c>
      <c r="OH5" s="8">
        <f t="shared" si="17"/>
        <v>0</v>
      </c>
      <c r="OI5" s="32" cm="1">
        <f t="array" ref="OI5">NETWORKDAYS($JR$2,$KV$2)-SUM(COUNTIF(JR5:KV5,{"I";"F";"CP";"R";"P";"AC";"AM"}))</f>
        <v>22</v>
      </c>
      <c r="OJ5" s="138">
        <f t="shared" si="18"/>
        <v>0</v>
      </c>
      <c r="OK5" s="8">
        <f t="shared" si="19"/>
        <v>0</v>
      </c>
      <c r="OL5" s="32" cm="1">
        <f t="array" ref="OL5">NETWORKDAYS($KW$2,$LZ$2,$LG$2)-SUM(COUNTIF(KW5:LZ5,{"I";"F";"CP";"R";"P";"AC";"AM"}))</f>
        <v>19</v>
      </c>
      <c r="OM5" s="138">
        <f t="shared" si="20"/>
        <v>0</v>
      </c>
      <c r="ON5" s="8">
        <f t="shared" si="21"/>
        <v>0</v>
      </c>
      <c r="OO5" s="32" cm="1">
        <f t="array" ref="OO5">NETWORKDAYS($MA$2,$MR$2)-SUM(COUNTIF(MA5:MR5,{"I";"F";"CP";"R";"P";"AC";"AM"}))</f>
        <v>14</v>
      </c>
      <c r="OP5" s="138">
        <f t="shared" si="22"/>
        <v>0</v>
      </c>
      <c r="OQ5" s="94">
        <f t="shared" si="23"/>
        <v>0</v>
      </c>
      <c r="OR5" s="94">
        <f t="shared" si="24"/>
        <v>240</v>
      </c>
      <c r="OS5" s="138">
        <f t="shared" si="25"/>
        <v>0</v>
      </c>
    </row>
    <row r="6" spans="1:409" hidden="1" x14ac:dyDescent="0.25">
      <c r="A6" s="94" t="s">
        <v>468</v>
      </c>
      <c r="B6" s="94" t="s">
        <v>34</v>
      </c>
      <c r="C6" s="27" t="s">
        <v>166</v>
      </c>
      <c r="D6" s="27" t="s">
        <v>167</v>
      </c>
      <c r="E6" s="128"/>
      <c r="F6" s="110"/>
      <c r="G6" s="110"/>
      <c r="H6" s="110"/>
      <c r="I6" s="25"/>
      <c r="J6" s="25"/>
      <c r="K6" s="25"/>
      <c r="L6" s="25"/>
      <c r="M6" s="25"/>
      <c r="N6" s="110"/>
      <c r="O6" s="110"/>
      <c r="P6" s="25"/>
      <c r="Q6" s="25"/>
      <c r="R6" s="25"/>
      <c r="S6" s="25"/>
      <c r="T6" s="25"/>
      <c r="U6" s="110"/>
      <c r="V6" s="110"/>
      <c r="W6" s="25"/>
      <c r="X6" s="25"/>
      <c r="Y6" s="25"/>
      <c r="Z6" s="25"/>
      <c r="AA6" s="25"/>
      <c r="AB6" s="110"/>
      <c r="AC6" s="110"/>
      <c r="AD6" s="25"/>
      <c r="AE6" s="25"/>
      <c r="AF6" s="25"/>
      <c r="AG6" s="25"/>
      <c r="AH6" s="25"/>
      <c r="AI6" s="110"/>
      <c r="AJ6" s="110"/>
      <c r="AK6" s="25"/>
      <c r="AL6" s="25"/>
      <c r="AM6" s="25"/>
      <c r="AN6" s="25"/>
      <c r="AO6" s="25"/>
      <c r="AP6" s="110"/>
      <c r="AQ6" s="110"/>
      <c r="AR6" s="25"/>
      <c r="AS6" s="25"/>
      <c r="AT6" s="25"/>
      <c r="AU6" s="25"/>
      <c r="AV6" s="25"/>
      <c r="AW6" s="110"/>
      <c r="AX6" s="110"/>
      <c r="AY6" s="25"/>
      <c r="AZ6" s="25"/>
      <c r="BA6" s="25"/>
      <c r="BB6" s="25"/>
      <c r="BC6" s="25"/>
      <c r="BD6" s="110"/>
      <c r="BE6" s="110"/>
      <c r="BF6" s="25"/>
      <c r="BG6" s="25"/>
      <c r="BH6" s="25"/>
      <c r="BI6" s="25"/>
      <c r="BJ6" s="25"/>
      <c r="BK6" s="110"/>
      <c r="BL6" s="110"/>
      <c r="BM6" s="25"/>
      <c r="BN6" s="25"/>
      <c r="BO6" s="25"/>
      <c r="BP6" s="25"/>
      <c r="BQ6" s="25"/>
      <c r="BR6" s="110"/>
      <c r="BS6" s="110"/>
      <c r="BT6" s="25"/>
      <c r="BU6" s="25"/>
      <c r="BV6" s="25"/>
      <c r="BW6" s="25"/>
      <c r="BX6" s="25"/>
      <c r="BY6" s="110"/>
      <c r="BZ6" s="110"/>
      <c r="CA6" s="25"/>
      <c r="CB6" s="25"/>
      <c r="CC6" s="25"/>
      <c r="CD6" s="25"/>
      <c r="CE6" s="25"/>
      <c r="CF6" s="110"/>
      <c r="CG6" s="110"/>
      <c r="CH6" s="25"/>
      <c r="CI6" s="25"/>
      <c r="CJ6" s="25"/>
      <c r="CK6" s="25"/>
      <c r="CL6" s="25"/>
      <c r="CM6" s="110"/>
      <c r="CN6" s="110"/>
      <c r="CO6" s="25"/>
      <c r="CP6" s="25"/>
      <c r="CQ6" s="25"/>
      <c r="CR6" s="25"/>
      <c r="CS6" s="25"/>
      <c r="CT6" s="110"/>
      <c r="CU6" s="110"/>
      <c r="CV6" s="110"/>
      <c r="CW6" s="25"/>
      <c r="CX6" s="25"/>
      <c r="CY6" s="25"/>
      <c r="CZ6" s="25"/>
      <c r="DA6" s="110"/>
      <c r="DB6" s="110"/>
      <c r="DC6" s="25"/>
      <c r="DD6" s="25"/>
      <c r="DE6" s="25"/>
      <c r="DF6" s="25"/>
      <c r="DG6" s="25"/>
      <c r="DH6" s="110"/>
      <c r="DI6" s="110"/>
      <c r="DJ6" s="25"/>
      <c r="DK6" s="25"/>
      <c r="DL6" s="25"/>
      <c r="DM6" s="25"/>
      <c r="DN6" s="25"/>
      <c r="DO6" s="110"/>
      <c r="DP6" s="110"/>
      <c r="DQ6" s="25"/>
      <c r="DR6" s="25"/>
      <c r="DS6" s="25"/>
      <c r="DT6" s="25"/>
      <c r="DU6" s="110"/>
      <c r="DV6" s="110"/>
      <c r="DW6" s="110"/>
      <c r="DX6" s="25"/>
      <c r="DY6" s="25"/>
      <c r="DZ6" s="25"/>
      <c r="EA6" s="25"/>
      <c r="EB6" s="110" t="s">
        <v>445</v>
      </c>
      <c r="EC6" s="110"/>
      <c r="ED6" s="110"/>
      <c r="EE6" s="25"/>
      <c r="EF6" s="25"/>
      <c r="EG6" s="25"/>
      <c r="EH6" s="110" t="s">
        <v>445</v>
      </c>
      <c r="EI6" s="110" t="s">
        <v>445</v>
      </c>
      <c r="EJ6" s="110"/>
      <c r="EK6" s="110"/>
      <c r="EL6" s="25"/>
      <c r="EM6" s="25"/>
      <c r="EN6" s="25"/>
      <c r="EO6" s="25"/>
      <c r="EP6" s="25"/>
      <c r="EQ6" s="110"/>
      <c r="ER6" s="110"/>
      <c r="ES6" s="110" t="s">
        <v>445</v>
      </c>
      <c r="ET6" s="25"/>
      <c r="EU6" s="25"/>
      <c r="EV6" s="25"/>
      <c r="EW6" s="25"/>
      <c r="EX6" s="110"/>
      <c r="EY6" s="110"/>
      <c r="EZ6" s="25"/>
      <c r="FA6" s="25"/>
      <c r="FB6" s="25"/>
      <c r="FC6" s="25"/>
      <c r="FD6" s="25"/>
      <c r="FE6" s="110"/>
      <c r="FF6" s="110"/>
      <c r="FG6" s="25"/>
      <c r="FH6" s="25"/>
      <c r="FI6" s="25"/>
      <c r="FJ6" s="25"/>
      <c r="FK6" s="25"/>
      <c r="FL6" s="110"/>
      <c r="FM6" s="110"/>
      <c r="FN6" s="25"/>
      <c r="FO6" s="25"/>
      <c r="FP6" s="25"/>
      <c r="FQ6" s="25"/>
      <c r="FR6" s="25"/>
      <c r="FS6" s="110"/>
      <c r="FT6" s="110"/>
      <c r="FU6" s="25"/>
      <c r="FV6" s="25"/>
      <c r="FW6" s="25"/>
      <c r="FX6" s="25"/>
      <c r="FY6" s="25"/>
      <c r="FZ6" s="110"/>
      <c r="GA6" s="110"/>
      <c r="GB6" s="25"/>
      <c r="GC6" s="25"/>
      <c r="GD6" s="25"/>
      <c r="GE6" s="25"/>
      <c r="GF6" s="25"/>
      <c r="GG6" s="110"/>
      <c r="GH6" s="110"/>
      <c r="GI6" s="25"/>
      <c r="GJ6" s="25"/>
      <c r="GK6" s="25"/>
      <c r="GL6" s="25"/>
      <c r="GM6" s="25"/>
      <c r="GN6" s="110"/>
      <c r="GO6" s="110"/>
      <c r="GP6" s="110"/>
      <c r="GQ6" s="110" t="s">
        <v>445</v>
      </c>
      <c r="GR6" s="25"/>
      <c r="GS6" s="25"/>
      <c r="GT6" s="25"/>
      <c r="GU6" s="110"/>
      <c r="GV6" s="110"/>
      <c r="GW6" s="25"/>
      <c r="GX6" s="25"/>
      <c r="GY6" s="25"/>
      <c r="GZ6" s="25"/>
      <c r="HA6" s="25"/>
      <c r="HB6" s="110"/>
      <c r="HC6" s="110"/>
      <c r="HD6" s="25"/>
      <c r="HE6" s="25"/>
      <c r="HF6" s="25"/>
      <c r="HG6" s="25"/>
      <c r="HH6" s="25"/>
      <c r="HI6" s="110"/>
      <c r="HJ6" s="110"/>
      <c r="HK6" s="25"/>
      <c r="HL6" s="25"/>
      <c r="HM6" s="25"/>
      <c r="HN6" s="25"/>
      <c r="HO6" s="25"/>
      <c r="HP6" s="110"/>
      <c r="HQ6" s="110"/>
      <c r="HR6" s="25"/>
      <c r="HS6" s="25"/>
      <c r="HT6" s="25"/>
      <c r="HU6" s="25"/>
      <c r="HV6" s="25"/>
      <c r="HW6" s="110"/>
      <c r="HX6" s="110"/>
      <c r="HY6" s="25"/>
      <c r="HZ6" s="25"/>
      <c r="IA6" s="25"/>
      <c r="IB6" s="25"/>
      <c r="IC6" s="25"/>
      <c r="ID6" s="110"/>
      <c r="IE6" s="110"/>
      <c r="IF6" s="25"/>
      <c r="IG6" s="25"/>
      <c r="IH6" s="25"/>
      <c r="II6" s="25"/>
      <c r="IJ6" s="25"/>
      <c r="IK6" s="110"/>
      <c r="IL6" s="110"/>
      <c r="IM6" s="25"/>
      <c r="IN6" s="25"/>
      <c r="IO6" s="25"/>
      <c r="IP6" s="25"/>
      <c r="IQ6" s="25"/>
      <c r="IR6" s="110"/>
      <c r="IS6" s="110"/>
      <c r="IT6" s="25"/>
      <c r="IU6" s="25"/>
      <c r="IV6" s="25"/>
      <c r="IW6" s="25"/>
      <c r="IX6" s="25"/>
      <c r="IY6" s="110"/>
      <c r="IZ6" s="110"/>
      <c r="JA6" s="25"/>
      <c r="JB6" s="25"/>
      <c r="JC6" s="25"/>
      <c r="JD6" s="25"/>
      <c r="JE6" s="25"/>
      <c r="JF6" s="110"/>
      <c r="JG6" s="110"/>
      <c r="JH6" s="25"/>
      <c r="JI6" s="25"/>
      <c r="JJ6" s="25"/>
      <c r="JK6" s="25"/>
      <c r="JL6" s="25"/>
      <c r="JM6" s="110"/>
      <c r="JN6" s="110"/>
      <c r="JO6" s="25"/>
      <c r="JP6" s="25"/>
      <c r="JQ6" s="25"/>
      <c r="JR6" s="25"/>
      <c r="JS6" s="25"/>
      <c r="JT6" s="110"/>
      <c r="JU6" s="110"/>
      <c r="JV6" s="25"/>
      <c r="JW6" s="25"/>
      <c r="JX6" s="25"/>
      <c r="JY6" s="25"/>
      <c r="JZ6" s="25"/>
      <c r="KA6" s="110"/>
      <c r="KB6" s="110"/>
      <c r="KC6" s="25"/>
      <c r="KD6" s="25"/>
      <c r="KE6" s="25"/>
      <c r="KF6" s="25"/>
      <c r="KG6" s="25"/>
      <c r="KH6" s="110"/>
      <c r="KI6" s="110"/>
      <c r="KJ6" s="25"/>
      <c r="KK6" s="25"/>
      <c r="KL6" s="25"/>
      <c r="KM6" s="25"/>
      <c r="KN6" s="25"/>
      <c r="KO6" s="110"/>
      <c r="KP6" s="110"/>
      <c r="KQ6" s="25"/>
      <c r="KR6" s="25"/>
      <c r="KS6" s="25"/>
      <c r="KT6" s="25"/>
      <c r="KU6" s="25"/>
      <c r="KV6" s="110"/>
      <c r="KW6" s="110"/>
      <c r="KX6" s="25"/>
      <c r="KY6" s="25"/>
      <c r="KZ6" s="25"/>
      <c r="LA6" s="25"/>
      <c r="LB6" s="25"/>
      <c r="LC6" s="110"/>
      <c r="LD6" s="110"/>
      <c r="LE6" s="25"/>
      <c r="LF6" s="25"/>
      <c r="LG6" s="110" t="s">
        <v>445</v>
      </c>
      <c r="LH6" s="25"/>
      <c r="LI6" s="25"/>
      <c r="LJ6" s="110"/>
      <c r="LK6" s="110"/>
      <c r="LL6" s="25"/>
      <c r="LM6" s="25"/>
      <c r="LN6" s="25"/>
      <c r="LO6" s="25"/>
      <c r="LP6" s="25"/>
      <c r="LQ6" s="110"/>
      <c r="LR6" s="110"/>
      <c r="LS6" s="25"/>
      <c r="LT6" s="25"/>
      <c r="LU6" s="25"/>
      <c r="LV6" s="25"/>
      <c r="LW6" s="25"/>
      <c r="LX6" s="110"/>
      <c r="LY6" s="110"/>
      <c r="LZ6" s="25"/>
      <c r="MA6" s="25"/>
      <c r="MB6" s="25"/>
      <c r="MC6" s="25"/>
      <c r="MD6" s="25"/>
      <c r="ME6" s="110"/>
      <c r="MF6" s="110"/>
      <c r="MG6" s="25"/>
      <c r="MH6" s="25"/>
      <c r="MI6" s="25"/>
      <c r="MJ6" s="25"/>
      <c r="MK6" s="25"/>
      <c r="ML6" s="110"/>
      <c r="MM6" s="110"/>
      <c r="MN6" s="25"/>
      <c r="MO6" s="25"/>
      <c r="MP6" s="25"/>
      <c r="MQ6" s="25"/>
      <c r="MR6" s="25"/>
      <c r="MS6" s="110"/>
      <c r="MT6" s="110"/>
      <c r="MU6" s="25"/>
      <c r="MV6" s="25"/>
      <c r="MW6" s="25"/>
      <c r="MX6" s="25"/>
      <c r="MY6" s="25"/>
      <c r="MZ6" s="110"/>
      <c r="NA6" s="110"/>
      <c r="NB6" s="25"/>
      <c r="NC6" s="25"/>
      <c r="ND6" s="25"/>
      <c r="NE6" s="129"/>
      <c r="NF6" s="111"/>
      <c r="NG6" s="8">
        <f t="shared" si="0"/>
        <v>0</v>
      </c>
      <c r="NH6" s="32" cm="1">
        <f t="array" ref="NH6">NETWORKDAYS($I$2,$AI$2)- SUM(COUNTIF(I6:AI6,{"I";"F";"CP";"R";"P";"AC";"AM"}))</f>
        <v>20</v>
      </c>
      <c r="NI6" s="138">
        <f t="shared" si="1"/>
        <v>0</v>
      </c>
      <c r="NJ6" s="8">
        <f t="shared" si="2"/>
        <v>0</v>
      </c>
      <c r="NK6" s="32" cm="1">
        <f t="array" ref="NK6">NETWORKDAYS($AJ$2,$BK$2)- SUM(COUNTIF(AJ6:BK6,{"I";"F";"CP";"R";"P";"AC";"AM"}))</f>
        <v>20</v>
      </c>
      <c r="NL6" s="138">
        <f t="shared" si="3"/>
        <v>0</v>
      </c>
      <c r="NM6" s="8">
        <f t="shared" si="4"/>
        <v>0</v>
      </c>
      <c r="NN6" s="32" cm="1">
        <f t="array" ref="NN6">NETWORKDAYS($BL$2,$CP$2)- SUM(COUNTIF(BL6:CP6,{"I";"F";"CP";"R";"P";"AC";"AM"}))</f>
        <v>22</v>
      </c>
      <c r="NO6" s="138">
        <f t="shared" si="5"/>
        <v>0</v>
      </c>
      <c r="NP6" s="8">
        <f t="shared" si="26"/>
        <v>0</v>
      </c>
      <c r="NQ6" s="32" cm="1">
        <f t="array" ref="NQ6">NETWORKDAYS($CQ$2,$DT$2,$CV$2)- SUM(COUNTIF(CQ6:DT6,{"I";"F";"CP";"R";"P";"AC";"AM"}))</f>
        <v>21</v>
      </c>
      <c r="NR6" s="138">
        <f t="shared" si="6"/>
        <v>0</v>
      </c>
      <c r="NS6" s="8">
        <f t="shared" si="7"/>
        <v>0</v>
      </c>
      <c r="NT6" s="32" cm="1">
        <f t="array" ref="NT6">NETWORKDAYS($DV$2,$EY$2)-SUM(COUNTIF(DV6:EY6,{"I";"F";"CP";"R";"P";"AC";"AM"}))</f>
        <v>16</v>
      </c>
      <c r="NU6" s="138">
        <f t="shared" si="8"/>
        <v>0</v>
      </c>
      <c r="NV6" s="8">
        <f t="shared" si="9"/>
        <v>0</v>
      </c>
      <c r="NW6" s="32" cm="1">
        <f t="array" ref="NW6">NETWORKDAYS($EZ$2,$GC$2)-SUM(COUNTIF(EZ86:GC86,{"I";"F";"CP";"R";"P";"AC";"AM"}))</f>
        <v>22</v>
      </c>
      <c r="NX6" s="138">
        <f t="shared" si="10"/>
        <v>0</v>
      </c>
      <c r="NY6" s="8">
        <f t="shared" si="11"/>
        <v>0</v>
      </c>
      <c r="NZ6" s="32" cm="1">
        <f t="array" ref="NZ6">NETWORKDAYS($GD$2,$HH$2,$GQ$2)-SUM(COUNTIF(GD6:HH6,{"I";"F";"CP";"R";"P";"AC";"AM"}))</f>
        <v>21</v>
      </c>
      <c r="OA6" s="138">
        <f t="shared" si="12"/>
        <v>0</v>
      </c>
      <c r="OB6" s="8">
        <f t="shared" si="13"/>
        <v>0</v>
      </c>
      <c r="OC6" s="32" cm="1">
        <f t="array" ref="OC6">NETWORKDAYS($HI$2,$IM$2)-SUM(COUNTIF(HI6:IM6,{"I";"F";"CP";"R";"P";"AC";"AM"}))</f>
        <v>21</v>
      </c>
      <c r="OD6" s="138">
        <f t="shared" si="14"/>
        <v>0</v>
      </c>
      <c r="OE6" s="8">
        <f t="shared" si="15"/>
        <v>0</v>
      </c>
      <c r="OF6" s="32" cm="1">
        <f t="array" ref="OF6">NETWORKDAYS($IN$2,$JQ$2)-SUM(COUNTIF(IN6:JQ6,{"I";"F";"CP";"R";"P";"AC";"AM"}))</f>
        <v>22</v>
      </c>
      <c r="OG6" s="138">
        <f t="shared" si="16"/>
        <v>0</v>
      </c>
      <c r="OH6" s="8">
        <f t="shared" si="17"/>
        <v>0</v>
      </c>
      <c r="OI6" s="32" cm="1">
        <f t="array" ref="OI6">NETWORKDAYS($JR$2,$KV$2)-SUM(COUNTIF(JR6:KV6,{"I";"F";"CP";"R";"P";"AC";"AM"}))</f>
        <v>22</v>
      </c>
      <c r="OJ6" s="138">
        <f t="shared" si="18"/>
        <v>0</v>
      </c>
      <c r="OK6" s="8">
        <f t="shared" si="19"/>
        <v>0</v>
      </c>
      <c r="OL6" s="32" cm="1">
        <f t="array" ref="OL6">NETWORKDAYS($KW$2,$LZ$2,$LG$2)-SUM(COUNTIF(KW6:LZ6,{"I";"F";"CP";"R";"P";"AC";"AM"}))</f>
        <v>19</v>
      </c>
      <c r="OM6" s="138">
        <f t="shared" si="20"/>
        <v>0</v>
      </c>
      <c r="ON6" s="8">
        <f t="shared" si="21"/>
        <v>0</v>
      </c>
      <c r="OO6" s="32" cm="1">
        <f t="array" ref="OO6">NETWORKDAYS($MA$2,$MR$2)-SUM(COUNTIF(MA6:MR6,{"I";"F";"CP";"R";"P";"AC";"AM"}))</f>
        <v>14</v>
      </c>
      <c r="OP6" s="138">
        <f t="shared" si="22"/>
        <v>0</v>
      </c>
      <c r="OQ6" s="94">
        <f t="shared" si="23"/>
        <v>0</v>
      </c>
      <c r="OR6" s="94">
        <f t="shared" si="24"/>
        <v>240</v>
      </c>
      <c r="OS6" s="138">
        <f t="shared" si="25"/>
        <v>0</v>
      </c>
    </row>
    <row r="7" spans="1:409" hidden="1" x14ac:dyDescent="0.25">
      <c r="A7" s="93" t="s">
        <v>168</v>
      </c>
      <c r="B7" s="93" t="s">
        <v>168</v>
      </c>
      <c r="C7" s="91" t="s">
        <v>160</v>
      </c>
      <c r="D7" s="91" t="s">
        <v>169</v>
      </c>
      <c r="E7" s="128"/>
      <c r="F7" s="110"/>
      <c r="G7" s="110"/>
      <c r="H7" s="110"/>
      <c r="I7" s="25"/>
      <c r="J7" s="25"/>
      <c r="K7" s="25"/>
      <c r="L7" s="25"/>
      <c r="M7" s="25"/>
      <c r="N7" s="110"/>
      <c r="O7" s="110"/>
      <c r="P7" s="25"/>
      <c r="Q7" s="25"/>
      <c r="R7" s="25"/>
      <c r="S7" s="25"/>
      <c r="T7" s="25"/>
      <c r="U7" s="110"/>
      <c r="V7" s="110"/>
      <c r="W7" s="25"/>
      <c r="X7" s="25"/>
      <c r="Y7" s="25"/>
      <c r="Z7" s="25"/>
      <c r="AA7" s="25"/>
      <c r="AB7" s="110"/>
      <c r="AC7" s="110"/>
      <c r="AD7" s="25"/>
      <c r="AE7" s="25"/>
      <c r="AF7" s="25"/>
      <c r="AG7" s="25"/>
      <c r="AH7" s="25"/>
      <c r="AI7" s="110"/>
      <c r="AJ7" s="110"/>
      <c r="AK7" s="25">
        <v>1</v>
      </c>
      <c r="AL7" s="25">
        <v>1</v>
      </c>
      <c r="AM7" s="25">
        <v>1</v>
      </c>
      <c r="AN7" s="25">
        <v>1</v>
      </c>
      <c r="AO7" s="25">
        <v>1</v>
      </c>
      <c r="AP7" s="110"/>
      <c r="AQ7" s="110"/>
      <c r="AR7" s="25">
        <v>1</v>
      </c>
      <c r="AS7" s="25">
        <v>1</v>
      </c>
      <c r="AT7" s="25">
        <v>1</v>
      </c>
      <c r="AU7" s="25">
        <v>1</v>
      </c>
      <c r="AV7" s="25"/>
      <c r="AW7" s="110"/>
      <c r="AX7" s="110"/>
      <c r="AY7" s="25"/>
      <c r="AZ7" s="25"/>
      <c r="BA7" s="25"/>
      <c r="BB7" s="25"/>
      <c r="BC7" s="25"/>
      <c r="BD7" s="110"/>
      <c r="BE7" s="110"/>
      <c r="BF7" s="25"/>
      <c r="BG7" s="25"/>
      <c r="BH7" s="25"/>
      <c r="BI7" s="25"/>
      <c r="BJ7" s="25"/>
      <c r="BK7" s="110"/>
      <c r="BL7" s="110"/>
      <c r="BM7" s="25"/>
      <c r="BN7" s="25"/>
      <c r="BO7" s="25"/>
      <c r="BP7" s="25"/>
      <c r="BQ7" s="25"/>
      <c r="BR7" s="110"/>
      <c r="BS7" s="110"/>
      <c r="BT7" s="25"/>
      <c r="BU7" s="25"/>
      <c r="BV7" s="25"/>
      <c r="BW7" s="25"/>
      <c r="BX7" s="25"/>
      <c r="BY7" s="110"/>
      <c r="BZ7" s="110"/>
      <c r="CA7" s="25"/>
      <c r="CB7" s="25"/>
      <c r="CC7" s="25"/>
      <c r="CD7" s="25"/>
      <c r="CE7" s="25"/>
      <c r="CF7" s="110"/>
      <c r="CG7" s="110"/>
      <c r="CH7" s="25"/>
      <c r="CI7" s="25"/>
      <c r="CJ7" s="25"/>
      <c r="CK7" s="25"/>
      <c r="CL7" s="25"/>
      <c r="CM7" s="110"/>
      <c r="CN7" s="110"/>
      <c r="CO7" s="25"/>
      <c r="CP7" s="25"/>
      <c r="CQ7" s="25"/>
      <c r="CR7" s="25"/>
      <c r="CS7" s="25"/>
      <c r="CT7" s="110"/>
      <c r="CU7" s="110"/>
      <c r="CV7" s="110"/>
      <c r="CW7" s="25"/>
      <c r="CX7" s="25"/>
      <c r="CY7" s="25"/>
      <c r="CZ7" s="25"/>
      <c r="DA7" s="110"/>
      <c r="DB7" s="110"/>
      <c r="DC7" s="25"/>
      <c r="DD7" s="25"/>
      <c r="DE7" s="25"/>
      <c r="DF7" s="25"/>
      <c r="DG7" s="25"/>
      <c r="DH7" s="110"/>
      <c r="DI7" s="110"/>
      <c r="DJ7" s="25"/>
      <c r="DK7" s="25"/>
      <c r="DL7" s="25"/>
      <c r="DM7" s="25"/>
      <c r="DN7" s="25"/>
      <c r="DO7" s="110"/>
      <c r="DP7" s="110"/>
      <c r="DQ7" s="25"/>
      <c r="DR7" s="25"/>
      <c r="DS7" s="25"/>
      <c r="DT7" s="25"/>
      <c r="DU7" s="110"/>
      <c r="DV7" s="110"/>
      <c r="DW7" s="110"/>
      <c r="DX7" s="25"/>
      <c r="DY7" s="25"/>
      <c r="DZ7" s="25"/>
      <c r="EA7" s="25"/>
      <c r="EB7" s="110" t="s">
        <v>445</v>
      </c>
      <c r="EC7" s="110"/>
      <c r="ED7" s="110"/>
      <c r="EE7" s="25"/>
      <c r="EF7" s="25"/>
      <c r="EG7" s="25"/>
      <c r="EH7" s="110" t="s">
        <v>445</v>
      </c>
      <c r="EI7" s="110" t="s">
        <v>445</v>
      </c>
      <c r="EJ7" s="110"/>
      <c r="EK7" s="110"/>
      <c r="EL7" s="25"/>
      <c r="EM7" s="25"/>
      <c r="EN7" s="25"/>
      <c r="EO7" s="25"/>
      <c r="EP7" s="25"/>
      <c r="EQ7" s="110"/>
      <c r="ER7" s="110"/>
      <c r="ES7" s="110" t="s">
        <v>445</v>
      </c>
      <c r="ET7" s="25"/>
      <c r="EU7" s="25"/>
      <c r="EV7" s="25"/>
      <c r="EW7" s="25"/>
      <c r="EX7" s="110"/>
      <c r="EY7" s="110"/>
      <c r="EZ7" s="25"/>
      <c r="FA7" s="25"/>
      <c r="FB7" s="25"/>
      <c r="FC7" s="25"/>
      <c r="FD7" s="25"/>
      <c r="FE7" s="110"/>
      <c r="FF7" s="110"/>
      <c r="FG7" s="25"/>
      <c r="FH7" s="25"/>
      <c r="FI7" s="25"/>
      <c r="FJ7" s="25"/>
      <c r="FK7" s="25"/>
      <c r="FL7" s="110"/>
      <c r="FM7" s="110"/>
      <c r="FN7" s="25"/>
      <c r="FO7" s="25"/>
      <c r="FP7" s="25"/>
      <c r="FQ7" s="25"/>
      <c r="FR7" s="25"/>
      <c r="FS7" s="110"/>
      <c r="FT7" s="110"/>
      <c r="FU7" s="25"/>
      <c r="FV7" s="25"/>
      <c r="FW7" s="25"/>
      <c r="FX7" s="25"/>
      <c r="FY7" s="25"/>
      <c r="FZ7" s="110"/>
      <c r="GA7" s="110"/>
      <c r="GB7" s="25"/>
      <c r="GC7" s="25"/>
      <c r="GD7" s="25"/>
      <c r="GE7" s="25"/>
      <c r="GF7" s="25"/>
      <c r="GG7" s="110"/>
      <c r="GH7" s="110"/>
      <c r="GI7" s="25"/>
      <c r="GJ7" s="25"/>
      <c r="GK7" s="25"/>
      <c r="GL7" s="25"/>
      <c r="GM7" s="25"/>
      <c r="GN7" s="110"/>
      <c r="GO7" s="110"/>
      <c r="GP7" s="110"/>
      <c r="GQ7" s="110" t="s">
        <v>445</v>
      </c>
      <c r="GR7" s="25"/>
      <c r="GS7" s="25"/>
      <c r="GT7" s="25"/>
      <c r="GU7" s="110"/>
      <c r="GV7" s="110"/>
      <c r="GW7" s="25"/>
      <c r="GX7" s="25"/>
      <c r="GY7" s="25"/>
      <c r="GZ7" s="25"/>
      <c r="HA7" s="25"/>
      <c r="HB7" s="110"/>
      <c r="HC7" s="110"/>
      <c r="HD7" s="25"/>
      <c r="HE7" s="25"/>
      <c r="HF7" s="25"/>
      <c r="HG7" s="25"/>
      <c r="HH7" s="25"/>
      <c r="HI7" s="110"/>
      <c r="HJ7" s="110"/>
      <c r="HK7" s="25"/>
      <c r="HL7" s="25"/>
      <c r="HM7" s="25"/>
      <c r="HN7" s="25"/>
      <c r="HO7" s="25"/>
      <c r="HP7" s="110"/>
      <c r="HQ7" s="110"/>
      <c r="HR7" s="25"/>
      <c r="HS7" s="25"/>
      <c r="HT7" s="25"/>
      <c r="HU7" s="25"/>
      <c r="HV7" s="25"/>
      <c r="HW7" s="110"/>
      <c r="HX7" s="110"/>
      <c r="HY7" s="25"/>
      <c r="HZ7" s="25"/>
      <c r="IA7" s="25"/>
      <c r="IB7" s="25"/>
      <c r="IC7" s="25"/>
      <c r="ID7" s="110"/>
      <c r="IE7" s="110"/>
      <c r="IF7" s="25"/>
      <c r="IG7" s="25"/>
      <c r="IH7" s="25"/>
      <c r="II7" s="25"/>
      <c r="IJ7" s="25"/>
      <c r="IK7" s="110"/>
      <c r="IL7" s="110"/>
      <c r="IM7" s="25"/>
      <c r="IN7" s="25"/>
      <c r="IO7" s="25"/>
      <c r="IP7" s="25"/>
      <c r="IQ7" s="25"/>
      <c r="IR7" s="110"/>
      <c r="IS7" s="110"/>
      <c r="IT7" s="25"/>
      <c r="IU7" s="25"/>
      <c r="IV7" s="25"/>
      <c r="IW7" s="25"/>
      <c r="IX7" s="25"/>
      <c r="IY7" s="110"/>
      <c r="IZ7" s="110"/>
      <c r="JA7" s="25"/>
      <c r="JB7" s="25"/>
      <c r="JC7" s="25"/>
      <c r="JD7" s="25"/>
      <c r="JE7" s="25"/>
      <c r="JF7" s="110"/>
      <c r="JG7" s="110"/>
      <c r="JH7" s="25"/>
      <c r="JI7" s="25"/>
      <c r="JJ7" s="25"/>
      <c r="JK7" s="25"/>
      <c r="JL7" s="25"/>
      <c r="JM7" s="110"/>
      <c r="JN7" s="110"/>
      <c r="JO7" s="25"/>
      <c r="JP7" s="25"/>
      <c r="JQ7" s="25"/>
      <c r="JR7" s="25"/>
      <c r="JS7" s="25"/>
      <c r="JT7" s="110"/>
      <c r="JU7" s="110"/>
      <c r="JV7" s="25"/>
      <c r="JW7" s="25"/>
      <c r="JX7" s="25"/>
      <c r="JY7" s="25"/>
      <c r="JZ7" s="25"/>
      <c r="KA7" s="110"/>
      <c r="KB7" s="110"/>
      <c r="KC7" s="25"/>
      <c r="KD7" s="25"/>
      <c r="KE7" s="25"/>
      <c r="KF7" s="25"/>
      <c r="KG7" s="25"/>
      <c r="KH7" s="110"/>
      <c r="KI7" s="110"/>
      <c r="KJ7" s="25"/>
      <c r="KK7" s="25"/>
      <c r="KL7" s="25"/>
      <c r="KM7" s="25"/>
      <c r="KN7" s="25"/>
      <c r="KO7" s="110"/>
      <c r="KP7" s="110"/>
      <c r="KQ7" s="25"/>
      <c r="KR7" s="25"/>
      <c r="KS7" s="25"/>
      <c r="KT7" s="25"/>
      <c r="KU7" s="25"/>
      <c r="KV7" s="110"/>
      <c r="KW7" s="110"/>
      <c r="KX7" s="25"/>
      <c r="KY7" s="25"/>
      <c r="KZ7" s="25"/>
      <c r="LA7" s="25"/>
      <c r="LB7" s="25"/>
      <c r="LC7" s="110"/>
      <c r="LD7" s="110"/>
      <c r="LE7" s="25"/>
      <c r="LF7" s="25"/>
      <c r="LG7" s="110" t="s">
        <v>445</v>
      </c>
      <c r="LH7" s="25"/>
      <c r="LI7" s="25"/>
      <c r="LJ7" s="110"/>
      <c r="LK7" s="110"/>
      <c r="LL7" s="25"/>
      <c r="LM7" s="25"/>
      <c r="LN7" s="25"/>
      <c r="LO7" s="25"/>
      <c r="LP7" s="25"/>
      <c r="LQ7" s="110"/>
      <c r="LR7" s="110"/>
      <c r="LS7" s="25"/>
      <c r="LT7" s="25"/>
      <c r="LU7" s="25"/>
      <c r="LV7" s="25"/>
      <c r="LW7" s="25"/>
      <c r="LX7" s="110"/>
      <c r="LY7" s="110"/>
      <c r="LZ7" s="25"/>
      <c r="MA7" s="25"/>
      <c r="MB7" s="25"/>
      <c r="MC7" s="25"/>
      <c r="MD7" s="25"/>
      <c r="ME7" s="110"/>
      <c r="MF7" s="110"/>
      <c r="MG7" s="25"/>
      <c r="MH7" s="25"/>
      <c r="MI7" s="25"/>
      <c r="MJ7" s="25"/>
      <c r="MK7" s="25"/>
      <c r="ML7" s="110"/>
      <c r="MM7" s="110"/>
      <c r="MN7" s="25"/>
      <c r="MO7" s="25"/>
      <c r="MP7" s="25"/>
      <c r="MQ7" s="25"/>
      <c r="MR7" s="25"/>
      <c r="MS7" s="110"/>
      <c r="MT7" s="110"/>
      <c r="MU7" s="25"/>
      <c r="MV7" s="25"/>
      <c r="MW7" s="25"/>
      <c r="MX7" s="25"/>
      <c r="MY7" s="25"/>
      <c r="MZ7" s="110"/>
      <c r="NA7" s="110"/>
      <c r="NB7" s="25"/>
      <c r="NC7" s="25"/>
      <c r="ND7" s="25"/>
      <c r="NE7" s="129"/>
      <c r="NF7" s="111"/>
      <c r="NG7" s="8">
        <f t="shared" si="0"/>
        <v>0</v>
      </c>
      <c r="NH7" s="32" cm="1">
        <f t="array" ref="NH7">NETWORKDAYS($I$2,$AI$2)- SUM(COUNTIF(I7:AI7,{"I";"F";"CP";"R";"P";"AC";"AM"}))</f>
        <v>20</v>
      </c>
      <c r="NI7" s="138">
        <f t="shared" si="1"/>
        <v>0</v>
      </c>
      <c r="NJ7" s="8">
        <f t="shared" si="2"/>
        <v>9</v>
      </c>
      <c r="NK7" s="32" cm="1">
        <f t="array" ref="NK7">NETWORKDAYS($AJ$2,$BK$2)- SUM(COUNTIF(AJ7:BK7,{"I";"F";"CP";"R";"P";"AC";"AM"}))</f>
        <v>20</v>
      </c>
      <c r="NL7" s="138">
        <f t="shared" si="3"/>
        <v>0.45</v>
      </c>
      <c r="NM7" s="8">
        <f t="shared" si="4"/>
        <v>0</v>
      </c>
      <c r="NN7" s="32" cm="1">
        <f t="array" ref="NN7">NETWORKDAYS($BL$2,$CP$2)- SUM(COUNTIF(BL7:CP7,{"I";"F";"CP";"R";"P";"AC";"AM"}))</f>
        <v>22</v>
      </c>
      <c r="NO7" s="138">
        <f t="shared" si="5"/>
        <v>0</v>
      </c>
      <c r="NP7" s="32">
        <f t="shared" si="26"/>
        <v>0</v>
      </c>
      <c r="NQ7" s="32" cm="1">
        <f t="array" ref="NQ7">NETWORKDAYS($CQ$2,$DT$2,$CV$2)- SUM(COUNTIF(CQ7:DT7,{"I";"F";"CP";"R";"P";"AC";"AM"}))</f>
        <v>21</v>
      </c>
      <c r="NR7" s="138">
        <f t="shared" si="6"/>
        <v>0</v>
      </c>
      <c r="NS7" s="8">
        <f t="shared" si="7"/>
        <v>0</v>
      </c>
      <c r="NT7" s="32" cm="1">
        <f t="array" ref="NT7">NETWORKDAYS($DV$2,$EY$2)-SUM(COUNTIF(DV7:EY7,{"I";"F";"CP";"R";"P";"AC";"AM"}))</f>
        <v>16</v>
      </c>
      <c r="NU7" s="138">
        <f t="shared" si="8"/>
        <v>0</v>
      </c>
      <c r="NV7" s="8">
        <f t="shared" si="9"/>
        <v>0</v>
      </c>
      <c r="NW7" s="32" cm="1">
        <f t="array" ref="NW7">NETWORKDAYS($EZ$2,$GC$2)-SUM(COUNTIF(EZ87:GC87,{"I";"F";"CP";"R";"P";"AC";"AM"}))</f>
        <v>22</v>
      </c>
      <c r="NX7" s="138">
        <f t="shared" si="10"/>
        <v>0</v>
      </c>
      <c r="NY7" s="8">
        <f t="shared" si="11"/>
        <v>0</v>
      </c>
      <c r="NZ7" s="32" cm="1">
        <f t="array" ref="NZ7">NETWORKDAYS($GD$2,$HH$2,$GQ$2)-SUM(COUNTIF(GD7:HH7,{"I";"F";"CP";"R";"P";"AC";"AM"}))</f>
        <v>21</v>
      </c>
      <c r="OA7" s="138">
        <f t="shared" si="12"/>
        <v>0</v>
      </c>
      <c r="OB7" s="8">
        <f t="shared" si="13"/>
        <v>0</v>
      </c>
      <c r="OC7" s="32" cm="1">
        <f t="array" ref="OC7">NETWORKDAYS($HI$2,$IM$2)-SUM(COUNTIF(HI7:IM7,{"I";"F";"CP";"R";"P";"AC";"AM"}))</f>
        <v>21</v>
      </c>
      <c r="OD7" s="138">
        <f t="shared" si="14"/>
        <v>0</v>
      </c>
      <c r="OE7" s="8">
        <f t="shared" si="15"/>
        <v>0</v>
      </c>
      <c r="OF7" s="32" cm="1">
        <f t="array" ref="OF7">NETWORKDAYS($IN$2,$JQ$2)-SUM(COUNTIF(IN7:JQ7,{"I";"F";"CP";"R";"P";"AC";"AM"}))</f>
        <v>22</v>
      </c>
      <c r="OG7" s="138">
        <f t="shared" si="16"/>
        <v>0</v>
      </c>
      <c r="OH7" s="8">
        <f t="shared" si="17"/>
        <v>0</v>
      </c>
      <c r="OI7" s="32" cm="1">
        <f t="array" ref="OI7">NETWORKDAYS($JR$2,$KV$2)-SUM(COUNTIF(JR7:KV7,{"I";"F";"CP";"R";"P";"AC";"AM"}))</f>
        <v>22</v>
      </c>
      <c r="OJ7" s="138">
        <f t="shared" si="18"/>
        <v>0</v>
      </c>
      <c r="OK7" s="8">
        <f t="shared" si="19"/>
        <v>0</v>
      </c>
      <c r="OL7" s="32" cm="1">
        <f t="array" ref="OL7">NETWORKDAYS($KW$2,$LZ$2,$LG$2)-SUM(COUNTIF(KW7:LZ7,{"I";"F";"CP";"R";"P";"AC";"AM"}))</f>
        <v>19</v>
      </c>
      <c r="OM7" s="138">
        <f t="shared" si="20"/>
        <v>0</v>
      </c>
      <c r="ON7" s="8">
        <f t="shared" si="21"/>
        <v>0</v>
      </c>
      <c r="OO7" s="32" cm="1">
        <f t="array" ref="OO7">NETWORKDAYS($MA$2,$MR$2)-SUM(COUNTIF(MA7:MR7,{"I";"F";"CP";"R";"P";"AC";"AM"}))</f>
        <v>14</v>
      </c>
      <c r="OP7" s="138">
        <f t="shared" si="22"/>
        <v>0</v>
      </c>
      <c r="OQ7" s="94">
        <f t="shared" si="23"/>
        <v>9</v>
      </c>
      <c r="OR7" s="94">
        <f t="shared" si="24"/>
        <v>240</v>
      </c>
      <c r="OS7" s="138">
        <f t="shared" si="25"/>
        <v>3.7499999999999999E-2</v>
      </c>
    </row>
    <row r="8" spans="1:409" hidden="1" x14ac:dyDescent="0.25">
      <c r="A8" s="94" t="s">
        <v>100</v>
      </c>
      <c r="B8" s="94" t="s">
        <v>34</v>
      </c>
      <c r="C8" s="27" t="s">
        <v>166</v>
      </c>
      <c r="D8" s="27" t="s">
        <v>170</v>
      </c>
      <c r="E8" s="128"/>
      <c r="F8" s="110"/>
      <c r="G8" s="110"/>
      <c r="H8" s="110"/>
      <c r="I8" s="25"/>
      <c r="J8" s="25"/>
      <c r="K8" s="25"/>
      <c r="L8" s="25"/>
      <c r="M8" s="25"/>
      <c r="N8" s="110"/>
      <c r="O8" s="110"/>
      <c r="P8" s="25"/>
      <c r="Q8" s="25"/>
      <c r="R8" s="25"/>
      <c r="S8" s="25"/>
      <c r="T8" s="25"/>
      <c r="U8" s="110"/>
      <c r="V8" s="110"/>
      <c r="W8" s="25"/>
      <c r="X8" s="25"/>
      <c r="Y8" s="25"/>
      <c r="Z8" s="25"/>
      <c r="AA8" s="25"/>
      <c r="AB8" s="110"/>
      <c r="AC8" s="110"/>
      <c r="AD8" s="25"/>
      <c r="AE8" s="25"/>
      <c r="AF8" s="25"/>
      <c r="AG8" s="25"/>
      <c r="AH8" s="25"/>
      <c r="AI8" s="110"/>
      <c r="AJ8" s="110"/>
      <c r="AK8" s="25"/>
      <c r="AL8" s="25"/>
      <c r="AM8" s="25"/>
      <c r="AN8" s="25"/>
      <c r="AO8" s="25"/>
      <c r="AP8" s="110"/>
      <c r="AQ8" s="110"/>
      <c r="AR8" s="25"/>
      <c r="AS8" s="25"/>
      <c r="AT8" s="25"/>
      <c r="AU8" s="25"/>
      <c r="AV8" s="25"/>
      <c r="AW8" s="110"/>
      <c r="AX8" s="110"/>
      <c r="AY8" s="25"/>
      <c r="AZ8" s="25"/>
      <c r="BA8" s="25"/>
      <c r="BB8" s="25"/>
      <c r="BC8" s="25"/>
      <c r="BD8" s="110"/>
      <c r="BE8" s="110"/>
      <c r="BF8" s="25"/>
      <c r="BG8" s="25"/>
      <c r="BH8" s="25"/>
      <c r="BI8" s="25"/>
      <c r="BJ8" s="25"/>
      <c r="BK8" s="110"/>
      <c r="BL8" s="110"/>
      <c r="BM8" s="25"/>
      <c r="BN8" s="25"/>
      <c r="BO8" s="25"/>
      <c r="BP8" s="25"/>
      <c r="BQ8" s="25"/>
      <c r="BR8" s="110"/>
      <c r="BS8" s="110"/>
      <c r="BT8" s="25"/>
      <c r="BU8" s="25"/>
      <c r="BV8" s="25"/>
      <c r="BW8" s="25"/>
      <c r="BX8" s="25"/>
      <c r="BY8" s="110"/>
      <c r="BZ8" s="110"/>
      <c r="CA8" s="25"/>
      <c r="CB8" s="25"/>
      <c r="CC8" s="25"/>
      <c r="CD8" s="25"/>
      <c r="CE8" s="25"/>
      <c r="CF8" s="110"/>
      <c r="CG8" s="110"/>
      <c r="CH8" s="25"/>
      <c r="CI8" s="25"/>
      <c r="CJ8" s="25"/>
      <c r="CK8" s="25"/>
      <c r="CL8" s="25"/>
      <c r="CM8" s="110"/>
      <c r="CN8" s="110"/>
      <c r="CO8" s="25"/>
      <c r="CP8" s="25"/>
      <c r="CQ8" s="25"/>
      <c r="CR8" s="25"/>
      <c r="CS8" s="25"/>
      <c r="CT8" s="110"/>
      <c r="CU8" s="110"/>
      <c r="CV8" s="110"/>
      <c r="CW8" s="25"/>
      <c r="CX8" s="25"/>
      <c r="CY8" s="25"/>
      <c r="CZ8" s="25"/>
      <c r="DA8" s="110"/>
      <c r="DB8" s="110"/>
      <c r="DC8" s="25"/>
      <c r="DD8" s="25"/>
      <c r="DE8" s="25"/>
      <c r="DF8" s="25"/>
      <c r="DG8" s="25"/>
      <c r="DH8" s="110"/>
      <c r="DI8" s="110"/>
      <c r="DJ8" s="25"/>
      <c r="DK8" s="25"/>
      <c r="DL8" s="25"/>
      <c r="DM8" s="25"/>
      <c r="DN8" s="25"/>
      <c r="DO8" s="110"/>
      <c r="DP8" s="110"/>
      <c r="DQ8" s="25"/>
      <c r="DR8" s="25"/>
      <c r="DS8" s="25"/>
      <c r="DT8" s="25"/>
      <c r="DU8" s="110"/>
      <c r="DV8" s="110"/>
      <c r="DW8" s="110"/>
      <c r="DX8" s="25"/>
      <c r="DY8" s="25"/>
      <c r="DZ8" s="25"/>
      <c r="EA8" s="25"/>
      <c r="EB8" s="110" t="s">
        <v>445</v>
      </c>
      <c r="EC8" s="110"/>
      <c r="ED8" s="110"/>
      <c r="EE8" s="25"/>
      <c r="EF8" s="25"/>
      <c r="EG8" s="25"/>
      <c r="EH8" s="110" t="s">
        <v>445</v>
      </c>
      <c r="EI8" s="110" t="s">
        <v>445</v>
      </c>
      <c r="EJ8" s="110"/>
      <c r="EK8" s="110"/>
      <c r="EL8" s="25"/>
      <c r="EM8" s="25"/>
      <c r="EN8" s="25"/>
      <c r="EO8" s="25"/>
      <c r="EP8" s="25"/>
      <c r="EQ8" s="110"/>
      <c r="ER8" s="110"/>
      <c r="ES8" s="110" t="s">
        <v>445</v>
      </c>
      <c r="ET8" s="25"/>
      <c r="EU8" s="25"/>
      <c r="EV8" s="25"/>
      <c r="EW8" s="25"/>
      <c r="EX8" s="110"/>
      <c r="EY8" s="110"/>
      <c r="EZ8" s="25"/>
      <c r="FA8" s="25"/>
      <c r="FB8" s="25"/>
      <c r="FC8" s="25"/>
      <c r="FD8" s="25"/>
      <c r="FE8" s="110"/>
      <c r="FF8" s="110"/>
      <c r="FG8" s="25"/>
      <c r="FH8" s="25"/>
      <c r="FI8" s="25"/>
      <c r="FJ8" s="25"/>
      <c r="FK8" s="25"/>
      <c r="FL8" s="110"/>
      <c r="FM8" s="110"/>
      <c r="FN8" s="25"/>
      <c r="FO8" s="25"/>
      <c r="FP8" s="25"/>
      <c r="FQ8" s="25"/>
      <c r="FR8" s="25"/>
      <c r="FS8" s="110"/>
      <c r="FT8" s="110"/>
      <c r="FU8" s="25"/>
      <c r="FV8" s="25"/>
      <c r="FW8" s="25"/>
      <c r="FX8" s="25"/>
      <c r="FY8" s="25"/>
      <c r="FZ8" s="110"/>
      <c r="GA8" s="110"/>
      <c r="GB8" s="25"/>
      <c r="GC8" s="25"/>
      <c r="GD8" s="25"/>
      <c r="GE8" s="25"/>
      <c r="GF8" s="25"/>
      <c r="GG8" s="110"/>
      <c r="GH8" s="110"/>
      <c r="GI8" s="25"/>
      <c r="GJ8" s="25"/>
      <c r="GK8" s="25"/>
      <c r="GL8" s="25"/>
      <c r="GM8" s="25"/>
      <c r="GN8" s="110"/>
      <c r="GO8" s="110"/>
      <c r="GP8" s="110"/>
      <c r="GQ8" s="110" t="s">
        <v>445</v>
      </c>
      <c r="GR8" s="25"/>
      <c r="GS8" s="25"/>
      <c r="GT8" s="25"/>
      <c r="GU8" s="110"/>
      <c r="GV8" s="110"/>
      <c r="GW8" s="25"/>
      <c r="GX8" s="25"/>
      <c r="GY8" s="25"/>
      <c r="GZ8" s="25"/>
      <c r="HA8" s="25"/>
      <c r="HB8" s="110"/>
      <c r="HC8" s="110"/>
      <c r="HD8" s="25"/>
      <c r="HE8" s="25"/>
      <c r="HF8" s="25"/>
      <c r="HG8" s="25"/>
      <c r="HH8" s="25"/>
      <c r="HI8" s="110"/>
      <c r="HJ8" s="110"/>
      <c r="HK8" s="25"/>
      <c r="HL8" s="25"/>
      <c r="HM8" s="25"/>
      <c r="HN8" s="25"/>
      <c r="HO8" s="25"/>
      <c r="HP8" s="110"/>
      <c r="HQ8" s="110"/>
      <c r="HR8" s="25"/>
      <c r="HS8" s="25"/>
      <c r="HT8" s="25"/>
      <c r="HU8" s="25"/>
      <c r="HV8" s="25"/>
      <c r="HW8" s="110"/>
      <c r="HX8" s="110"/>
      <c r="HY8" s="25"/>
      <c r="HZ8" s="25"/>
      <c r="IA8" s="25"/>
      <c r="IB8" s="25"/>
      <c r="IC8" s="25"/>
      <c r="ID8" s="110"/>
      <c r="IE8" s="110"/>
      <c r="IF8" s="25"/>
      <c r="IG8" s="25"/>
      <c r="IH8" s="25"/>
      <c r="II8" s="25"/>
      <c r="IJ8" s="25"/>
      <c r="IK8" s="110"/>
      <c r="IL8" s="110"/>
      <c r="IM8" s="25"/>
      <c r="IN8" s="25"/>
      <c r="IO8" s="25"/>
      <c r="IP8" s="25"/>
      <c r="IQ8" s="25"/>
      <c r="IR8" s="110"/>
      <c r="IS8" s="110"/>
      <c r="IT8" s="25"/>
      <c r="IU8" s="25"/>
      <c r="IV8" s="25"/>
      <c r="IW8" s="25"/>
      <c r="IX8" s="25"/>
      <c r="IY8" s="110"/>
      <c r="IZ8" s="110"/>
      <c r="JA8" s="25"/>
      <c r="JB8" s="25"/>
      <c r="JC8" s="25"/>
      <c r="JD8" s="25"/>
      <c r="JE8" s="25"/>
      <c r="JF8" s="110"/>
      <c r="JG8" s="110"/>
      <c r="JH8" s="25"/>
      <c r="JI8" s="25"/>
      <c r="JJ8" s="25"/>
      <c r="JK8" s="25"/>
      <c r="JL8" s="25"/>
      <c r="JM8" s="110"/>
      <c r="JN8" s="110"/>
      <c r="JO8" s="25"/>
      <c r="JP8" s="25"/>
      <c r="JQ8" s="25"/>
      <c r="JR8" s="25"/>
      <c r="JS8" s="25"/>
      <c r="JT8" s="110"/>
      <c r="JU8" s="110"/>
      <c r="JV8" s="25"/>
      <c r="JW8" s="25"/>
      <c r="JX8" s="25"/>
      <c r="JY8" s="25"/>
      <c r="JZ8" s="25"/>
      <c r="KA8" s="110"/>
      <c r="KB8" s="110"/>
      <c r="KC8" s="25"/>
      <c r="KD8" s="25"/>
      <c r="KE8" s="25"/>
      <c r="KF8" s="25"/>
      <c r="KG8" s="25"/>
      <c r="KH8" s="110"/>
      <c r="KI8" s="110"/>
      <c r="KJ8" s="25"/>
      <c r="KK8" s="25"/>
      <c r="KL8" s="25"/>
      <c r="KM8" s="25"/>
      <c r="KN8" s="25"/>
      <c r="KO8" s="110"/>
      <c r="KP8" s="110"/>
      <c r="KQ8" s="25"/>
      <c r="KR8" s="25"/>
      <c r="KS8" s="25"/>
      <c r="KT8" s="25"/>
      <c r="KU8" s="25"/>
      <c r="KV8" s="110"/>
      <c r="KW8" s="110"/>
      <c r="KX8" s="25"/>
      <c r="KY8" s="25"/>
      <c r="KZ8" s="25"/>
      <c r="LA8" s="25"/>
      <c r="LB8" s="25"/>
      <c r="LC8" s="110"/>
      <c r="LD8" s="110"/>
      <c r="LE8" s="25"/>
      <c r="LF8" s="25"/>
      <c r="LG8" s="110" t="s">
        <v>445</v>
      </c>
      <c r="LH8" s="25"/>
      <c r="LI8" s="25"/>
      <c r="LJ8" s="110"/>
      <c r="LK8" s="110"/>
      <c r="LL8" s="25"/>
      <c r="LM8" s="25"/>
      <c r="LN8" s="25"/>
      <c r="LO8" s="25"/>
      <c r="LP8" s="25"/>
      <c r="LQ8" s="110"/>
      <c r="LR8" s="110"/>
      <c r="LS8" s="25"/>
      <c r="LT8" s="25"/>
      <c r="LU8" s="25"/>
      <c r="LV8" s="25"/>
      <c r="LW8" s="25"/>
      <c r="LX8" s="110"/>
      <c r="LY8" s="110"/>
      <c r="LZ8" s="25"/>
      <c r="MA8" s="25"/>
      <c r="MB8" s="25"/>
      <c r="MC8" s="25"/>
      <c r="MD8" s="25"/>
      <c r="ME8" s="110"/>
      <c r="MF8" s="110"/>
      <c r="MG8" s="25"/>
      <c r="MH8" s="25"/>
      <c r="MI8" s="25"/>
      <c r="MJ8" s="25"/>
      <c r="MK8" s="25"/>
      <c r="ML8" s="110"/>
      <c r="MM8" s="110"/>
      <c r="MN8" s="25"/>
      <c r="MO8" s="25"/>
      <c r="MP8" s="25"/>
      <c r="MQ8" s="25"/>
      <c r="MR8" s="25"/>
      <c r="MS8" s="110"/>
      <c r="MT8" s="110"/>
      <c r="MU8" s="25"/>
      <c r="MV8" s="25"/>
      <c r="MW8" s="25"/>
      <c r="MX8" s="25"/>
      <c r="MY8" s="25"/>
      <c r="MZ8" s="110"/>
      <c r="NA8" s="110"/>
      <c r="NB8" s="25"/>
      <c r="NC8" s="25"/>
      <c r="ND8" s="25"/>
      <c r="NE8" s="129"/>
      <c r="NF8" s="111"/>
      <c r="NG8" s="8">
        <f t="shared" si="0"/>
        <v>0</v>
      </c>
      <c r="NH8" s="32" cm="1">
        <f t="array" ref="NH8">NETWORKDAYS($I$2,$AI$2)- SUM(COUNTIF(I8:AI8,{"I";"F";"CP";"R";"P";"AC";"AM"}))</f>
        <v>20</v>
      </c>
      <c r="NI8" s="138">
        <f t="shared" si="1"/>
        <v>0</v>
      </c>
      <c r="NJ8" s="8">
        <f t="shared" si="2"/>
        <v>0</v>
      </c>
      <c r="NK8" s="32" cm="1">
        <f t="array" ref="NK8">NETWORKDAYS($AJ$2,$BK$2)- SUM(COUNTIF(AJ8:BK8,{"I";"F";"CP";"R";"P";"AC";"AM"}))</f>
        <v>20</v>
      </c>
      <c r="NL8" s="138">
        <f t="shared" si="3"/>
        <v>0</v>
      </c>
      <c r="NM8" s="8">
        <f t="shared" si="4"/>
        <v>0</v>
      </c>
      <c r="NN8" s="32" cm="1">
        <f t="array" ref="NN8">NETWORKDAYS($BL$2,$CP$2)- SUM(COUNTIF(BL8:CP8,{"I";"F";"CP";"R";"P";"AC";"AM"}))</f>
        <v>22</v>
      </c>
      <c r="NO8" s="138">
        <f t="shared" si="5"/>
        <v>0</v>
      </c>
      <c r="NP8" s="8">
        <f t="shared" si="26"/>
        <v>0</v>
      </c>
      <c r="NQ8" s="32" cm="1">
        <f t="array" ref="NQ8">NETWORKDAYS($CQ$2,$DT$2,$CV$2)- SUM(COUNTIF(CQ8:DT8,{"I";"F";"CP";"R";"P";"AC";"AM"}))</f>
        <v>21</v>
      </c>
      <c r="NR8" s="138">
        <f t="shared" si="6"/>
        <v>0</v>
      </c>
      <c r="NS8" s="8">
        <f t="shared" si="7"/>
        <v>0</v>
      </c>
      <c r="NT8" s="32" cm="1">
        <f t="array" ref="NT8">NETWORKDAYS($DV$2,$EY$2)-SUM(COUNTIF(DV8:EY8,{"I";"F";"CP";"R";"P";"AC";"AM"}))</f>
        <v>16</v>
      </c>
      <c r="NU8" s="138">
        <f t="shared" si="8"/>
        <v>0</v>
      </c>
      <c r="NV8" s="8">
        <f t="shared" si="9"/>
        <v>0</v>
      </c>
      <c r="NW8" s="32" cm="1">
        <f t="array" ref="NW8">NETWORKDAYS($EZ$2,$GC$2)-SUM(COUNTIF(EZ88:GC88,{"I";"F";"CP";"R";"P";"AC";"AM"}))</f>
        <v>22</v>
      </c>
      <c r="NX8" s="138">
        <f t="shared" si="10"/>
        <v>0</v>
      </c>
      <c r="NY8" s="8">
        <f t="shared" si="11"/>
        <v>0</v>
      </c>
      <c r="NZ8" s="32" cm="1">
        <f t="array" ref="NZ8">NETWORKDAYS($GD$2,$HH$2,$GQ$2)-SUM(COUNTIF(GD8:HH8,{"I";"F";"CP";"R";"P";"AC";"AM"}))</f>
        <v>21</v>
      </c>
      <c r="OA8" s="138">
        <f t="shared" si="12"/>
        <v>0</v>
      </c>
      <c r="OB8" s="8">
        <f t="shared" si="13"/>
        <v>0</v>
      </c>
      <c r="OC8" s="32" cm="1">
        <f t="array" ref="OC8">NETWORKDAYS($HI$2,$IM$2)-SUM(COUNTIF(HI8:IM8,{"I";"F";"CP";"R";"P";"AC";"AM"}))</f>
        <v>21</v>
      </c>
      <c r="OD8" s="138">
        <f t="shared" si="14"/>
        <v>0</v>
      </c>
      <c r="OE8" s="8">
        <f t="shared" si="15"/>
        <v>0</v>
      </c>
      <c r="OF8" s="32" cm="1">
        <f t="array" ref="OF8">NETWORKDAYS($IN$2,$JQ$2)-SUM(COUNTIF(IN8:JQ8,{"I";"F";"CP";"R";"P";"AC";"AM"}))</f>
        <v>22</v>
      </c>
      <c r="OG8" s="138">
        <f t="shared" si="16"/>
        <v>0</v>
      </c>
      <c r="OH8" s="8">
        <f t="shared" si="17"/>
        <v>0</v>
      </c>
      <c r="OI8" s="32" cm="1">
        <f t="array" ref="OI8">NETWORKDAYS($JR$2,$KV$2)-SUM(COUNTIF(JR8:KV8,{"I";"F";"CP";"R";"P";"AC";"AM"}))</f>
        <v>22</v>
      </c>
      <c r="OJ8" s="138">
        <f t="shared" si="18"/>
        <v>0</v>
      </c>
      <c r="OK8" s="8">
        <f t="shared" si="19"/>
        <v>0</v>
      </c>
      <c r="OL8" s="32" cm="1">
        <f t="array" ref="OL8">NETWORKDAYS($KW$2,$LZ$2,$LG$2)-SUM(COUNTIF(KW8:LZ8,{"I";"F";"CP";"R";"P";"AC";"AM"}))</f>
        <v>19</v>
      </c>
      <c r="OM8" s="138">
        <f t="shared" si="20"/>
        <v>0</v>
      </c>
      <c r="ON8" s="8">
        <f t="shared" si="21"/>
        <v>0</v>
      </c>
      <c r="OO8" s="32" cm="1">
        <f t="array" ref="OO8">NETWORKDAYS($MA$2,$MR$2)-SUM(COUNTIF(MA8:MR8,{"I";"F";"CP";"R";"P";"AC";"AM"}))</f>
        <v>14</v>
      </c>
      <c r="OP8" s="138">
        <f t="shared" si="22"/>
        <v>0</v>
      </c>
      <c r="OQ8" s="94">
        <f t="shared" si="23"/>
        <v>0</v>
      </c>
      <c r="OR8" s="94">
        <f t="shared" si="24"/>
        <v>240</v>
      </c>
      <c r="OS8" s="138">
        <f t="shared" si="25"/>
        <v>0</v>
      </c>
    </row>
    <row r="9" spans="1:409" hidden="1" x14ac:dyDescent="0.25">
      <c r="A9" s="93" t="s">
        <v>168</v>
      </c>
      <c r="B9" s="93" t="s">
        <v>168</v>
      </c>
      <c r="C9" s="91" t="s">
        <v>160</v>
      </c>
      <c r="D9" s="91" t="s">
        <v>171</v>
      </c>
      <c r="E9" s="128"/>
      <c r="F9" s="110"/>
      <c r="G9" s="110"/>
      <c r="H9" s="110"/>
      <c r="I9" s="25"/>
      <c r="J9" s="25"/>
      <c r="K9" s="25"/>
      <c r="L9" s="25"/>
      <c r="M9" s="25"/>
      <c r="N9" s="110"/>
      <c r="O9" s="110"/>
      <c r="P9" s="25"/>
      <c r="Q9" s="25"/>
      <c r="R9" s="25"/>
      <c r="S9" s="25"/>
      <c r="T9" s="25"/>
      <c r="U9" s="110"/>
      <c r="V9" s="110"/>
      <c r="W9" s="25"/>
      <c r="X9" s="25"/>
      <c r="Y9" s="25"/>
      <c r="Z9" s="25"/>
      <c r="AA9" s="25"/>
      <c r="AB9" s="110"/>
      <c r="AC9" s="110"/>
      <c r="AD9" s="25"/>
      <c r="AE9" s="25"/>
      <c r="AF9" s="25"/>
      <c r="AG9" s="25"/>
      <c r="AH9" s="25"/>
      <c r="AI9" s="110"/>
      <c r="AJ9" s="110"/>
      <c r="AK9" s="25">
        <v>1</v>
      </c>
      <c r="AL9" s="25">
        <v>1</v>
      </c>
      <c r="AM9" s="25">
        <v>1</v>
      </c>
      <c r="AN9" s="25">
        <v>1</v>
      </c>
      <c r="AO9" s="25">
        <v>1</v>
      </c>
      <c r="AP9" s="110"/>
      <c r="AQ9" s="110"/>
      <c r="AR9" s="25">
        <v>1</v>
      </c>
      <c r="AS9" s="25">
        <v>1</v>
      </c>
      <c r="AT9" s="25">
        <v>1</v>
      </c>
      <c r="AU9" s="25">
        <v>1</v>
      </c>
      <c r="AV9" s="25">
        <v>1</v>
      </c>
      <c r="AW9" s="110"/>
      <c r="AX9" s="110"/>
      <c r="AY9" s="25"/>
      <c r="AZ9" s="25"/>
      <c r="BA9" s="25"/>
      <c r="BB9" s="25"/>
      <c r="BC9" s="25"/>
      <c r="BD9" s="110"/>
      <c r="BE9" s="110"/>
      <c r="BF9" s="25"/>
      <c r="BG9" s="25"/>
      <c r="BH9" s="25"/>
      <c r="BI9" s="25"/>
      <c r="BJ9" s="25"/>
      <c r="BK9" s="110"/>
      <c r="BL9" s="110"/>
      <c r="BM9" s="25"/>
      <c r="BN9" s="25"/>
      <c r="BO9" s="25"/>
      <c r="BP9" s="25"/>
      <c r="BQ9" s="25"/>
      <c r="BR9" s="110"/>
      <c r="BS9" s="110"/>
      <c r="BT9" s="25"/>
      <c r="BU9" s="25"/>
      <c r="BV9" s="25"/>
      <c r="BW9" s="25"/>
      <c r="BX9" s="25"/>
      <c r="BY9" s="110"/>
      <c r="BZ9" s="110"/>
      <c r="CA9" s="25"/>
      <c r="CB9" s="25"/>
      <c r="CC9" s="25"/>
      <c r="CD9" s="25"/>
      <c r="CE9" s="25"/>
      <c r="CF9" s="110"/>
      <c r="CG9" s="110"/>
      <c r="CH9" s="25"/>
      <c r="CI9" s="25"/>
      <c r="CJ9" s="25"/>
      <c r="CK9" s="25"/>
      <c r="CL9" s="25"/>
      <c r="CM9" s="110"/>
      <c r="CN9" s="110"/>
      <c r="CO9" s="25"/>
      <c r="CP9" s="25"/>
      <c r="CQ9" s="25"/>
      <c r="CR9" s="25"/>
      <c r="CS9" s="25"/>
      <c r="CT9" s="110"/>
      <c r="CU9" s="110"/>
      <c r="CV9" s="110"/>
      <c r="CW9" s="25"/>
      <c r="CX9" s="25"/>
      <c r="CY9" s="25"/>
      <c r="CZ9" s="25"/>
      <c r="DA9" s="110"/>
      <c r="DB9" s="110"/>
      <c r="DC9" s="25"/>
      <c r="DD9" s="25"/>
      <c r="DE9" s="25"/>
      <c r="DF9" s="25"/>
      <c r="DG9" s="25"/>
      <c r="DH9" s="110"/>
      <c r="DI9" s="110"/>
      <c r="DJ9" s="25"/>
      <c r="DK9" s="25"/>
      <c r="DL9" s="25"/>
      <c r="DM9" s="25"/>
      <c r="DN9" s="25"/>
      <c r="DO9" s="110"/>
      <c r="DP9" s="110"/>
      <c r="DQ9" s="25"/>
      <c r="DR9" s="25"/>
      <c r="DS9" s="25"/>
      <c r="DT9" s="25"/>
      <c r="DU9" s="110"/>
      <c r="DV9" s="110"/>
      <c r="DW9" s="110"/>
      <c r="DX9" s="25"/>
      <c r="DY9" s="25"/>
      <c r="DZ9" s="25"/>
      <c r="EA9" s="25"/>
      <c r="EB9" s="110" t="s">
        <v>445</v>
      </c>
      <c r="EC9" s="110"/>
      <c r="ED9" s="110"/>
      <c r="EE9" s="25"/>
      <c r="EF9" s="25"/>
      <c r="EG9" s="25"/>
      <c r="EH9" s="110" t="s">
        <v>445</v>
      </c>
      <c r="EI9" s="110" t="s">
        <v>445</v>
      </c>
      <c r="EJ9" s="110"/>
      <c r="EK9" s="110"/>
      <c r="EL9" s="25"/>
      <c r="EM9" s="25"/>
      <c r="EN9" s="25"/>
      <c r="EO9" s="25"/>
      <c r="EP9" s="25"/>
      <c r="EQ9" s="110"/>
      <c r="ER9" s="110"/>
      <c r="ES9" s="110" t="s">
        <v>445</v>
      </c>
      <c r="ET9" s="25"/>
      <c r="EU9" s="25"/>
      <c r="EV9" s="25"/>
      <c r="EW9" s="25"/>
      <c r="EX9" s="110"/>
      <c r="EY9" s="110"/>
      <c r="EZ9" s="25"/>
      <c r="FA9" s="25"/>
      <c r="FB9" s="25"/>
      <c r="FC9" s="25"/>
      <c r="FD9" s="25"/>
      <c r="FE9" s="110"/>
      <c r="FF9" s="110"/>
      <c r="FG9" s="25"/>
      <c r="FH9" s="25"/>
      <c r="FI9" s="25"/>
      <c r="FJ9" s="25"/>
      <c r="FK9" s="25"/>
      <c r="FL9" s="110"/>
      <c r="FM9" s="110"/>
      <c r="FN9" s="25"/>
      <c r="FO9" s="25"/>
      <c r="FP9" s="25"/>
      <c r="FQ9" s="25"/>
      <c r="FR9" s="25"/>
      <c r="FS9" s="110"/>
      <c r="FT9" s="110"/>
      <c r="FU9" s="25"/>
      <c r="FV9" s="25"/>
      <c r="FW9" s="25"/>
      <c r="FX9" s="25"/>
      <c r="FY9" s="25"/>
      <c r="FZ9" s="110"/>
      <c r="GA9" s="110"/>
      <c r="GB9" s="25"/>
      <c r="GC9" s="25"/>
      <c r="GD9" s="25"/>
      <c r="GE9" s="25"/>
      <c r="GF9" s="25"/>
      <c r="GG9" s="110"/>
      <c r="GH9" s="110"/>
      <c r="GI9" s="25"/>
      <c r="GJ9" s="25"/>
      <c r="GK9" s="25"/>
      <c r="GL9" s="25"/>
      <c r="GM9" s="25"/>
      <c r="GN9" s="110"/>
      <c r="GO9" s="110"/>
      <c r="GP9" s="110"/>
      <c r="GQ9" s="110" t="s">
        <v>445</v>
      </c>
      <c r="GR9" s="25"/>
      <c r="GS9" s="25"/>
      <c r="GT9" s="25"/>
      <c r="GU9" s="110"/>
      <c r="GV9" s="110"/>
      <c r="GW9" s="25"/>
      <c r="GX9" s="25"/>
      <c r="GY9" s="25"/>
      <c r="GZ9" s="25"/>
      <c r="HA9" s="25"/>
      <c r="HB9" s="110"/>
      <c r="HC9" s="110"/>
      <c r="HD9" s="25"/>
      <c r="HE9" s="25"/>
      <c r="HF9" s="25"/>
      <c r="HG9" s="25"/>
      <c r="HH9" s="25"/>
      <c r="HI9" s="110"/>
      <c r="HJ9" s="110"/>
      <c r="HK9" s="25"/>
      <c r="HL9" s="25"/>
      <c r="HM9" s="25"/>
      <c r="HN9" s="25"/>
      <c r="HO9" s="25"/>
      <c r="HP9" s="110"/>
      <c r="HQ9" s="110"/>
      <c r="HR9" s="25"/>
      <c r="HS9" s="25"/>
      <c r="HT9" s="25"/>
      <c r="HU9" s="25"/>
      <c r="HV9" s="25"/>
      <c r="HW9" s="110"/>
      <c r="HX9" s="110"/>
      <c r="HY9" s="25"/>
      <c r="HZ9" s="25"/>
      <c r="IA9" s="25"/>
      <c r="IB9" s="25"/>
      <c r="IC9" s="25"/>
      <c r="ID9" s="110"/>
      <c r="IE9" s="110"/>
      <c r="IF9" s="25"/>
      <c r="IG9" s="25"/>
      <c r="IH9" s="25"/>
      <c r="II9" s="25"/>
      <c r="IJ9" s="25"/>
      <c r="IK9" s="110"/>
      <c r="IL9" s="110"/>
      <c r="IM9" s="25"/>
      <c r="IN9" s="25"/>
      <c r="IO9" s="25"/>
      <c r="IP9" s="25"/>
      <c r="IQ9" s="25"/>
      <c r="IR9" s="110"/>
      <c r="IS9" s="110"/>
      <c r="IT9" s="25"/>
      <c r="IU9" s="25"/>
      <c r="IV9" s="25"/>
      <c r="IW9" s="25"/>
      <c r="IX9" s="25"/>
      <c r="IY9" s="110"/>
      <c r="IZ9" s="110"/>
      <c r="JA9" s="25"/>
      <c r="JB9" s="25"/>
      <c r="JC9" s="25"/>
      <c r="JD9" s="25"/>
      <c r="JE9" s="25"/>
      <c r="JF9" s="110"/>
      <c r="JG9" s="110"/>
      <c r="JH9" s="25"/>
      <c r="JI9" s="25"/>
      <c r="JJ9" s="25"/>
      <c r="JK9" s="25"/>
      <c r="JL9" s="25"/>
      <c r="JM9" s="110"/>
      <c r="JN9" s="110"/>
      <c r="JO9" s="25"/>
      <c r="JP9" s="25"/>
      <c r="JQ9" s="25"/>
      <c r="JR9" s="25"/>
      <c r="JS9" s="25"/>
      <c r="JT9" s="110"/>
      <c r="JU9" s="110"/>
      <c r="JV9" s="25"/>
      <c r="JW9" s="25"/>
      <c r="JX9" s="25"/>
      <c r="JY9" s="25"/>
      <c r="JZ9" s="25"/>
      <c r="KA9" s="110"/>
      <c r="KB9" s="110"/>
      <c r="KC9" s="25"/>
      <c r="KD9" s="25"/>
      <c r="KE9" s="25"/>
      <c r="KF9" s="25"/>
      <c r="KG9" s="25"/>
      <c r="KH9" s="110"/>
      <c r="KI9" s="110"/>
      <c r="KJ9" s="25"/>
      <c r="KK9" s="25"/>
      <c r="KL9" s="25"/>
      <c r="KM9" s="25"/>
      <c r="KN9" s="25"/>
      <c r="KO9" s="110"/>
      <c r="KP9" s="110"/>
      <c r="KQ9" s="25"/>
      <c r="KR9" s="25"/>
      <c r="KS9" s="25"/>
      <c r="KT9" s="25"/>
      <c r="KU9" s="25"/>
      <c r="KV9" s="110"/>
      <c r="KW9" s="110"/>
      <c r="KX9" s="25"/>
      <c r="KY9" s="25"/>
      <c r="KZ9" s="25"/>
      <c r="LA9" s="25"/>
      <c r="LB9" s="25"/>
      <c r="LC9" s="110"/>
      <c r="LD9" s="110"/>
      <c r="LE9" s="25"/>
      <c r="LF9" s="25"/>
      <c r="LG9" s="110" t="s">
        <v>445</v>
      </c>
      <c r="LH9" s="25"/>
      <c r="LI9" s="25"/>
      <c r="LJ9" s="110"/>
      <c r="LK9" s="110"/>
      <c r="LL9" s="25"/>
      <c r="LM9" s="25"/>
      <c r="LN9" s="25"/>
      <c r="LO9" s="25"/>
      <c r="LP9" s="25"/>
      <c r="LQ9" s="110"/>
      <c r="LR9" s="110"/>
      <c r="LS9" s="25"/>
      <c r="LT9" s="25"/>
      <c r="LU9" s="25"/>
      <c r="LV9" s="25"/>
      <c r="LW9" s="25"/>
      <c r="LX9" s="110"/>
      <c r="LY9" s="110"/>
      <c r="LZ9" s="25"/>
      <c r="MA9" s="25"/>
      <c r="MB9" s="25"/>
      <c r="MC9" s="25"/>
      <c r="MD9" s="25"/>
      <c r="ME9" s="110"/>
      <c r="MF9" s="110"/>
      <c r="MG9" s="25"/>
      <c r="MH9" s="25"/>
      <c r="MI9" s="25"/>
      <c r="MJ9" s="25"/>
      <c r="MK9" s="25"/>
      <c r="ML9" s="110"/>
      <c r="MM9" s="110"/>
      <c r="MN9" s="25"/>
      <c r="MO9" s="25"/>
      <c r="MP9" s="25"/>
      <c r="MQ9" s="25"/>
      <c r="MR9" s="25"/>
      <c r="MS9" s="110"/>
      <c r="MT9" s="110"/>
      <c r="MU9" s="25"/>
      <c r="MV9" s="25"/>
      <c r="MW9" s="25"/>
      <c r="MX9" s="25"/>
      <c r="MY9" s="25"/>
      <c r="MZ9" s="110"/>
      <c r="NA9" s="110"/>
      <c r="NB9" s="25"/>
      <c r="NC9" s="25"/>
      <c r="ND9" s="25"/>
      <c r="NE9" s="129"/>
      <c r="NF9" s="111"/>
      <c r="NG9" s="8">
        <f t="shared" si="0"/>
        <v>0</v>
      </c>
      <c r="NH9" s="32" cm="1">
        <f t="array" ref="NH9">NETWORKDAYS($I$2,$AI$2)- SUM(COUNTIF(I9:AI9,{"I";"F";"CP";"R";"P";"AC";"AM"}))</f>
        <v>20</v>
      </c>
      <c r="NI9" s="138">
        <f t="shared" si="1"/>
        <v>0</v>
      </c>
      <c r="NJ9" s="8">
        <f t="shared" si="2"/>
        <v>10</v>
      </c>
      <c r="NK9" s="32" cm="1">
        <f t="array" ref="NK9">NETWORKDAYS($AJ$2,$BK$2)- SUM(COUNTIF(AJ9:BK9,{"I";"F";"CP";"R";"P";"AC";"AM"}))</f>
        <v>20</v>
      </c>
      <c r="NL9" s="138">
        <f t="shared" si="3"/>
        <v>0.5</v>
      </c>
      <c r="NM9" s="8">
        <f t="shared" si="4"/>
        <v>0</v>
      </c>
      <c r="NN9" s="32" cm="1">
        <f t="array" ref="NN9">NETWORKDAYS($BL$2,$CP$2)- SUM(COUNTIF(BL9:CP9,{"I";"F";"CP";"R";"P";"AC";"AM"}))</f>
        <v>22</v>
      </c>
      <c r="NO9" s="138">
        <f t="shared" si="5"/>
        <v>0</v>
      </c>
      <c r="NP9" s="32">
        <f t="shared" si="26"/>
        <v>0</v>
      </c>
      <c r="NQ9" s="32" cm="1">
        <f t="array" ref="NQ9">NETWORKDAYS($CQ$2,$DT$2,$CV$2)- SUM(COUNTIF(CQ9:DT9,{"I";"F";"CP";"R";"P";"AC";"AM"}))</f>
        <v>21</v>
      </c>
      <c r="NR9" s="138">
        <f t="shared" si="6"/>
        <v>0</v>
      </c>
      <c r="NS9" s="8">
        <f t="shared" si="7"/>
        <v>0</v>
      </c>
      <c r="NT9" s="32" cm="1">
        <f t="array" ref="NT9">NETWORKDAYS($DV$2,$EY$2)-SUM(COUNTIF(DV9:EY9,{"I";"F";"CP";"R";"P";"AC";"AM"}))</f>
        <v>16</v>
      </c>
      <c r="NU9" s="138">
        <f t="shared" si="8"/>
        <v>0</v>
      </c>
      <c r="NV9" s="8">
        <f t="shared" si="9"/>
        <v>0</v>
      </c>
      <c r="NW9" s="32" cm="1">
        <f t="array" ref="NW9">NETWORKDAYS($EZ$2,$GC$2)-SUM(COUNTIF(EZ89:GC89,{"I";"F";"CP";"R";"P";"AC";"AM"}))</f>
        <v>22</v>
      </c>
      <c r="NX9" s="138">
        <f t="shared" si="10"/>
        <v>0</v>
      </c>
      <c r="NY9" s="8">
        <f t="shared" si="11"/>
        <v>0</v>
      </c>
      <c r="NZ9" s="32" cm="1">
        <f t="array" ref="NZ9">NETWORKDAYS($GD$2,$HH$2,$GQ$2)-SUM(COUNTIF(GD9:HH9,{"I";"F";"CP";"R";"P";"AC";"AM"}))</f>
        <v>21</v>
      </c>
      <c r="OA9" s="138">
        <f t="shared" si="12"/>
        <v>0</v>
      </c>
      <c r="OB9" s="8">
        <f t="shared" si="13"/>
        <v>0</v>
      </c>
      <c r="OC9" s="32" cm="1">
        <f t="array" ref="OC9">NETWORKDAYS($HI$2,$IM$2)-SUM(COUNTIF(HI9:IM9,{"I";"F";"CP";"R";"P";"AC";"AM"}))</f>
        <v>21</v>
      </c>
      <c r="OD9" s="138">
        <f t="shared" si="14"/>
        <v>0</v>
      </c>
      <c r="OE9" s="8">
        <f t="shared" si="15"/>
        <v>0</v>
      </c>
      <c r="OF9" s="32" cm="1">
        <f t="array" ref="OF9">NETWORKDAYS($IN$2,$JQ$2)-SUM(COUNTIF(IN9:JQ9,{"I";"F";"CP";"R";"P";"AC";"AM"}))</f>
        <v>22</v>
      </c>
      <c r="OG9" s="138">
        <f t="shared" si="16"/>
        <v>0</v>
      </c>
      <c r="OH9" s="8">
        <f t="shared" si="17"/>
        <v>0</v>
      </c>
      <c r="OI9" s="32" cm="1">
        <f t="array" ref="OI9">NETWORKDAYS($JR$2,$KV$2)-SUM(COUNTIF(JR9:KV9,{"I";"F";"CP";"R";"P";"AC";"AM"}))</f>
        <v>22</v>
      </c>
      <c r="OJ9" s="138">
        <f t="shared" si="18"/>
        <v>0</v>
      </c>
      <c r="OK9" s="8">
        <f t="shared" si="19"/>
        <v>0</v>
      </c>
      <c r="OL9" s="32" cm="1">
        <f t="array" ref="OL9">NETWORKDAYS($KW$2,$LZ$2,$LG$2)-SUM(COUNTIF(KW9:LZ9,{"I";"F";"CP";"R";"P";"AC";"AM"}))</f>
        <v>19</v>
      </c>
      <c r="OM9" s="138">
        <f t="shared" si="20"/>
        <v>0</v>
      </c>
      <c r="ON9" s="8">
        <f t="shared" si="21"/>
        <v>0</v>
      </c>
      <c r="OO9" s="32" cm="1">
        <f t="array" ref="OO9">NETWORKDAYS($MA$2,$MR$2)-SUM(COUNTIF(MA9:MR9,{"I";"F";"CP";"R";"P";"AC";"AM"}))</f>
        <v>14</v>
      </c>
      <c r="OP9" s="138">
        <f t="shared" si="22"/>
        <v>0</v>
      </c>
      <c r="OQ9" s="94">
        <f t="shared" si="23"/>
        <v>10</v>
      </c>
      <c r="OR9" s="94">
        <f t="shared" si="24"/>
        <v>240</v>
      </c>
      <c r="OS9" s="138">
        <f t="shared" si="25"/>
        <v>4.1666666666666664E-2</v>
      </c>
    </row>
    <row r="10" spans="1:409" hidden="1" x14ac:dyDescent="0.25">
      <c r="A10" s="93" t="s">
        <v>468</v>
      </c>
      <c r="B10" s="93" t="s">
        <v>34</v>
      </c>
      <c r="C10" s="91" t="s">
        <v>160</v>
      </c>
      <c r="D10" s="91" t="s">
        <v>172</v>
      </c>
      <c r="E10" s="128"/>
      <c r="F10" s="110"/>
      <c r="G10" s="110"/>
      <c r="H10" s="110"/>
      <c r="I10" s="25"/>
      <c r="J10" s="25"/>
      <c r="K10" s="25"/>
      <c r="L10" s="25"/>
      <c r="M10" s="25"/>
      <c r="N10" s="110"/>
      <c r="O10" s="110"/>
      <c r="P10" s="25"/>
      <c r="Q10" s="25"/>
      <c r="R10" s="25"/>
      <c r="S10" s="25"/>
      <c r="T10" s="25"/>
      <c r="U10" s="110"/>
      <c r="V10" s="110"/>
      <c r="W10" s="25"/>
      <c r="X10" s="25"/>
      <c r="Y10" s="25"/>
      <c r="Z10" s="25"/>
      <c r="AA10" s="25"/>
      <c r="AB10" s="110"/>
      <c r="AC10" s="110"/>
      <c r="AD10" s="25"/>
      <c r="AE10" s="25"/>
      <c r="AF10" s="25"/>
      <c r="AG10" s="25"/>
      <c r="AH10" s="25"/>
      <c r="AI10" s="110"/>
      <c r="AJ10" s="110"/>
      <c r="AK10" s="25"/>
      <c r="AL10" s="25"/>
      <c r="AM10" s="25"/>
      <c r="AN10" s="25"/>
      <c r="AO10" s="25"/>
      <c r="AP10" s="110"/>
      <c r="AQ10" s="110"/>
      <c r="AR10" s="25"/>
      <c r="AS10" s="25"/>
      <c r="AT10" s="25"/>
      <c r="AU10" s="25"/>
      <c r="AV10" s="25"/>
      <c r="AW10" s="110"/>
      <c r="AX10" s="110"/>
      <c r="AY10" s="25"/>
      <c r="AZ10" s="25"/>
      <c r="BA10" s="25"/>
      <c r="BB10" s="25"/>
      <c r="BC10" s="25"/>
      <c r="BD10" s="110"/>
      <c r="BE10" s="110"/>
      <c r="BF10" s="25"/>
      <c r="BG10" s="25"/>
      <c r="BH10" s="25"/>
      <c r="BI10" s="25"/>
      <c r="BJ10" s="25"/>
      <c r="BK10" s="110"/>
      <c r="BL10" s="110"/>
      <c r="BM10" s="25"/>
      <c r="BN10" s="25"/>
      <c r="BO10" s="25"/>
      <c r="BP10" s="25"/>
      <c r="BQ10" s="25"/>
      <c r="BR10" s="110"/>
      <c r="BS10" s="110"/>
      <c r="BT10" s="25"/>
      <c r="BU10" s="25"/>
      <c r="BV10" s="25"/>
      <c r="BW10" s="25"/>
      <c r="BX10" s="25"/>
      <c r="BY10" s="110"/>
      <c r="BZ10" s="110"/>
      <c r="CA10" s="25"/>
      <c r="CB10" s="25"/>
      <c r="CC10" s="25"/>
      <c r="CD10" s="25"/>
      <c r="CE10" s="25"/>
      <c r="CF10" s="110"/>
      <c r="CG10" s="110"/>
      <c r="CH10" s="25"/>
      <c r="CI10" s="25"/>
      <c r="CJ10" s="25"/>
      <c r="CK10" s="25"/>
      <c r="CL10" s="25"/>
      <c r="CM10" s="110"/>
      <c r="CN10" s="110"/>
      <c r="CO10" s="25"/>
      <c r="CP10" s="25"/>
      <c r="CQ10" s="25"/>
      <c r="CR10" s="25"/>
      <c r="CS10" s="25"/>
      <c r="CT10" s="110"/>
      <c r="CU10" s="110"/>
      <c r="CV10" s="110"/>
      <c r="CW10" s="25"/>
      <c r="CX10" s="25"/>
      <c r="CY10" s="25"/>
      <c r="CZ10" s="25"/>
      <c r="DA10" s="110"/>
      <c r="DB10" s="110"/>
      <c r="DC10" s="25"/>
      <c r="DD10" s="25"/>
      <c r="DE10" s="25"/>
      <c r="DF10" s="25"/>
      <c r="DG10" s="25"/>
      <c r="DH10" s="110"/>
      <c r="DI10" s="110"/>
      <c r="DJ10" s="25"/>
      <c r="DK10" s="25"/>
      <c r="DL10" s="25"/>
      <c r="DM10" s="25"/>
      <c r="DN10" s="25"/>
      <c r="DO10" s="110"/>
      <c r="DP10" s="110"/>
      <c r="DQ10" s="25"/>
      <c r="DR10" s="25"/>
      <c r="DS10" s="25"/>
      <c r="DT10" s="25"/>
      <c r="DU10" s="110"/>
      <c r="DV10" s="110"/>
      <c r="DW10" s="110"/>
      <c r="DX10" s="25"/>
      <c r="DY10" s="25"/>
      <c r="DZ10" s="25"/>
      <c r="EA10" s="25"/>
      <c r="EB10" s="110" t="s">
        <v>445</v>
      </c>
      <c r="EC10" s="110"/>
      <c r="ED10" s="110"/>
      <c r="EE10" s="25"/>
      <c r="EF10" s="25"/>
      <c r="EG10" s="25"/>
      <c r="EH10" s="110" t="s">
        <v>445</v>
      </c>
      <c r="EI10" s="110" t="s">
        <v>445</v>
      </c>
      <c r="EJ10" s="110"/>
      <c r="EK10" s="110"/>
      <c r="EL10" s="25"/>
      <c r="EM10" s="25"/>
      <c r="EN10" s="25"/>
      <c r="EO10" s="25"/>
      <c r="EP10" s="25"/>
      <c r="EQ10" s="110"/>
      <c r="ER10" s="110"/>
      <c r="ES10" s="110" t="s">
        <v>445</v>
      </c>
      <c r="ET10" s="25"/>
      <c r="EU10" s="25"/>
      <c r="EV10" s="25"/>
      <c r="EW10" s="25"/>
      <c r="EX10" s="110"/>
      <c r="EY10" s="110"/>
      <c r="EZ10" s="25"/>
      <c r="FA10" s="25"/>
      <c r="FB10" s="25"/>
      <c r="FC10" s="25"/>
      <c r="FD10" s="25"/>
      <c r="FE10" s="110"/>
      <c r="FF10" s="110"/>
      <c r="FG10" s="25"/>
      <c r="FH10" s="25"/>
      <c r="FI10" s="25"/>
      <c r="FJ10" s="25"/>
      <c r="FK10" s="25"/>
      <c r="FL10" s="110"/>
      <c r="FM10" s="110"/>
      <c r="FN10" s="25"/>
      <c r="FO10" s="25"/>
      <c r="FP10" s="25"/>
      <c r="FQ10" s="25"/>
      <c r="FR10" s="25"/>
      <c r="FS10" s="110"/>
      <c r="FT10" s="110"/>
      <c r="FU10" s="25"/>
      <c r="FV10" s="25"/>
      <c r="FW10" s="25"/>
      <c r="FX10" s="25"/>
      <c r="FY10" s="25"/>
      <c r="FZ10" s="110"/>
      <c r="GA10" s="110"/>
      <c r="GB10" s="25"/>
      <c r="GC10" s="25"/>
      <c r="GD10" s="25"/>
      <c r="GE10" s="25"/>
      <c r="GF10" s="25"/>
      <c r="GG10" s="110"/>
      <c r="GH10" s="110"/>
      <c r="GI10" s="25"/>
      <c r="GJ10" s="25"/>
      <c r="GK10" s="25"/>
      <c r="GL10" s="25"/>
      <c r="GM10" s="25"/>
      <c r="GN10" s="110"/>
      <c r="GO10" s="110"/>
      <c r="GP10" s="110"/>
      <c r="GQ10" s="110" t="s">
        <v>445</v>
      </c>
      <c r="GR10" s="25"/>
      <c r="GS10" s="25"/>
      <c r="GT10" s="25"/>
      <c r="GU10" s="110"/>
      <c r="GV10" s="110"/>
      <c r="GW10" s="25"/>
      <c r="GX10" s="25"/>
      <c r="GY10" s="25"/>
      <c r="GZ10" s="25"/>
      <c r="HA10" s="25"/>
      <c r="HB10" s="110"/>
      <c r="HC10" s="110"/>
      <c r="HD10" s="25"/>
      <c r="HE10" s="25"/>
      <c r="HF10" s="25"/>
      <c r="HG10" s="25"/>
      <c r="HH10" s="25"/>
      <c r="HI10" s="110"/>
      <c r="HJ10" s="110"/>
      <c r="HK10" s="25"/>
      <c r="HL10" s="25"/>
      <c r="HM10" s="25"/>
      <c r="HN10" s="25"/>
      <c r="HO10" s="25"/>
      <c r="HP10" s="110"/>
      <c r="HQ10" s="110"/>
      <c r="HR10" s="25"/>
      <c r="HS10" s="25"/>
      <c r="HT10" s="25"/>
      <c r="HU10" s="25"/>
      <c r="HV10" s="25"/>
      <c r="HW10" s="110"/>
      <c r="HX10" s="110"/>
      <c r="HY10" s="25"/>
      <c r="HZ10" s="25"/>
      <c r="IA10" s="25"/>
      <c r="IB10" s="25"/>
      <c r="IC10" s="25"/>
      <c r="ID10" s="110"/>
      <c r="IE10" s="110"/>
      <c r="IF10" s="25"/>
      <c r="IG10" s="25"/>
      <c r="IH10" s="25"/>
      <c r="II10" s="25"/>
      <c r="IJ10" s="25"/>
      <c r="IK10" s="110"/>
      <c r="IL10" s="110"/>
      <c r="IM10" s="25"/>
      <c r="IN10" s="25"/>
      <c r="IO10" s="25"/>
      <c r="IP10" s="25"/>
      <c r="IQ10" s="25"/>
      <c r="IR10" s="110"/>
      <c r="IS10" s="110"/>
      <c r="IT10" s="25"/>
      <c r="IU10" s="25"/>
      <c r="IV10" s="25"/>
      <c r="IW10" s="25"/>
      <c r="IX10" s="25"/>
      <c r="IY10" s="110"/>
      <c r="IZ10" s="110"/>
      <c r="JA10" s="25"/>
      <c r="JB10" s="25"/>
      <c r="JC10" s="25"/>
      <c r="JD10" s="25"/>
      <c r="JE10" s="25"/>
      <c r="JF10" s="110"/>
      <c r="JG10" s="110"/>
      <c r="JH10" s="25"/>
      <c r="JI10" s="25"/>
      <c r="JJ10" s="25"/>
      <c r="JK10" s="25"/>
      <c r="JL10" s="25"/>
      <c r="JM10" s="110"/>
      <c r="JN10" s="110"/>
      <c r="JO10" s="25"/>
      <c r="JP10" s="25"/>
      <c r="JQ10" s="25"/>
      <c r="JR10" s="25"/>
      <c r="JS10" s="25"/>
      <c r="JT10" s="110"/>
      <c r="JU10" s="110"/>
      <c r="JV10" s="25"/>
      <c r="JW10" s="25"/>
      <c r="JX10" s="25"/>
      <c r="JY10" s="25"/>
      <c r="JZ10" s="25"/>
      <c r="KA10" s="110"/>
      <c r="KB10" s="110"/>
      <c r="KC10" s="25"/>
      <c r="KD10" s="25"/>
      <c r="KE10" s="25"/>
      <c r="KF10" s="25"/>
      <c r="KG10" s="25"/>
      <c r="KH10" s="110"/>
      <c r="KI10" s="110"/>
      <c r="KJ10" s="25"/>
      <c r="KK10" s="25"/>
      <c r="KL10" s="25"/>
      <c r="KM10" s="25"/>
      <c r="KN10" s="25"/>
      <c r="KO10" s="110"/>
      <c r="KP10" s="110"/>
      <c r="KQ10" s="25"/>
      <c r="KR10" s="25"/>
      <c r="KS10" s="25"/>
      <c r="KT10" s="25"/>
      <c r="KU10" s="25"/>
      <c r="KV10" s="110"/>
      <c r="KW10" s="110"/>
      <c r="KX10" s="25"/>
      <c r="KY10" s="25"/>
      <c r="KZ10" s="25"/>
      <c r="LA10" s="25"/>
      <c r="LB10" s="25"/>
      <c r="LC10" s="110"/>
      <c r="LD10" s="110"/>
      <c r="LE10" s="25"/>
      <c r="LF10" s="25"/>
      <c r="LG10" s="110" t="s">
        <v>445</v>
      </c>
      <c r="LH10" s="25"/>
      <c r="LI10" s="25"/>
      <c r="LJ10" s="110"/>
      <c r="LK10" s="110"/>
      <c r="LL10" s="25"/>
      <c r="LM10" s="25"/>
      <c r="LN10" s="25"/>
      <c r="LO10" s="25"/>
      <c r="LP10" s="25"/>
      <c r="LQ10" s="110"/>
      <c r="LR10" s="110"/>
      <c r="LS10" s="25"/>
      <c r="LT10" s="25"/>
      <c r="LU10" s="25"/>
      <c r="LV10" s="25"/>
      <c r="LW10" s="25"/>
      <c r="LX10" s="110"/>
      <c r="LY10" s="110"/>
      <c r="LZ10" s="25"/>
      <c r="MA10" s="25"/>
      <c r="MB10" s="25"/>
      <c r="MC10" s="25"/>
      <c r="ME10" s="110"/>
      <c r="MF10" s="110"/>
      <c r="MG10" s="25"/>
      <c r="MH10" s="25"/>
      <c r="MI10" s="25"/>
      <c r="MJ10" s="25"/>
      <c r="MK10" s="25"/>
      <c r="ML10" s="110"/>
      <c r="MM10" s="110"/>
      <c r="MN10" s="25"/>
      <c r="MO10" s="25"/>
      <c r="MP10" s="25"/>
      <c r="MQ10" s="25"/>
      <c r="MR10" s="25"/>
      <c r="MS10" s="110"/>
      <c r="MT10" s="110"/>
      <c r="MU10" s="25"/>
      <c r="MV10" s="25"/>
      <c r="MW10" s="25"/>
      <c r="MX10" s="25"/>
      <c r="MY10" s="25"/>
      <c r="MZ10" s="110"/>
      <c r="NA10" s="110"/>
      <c r="NB10" s="25"/>
      <c r="NC10" s="25"/>
      <c r="ND10" s="25"/>
      <c r="NE10" s="129"/>
      <c r="NF10" s="111"/>
      <c r="NG10" s="8">
        <f t="shared" si="0"/>
        <v>0</v>
      </c>
      <c r="NH10" s="32" cm="1">
        <f t="array" ref="NH10">NETWORKDAYS($I$2,$AI$2)- SUM(COUNTIF(I10:AI10,{"I";"F";"CP";"R";"P";"AC";"AM"}))</f>
        <v>20</v>
      </c>
      <c r="NI10" s="138">
        <f t="shared" si="1"/>
        <v>0</v>
      </c>
      <c r="NJ10" s="8">
        <f t="shared" si="2"/>
        <v>0</v>
      </c>
      <c r="NK10" s="32" cm="1">
        <f t="array" ref="NK10">NETWORKDAYS($AJ$2,$BK$2)- SUM(COUNTIF(AJ10:BK10,{"I";"F";"CP";"R";"P";"AC";"AM"}))</f>
        <v>20</v>
      </c>
      <c r="NL10" s="138">
        <f t="shared" si="3"/>
        <v>0</v>
      </c>
      <c r="NM10" s="8">
        <f t="shared" si="4"/>
        <v>0</v>
      </c>
      <c r="NN10" s="32" cm="1">
        <f t="array" ref="NN10">NETWORKDAYS($BL$2,$CP$2)- SUM(COUNTIF(BL10:CP10,{"I";"F";"CP";"R";"P";"AC";"AM"}))</f>
        <v>22</v>
      </c>
      <c r="NO10" s="138">
        <f t="shared" si="5"/>
        <v>0</v>
      </c>
      <c r="NP10" s="8">
        <f t="shared" si="26"/>
        <v>0</v>
      </c>
      <c r="NQ10" s="32" cm="1">
        <f t="array" ref="NQ10">NETWORKDAYS($CQ$2,$DT$2,$CV$2)- SUM(COUNTIF(CQ10:DT10,{"I";"F";"CP";"R";"P";"AC";"AM"}))</f>
        <v>21</v>
      </c>
      <c r="NR10" s="138">
        <f t="shared" si="6"/>
        <v>0</v>
      </c>
      <c r="NS10" s="8">
        <f t="shared" si="7"/>
        <v>0</v>
      </c>
      <c r="NT10" s="32" cm="1">
        <f t="array" ref="NT10">NETWORKDAYS($DV$2,$EY$2)-SUM(COUNTIF(DV10:EY10,{"I";"F";"CP";"R";"P";"AC";"AM"}))</f>
        <v>16</v>
      </c>
      <c r="NU10" s="138">
        <f t="shared" si="8"/>
        <v>0</v>
      </c>
      <c r="NV10" s="8">
        <f t="shared" si="9"/>
        <v>0</v>
      </c>
      <c r="NW10" s="32" cm="1">
        <f t="array" ref="NW10">NETWORKDAYS($EZ$2,$GC$2)-SUM(COUNTIF(EZ90:GC90,{"I";"F";"CP";"R";"P";"AC";"AM"}))</f>
        <v>22</v>
      </c>
      <c r="NX10" s="138">
        <f t="shared" si="10"/>
        <v>0</v>
      </c>
      <c r="NY10" s="8">
        <f t="shared" si="11"/>
        <v>0</v>
      </c>
      <c r="NZ10" s="32" cm="1">
        <f t="array" ref="NZ10">NETWORKDAYS($GD$2,$HH$2,$GQ$2)-SUM(COUNTIF(GD10:HH10,{"I";"F";"CP";"R";"P";"AC";"AM"}))</f>
        <v>21</v>
      </c>
      <c r="OA10" s="138">
        <f t="shared" si="12"/>
        <v>0</v>
      </c>
      <c r="OB10" s="8">
        <f t="shared" si="13"/>
        <v>0</v>
      </c>
      <c r="OC10" s="32" cm="1">
        <f t="array" ref="OC10">NETWORKDAYS($HI$2,$IM$2)-SUM(COUNTIF(HI10:IM10,{"I";"F";"CP";"R";"P";"AC";"AM"}))</f>
        <v>21</v>
      </c>
      <c r="OD10" s="138">
        <f t="shared" si="14"/>
        <v>0</v>
      </c>
      <c r="OE10" s="8">
        <f t="shared" si="15"/>
        <v>0</v>
      </c>
      <c r="OF10" s="32" cm="1">
        <f t="array" ref="OF10">NETWORKDAYS($IN$2,$JQ$2)-SUM(COUNTIF(IN10:JQ10,{"I";"F";"CP";"R";"P";"AC";"AM"}))</f>
        <v>22</v>
      </c>
      <c r="OG10" s="138">
        <f t="shared" si="16"/>
        <v>0</v>
      </c>
      <c r="OH10" s="8">
        <f t="shared" si="17"/>
        <v>0</v>
      </c>
      <c r="OI10" s="32" cm="1">
        <f t="array" ref="OI10">NETWORKDAYS($JR$2,$KV$2)-SUM(COUNTIF(JR10:KV10,{"I";"F";"CP";"R";"P";"AC";"AM"}))</f>
        <v>22</v>
      </c>
      <c r="OJ10" s="138">
        <f t="shared" si="18"/>
        <v>0</v>
      </c>
      <c r="OK10" s="8">
        <f t="shared" si="19"/>
        <v>0</v>
      </c>
      <c r="OL10" s="32" cm="1">
        <f t="array" ref="OL10">NETWORKDAYS($KW$2,$LZ$2,$LG$2)-SUM(COUNTIF(KW10:LZ10,{"I";"F";"CP";"R";"P";"AC";"AM"}))</f>
        <v>19</v>
      </c>
      <c r="OM10" s="138">
        <f t="shared" si="20"/>
        <v>0</v>
      </c>
      <c r="ON10" s="8">
        <f t="shared" si="21"/>
        <v>0</v>
      </c>
      <c r="OO10" s="32" cm="1">
        <f t="array" ref="OO10">NETWORKDAYS($MA$2,$MR$2)-SUM(COUNTIF(MA10:MR10,{"I";"F";"CP";"R";"P";"AC";"AM"}))</f>
        <v>14</v>
      </c>
      <c r="OP10" s="138">
        <f t="shared" si="22"/>
        <v>0</v>
      </c>
      <c r="OQ10" s="94">
        <f t="shared" si="23"/>
        <v>0</v>
      </c>
      <c r="OR10" s="94">
        <f t="shared" si="24"/>
        <v>240</v>
      </c>
      <c r="OS10" s="138">
        <f t="shared" si="25"/>
        <v>0</v>
      </c>
    </row>
    <row r="11" spans="1:409" hidden="1" x14ac:dyDescent="0.25">
      <c r="A11" s="93" t="s">
        <v>168</v>
      </c>
      <c r="B11" s="93" t="s">
        <v>168</v>
      </c>
      <c r="C11" s="27" t="s">
        <v>160</v>
      </c>
      <c r="D11" s="27" t="s">
        <v>173</v>
      </c>
      <c r="E11" s="128"/>
      <c r="F11" s="110"/>
      <c r="G11" s="110"/>
      <c r="H11" s="110"/>
      <c r="I11" s="25"/>
      <c r="J11" s="25"/>
      <c r="K11" s="25"/>
      <c r="L11" s="25"/>
      <c r="M11" s="25"/>
      <c r="N11" s="110"/>
      <c r="O11" s="110"/>
      <c r="P11" s="25"/>
      <c r="Q11" s="25"/>
      <c r="R11" s="25"/>
      <c r="S11" s="25"/>
      <c r="T11" s="25"/>
      <c r="U11" s="110"/>
      <c r="V11" s="110"/>
      <c r="W11" s="25"/>
      <c r="X11" s="25"/>
      <c r="Y11" s="25"/>
      <c r="Z11" s="25"/>
      <c r="AA11" s="25"/>
      <c r="AB11" s="110"/>
      <c r="AC11" s="110"/>
      <c r="AD11" s="25"/>
      <c r="AE11" s="25"/>
      <c r="AF11" s="25"/>
      <c r="AG11" s="25"/>
      <c r="AH11" s="25"/>
      <c r="AI11" s="110"/>
      <c r="AJ11" s="110"/>
      <c r="AK11" s="25"/>
      <c r="AL11" s="25"/>
      <c r="AM11" s="25"/>
      <c r="AN11" s="25"/>
      <c r="AO11" s="25"/>
      <c r="AP11" s="110"/>
      <c r="AQ11" s="110"/>
      <c r="AR11" s="25"/>
      <c r="AS11" s="25"/>
      <c r="AT11" s="25"/>
      <c r="AU11" s="25"/>
      <c r="AV11" s="25"/>
      <c r="AW11" s="110"/>
      <c r="AX11" s="110"/>
      <c r="AY11" s="25"/>
      <c r="AZ11" s="25"/>
      <c r="BA11" s="25"/>
      <c r="BB11" s="25"/>
      <c r="BC11" s="25"/>
      <c r="BD11" s="110"/>
      <c r="BE11" s="110"/>
      <c r="BF11" s="25"/>
      <c r="BG11" s="25"/>
      <c r="BH11" s="25"/>
      <c r="BI11" s="25"/>
      <c r="BJ11" s="25"/>
      <c r="BK11" s="110"/>
      <c r="BL11" s="110"/>
      <c r="BM11" s="25"/>
      <c r="BN11" s="25"/>
      <c r="BO11" s="25"/>
      <c r="BP11" s="25"/>
      <c r="BQ11" s="25"/>
      <c r="BR11" s="110"/>
      <c r="BS11" s="110"/>
      <c r="BT11" s="25"/>
      <c r="BU11" s="25"/>
      <c r="BV11" s="25"/>
      <c r="BW11" s="25"/>
      <c r="BX11" s="25"/>
      <c r="BY11" s="110"/>
      <c r="BZ11" s="110"/>
      <c r="CA11" s="25"/>
      <c r="CB11" s="25"/>
      <c r="CC11" s="25"/>
      <c r="CD11" s="25"/>
      <c r="CE11" s="25"/>
      <c r="CF11" s="110"/>
      <c r="CG11" s="110"/>
      <c r="CH11" s="25"/>
      <c r="CI11" s="25"/>
      <c r="CJ11" s="25"/>
      <c r="CK11" s="25"/>
      <c r="CL11" s="25"/>
      <c r="CM11" s="110"/>
      <c r="CN11" s="110"/>
      <c r="CO11" s="25"/>
      <c r="CP11" s="25"/>
      <c r="CQ11" s="25"/>
      <c r="CR11" s="25"/>
      <c r="CS11" s="25"/>
      <c r="CT11" s="110"/>
      <c r="CU11" s="110"/>
      <c r="CV11" s="110"/>
      <c r="CW11" s="25"/>
      <c r="CX11" s="25"/>
      <c r="CY11" s="25"/>
      <c r="CZ11" s="25"/>
      <c r="DA11" s="110"/>
      <c r="DB11" s="110"/>
      <c r="DC11" s="25"/>
      <c r="DD11" s="25"/>
      <c r="DE11" s="25"/>
      <c r="DF11" s="25"/>
      <c r="DG11" s="25"/>
      <c r="DH11" s="110"/>
      <c r="DI11" s="110"/>
      <c r="DJ11" s="25"/>
      <c r="DK11" s="25"/>
      <c r="DL11" s="25"/>
      <c r="DM11" s="25"/>
      <c r="DN11" s="25"/>
      <c r="DO11" s="110"/>
      <c r="DP11" s="110"/>
      <c r="DQ11" s="25"/>
      <c r="DR11" s="25"/>
      <c r="DS11" s="25"/>
      <c r="DT11" s="25"/>
      <c r="DU11" s="110"/>
      <c r="DV11" s="110"/>
      <c r="DW11" s="110"/>
      <c r="DX11" s="25"/>
      <c r="DY11" s="25"/>
      <c r="DZ11" s="25"/>
      <c r="EA11" s="25"/>
      <c r="EB11" s="110" t="s">
        <v>445</v>
      </c>
      <c r="EC11" s="110"/>
      <c r="ED11" s="110"/>
      <c r="EE11" s="25"/>
      <c r="EF11" s="25"/>
      <c r="EG11" s="25"/>
      <c r="EH11" s="110" t="s">
        <v>445</v>
      </c>
      <c r="EI11" s="110" t="s">
        <v>445</v>
      </c>
      <c r="EJ11" s="110"/>
      <c r="EK11" s="110"/>
      <c r="EL11" s="25"/>
      <c r="EM11" s="25"/>
      <c r="EN11" s="25"/>
      <c r="EO11" s="25"/>
      <c r="EP11" s="25"/>
      <c r="EQ11" s="110"/>
      <c r="ER11" s="110"/>
      <c r="ES11" s="110" t="s">
        <v>445</v>
      </c>
      <c r="ET11" s="25"/>
      <c r="EU11" s="25"/>
      <c r="EV11" s="25"/>
      <c r="EW11" s="25"/>
      <c r="EX11" s="110"/>
      <c r="EY11" s="110"/>
      <c r="EZ11" s="25"/>
      <c r="FA11" s="25"/>
      <c r="FB11" s="25"/>
      <c r="FC11" s="25"/>
      <c r="FD11" s="25"/>
      <c r="FE11" s="110"/>
      <c r="FF11" s="110"/>
      <c r="FG11" s="25"/>
      <c r="FH11" s="25"/>
      <c r="FI11" s="25"/>
      <c r="FJ11" s="25"/>
      <c r="FK11" s="25"/>
      <c r="FL11" s="110"/>
      <c r="FM11" s="110"/>
      <c r="FN11" s="25"/>
      <c r="FO11" s="25"/>
      <c r="FP11" s="25"/>
      <c r="FQ11" s="25"/>
      <c r="FR11" s="25"/>
      <c r="FS11" s="110"/>
      <c r="FT11" s="110"/>
      <c r="FU11" s="25"/>
      <c r="FV11" s="25"/>
      <c r="FW11" s="25"/>
      <c r="FX11" s="25"/>
      <c r="FY11" s="25"/>
      <c r="FZ11" s="110"/>
      <c r="GA11" s="110"/>
      <c r="GB11" s="25"/>
      <c r="GC11" s="25"/>
      <c r="GD11" s="25"/>
      <c r="GE11" s="25"/>
      <c r="GF11" s="25"/>
      <c r="GG11" s="110"/>
      <c r="GH11" s="110"/>
      <c r="GI11" s="25"/>
      <c r="GJ11" s="25"/>
      <c r="GK11" s="25"/>
      <c r="GL11" s="25"/>
      <c r="GM11" s="25"/>
      <c r="GN11" s="110"/>
      <c r="GO11" s="110"/>
      <c r="GP11" s="110"/>
      <c r="GQ11" s="110" t="s">
        <v>445</v>
      </c>
      <c r="GR11" s="25"/>
      <c r="GS11" s="25"/>
      <c r="GT11" s="25"/>
      <c r="GU11" s="110"/>
      <c r="GV11" s="110"/>
      <c r="GW11" s="25"/>
      <c r="GX11" s="25"/>
      <c r="GY11" s="25"/>
      <c r="GZ11" s="25"/>
      <c r="HA11" s="25"/>
      <c r="HB11" s="110"/>
      <c r="HC11" s="110"/>
      <c r="HD11" s="25"/>
      <c r="HE11" s="25"/>
      <c r="HF11" s="25"/>
      <c r="HG11" s="25"/>
      <c r="HH11" s="25"/>
      <c r="HI11" s="110"/>
      <c r="HJ11" s="110"/>
      <c r="HK11" s="25"/>
      <c r="HL11" s="25"/>
      <c r="HM11" s="25"/>
      <c r="HN11" s="25"/>
      <c r="HO11" s="25"/>
      <c r="HP11" s="110"/>
      <c r="HQ11" s="110"/>
      <c r="HR11" s="25"/>
      <c r="HS11" s="25"/>
      <c r="HT11" s="25"/>
      <c r="HU11" s="25"/>
      <c r="HV11" s="25"/>
      <c r="HW11" s="110"/>
      <c r="HX11" s="110"/>
      <c r="HY11" s="25"/>
      <c r="HZ11" s="25"/>
      <c r="IA11" s="25"/>
      <c r="IB11" s="25"/>
      <c r="IC11" s="25"/>
      <c r="ID11" s="110"/>
      <c r="IE11" s="110"/>
      <c r="IF11" s="25"/>
      <c r="IG11" s="25"/>
      <c r="IH11" s="25"/>
      <c r="II11" s="25"/>
      <c r="IJ11" s="25"/>
      <c r="IK11" s="110"/>
      <c r="IL11" s="110"/>
      <c r="IM11" s="25"/>
      <c r="IN11" s="25"/>
      <c r="IO11" s="25"/>
      <c r="IP11" s="25"/>
      <c r="IQ11" s="25"/>
      <c r="IR11" s="110"/>
      <c r="IS11" s="110"/>
      <c r="IT11" s="25"/>
      <c r="IU11" s="25"/>
      <c r="IV11" s="25"/>
      <c r="IW11" s="25"/>
      <c r="IX11" s="25"/>
      <c r="IY11" s="110"/>
      <c r="IZ11" s="110"/>
      <c r="JA11" s="25"/>
      <c r="JB11" s="25"/>
      <c r="JC11" s="25"/>
      <c r="JD11" s="25"/>
      <c r="JE11" s="25"/>
      <c r="JF11" s="110"/>
      <c r="JG11" s="110"/>
      <c r="JH11" s="25"/>
      <c r="JI11" s="25"/>
      <c r="JJ11" s="25"/>
      <c r="JK11" s="25"/>
      <c r="JL11" s="25"/>
      <c r="JM11" s="110"/>
      <c r="JN11" s="110"/>
      <c r="JO11" s="25"/>
      <c r="JP11" s="25"/>
      <c r="JQ11" s="25"/>
      <c r="JR11" s="25"/>
      <c r="JS11" s="25"/>
      <c r="JT11" s="110"/>
      <c r="JU11" s="110"/>
      <c r="JV11" s="25"/>
      <c r="JW11" s="25"/>
      <c r="JX11" s="25"/>
      <c r="JY11" s="25"/>
      <c r="JZ11" s="25"/>
      <c r="KA11" s="110"/>
      <c r="KB11" s="110"/>
      <c r="KC11" s="25"/>
      <c r="KD11" s="25"/>
      <c r="KE11" s="25"/>
      <c r="KF11" s="25"/>
      <c r="KG11" s="25"/>
      <c r="KH11" s="110"/>
      <c r="KI11" s="110"/>
      <c r="KJ11" s="25"/>
      <c r="KK11" s="25"/>
      <c r="KL11" s="25"/>
      <c r="KM11" s="25"/>
      <c r="KN11" s="25"/>
      <c r="KO11" s="110"/>
      <c r="KP11" s="110"/>
      <c r="KQ11" s="25"/>
      <c r="KR11" s="25"/>
      <c r="KS11" s="25"/>
      <c r="KT11" s="25"/>
      <c r="KU11" s="25"/>
      <c r="KV11" s="110"/>
      <c r="KW11" s="110"/>
      <c r="KX11" s="25"/>
      <c r="KY11" s="25"/>
      <c r="KZ11" s="25"/>
      <c r="LA11" s="25"/>
      <c r="LB11" s="25"/>
      <c r="LC11" s="110"/>
      <c r="LD11" s="110"/>
      <c r="LE11" s="25"/>
      <c r="LF11" s="25"/>
      <c r="LG11" s="110" t="s">
        <v>445</v>
      </c>
      <c r="LH11" s="25"/>
      <c r="LI11" s="25"/>
      <c r="LJ11" s="110"/>
      <c r="LK11" s="110"/>
      <c r="LL11" s="25"/>
      <c r="LM11" s="25"/>
      <c r="LN11" s="25"/>
      <c r="LO11" s="25"/>
      <c r="LP11" s="25"/>
      <c r="LQ11" s="110"/>
      <c r="LR11" s="110"/>
      <c r="LS11" s="25"/>
      <c r="LT11" s="25"/>
      <c r="LU11" s="25"/>
      <c r="LV11" s="25"/>
      <c r="LW11" s="25"/>
      <c r="LX11" s="110"/>
      <c r="LY11" s="110"/>
      <c r="LZ11" s="25"/>
      <c r="MA11" s="25"/>
      <c r="MB11" s="25"/>
      <c r="MC11" s="25"/>
      <c r="MD11" s="25"/>
      <c r="ME11" s="110"/>
      <c r="MF11" s="110"/>
      <c r="MG11" s="25"/>
      <c r="MH11" s="25"/>
      <c r="MI11" s="25"/>
      <c r="MJ11" s="25"/>
      <c r="MK11" s="25"/>
      <c r="ML11" s="110"/>
      <c r="MM11" s="110"/>
      <c r="MN11" s="25"/>
      <c r="MO11" s="25"/>
      <c r="MP11" s="25"/>
      <c r="MQ11" s="25"/>
      <c r="MR11" s="25"/>
      <c r="MS11" s="110"/>
      <c r="MT11" s="110"/>
      <c r="MU11" s="25"/>
      <c r="MV11" s="25"/>
      <c r="MW11" s="25"/>
      <c r="MX11" s="25"/>
      <c r="MY11" s="25"/>
      <c r="MZ11" s="110"/>
      <c r="NA11" s="110"/>
      <c r="NB11" s="25"/>
      <c r="NC11" s="25"/>
      <c r="ND11" s="25"/>
      <c r="NE11" s="129"/>
      <c r="NF11" s="111"/>
      <c r="NG11" s="8">
        <f t="shared" si="0"/>
        <v>0</v>
      </c>
      <c r="NH11" s="32" cm="1">
        <f t="array" ref="NH11">NETWORKDAYS($I$2,$AI$2)- SUM(COUNTIF(I11:AI11,{"I";"F";"CP";"R";"P";"AC";"AM"}))</f>
        <v>20</v>
      </c>
      <c r="NI11" s="138">
        <f t="shared" si="1"/>
        <v>0</v>
      </c>
      <c r="NJ11" s="8">
        <f t="shared" si="2"/>
        <v>0</v>
      </c>
      <c r="NK11" s="32" cm="1">
        <f t="array" ref="NK11">NETWORKDAYS($AJ$2,$BK$2)- SUM(COUNTIF(AJ11:BK11,{"I";"F";"CP";"R";"P";"AC";"AM"}))</f>
        <v>20</v>
      </c>
      <c r="NL11" s="138">
        <f t="shared" si="3"/>
        <v>0</v>
      </c>
      <c r="NM11" s="8">
        <f t="shared" si="4"/>
        <v>0</v>
      </c>
      <c r="NN11" s="32" cm="1">
        <f t="array" ref="NN11">NETWORKDAYS($BL$2,$CP$2)- SUM(COUNTIF(BL11:CP11,{"I";"F";"CP";"R";"P";"AC";"AM"}))</f>
        <v>22</v>
      </c>
      <c r="NO11" s="138">
        <f t="shared" si="5"/>
        <v>0</v>
      </c>
      <c r="NP11" s="32">
        <f t="shared" si="26"/>
        <v>0</v>
      </c>
      <c r="NQ11" s="32" cm="1">
        <f t="array" ref="NQ11">NETWORKDAYS($CQ$2,$DT$2,$CV$2)- SUM(COUNTIF(CQ11:DT11,{"I";"F";"CP";"R";"P";"AC";"AM"}))</f>
        <v>21</v>
      </c>
      <c r="NR11" s="138">
        <f t="shared" si="6"/>
        <v>0</v>
      </c>
      <c r="NS11" s="8">
        <f t="shared" si="7"/>
        <v>0</v>
      </c>
      <c r="NT11" s="32" cm="1">
        <f t="array" ref="NT11">NETWORKDAYS($DV$2,$EY$2)-SUM(COUNTIF(DV11:EY11,{"I";"F";"CP";"R";"P";"AC";"AM"}))</f>
        <v>16</v>
      </c>
      <c r="NU11" s="138">
        <f t="shared" si="8"/>
        <v>0</v>
      </c>
      <c r="NV11" s="8">
        <f t="shared" si="9"/>
        <v>0</v>
      </c>
      <c r="NW11" s="32" cm="1">
        <f t="array" ref="NW11">NETWORKDAYS($EZ$2,$GC$2)-SUM(COUNTIF(EZ91:GC91,{"I";"F";"CP";"R";"P";"AC";"AM"}))</f>
        <v>22</v>
      </c>
      <c r="NX11" s="138">
        <f t="shared" si="10"/>
        <v>0</v>
      </c>
      <c r="NY11" s="8">
        <f t="shared" si="11"/>
        <v>0</v>
      </c>
      <c r="NZ11" s="32" cm="1">
        <f t="array" ref="NZ11">NETWORKDAYS($GD$2,$HH$2,$GQ$2)-SUM(COUNTIF(GD11:HH11,{"I";"F";"CP";"R";"P";"AC";"AM"}))</f>
        <v>21</v>
      </c>
      <c r="OA11" s="138">
        <f t="shared" si="12"/>
        <v>0</v>
      </c>
      <c r="OB11" s="8">
        <f t="shared" si="13"/>
        <v>0</v>
      </c>
      <c r="OC11" s="32" cm="1">
        <f t="array" ref="OC11">NETWORKDAYS($HI$2,$IM$2)-SUM(COUNTIF(HI11:IM11,{"I";"F";"CP";"R";"P";"AC";"AM"}))</f>
        <v>21</v>
      </c>
      <c r="OD11" s="138">
        <f t="shared" si="14"/>
        <v>0</v>
      </c>
      <c r="OE11" s="8">
        <f t="shared" si="15"/>
        <v>0</v>
      </c>
      <c r="OF11" s="32" cm="1">
        <f t="array" ref="OF11">NETWORKDAYS($IN$2,$JQ$2)-SUM(COUNTIF(IN11:JQ11,{"I";"F";"CP";"R";"P";"AC";"AM"}))</f>
        <v>22</v>
      </c>
      <c r="OG11" s="138">
        <f t="shared" si="16"/>
        <v>0</v>
      </c>
      <c r="OH11" s="8">
        <f t="shared" si="17"/>
        <v>0</v>
      </c>
      <c r="OI11" s="32" cm="1">
        <f t="array" ref="OI11">NETWORKDAYS($JR$2,$KV$2)-SUM(COUNTIF(JR11:KV11,{"I";"F";"CP";"R";"P";"AC";"AM"}))</f>
        <v>22</v>
      </c>
      <c r="OJ11" s="138">
        <f t="shared" si="18"/>
        <v>0</v>
      </c>
      <c r="OK11" s="8">
        <f t="shared" si="19"/>
        <v>0</v>
      </c>
      <c r="OL11" s="32" cm="1">
        <f t="array" ref="OL11">NETWORKDAYS($KW$2,$LZ$2,$LG$2)-SUM(COUNTIF(KW11:LZ11,{"I";"F";"CP";"R";"P";"AC";"AM"}))</f>
        <v>19</v>
      </c>
      <c r="OM11" s="138">
        <f t="shared" si="20"/>
        <v>0</v>
      </c>
      <c r="ON11" s="8">
        <f t="shared" si="21"/>
        <v>0</v>
      </c>
      <c r="OO11" s="32" cm="1">
        <f t="array" ref="OO11">NETWORKDAYS($MA$2,$MR$2)-SUM(COUNTIF(MA11:MR11,{"I";"F";"CP";"R";"P";"AC";"AM"}))</f>
        <v>14</v>
      </c>
      <c r="OP11" s="138">
        <f t="shared" si="22"/>
        <v>0</v>
      </c>
      <c r="OQ11" s="94">
        <f t="shared" si="23"/>
        <v>0</v>
      </c>
      <c r="OR11" s="94">
        <f t="shared" si="24"/>
        <v>240</v>
      </c>
      <c r="OS11" s="138">
        <f t="shared" si="25"/>
        <v>0</v>
      </c>
    </row>
    <row r="12" spans="1:409" ht="18" hidden="1" customHeight="1" x14ac:dyDescent="0.25">
      <c r="A12" s="93" t="s">
        <v>168</v>
      </c>
      <c r="B12" s="93" t="s">
        <v>168</v>
      </c>
      <c r="C12" s="27" t="s">
        <v>160</v>
      </c>
      <c r="D12" s="27" t="s">
        <v>174</v>
      </c>
      <c r="E12" s="128"/>
      <c r="F12" s="110"/>
      <c r="G12" s="110"/>
      <c r="H12" s="110"/>
      <c r="I12" s="25"/>
      <c r="J12" s="25"/>
      <c r="K12" s="25"/>
      <c r="L12" s="25"/>
      <c r="M12" s="25"/>
      <c r="N12" s="110"/>
      <c r="O12" s="110"/>
      <c r="P12" s="25"/>
      <c r="Q12" s="25"/>
      <c r="R12" s="25"/>
      <c r="S12" s="25"/>
      <c r="T12" s="25"/>
      <c r="U12" s="110"/>
      <c r="V12" s="110"/>
      <c r="W12" s="25"/>
      <c r="X12" s="25"/>
      <c r="Y12" s="25"/>
      <c r="Z12" s="25"/>
      <c r="AA12" s="25"/>
      <c r="AB12" s="110"/>
      <c r="AC12" s="110"/>
      <c r="AD12" s="25"/>
      <c r="AE12" s="25"/>
      <c r="AF12" s="25"/>
      <c r="AG12" s="25"/>
      <c r="AH12" s="25"/>
      <c r="AI12" s="110"/>
      <c r="AJ12" s="110"/>
      <c r="AK12" s="25">
        <v>1</v>
      </c>
      <c r="AL12" s="25">
        <v>1</v>
      </c>
      <c r="AM12" s="25">
        <v>1</v>
      </c>
      <c r="AN12" s="25">
        <v>1</v>
      </c>
      <c r="AO12" s="25">
        <v>1</v>
      </c>
      <c r="AP12" s="110"/>
      <c r="AQ12" s="110"/>
      <c r="AR12" s="25">
        <v>1</v>
      </c>
      <c r="AS12" s="25">
        <v>1</v>
      </c>
      <c r="AT12" s="25">
        <v>1</v>
      </c>
      <c r="AU12" s="25">
        <v>1</v>
      </c>
      <c r="AV12" s="25">
        <v>1</v>
      </c>
      <c r="AW12" s="110"/>
      <c r="AX12" s="110"/>
      <c r="AY12" s="25">
        <v>1</v>
      </c>
      <c r="AZ12" s="25">
        <v>1</v>
      </c>
      <c r="BA12" s="25"/>
      <c r="BB12" s="25"/>
      <c r="BC12" s="25"/>
      <c r="BD12" s="110"/>
      <c r="BE12" s="110"/>
      <c r="BF12" s="25"/>
      <c r="BG12" s="25"/>
      <c r="BH12" s="25"/>
      <c r="BI12" s="25"/>
      <c r="BJ12" s="25"/>
      <c r="BK12" s="110"/>
      <c r="BL12" s="110"/>
      <c r="BM12" s="25"/>
      <c r="BN12" s="25"/>
      <c r="BO12" s="25"/>
      <c r="BP12" s="25"/>
      <c r="BQ12" s="25"/>
      <c r="BR12" s="110"/>
      <c r="BS12" s="110"/>
      <c r="BT12" s="25"/>
      <c r="BU12" s="25"/>
      <c r="BV12" s="25"/>
      <c r="BW12" s="25"/>
      <c r="BX12" s="25"/>
      <c r="BY12" s="110"/>
      <c r="BZ12" s="110"/>
      <c r="CA12" s="25"/>
      <c r="CB12" s="25"/>
      <c r="CC12" s="25"/>
      <c r="CD12" s="25"/>
      <c r="CE12" s="25"/>
      <c r="CF12" s="110"/>
      <c r="CG12" s="110"/>
      <c r="CH12" s="25"/>
      <c r="CI12" s="25"/>
      <c r="CJ12" s="25"/>
      <c r="CK12" s="25"/>
      <c r="CL12" s="25"/>
      <c r="CM12" s="110"/>
      <c r="CN12" s="110"/>
      <c r="CO12" s="25"/>
      <c r="CP12" s="25"/>
      <c r="CQ12" s="25"/>
      <c r="CR12" s="25"/>
      <c r="CS12" s="25"/>
      <c r="CT12" s="110"/>
      <c r="CU12" s="110"/>
      <c r="CV12" s="110"/>
      <c r="CW12" s="25"/>
      <c r="CX12" s="25"/>
      <c r="CY12" s="25"/>
      <c r="CZ12" s="25"/>
      <c r="DA12" s="110"/>
      <c r="DB12" s="110"/>
      <c r="DC12" s="25"/>
      <c r="DD12" s="25"/>
      <c r="DE12" s="25"/>
      <c r="DF12" s="25"/>
      <c r="DG12" s="25"/>
      <c r="DH12" s="110"/>
      <c r="DI12" s="110"/>
      <c r="DJ12" s="25"/>
      <c r="DK12" s="25"/>
      <c r="DL12" s="25"/>
      <c r="DM12" s="25"/>
      <c r="DN12" s="25"/>
      <c r="DO12" s="110"/>
      <c r="DP12" s="110"/>
      <c r="DQ12" s="25"/>
      <c r="DR12" s="25"/>
      <c r="DS12" s="25"/>
      <c r="DT12" s="25"/>
      <c r="DU12" s="110"/>
      <c r="DV12" s="110"/>
      <c r="DW12" s="110"/>
      <c r="DX12" s="25"/>
      <c r="DY12" s="25"/>
      <c r="DZ12" s="25"/>
      <c r="EA12" s="25"/>
      <c r="EB12" s="110" t="s">
        <v>445</v>
      </c>
      <c r="EC12" s="110"/>
      <c r="ED12" s="110"/>
      <c r="EE12" s="25"/>
      <c r="EF12" s="25"/>
      <c r="EG12" s="25"/>
      <c r="EH12" s="110" t="s">
        <v>445</v>
      </c>
      <c r="EI12" s="110" t="s">
        <v>445</v>
      </c>
      <c r="EJ12" s="110"/>
      <c r="EK12" s="110"/>
      <c r="EL12" s="25"/>
      <c r="EM12" s="25"/>
      <c r="EN12" s="25"/>
      <c r="EO12" s="25"/>
      <c r="EP12" s="25"/>
      <c r="EQ12" s="110"/>
      <c r="ER12" s="110"/>
      <c r="ES12" s="110" t="s">
        <v>445</v>
      </c>
      <c r="ET12" s="25"/>
      <c r="EU12" s="25"/>
      <c r="EV12" s="25"/>
      <c r="EW12" s="25"/>
      <c r="EX12" s="110"/>
      <c r="EY12" s="110"/>
      <c r="EZ12" s="25"/>
      <c r="FA12" s="25"/>
      <c r="FB12" s="25"/>
      <c r="FC12" s="25"/>
      <c r="FD12" s="25"/>
      <c r="FE12" s="110"/>
      <c r="FF12" s="110"/>
      <c r="FG12" s="25"/>
      <c r="FH12" s="25"/>
      <c r="FI12" s="25"/>
      <c r="FJ12" s="25"/>
      <c r="FK12" s="25"/>
      <c r="FL12" s="110"/>
      <c r="FM12" s="110"/>
      <c r="FN12" s="25"/>
      <c r="FO12" s="25"/>
      <c r="FP12" s="25"/>
      <c r="FQ12" s="25"/>
      <c r="FR12" s="25"/>
      <c r="FS12" s="110"/>
      <c r="FT12" s="110"/>
      <c r="FU12" s="25"/>
      <c r="FV12" s="25"/>
      <c r="FW12" s="25"/>
      <c r="FX12" s="25"/>
      <c r="FY12" s="25"/>
      <c r="FZ12" s="110"/>
      <c r="GA12" s="110"/>
      <c r="GB12" s="25"/>
      <c r="GC12" s="25"/>
      <c r="GD12" s="25"/>
      <c r="GE12" s="25"/>
      <c r="GF12" s="25"/>
      <c r="GG12" s="110"/>
      <c r="GH12" s="110"/>
      <c r="GI12" s="25"/>
      <c r="GJ12" s="25"/>
      <c r="GK12" s="25"/>
      <c r="GL12" s="25"/>
      <c r="GM12" s="25"/>
      <c r="GN12" s="110"/>
      <c r="GO12" s="110"/>
      <c r="GP12" s="110"/>
      <c r="GQ12" s="110" t="s">
        <v>445</v>
      </c>
      <c r="GR12" s="25"/>
      <c r="GS12" s="25"/>
      <c r="GT12" s="25"/>
      <c r="GU12" s="110"/>
      <c r="GV12" s="110"/>
      <c r="GW12" s="25"/>
      <c r="GX12" s="25"/>
      <c r="GY12" s="25"/>
      <c r="GZ12" s="25"/>
      <c r="HA12" s="25"/>
      <c r="HB12" s="110"/>
      <c r="HC12" s="110"/>
      <c r="HD12" s="25"/>
      <c r="HE12" s="25"/>
      <c r="HF12" s="25"/>
      <c r="HG12" s="25"/>
      <c r="HH12" s="25"/>
      <c r="HI12" s="110"/>
      <c r="HJ12" s="110"/>
      <c r="HK12" s="25"/>
      <c r="HL12" s="25"/>
      <c r="HM12" s="25"/>
      <c r="HN12" s="25"/>
      <c r="HO12" s="25"/>
      <c r="HP12" s="110"/>
      <c r="HQ12" s="110"/>
      <c r="HR12" s="25"/>
      <c r="HS12" s="25"/>
      <c r="HT12" s="25"/>
      <c r="HU12" s="25"/>
      <c r="HV12" s="25"/>
      <c r="HW12" s="110"/>
      <c r="HX12" s="110"/>
      <c r="HY12" s="25"/>
      <c r="HZ12" s="25"/>
      <c r="IA12" s="25"/>
      <c r="IB12" s="25"/>
      <c r="IC12" s="25"/>
      <c r="ID12" s="110"/>
      <c r="IE12" s="110"/>
      <c r="IF12" s="25"/>
      <c r="IG12" s="25"/>
      <c r="IH12" s="25"/>
      <c r="II12" s="25"/>
      <c r="IJ12" s="25"/>
      <c r="IK12" s="110"/>
      <c r="IL12" s="110"/>
      <c r="IM12" s="25"/>
      <c r="IN12" s="25"/>
      <c r="IO12" s="25"/>
      <c r="IP12" s="25"/>
      <c r="IQ12" s="25"/>
      <c r="IR12" s="110"/>
      <c r="IS12" s="110"/>
      <c r="IT12" s="25"/>
      <c r="IU12" s="25"/>
      <c r="IV12" s="25"/>
      <c r="IW12" s="25"/>
      <c r="IX12" s="25"/>
      <c r="IY12" s="110"/>
      <c r="IZ12" s="110"/>
      <c r="JA12" s="25"/>
      <c r="JB12" s="25"/>
      <c r="JC12" s="25"/>
      <c r="JD12" s="25"/>
      <c r="JE12" s="25"/>
      <c r="JF12" s="110"/>
      <c r="JG12" s="110"/>
      <c r="JH12" s="25"/>
      <c r="JI12" s="25"/>
      <c r="JJ12" s="25"/>
      <c r="JK12" s="25"/>
      <c r="JL12" s="25"/>
      <c r="JM12" s="110"/>
      <c r="JN12" s="110"/>
      <c r="JO12" s="25"/>
      <c r="JP12" s="25"/>
      <c r="JQ12" s="25"/>
      <c r="JR12" s="25"/>
      <c r="JS12" s="25"/>
      <c r="JT12" s="110"/>
      <c r="JU12" s="110"/>
      <c r="JV12" s="25"/>
      <c r="JW12" s="25"/>
      <c r="JX12" s="25"/>
      <c r="JY12" s="25"/>
      <c r="JZ12" s="25"/>
      <c r="KA12" s="110"/>
      <c r="KB12" s="110"/>
      <c r="KC12" s="25"/>
      <c r="KD12" s="25"/>
      <c r="KE12" s="25"/>
      <c r="KF12" s="25"/>
      <c r="KG12" s="25"/>
      <c r="KH12" s="110"/>
      <c r="KI12" s="110"/>
      <c r="KJ12" s="25"/>
      <c r="KK12" s="25"/>
      <c r="KL12" s="25"/>
      <c r="KM12" s="25"/>
      <c r="KN12" s="25"/>
      <c r="KO12" s="110"/>
      <c r="KP12" s="110"/>
      <c r="KQ12" s="25"/>
      <c r="KR12" s="25"/>
      <c r="KS12" s="25"/>
      <c r="KT12" s="25"/>
      <c r="KU12" s="25"/>
      <c r="KV12" s="110"/>
      <c r="KW12" s="110"/>
      <c r="KX12" s="25"/>
      <c r="KY12" s="25"/>
      <c r="KZ12" s="25"/>
      <c r="LA12" s="25"/>
      <c r="LB12" s="25"/>
      <c r="LC12" s="110"/>
      <c r="LD12" s="110"/>
      <c r="LE12" s="25"/>
      <c r="LF12" s="25"/>
      <c r="LG12" s="110" t="s">
        <v>445</v>
      </c>
      <c r="LH12" s="25"/>
      <c r="LI12" s="25"/>
      <c r="LJ12" s="110"/>
      <c r="LK12" s="110"/>
      <c r="LL12" s="25"/>
      <c r="LM12" s="25"/>
      <c r="LN12" s="25"/>
      <c r="LO12" s="25"/>
      <c r="LP12" s="25"/>
      <c r="LQ12" s="110"/>
      <c r="LR12" s="110"/>
      <c r="LS12" s="25"/>
      <c r="LT12" s="25"/>
      <c r="LU12" s="25"/>
      <c r="LV12" s="25"/>
      <c r="LW12" s="25"/>
      <c r="LX12" s="110"/>
      <c r="LY12" s="110"/>
      <c r="LZ12" s="25"/>
      <c r="MA12" s="25"/>
      <c r="MB12" s="25"/>
      <c r="MC12" s="25"/>
      <c r="MD12" s="25"/>
      <c r="ME12" s="110"/>
      <c r="MF12" s="110"/>
      <c r="MG12" s="25"/>
      <c r="MH12" s="25"/>
      <c r="MI12" s="25"/>
      <c r="MJ12" s="25"/>
      <c r="MK12" s="25"/>
      <c r="ML12" s="110"/>
      <c r="MM12" s="110"/>
      <c r="MN12" s="25"/>
      <c r="MO12" s="25"/>
      <c r="MP12" s="25"/>
      <c r="MQ12" s="25"/>
      <c r="MR12" s="25"/>
      <c r="MS12" s="110"/>
      <c r="MT12" s="110"/>
      <c r="MU12" s="25"/>
      <c r="MV12" s="25"/>
      <c r="MW12" s="25"/>
      <c r="MX12" s="25"/>
      <c r="MY12" s="25"/>
      <c r="MZ12" s="110"/>
      <c r="NA12" s="110"/>
      <c r="NB12" s="25"/>
      <c r="NC12" s="25"/>
      <c r="ND12" s="25"/>
      <c r="NE12" s="129"/>
      <c r="NF12" s="111"/>
      <c r="NG12" s="8">
        <f t="shared" si="0"/>
        <v>0</v>
      </c>
      <c r="NH12" s="32" cm="1">
        <f t="array" ref="NH12">NETWORKDAYS($I$2,$AI$2)- SUM(COUNTIF(I12:AI12,{"I";"F";"CP";"R";"P";"AC";"AM"}))</f>
        <v>20</v>
      </c>
      <c r="NI12" s="138">
        <f t="shared" si="1"/>
        <v>0</v>
      </c>
      <c r="NJ12" s="8">
        <f t="shared" si="2"/>
        <v>12</v>
      </c>
      <c r="NK12" s="32" cm="1">
        <f t="array" ref="NK12">NETWORKDAYS($AJ$2,$BK$2)- SUM(COUNTIF(AJ12:BK12,{"I";"F";"CP";"R";"P";"AC";"AM"}))</f>
        <v>20</v>
      </c>
      <c r="NL12" s="138">
        <f t="shared" si="3"/>
        <v>0.6</v>
      </c>
      <c r="NM12" s="8">
        <f t="shared" si="4"/>
        <v>0</v>
      </c>
      <c r="NN12" s="32" cm="1">
        <f t="array" ref="NN12">NETWORKDAYS($BL$2,$CP$2)- SUM(COUNTIF(BL12:CP12,{"I";"F";"CP";"R";"P";"AC";"AM"}))</f>
        <v>22</v>
      </c>
      <c r="NO12" s="138">
        <f t="shared" si="5"/>
        <v>0</v>
      </c>
      <c r="NP12" s="8">
        <f t="shared" si="26"/>
        <v>0</v>
      </c>
      <c r="NQ12" s="32" cm="1">
        <f t="array" ref="NQ12">NETWORKDAYS($CQ$2,$DT$2,$CV$2)- SUM(COUNTIF(CQ12:DT12,{"I";"F";"CP";"R";"P";"AC";"AM"}))</f>
        <v>21</v>
      </c>
      <c r="NR12" s="138">
        <f t="shared" si="6"/>
        <v>0</v>
      </c>
      <c r="NS12" s="8">
        <f t="shared" si="7"/>
        <v>0</v>
      </c>
      <c r="NT12" s="32" cm="1">
        <f t="array" ref="NT12">NETWORKDAYS($DV$2,$EY$2)-SUM(COUNTIF(DV12:EY12,{"I";"F";"CP";"R";"P";"AC";"AM"}))</f>
        <v>16</v>
      </c>
      <c r="NU12" s="138">
        <f t="shared" si="8"/>
        <v>0</v>
      </c>
      <c r="NV12" s="8">
        <f t="shared" si="9"/>
        <v>0</v>
      </c>
      <c r="NW12" s="32" cm="1">
        <f t="array" ref="NW12">NETWORKDAYS($EZ$2,$GC$2)-SUM(COUNTIF(EZ92:GC92,{"I";"F";"CP";"R";"P";"AC";"AM"}))</f>
        <v>22</v>
      </c>
      <c r="NX12" s="138">
        <f t="shared" si="10"/>
        <v>0</v>
      </c>
      <c r="NY12" s="8">
        <f t="shared" si="11"/>
        <v>0</v>
      </c>
      <c r="NZ12" s="32" cm="1">
        <f t="array" ref="NZ12">NETWORKDAYS($GD$2,$HH$2,$GQ$2)-SUM(COUNTIF(GD12:HH12,{"I";"F";"CP";"R";"P";"AC";"AM"}))</f>
        <v>21</v>
      </c>
      <c r="OA12" s="138">
        <f t="shared" si="12"/>
        <v>0</v>
      </c>
      <c r="OB12" s="8">
        <f t="shared" si="13"/>
        <v>0</v>
      </c>
      <c r="OC12" s="32" cm="1">
        <f t="array" ref="OC12">NETWORKDAYS($HI$2,$IM$2)-SUM(COUNTIF(HI12:IM12,{"I";"F";"CP";"R";"P";"AC";"AM"}))</f>
        <v>21</v>
      </c>
      <c r="OD12" s="138">
        <f t="shared" si="14"/>
        <v>0</v>
      </c>
      <c r="OE12" s="8">
        <f t="shared" si="15"/>
        <v>0</v>
      </c>
      <c r="OF12" s="32" cm="1">
        <f t="array" ref="OF12">NETWORKDAYS($IN$2,$JQ$2)-SUM(COUNTIF(IN12:JQ12,{"I";"F";"CP";"R";"P";"AC";"AM"}))</f>
        <v>22</v>
      </c>
      <c r="OG12" s="138">
        <f t="shared" si="16"/>
        <v>0</v>
      </c>
      <c r="OH12" s="8">
        <f t="shared" si="17"/>
        <v>0</v>
      </c>
      <c r="OI12" s="32" cm="1">
        <f t="array" ref="OI12">NETWORKDAYS($JR$2,$KV$2)-SUM(COUNTIF(JR12:KV12,{"I";"F";"CP";"R";"P";"AC";"AM"}))</f>
        <v>22</v>
      </c>
      <c r="OJ12" s="138">
        <f t="shared" si="18"/>
        <v>0</v>
      </c>
      <c r="OK12" s="8">
        <f t="shared" si="19"/>
        <v>0</v>
      </c>
      <c r="OL12" s="32" cm="1">
        <f t="array" ref="OL12">NETWORKDAYS($KW$2,$LZ$2,$LG$2)-SUM(COUNTIF(KW12:LZ12,{"I";"F";"CP";"R";"P";"AC";"AM"}))</f>
        <v>19</v>
      </c>
      <c r="OM12" s="138">
        <f t="shared" si="20"/>
        <v>0</v>
      </c>
      <c r="ON12" s="8">
        <f t="shared" si="21"/>
        <v>0</v>
      </c>
      <c r="OO12" s="32" cm="1">
        <f t="array" ref="OO12">NETWORKDAYS($MA$2,$MR$2)-SUM(COUNTIF(MA12:MR12,{"I";"F";"CP";"R";"P";"AC";"AM"}))</f>
        <v>14</v>
      </c>
      <c r="OP12" s="138">
        <f t="shared" si="22"/>
        <v>0</v>
      </c>
      <c r="OQ12" s="94">
        <f t="shared" si="23"/>
        <v>12</v>
      </c>
      <c r="OR12" s="94">
        <f t="shared" si="24"/>
        <v>240</v>
      </c>
      <c r="OS12" s="138">
        <f t="shared" si="25"/>
        <v>0.05</v>
      </c>
    </row>
    <row r="13" spans="1:409" ht="18" hidden="1" customHeight="1" x14ac:dyDescent="0.25">
      <c r="A13" s="94" t="s">
        <v>164</v>
      </c>
      <c r="B13" s="93" t="s">
        <v>45</v>
      </c>
      <c r="C13" s="27" t="s">
        <v>166</v>
      </c>
      <c r="D13" s="27" t="s">
        <v>177</v>
      </c>
      <c r="E13" s="128"/>
      <c r="F13" s="110"/>
      <c r="G13" s="110"/>
      <c r="H13" s="110"/>
      <c r="I13" s="25"/>
      <c r="J13" s="25"/>
      <c r="K13" s="25"/>
      <c r="L13" s="25"/>
      <c r="M13" s="25"/>
      <c r="N13" s="110"/>
      <c r="O13" s="110"/>
      <c r="P13" s="25"/>
      <c r="Q13" s="25"/>
      <c r="R13" s="25"/>
      <c r="S13" s="25"/>
      <c r="T13" s="25"/>
      <c r="U13" s="110"/>
      <c r="V13" s="110"/>
      <c r="W13" s="25"/>
      <c r="X13" s="25"/>
      <c r="Y13" s="25"/>
      <c r="Z13" s="25"/>
      <c r="AA13" s="25"/>
      <c r="AB13" s="110"/>
      <c r="AC13" s="110"/>
      <c r="AD13" s="25"/>
      <c r="AE13" s="25"/>
      <c r="AF13" s="25"/>
      <c r="AG13" s="25"/>
      <c r="AH13" s="25"/>
      <c r="AI13" s="110"/>
      <c r="AJ13" s="110"/>
      <c r="AK13" s="25"/>
      <c r="AL13" s="25"/>
      <c r="AM13" s="25"/>
      <c r="AN13" s="25"/>
      <c r="AO13" s="25"/>
      <c r="AP13" s="110"/>
      <c r="AQ13" s="110"/>
      <c r="AR13" s="25"/>
      <c r="AS13" s="25"/>
      <c r="AT13" s="25"/>
      <c r="AU13" s="25"/>
      <c r="AV13" s="25"/>
      <c r="AW13" s="110"/>
      <c r="AX13" s="110"/>
      <c r="AY13" s="25"/>
      <c r="AZ13" s="25"/>
      <c r="BA13" s="25"/>
      <c r="BB13" s="25"/>
      <c r="BC13" s="25"/>
      <c r="BD13" s="110"/>
      <c r="BE13" s="110"/>
      <c r="BF13" s="25"/>
      <c r="BG13" s="25"/>
      <c r="BH13" s="25"/>
      <c r="BI13" s="25"/>
      <c r="BJ13" s="25"/>
      <c r="BK13" s="110"/>
      <c r="BL13" s="110"/>
      <c r="BM13" s="25"/>
      <c r="BN13" s="25"/>
      <c r="BO13" s="25"/>
      <c r="BP13" s="25"/>
      <c r="BQ13" s="25"/>
      <c r="BR13" s="110"/>
      <c r="BS13" s="110"/>
      <c r="BT13" s="25"/>
      <c r="BU13" s="25"/>
      <c r="BV13" s="25"/>
      <c r="BW13" s="25"/>
      <c r="BX13" s="25"/>
      <c r="BY13" s="110"/>
      <c r="BZ13" s="110"/>
      <c r="CA13" s="25"/>
      <c r="CB13" s="25"/>
      <c r="CC13" s="25"/>
      <c r="CD13" s="25"/>
      <c r="CE13" s="25"/>
      <c r="CF13" s="110"/>
      <c r="CG13" s="110"/>
      <c r="CH13" s="25"/>
      <c r="CI13" s="25"/>
      <c r="CJ13" s="25"/>
      <c r="CK13" s="25"/>
      <c r="CL13" s="25"/>
      <c r="CM13" s="110"/>
      <c r="CN13" s="110"/>
      <c r="CO13" s="25"/>
      <c r="CP13" s="25"/>
      <c r="CQ13" s="25"/>
      <c r="CR13" s="25"/>
      <c r="CS13" s="25"/>
      <c r="CT13" s="110"/>
      <c r="CU13" s="110"/>
      <c r="CV13" s="110"/>
      <c r="CW13" s="25"/>
      <c r="CX13" s="25"/>
      <c r="CY13" s="25"/>
      <c r="CZ13" s="25"/>
      <c r="DA13" s="110"/>
      <c r="DB13" s="110"/>
      <c r="DC13" s="25"/>
      <c r="DD13" s="25"/>
      <c r="DE13" s="25"/>
      <c r="DF13" s="25"/>
      <c r="DG13" s="25"/>
      <c r="DH13" s="110"/>
      <c r="DI13" s="110"/>
      <c r="DJ13" s="25"/>
      <c r="DK13" s="25"/>
      <c r="DL13" s="25"/>
      <c r="DM13" s="25"/>
      <c r="DN13" s="25"/>
      <c r="DO13" s="110"/>
      <c r="DP13" s="110"/>
      <c r="DQ13" s="25"/>
      <c r="DR13" s="25"/>
      <c r="DS13" s="25"/>
      <c r="DT13" s="25"/>
      <c r="DU13" s="110"/>
      <c r="DV13" s="110"/>
      <c r="DW13" s="110"/>
      <c r="DX13" s="25"/>
      <c r="DY13" s="25"/>
      <c r="DZ13" s="25"/>
      <c r="EA13" s="25"/>
      <c r="EB13" s="110" t="s">
        <v>445</v>
      </c>
      <c r="EC13" s="110"/>
      <c r="ED13" s="110"/>
      <c r="EE13" s="25"/>
      <c r="EF13" s="25"/>
      <c r="EG13" s="25"/>
      <c r="EH13" s="110" t="s">
        <v>445</v>
      </c>
      <c r="EI13" s="110" t="s">
        <v>445</v>
      </c>
      <c r="EJ13" s="110"/>
      <c r="EK13" s="110"/>
      <c r="EL13" s="25"/>
      <c r="EM13" s="25"/>
      <c r="EN13" s="25"/>
      <c r="EO13" s="25"/>
      <c r="EP13" s="25"/>
      <c r="EQ13" s="110"/>
      <c r="ER13" s="110"/>
      <c r="ES13" s="110" t="s">
        <v>445</v>
      </c>
      <c r="ET13" s="25"/>
      <c r="EU13" s="25"/>
      <c r="EV13" s="25"/>
      <c r="EW13" s="25"/>
      <c r="EX13" s="110"/>
      <c r="EY13" s="110"/>
      <c r="EZ13" s="25"/>
      <c r="FA13" s="25"/>
      <c r="FB13" s="25"/>
      <c r="FC13" s="25"/>
      <c r="FD13" s="25"/>
      <c r="FE13" s="110"/>
      <c r="FF13" s="110"/>
      <c r="FG13" s="25"/>
      <c r="FH13" s="25"/>
      <c r="FI13" s="25"/>
      <c r="FJ13" s="25"/>
      <c r="FK13" s="25"/>
      <c r="FL13" s="110"/>
      <c r="FM13" s="110"/>
      <c r="FN13" s="25"/>
      <c r="FO13" s="25"/>
      <c r="FP13" s="25"/>
      <c r="FQ13" s="25"/>
      <c r="FR13" s="25"/>
      <c r="FS13" s="110"/>
      <c r="FT13" s="110"/>
      <c r="FU13" s="25"/>
      <c r="FV13" s="25"/>
      <c r="FW13" s="25"/>
      <c r="FX13" s="25"/>
      <c r="FY13" s="25"/>
      <c r="FZ13" s="110"/>
      <c r="GA13" s="110"/>
      <c r="GB13" s="25"/>
      <c r="GC13" s="25"/>
      <c r="GD13" s="25"/>
      <c r="GE13" s="25"/>
      <c r="GF13" s="25"/>
      <c r="GG13" s="110"/>
      <c r="GH13" s="110"/>
      <c r="GI13" s="25"/>
      <c r="GJ13" s="25"/>
      <c r="GK13" s="25"/>
      <c r="GL13" s="25"/>
      <c r="GM13" s="25"/>
      <c r="GN13" s="110"/>
      <c r="GO13" s="110"/>
      <c r="GP13" s="110"/>
      <c r="GQ13" s="110" t="s">
        <v>445</v>
      </c>
      <c r="GR13" s="25"/>
      <c r="GS13" s="25"/>
      <c r="GT13" s="25"/>
      <c r="GU13" s="110"/>
      <c r="GV13" s="110"/>
      <c r="GW13" s="25"/>
      <c r="GX13" s="25"/>
      <c r="GY13" s="25"/>
      <c r="GZ13" s="25"/>
      <c r="HA13" s="25"/>
      <c r="HB13" s="110"/>
      <c r="HC13" s="110"/>
      <c r="HD13" s="25"/>
      <c r="HE13" s="25"/>
      <c r="HF13" s="25"/>
      <c r="HG13" s="25"/>
      <c r="HH13" s="25"/>
      <c r="HI13" s="110"/>
      <c r="HJ13" s="110"/>
      <c r="HK13" s="25"/>
      <c r="HL13" s="25"/>
      <c r="HM13" s="25"/>
      <c r="HN13" s="25"/>
      <c r="HO13" s="25"/>
      <c r="HP13" s="110"/>
      <c r="HQ13" s="110"/>
      <c r="HR13" s="25"/>
      <c r="HS13" s="25"/>
      <c r="HT13" s="25"/>
      <c r="HU13" s="25"/>
      <c r="HV13" s="25"/>
      <c r="HW13" s="110"/>
      <c r="HX13" s="110"/>
      <c r="HY13" s="25"/>
      <c r="HZ13" s="25"/>
      <c r="IA13" s="25"/>
      <c r="IB13" s="25"/>
      <c r="IC13" s="25"/>
      <c r="ID13" s="110"/>
      <c r="IE13" s="110"/>
      <c r="IF13" s="25"/>
      <c r="IG13" s="25"/>
      <c r="IH13" s="25"/>
      <c r="II13" s="25"/>
      <c r="IJ13" s="25"/>
      <c r="IK13" s="110"/>
      <c r="IL13" s="110"/>
      <c r="IM13" s="25"/>
      <c r="IN13" s="25"/>
      <c r="IO13" s="25"/>
      <c r="IP13" s="25"/>
      <c r="IQ13" s="25"/>
      <c r="IR13" s="110"/>
      <c r="IS13" s="110"/>
      <c r="IT13" s="25"/>
      <c r="IU13" s="25"/>
      <c r="IV13" s="25"/>
      <c r="IW13" s="25"/>
      <c r="IX13" s="25"/>
      <c r="IY13" s="110"/>
      <c r="IZ13" s="110"/>
      <c r="JA13" s="25"/>
      <c r="JB13" s="25"/>
      <c r="JC13" s="25"/>
      <c r="JD13" s="25"/>
      <c r="JE13" s="25"/>
      <c r="JF13" s="110"/>
      <c r="JG13" s="110"/>
      <c r="JH13" s="25"/>
      <c r="JI13" s="25"/>
      <c r="JJ13" s="25"/>
      <c r="JK13" s="25"/>
      <c r="JL13" s="25"/>
      <c r="JM13" s="110"/>
      <c r="JN13" s="110"/>
      <c r="JO13" s="25"/>
      <c r="JP13" s="25"/>
      <c r="JQ13" s="25"/>
      <c r="JR13" s="25"/>
      <c r="JS13" s="25"/>
      <c r="JT13" s="110"/>
      <c r="JU13" s="110"/>
      <c r="JV13" s="25"/>
      <c r="JW13" s="25"/>
      <c r="JX13" s="25"/>
      <c r="JY13" s="25"/>
      <c r="JZ13" s="25"/>
      <c r="KA13" s="110"/>
      <c r="KB13" s="110"/>
      <c r="KC13" s="25"/>
      <c r="KD13" s="25"/>
      <c r="KE13" s="25"/>
      <c r="KF13" s="25"/>
      <c r="KG13" s="25"/>
      <c r="KH13" s="110"/>
      <c r="KI13" s="110"/>
      <c r="KJ13" s="25"/>
      <c r="KK13" s="25"/>
      <c r="KL13" s="25"/>
      <c r="KM13" s="25"/>
      <c r="KN13" s="25"/>
      <c r="KO13" s="110"/>
      <c r="KP13" s="110"/>
      <c r="KQ13" s="25"/>
      <c r="KR13" s="25"/>
      <c r="KS13" s="25"/>
      <c r="KT13" s="25"/>
      <c r="KU13" s="25"/>
      <c r="KV13" s="110"/>
      <c r="KW13" s="110"/>
      <c r="KX13" s="25"/>
      <c r="KY13" s="25"/>
      <c r="KZ13" s="25"/>
      <c r="LA13" s="25"/>
      <c r="LB13" s="25"/>
      <c r="LC13" s="110"/>
      <c r="LD13" s="110"/>
      <c r="LE13" s="25"/>
      <c r="LF13" s="25"/>
      <c r="LG13" s="110" t="s">
        <v>445</v>
      </c>
      <c r="LH13" s="25"/>
      <c r="LI13" s="25"/>
      <c r="LJ13" s="110"/>
      <c r="LK13" s="110"/>
      <c r="LL13" s="25"/>
      <c r="LM13" s="25"/>
      <c r="LN13" s="25"/>
      <c r="LO13" s="25"/>
      <c r="LP13" s="25"/>
      <c r="LQ13" s="110"/>
      <c r="LR13" s="110"/>
      <c r="LS13" s="25"/>
      <c r="LT13" s="25"/>
      <c r="LU13" s="25"/>
      <c r="LV13" s="25"/>
      <c r="LW13" s="25"/>
      <c r="LX13" s="110"/>
      <c r="LY13" s="110"/>
      <c r="LZ13" s="25"/>
      <c r="MA13" s="25"/>
      <c r="MB13" s="25"/>
      <c r="MC13" s="25"/>
      <c r="MD13" s="25"/>
      <c r="ME13" s="110"/>
      <c r="MF13" s="110"/>
      <c r="MG13" s="25"/>
      <c r="MH13" s="25"/>
      <c r="MI13" s="25"/>
      <c r="MJ13" s="25"/>
      <c r="MK13" s="25"/>
      <c r="ML13" s="110"/>
      <c r="MM13" s="110"/>
      <c r="MN13" s="25"/>
      <c r="MO13" s="25"/>
      <c r="MP13" s="25"/>
      <c r="MQ13" s="25"/>
      <c r="MR13" s="25"/>
      <c r="MS13" s="110"/>
      <c r="MT13" s="110"/>
      <c r="MU13" s="25"/>
      <c r="MV13" s="25"/>
      <c r="MW13" s="25"/>
      <c r="MX13" s="25"/>
      <c r="MY13" s="25"/>
      <c r="MZ13" s="110"/>
      <c r="NA13" s="110"/>
      <c r="NB13" s="25"/>
      <c r="NC13" s="25"/>
      <c r="ND13" s="25"/>
      <c r="NE13" s="129"/>
      <c r="NF13" s="111"/>
      <c r="NG13" s="8">
        <f t="shared" si="0"/>
        <v>0</v>
      </c>
      <c r="NH13" s="32" cm="1">
        <f t="array" ref="NH13">NETWORKDAYS($I$2,$AI$2)- SUM(COUNTIF(I13:AI13,{"I";"F";"CP";"R";"P";"AC";"AM"}))</f>
        <v>20</v>
      </c>
      <c r="NI13" s="138">
        <f t="shared" si="1"/>
        <v>0</v>
      </c>
      <c r="NJ13" s="8">
        <f t="shared" si="2"/>
        <v>0</v>
      </c>
      <c r="NK13" s="32" cm="1">
        <f t="array" ref="NK13">NETWORKDAYS($AJ$2,$BK$2)- SUM(COUNTIF(AJ13:BK13,{"I";"F";"CP";"R";"P";"AC";"AM"}))</f>
        <v>20</v>
      </c>
      <c r="NL13" s="138">
        <f t="shared" si="3"/>
        <v>0</v>
      </c>
      <c r="NM13" s="8">
        <f t="shared" si="4"/>
        <v>0</v>
      </c>
      <c r="NN13" s="32" cm="1">
        <f t="array" ref="NN13">NETWORKDAYS($BL$2,$CP$2)- SUM(COUNTIF(BL13:CP13,{"I";"F";"CP";"R";"P";"AC";"AM"}))</f>
        <v>22</v>
      </c>
      <c r="NO13" s="138">
        <f t="shared" si="5"/>
        <v>0</v>
      </c>
      <c r="NP13" s="32">
        <f t="shared" si="26"/>
        <v>0</v>
      </c>
      <c r="NQ13" s="32" cm="1">
        <f t="array" ref="NQ13">NETWORKDAYS($CQ$2,$DT$2,$CV$2)- SUM(COUNTIF(CQ13:DT13,{"I";"F";"CP";"R";"P";"AC";"AM"}))</f>
        <v>21</v>
      </c>
      <c r="NR13" s="138">
        <f t="shared" si="6"/>
        <v>0</v>
      </c>
      <c r="NS13" s="8">
        <f t="shared" si="7"/>
        <v>0</v>
      </c>
      <c r="NT13" s="32" cm="1">
        <f t="array" ref="NT13">NETWORKDAYS($DV$2,$EY$2)-SUM(COUNTIF(DV13:EY13,{"I";"F";"CP";"R";"P";"AC";"AM"}))</f>
        <v>16</v>
      </c>
      <c r="NU13" s="138">
        <f t="shared" si="8"/>
        <v>0</v>
      </c>
      <c r="NV13" s="8">
        <f t="shared" si="9"/>
        <v>0</v>
      </c>
      <c r="NW13" s="32" cm="1">
        <f t="array" ref="NW13">NETWORKDAYS($EZ$2,$GC$2)-SUM(COUNTIF(EZ93:GC93,{"I";"F";"CP";"R";"P";"AC";"AM"}))</f>
        <v>22</v>
      </c>
      <c r="NX13" s="138">
        <f t="shared" si="10"/>
        <v>0</v>
      </c>
      <c r="NY13" s="8">
        <f t="shared" si="11"/>
        <v>0</v>
      </c>
      <c r="NZ13" s="32" cm="1">
        <f t="array" ref="NZ13">NETWORKDAYS($GD$2,$HH$2,$GQ$2)-SUM(COUNTIF(GD13:HH13,{"I";"F";"CP";"R";"P";"AC";"AM"}))</f>
        <v>21</v>
      </c>
      <c r="OA13" s="138">
        <f t="shared" si="12"/>
        <v>0</v>
      </c>
      <c r="OB13" s="8">
        <f t="shared" si="13"/>
        <v>0</v>
      </c>
      <c r="OC13" s="32" cm="1">
        <f t="array" ref="OC13">NETWORKDAYS($HI$2,$IM$2)-SUM(COUNTIF(HI13:IM13,{"I";"F";"CP";"R";"P";"AC";"AM"}))</f>
        <v>21</v>
      </c>
      <c r="OD13" s="138">
        <f t="shared" si="14"/>
        <v>0</v>
      </c>
      <c r="OE13" s="8">
        <f t="shared" si="15"/>
        <v>0</v>
      </c>
      <c r="OF13" s="32" cm="1">
        <f t="array" ref="OF13">NETWORKDAYS($IN$2,$JQ$2)-SUM(COUNTIF(IN13:JQ13,{"I";"F";"CP";"R";"P";"AC";"AM"}))</f>
        <v>22</v>
      </c>
      <c r="OG13" s="138">
        <f t="shared" si="16"/>
        <v>0</v>
      </c>
      <c r="OH13" s="8">
        <f t="shared" si="17"/>
        <v>0</v>
      </c>
      <c r="OI13" s="32" cm="1">
        <f t="array" ref="OI13">NETWORKDAYS($JR$2,$KV$2)-SUM(COUNTIF(JR13:KV13,{"I";"F";"CP";"R";"P";"AC";"AM"}))</f>
        <v>22</v>
      </c>
      <c r="OJ13" s="138">
        <f t="shared" si="18"/>
        <v>0</v>
      </c>
      <c r="OK13" s="8">
        <f t="shared" si="19"/>
        <v>0</v>
      </c>
      <c r="OL13" s="32" cm="1">
        <f t="array" ref="OL13">NETWORKDAYS($KW$2,$LZ$2,$LG$2)-SUM(COUNTIF(KW13:LZ13,{"I";"F";"CP";"R";"P";"AC";"AM"}))</f>
        <v>19</v>
      </c>
      <c r="OM13" s="138">
        <f t="shared" si="20"/>
        <v>0</v>
      </c>
      <c r="ON13" s="8">
        <f t="shared" si="21"/>
        <v>0</v>
      </c>
      <c r="OO13" s="32" cm="1">
        <f t="array" ref="OO13">NETWORKDAYS($MA$2,$MR$2)-SUM(COUNTIF(MA13:MR13,{"I";"F";"CP";"R";"P";"AC";"AM"}))</f>
        <v>14</v>
      </c>
      <c r="OP13" s="138">
        <f t="shared" si="22"/>
        <v>0</v>
      </c>
      <c r="OQ13" s="94">
        <f t="shared" si="23"/>
        <v>0</v>
      </c>
      <c r="OR13" s="94">
        <f t="shared" si="24"/>
        <v>240</v>
      </c>
      <c r="OS13" s="138">
        <f t="shared" si="25"/>
        <v>0</v>
      </c>
    </row>
    <row r="14" spans="1:409" ht="18" customHeight="1" x14ac:dyDescent="0.25">
      <c r="A14" s="94" t="s">
        <v>178</v>
      </c>
      <c r="B14" s="94" t="s">
        <v>179</v>
      </c>
      <c r="C14" s="27" t="s">
        <v>166</v>
      </c>
      <c r="D14" s="27" t="s">
        <v>180</v>
      </c>
      <c r="E14" s="128"/>
      <c r="F14" s="110"/>
      <c r="G14" s="110"/>
      <c r="H14" s="110"/>
      <c r="I14" s="25" t="s">
        <v>248</v>
      </c>
      <c r="J14" s="25">
        <v>1</v>
      </c>
      <c r="K14" s="25" t="s">
        <v>449</v>
      </c>
      <c r="L14" s="25" t="s">
        <v>449</v>
      </c>
      <c r="M14" s="25" t="s">
        <v>248</v>
      </c>
      <c r="N14" s="110"/>
      <c r="O14" s="110"/>
      <c r="P14" s="25">
        <v>1</v>
      </c>
      <c r="Q14" s="25">
        <v>1</v>
      </c>
      <c r="R14" s="25">
        <v>1</v>
      </c>
      <c r="S14" s="25">
        <v>1</v>
      </c>
      <c r="T14" s="25">
        <v>1</v>
      </c>
      <c r="U14" s="110"/>
      <c r="V14" s="110"/>
      <c r="W14" s="25">
        <v>1</v>
      </c>
      <c r="X14" s="25">
        <v>1</v>
      </c>
      <c r="Y14" s="25">
        <v>1</v>
      </c>
      <c r="Z14" s="25">
        <v>1</v>
      </c>
      <c r="AA14" s="25" t="s">
        <v>447</v>
      </c>
      <c r="AB14" s="110"/>
      <c r="AC14" s="110"/>
      <c r="AD14" s="25">
        <v>1</v>
      </c>
      <c r="AE14" s="25" t="s">
        <v>447</v>
      </c>
      <c r="AF14" s="25">
        <v>1</v>
      </c>
      <c r="AG14" s="25" t="s">
        <v>223</v>
      </c>
      <c r="AH14" s="25" t="s">
        <v>223</v>
      </c>
      <c r="AI14" s="110"/>
      <c r="AJ14" s="110"/>
      <c r="AK14" s="25">
        <v>1</v>
      </c>
      <c r="AL14" s="25">
        <v>1</v>
      </c>
      <c r="AM14" s="25">
        <v>1</v>
      </c>
      <c r="AN14" s="25">
        <v>1</v>
      </c>
      <c r="AO14" s="25">
        <v>1</v>
      </c>
      <c r="AP14" s="110"/>
      <c r="AQ14" s="110"/>
      <c r="AR14" s="25">
        <v>1</v>
      </c>
      <c r="AS14" s="25">
        <v>1</v>
      </c>
      <c r="AT14" s="25">
        <v>1</v>
      </c>
      <c r="AU14" s="25">
        <v>1</v>
      </c>
      <c r="AV14" s="25">
        <v>1</v>
      </c>
      <c r="AW14" s="110"/>
      <c r="AX14" s="110"/>
      <c r="AY14" s="25">
        <v>1</v>
      </c>
      <c r="AZ14" s="25">
        <v>1</v>
      </c>
      <c r="BA14" s="25">
        <v>1</v>
      </c>
      <c r="BB14" s="25">
        <v>1</v>
      </c>
      <c r="BC14" s="25">
        <v>1</v>
      </c>
      <c r="BD14" s="110"/>
      <c r="BE14" s="110"/>
      <c r="BF14" s="25">
        <v>1</v>
      </c>
      <c r="BG14" s="25">
        <v>1</v>
      </c>
      <c r="BH14" s="25">
        <v>1</v>
      </c>
      <c r="BI14" s="25">
        <v>1</v>
      </c>
      <c r="BJ14" s="25">
        <v>1</v>
      </c>
      <c r="BK14" s="110"/>
      <c r="BL14" s="110"/>
      <c r="BM14" s="25">
        <v>1</v>
      </c>
      <c r="BN14" s="25">
        <v>1</v>
      </c>
      <c r="BO14" s="25">
        <v>1</v>
      </c>
      <c r="BP14" s="25">
        <v>1</v>
      </c>
      <c r="BQ14" s="25">
        <v>1</v>
      </c>
      <c r="BR14" s="110"/>
      <c r="BS14" s="110"/>
      <c r="BT14" s="25">
        <v>1</v>
      </c>
      <c r="BU14" s="25">
        <v>1</v>
      </c>
      <c r="BV14" s="25">
        <v>1</v>
      </c>
      <c r="BW14" s="25">
        <v>1</v>
      </c>
      <c r="BX14" s="25">
        <v>1</v>
      </c>
      <c r="BY14" s="110"/>
      <c r="BZ14" s="110"/>
      <c r="CA14" s="25">
        <v>1</v>
      </c>
      <c r="CB14" s="25">
        <v>1</v>
      </c>
      <c r="CC14" s="25">
        <v>1</v>
      </c>
      <c r="CD14" s="25">
        <v>1</v>
      </c>
      <c r="CE14" s="25">
        <v>1</v>
      </c>
      <c r="CF14" s="110"/>
      <c r="CG14" s="110"/>
      <c r="CH14" s="25">
        <v>1</v>
      </c>
      <c r="CI14" s="25">
        <v>1</v>
      </c>
      <c r="CJ14" s="25">
        <v>1</v>
      </c>
      <c r="CK14" s="25">
        <v>1</v>
      </c>
      <c r="CL14" s="25">
        <v>1</v>
      </c>
      <c r="CM14" s="110"/>
      <c r="CN14" s="110"/>
      <c r="CO14" s="25">
        <v>1</v>
      </c>
      <c r="CP14" s="25">
        <v>1</v>
      </c>
      <c r="CQ14" s="25">
        <v>1</v>
      </c>
      <c r="CR14" s="25">
        <v>1</v>
      </c>
      <c r="CS14" s="25"/>
      <c r="CT14" s="110"/>
      <c r="CU14" s="110"/>
      <c r="CV14" s="110"/>
      <c r="CW14" s="25">
        <v>1</v>
      </c>
      <c r="CX14" s="25">
        <v>1</v>
      </c>
      <c r="CY14" s="25">
        <v>1</v>
      </c>
      <c r="CZ14" s="25">
        <v>1</v>
      </c>
      <c r="DA14" s="110"/>
      <c r="DB14" s="110"/>
      <c r="DC14" s="25"/>
      <c r="DD14" s="25">
        <v>1</v>
      </c>
      <c r="DE14" s="25">
        <v>1</v>
      </c>
      <c r="DF14" s="25">
        <v>1</v>
      </c>
      <c r="DG14" s="25">
        <v>1</v>
      </c>
      <c r="DH14" s="110"/>
      <c r="DI14" s="110"/>
      <c r="DJ14" s="25">
        <v>1</v>
      </c>
      <c r="DK14" s="25">
        <v>1</v>
      </c>
      <c r="DL14" s="25">
        <v>1</v>
      </c>
      <c r="DM14" s="25">
        <v>1</v>
      </c>
      <c r="DN14" s="25">
        <v>1</v>
      </c>
      <c r="DO14" s="110"/>
      <c r="DP14" s="110"/>
      <c r="DQ14" s="25" t="s">
        <v>223</v>
      </c>
      <c r="DR14" s="25" t="s">
        <v>223</v>
      </c>
      <c r="DS14" s="25" t="s">
        <v>223</v>
      </c>
      <c r="DT14" s="25" t="s">
        <v>223</v>
      </c>
      <c r="DU14" s="110"/>
      <c r="DV14" s="110"/>
      <c r="DW14" s="110"/>
      <c r="DX14" s="25" t="s">
        <v>223</v>
      </c>
      <c r="DY14" s="25" t="s">
        <v>223</v>
      </c>
      <c r="DZ14" s="25" t="s">
        <v>223</v>
      </c>
      <c r="EA14" s="25" t="s">
        <v>223</v>
      </c>
      <c r="EB14" s="110" t="s">
        <v>445</v>
      </c>
      <c r="EC14" s="110"/>
      <c r="ED14" s="110"/>
      <c r="EE14" s="25" t="s">
        <v>223</v>
      </c>
      <c r="EF14" s="25">
        <v>1</v>
      </c>
      <c r="EG14" s="25">
        <v>1</v>
      </c>
      <c r="EH14" s="110" t="s">
        <v>445</v>
      </c>
      <c r="EI14" s="110" t="s">
        <v>445</v>
      </c>
      <c r="EJ14" s="110"/>
      <c r="EK14" s="110"/>
      <c r="EL14" s="25">
        <v>1</v>
      </c>
      <c r="EM14" s="25"/>
      <c r="EN14" s="25"/>
      <c r="EO14" s="25"/>
      <c r="EP14" s="25"/>
      <c r="EQ14" s="110"/>
      <c r="ER14" s="110"/>
      <c r="ES14" s="110" t="s">
        <v>445</v>
      </c>
      <c r="ET14" s="25"/>
      <c r="EU14" s="25"/>
      <c r="EV14" s="25"/>
      <c r="EW14" s="25"/>
      <c r="EX14" s="110"/>
      <c r="EY14" s="110"/>
      <c r="EZ14" s="25"/>
      <c r="FA14" s="25"/>
      <c r="FB14" s="25"/>
      <c r="FC14" s="25"/>
      <c r="FD14" s="25"/>
      <c r="FE14" s="110"/>
      <c r="FF14" s="110"/>
      <c r="FG14" s="25"/>
      <c r="FH14" s="25"/>
      <c r="FI14" s="25"/>
      <c r="FJ14" s="25"/>
      <c r="FK14" s="25"/>
      <c r="FL14" s="110"/>
      <c r="FM14" s="110"/>
      <c r="FN14" s="25"/>
      <c r="FO14" s="25"/>
      <c r="FP14" s="25"/>
      <c r="FQ14" s="25"/>
      <c r="FR14" s="25"/>
      <c r="FS14" s="110"/>
      <c r="FT14" s="110"/>
      <c r="FU14" s="25"/>
      <c r="FV14" s="25"/>
      <c r="FW14" s="25"/>
      <c r="FX14" s="25"/>
      <c r="FY14" s="25"/>
      <c r="FZ14" s="110"/>
      <c r="GA14" s="110"/>
      <c r="GB14" s="25"/>
      <c r="GC14" s="25"/>
      <c r="GD14" s="25"/>
      <c r="GE14" s="25"/>
      <c r="GF14" s="25"/>
      <c r="GG14" s="110"/>
      <c r="GH14" s="110"/>
      <c r="GI14" s="25"/>
      <c r="GJ14" s="25"/>
      <c r="GK14" s="25"/>
      <c r="GL14" s="25"/>
      <c r="GM14" s="25"/>
      <c r="GN14" s="110"/>
      <c r="GO14" s="110"/>
      <c r="GP14" s="110"/>
      <c r="GQ14" s="110" t="s">
        <v>445</v>
      </c>
      <c r="GR14" s="25"/>
      <c r="GS14" s="25"/>
      <c r="GT14" s="25"/>
      <c r="GU14" s="110"/>
      <c r="GV14" s="110"/>
      <c r="GW14" s="25"/>
      <c r="GX14" s="25"/>
      <c r="GY14" s="25"/>
      <c r="GZ14" s="25"/>
      <c r="HA14" s="25"/>
      <c r="HB14" s="110"/>
      <c r="HC14" s="110"/>
      <c r="HD14" s="25"/>
      <c r="HE14" s="25"/>
      <c r="HF14" s="25"/>
      <c r="HG14" s="25"/>
      <c r="HH14" s="25"/>
      <c r="HI14" s="110"/>
      <c r="HJ14" s="110"/>
      <c r="HK14" s="25"/>
      <c r="HL14" s="25"/>
      <c r="HM14" s="25"/>
      <c r="HN14" s="25"/>
      <c r="HO14" s="25"/>
      <c r="HP14" s="110"/>
      <c r="HQ14" s="110"/>
      <c r="HR14" s="25"/>
      <c r="HS14" s="25"/>
      <c r="HT14" s="25"/>
      <c r="HU14" s="25"/>
      <c r="HV14" s="25"/>
      <c r="HW14" s="110"/>
      <c r="HX14" s="110"/>
      <c r="HY14" s="25"/>
      <c r="HZ14" s="25"/>
      <c r="IA14" s="25"/>
      <c r="IB14" s="25"/>
      <c r="IC14" s="25"/>
      <c r="ID14" s="110"/>
      <c r="IE14" s="110"/>
      <c r="IF14" s="25"/>
      <c r="IG14" s="25"/>
      <c r="IH14" s="25"/>
      <c r="II14" s="25"/>
      <c r="IJ14" s="25"/>
      <c r="IK14" s="110"/>
      <c r="IL14" s="110"/>
      <c r="IM14" s="25"/>
      <c r="IN14" s="25"/>
      <c r="IO14" s="25"/>
      <c r="IP14" s="25"/>
      <c r="IQ14" s="25"/>
      <c r="IR14" s="110"/>
      <c r="IS14" s="110"/>
      <c r="IT14" s="25"/>
      <c r="IU14" s="25"/>
      <c r="IV14" s="25"/>
      <c r="IW14" s="25"/>
      <c r="IX14" s="25"/>
      <c r="IY14" s="110"/>
      <c r="IZ14" s="110"/>
      <c r="JA14" s="25"/>
      <c r="JB14" s="25"/>
      <c r="JC14" s="25"/>
      <c r="JD14" s="25"/>
      <c r="JE14" s="25"/>
      <c r="JF14" s="110"/>
      <c r="JG14" s="110"/>
      <c r="JH14" s="25"/>
      <c r="JI14" s="25"/>
      <c r="JJ14" s="25"/>
      <c r="JK14" s="25"/>
      <c r="JL14" s="25"/>
      <c r="JM14" s="110"/>
      <c r="JN14" s="110"/>
      <c r="JO14" s="25"/>
      <c r="JP14" s="25"/>
      <c r="JQ14" s="25"/>
      <c r="JR14" s="25"/>
      <c r="JS14" s="25"/>
      <c r="JT14" s="110"/>
      <c r="JU14" s="110"/>
      <c r="JV14" s="25"/>
      <c r="JW14" s="25"/>
      <c r="JX14" s="25"/>
      <c r="JY14" s="25"/>
      <c r="JZ14" s="25"/>
      <c r="KA14" s="110"/>
      <c r="KB14" s="110"/>
      <c r="KC14" s="25"/>
      <c r="KD14" s="25"/>
      <c r="KE14" s="25"/>
      <c r="KF14" s="25"/>
      <c r="KG14" s="25"/>
      <c r="KH14" s="110"/>
      <c r="KI14" s="110"/>
      <c r="KJ14" s="25"/>
      <c r="KK14" s="25"/>
      <c r="KL14" s="25"/>
      <c r="KM14" s="25"/>
      <c r="KN14" s="25"/>
      <c r="KO14" s="110"/>
      <c r="KP14" s="110"/>
      <c r="KQ14" s="25"/>
      <c r="KR14" s="25"/>
      <c r="KS14" s="25"/>
      <c r="KT14" s="25"/>
      <c r="KU14" s="25"/>
      <c r="KV14" s="110"/>
      <c r="KW14" s="110"/>
      <c r="KX14" s="25"/>
      <c r="KY14" s="25"/>
      <c r="KZ14" s="25"/>
      <c r="LA14" s="25"/>
      <c r="LB14" s="25"/>
      <c r="LC14" s="110"/>
      <c r="LD14" s="110"/>
      <c r="LE14" s="25"/>
      <c r="LF14" s="25"/>
      <c r="LG14" s="110" t="s">
        <v>445</v>
      </c>
      <c r="LH14" s="25"/>
      <c r="LI14" s="25"/>
      <c r="LJ14" s="110"/>
      <c r="LK14" s="110"/>
      <c r="LL14" s="25"/>
      <c r="LM14" s="25"/>
      <c r="LN14" s="25"/>
      <c r="LO14" s="25"/>
      <c r="LP14" s="25"/>
      <c r="LQ14" s="110"/>
      <c r="LR14" s="110"/>
      <c r="LS14" s="25"/>
      <c r="LT14" s="25"/>
      <c r="LU14" s="25"/>
      <c r="LV14" s="25"/>
      <c r="LW14" s="25"/>
      <c r="LX14" s="110"/>
      <c r="LY14" s="110"/>
      <c r="LZ14" s="25"/>
      <c r="MA14" s="25"/>
      <c r="MB14" s="25"/>
      <c r="MC14" s="25"/>
      <c r="MD14" s="25"/>
      <c r="ME14" s="110"/>
      <c r="MF14" s="110"/>
      <c r="MG14" s="25"/>
      <c r="MH14" s="25"/>
      <c r="MI14" s="25"/>
      <c r="MJ14" s="25"/>
      <c r="MK14" s="25"/>
      <c r="ML14" s="110"/>
      <c r="MM14" s="110"/>
      <c r="MN14" s="25"/>
      <c r="MO14" s="25"/>
      <c r="MP14" s="25"/>
      <c r="MQ14" s="25"/>
      <c r="MR14" s="25"/>
      <c r="MS14" s="110"/>
      <c r="MT14" s="110"/>
      <c r="MU14" s="25"/>
      <c r="MV14" s="25"/>
      <c r="MW14" s="25"/>
      <c r="MX14" s="25"/>
      <c r="MY14" s="25"/>
      <c r="MZ14" s="110"/>
      <c r="NA14" s="110"/>
      <c r="NB14" s="25"/>
      <c r="NC14" s="25"/>
      <c r="ND14" s="25"/>
      <c r="NE14" s="129"/>
      <c r="NF14" s="111"/>
      <c r="NG14" s="8">
        <f t="shared" si="0"/>
        <v>12</v>
      </c>
      <c r="NH14" s="32" cm="1">
        <f t="array" ref="NH14">NETWORKDAYS($I$2,$AI$2)- SUM(COUNTIF(I14:AI14,{"I";"F";"CP";"R";"P";"AC";"AM"}))</f>
        <v>14</v>
      </c>
      <c r="NI14" s="138">
        <f t="shared" si="1"/>
        <v>0.8571428571428571</v>
      </c>
      <c r="NJ14" s="8">
        <f t="shared" si="2"/>
        <v>20</v>
      </c>
      <c r="NK14" s="32" cm="1">
        <f t="array" ref="NK14">NETWORKDAYS($AJ$2,$BK$2)- SUM(COUNTIF(AJ14:BK14,{"I";"F";"CP";"R";"P";"AC";"AM"}))</f>
        <v>20</v>
      </c>
      <c r="NL14" s="138">
        <f t="shared" si="3"/>
        <v>1</v>
      </c>
      <c r="NM14" s="8">
        <f t="shared" si="4"/>
        <v>22</v>
      </c>
      <c r="NN14" s="32" cm="1">
        <f t="array" ref="NN14">NETWORKDAYS($BL$2,$CP$2)- SUM(COUNTIF(BL14:CP14,{"I";"F";"CP";"R";"P";"AC";"AM"}))</f>
        <v>22</v>
      </c>
      <c r="NO14" s="138">
        <f t="shared" si="5"/>
        <v>1</v>
      </c>
      <c r="NP14" s="8">
        <f t="shared" si="26"/>
        <v>15</v>
      </c>
      <c r="NQ14" s="32" cm="1">
        <f t="array" ref="NQ14">NETWORKDAYS($CQ$2,$DT$2,$CV$2)- SUM(COUNTIF(CQ14:DT14,{"I";"F";"CP";"R";"P";"AC";"AM"}))</f>
        <v>17</v>
      </c>
      <c r="NR14" s="138">
        <f t="shared" si="6"/>
        <v>0.88235294117647056</v>
      </c>
      <c r="NS14" s="8">
        <f t="shared" si="7"/>
        <v>3</v>
      </c>
      <c r="NT14" s="32" cm="1">
        <f t="array" ref="NT14">NETWORKDAYS($DV$2,$EY$2)-SUM(COUNTIF(DV14:EY14,{"I";"F";"CP";"R";"P";"AC";"AM"}))</f>
        <v>11</v>
      </c>
      <c r="NU14" s="138">
        <f t="shared" si="8"/>
        <v>0.27272727272727271</v>
      </c>
      <c r="NV14" s="8">
        <f t="shared" si="9"/>
        <v>0</v>
      </c>
      <c r="NW14" s="32" cm="1">
        <f t="array" ref="NW14">NETWORKDAYS($EZ$2,$GC$2)-SUM(COUNTIF(EZ94:GC94,{"I";"F";"CP";"R";"P";"AC";"AM"}))</f>
        <v>22</v>
      </c>
      <c r="NX14" s="138">
        <f t="shared" si="10"/>
        <v>0</v>
      </c>
      <c r="NY14" s="8">
        <f t="shared" si="11"/>
        <v>0</v>
      </c>
      <c r="NZ14" s="32" cm="1">
        <f t="array" ref="NZ14">NETWORKDAYS($GD$2,$HH$2,$GQ$2)-SUM(COUNTIF(GD14:HH14,{"I";"F";"CP";"R";"P";"AC";"AM"}))</f>
        <v>21</v>
      </c>
      <c r="OA14" s="138">
        <f t="shared" si="12"/>
        <v>0</v>
      </c>
      <c r="OB14" s="8">
        <f t="shared" si="13"/>
        <v>0</v>
      </c>
      <c r="OC14" s="32" cm="1">
        <f t="array" ref="OC14">NETWORKDAYS($HI$2,$IM$2)-SUM(COUNTIF(HI14:IM14,{"I";"F";"CP";"R";"P";"AC";"AM"}))</f>
        <v>21</v>
      </c>
      <c r="OD14" s="138">
        <f t="shared" si="14"/>
        <v>0</v>
      </c>
      <c r="OE14" s="8">
        <f t="shared" si="15"/>
        <v>0</v>
      </c>
      <c r="OF14" s="32" cm="1">
        <f t="array" ref="OF14">NETWORKDAYS($IN$2,$JQ$2)-SUM(COUNTIF(IN14:JQ14,{"I";"F";"CP";"R";"P";"AC";"AM"}))</f>
        <v>22</v>
      </c>
      <c r="OG14" s="138">
        <f t="shared" si="16"/>
        <v>0</v>
      </c>
      <c r="OH14" s="8">
        <f t="shared" si="17"/>
        <v>0</v>
      </c>
      <c r="OI14" s="32" cm="1">
        <f t="array" ref="OI14">NETWORKDAYS($JR$2,$KV$2)-SUM(COUNTIF(JR14:KV14,{"I";"F";"CP";"R";"P";"AC";"AM"}))</f>
        <v>22</v>
      </c>
      <c r="OJ14" s="138">
        <f t="shared" si="18"/>
        <v>0</v>
      </c>
      <c r="OK14" s="8">
        <f t="shared" si="19"/>
        <v>0</v>
      </c>
      <c r="OL14" s="32" cm="1">
        <f t="array" ref="OL14">NETWORKDAYS($KW$2,$LZ$2,$LG$2)-SUM(COUNTIF(KW14:LZ14,{"I";"F";"CP";"R";"P";"AC";"AM"}))</f>
        <v>19</v>
      </c>
      <c r="OM14" s="138">
        <f t="shared" si="20"/>
        <v>0</v>
      </c>
      <c r="ON14" s="8">
        <f t="shared" si="21"/>
        <v>0</v>
      </c>
      <c r="OO14" s="32" cm="1">
        <f t="array" ref="OO14">NETWORKDAYS($MA$2,$MR$2)-SUM(COUNTIF(MA14:MR14,{"I";"F";"CP";"R";"P";"AC";"AM"}))</f>
        <v>14</v>
      </c>
      <c r="OP14" s="138">
        <f t="shared" si="22"/>
        <v>0</v>
      </c>
      <c r="OQ14" s="94">
        <f t="shared" si="23"/>
        <v>72</v>
      </c>
      <c r="OR14" s="94">
        <f t="shared" si="24"/>
        <v>225</v>
      </c>
      <c r="OS14" s="138">
        <f t="shared" si="25"/>
        <v>0.32</v>
      </c>
    </row>
    <row r="15" spans="1:409" ht="18" customHeight="1" x14ac:dyDescent="0.25">
      <c r="A15" s="94" t="s">
        <v>181</v>
      </c>
      <c r="B15" s="94" t="s">
        <v>71</v>
      </c>
      <c r="C15" s="27" t="s">
        <v>166</v>
      </c>
      <c r="D15" s="27" t="s">
        <v>182</v>
      </c>
      <c r="E15" s="128"/>
      <c r="F15" s="110"/>
      <c r="G15" s="110"/>
      <c r="H15" s="110"/>
      <c r="I15" s="25" t="s">
        <v>248</v>
      </c>
      <c r="J15" s="25" t="s">
        <v>248</v>
      </c>
      <c r="K15" s="25" t="s">
        <v>248</v>
      </c>
      <c r="L15" s="25" t="s">
        <v>248</v>
      </c>
      <c r="M15" s="25" t="s">
        <v>248</v>
      </c>
      <c r="N15" s="110"/>
      <c r="O15" s="110"/>
      <c r="P15" s="25">
        <v>1</v>
      </c>
      <c r="Q15" s="25">
        <v>1</v>
      </c>
      <c r="R15" s="25">
        <v>1</v>
      </c>
      <c r="S15" s="25" t="s">
        <v>276</v>
      </c>
      <c r="T15" s="25" t="s">
        <v>276</v>
      </c>
      <c r="U15" s="110"/>
      <c r="V15" s="110"/>
      <c r="W15" s="25"/>
      <c r="X15" s="25"/>
      <c r="Y15" s="25"/>
      <c r="Z15" s="25"/>
      <c r="AA15" s="25"/>
      <c r="AB15" s="110"/>
      <c r="AC15" s="110"/>
      <c r="AD15" s="25"/>
      <c r="AE15" s="25"/>
      <c r="AF15" s="25"/>
      <c r="AG15" s="25"/>
      <c r="AH15" s="25"/>
      <c r="AI15" s="110"/>
      <c r="AJ15" s="110"/>
      <c r="AK15" s="25" t="s">
        <v>162</v>
      </c>
      <c r="AL15" s="25" t="s">
        <v>162</v>
      </c>
      <c r="AM15" s="25" t="s">
        <v>162</v>
      </c>
      <c r="AN15" s="25" t="s">
        <v>162</v>
      </c>
      <c r="AO15" s="25" t="s">
        <v>162</v>
      </c>
      <c r="AP15" s="110"/>
      <c r="AQ15" s="110"/>
      <c r="AR15" s="25" t="s">
        <v>162</v>
      </c>
      <c r="AS15" s="25" t="s">
        <v>162</v>
      </c>
      <c r="AT15" s="25" t="s">
        <v>162</v>
      </c>
      <c r="AU15" s="25" t="s">
        <v>162</v>
      </c>
      <c r="AV15" s="25" t="s">
        <v>162</v>
      </c>
      <c r="AW15" s="110"/>
      <c r="AX15" s="110"/>
      <c r="AY15" s="25" t="s">
        <v>162</v>
      </c>
      <c r="AZ15" s="25" t="s">
        <v>162</v>
      </c>
      <c r="BA15" s="25" t="s">
        <v>162</v>
      </c>
      <c r="BB15" s="25" t="s">
        <v>162</v>
      </c>
      <c r="BC15" s="25" t="s">
        <v>162</v>
      </c>
      <c r="BD15" s="110"/>
      <c r="BE15" s="110"/>
      <c r="BF15" s="25" t="s">
        <v>162</v>
      </c>
      <c r="BG15" s="25" t="s">
        <v>162</v>
      </c>
      <c r="BH15" s="25" t="s">
        <v>162</v>
      </c>
      <c r="BI15" s="25" t="s">
        <v>162</v>
      </c>
      <c r="BJ15" s="25" t="s">
        <v>162</v>
      </c>
      <c r="BK15" s="110"/>
      <c r="BL15" s="110"/>
      <c r="BM15" s="25" t="s">
        <v>162</v>
      </c>
      <c r="BN15" s="25" t="s">
        <v>162</v>
      </c>
      <c r="BO15" s="25" t="s">
        <v>162</v>
      </c>
      <c r="BP15" s="25" t="s">
        <v>162</v>
      </c>
      <c r="BQ15" s="25" t="s">
        <v>162</v>
      </c>
      <c r="BR15" s="110"/>
      <c r="BS15" s="110"/>
      <c r="BT15" s="25" t="s">
        <v>162</v>
      </c>
      <c r="BU15" s="25" t="s">
        <v>162</v>
      </c>
      <c r="BV15" s="25" t="s">
        <v>162</v>
      </c>
      <c r="BW15" s="25" t="s">
        <v>162</v>
      </c>
      <c r="BX15" s="25" t="s">
        <v>162</v>
      </c>
      <c r="BY15" s="110"/>
      <c r="BZ15" s="110"/>
      <c r="CA15" s="25" t="s">
        <v>162</v>
      </c>
      <c r="CB15" s="25" t="s">
        <v>162</v>
      </c>
      <c r="CC15" s="25" t="s">
        <v>162</v>
      </c>
      <c r="CD15" s="25" t="s">
        <v>162</v>
      </c>
      <c r="CE15" s="25" t="s">
        <v>162</v>
      </c>
      <c r="CF15" s="110"/>
      <c r="CG15" s="110"/>
      <c r="CH15" s="25" t="s">
        <v>162</v>
      </c>
      <c r="CI15" s="25" t="s">
        <v>162</v>
      </c>
      <c r="CJ15" s="25" t="s">
        <v>162</v>
      </c>
      <c r="CK15" s="25" t="s">
        <v>162</v>
      </c>
      <c r="CL15" s="25" t="s">
        <v>162</v>
      </c>
      <c r="CM15" s="110"/>
      <c r="CN15" s="110"/>
      <c r="CO15" s="25" t="s">
        <v>162</v>
      </c>
      <c r="CP15" s="25" t="s">
        <v>162</v>
      </c>
      <c r="CQ15" s="25" t="s">
        <v>162</v>
      </c>
      <c r="CR15" s="25" t="s">
        <v>162</v>
      </c>
      <c r="CS15" s="25" t="s">
        <v>162</v>
      </c>
      <c r="CT15" s="110"/>
      <c r="CU15" s="110"/>
      <c r="CV15" s="110"/>
      <c r="CW15" s="25" t="s">
        <v>162</v>
      </c>
      <c r="CX15" s="25" t="s">
        <v>162</v>
      </c>
      <c r="CY15" s="25"/>
      <c r="CZ15" s="25"/>
      <c r="DA15" s="110"/>
      <c r="DB15" s="110"/>
      <c r="DC15" s="25"/>
      <c r="DD15" s="25"/>
      <c r="DE15" s="25"/>
      <c r="DF15" s="25"/>
      <c r="DG15" s="25"/>
      <c r="DH15" s="110"/>
      <c r="DI15" s="110"/>
      <c r="DJ15" s="25"/>
      <c r="DK15" s="25"/>
      <c r="DL15" s="25"/>
      <c r="DM15" s="25"/>
      <c r="DN15" s="25"/>
      <c r="DO15" s="110"/>
      <c r="DP15" s="110"/>
      <c r="DQ15" s="25"/>
      <c r="DR15" s="25"/>
      <c r="DS15" s="25">
        <v>1</v>
      </c>
      <c r="DT15" s="25"/>
      <c r="DU15" s="110"/>
      <c r="DV15" s="110"/>
      <c r="DW15" s="110"/>
      <c r="DX15" s="25"/>
      <c r="DY15" s="25">
        <v>1</v>
      </c>
      <c r="DZ15" s="25">
        <v>1</v>
      </c>
      <c r="EA15" s="25">
        <v>1</v>
      </c>
      <c r="EB15" s="110" t="s">
        <v>445</v>
      </c>
      <c r="EC15" s="110"/>
      <c r="ED15" s="110"/>
      <c r="EE15" s="25">
        <v>1</v>
      </c>
      <c r="EF15" s="25">
        <v>1</v>
      </c>
      <c r="EG15" s="25"/>
      <c r="EH15" s="110" t="s">
        <v>445</v>
      </c>
      <c r="EI15" s="110" t="s">
        <v>445</v>
      </c>
      <c r="EJ15" s="110"/>
      <c r="EK15" s="110"/>
      <c r="EL15" s="25">
        <v>1</v>
      </c>
      <c r="EM15" s="25"/>
      <c r="EN15" s="25"/>
      <c r="EO15" s="25"/>
      <c r="EP15" s="25"/>
      <c r="EQ15" s="110"/>
      <c r="ER15" s="110"/>
      <c r="ES15" s="110" t="s">
        <v>445</v>
      </c>
      <c r="ET15" s="25"/>
      <c r="EU15" s="25"/>
      <c r="EV15" s="25"/>
      <c r="EW15" s="25"/>
      <c r="EX15" s="110"/>
      <c r="EY15" s="110"/>
      <c r="EZ15" s="25"/>
      <c r="FA15" s="25"/>
      <c r="FB15" s="25"/>
      <c r="FC15" s="25"/>
      <c r="FD15" s="25"/>
      <c r="FE15" s="110"/>
      <c r="FF15" s="110"/>
      <c r="FG15" s="25"/>
      <c r="FH15" s="25"/>
      <c r="FI15" s="25"/>
      <c r="FJ15" s="25"/>
      <c r="FK15" s="25"/>
      <c r="FL15" s="110"/>
      <c r="FM15" s="110"/>
      <c r="FN15" s="25"/>
      <c r="FO15" s="25"/>
      <c r="FP15" s="25"/>
      <c r="FQ15" s="25"/>
      <c r="FR15" s="25"/>
      <c r="FS15" s="110"/>
      <c r="FT15" s="110"/>
      <c r="FU15" s="25"/>
      <c r="FV15" s="25"/>
      <c r="FW15" s="25"/>
      <c r="FX15" s="25"/>
      <c r="FY15" s="25"/>
      <c r="FZ15" s="110"/>
      <c r="GA15" s="110"/>
      <c r="GB15" s="25"/>
      <c r="GC15" s="25"/>
      <c r="GD15" s="25"/>
      <c r="GE15" s="25"/>
      <c r="GF15" s="25"/>
      <c r="GG15" s="110"/>
      <c r="GH15" s="110"/>
      <c r="GI15" s="25"/>
      <c r="GJ15" s="25"/>
      <c r="GK15" s="25"/>
      <c r="GL15" s="25"/>
      <c r="GM15" s="25"/>
      <c r="GN15" s="110"/>
      <c r="GO15" s="110"/>
      <c r="GP15" s="110"/>
      <c r="GQ15" s="110" t="s">
        <v>445</v>
      </c>
      <c r="GR15" s="25"/>
      <c r="GS15" s="25"/>
      <c r="GT15" s="25"/>
      <c r="GU15" s="110"/>
      <c r="GV15" s="110"/>
      <c r="GW15" s="25"/>
      <c r="GX15" s="25"/>
      <c r="GY15" s="25"/>
      <c r="GZ15" s="25"/>
      <c r="HA15" s="25"/>
      <c r="HB15" s="110"/>
      <c r="HC15" s="110"/>
      <c r="HD15" s="25"/>
      <c r="HE15" s="25"/>
      <c r="HF15" s="25"/>
      <c r="HG15" s="25"/>
      <c r="HH15" s="25"/>
      <c r="HI15" s="110"/>
      <c r="HJ15" s="110"/>
      <c r="HK15" s="25"/>
      <c r="HL15" s="25"/>
      <c r="HM15" s="25"/>
      <c r="HN15" s="25"/>
      <c r="HO15" s="25"/>
      <c r="HP15" s="110"/>
      <c r="HQ15" s="110"/>
      <c r="HR15" s="25"/>
      <c r="HS15" s="25"/>
      <c r="HT15" s="25"/>
      <c r="HU15" s="25"/>
      <c r="HV15" s="25"/>
      <c r="HW15" s="110"/>
      <c r="HX15" s="110"/>
      <c r="HY15" s="25"/>
      <c r="HZ15" s="25"/>
      <c r="IA15" s="25"/>
      <c r="IB15" s="25"/>
      <c r="IC15" s="25"/>
      <c r="ID15" s="110"/>
      <c r="IE15" s="110"/>
      <c r="IF15" s="25"/>
      <c r="IG15" s="25"/>
      <c r="IH15" s="25"/>
      <c r="II15" s="25"/>
      <c r="IJ15" s="25"/>
      <c r="IK15" s="110"/>
      <c r="IL15" s="110"/>
      <c r="IM15" s="25"/>
      <c r="IN15" s="25"/>
      <c r="IO15" s="25"/>
      <c r="IP15" s="25"/>
      <c r="IQ15" s="25"/>
      <c r="IR15" s="110"/>
      <c r="IS15" s="110"/>
      <c r="IT15" s="25"/>
      <c r="IU15" s="25"/>
      <c r="IV15" s="25"/>
      <c r="IW15" s="25"/>
      <c r="IX15" s="25"/>
      <c r="IY15" s="110"/>
      <c r="IZ15" s="110"/>
      <c r="JA15" s="25"/>
      <c r="JB15" s="25"/>
      <c r="JC15" s="25"/>
      <c r="JD15" s="25"/>
      <c r="JE15" s="25"/>
      <c r="JF15" s="110"/>
      <c r="JG15" s="110"/>
      <c r="JH15" s="25"/>
      <c r="JI15" s="25"/>
      <c r="JJ15" s="25"/>
      <c r="JK15" s="25"/>
      <c r="JL15" s="25"/>
      <c r="JM15" s="110"/>
      <c r="JN15" s="110"/>
      <c r="JO15" s="25"/>
      <c r="JP15" s="25"/>
      <c r="JQ15" s="25"/>
      <c r="JR15" s="25"/>
      <c r="JS15" s="25"/>
      <c r="JT15" s="110"/>
      <c r="JU15" s="110"/>
      <c r="JV15" s="25"/>
      <c r="JW15" s="25"/>
      <c r="JX15" s="25"/>
      <c r="JY15" s="25"/>
      <c r="JZ15" s="25"/>
      <c r="KA15" s="110"/>
      <c r="KB15" s="110"/>
      <c r="KC15" s="25"/>
      <c r="KD15" s="25"/>
      <c r="KE15" s="25"/>
      <c r="KF15" s="25"/>
      <c r="KG15" s="25"/>
      <c r="KH15" s="110"/>
      <c r="KI15" s="110"/>
      <c r="KJ15" s="25"/>
      <c r="KK15" s="25"/>
      <c r="KL15" s="25"/>
      <c r="KM15" s="25"/>
      <c r="KN15" s="25"/>
      <c r="KO15" s="110"/>
      <c r="KP15" s="110"/>
      <c r="KQ15" s="25"/>
      <c r="KR15" s="25"/>
      <c r="KS15" s="25"/>
      <c r="KT15" s="25"/>
      <c r="KU15" s="25"/>
      <c r="KV15" s="110"/>
      <c r="KW15" s="110"/>
      <c r="KX15" s="25"/>
      <c r="KY15" s="25"/>
      <c r="KZ15" s="25"/>
      <c r="LA15" s="25"/>
      <c r="LB15" s="25"/>
      <c r="LC15" s="110"/>
      <c r="LD15" s="110"/>
      <c r="LE15" s="25"/>
      <c r="LF15" s="25"/>
      <c r="LG15" s="110" t="s">
        <v>445</v>
      </c>
      <c r="LH15" s="25"/>
      <c r="LI15" s="25"/>
      <c r="LJ15" s="110"/>
      <c r="LK15" s="110"/>
      <c r="LL15" s="25"/>
      <c r="LM15" s="25"/>
      <c r="LN15" s="25"/>
      <c r="LO15" s="25"/>
      <c r="LP15" s="25"/>
      <c r="LQ15" s="110"/>
      <c r="LR15" s="110"/>
      <c r="LS15" s="25"/>
      <c r="LT15" s="25"/>
      <c r="LU15" s="25"/>
      <c r="LV15" s="25"/>
      <c r="LW15" s="25"/>
      <c r="LX15" s="110"/>
      <c r="LY15" s="110"/>
      <c r="LZ15" s="25"/>
      <c r="MA15" s="25"/>
      <c r="MB15" s="25"/>
      <c r="MC15" s="25"/>
      <c r="MD15" s="25"/>
      <c r="ME15" s="110"/>
      <c r="MF15" s="110"/>
      <c r="MG15" s="25"/>
      <c r="MH15" s="25"/>
      <c r="MI15" s="25"/>
      <c r="MJ15" s="25"/>
      <c r="MK15" s="25"/>
      <c r="ML15" s="110"/>
      <c r="MM15" s="110"/>
      <c r="MN15" s="25"/>
      <c r="MO15" s="25"/>
      <c r="MP15" s="25"/>
      <c r="MQ15" s="25"/>
      <c r="MR15" s="25"/>
      <c r="MS15" s="110"/>
      <c r="MT15" s="110"/>
      <c r="MU15" s="25"/>
      <c r="MV15" s="25"/>
      <c r="MW15" s="25"/>
      <c r="MX15" s="25"/>
      <c r="MY15" s="25"/>
      <c r="MZ15" s="110"/>
      <c r="NA15" s="110"/>
      <c r="NB15" s="25"/>
      <c r="NC15" s="25"/>
      <c r="ND15" s="25"/>
      <c r="NE15" s="129"/>
      <c r="NF15" s="111"/>
      <c r="NG15" s="8">
        <f t="shared" si="0"/>
        <v>3</v>
      </c>
      <c r="NH15" s="32" cm="1">
        <f t="array" ref="NH15">NETWORKDAYS($I$2,$AI$2)- SUM(COUNTIF(I15:AI15,{"I";"F";"CP";"R";"P";"AC";"AM"}))</f>
        <v>18</v>
      </c>
      <c r="NI15" s="138">
        <f t="shared" si="1"/>
        <v>0.16666666666666666</v>
      </c>
      <c r="NJ15" s="8">
        <f t="shared" si="2"/>
        <v>0</v>
      </c>
      <c r="NK15" s="32" cm="1">
        <f t="array" ref="NK15">NETWORKDAYS($AJ$2,$BK$2)- SUM(COUNTIF(AJ15:BK15,{"I";"F";"CP";"R";"P";"AC";"AM"}))</f>
        <v>0</v>
      </c>
      <c r="NL15" s="138" t="e">
        <f t="shared" si="3"/>
        <v>#DIV/0!</v>
      </c>
      <c r="NM15" s="8">
        <f t="shared" si="4"/>
        <v>0</v>
      </c>
      <c r="NN15" s="32" cm="1">
        <f t="array" ref="NN15">NETWORKDAYS($BL$2,$CP$2)- SUM(COUNTIF(BL15:CP15,{"I";"F";"CP";"R";"P";"AC";"AM"}))</f>
        <v>0</v>
      </c>
      <c r="NO15" s="138" t="e">
        <f t="shared" si="5"/>
        <v>#DIV/0!</v>
      </c>
      <c r="NP15" s="32">
        <f t="shared" si="26"/>
        <v>1</v>
      </c>
      <c r="NQ15" s="32" cm="1">
        <f t="array" ref="NQ15">NETWORKDAYS($CQ$2,$DT$2,$CV$2)- SUM(COUNTIF(CQ15:DT15,{"I";"F";"CP";"R";"P";"AC";"AM"}))</f>
        <v>16</v>
      </c>
      <c r="NR15" s="138">
        <f t="shared" si="6"/>
        <v>6.25E-2</v>
      </c>
      <c r="NS15" s="8">
        <f t="shared" si="7"/>
        <v>6</v>
      </c>
      <c r="NT15" s="32" cm="1">
        <f t="array" ref="NT15">NETWORKDAYS($DV$2,$EY$2)-SUM(COUNTIF(DV15:EY15,{"I";"F";"CP";"R";"P";"AC";"AM"}))</f>
        <v>16</v>
      </c>
      <c r="NU15" s="138">
        <f t="shared" si="8"/>
        <v>0.375</v>
      </c>
      <c r="NV15" s="8">
        <f t="shared" si="9"/>
        <v>0</v>
      </c>
      <c r="NW15" s="32" cm="1">
        <f t="array" ref="NW15">NETWORKDAYS($EZ$2,$GC$2)-SUM(COUNTIF(EZ95:GC95,{"I";"F";"CP";"R";"P";"AC";"AM"}))</f>
        <v>22</v>
      </c>
      <c r="NX15" s="138">
        <f t="shared" si="10"/>
        <v>0</v>
      </c>
      <c r="NY15" s="8">
        <f t="shared" si="11"/>
        <v>0</v>
      </c>
      <c r="NZ15" s="32" cm="1">
        <f t="array" ref="NZ15">NETWORKDAYS($GD$2,$HH$2,$GQ$2)-SUM(COUNTIF(GD15:HH15,{"I";"F";"CP";"R";"P";"AC";"AM"}))</f>
        <v>21</v>
      </c>
      <c r="OA15" s="138">
        <f t="shared" si="12"/>
        <v>0</v>
      </c>
      <c r="OB15" s="8">
        <f t="shared" si="13"/>
        <v>0</v>
      </c>
      <c r="OC15" s="32" cm="1">
        <f t="array" ref="OC15">NETWORKDAYS($HI$2,$IM$2)-SUM(COUNTIF(HI15:IM15,{"I";"F";"CP";"R";"P";"AC";"AM"}))</f>
        <v>21</v>
      </c>
      <c r="OD15" s="138">
        <f t="shared" si="14"/>
        <v>0</v>
      </c>
      <c r="OE15" s="8">
        <f t="shared" si="15"/>
        <v>0</v>
      </c>
      <c r="OF15" s="32" cm="1">
        <f t="array" ref="OF15">NETWORKDAYS($IN$2,$JQ$2)-SUM(COUNTIF(IN15:JQ15,{"I";"F";"CP";"R";"P";"AC";"AM"}))</f>
        <v>22</v>
      </c>
      <c r="OG15" s="138">
        <f t="shared" si="16"/>
        <v>0</v>
      </c>
      <c r="OH15" s="8">
        <f t="shared" si="17"/>
        <v>0</v>
      </c>
      <c r="OI15" s="32" cm="1">
        <f t="array" ref="OI15">NETWORKDAYS($JR$2,$KV$2)-SUM(COUNTIF(JR15:KV15,{"I";"F";"CP";"R";"P";"AC";"AM"}))</f>
        <v>22</v>
      </c>
      <c r="OJ15" s="138">
        <f t="shared" si="18"/>
        <v>0</v>
      </c>
      <c r="OK15" s="8">
        <f t="shared" si="19"/>
        <v>0</v>
      </c>
      <c r="OL15" s="32" cm="1">
        <f t="array" ref="OL15">NETWORKDAYS($KW$2,$LZ$2,$LG$2)-SUM(COUNTIF(KW15:LZ15,{"I";"F";"CP";"R";"P";"AC";"AM"}))</f>
        <v>19</v>
      </c>
      <c r="OM15" s="138">
        <f t="shared" si="20"/>
        <v>0</v>
      </c>
      <c r="ON15" s="8">
        <f t="shared" si="21"/>
        <v>0</v>
      </c>
      <c r="OO15" s="32" cm="1">
        <f t="array" ref="OO15">NETWORKDAYS($MA$2,$MR$2)-SUM(COUNTIF(MA15:MR15,{"I";"F";"CP";"R";"P";"AC";"AM"}))</f>
        <v>14</v>
      </c>
      <c r="OP15" s="138">
        <f t="shared" si="22"/>
        <v>0</v>
      </c>
      <c r="OQ15" s="94">
        <f t="shared" si="23"/>
        <v>10</v>
      </c>
      <c r="OR15" s="94">
        <f t="shared" si="24"/>
        <v>191</v>
      </c>
      <c r="OS15" s="138">
        <f t="shared" si="25"/>
        <v>5.2356020942408377E-2</v>
      </c>
    </row>
    <row r="16" spans="1:409" ht="18" hidden="1" customHeight="1" x14ac:dyDescent="0.25">
      <c r="A16" s="94" t="s">
        <v>468</v>
      </c>
      <c r="B16" s="94" t="s">
        <v>34</v>
      </c>
      <c r="C16" s="27" t="s">
        <v>166</v>
      </c>
      <c r="D16" s="27" t="s">
        <v>183</v>
      </c>
      <c r="E16" s="128"/>
      <c r="F16" s="110"/>
      <c r="G16" s="110"/>
      <c r="H16" s="110"/>
      <c r="I16" s="25"/>
      <c r="J16" s="25"/>
      <c r="K16" s="25"/>
      <c r="L16" s="25"/>
      <c r="M16" s="25"/>
      <c r="N16" s="110"/>
      <c r="O16" s="110"/>
      <c r="P16" s="25"/>
      <c r="Q16" s="25"/>
      <c r="R16" s="25"/>
      <c r="S16" s="25"/>
      <c r="T16" s="25"/>
      <c r="U16" s="110"/>
      <c r="V16" s="110"/>
      <c r="W16" s="25"/>
      <c r="X16" s="25"/>
      <c r="Y16" s="25"/>
      <c r="Z16" s="25"/>
      <c r="AA16" s="25"/>
      <c r="AB16" s="110"/>
      <c r="AC16" s="110"/>
      <c r="AD16" s="25"/>
      <c r="AE16" s="25"/>
      <c r="AF16" s="25"/>
      <c r="AG16" s="25"/>
      <c r="AH16" s="25"/>
      <c r="AI16" s="110"/>
      <c r="AJ16" s="110"/>
      <c r="AK16" s="25"/>
      <c r="AL16" s="25"/>
      <c r="AM16" s="25"/>
      <c r="AN16" s="25"/>
      <c r="AO16" s="25"/>
      <c r="AP16" s="110"/>
      <c r="AQ16" s="110"/>
      <c r="AR16" s="25"/>
      <c r="AS16" s="25"/>
      <c r="AT16" s="25"/>
      <c r="AU16" s="25"/>
      <c r="AV16" s="25"/>
      <c r="AW16" s="110"/>
      <c r="AX16" s="110"/>
      <c r="AY16" s="25"/>
      <c r="AZ16" s="25"/>
      <c r="BA16" s="25"/>
      <c r="BB16" s="25"/>
      <c r="BC16" s="25"/>
      <c r="BD16" s="110"/>
      <c r="BE16" s="110"/>
      <c r="BF16" s="25"/>
      <c r="BG16" s="25"/>
      <c r="BH16" s="25"/>
      <c r="BI16" s="25"/>
      <c r="BJ16" s="25"/>
      <c r="BK16" s="110"/>
      <c r="BL16" s="110"/>
      <c r="BM16" s="25"/>
      <c r="BN16" s="25"/>
      <c r="BO16" s="25"/>
      <c r="BP16" s="25"/>
      <c r="BQ16" s="25"/>
      <c r="BR16" s="110"/>
      <c r="BS16" s="110"/>
      <c r="BT16" s="25"/>
      <c r="BU16" s="25"/>
      <c r="BV16" s="25"/>
      <c r="BW16" s="25"/>
      <c r="BX16" s="25"/>
      <c r="BY16" s="110"/>
      <c r="BZ16" s="110"/>
      <c r="CA16" s="25"/>
      <c r="CB16" s="25"/>
      <c r="CC16" s="25"/>
      <c r="CD16" s="25"/>
      <c r="CE16" s="25"/>
      <c r="CF16" s="110"/>
      <c r="CG16" s="110"/>
      <c r="CH16" s="25"/>
      <c r="CI16" s="25"/>
      <c r="CJ16" s="25"/>
      <c r="CK16" s="25"/>
      <c r="CL16" s="25"/>
      <c r="CM16" s="110"/>
      <c r="CN16" s="110"/>
      <c r="CO16" s="25"/>
      <c r="CP16" s="25"/>
      <c r="CQ16" s="25"/>
      <c r="CR16" s="25"/>
      <c r="CS16" s="25"/>
      <c r="CT16" s="110"/>
      <c r="CU16" s="110"/>
      <c r="CV16" s="110"/>
      <c r="CW16" s="25"/>
      <c r="CX16" s="25"/>
      <c r="CY16" s="25"/>
      <c r="CZ16" s="25"/>
      <c r="DA16" s="110"/>
      <c r="DB16" s="110"/>
      <c r="DC16" s="25"/>
      <c r="DD16" s="25"/>
      <c r="DE16" s="25"/>
      <c r="DF16" s="25"/>
      <c r="DG16" s="25"/>
      <c r="DH16" s="110"/>
      <c r="DI16" s="110"/>
      <c r="DJ16" s="25"/>
      <c r="DK16" s="25"/>
      <c r="DL16" s="25"/>
      <c r="DM16" s="25"/>
      <c r="DN16" s="25"/>
      <c r="DO16" s="110"/>
      <c r="DP16" s="110"/>
      <c r="DQ16" s="25"/>
      <c r="DR16" s="25"/>
      <c r="DS16" s="25"/>
      <c r="DT16" s="25"/>
      <c r="DU16" s="110"/>
      <c r="DV16" s="110"/>
      <c r="DW16" s="110"/>
      <c r="DX16" s="25"/>
      <c r="DY16" s="25"/>
      <c r="DZ16" s="25"/>
      <c r="EA16" s="25"/>
      <c r="EB16" s="110" t="s">
        <v>445</v>
      </c>
      <c r="EC16" s="110"/>
      <c r="ED16" s="110"/>
      <c r="EE16" s="25"/>
      <c r="EF16" s="25"/>
      <c r="EG16" s="25"/>
      <c r="EH16" s="110" t="s">
        <v>445</v>
      </c>
      <c r="EI16" s="110" t="s">
        <v>445</v>
      </c>
      <c r="EJ16" s="110"/>
      <c r="EK16" s="110"/>
      <c r="EL16" s="25"/>
      <c r="EM16" s="25"/>
      <c r="EN16" s="25"/>
      <c r="EO16" s="25"/>
      <c r="EP16" s="25"/>
      <c r="EQ16" s="110"/>
      <c r="ER16" s="110"/>
      <c r="ES16" s="110" t="s">
        <v>445</v>
      </c>
      <c r="ET16" s="25"/>
      <c r="EU16" s="25"/>
      <c r="EV16" s="25"/>
      <c r="EW16" s="25"/>
      <c r="EX16" s="110"/>
      <c r="EY16" s="110"/>
      <c r="EZ16" s="25"/>
      <c r="FA16" s="25"/>
      <c r="FB16" s="25"/>
      <c r="FC16" s="25"/>
      <c r="FD16" s="25"/>
      <c r="FE16" s="110"/>
      <c r="FF16" s="110"/>
      <c r="FG16" s="25"/>
      <c r="FH16" s="25"/>
      <c r="FI16" s="25"/>
      <c r="FJ16" s="25"/>
      <c r="FK16" s="25"/>
      <c r="FL16" s="110"/>
      <c r="FM16" s="110"/>
      <c r="FN16" s="25"/>
      <c r="FO16" s="25"/>
      <c r="FP16" s="25"/>
      <c r="FQ16" s="25"/>
      <c r="FR16" s="25"/>
      <c r="FS16" s="110"/>
      <c r="FT16" s="110"/>
      <c r="FU16" s="25"/>
      <c r="FV16" s="25"/>
      <c r="FW16" s="25"/>
      <c r="FX16" s="25"/>
      <c r="FY16" s="25"/>
      <c r="FZ16" s="110"/>
      <c r="GA16" s="110"/>
      <c r="GB16" s="25"/>
      <c r="GC16" s="25"/>
      <c r="GD16" s="25"/>
      <c r="GE16" s="25"/>
      <c r="GF16" s="25"/>
      <c r="GG16" s="110"/>
      <c r="GH16" s="110"/>
      <c r="GI16" s="25"/>
      <c r="GJ16" s="25"/>
      <c r="GK16" s="25"/>
      <c r="GL16" s="25"/>
      <c r="GM16" s="25"/>
      <c r="GN16" s="110"/>
      <c r="GO16" s="110"/>
      <c r="GP16" s="110"/>
      <c r="GQ16" s="110" t="s">
        <v>445</v>
      </c>
      <c r="GR16" s="25"/>
      <c r="GS16" s="25"/>
      <c r="GT16" s="25"/>
      <c r="GU16" s="110"/>
      <c r="GV16" s="110"/>
      <c r="GW16" s="25"/>
      <c r="GX16" s="25"/>
      <c r="GY16" s="25"/>
      <c r="GZ16" s="25"/>
      <c r="HA16" s="25"/>
      <c r="HB16" s="110"/>
      <c r="HC16" s="110"/>
      <c r="HD16" s="25"/>
      <c r="HE16" s="25"/>
      <c r="HF16" s="25"/>
      <c r="HG16" s="25"/>
      <c r="HH16" s="25"/>
      <c r="HI16" s="110"/>
      <c r="HJ16" s="110"/>
      <c r="HK16" s="25"/>
      <c r="HL16" s="25"/>
      <c r="HM16" s="25"/>
      <c r="HN16" s="25"/>
      <c r="HO16" s="25"/>
      <c r="HP16" s="110"/>
      <c r="HQ16" s="110"/>
      <c r="HR16" s="25"/>
      <c r="HS16" s="25"/>
      <c r="HT16" s="25"/>
      <c r="HU16" s="25"/>
      <c r="HV16" s="25"/>
      <c r="HW16" s="110"/>
      <c r="HX16" s="110"/>
      <c r="HY16" s="25"/>
      <c r="HZ16" s="25"/>
      <c r="IA16" s="25"/>
      <c r="IB16" s="25"/>
      <c r="IC16" s="25"/>
      <c r="ID16" s="110"/>
      <c r="IE16" s="110"/>
      <c r="IF16" s="25"/>
      <c r="IG16" s="25"/>
      <c r="IH16" s="25"/>
      <c r="II16" s="25"/>
      <c r="IJ16" s="25"/>
      <c r="IK16" s="110"/>
      <c r="IL16" s="110"/>
      <c r="IM16" s="25"/>
      <c r="IN16" s="25"/>
      <c r="IO16" s="25"/>
      <c r="IP16" s="25"/>
      <c r="IQ16" s="25"/>
      <c r="IR16" s="110"/>
      <c r="IS16" s="110"/>
      <c r="IT16" s="25"/>
      <c r="IU16" s="25"/>
      <c r="IV16" s="25"/>
      <c r="IW16" s="25"/>
      <c r="IX16" s="25"/>
      <c r="IY16" s="110"/>
      <c r="IZ16" s="110"/>
      <c r="JA16" s="25"/>
      <c r="JB16" s="25"/>
      <c r="JC16" s="25"/>
      <c r="JD16" s="25"/>
      <c r="JE16" s="25"/>
      <c r="JF16" s="110"/>
      <c r="JG16" s="110"/>
      <c r="JH16" s="25"/>
      <c r="JI16" s="25"/>
      <c r="JJ16" s="25"/>
      <c r="JK16" s="25"/>
      <c r="JL16" s="25"/>
      <c r="JM16" s="110"/>
      <c r="JN16" s="110"/>
      <c r="JO16" s="25"/>
      <c r="JP16" s="25"/>
      <c r="JQ16" s="25"/>
      <c r="JR16" s="25"/>
      <c r="JS16" s="25"/>
      <c r="JT16" s="110"/>
      <c r="JU16" s="110"/>
      <c r="JV16" s="25"/>
      <c r="JW16" s="25"/>
      <c r="JX16" s="25"/>
      <c r="JY16" s="25"/>
      <c r="JZ16" s="25"/>
      <c r="KA16" s="110"/>
      <c r="KB16" s="110"/>
      <c r="KC16" s="25"/>
      <c r="KD16" s="25"/>
      <c r="KE16" s="25"/>
      <c r="KF16" s="25"/>
      <c r="KG16" s="25"/>
      <c r="KH16" s="110"/>
      <c r="KI16" s="110"/>
      <c r="KJ16" s="25"/>
      <c r="KK16" s="25"/>
      <c r="KL16" s="25"/>
      <c r="KM16" s="25"/>
      <c r="KN16" s="25"/>
      <c r="KO16" s="110"/>
      <c r="KP16" s="110"/>
      <c r="KQ16" s="25"/>
      <c r="KR16" s="25"/>
      <c r="KS16" s="25"/>
      <c r="KT16" s="25"/>
      <c r="KU16" s="25"/>
      <c r="KV16" s="110"/>
      <c r="KW16" s="110"/>
      <c r="KX16" s="25"/>
      <c r="KY16" s="25"/>
      <c r="KZ16" s="25"/>
      <c r="LA16" s="25"/>
      <c r="LB16" s="25"/>
      <c r="LC16" s="110"/>
      <c r="LD16" s="110"/>
      <c r="LE16" s="25"/>
      <c r="LF16" s="25"/>
      <c r="LG16" s="110" t="s">
        <v>445</v>
      </c>
      <c r="LH16" s="25"/>
      <c r="LI16" s="25"/>
      <c r="LJ16" s="110"/>
      <c r="LK16" s="110"/>
      <c r="LL16" s="25"/>
      <c r="LM16" s="25"/>
      <c r="LN16" s="25"/>
      <c r="LO16" s="25"/>
      <c r="LP16" s="25"/>
      <c r="LQ16" s="110"/>
      <c r="LR16" s="110"/>
      <c r="LS16" s="25"/>
      <c r="LT16" s="25"/>
      <c r="LU16" s="25"/>
      <c r="LV16" s="25"/>
      <c r="LW16" s="25"/>
      <c r="LX16" s="110"/>
      <c r="LY16" s="110"/>
      <c r="LZ16" s="25"/>
      <c r="MA16" s="25"/>
      <c r="MB16" s="25"/>
      <c r="MC16" s="25"/>
      <c r="MD16" s="25"/>
      <c r="ME16" s="110"/>
      <c r="MF16" s="110"/>
      <c r="MG16" s="25"/>
      <c r="MH16" s="25"/>
      <c r="MI16" s="25"/>
      <c r="MJ16" s="25"/>
      <c r="MK16" s="25"/>
      <c r="ML16" s="110"/>
      <c r="MM16" s="110"/>
      <c r="MN16" s="25"/>
      <c r="MO16" s="25"/>
      <c r="MP16" s="25"/>
      <c r="MQ16" s="25"/>
      <c r="MR16" s="25"/>
      <c r="MS16" s="110"/>
      <c r="MT16" s="110"/>
      <c r="MU16" s="25"/>
      <c r="MV16" s="25"/>
      <c r="MW16" s="25"/>
      <c r="MX16" s="25"/>
      <c r="MY16" s="25"/>
      <c r="MZ16" s="110"/>
      <c r="NA16" s="110"/>
      <c r="NB16" s="25"/>
      <c r="NC16" s="25"/>
      <c r="ND16" s="25"/>
      <c r="NE16" s="129"/>
      <c r="NF16" s="111"/>
      <c r="NG16" s="8">
        <f t="shared" si="0"/>
        <v>0</v>
      </c>
      <c r="NH16" s="32" cm="1">
        <f t="array" ref="NH16">NETWORKDAYS($I$2,$AI$2)- SUM(COUNTIF(I16:AI16,{"I";"F";"CP";"R";"P";"AC";"AM"}))</f>
        <v>20</v>
      </c>
      <c r="NI16" s="138">
        <f t="shared" si="1"/>
        <v>0</v>
      </c>
      <c r="NJ16" s="8">
        <f t="shared" si="2"/>
        <v>0</v>
      </c>
      <c r="NK16" s="32" cm="1">
        <f t="array" ref="NK16">NETWORKDAYS($AJ$2,$BK$2)- SUM(COUNTIF(AJ16:BK16,{"I";"F";"CP";"R";"P";"AC";"AM"}))</f>
        <v>20</v>
      </c>
      <c r="NL16" s="138">
        <f t="shared" si="3"/>
        <v>0</v>
      </c>
      <c r="NM16" s="8">
        <f t="shared" si="4"/>
        <v>0</v>
      </c>
      <c r="NN16" s="32" cm="1">
        <f t="array" ref="NN16">NETWORKDAYS($BL$2,$CP$2)- SUM(COUNTIF(BL16:CP16,{"I";"F";"CP";"R";"P";"AC";"AM"}))</f>
        <v>22</v>
      </c>
      <c r="NO16" s="138">
        <f t="shared" si="5"/>
        <v>0</v>
      </c>
      <c r="NP16" s="8">
        <f t="shared" si="26"/>
        <v>0</v>
      </c>
      <c r="NQ16" s="32" cm="1">
        <f t="array" ref="NQ16">NETWORKDAYS($CQ$2,$DT$2,$CV$2)- SUM(COUNTIF(CQ16:DT16,{"I";"F";"CP";"R";"P";"AC";"AM"}))</f>
        <v>21</v>
      </c>
      <c r="NR16" s="138">
        <f t="shared" si="6"/>
        <v>0</v>
      </c>
      <c r="NS16" s="8">
        <f t="shared" si="7"/>
        <v>0</v>
      </c>
      <c r="NT16" s="32" cm="1">
        <f t="array" ref="NT16">NETWORKDAYS($DV$2,$EY$2)-SUM(COUNTIF(DV16:EY16,{"I";"F";"CP";"R";"P";"AC";"AM"}))</f>
        <v>16</v>
      </c>
      <c r="NU16" s="138">
        <f t="shared" si="8"/>
        <v>0</v>
      </c>
      <c r="NV16" s="8">
        <f t="shared" si="9"/>
        <v>0</v>
      </c>
      <c r="NW16" s="32" cm="1">
        <f t="array" ref="NW16">NETWORKDAYS($EZ$2,$GC$2)-SUM(COUNTIF(EZ96:GC96,{"I";"F";"CP";"R";"P";"AC";"AM"}))</f>
        <v>22</v>
      </c>
      <c r="NX16" s="138">
        <f t="shared" si="10"/>
        <v>0</v>
      </c>
      <c r="NY16" s="8">
        <f t="shared" si="11"/>
        <v>0</v>
      </c>
      <c r="NZ16" s="32" cm="1">
        <f t="array" ref="NZ16">NETWORKDAYS($GD$2,$HH$2,$GQ$2)-SUM(COUNTIF(GD16:HH16,{"I";"F";"CP";"R";"P";"AC";"AM"}))</f>
        <v>21</v>
      </c>
      <c r="OA16" s="138">
        <f t="shared" si="12"/>
        <v>0</v>
      </c>
      <c r="OB16" s="8">
        <f t="shared" si="13"/>
        <v>0</v>
      </c>
      <c r="OC16" s="32" cm="1">
        <f t="array" ref="OC16">NETWORKDAYS($HI$2,$IM$2)-SUM(COUNTIF(HI16:IM16,{"I";"F";"CP";"R";"P";"AC";"AM"}))</f>
        <v>21</v>
      </c>
      <c r="OD16" s="138">
        <f t="shared" si="14"/>
        <v>0</v>
      </c>
      <c r="OE16" s="8">
        <f t="shared" si="15"/>
        <v>0</v>
      </c>
      <c r="OF16" s="32" cm="1">
        <f t="array" ref="OF16">NETWORKDAYS($IN$2,$JQ$2)-SUM(COUNTIF(IN16:JQ16,{"I";"F";"CP";"R";"P";"AC";"AM"}))</f>
        <v>22</v>
      </c>
      <c r="OG16" s="138">
        <f t="shared" si="16"/>
        <v>0</v>
      </c>
      <c r="OH16" s="8">
        <f t="shared" si="17"/>
        <v>0</v>
      </c>
      <c r="OI16" s="32" cm="1">
        <f t="array" ref="OI16">NETWORKDAYS($JR$2,$KV$2)-SUM(COUNTIF(JR16:KV16,{"I";"F";"CP";"R";"P";"AC";"AM"}))</f>
        <v>22</v>
      </c>
      <c r="OJ16" s="138">
        <f t="shared" si="18"/>
        <v>0</v>
      </c>
      <c r="OK16" s="8">
        <f t="shared" si="19"/>
        <v>0</v>
      </c>
      <c r="OL16" s="32" cm="1">
        <f t="array" ref="OL16">NETWORKDAYS($KW$2,$LZ$2,$LG$2)-SUM(COUNTIF(KW16:LZ16,{"I";"F";"CP";"R";"P";"AC";"AM"}))</f>
        <v>19</v>
      </c>
      <c r="OM16" s="138">
        <f t="shared" si="20"/>
        <v>0</v>
      </c>
      <c r="ON16" s="8">
        <f t="shared" si="21"/>
        <v>0</v>
      </c>
      <c r="OO16" s="32" cm="1">
        <f t="array" ref="OO16">NETWORKDAYS($MA$2,$MR$2)-SUM(COUNTIF(MA16:MR16,{"I";"F";"CP";"R";"P";"AC";"AM"}))</f>
        <v>14</v>
      </c>
      <c r="OP16" s="138">
        <f t="shared" si="22"/>
        <v>0</v>
      </c>
      <c r="OQ16" s="94">
        <f t="shared" si="23"/>
        <v>0</v>
      </c>
      <c r="OR16" s="94">
        <f t="shared" si="24"/>
        <v>240</v>
      </c>
      <c r="OS16" s="138">
        <f t="shared" si="25"/>
        <v>0</v>
      </c>
    </row>
    <row r="17" spans="1:409" ht="18" hidden="1" customHeight="1" x14ac:dyDescent="0.25">
      <c r="A17" s="94" t="s">
        <v>168</v>
      </c>
      <c r="B17" s="94" t="s">
        <v>168</v>
      </c>
      <c r="C17" s="27" t="s">
        <v>160</v>
      </c>
      <c r="D17" s="27" t="s">
        <v>184</v>
      </c>
      <c r="E17" s="128"/>
      <c r="F17" s="110"/>
      <c r="G17" s="110"/>
      <c r="H17" s="110"/>
      <c r="I17" s="25"/>
      <c r="J17" s="25"/>
      <c r="K17" s="25"/>
      <c r="L17" s="25"/>
      <c r="M17" s="25"/>
      <c r="N17" s="110"/>
      <c r="O17" s="110"/>
      <c r="P17" s="25"/>
      <c r="Q17" s="25"/>
      <c r="R17" s="25"/>
      <c r="S17" s="25"/>
      <c r="T17" s="25"/>
      <c r="U17" s="110"/>
      <c r="V17" s="110"/>
      <c r="W17" s="25"/>
      <c r="X17" s="25"/>
      <c r="Y17" s="25"/>
      <c r="Z17" s="25"/>
      <c r="AA17" s="25"/>
      <c r="AB17" s="110"/>
      <c r="AC17" s="110"/>
      <c r="AD17" s="25"/>
      <c r="AE17" s="25"/>
      <c r="AF17" s="25"/>
      <c r="AG17" s="25"/>
      <c r="AH17" s="25"/>
      <c r="AI17" s="110"/>
      <c r="AJ17" s="110"/>
      <c r="AK17" s="25"/>
      <c r="AL17" s="25"/>
      <c r="AM17" s="25"/>
      <c r="AN17" s="25"/>
      <c r="AO17" s="25"/>
      <c r="AP17" s="110"/>
      <c r="AQ17" s="110"/>
      <c r="AR17" s="25"/>
      <c r="AS17" s="25"/>
      <c r="AT17" s="25"/>
      <c r="AU17" s="25"/>
      <c r="AV17" s="25"/>
      <c r="AW17" s="110"/>
      <c r="AX17" s="110"/>
      <c r="AY17" s="25"/>
      <c r="AZ17" s="25"/>
      <c r="BA17" s="25"/>
      <c r="BB17" s="25"/>
      <c r="BC17" s="25"/>
      <c r="BD17" s="110"/>
      <c r="BE17" s="110"/>
      <c r="BF17" s="25"/>
      <c r="BG17" s="25"/>
      <c r="BH17" s="25"/>
      <c r="BI17" s="25"/>
      <c r="BJ17" s="25"/>
      <c r="BK17" s="110"/>
      <c r="BL17" s="110"/>
      <c r="BM17" s="25"/>
      <c r="BN17" s="25"/>
      <c r="BO17" s="25"/>
      <c r="BP17" s="25"/>
      <c r="BQ17" s="25"/>
      <c r="BR17" s="110"/>
      <c r="BS17" s="110"/>
      <c r="BT17" s="25"/>
      <c r="BU17" s="25"/>
      <c r="BV17" s="25"/>
      <c r="BW17" s="25"/>
      <c r="BX17" s="25"/>
      <c r="BY17" s="110"/>
      <c r="BZ17" s="110"/>
      <c r="CA17" s="25"/>
      <c r="CB17" s="25"/>
      <c r="CC17" s="25"/>
      <c r="CD17" s="25"/>
      <c r="CE17" s="25"/>
      <c r="CF17" s="110"/>
      <c r="CG17" s="110"/>
      <c r="CH17" s="25"/>
      <c r="CI17" s="25"/>
      <c r="CJ17" s="25"/>
      <c r="CK17" s="25"/>
      <c r="CL17" s="25"/>
      <c r="CM17" s="110"/>
      <c r="CN17" s="110"/>
      <c r="CO17" s="25"/>
      <c r="CP17" s="25"/>
      <c r="CQ17" s="25"/>
      <c r="CR17" s="25"/>
      <c r="CS17" s="25"/>
      <c r="CT17" s="110"/>
      <c r="CU17" s="110"/>
      <c r="CV17" s="110"/>
      <c r="CW17" s="25"/>
      <c r="CX17" s="25"/>
      <c r="CY17" s="25"/>
      <c r="CZ17" s="25"/>
      <c r="DA17" s="110"/>
      <c r="DB17" s="110"/>
      <c r="DC17" s="25"/>
      <c r="DD17" s="25"/>
      <c r="DE17" s="25"/>
      <c r="DF17" s="25"/>
      <c r="DG17" s="25"/>
      <c r="DH17" s="110"/>
      <c r="DI17" s="110"/>
      <c r="DJ17" s="25"/>
      <c r="DK17" s="25"/>
      <c r="DL17" s="25"/>
      <c r="DM17" s="25"/>
      <c r="DN17" s="25"/>
      <c r="DO17" s="110"/>
      <c r="DP17" s="110"/>
      <c r="DQ17" s="25"/>
      <c r="DR17" s="25"/>
      <c r="DS17" s="25"/>
      <c r="DT17" s="25"/>
      <c r="DU17" s="110"/>
      <c r="DV17" s="110"/>
      <c r="DW17" s="110"/>
      <c r="DX17" s="25"/>
      <c r="DY17" s="25"/>
      <c r="DZ17" s="25"/>
      <c r="EA17" s="25"/>
      <c r="EB17" s="110" t="s">
        <v>445</v>
      </c>
      <c r="EC17" s="110"/>
      <c r="ED17" s="110"/>
      <c r="EE17" s="25"/>
      <c r="EF17" s="25"/>
      <c r="EG17" s="25"/>
      <c r="EH17" s="110" t="s">
        <v>445</v>
      </c>
      <c r="EI17" s="110" t="s">
        <v>445</v>
      </c>
      <c r="EJ17" s="110"/>
      <c r="EK17" s="110"/>
      <c r="EL17" s="25"/>
      <c r="EM17" s="25"/>
      <c r="EN17" s="25"/>
      <c r="EO17" s="25"/>
      <c r="EP17" s="25"/>
      <c r="EQ17" s="110"/>
      <c r="ER17" s="110"/>
      <c r="ES17" s="110" t="s">
        <v>445</v>
      </c>
      <c r="ET17" s="25"/>
      <c r="EU17" s="25"/>
      <c r="EV17" s="25"/>
      <c r="EW17" s="25"/>
      <c r="EX17" s="110"/>
      <c r="EY17" s="110"/>
      <c r="EZ17" s="25"/>
      <c r="FA17" s="25"/>
      <c r="FB17" s="25"/>
      <c r="FC17" s="25"/>
      <c r="FD17" s="25"/>
      <c r="FE17" s="110"/>
      <c r="FF17" s="110"/>
      <c r="FG17" s="25"/>
      <c r="FH17" s="25"/>
      <c r="FI17" s="25"/>
      <c r="FJ17" s="25"/>
      <c r="FK17" s="25"/>
      <c r="FL17" s="110"/>
      <c r="FM17" s="110"/>
      <c r="FN17" s="25"/>
      <c r="FO17" s="25"/>
      <c r="FP17" s="25"/>
      <c r="FQ17" s="25"/>
      <c r="FR17" s="25"/>
      <c r="FS17" s="110"/>
      <c r="FT17" s="110"/>
      <c r="FU17" s="25"/>
      <c r="FV17" s="25"/>
      <c r="FW17" s="25"/>
      <c r="FX17" s="25"/>
      <c r="FY17" s="25"/>
      <c r="FZ17" s="110"/>
      <c r="GA17" s="110"/>
      <c r="GB17" s="25"/>
      <c r="GC17" s="25"/>
      <c r="GD17" s="25"/>
      <c r="GE17" s="25"/>
      <c r="GF17" s="25"/>
      <c r="GG17" s="110"/>
      <c r="GH17" s="110"/>
      <c r="GI17" s="25"/>
      <c r="GJ17" s="25"/>
      <c r="GK17" s="25"/>
      <c r="GL17" s="25"/>
      <c r="GM17" s="25"/>
      <c r="GN17" s="110"/>
      <c r="GO17" s="110"/>
      <c r="GP17" s="110"/>
      <c r="GQ17" s="110" t="s">
        <v>445</v>
      </c>
      <c r="GR17" s="25"/>
      <c r="GS17" s="25"/>
      <c r="GT17" s="25"/>
      <c r="GU17" s="110"/>
      <c r="GV17" s="110"/>
      <c r="GW17" s="25"/>
      <c r="GX17" s="25"/>
      <c r="GY17" s="25"/>
      <c r="GZ17" s="25"/>
      <c r="HA17" s="25"/>
      <c r="HB17" s="110"/>
      <c r="HC17" s="110"/>
      <c r="HD17" s="25"/>
      <c r="HE17" s="25"/>
      <c r="HF17" s="25"/>
      <c r="HG17" s="25"/>
      <c r="HH17" s="25"/>
      <c r="HI17" s="110"/>
      <c r="HJ17" s="110"/>
      <c r="HK17" s="25"/>
      <c r="HL17" s="25"/>
      <c r="HM17" s="25"/>
      <c r="HN17" s="25"/>
      <c r="HO17" s="25"/>
      <c r="HP17" s="110"/>
      <c r="HQ17" s="110"/>
      <c r="HR17" s="25"/>
      <c r="HS17" s="25"/>
      <c r="HT17" s="25"/>
      <c r="HU17" s="25"/>
      <c r="HV17" s="25"/>
      <c r="HW17" s="110"/>
      <c r="HX17" s="110"/>
      <c r="HY17" s="25"/>
      <c r="HZ17" s="25"/>
      <c r="IA17" s="25"/>
      <c r="IB17" s="25"/>
      <c r="IC17" s="25"/>
      <c r="ID17" s="110"/>
      <c r="IE17" s="110"/>
      <c r="IF17" s="25"/>
      <c r="IG17" s="25"/>
      <c r="IH17" s="25"/>
      <c r="II17" s="25"/>
      <c r="IJ17" s="25"/>
      <c r="IK17" s="110"/>
      <c r="IL17" s="110"/>
      <c r="IM17" s="25"/>
      <c r="IN17" s="25"/>
      <c r="IO17" s="25"/>
      <c r="IP17" s="25"/>
      <c r="IQ17" s="25"/>
      <c r="IR17" s="110"/>
      <c r="IS17" s="110"/>
      <c r="IT17" s="25"/>
      <c r="IU17" s="25"/>
      <c r="IV17" s="25"/>
      <c r="IW17" s="25"/>
      <c r="IX17" s="25"/>
      <c r="IY17" s="110"/>
      <c r="IZ17" s="110"/>
      <c r="JA17" s="25"/>
      <c r="JB17" s="25"/>
      <c r="JC17" s="25"/>
      <c r="JD17" s="25"/>
      <c r="JE17" s="25"/>
      <c r="JF17" s="110"/>
      <c r="JG17" s="110"/>
      <c r="JH17" s="25"/>
      <c r="JI17" s="25"/>
      <c r="JJ17" s="25"/>
      <c r="JK17" s="25"/>
      <c r="JL17" s="25"/>
      <c r="JM17" s="110"/>
      <c r="JN17" s="110"/>
      <c r="JO17" s="25"/>
      <c r="JP17" s="25"/>
      <c r="JQ17" s="25"/>
      <c r="JR17" s="25"/>
      <c r="JS17" s="25"/>
      <c r="JT17" s="110"/>
      <c r="JU17" s="110"/>
      <c r="JV17" s="25"/>
      <c r="JW17" s="25"/>
      <c r="JX17" s="25"/>
      <c r="JY17" s="25"/>
      <c r="JZ17" s="25"/>
      <c r="KA17" s="110"/>
      <c r="KB17" s="110"/>
      <c r="KC17" s="25"/>
      <c r="KD17" s="25"/>
      <c r="KE17" s="25"/>
      <c r="KF17" s="25"/>
      <c r="KG17" s="25"/>
      <c r="KH17" s="110"/>
      <c r="KI17" s="110"/>
      <c r="KJ17" s="25"/>
      <c r="KK17" s="25"/>
      <c r="KL17" s="25"/>
      <c r="KM17" s="25"/>
      <c r="KN17" s="25"/>
      <c r="KO17" s="110"/>
      <c r="KP17" s="110"/>
      <c r="KQ17" s="25"/>
      <c r="KR17" s="25"/>
      <c r="KS17" s="25"/>
      <c r="KT17" s="25"/>
      <c r="KU17" s="25"/>
      <c r="KV17" s="110"/>
      <c r="KW17" s="110"/>
      <c r="KX17" s="25"/>
      <c r="KY17" s="25"/>
      <c r="KZ17" s="25"/>
      <c r="LA17" s="25"/>
      <c r="LB17" s="25"/>
      <c r="LC17" s="110"/>
      <c r="LD17" s="110"/>
      <c r="LE17" s="25"/>
      <c r="LF17" s="25"/>
      <c r="LG17" s="110" t="s">
        <v>445</v>
      </c>
      <c r="LH17" s="25"/>
      <c r="LI17" s="25"/>
      <c r="LJ17" s="110"/>
      <c r="LK17" s="110"/>
      <c r="LL17" s="25"/>
      <c r="LM17" s="25"/>
      <c r="LN17" s="25"/>
      <c r="LO17" s="25"/>
      <c r="LP17" s="25"/>
      <c r="LQ17" s="110"/>
      <c r="LR17" s="110"/>
      <c r="LS17" s="25"/>
      <c r="LT17" s="25"/>
      <c r="LU17" s="25"/>
      <c r="LV17" s="25"/>
      <c r="LW17" s="25"/>
      <c r="LX17" s="110"/>
      <c r="LY17" s="110"/>
      <c r="LZ17" s="25"/>
      <c r="MA17" s="25"/>
      <c r="MB17" s="25"/>
      <c r="MC17" s="25"/>
      <c r="MD17" s="25"/>
      <c r="ME17" s="110"/>
      <c r="MF17" s="110"/>
      <c r="MG17" s="25"/>
      <c r="MH17" s="25"/>
      <c r="MI17" s="25"/>
      <c r="MJ17" s="25"/>
      <c r="MK17" s="25"/>
      <c r="ML17" s="110"/>
      <c r="MM17" s="110"/>
      <c r="MN17" s="25"/>
      <c r="MO17" s="25"/>
      <c r="MP17" s="25"/>
      <c r="MQ17" s="25"/>
      <c r="MR17" s="25"/>
      <c r="MS17" s="110"/>
      <c r="MT17" s="110"/>
      <c r="MU17" s="25"/>
      <c r="MV17" s="25"/>
      <c r="MW17" s="25"/>
      <c r="MX17" s="25"/>
      <c r="MY17" s="25"/>
      <c r="MZ17" s="110"/>
      <c r="NA17" s="110"/>
      <c r="NB17" s="25"/>
      <c r="NC17" s="25"/>
      <c r="ND17" s="25"/>
      <c r="NE17" s="129"/>
      <c r="NF17" s="111"/>
      <c r="NG17" s="8">
        <f t="shared" si="0"/>
        <v>0</v>
      </c>
      <c r="NH17" s="32" cm="1">
        <f t="array" ref="NH17">NETWORKDAYS($I$2,$AI$2)- SUM(COUNTIF(I17:AI17,{"I";"F";"CP";"R";"P";"AC";"AM"}))</f>
        <v>20</v>
      </c>
      <c r="NI17" s="138">
        <f t="shared" si="1"/>
        <v>0</v>
      </c>
      <c r="NJ17" s="8">
        <f t="shared" si="2"/>
        <v>0</v>
      </c>
      <c r="NK17" s="32" cm="1">
        <f t="array" ref="NK17">NETWORKDAYS($AJ$2,$BK$2)- SUM(COUNTIF(AJ17:BK17,{"I";"F";"CP";"R";"P";"AC";"AM"}))</f>
        <v>20</v>
      </c>
      <c r="NL17" s="138">
        <f t="shared" si="3"/>
        <v>0</v>
      </c>
      <c r="NM17" s="8">
        <f t="shared" si="4"/>
        <v>0</v>
      </c>
      <c r="NN17" s="32" cm="1">
        <f t="array" ref="NN17">NETWORKDAYS($BL$2,$CP$2)- SUM(COUNTIF(BL17:CP17,{"I";"F";"CP";"R";"P";"AC";"AM"}))</f>
        <v>22</v>
      </c>
      <c r="NO17" s="138">
        <f t="shared" si="5"/>
        <v>0</v>
      </c>
      <c r="NP17" s="32">
        <f t="shared" si="26"/>
        <v>0</v>
      </c>
      <c r="NQ17" s="32" cm="1">
        <f t="array" ref="NQ17">NETWORKDAYS($CQ$2,$DT$2,$CV$2)- SUM(COUNTIF(CQ17:DT17,{"I";"F";"CP";"R";"P";"AC";"AM"}))</f>
        <v>21</v>
      </c>
      <c r="NR17" s="138">
        <f t="shared" si="6"/>
        <v>0</v>
      </c>
      <c r="NS17" s="8">
        <f t="shared" si="7"/>
        <v>0</v>
      </c>
      <c r="NT17" s="32" cm="1">
        <f t="array" ref="NT17">NETWORKDAYS($DV$2,$EY$2)-SUM(COUNTIF(DV17:EY17,{"I";"F";"CP";"R";"P";"AC";"AM"}))</f>
        <v>16</v>
      </c>
      <c r="NU17" s="138">
        <f t="shared" si="8"/>
        <v>0</v>
      </c>
      <c r="NV17" s="8">
        <f t="shared" si="9"/>
        <v>0</v>
      </c>
      <c r="NW17" s="32" cm="1">
        <f t="array" ref="NW17">NETWORKDAYS($EZ$2,$GC$2)-SUM(COUNTIF(EZ97:GC97,{"I";"F";"CP";"R";"P";"AC";"AM"}))</f>
        <v>22</v>
      </c>
      <c r="NX17" s="138">
        <f t="shared" si="10"/>
        <v>0</v>
      </c>
      <c r="NY17" s="8">
        <f t="shared" si="11"/>
        <v>0</v>
      </c>
      <c r="NZ17" s="32" cm="1">
        <f t="array" ref="NZ17">NETWORKDAYS($GD$2,$HH$2,$GQ$2)-SUM(COUNTIF(GD17:HH17,{"I";"F";"CP";"R";"P";"AC";"AM"}))</f>
        <v>21</v>
      </c>
      <c r="OA17" s="138">
        <f t="shared" si="12"/>
        <v>0</v>
      </c>
      <c r="OB17" s="8">
        <f t="shared" si="13"/>
        <v>0</v>
      </c>
      <c r="OC17" s="32" cm="1">
        <f t="array" ref="OC17">NETWORKDAYS($HI$2,$IM$2)-SUM(COUNTIF(HI17:IM17,{"I";"F";"CP";"R";"P";"AC";"AM"}))</f>
        <v>21</v>
      </c>
      <c r="OD17" s="138">
        <f t="shared" si="14"/>
        <v>0</v>
      </c>
      <c r="OE17" s="8">
        <f t="shared" si="15"/>
        <v>0</v>
      </c>
      <c r="OF17" s="32" cm="1">
        <f t="array" ref="OF17">NETWORKDAYS($IN$2,$JQ$2)-SUM(COUNTIF(IN17:JQ17,{"I";"F";"CP";"R";"P";"AC";"AM"}))</f>
        <v>22</v>
      </c>
      <c r="OG17" s="138">
        <f t="shared" si="16"/>
        <v>0</v>
      </c>
      <c r="OH17" s="8">
        <f t="shared" si="17"/>
        <v>0</v>
      </c>
      <c r="OI17" s="32" cm="1">
        <f t="array" ref="OI17">NETWORKDAYS($JR$2,$KV$2)-SUM(COUNTIF(JR17:KV17,{"I";"F";"CP";"R";"P";"AC";"AM"}))</f>
        <v>22</v>
      </c>
      <c r="OJ17" s="138">
        <f t="shared" si="18"/>
        <v>0</v>
      </c>
      <c r="OK17" s="8">
        <f t="shared" si="19"/>
        <v>0</v>
      </c>
      <c r="OL17" s="32" cm="1">
        <f t="array" ref="OL17">NETWORKDAYS($KW$2,$LZ$2,$LG$2)-SUM(COUNTIF(KW17:LZ17,{"I";"F";"CP";"R";"P";"AC";"AM"}))</f>
        <v>19</v>
      </c>
      <c r="OM17" s="138">
        <f t="shared" si="20"/>
        <v>0</v>
      </c>
      <c r="ON17" s="8">
        <f t="shared" si="21"/>
        <v>0</v>
      </c>
      <c r="OO17" s="32" cm="1">
        <f t="array" ref="OO17">NETWORKDAYS($MA$2,$MR$2)-SUM(COUNTIF(MA17:MR17,{"I";"F";"CP";"R";"P";"AC";"AM"}))</f>
        <v>14</v>
      </c>
      <c r="OP17" s="138">
        <f t="shared" si="22"/>
        <v>0</v>
      </c>
      <c r="OQ17" s="94">
        <f t="shared" si="23"/>
        <v>0</v>
      </c>
      <c r="OR17" s="94">
        <f t="shared" si="24"/>
        <v>240</v>
      </c>
      <c r="OS17" s="138">
        <f t="shared" si="25"/>
        <v>0</v>
      </c>
    </row>
    <row r="18" spans="1:409" ht="18" hidden="1" customHeight="1" x14ac:dyDescent="0.25">
      <c r="A18" s="94" t="s">
        <v>168</v>
      </c>
      <c r="B18" s="94" t="s">
        <v>168</v>
      </c>
      <c r="C18" s="27" t="s">
        <v>166</v>
      </c>
      <c r="D18" s="27" t="s">
        <v>185</v>
      </c>
      <c r="E18" s="128"/>
      <c r="F18" s="110"/>
      <c r="G18" s="110"/>
      <c r="H18" s="110"/>
      <c r="I18" s="25"/>
      <c r="J18" s="25"/>
      <c r="K18" s="25"/>
      <c r="L18" s="25"/>
      <c r="M18" s="25"/>
      <c r="N18" s="110"/>
      <c r="O18" s="110"/>
      <c r="P18" s="25"/>
      <c r="Q18" s="25"/>
      <c r="R18" s="25"/>
      <c r="S18" s="25"/>
      <c r="T18" s="25"/>
      <c r="U18" s="110"/>
      <c r="V18" s="110"/>
      <c r="W18" s="25"/>
      <c r="X18" s="25"/>
      <c r="Y18" s="25"/>
      <c r="Z18" s="25"/>
      <c r="AA18" s="25"/>
      <c r="AB18" s="110"/>
      <c r="AC18" s="110"/>
      <c r="AD18" s="25"/>
      <c r="AE18" s="25"/>
      <c r="AF18" s="25"/>
      <c r="AG18" s="25"/>
      <c r="AH18" s="25"/>
      <c r="AI18" s="110"/>
      <c r="AJ18" s="110"/>
      <c r="AK18" s="25"/>
      <c r="AL18" s="25"/>
      <c r="AM18" s="25"/>
      <c r="AN18" s="25"/>
      <c r="AO18" s="25">
        <v>1</v>
      </c>
      <c r="AP18" s="110"/>
      <c r="AQ18" s="110"/>
      <c r="AR18" s="25"/>
      <c r="AS18" s="25"/>
      <c r="AT18" s="25"/>
      <c r="AU18" s="25"/>
      <c r="AV18" s="25"/>
      <c r="AW18" s="110"/>
      <c r="AX18" s="110"/>
      <c r="AY18" s="25"/>
      <c r="AZ18" s="25"/>
      <c r="BA18" s="25"/>
      <c r="BB18" s="25"/>
      <c r="BC18" s="25"/>
      <c r="BD18" s="110"/>
      <c r="BE18" s="110"/>
      <c r="BF18" s="25"/>
      <c r="BG18" s="25"/>
      <c r="BH18" s="25"/>
      <c r="BI18" s="25"/>
      <c r="BJ18" s="25"/>
      <c r="BK18" s="110"/>
      <c r="BL18" s="110"/>
      <c r="BM18" s="25"/>
      <c r="BN18" s="25"/>
      <c r="BO18" s="25"/>
      <c r="BP18" s="25"/>
      <c r="BQ18" s="25"/>
      <c r="BR18" s="110"/>
      <c r="BS18" s="110"/>
      <c r="BT18" s="25"/>
      <c r="BU18" s="25"/>
      <c r="BV18" s="25"/>
      <c r="BW18" s="25"/>
      <c r="BX18" s="25"/>
      <c r="BY18" s="110"/>
      <c r="BZ18" s="110"/>
      <c r="CA18" s="25"/>
      <c r="CB18" s="25"/>
      <c r="CC18" s="25"/>
      <c r="CD18" s="25"/>
      <c r="CE18" s="25"/>
      <c r="CF18" s="110"/>
      <c r="CG18" s="110"/>
      <c r="CH18" s="25"/>
      <c r="CI18" s="25"/>
      <c r="CJ18" s="25"/>
      <c r="CK18" s="25"/>
      <c r="CL18" s="25"/>
      <c r="CM18" s="110"/>
      <c r="CN18" s="110"/>
      <c r="CO18" s="25"/>
      <c r="CP18" s="25"/>
      <c r="CQ18" s="25"/>
      <c r="CR18" s="25"/>
      <c r="CS18" s="25"/>
      <c r="CT18" s="110"/>
      <c r="CU18" s="110"/>
      <c r="CV18" s="110"/>
      <c r="CW18" s="25"/>
      <c r="CX18" s="25"/>
      <c r="CY18" s="25"/>
      <c r="CZ18" s="25"/>
      <c r="DA18" s="110"/>
      <c r="DB18" s="110"/>
      <c r="DC18" s="25"/>
      <c r="DD18" s="25"/>
      <c r="DE18" s="25"/>
      <c r="DF18" s="25"/>
      <c r="DG18" s="25"/>
      <c r="DH18" s="110"/>
      <c r="DI18" s="110"/>
      <c r="DJ18" s="25"/>
      <c r="DK18" s="25"/>
      <c r="DL18" s="25"/>
      <c r="DM18" s="25"/>
      <c r="DN18" s="25"/>
      <c r="DO18" s="110"/>
      <c r="DP18" s="110"/>
      <c r="DQ18" s="25"/>
      <c r="DR18" s="25"/>
      <c r="DS18" s="25"/>
      <c r="DT18" s="25"/>
      <c r="DU18" s="110"/>
      <c r="DV18" s="110"/>
      <c r="DW18" s="110"/>
      <c r="DX18" s="25"/>
      <c r="DY18" s="25"/>
      <c r="DZ18" s="25"/>
      <c r="EA18" s="25"/>
      <c r="EB18" s="110" t="s">
        <v>445</v>
      </c>
      <c r="EC18" s="110"/>
      <c r="ED18" s="110"/>
      <c r="EE18" s="25"/>
      <c r="EF18" s="25"/>
      <c r="EG18" s="25"/>
      <c r="EH18" s="110" t="s">
        <v>445</v>
      </c>
      <c r="EI18" s="110" t="s">
        <v>445</v>
      </c>
      <c r="EJ18" s="110"/>
      <c r="EK18" s="110"/>
      <c r="EL18" s="25"/>
      <c r="EM18" s="25"/>
      <c r="EN18" s="25"/>
      <c r="EO18" s="25"/>
      <c r="EP18" s="25"/>
      <c r="EQ18" s="110"/>
      <c r="ER18" s="110"/>
      <c r="ES18" s="110" t="s">
        <v>445</v>
      </c>
      <c r="ET18" s="25"/>
      <c r="EU18" s="25"/>
      <c r="EV18" s="25"/>
      <c r="EW18" s="25"/>
      <c r="EX18" s="110"/>
      <c r="EY18" s="110"/>
      <c r="EZ18" s="25"/>
      <c r="FA18" s="25"/>
      <c r="FB18" s="25"/>
      <c r="FC18" s="25"/>
      <c r="FD18" s="25"/>
      <c r="FE18" s="110"/>
      <c r="FF18" s="110"/>
      <c r="FG18" s="25"/>
      <c r="FH18" s="25"/>
      <c r="FI18" s="25"/>
      <c r="FJ18" s="25"/>
      <c r="FK18" s="25"/>
      <c r="FL18" s="110"/>
      <c r="FM18" s="110"/>
      <c r="FN18" s="25"/>
      <c r="FO18" s="25"/>
      <c r="FP18" s="25"/>
      <c r="FQ18" s="25"/>
      <c r="FR18" s="25"/>
      <c r="FS18" s="110"/>
      <c r="FT18" s="110"/>
      <c r="FU18" s="25"/>
      <c r="FV18" s="25"/>
      <c r="FW18" s="25"/>
      <c r="FX18" s="25"/>
      <c r="FY18" s="25"/>
      <c r="FZ18" s="110"/>
      <c r="GA18" s="110"/>
      <c r="GB18" s="25"/>
      <c r="GC18" s="25"/>
      <c r="GD18" s="25"/>
      <c r="GE18" s="25"/>
      <c r="GF18" s="25"/>
      <c r="GG18" s="110"/>
      <c r="GH18" s="110"/>
      <c r="GI18" s="25"/>
      <c r="GJ18" s="25"/>
      <c r="GK18" s="25"/>
      <c r="GL18" s="25"/>
      <c r="GM18" s="25"/>
      <c r="GN18" s="110"/>
      <c r="GO18" s="110"/>
      <c r="GP18" s="110"/>
      <c r="GQ18" s="110" t="s">
        <v>445</v>
      </c>
      <c r="GR18" s="25"/>
      <c r="GS18" s="25"/>
      <c r="GT18" s="25"/>
      <c r="GU18" s="110"/>
      <c r="GV18" s="110"/>
      <c r="GW18" s="25"/>
      <c r="GX18" s="25"/>
      <c r="GY18" s="25"/>
      <c r="GZ18" s="25"/>
      <c r="HA18" s="25"/>
      <c r="HB18" s="110"/>
      <c r="HC18" s="110"/>
      <c r="HD18" s="25"/>
      <c r="HE18" s="25"/>
      <c r="HF18" s="25"/>
      <c r="HG18" s="25"/>
      <c r="HH18" s="25"/>
      <c r="HI18" s="110"/>
      <c r="HJ18" s="110"/>
      <c r="HK18" s="25"/>
      <c r="HL18" s="25"/>
      <c r="HM18" s="25"/>
      <c r="HN18" s="25"/>
      <c r="HO18" s="25"/>
      <c r="HP18" s="110"/>
      <c r="HQ18" s="110"/>
      <c r="HR18" s="25"/>
      <c r="HS18" s="25"/>
      <c r="HT18" s="25"/>
      <c r="HU18" s="25"/>
      <c r="HV18" s="25"/>
      <c r="HW18" s="110"/>
      <c r="HX18" s="110"/>
      <c r="HY18" s="25"/>
      <c r="HZ18" s="25"/>
      <c r="IA18" s="25"/>
      <c r="IB18" s="25"/>
      <c r="IC18" s="25"/>
      <c r="ID18" s="110"/>
      <c r="IE18" s="110"/>
      <c r="IF18" s="25"/>
      <c r="IG18" s="25"/>
      <c r="IH18" s="25"/>
      <c r="II18" s="25"/>
      <c r="IJ18" s="25"/>
      <c r="IK18" s="110"/>
      <c r="IL18" s="110"/>
      <c r="IM18" s="25"/>
      <c r="IN18" s="25"/>
      <c r="IO18" s="25"/>
      <c r="IP18" s="25"/>
      <c r="IQ18" s="25"/>
      <c r="IR18" s="110"/>
      <c r="IS18" s="110"/>
      <c r="IT18" s="25"/>
      <c r="IU18" s="25"/>
      <c r="IV18" s="25"/>
      <c r="IW18" s="25"/>
      <c r="IX18" s="25"/>
      <c r="IY18" s="110"/>
      <c r="IZ18" s="110"/>
      <c r="JA18" s="25"/>
      <c r="JB18" s="25"/>
      <c r="JC18" s="25"/>
      <c r="JD18" s="25"/>
      <c r="JE18" s="25"/>
      <c r="JF18" s="110"/>
      <c r="JG18" s="110"/>
      <c r="JH18" s="25"/>
      <c r="JI18" s="25"/>
      <c r="JJ18" s="25"/>
      <c r="JK18" s="25"/>
      <c r="JL18" s="25"/>
      <c r="JM18" s="110"/>
      <c r="JN18" s="110"/>
      <c r="JO18" s="25"/>
      <c r="JP18" s="25"/>
      <c r="JQ18" s="25"/>
      <c r="JR18" s="25"/>
      <c r="JS18" s="25"/>
      <c r="JT18" s="110"/>
      <c r="JU18" s="110"/>
      <c r="JV18" s="25"/>
      <c r="JW18" s="25"/>
      <c r="JX18" s="25"/>
      <c r="JY18" s="25"/>
      <c r="JZ18" s="25"/>
      <c r="KA18" s="110"/>
      <c r="KB18" s="110"/>
      <c r="KC18" s="25"/>
      <c r="KD18" s="25"/>
      <c r="KE18" s="25"/>
      <c r="KF18" s="25"/>
      <c r="KG18" s="25"/>
      <c r="KH18" s="110"/>
      <c r="KI18" s="110"/>
      <c r="KJ18" s="25"/>
      <c r="KK18" s="25"/>
      <c r="KL18" s="25"/>
      <c r="KM18" s="25"/>
      <c r="KN18" s="25"/>
      <c r="KO18" s="110"/>
      <c r="KP18" s="110"/>
      <c r="KQ18" s="25"/>
      <c r="KR18" s="25"/>
      <c r="KS18" s="25"/>
      <c r="KT18" s="25"/>
      <c r="KU18" s="25"/>
      <c r="KV18" s="110"/>
      <c r="KW18" s="110"/>
      <c r="KX18" s="25"/>
      <c r="KY18" s="25"/>
      <c r="KZ18" s="25"/>
      <c r="LA18" s="25"/>
      <c r="LB18" s="25"/>
      <c r="LC18" s="110"/>
      <c r="LD18" s="110"/>
      <c r="LE18" s="25"/>
      <c r="LF18" s="25"/>
      <c r="LG18" s="110" t="s">
        <v>445</v>
      </c>
      <c r="LH18" s="25"/>
      <c r="LI18" s="25"/>
      <c r="LJ18" s="110"/>
      <c r="LK18" s="110"/>
      <c r="LL18" s="25"/>
      <c r="LM18" s="25"/>
      <c r="LN18" s="25"/>
      <c r="LO18" s="25"/>
      <c r="LP18" s="25"/>
      <c r="LQ18" s="110"/>
      <c r="LR18" s="110"/>
      <c r="LS18" s="25"/>
      <c r="LT18" s="25"/>
      <c r="LU18" s="25"/>
      <c r="LV18" s="25"/>
      <c r="LW18" s="25"/>
      <c r="LX18" s="110"/>
      <c r="LY18" s="110"/>
      <c r="LZ18" s="25"/>
      <c r="MA18" s="25"/>
      <c r="MB18" s="25"/>
      <c r="MC18" s="25"/>
      <c r="MD18" s="25"/>
      <c r="ME18" s="110"/>
      <c r="MF18" s="110"/>
      <c r="MG18" s="25"/>
      <c r="MH18" s="25"/>
      <c r="MI18" s="25"/>
      <c r="MJ18" s="25"/>
      <c r="MK18" s="25"/>
      <c r="ML18" s="110"/>
      <c r="MM18" s="110"/>
      <c r="MN18" s="25"/>
      <c r="MO18" s="25"/>
      <c r="MP18" s="25"/>
      <c r="MQ18" s="25"/>
      <c r="MR18" s="25"/>
      <c r="MS18" s="110"/>
      <c r="MT18" s="110"/>
      <c r="MU18" s="25"/>
      <c r="MV18" s="25"/>
      <c r="MW18" s="25"/>
      <c r="MX18" s="25"/>
      <c r="MY18" s="25"/>
      <c r="MZ18" s="110"/>
      <c r="NA18" s="110"/>
      <c r="NB18" s="25"/>
      <c r="NC18" s="25"/>
      <c r="ND18" s="25"/>
      <c r="NE18" s="129"/>
      <c r="NF18" s="111"/>
      <c r="NG18" s="8">
        <f t="shared" si="0"/>
        <v>0</v>
      </c>
      <c r="NH18" s="32" cm="1">
        <f t="array" ref="NH18">NETWORKDAYS($I$2,$AI$2)- SUM(COUNTIF(I18:AI18,{"I";"F";"CP";"R";"P";"AC";"AM"}))</f>
        <v>20</v>
      </c>
      <c r="NI18" s="138">
        <f t="shared" si="1"/>
        <v>0</v>
      </c>
      <c r="NJ18" s="8">
        <f t="shared" si="2"/>
        <v>1</v>
      </c>
      <c r="NK18" s="32" cm="1">
        <f t="array" ref="NK18">NETWORKDAYS($AJ$2,$BK$2)- SUM(COUNTIF(AJ18:BK18,{"I";"F";"CP";"R";"P";"AC";"AM"}))</f>
        <v>20</v>
      </c>
      <c r="NL18" s="138">
        <f t="shared" si="3"/>
        <v>0.05</v>
      </c>
      <c r="NM18" s="8">
        <f t="shared" si="4"/>
        <v>0</v>
      </c>
      <c r="NN18" s="32" cm="1">
        <f t="array" ref="NN18">NETWORKDAYS($BL$2,$CP$2)- SUM(COUNTIF(BL18:CP18,{"I";"F";"CP";"R";"P";"AC";"AM"}))</f>
        <v>22</v>
      </c>
      <c r="NO18" s="138">
        <f t="shared" si="5"/>
        <v>0</v>
      </c>
      <c r="NP18" s="8">
        <f t="shared" si="26"/>
        <v>0</v>
      </c>
      <c r="NQ18" s="32" cm="1">
        <f t="array" ref="NQ18">NETWORKDAYS($CQ$2,$DT$2,$CV$2)- SUM(COUNTIF(CQ18:DT18,{"I";"F";"CP";"R";"P";"AC";"AM"}))</f>
        <v>21</v>
      </c>
      <c r="NR18" s="138">
        <f t="shared" si="6"/>
        <v>0</v>
      </c>
      <c r="NS18" s="8">
        <f t="shared" si="7"/>
        <v>0</v>
      </c>
      <c r="NT18" s="32" cm="1">
        <f t="array" ref="NT18">NETWORKDAYS($DV$2,$EY$2)-SUM(COUNTIF(DV18:EY18,{"I";"F";"CP";"R";"P";"AC";"AM"}))</f>
        <v>16</v>
      </c>
      <c r="NU18" s="138">
        <f t="shared" si="8"/>
        <v>0</v>
      </c>
      <c r="NV18" s="8">
        <f t="shared" si="9"/>
        <v>0</v>
      </c>
      <c r="NW18" s="32" cm="1">
        <f t="array" ref="NW18">NETWORKDAYS($EZ$2,$GC$2)-SUM(COUNTIF(EZ98:GC98,{"I";"F";"CP";"R";"P";"AC";"AM"}))</f>
        <v>22</v>
      </c>
      <c r="NX18" s="138">
        <f t="shared" si="10"/>
        <v>0</v>
      </c>
      <c r="NY18" s="8">
        <f t="shared" si="11"/>
        <v>0</v>
      </c>
      <c r="NZ18" s="32" cm="1">
        <f t="array" ref="NZ18">NETWORKDAYS($GD$2,$HH$2,$GQ$2)-SUM(COUNTIF(GD18:HH18,{"I";"F";"CP";"R";"P";"AC";"AM"}))</f>
        <v>21</v>
      </c>
      <c r="OA18" s="138">
        <f t="shared" si="12"/>
        <v>0</v>
      </c>
      <c r="OB18" s="8">
        <f t="shared" si="13"/>
        <v>0</v>
      </c>
      <c r="OC18" s="32" cm="1">
        <f t="array" ref="OC18">NETWORKDAYS($HI$2,$IM$2)-SUM(COUNTIF(HI18:IM18,{"I";"F";"CP";"R";"P";"AC";"AM"}))</f>
        <v>21</v>
      </c>
      <c r="OD18" s="138">
        <f t="shared" si="14"/>
        <v>0</v>
      </c>
      <c r="OE18" s="8">
        <f t="shared" si="15"/>
        <v>0</v>
      </c>
      <c r="OF18" s="32" cm="1">
        <f t="array" ref="OF18">NETWORKDAYS($IN$2,$JQ$2)-SUM(COUNTIF(IN18:JQ18,{"I";"F";"CP";"R";"P";"AC";"AM"}))</f>
        <v>22</v>
      </c>
      <c r="OG18" s="138">
        <f t="shared" si="16"/>
        <v>0</v>
      </c>
      <c r="OH18" s="8">
        <f t="shared" si="17"/>
        <v>0</v>
      </c>
      <c r="OI18" s="32" cm="1">
        <f t="array" ref="OI18">NETWORKDAYS($JR$2,$KV$2)-SUM(COUNTIF(JR18:KV18,{"I";"F";"CP";"R";"P";"AC";"AM"}))</f>
        <v>22</v>
      </c>
      <c r="OJ18" s="138">
        <f t="shared" si="18"/>
        <v>0</v>
      </c>
      <c r="OK18" s="8">
        <f t="shared" si="19"/>
        <v>0</v>
      </c>
      <c r="OL18" s="32" cm="1">
        <f t="array" ref="OL18">NETWORKDAYS($KW$2,$LZ$2,$LG$2)-SUM(COUNTIF(KW18:LZ18,{"I";"F";"CP";"R";"P";"AC";"AM"}))</f>
        <v>19</v>
      </c>
      <c r="OM18" s="138">
        <f t="shared" si="20"/>
        <v>0</v>
      </c>
      <c r="ON18" s="8">
        <f t="shared" si="21"/>
        <v>0</v>
      </c>
      <c r="OO18" s="32" cm="1">
        <f t="array" ref="OO18">NETWORKDAYS($MA$2,$MR$2)-SUM(COUNTIF(MA18:MR18,{"I";"F";"CP";"R";"P";"AC";"AM"}))</f>
        <v>14</v>
      </c>
      <c r="OP18" s="138">
        <f t="shared" si="22"/>
        <v>0</v>
      </c>
      <c r="OQ18" s="94">
        <f t="shared" si="23"/>
        <v>1</v>
      </c>
      <c r="OR18" s="94">
        <f t="shared" si="24"/>
        <v>240</v>
      </c>
      <c r="OS18" s="138">
        <f t="shared" si="25"/>
        <v>4.1666666666666666E-3</v>
      </c>
    </row>
    <row r="19" spans="1:409" ht="18" customHeight="1" x14ac:dyDescent="0.25">
      <c r="A19" s="94" t="s">
        <v>181</v>
      </c>
      <c r="B19" s="94" t="s">
        <v>45</v>
      </c>
      <c r="C19" s="27" t="s">
        <v>160</v>
      </c>
      <c r="D19" s="27" t="s">
        <v>186</v>
      </c>
      <c r="E19" s="128"/>
      <c r="F19" s="110"/>
      <c r="G19" s="110"/>
      <c r="H19" s="110"/>
      <c r="I19" s="25" t="s">
        <v>248</v>
      </c>
      <c r="J19" s="25" t="s">
        <v>248</v>
      </c>
      <c r="K19" s="25" t="s">
        <v>248</v>
      </c>
      <c r="L19" s="25" t="s">
        <v>248</v>
      </c>
      <c r="M19" s="25" t="s">
        <v>248</v>
      </c>
      <c r="N19" s="110"/>
      <c r="O19" s="110"/>
      <c r="P19" s="25"/>
      <c r="Q19" s="25"/>
      <c r="R19" s="25"/>
      <c r="S19" s="25"/>
      <c r="T19" s="25"/>
      <c r="U19" s="110"/>
      <c r="V19" s="110"/>
      <c r="W19" s="25"/>
      <c r="X19" s="25"/>
      <c r="Y19" s="25"/>
      <c r="Z19" s="25"/>
      <c r="AA19" s="25"/>
      <c r="AB19" s="110"/>
      <c r="AC19" s="110"/>
      <c r="AD19" s="25"/>
      <c r="AE19" s="25"/>
      <c r="AF19" s="25"/>
      <c r="AG19" s="25"/>
      <c r="AH19" s="25"/>
      <c r="AI19" s="110"/>
      <c r="AJ19" s="110"/>
      <c r="AK19" s="25"/>
      <c r="AL19" s="25"/>
      <c r="AM19" s="25"/>
      <c r="AN19" s="25"/>
      <c r="AO19" s="25"/>
      <c r="AP19" s="110"/>
      <c r="AQ19" s="110"/>
      <c r="AR19" s="25"/>
      <c r="AS19" s="25"/>
      <c r="AT19" s="25"/>
      <c r="AU19" s="25"/>
      <c r="AV19" s="25"/>
      <c r="AW19" s="110"/>
      <c r="AX19" s="110"/>
      <c r="AY19" s="25"/>
      <c r="AZ19" s="25"/>
      <c r="BA19" s="25"/>
      <c r="BB19" s="25"/>
      <c r="BC19" s="25"/>
      <c r="BD19" s="110"/>
      <c r="BE19" s="110"/>
      <c r="BF19" s="25" t="s">
        <v>445</v>
      </c>
      <c r="BG19" s="25" t="s">
        <v>445</v>
      </c>
      <c r="BH19" s="25" t="s">
        <v>445</v>
      </c>
      <c r="BI19" s="25" t="s">
        <v>445</v>
      </c>
      <c r="BJ19" s="25" t="s">
        <v>445</v>
      </c>
      <c r="BK19" s="110"/>
      <c r="BL19" s="110"/>
      <c r="BM19" s="25"/>
      <c r="BN19" s="25"/>
      <c r="BO19" s="25"/>
      <c r="BP19" s="25"/>
      <c r="BQ19" s="25"/>
      <c r="BR19" s="110"/>
      <c r="BS19" s="110"/>
      <c r="BT19" s="25"/>
      <c r="BU19" s="25"/>
      <c r="BV19" s="25"/>
      <c r="BW19" s="25"/>
      <c r="BX19" s="25"/>
      <c r="BY19" s="110"/>
      <c r="BZ19" s="110"/>
      <c r="CA19" s="25"/>
      <c r="CB19" s="25"/>
      <c r="CC19" s="25"/>
      <c r="CD19" s="25"/>
      <c r="CE19" s="25"/>
      <c r="CF19" s="110"/>
      <c r="CG19" s="110"/>
      <c r="CH19" s="25"/>
      <c r="CI19" s="25"/>
      <c r="CJ19" s="25"/>
      <c r="CK19" s="25"/>
      <c r="CL19" s="25"/>
      <c r="CM19" s="110"/>
      <c r="CN19" s="110"/>
      <c r="CO19" s="25"/>
      <c r="CP19" s="25"/>
      <c r="CQ19" s="25"/>
      <c r="CR19" s="25"/>
      <c r="CS19" s="25"/>
      <c r="CT19" s="110"/>
      <c r="CU19" s="110"/>
      <c r="CV19" s="110"/>
      <c r="CW19" s="25"/>
      <c r="CX19" s="25"/>
      <c r="CY19" s="25"/>
      <c r="CZ19" s="25"/>
      <c r="DA19" s="110"/>
      <c r="DB19" s="110"/>
      <c r="DC19" s="25"/>
      <c r="DD19" s="25"/>
      <c r="DE19" s="25"/>
      <c r="DF19" s="25"/>
      <c r="DG19" s="25"/>
      <c r="DH19" s="110"/>
      <c r="DI19" s="110"/>
      <c r="DJ19" s="25"/>
      <c r="DK19" s="25"/>
      <c r="DL19" s="25"/>
      <c r="DM19" s="25"/>
      <c r="DN19" s="25"/>
      <c r="DO19" s="110"/>
      <c r="DP19" s="110"/>
      <c r="DQ19" s="25"/>
      <c r="DR19" s="25"/>
      <c r="DS19" s="25"/>
      <c r="DT19" s="25"/>
      <c r="DU19" s="110"/>
      <c r="DV19" s="110"/>
      <c r="DW19" s="110"/>
      <c r="DX19" s="25"/>
      <c r="DY19" s="25"/>
      <c r="DZ19" s="25"/>
      <c r="EA19" s="25"/>
      <c r="EB19" s="110" t="s">
        <v>445</v>
      </c>
      <c r="EC19" s="110"/>
      <c r="ED19" s="110"/>
      <c r="EE19" s="25"/>
      <c r="EF19" s="25"/>
      <c r="EG19" s="25"/>
      <c r="EH19" s="110" t="s">
        <v>445</v>
      </c>
      <c r="EI19" s="110" t="s">
        <v>445</v>
      </c>
      <c r="EJ19" s="110"/>
      <c r="EK19" s="110"/>
      <c r="EL19" s="25"/>
      <c r="EM19" s="25"/>
      <c r="EN19" s="25"/>
      <c r="EO19" s="25"/>
      <c r="EP19" s="25"/>
      <c r="EQ19" s="110"/>
      <c r="ER19" s="110"/>
      <c r="ES19" s="110" t="s">
        <v>445</v>
      </c>
      <c r="ET19" s="25"/>
      <c r="EU19" s="25"/>
      <c r="EV19" s="25"/>
      <c r="EW19" s="25"/>
      <c r="EX19" s="110"/>
      <c r="EY19" s="110"/>
      <c r="EZ19" s="25"/>
      <c r="FA19" s="25"/>
      <c r="FB19" s="25"/>
      <c r="FC19" s="25"/>
      <c r="FD19" s="25"/>
      <c r="FE19" s="110"/>
      <c r="FF19" s="110"/>
      <c r="FG19" s="25"/>
      <c r="FH19" s="25"/>
      <c r="FI19" s="25"/>
      <c r="FJ19" s="25"/>
      <c r="FK19" s="25"/>
      <c r="FL19" s="110"/>
      <c r="FM19" s="110"/>
      <c r="FN19" s="25"/>
      <c r="FO19" s="25"/>
      <c r="FP19" s="25"/>
      <c r="FQ19" s="25"/>
      <c r="FR19" s="25"/>
      <c r="FS19" s="110"/>
      <c r="FT19" s="110"/>
      <c r="FU19" s="25"/>
      <c r="FV19" s="25"/>
      <c r="FW19" s="25"/>
      <c r="FX19" s="25"/>
      <c r="FY19" s="25"/>
      <c r="FZ19" s="110"/>
      <c r="GA19" s="110"/>
      <c r="GB19" s="25"/>
      <c r="GC19" s="25"/>
      <c r="GD19" s="25"/>
      <c r="GE19" s="25"/>
      <c r="GF19" s="25"/>
      <c r="GG19" s="110"/>
      <c r="GH19" s="110"/>
      <c r="GI19" s="25"/>
      <c r="GJ19" s="25"/>
      <c r="GK19" s="25"/>
      <c r="GL19" s="25"/>
      <c r="GM19" s="25"/>
      <c r="GN19" s="110"/>
      <c r="GO19" s="110"/>
      <c r="GP19" s="110"/>
      <c r="GQ19" s="110" t="s">
        <v>445</v>
      </c>
      <c r="GR19" s="25"/>
      <c r="GS19" s="25"/>
      <c r="GT19" s="25"/>
      <c r="GU19" s="110"/>
      <c r="GV19" s="110"/>
      <c r="GW19" s="25"/>
      <c r="GX19" s="25"/>
      <c r="GY19" s="25"/>
      <c r="GZ19" s="25"/>
      <c r="HA19" s="25"/>
      <c r="HB19" s="110"/>
      <c r="HC19" s="110"/>
      <c r="HD19" s="25"/>
      <c r="HE19" s="25"/>
      <c r="HF19" s="25"/>
      <c r="HG19" s="25"/>
      <c r="HH19" s="25"/>
      <c r="HI19" s="110"/>
      <c r="HJ19" s="110"/>
      <c r="HK19" s="25"/>
      <c r="HL19" s="25"/>
      <c r="HM19" s="25"/>
      <c r="HN19" s="25"/>
      <c r="HO19" s="25"/>
      <c r="HP19" s="110"/>
      <c r="HQ19" s="110"/>
      <c r="HR19" s="25"/>
      <c r="HS19" s="25"/>
      <c r="HT19" s="25"/>
      <c r="HU19" s="25"/>
      <c r="HV19" s="25"/>
      <c r="HW19" s="110"/>
      <c r="HX19" s="110"/>
      <c r="HY19" s="25"/>
      <c r="HZ19" s="25"/>
      <c r="IA19" s="25"/>
      <c r="IB19" s="25"/>
      <c r="IC19" s="25"/>
      <c r="ID19" s="110"/>
      <c r="IE19" s="110"/>
      <c r="IF19" s="25"/>
      <c r="IG19" s="25"/>
      <c r="IH19" s="25"/>
      <c r="II19" s="25"/>
      <c r="IJ19" s="25"/>
      <c r="IK19" s="110"/>
      <c r="IL19" s="110"/>
      <c r="IM19" s="25"/>
      <c r="IN19" s="25"/>
      <c r="IO19" s="25"/>
      <c r="IP19" s="25"/>
      <c r="IQ19" s="25"/>
      <c r="IR19" s="110"/>
      <c r="IS19" s="110"/>
      <c r="IT19" s="25"/>
      <c r="IU19" s="25"/>
      <c r="IV19" s="25"/>
      <c r="IW19" s="25"/>
      <c r="IX19" s="25"/>
      <c r="IY19" s="110"/>
      <c r="IZ19" s="110"/>
      <c r="JA19" s="25"/>
      <c r="JB19" s="25"/>
      <c r="JC19" s="25"/>
      <c r="JD19" s="25"/>
      <c r="JE19" s="25"/>
      <c r="JF19" s="110"/>
      <c r="JG19" s="110"/>
      <c r="JH19" s="25"/>
      <c r="JI19" s="25"/>
      <c r="JJ19" s="25"/>
      <c r="JK19" s="25"/>
      <c r="JL19" s="25"/>
      <c r="JM19" s="110"/>
      <c r="JN19" s="110"/>
      <c r="JO19" s="25"/>
      <c r="JP19" s="25"/>
      <c r="JQ19" s="25"/>
      <c r="JR19" s="25"/>
      <c r="JS19" s="25"/>
      <c r="JT19" s="110"/>
      <c r="JU19" s="110"/>
      <c r="JV19" s="25"/>
      <c r="JW19" s="25"/>
      <c r="JX19" s="25"/>
      <c r="JY19" s="25"/>
      <c r="JZ19" s="25"/>
      <c r="KA19" s="110"/>
      <c r="KB19" s="110"/>
      <c r="KC19" s="25"/>
      <c r="KD19" s="25"/>
      <c r="KE19" s="25"/>
      <c r="KF19" s="25"/>
      <c r="KG19" s="25"/>
      <c r="KH19" s="110"/>
      <c r="KI19" s="110"/>
      <c r="KJ19" s="25"/>
      <c r="KK19" s="25"/>
      <c r="KL19" s="25"/>
      <c r="KM19" s="25"/>
      <c r="KN19" s="25"/>
      <c r="KO19" s="110"/>
      <c r="KP19" s="110"/>
      <c r="KQ19" s="25"/>
      <c r="KR19" s="25"/>
      <c r="KS19" s="25"/>
      <c r="KT19" s="25"/>
      <c r="KU19" s="25"/>
      <c r="KV19" s="110"/>
      <c r="KW19" s="110"/>
      <c r="KX19" s="25"/>
      <c r="KY19" s="25"/>
      <c r="KZ19" s="25"/>
      <c r="LA19" s="25"/>
      <c r="LB19" s="25"/>
      <c r="LC19" s="110"/>
      <c r="LD19" s="110"/>
      <c r="LE19" s="25"/>
      <c r="LF19" s="25"/>
      <c r="LG19" s="110" t="s">
        <v>445</v>
      </c>
      <c r="LH19" s="25"/>
      <c r="LI19" s="25"/>
      <c r="LJ19" s="110"/>
      <c r="LK19" s="110"/>
      <c r="LL19" s="25"/>
      <c r="LM19" s="25"/>
      <c r="LN19" s="25"/>
      <c r="LO19" s="25"/>
      <c r="LP19" s="25"/>
      <c r="LQ19" s="110"/>
      <c r="LR19" s="110"/>
      <c r="LS19" s="25"/>
      <c r="LT19" s="25"/>
      <c r="LU19" s="25"/>
      <c r="LV19" s="25"/>
      <c r="LW19" s="25"/>
      <c r="LX19" s="110"/>
      <c r="LY19" s="110"/>
      <c r="LZ19" s="25"/>
      <c r="MA19" s="25"/>
      <c r="MB19" s="25"/>
      <c r="MC19" s="25"/>
      <c r="MD19" s="25"/>
      <c r="ME19" s="110"/>
      <c r="MF19" s="110"/>
      <c r="MG19" s="25"/>
      <c r="MH19" s="25"/>
      <c r="MI19" s="25"/>
      <c r="MJ19" s="25"/>
      <c r="MK19" s="25"/>
      <c r="ML19" s="110"/>
      <c r="MM19" s="110"/>
      <c r="MN19" s="25"/>
      <c r="MO19" s="25"/>
      <c r="MP19" s="25"/>
      <c r="MQ19" s="25"/>
      <c r="MR19" s="25"/>
      <c r="MS19" s="110"/>
      <c r="MT19" s="110"/>
      <c r="MU19" s="25"/>
      <c r="MV19" s="25"/>
      <c r="MW19" s="25"/>
      <c r="MX19" s="25"/>
      <c r="MY19" s="25"/>
      <c r="MZ19" s="110"/>
      <c r="NA19" s="110"/>
      <c r="NB19" s="25"/>
      <c r="NC19" s="25"/>
      <c r="ND19" s="25"/>
      <c r="NE19" s="129"/>
      <c r="NF19" s="111"/>
      <c r="NG19" s="8">
        <f t="shared" si="0"/>
        <v>0</v>
      </c>
      <c r="NH19" s="32" cm="1">
        <f t="array" ref="NH19">NETWORKDAYS($I$2,$AI$2)- SUM(COUNTIF(I19:AI19,{"I";"F";"CP";"R";"P";"AC";"AM"}))</f>
        <v>20</v>
      </c>
      <c r="NI19" s="138">
        <f t="shared" si="1"/>
        <v>0</v>
      </c>
      <c r="NJ19" s="8">
        <f t="shared" si="2"/>
        <v>0</v>
      </c>
      <c r="NK19" s="32" cm="1">
        <f t="array" ref="NK19">NETWORKDAYS($AJ$2,$BK$2)- SUM(COUNTIF(AJ19:BK19,{"I";"F";"CP";"R";"P";"AC";"AM"}))</f>
        <v>15</v>
      </c>
      <c r="NL19" s="138">
        <f t="shared" si="3"/>
        <v>0</v>
      </c>
      <c r="NM19" s="8">
        <f t="shared" si="4"/>
        <v>0</v>
      </c>
      <c r="NN19" s="32" cm="1">
        <f t="array" ref="NN19">NETWORKDAYS($BL$2,$CP$2)- SUM(COUNTIF(BL19:CP19,{"I";"F";"CP";"R";"P";"AC";"AM"}))</f>
        <v>22</v>
      </c>
      <c r="NO19" s="138">
        <f t="shared" si="5"/>
        <v>0</v>
      </c>
      <c r="NP19" s="32">
        <f t="shared" si="26"/>
        <v>0</v>
      </c>
      <c r="NQ19" s="32" cm="1">
        <f t="array" ref="NQ19">NETWORKDAYS($CQ$2,$DT$2,$CV$2)- SUM(COUNTIF(CQ19:DT19,{"I";"F";"CP";"R";"P";"AC";"AM"}))</f>
        <v>21</v>
      </c>
      <c r="NR19" s="138">
        <f t="shared" si="6"/>
        <v>0</v>
      </c>
      <c r="NS19" s="8">
        <f t="shared" si="7"/>
        <v>0</v>
      </c>
      <c r="NT19" s="32" cm="1">
        <f t="array" ref="NT19">NETWORKDAYS($DV$2,$EY$2)-SUM(COUNTIF(DV19:EY19,{"I";"F";"CP";"R";"P";"AC";"AM"}))</f>
        <v>16</v>
      </c>
      <c r="NU19" s="138">
        <f t="shared" si="8"/>
        <v>0</v>
      </c>
      <c r="NV19" s="8">
        <f t="shared" si="9"/>
        <v>0</v>
      </c>
      <c r="NW19" s="32" cm="1">
        <f t="array" ref="NW19">NETWORKDAYS($EZ$2,$GC$2)-SUM(COUNTIF(EZ99:GC99,{"I";"F";"CP";"R";"P";"AC";"AM"}))</f>
        <v>22</v>
      </c>
      <c r="NX19" s="138">
        <f t="shared" si="10"/>
        <v>0</v>
      </c>
      <c r="NY19" s="8">
        <f t="shared" si="11"/>
        <v>0</v>
      </c>
      <c r="NZ19" s="32" cm="1">
        <f t="array" ref="NZ19">NETWORKDAYS($GD$2,$HH$2,$GQ$2)-SUM(COUNTIF(GD19:HH19,{"I";"F";"CP";"R";"P";"AC";"AM"}))</f>
        <v>21</v>
      </c>
      <c r="OA19" s="138">
        <f t="shared" si="12"/>
        <v>0</v>
      </c>
      <c r="OB19" s="8">
        <f t="shared" si="13"/>
        <v>0</v>
      </c>
      <c r="OC19" s="32" cm="1">
        <f t="array" ref="OC19">NETWORKDAYS($HI$2,$IM$2)-SUM(COUNTIF(HI19:IM19,{"I";"F";"CP";"R";"P";"AC";"AM"}))</f>
        <v>21</v>
      </c>
      <c r="OD19" s="138">
        <f t="shared" si="14"/>
        <v>0</v>
      </c>
      <c r="OE19" s="8">
        <f t="shared" si="15"/>
        <v>0</v>
      </c>
      <c r="OF19" s="32" cm="1">
        <f t="array" ref="OF19">NETWORKDAYS($IN$2,$JQ$2)-SUM(COUNTIF(IN19:JQ19,{"I";"F";"CP";"R";"P";"AC";"AM"}))</f>
        <v>22</v>
      </c>
      <c r="OG19" s="138">
        <f t="shared" si="16"/>
        <v>0</v>
      </c>
      <c r="OH19" s="8">
        <f t="shared" si="17"/>
        <v>0</v>
      </c>
      <c r="OI19" s="32" cm="1">
        <f t="array" ref="OI19">NETWORKDAYS($JR$2,$KV$2)-SUM(COUNTIF(JR19:KV19,{"I";"F";"CP";"R";"P";"AC";"AM"}))</f>
        <v>22</v>
      </c>
      <c r="OJ19" s="138">
        <f t="shared" si="18"/>
        <v>0</v>
      </c>
      <c r="OK19" s="8">
        <f t="shared" si="19"/>
        <v>0</v>
      </c>
      <c r="OL19" s="32" cm="1">
        <f t="array" ref="OL19">NETWORKDAYS($KW$2,$LZ$2,$LG$2)-SUM(COUNTIF(KW19:LZ19,{"I";"F";"CP";"R";"P";"AC";"AM"}))</f>
        <v>19</v>
      </c>
      <c r="OM19" s="138">
        <f t="shared" si="20"/>
        <v>0</v>
      </c>
      <c r="ON19" s="8">
        <f t="shared" si="21"/>
        <v>0</v>
      </c>
      <c r="OO19" s="32" cm="1">
        <f t="array" ref="OO19">NETWORKDAYS($MA$2,$MR$2)-SUM(COUNTIF(MA19:MR19,{"I";"F";"CP";"R";"P";"AC";"AM"}))</f>
        <v>14</v>
      </c>
      <c r="OP19" s="138">
        <f t="shared" si="22"/>
        <v>0</v>
      </c>
      <c r="OQ19" s="94">
        <f t="shared" si="23"/>
        <v>0</v>
      </c>
      <c r="OR19" s="94">
        <f t="shared" si="24"/>
        <v>235</v>
      </c>
      <c r="OS19" s="138">
        <f t="shared" si="25"/>
        <v>0</v>
      </c>
    </row>
    <row r="20" spans="1:409" ht="18" customHeight="1" x14ac:dyDescent="0.25">
      <c r="A20" s="94" t="s">
        <v>181</v>
      </c>
      <c r="B20" s="94" t="s">
        <v>34</v>
      </c>
      <c r="C20" s="27" t="s">
        <v>160</v>
      </c>
      <c r="D20" s="27" t="s">
        <v>187</v>
      </c>
      <c r="E20" s="128"/>
      <c r="F20" s="110"/>
      <c r="G20" s="110"/>
      <c r="H20" s="110"/>
      <c r="I20" s="25" t="s">
        <v>248</v>
      </c>
      <c r="J20" s="25"/>
      <c r="K20" s="25"/>
      <c r="L20" s="25"/>
      <c r="M20" s="25" t="s">
        <v>447</v>
      </c>
      <c r="N20" s="110"/>
      <c r="O20" s="110"/>
      <c r="P20" s="25"/>
      <c r="Q20" s="25">
        <v>1</v>
      </c>
      <c r="R20" s="25">
        <v>1</v>
      </c>
      <c r="S20" s="25">
        <v>1</v>
      </c>
      <c r="T20" s="25">
        <v>1</v>
      </c>
      <c r="U20" s="110"/>
      <c r="V20" s="110"/>
      <c r="W20" s="25">
        <v>1</v>
      </c>
      <c r="X20" s="25">
        <v>1</v>
      </c>
      <c r="Y20" s="25">
        <v>1</v>
      </c>
      <c r="Z20" s="25">
        <v>1</v>
      </c>
      <c r="AA20" s="25">
        <v>1</v>
      </c>
      <c r="AB20" s="110"/>
      <c r="AC20" s="110"/>
      <c r="AD20" s="25">
        <v>1</v>
      </c>
      <c r="AE20" s="25" t="s">
        <v>447</v>
      </c>
      <c r="AF20" s="25">
        <v>1</v>
      </c>
      <c r="AG20" s="25">
        <v>1</v>
      </c>
      <c r="AH20" s="25">
        <v>1</v>
      </c>
      <c r="AI20" s="110"/>
      <c r="AJ20" s="110"/>
      <c r="AK20" s="25">
        <v>1</v>
      </c>
      <c r="AL20" s="25">
        <v>1</v>
      </c>
      <c r="AM20" s="25">
        <v>1</v>
      </c>
      <c r="AN20" s="25">
        <v>1</v>
      </c>
      <c r="AO20" s="25"/>
      <c r="AP20" s="110"/>
      <c r="AQ20" s="110"/>
      <c r="AR20" s="25">
        <v>1</v>
      </c>
      <c r="AS20" s="25">
        <v>1</v>
      </c>
      <c r="AT20" s="25">
        <v>1</v>
      </c>
      <c r="AU20" s="25">
        <v>1</v>
      </c>
      <c r="AV20" s="25">
        <v>1</v>
      </c>
      <c r="AW20" s="110"/>
      <c r="AX20" s="110"/>
      <c r="AY20" s="25">
        <v>1</v>
      </c>
      <c r="AZ20" s="25">
        <v>1</v>
      </c>
      <c r="BA20" s="25">
        <v>1</v>
      </c>
      <c r="BB20" s="25"/>
      <c r="BC20" s="25">
        <v>1</v>
      </c>
      <c r="BD20" s="110"/>
      <c r="BE20" s="110"/>
      <c r="BF20" s="25" t="s">
        <v>445</v>
      </c>
      <c r="BG20" s="25" t="s">
        <v>445</v>
      </c>
      <c r="BH20" s="25">
        <v>1</v>
      </c>
      <c r="BI20" s="25">
        <v>1</v>
      </c>
      <c r="BJ20" s="25">
        <v>1</v>
      </c>
      <c r="BK20" s="110"/>
      <c r="BL20" s="110"/>
      <c r="BM20" s="25"/>
      <c r="BN20" s="25"/>
      <c r="BO20" s="25"/>
      <c r="BP20" s="25"/>
      <c r="BQ20" s="25"/>
      <c r="BR20" s="110"/>
      <c r="BS20" s="110"/>
      <c r="BT20" s="25">
        <v>1</v>
      </c>
      <c r="BU20" s="25">
        <v>1</v>
      </c>
      <c r="BV20" s="25">
        <v>1</v>
      </c>
      <c r="BW20" s="25">
        <v>1</v>
      </c>
      <c r="BX20" s="25">
        <v>1</v>
      </c>
      <c r="BY20" s="110"/>
      <c r="BZ20" s="110"/>
      <c r="CA20" s="25"/>
      <c r="CB20" s="25">
        <v>1</v>
      </c>
      <c r="CC20" s="25">
        <v>1</v>
      </c>
      <c r="CD20" s="25"/>
      <c r="CE20" s="25">
        <v>1</v>
      </c>
      <c r="CF20" s="110"/>
      <c r="CG20" s="110"/>
      <c r="CH20" s="25"/>
      <c r="CI20" s="25"/>
      <c r="CJ20" s="25">
        <v>1</v>
      </c>
      <c r="CK20" s="25">
        <v>1</v>
      </c>
      <c r="CL20" s="25">
        <v>1</v>
      </c>
      <c r="CM20" s="110"/>
      <c r="CN20" s="110"/>
      <c r="CO20" s="25">
        <v>1</v>
      </c>
      <c r="CP20" s="25">
        <v>1</v>
      </c>
      <c r="CQ20" s="25">
        <v>1</v>
      </c>
      <c r="CR20" s="25">
        <v>1</v>
      </c>
      <c r="CS20" s="25">
        <v>1</v>
      </c>
      <c r="CT20" s="110"/>
      <c r="CU20" s="110"/>
      <c r="CV20" s="110"/>
      <c r="CW20" s="25"/>
      <c r="CX20" s="25"/>
      <c r="CY20" s="25"/>
      <c r="CZ20" s="25"/>
      <c r="DA20" s="110"/>
      <c r="DB20" s="110"/>
      <c r="DC20" s="25">
        <v>1</v>
      </c>
      <c r="DD20" s="25">
        <v>1</v>
      </c>
      <c r="DE20" s="25">
        <v>1</v>
      </c>
      <c r="DF20" s="25">
        <v>1</v>
      </c>
      <c r="DG20" s="25"/>
      <c r="DH20" s="110"/>
      <c r="DI20" s="110"/>
      <c r="DJ20" s="25">
        <v>1</v>
      </c>
      <c r="DK20" s="25">
        <v>1</v>
      </c>
      <c r="DL20" s="25">
        <v>1</v>
      </c>
      <c r="DM20" s="25">
        <v>1</v>
      </c>
      <c r="DN20" s="25">
        <v>1</v>
      </c>
      <c r="DO20" s="110"/>
      <c r="DP20" s="110"/>
      <c r="DQ20" s="25"/>
      <c r="DR20" s="25"/>
      <c r="DS20" s="25"/>
      <c r="DT20" s="25"/>
      <c r="DU20" s="110"/>
      <c r="DV20" s="110"/>
      <c r="DW20" s="110"/>
      <c r="DX20" s="25">
        <v>1</v>
      </c>
      <c r="DY20" s="25"/>
      <c r="DZ20" s="25">
        <v>1</v>
      </c>
      <c r="EA20" s="25">
        <v>1</v>
      </c>
      <c r="EB20" s="110" t="s">
        <v>445</v>
      </c>
      <c r="EC20" s="110"/>
      <c r="ED20" s="110"/>
      <c r="EE20" s="25">
        <v>1</v>
      </c>
      <c r="EF20" s="25">
        <v>1</v>
      </c>
      <c r="EG20" s="25">
        <v>1</v>
      </c>
      <c r="EH20" s="110" t="s">
        <v>445</v>
      </c>
      <c r="EI20" s="110" t="s">
        <v>445</v>
      </c>
      <c r="EJ20" s="110"/>
      <c r="EK20" s="110"/>
      <c r="EL20" s="25">
        <v>1</v>
      </c>
      <c r="EM20" s="25"/>
      <c r="EN20" s="25"/>
      <c r="EO20" s="25"/>
      <c r="EP20" s="25"/>
      <c r="EQ20" s="110"/>
      <c r="ER20" s="110"/>
      <c r="ES20" s="110" t="s">
        <v>445</v>
      </c>
      <c r="ET20" s="25"/>
      <c r="EU20" s="25"/>
      <c r="EV20" s="25"/>
      <c r="EW20" s="25"/>
      <c r="EX20" s="110"/>
      <c r="EY20" s="110"/>
      <c r="EZ20" s="25"/>
      <c r="FA20" s="25"/>
      <c r="FB20" s="25"/>
      <c r="FC20" s="25"/>
      <c r="FD20" s="25"/>
      <c r="FE20" s="110"/>
      <c r="FF20" s="110"/>
      <c r="FG20" s="25"/>
      <c r="FH20" s="25"/>
      <c r="FI20" s="25"/>
      <c r="FJ20" s="25"/>
      <c r="FK20" s="25"/>
      <c r="FL20" s="110"/>
      <c r="FM20" s="110"/>
      <c r="FN20" s="25"/>
      <c r="FO20" s="25"/>
      <c r="FP20" s="25"/>
      <c r="FQ20" s="25"/>
      <c r="FR20" s="25"/>
      <c r="FS20" s="110"/>
      <c r="FT20" s="110"/>
      <c r="FU20" s="25"/>
      <c r="FV20" s="25"/>
      <c r="FW20" s="25"/>
      <c r="FX20" s="25"/>
      <c r="FY20" s="25"/>
      <c r="FZ20" s="110"/>
      <c r="GA20" s="110"/>
      <c r="GB20" s="25"/>
      <c r="GC20" s="25"/>
      <c r="GD20" s="25"/>
      <c r="GE20" s="25"/>
      <c r="GF20" s="25"/>
      <c r="GG20" s="110"/>
      <c r="GH20" s="110"/>
      <c r="GI20" s="25"/>
      <c r="GJ20" s="25"/>
      <c r="GK20" s="25"/>
      <c r="GL20" s="25"/>
      <c r="GM20" s="25"/>
      <c r="GN20" s="110"/>
      <c r="GO20" s="110"/>
      <c r="GP20" s="110"/>
      <c r="GQ20" s="110" t="s">
        <v>445</v>
      </c>
      <c r="GR20" s="25"/>
      <c r="GS20" s="25"/>
      <c r="GT20" s="25"/>
      <c r="GU20" s="110"/>
      <c r="GV20" s="110"/>
      <c r="GW20" s="25"/>
      <c r="GX20" s="25"/>
      <c r="GY20" s="25"/>
      <c r="GZ20" s="25"/>
      <c r="HA20" s="25"/>
      <c r="HB20" s="110"/>
      <c r="HC20" s="110"/>
      <c r="HD20" s="25"/>
      <c r="HE20" s="25"/>
      <c r="HF20" s="25"/>
      <c r="HG20" s="25"/>
      <c r="HH20" s="25"/>
      <c r="HI20" s="110"/>
      <c r="HJ20" s="110"/>
      <c r="HK20" s="25"/>
      <c r="HL20" s="25"/>
      <c r="HM20" s="25"/>
      <c r="HN20" s="25"/>
      <c r="HO20" s="25"/>
      <c r="HP20" s="110"/>
      <c r="HQ20" s="110"/>
      <c r="HR20" s="25"/>
      <c r="HS20" s="25"/>
      <c r="HT20" s="25"/>
      <c r="HU20" s="25"/>
      <c r="HV20" s="25"/>
      <c r="HW20" s="110"/>
      <c r="HX20" s="110"/>
      <c r="HY20" s="25"/>
      <c r="HZ20" s="25"/>
      <c r="IA20" s="25"/>
      <c r="IB20" s="25"/>
      <c r="IC20" s="25"/>
      <c r="ID20" s="110"/>
      <c r="IE20" s="110"/>
      <c r="IF20" s="25"/>
      <c r="IG20" s="25"/>
      <c r="IH20" s="25"/>
      <c r="II20" s="25"/>
      <c r="IJ20" s="25"/>
      <c r="IK20" s="110"/>
      <c r="IL20" s="110"/>
      <c r="IM20" s="25"/>
      <c r="IN20" s="25"/>
      <c r="IO20" s="25"/>
      <c r="IP20" s="25"/>
      <c r="IQ20" s="25"/>
      <c r="IR20" s="110"/>
      <c r="IS20" s="110"/>
      <c r="IT20" s="25"/>
      <c r="IU20" s="25"/>
      <c r="IV20" s="25"/>
      <c r="IW20" s="25"/>
      <c r="IX20" s="25"/>
      <c r="IY20" s="110"/>
      <c r="IZ20" s="110"/>
      <c r="JA20" s="25"/>
      <c r="JB20" s="25"/>
      <c r="JC20" s="25"/>
      <c r="JD20" s="25"/>
      <c r="JE20" s="25"/>
      <c r="JF20" s="110"/>
      <c r="JG20" s="110"/>
      <c r="JH20" s="25"/>
      <c r="JI20" s="25"/>
      <c r="JJ20" s="25"/>
      <c r="JK20" s="25"/>
      <c r="JL20" s="25"/>
      <c r="JM20" s="110"/>
      <c r="JN20" s="110"/>
      <c r="JO20" s="25"/>
      <c r="JP20" s="25"/>
      <c r="JQ20" s="25"/>
      <c r="JR20" s="25"/>
      <c r="JS20" s="25"/>
      <c r="JT20" s="110"/>
      <c r="JU20" s="110"/>
      <c r="JV20" s="25"/>
      <c r="JW20" s="25"/>
      <c r="JX20" s="25"/>
      <c r="JY20" s="25"/>
      <c r="JZ20" s="25"/>
      <c r="KA20" s="110"/>
      <c r="KB20" s="110"/>
      <c r="KC20" s="25"/>
      <c r="KD20" s="25"/>
      <c r="KE20" s="25"/>
      <c r="KF20" s="25"/>
      <c r="KG20" s="25"/>
      <c r="KH20" s="110"/>
      <c r="KI20" s="110"/>
      <c r="KJ20" s="25"/>
      <c r="KK20" s="25"/>
      <c r="KL20" s="25"/>
      <c r="KM20" s="25"/>
      <c r="KN20" s="25"/>
      <c r="KO20" s="110"/>
      <c r="KP20" s="110"/>
      <c r="KQ20" s="25"/>
      <c r="KR20" s="25"/>
      <c r="KS20" s="25"/>
      <c r="KT20" s="25"/>
      <c r="KU20" s="25"/>
      <c r="KV20" s="110"/>
      <c r="KW20" s="110"/>
      <c r="KX20" s="25"/>
      <c r="KY20" s="25"/>
      <c r="KZ20" s="25"/>
      <c r="LA20" s="25"/>
      <c r="LB20" s="25"/>
      <c r="LC20" s="110"/>
      <c r="LD20" s="110"/>
      <c r="LE20" s="25"/>
      <c r="LF20" s="25"/>
      <c r="LG20" s="110" t="s">
        <v>445</v>
      </c>
      <c r="LH20" s="25"/>
      <c r="LI20" s="25"/>
      <c r="LJ20" s="110"/>
      <c r="LK20" s="110"/>
      <c r="LL20" s="25"/>
      <c r="LM20" s="25"/>
      <c r="LN20" s="25"/>
      <c r="LO20" s="25"/>
      <c r="LP20" s="25"/>
      <c r="LQ20" s="110"/>
      <c r="LR20" s="110"/>
      <c r="LS20" s="25"/>
      <c r="LT20" s="25"/>
      <c r="LU20" s="25"/>
      <c r="LV20" s="25"/>
      <c r="LW20" s="25"/>
      <c r="LX20" s="110"/>
      <c r="LY20" s="110"/>
      <c r="LZ20" s="25"/>
      <c r="MA20" s="25"/>
      <c r="MB20" s="25"/>
      <c r="MC20" s="25"/>
      <c r="MD20" s="25"/>
      <c r="ME20" s="110"/>
      <c r="MF20" s="110"/>
      <c r="MG20" s="25"/>
      <c r="MH20" s="25"/>
      <c r="MI20" s="25"/>
      <c r="MJ20" s="25"/>
      <c r="MK20" s="25"/>
      <c r="ML20" s="110"/>
      <c r="MM20" s="110"/>
      <c r="MN20" s="25"/>
      <c r="MO20" s="25"/>
      <c r="MP20" s="25"/>
      <c r="MQ20" s="25"/>
      <c r="MR20" s="25"/>
      <c r="MS20" s="110"/>
      <c r="MT20" s="110"/>
      <c r="MU20" s="25"/>
      <c r="MV20" s="25"/>
      <c r="MW20" s="25"/>
      <c r="MX20" s="25"/>
      <c r="MY20" s="25"/>
      <c r="MZ20" s="110"/>
      <c r="NA20" s="110"/>
      <c r="NB20" s="25"/>
      <c r="NC20" s="25"/>
      <c r="ND20" s="25"/>
      <c r="NE20" s="129"/>
      <c r="NF20" s="111"/>
      <c r="NG20" s="8">
        <f t="shared" si="0"/>
        <v>13</v>
      </c>
      <c r="NH20" s="32" cm="1">
        <f t="array" ref="NH20">NETWORKDAYS($I$2,$AI$2)- SUM(COUNTIF(I20:AI20,{"I";"F";"CP";"R";"P";"AC";"AM"}))</f>
        <v>18</v>
      </c>
      <c r="NI20" s="138">
        <f t="shared" si="1"/>
        <v>0.72222222222222221</v>
      </c>
      <c r="NJ20" s="8">
        <f t="shared" si="2"/>
        <v>16</v>
      </c>
      <c r="NK20" s="32" cm="1">
        <f t="array" ref="NK20">NETWORKDAYS($AJ$2,$BK$2)- SUM(COUNTIF(AJ20:BK20,{"I";"F";"CP";"R";"P";"AC";"AM"}))</f>
        <v>18</v>
      </c>
      <c r="NL20" s="138">
        <f t="shared" si="3"/>
        <v>0.88888888888888884</v>
      </c>
      <c r="NM20" s="8">
        <f t="shared" si="4"/>
        <v>13</v>
      </c>
      <c r="NN20" s="32" cm="1">
        <f t="array" ref="NN20">NETWORKDAYS($BL$2,$CP$2)- SUM(COUNTIF(BL20:CP20,{"I";"F";"CP";"R";"P";"AC";"AM"}))</f>
        <v>22</v>
      </c>
      <c r="NO20" s="138">
        <f t="shared" si="5"/>
        <v>0.59090909090909094</v>
      </c>
      <c r="NP20" s="8">
        <f t="shared" si="26"/>
        <v>12</v>
      </c>
      <c r="NQ20" s="32" cm="1">
        <f t="array" ref="NQ20">NETWORKDAYS($CQ$2,$DT$2,$CV$2)- SUM(COUNTIF(CQ20:DT20,{"I";"F";"CP";"R";"P";"AC";"AM"}))</f>
        <v>21</v>
      </c>
      <c r="NR20" s="138">
        <f t="shared" si="6"/>
        <v>0.5714285714285714</v>
      </c>
      <c r="NS20" s="8">
        <f t="shared" si="7"/>
        <v>7</v>
      </c>
      <c r="NT20" s="32" cm="1">
        <f t="array" ref="NT20">NETWORKDAYS($DV$2,$EY$2)-SUM(COUNTIF(DV20:EY20,{"I";"F";"CP";"R";"P";"AC";"AM"}))</f>
        <v>16</v>
      </c>
      <c r="NU20" s="138">
        <f t="shared" si="8"/>
        <v>0.4375</v>
      </c>
      <c r="NV20" s="8">
        <f t="shared" si="9"/>
        <v>0</v>
      </c>
      <c r="NW20" s="32" cm="1">
        <f t="array" ref="NW20">NETWORKDAYS($EZ$2,$GC$2)-SUM(COUNTIF(EZ100:GC100,{"I";"F";"CP";"R";"P";"AC";"AM"}))</f>
        <v>22</v>
      </c>
      <c r="NX20" s="138">
        <f t="shared" si="10"/>
        <v>0</v>
      </c>
      <c r="NY20" s="8">
        <f t="shared" si="11"/>
        <v>0</v>
      </c>
      <c r="NZ20" s="32" cm="1">
        <f t="array" ref="NZ20">NETWORKDAYS($GD$2,$HH$2,$GQ$2)-SUM(COUNTIF(GD20:HH20,{"I";"F";"CP";"R";"P";"AC";"AM"}))</f>
        <v>21</v>
      </c>
      <c r="OA20" s="138">
        <f t="shared" si="12"/>
        <v>0</v>
      </c>
      <c r="OB20" s="8">
        <f t="shared" si="13"/>
        <v>0</v>
      </c>
      <c r="OC20" s="32" cm="1">
        <f t="array" ref="OC20">NETWORKDAYS($HI$2,$IM$2)-SUM(COUNTIF(HI20:IM20,{"I";"F";"CP";"R";"P";"AC";"AM"}))</f>
        <v>21</v>
      </c>
      <c r="OD20" s="138">
        <f t="shared" si="14"/>
        <v>0</v>
      </c>
      <c r="OE20" s="8">
        <f t="shared" si="15"/>
        <v>0</v>
      </c>
      <c r="OF20" s="32" cm="1">
        <f t="array" ref="OF20">NETWORKDAYS($IN$2,$JQ$2)-SUM(COUNTIF(IN20:JQ20,{"I";"F";"CP";"R";"P";"AC";"AM"}))</f>
        <v>22</v>
      </c>
      <c r="OG20" s="138">
        <f t="shared" si="16"/>
        <v>0</v>
      </c>
      <c r="OH20" s="8">
        <f t="shared" si="17"/>
        <v>0</v>
      </c>
      <c r="OI20" s="32" cm="1">
        <f t="array" ref="OI20">NETWORKDAYS($JR$2,$KV$2)-SUM(COUNTIF(JR20:KV20,{"I";"F";"CP";"R";"P";"AC";"AM"}))</f>
        <v>22</v>
      </c>
      <c r="OJ20" s="138">
        <f t="shared" si="18"/>
        <v>0</v>
      </c>
      <c r="OK20" s="8">
        <f t="shared" si="19"/>
        <v>0</v>
      </c>
      <c r="OL20" s="32" cm="1">
        <f t="array" ref="OL20">NETWORKDAYS($KW$2,$LZ$2,$LG$2)-SUM(COUNTIF(KW20:LZ20,{"I";"F";"CP";"R";"P";"AC";"AM"}))</f>
        <v>19</v>
      </c>
      <c r="OM20" s="138">
        <f t="shared" si="20"/>
        <v>0</v>
      </c>
      <c r="ON20" s="8">
        <f t="shared" si="21"/>
        <v>0</v>
      </c>
      <c r="OO20" s="32" cm="1">
        <f t="array" ref="OO20">NETWORKDAYS($MA$2,$MR$2)-SUM(COUNTIF(MA20:MR20,{"I";"F";"CP";"R";"P";"AC";"AM"}))</f>
        <v>14</v>
      </c>
      <c r="OP20" s="138">
        <f t="shared" si="22"/>
        <v>0</v>
      </c>
      <c r="OQ20" s="94">
        <f t="shared" si="23"/>
        <v>61</v>
      </c>
      <c r="OR20" s="94">
        <f t="shared" si="24"/>
        <v>236</v>
      </c>
      <c r="OS20" s="138">
        <f t="shared" si="25"/>
        <v>0.25847457627118642</v>
      </c>
    </row>
    <row r="21" spans="1:409" ht="18" customHeight="1" x14ac:dyDescent="0.25">
      <c r="A21" s="93" t="s">
        <v>181</v>
      </c>
      <c r="B21" s="93" t="s">
        <v>45</v>
      </c>
      <c r="C21" s="27" t="s">
        <v>188</v>
      </c>
      <c r="D21" s="27" t="s">
        <v>189</v>
      </c>
      <c r="E21" s="128"/>
      <c r="F21" s="110"/>
      <c r="G21" s="110"/>
      <c r="H21" s="110"/>
      <c r="I21" s="25" t="s">
        <v>248</v>
      </c>
      <c r="J21" s="25" t="s">
        <v>248</v>
      </c>
      <c r="K21" s="25" t="s">
        <v>248</v>
      </c>
      <c r="L21" s="25" t="s">
        <v>248</v>
      </c>
      <c r="M21" s="25" t="s">
        <v>248</v>
      </c>
      <c r="N21" s="110"/>
      <c r="O21" s="110"/>
      <c r="P21" s="25"/>
      <c r="Q21" s="25"/>
      <c r="R21" s="25"/>
      <c r="S21" s="25"/>
      <c r="T21" s="25"/>
      <c r="U21" s="110"/>
      <c r="V21" s="110"/>
      <c r="W21" s="25"/>
      <c r="X21" s="25"/>
      <c r="Y21" s="25"/>
      <c r="Z21" s="25"/>
      <c r="AA21" s="25"/>
      <c r="AB21" s="110"/>
      <c r="AC21" s="110"/>
      <c r="AD21" s="25"/>
      <c r="AE21" s="25"/>
      <c r="AF21" s="25"/>
      <c r="AG21" s="25"/>
      <c r="AH21" s="25"/>
      <c r="AI21" s="110"/>
      <c r="AJ21" s="110"/>
      <c r="AK21" s="25"/>
      <c r="AL21" s="25"/>
      <c r="AM21" s="25"/>
      <c r="AN21" s="25"/>
      <c r="AO21" s="25"/>
      <c r="AP21" s="110"/>
      <c r="AQ21" s="110"/>
      <c r="AR21" s="25"/>
      <c r="AS21" s="25"/>
      <c r="AT21" s="25"/>
      <c r="AU21" s="25"/>
      <c r="AV21" s="25"/>
      <c r="AW21" s="110"/>
      <c r="AX21" s="110"/>
      <c r="AY21" s="25"/>
      <c r="AZ21" s="25"/>
      <c r="BA21" s="25"/>
      <c r="BB21" s="25"/>
      <c r="BC21" s="25"/>
      <c r="BD21" s="110"/>
      <c r="BE21" s="110"/>
      <c r="BF21" s="25"/>
      <c r="BG21" s="25"/>
      <c r="BH21" s="25"/>
      <c r="BI21" s="25"/>
      <c r="BJ21" s="25"/>
      <c r="BK21" s="110"/>
      <c r="BL21" s="110"/>
      <c r="BM21" s="25"/>
      <c r="BN21" s="25"/>
      <c r="BO21" s="25"/>
      <c r="BP21" s="25"/>
      <c r="BQ21" s="25"/>
      <c r="BR21" s="110"/>
      <c r="BS21" s="110"/>
      <c r="BT21" s="25"/>
      <c r="BU21" s="25"/>
      <c r="BV21" s="25"/>
      <c r="BW21" s="25"/>
      <c r="BX21" s="25"/>
      <c r="BY21" s="110"/>
      <c r="BZ21" s="110"/>
      <c r="CA21" s="25"/>
      <c r="CB21" s="25"/>
      <c r="CC21" s="25"/>
      <c r="CD21" s="25"/>
      <c r="CE21" s="25"/>
      <c r="CF21" s="110"/>
      <c r="CG21" s="110"/>
      <c r="CH21" s="25"/>
      <c r="CI21" s="25"/>
      <c r="CJ21" s="25"/>
      <c r="CK21" s="25"/>
      <c r="CL21" s="25"/>
      <c r="CM21" s="110"/>
      <c r="CN21" s="110"/>
      <c r="CO21" s="25"/>
      <c r="CP21" s="25">
        <v>1</v>
      </c>
      <c r="CQ21" s="25"/>
      <c r="CR21" s="25"/>
      <c r="CS21" s="25"/>
      <c r="CT21" s="110"/>
      <c r="CU21" s="110"/>
      <c r="CV21" s="110"/>
      <c r="CW21" s="25">
        <v>1</v>
      </c>
      <c r="CX21" s="25"/>
      <c r="CY21" s="25"/>
      <c r="CZ21" s="25"/>
      <c r="DA21" s="110"/>
      <c r="DB21" s="110"/>
      <c r="DC21" s="25"/>
      <c r="DD21" s="25"/>
      <c r="DE21" s="25"/>
      <c r="DF21" s="25"/>
      <c r="DG21" s="25"/>
      <c r="DH21" s="110"/>
      <c r="DI21" s="110"/>
      <c r="DJ21" s="25"/>
      <c r="DK21" s="25"/>
      <c r="DL21" s="25"/>
      <c r="DM21" s="25"/>
      <c r="DN21" s="25"/>
      <c r="DO21" s="110"/>
      <c r="DP21" s="110"/>
      <c r="DQ21" s="25"/>
      <c r="DR21" s="25"/>
      <c r="DS21" s="25"/>
      <c r="DT21" s="25"/>
      <c r="DU21" s="110"/>
      <c r="DV21" s="110"/>
      <c r="DW21" s="110"/>
      <c r="DX21" s="25"/>
      <c r="DY21" s="25"/>
      <c r="DZ21" s="25"/>
      <c r="EA21" s="25"/>
      <c r="EB21" s="110" t="s">
        <v>445</v>
      </c>
      <c r="EC21" s="110"/>
      <c r="ED21" s="110"/>
      <c r="EE21" s="25"/>
      <c r="EF21" s="25"/>
      <c r="EG21" s="25"/>
      <c r="EH21" s="110" t="s">
        <v>445</v>
      </c>
      <c r="EI21" s="110" t="s">
        <v>445</v>
      </c>
      <c r="EJ21" s="110"/>
      <c r="EK21" s="110"/>
      <c r="EL21" s="25"/>
      <c r="EM21" s="25"/>
      <c r="EN21" s="25"/>
      <c r="EO21" s="25"/>
      <c r="EP21" s="25"/>
      <c r="EQ21" s="110"/>
      <c r="ER21" s="110"/>
      <c r="ES21" s="110" t="s">
        <v>445</v>
      </c>
      <c r="ET21" s="25"/>
      <c r="EU21" s="25"/>
      <c r="EV21" s="25"/>
      <c r="EW21" s="25"/>
      <c r="EX21" s="110"/>
      <c r="EY21" s="110"/>
      <c r="EZ21" s="25"/>
      <c r="FA21" s="25"/>
      <c r="FB21" s="25"/>
      <c r="FC21" s="25"/>
      <c r="FD21" s="25"/>
      <c r="FE21" s="110"/>
      <c r="FF21" s="110"/>
      <c r="FG21" s="25"/>
      <c r="FH21" s="25"/>
      <c r="FI21" s="25"/>
      <c r="FJ21" s="25"/>
      <c r="FK21" s="25"/>
      <c r="FL21" s="110"/>
      <c r="FM21" s="110"/>
      <c r="FN21" s="25"/>
      <c r="FO21" s="25"/>
      <c r="FP21" s="25"/>
      <c r="FQ21" s="25"/>
      <c r="FR21" s="25"/>
      <c r="FS21" s="110"/>
      <c r="FT21" s="110"/>
      <c r="FU21" s="25"/>
      <c r="FV21" s="25"/>
      <c r="FW21" s="25"/>
      <c r="FX21" s="25"/>
      <c r="FY21" s="25"/>
      <c r="FZ21" s="110"/>
      <c r="GA21" s="110"/>
      <c r="GB21" s="25"/>
      <c r="GC21" s="25"/>
      <c r="GD21" s="25"/>
      <c r="GE21" s="25"/>
      <c r="GF21" s="25"/>
      <c r="GG21" s="110"/>
      <c r="GH21" s="110"/>
      <c r="GI21" s="25"/>
      <c r="GJ21" s="25"/>
      <c r="GK21" s="25"/>
      <c r="GL21" s="25"/>
      <c r="GM21" s="25"/>
      <c r="GN21" s="110"/>
      <c r="GO21" s="110"/>
      <c r="GP21" s="110"/>
      <c r="GQ21" s="110" t="s">
        <v>445</v>
      </c>
      <c r="GR21" s="25"/>
      <c r="GS21" s="25"/>
      <c r="GT21" s="25"/>
      <c r="GU21" s="110"/>
      <c r="GV21" s="110"/>
      <c r="GW21" s="25"/>
      <c r="GX21" s="25"/>
      <c r="GY21" s="25"/>
      <c r="GZ21" s="25"/>
      <c r="HA21" s="25"/>
      <c r="HB21" s="110"/>
      <c r="HC21" s="110"/>
      <c r="HD21" s="25"/>
      <c r="HE21" s="25"/>
      <c r="HF21" s="25"/>
      <c r="HG21" s="25"/>
      <c r="HH21" s="25"/>
      <c r="HI21" s="110"/>
      <c r="HJ21" s="110"/>
      <c r="HK21" s="25"/>
      <c r="HL21" s="25"/>
      <c r="HM21" s="25"/>
      <c r="HN21" s="25"/>
      <c r="HO21" s="25"/>
      <c r="HP21" s="110"/>
      <c r="HQ21" s="110"/>
      <c r="HR21" s="25"/>
      <c r="HS21" s="25"/>
      <c r="HT21" s="25"/>
      <c r="HU21" s="25"/>
      <c r="HV21" s="25"/>
      <c r="HW21" s="110"/>
      <c r="HX21" s="110"/>
      <c r="HY21" s="25"/>
      <c r="HZ21" s="25"/>
      <c r="IA21" s="25"/>
      <c r="IB21" s="25"/>
      <c r="IC21" s="25"/>
      <c r="ID21" s="110"/>
      <c r="IE21" s="110"/>
      <c r="IF21" s="25"/>
      <c r="IG21" s="25"/>
      <c r="IH21" s="25"/>
      <c r="II21" s="25"/>
      <c r="IJ21" s="25"/>
      <c r="IK21" s="110"/>
      <c r="IL21" s="110"/>
      <c r="IM21" s="25"/>
      <c r="IN21" s="25"/>
      <c r="IO21" s="25"/>
      <c r="IP21" s="25"/>
      <c r="IQ21" s="25"/>
      <c r="IR21" s="110"/>
      <c r="IS21" s="110"/>
      <c r="IT21" s="25"/>
      <c r="IU21" s="25"/>
      <c r="IV21" s="25"/>
      <c r="IW21" s="25"/>
      <c r="IX21" s="25"/>
      <c r="IY21" s="110"/>
      <c r="IZ21" s="110"/>
      <c r="JA21" s="25"/>
      <c r="JB21" s="25"/>
      <c r="JC21" s="25"/>
      <c r="JD21" s="25"/>
      <c r="JE21" s="25"/>
      <c r="JF21" s="110"/>
      <c r="JG21" s="110"/>
      <c r="JH21" s="25"/>
      <c r="JI21" s="25"/>
      <c r="JJ21" s="25"/>
      <c r="JK21" s="25"/>
      <c r="JL21" s="25"/>
      <c r="JM21" s="110"/>
      <c r="JN21" s="110"/>
      <c r="JO21" s="25"/>
      <c r="JP21" s="25"/>
      <c r="JQ21" s="25"/>
      <c r="JR21" s="25"/>
      <c r="JS21" s="25"/>
      <c r="JT21" s="110"/>
      <c r="JU21" s="110"/>
      <c r="JV21" s="25"/>
      <c r="JW21" s="25"/>
      <c r="JX21" s="25"/>
      <c r="JY21" s="25"/>
      <c r="JZ21" s="25"/>
      <c r="KA21" s="110"/>
      <c r="KB21" s="110"/>
      <c r="KC21" s="25"/>
      <c r="KD21" s="25"/>
      <c r="KE21" s="25"/>
      <c r="KF21" s="25"/>
      <c r="KG21" s="25"/>
      <c r="KH21" s="110"/>
      <c r="KI21" s="110"/>
      <c r="KJ21" s="25"/>
      <c r="KK21" s="25"/>
      <c r="KL21" s="25"/>
      <c r="KM21" s="25"/>
      <c r="KN21" s="25"/>
      <c r="KO21" s="110"/>
      <c r="KP21" s="110"/>
      <c r="KQ21" s="25"/>
      <c r="KR21" s="25"/>
      <c r="KS21" s="25"/>
      <c r="KT21" s="25"/>
      <c r="KU21" s="25"/>
      <c r="KV21" s="110"/>
      <c r="KW21" s="110"/>
      <c r="KX21" s="25"/>
      <c r="KY21" s="25"/>
      <c r="KZ21" s="25"/>
      <c r="LA21" s="25"/>
      <c r="LB21" s="25"/>
      <c r="LC21" s="110"/>
      <c r="LD21" s="110"/>
      <c r="LE21" s="25"/>
      <c r="LF21" s="25"/>
      <c r="LG21" s="110" t="s">
        <v>445</v>
      </c>
      <c r="LH21" s="25"/>
      <c r="LI21" s="25"/>
      <c r="LJ21" s="110"/>
      <c r="LK21" s="110"/>
      <c r="LL21" s="25"/>
      <c r="LM21" s="25"/>
      <c r="LN21" s="25"/>
      <c r="LO21" s="25"/>
      <c r="LP21" s="25"/>
      <c r="LQ21" s="110"/>
      <c r="LR21" s="110"/>
      <c r="LS21" s="25"/>
      <c r="LT21" s="25"/>
      <c r="LU21" s="25"/>
      <c r="LV21" s="25"/>
      <c r="LW21" s="25"/>
      <c r="LX21" s="110"/>
      <c r="LY21" s="110"/>
      <c r="LZ21" s="25"/>
      <c r="MA21" s="25"/>
      <c r="MB21" s="25"/>
      <c r="MC21" s="25"/>
      <c r="MD21" s="25"/>
      <c r="ME21" s="110"/>
      <c r="MF21" s="110"/>
      <c r="MG21" s="25"/>
      <c r="MH21" s="25"/>
      <c r="MI21" s="25"/>
      <c r="MJ21" s="25"/>
      <c r="MK21" s="25"/>
      <c r="ML21" s="110"/>
      <c r="MM21" s="110"/>
      <c r="MN21" s="25"/>
      <c r="MO21" s="25"/>
      <c r="MP21" s="25"/>
      <c r="MQ21" s="25"/>
      <c r="MR21" s="25"/>
      <c r="MS21" s="110"/>
      <c r="MT21" s="110"/>
      <c r="MU21" s="25"/>
      <c r="MV21" s="25"/>
      <c r="MW21" s="25"/>
      <c r="MX21" s="25"/>
      <c r="MY21" s="25"/>
      <c r="MZ21" s="110"/>
      <c r="NA21" s="110"/>
      <c r="NB21" s="25"/>
      <c r="NC21" s="25"/>
      <c r="ND21" s="25"/>
      <c r="NE21" s="129"/>
      <c r="NF21" s="111"/>
      <c r="NG21" s="8">
        <f t="shared" si="0"/>
        <v>0</v>
      </c>
      <c r="NH21" s="32" cm="1">
        <f t="array" ref="NH21">NETWORKDAYS($I$2,$AI$2)- SUM(COUNTIF(I21:AI21,{"I";"F";"CP";"R";"P";"AC";"AM"}))</f>
        <v>20</v>
      </c>
      <c r="NI21" s="138">
        <f t="shared" si="1"/>
        <v>0</v>
      </c>
      <c r="NJ21" s="8">
        <f t="shared" si="2"/>
        <v>0</v>
      </c>
      <c r="NK21" s="32" cm="1">
        <f t="array" ref="NK21">NETWORKDAYS($AJ$2,$BK$2)- SUM(COUNTIF(AJ21:BK21,{"I";"F";"CP";"R";"P";"AC";"AM"}))</f>
        <v>20</v>
      </c>
      <c r="NL21" s="138">
        <f t="shared" si="3"/>
        <v>0</v>
      </c>
      <c r="NM21" s="8">
        <f t="shared" si="4"/>
        <v>1</v>
      </c>
      <c r="NN21" s="32" cm="1">
        <f t="array" ref="NN21">NETWORKDAYS($BL$2,$CP$2)- SUM(COUNTIF(BL21:CP21,{"I";"F";"CP";"R";"P";"AC";"AM"}))</f>
        <v>22</v>
      </c>
      <c r="NO21" s="138">
        <f t="shared" si="5"/>
        <v>4.5454545454545456E-2</v>
      </c>
      <c r="NP21" s="32">
        <f t="shared" si="26"/>
        <v>1</v>
      </c>
      <c r="NQ21" s="32" cm="1">
        <f t="array" ref="NQ21">NETWORKDAYS($CQ$2,$DT$2,$CV$2)- SUM(COUNTIF(CQ21:DT21,{"I";"F";"CP";"R";"P";"AC";"AM"}))</f>
        <v>21</v>
      </c>
      <c r="NR21" s="138">
        <f t="shared" si="6"/>
        <v>4.7619047619047616E-2</v>
      </c>
      <c r="NS21" s="8">
        <f t="shared" si="7"/>
        <v>0</v>
      </c>
      <c r="NT21" s="32" cm="1">
        <f t="array" ref="NT21">NETWORKDAYS($DV$2,$EY$2)-SUM(COUNTIF(DV21:EY21,{"I";"F";"CP";"R";"P";"AC";"AM"}))</f>
        <v>16</v>
      </c>
      <c r="NU21" s="138">
        <f t="shared" si="8"/>
        <v>0</v>
      </c>
      <c r="NV21" s="8">
        <f t="shared" si="9"/>
        <v>0</v>
      </c>
      <c r="NW21" s="32" cm="1">
        <f t="array" ref="NW21">NETWORKDAYS($EZ$2,$GC$2)-SUM(COUNTIF(EZ101:GC101,{"I";"F";"CP";"R";"P";"AC";"AM"}))</f>
        <v>22</v>
      </c>
      <c r="NX21" s="138">
        <f t="shared" si="10"/>
        <v>0</v>
      </c>
      <c r="NY21" s="8">
        <f t="shared" si="11"/>
        <v>0</v>
      </c>
      <c r="NZ21" s="32" cm="1">
        <f t="array" ref="NZ21">NETWORKDAYS($GD$2,$HH$2,$GQ$2)-SUM(COUNTIF(GD21:HH21,{"I";"F";"CP";"R";"P";"AC";"AM"}))</f>
        <v>21</v>
      </c>
      <c r="OA21" s="138">
        <f t="shared" si="12"/>
        <v>0</v>
      </c>
      <c r="OB21" s="8">
        <f t="shared" si="13"/>
        <v>0</v>
      </c>
      <c r="OC21" s="32" cm="1">
        <f t="array" ref="OC21">NETWORKDAYS($HI$2,$IM$2)-SUM(COUNTIF(HI21:IM21,{"I";"F";"CP";"R";"P";"AC";"AM"}))</f>
        <v>21</v>
      </c>
      <c r="OD21" s="138">
        <f t="shared" si="14"/>
        <v>0</v>
      </c>
      <c r="OE21" s="8">
        <f t="shared" si="15"/>
        <v>0</v>
      </c>
      <c r="OF21" s="32" cm="1">
        <f t="array" ref="OF21">NETWORKDAYS($IN$2,$JQ$2)-SUM(COUNTIF(IN21:JQ21,{"I";"F";"CP";"R";"P";"AC";"AM"}))</f>
        <v>22</v>
      </c>
      <c r="OG21" s="138">
        <f t="shared" si="16"/>
        <v>0</v>
      </c>
      <c r="OH21" s="8">
        <f t="shared" si="17"/>
        <v>0</v>
      </c>
      <c r="OI21" s="32" cm="1">
        <f t="array" ref="OI21">NETWORKDAYS($JR$2,$KV$2)-SUM(COUNTIF(JR21:KV21,{"I";"F";"CP";"R";"P";"AC";"AM"}))</f>
        <v>22</v>
      </c>
      <c r="OJ21" s="138">
        <f t="shared" si="18"/>
        <v>0</v>
      </c>
      <c r="OK21" s="8">
        <f t="shared" si="19"/>
        <v>0</v>
      </c>
      <c r="OL21" s="32" cm="1">
        <f t="array" ref="OL21">NETWORKDAYS($KW$2,$LZ$2,$LG$2)-SUM(COUNTIF(KW21:LZ21,{"I";"F";"CP";"R";"P";"AC";"AM"}))</f>
        <v>19</v>
      </c>
      <c r="OM21" s="138">
        <f t="shared" si="20"/>
        <v>0</v>
      </c>
      <c r="ON21" s="8">
        <f t="shared" si="21"/>
        <v>0</v>
      </c>
      <c r="OO21" s="32" cm="1">
        <f t="array" ref="OO21">NETWORKDAYS($MA$2,$MR$2)-SUM(COUNTIF(MA21:MR21,{"I";"F";"CP";"R";"P";"AC";"AM"}))</f>
        <v>14</v>
      </c>
      <c r="OP21" s="138">
        <f t="shared" si="22"/>
        <v>0</v>
      </c>
      <c r="OQ21" s="94">
        <f t="shared" si="23"/>
        <v>2</v>
      </c>
      <c r="OR21" s="94">
        <f t="shared" si="24"/>
        <v>240</v>
      </c>
      <c r="OS21" s="138">
        <f t="shared" si="25"/>
        <v>8.3333333333333332E-3</v>
      </c>
    </row>
    <row r="22" spans="1:409" ht="18" hidden="1" customHeight="1" x14ac:dyDescent="0.25">
      <c r="A22" s="94" t="s">
        <v>468</v>
      </c>
      <c r="B22" s="94" t="s">
        <v>34</v>
      </c>
      <c r="C22" s="27" t="s">
        <v>160</v>
      </c>
      <c r="D22" s="27" t="s">
        <v>190</v>
      </c>
      <c r="E22" s="128"/>
      <c r="F22" s="110"/>
      <c r="G22" s="110"/>
      <c r="H22" s="110"/>
      <c r="I22" s="25"/>
      <c r="J22" s="25"/>
      <c r="K22" s="25"/>
      <c r="L22" s="25"/>
      <c r="M22" s="25"/>
      <c r="N22" s="110"/>
      <c r="O22" s="110"/>
      <c r="P22" s="25"/>
      <c r="Q22" s="25"/>
      <c r="R22" s="25"/>
      <c r="S22" s="25"/>
      <c r="T22" s="25"/>
      <c r="U22" s="110"/>
      <c r="V22" s="110"/>
      <c r="W22" s="25"/>
      <c r="X22" s="25"/>
      <c r="Y22" s="25"/>
      <c r="Z22" s="25"/>
      <c r="AA22" s="25"/>
      <c r="AB22" s="110"/>
      <c r="AC22" s="110"/>
      <c r="AD22" s="25"/>
      <c r="AE22" s="25"/>
      <c r="AF22" s="25"/>
      <c r="AG22" s="25"/>
      <c r="AH22" s="25"/>
      <c r="AI22" s="110"/>
      <c r="AJ22" s="110"/>
      <c r="AK22" s="25"/>
      <c r="AL22" s="25"/>
      <c r="AM22" s="25"/>
      <c r="AN22" s="25"/>
      <c r="AO22" s="25"/>
      <c r="AP22" s="110"/>
      <c r="AQ22" s="110"/>
      <c r="AR22" s="25"/>
      <c r="AS22" s="25"/>
      <c r="AT22" s="25"/>
      <c r="AU22" s="25"/>
      <c r="AV22" s="25"/>
      <c r="AW22" s="110"/>
      <c r="AX22" s="110"/>
      <c r="AY22" s="25"/>
      <c r="AZ22" s="25"/>
      <c r="BA22" s="25"/>
      <c r="BB22" s="25"/>
      <c r="BC22" s="25"/>
      <c r="BD22" s="110"/>
      <c r="BE22" s="110"/>
      <c r="BF22" s="25"/>
      <c r="BG22" s="25"/>
      <c r="BH22" s="25"/>
      <c r="BI22" s="25"/>
      <c r="BJ22" s="25"/>
      <c r="BK22" s="110"/>
      <c r="BL22" s="110"/>
      <c r="BM22" s="25"/>
      <c r="BN22" s="25"/>
      <c r="BO22" s="25"/>
      <c r="BP22" s="25"/>
      <c r="BQ22" s="25"/>
      <c r="BR22" s="110"/>
      <c r="BS22" s="110"/>
      <c r="BT22" s="25"/>
      <c r="BU22" s="25"/>
      <c r="BV22" s="25"/>
      <c r="BW22" s="25"/>
      <c r="BX22" s="25"/>
      <c r="BY22" s="110"/>
      <c r="BZ22" s="110"/>
      <c r="CA22" s="25"/>
      <c r="CB22" s="25"/>
      <c r="CC22" s="25"/>
      <c r="CD22" s="25"/>
      <c r="CE22" s="25"/>
      <c r="CF22" s="110"/>
      <c r="CG22" s="110"/>
      <c r="CH22" s="25"/>
      <c r="CI22" s="25"/>
      <c r="CJ22" s="25"/>
      <c r="CK22" s="25"/>
      <c r="CL22" s="25"/>
      <c r="CM22" s="110"/>
      <c r="CN22" s="110"/>
      <c r="CO22" s="25"/>
      <c r="CP22" s="25"/>
      <c r="CQ22" s="25"/>
      <c r="CR22" s="25"/>
      <c r="CS22" s="25"/>
      <c r="CT22" s="110"/>
      <c r="CU22" s="110"/>
      <c r="CV22" s="110"/>
      <c r="CW22" s="25"/>
      <c r="CX22" s="25"/>
      <c r="CY22" s="25"/>
      <c r="CZ22" s="25"/>
      <c r="DA22" s="110"/>
      <c r="DB22" s="110"/>
      <c r="DC22" s="25"/>
      <c r="DD22" s="25"/>
      <c r="DE22" s="25"/>
      <c r="DF22" s="25"/>
      <c r="DG22" s="25"/>
      <c r="DH22" s="110"/>
      <c r="DI22" s="110"/>
      <c r="DJ22" s="25"/>
      <c r="DK22" s="25"/>
      <c r="DL22" s="25"/>
      <c r="DM22" s="25"/>
      <c r="DN22" s="25"/>
      <c r="DO22" s="110"/>
      <c r="DP22" s="110"/>
      <c r="DQ22" s="25"/>
      <c r="DR22" s="25"/>
      <c r="DS22" s="25"/>
      <c r="DT22" s="25"/>
      <c r="DU22" s="110"/>
      <c r="DV22" s="110"/>
      <c r="DW22" s="110"/>
      <c r="DX22" s="25"/>
      <c r="DY22" s="25"/>
      <c r="DZ22" s="25"/>
      <c r="EA22" s="25"/>
      <c r="EB22" s="110" t="s">
        <v>445</v>
      </c>
      <c r="EC22" s="110"/>
      <c r="ED22" s="110"/>
      <c r="EE22" s="25"/>
      <c r="EF22" s="25"/>
      <c r="EG22" s="25"/>
      <c r="EH22" s="110" t="s">
        <v>445</v>
      </c>
      <c r="EI22" s="110" t="s">
        <v>445</v>
      </c>
      <c r="EJ22" s="110"/>
      <c r="EK22" s="110"/>
      <c r="EL22" s="25"/>
      <c r="EM22" s="25"/>
      <c r="EN22" s="25"/>
      <c r="EO22" s="25"/>
      <c r="EP22" s="25"/>
      <c r="EQ22" s="110"/>
      <c r="ER22" s="110"/>
      <c r="ES22" s="110" t="s">
        <v>445</v>
      </c>
      <c r="ET22" s="25"/>
      <c r="EU22" s="25"/>
      <c r="EV22" s="25"/>
      <c r="EW22" s="25"/>
      <c r="EX22" s="110"/>
      <c r="EY22" s="110"/>
      <c r="EZ22" s="25"/>
      <c r="FA22" s="25"/>
      <c r="FB22" s="25"/>
      <c r="FC22" s="25"/>
      <c r="FD22" s="25"/>
      <c r="FE22" s="110"/>
      <c r="FF22" s="110"/>
      <c r="FG22" s="25"/>
      <c r="FH22" s="25"/>
      <c r="FI22" s="25"/>
      <c r="FJ22" s="25"/>
      <c r="FK22" s="25"/>
      <c r="FL22" s="110"/>
      <c r="FM22" s="110"/>
      <c r="FN22" s="25"/>
      <c r="FO22" s="25"/>
      <c r="FP22" s="25"/>
      <c r="FQ22" s="25"/>
      <c r="FR22" s="25"/>
      <c r="FS22" s="110"/>
      <c r="FT22" s="110"/>
      <c r="FU22" s="25"/>
      <c r="FV22" s="25"/>
      <c r="FW22" s="25"/>
      <c r="FX22" s="25"/>
      <c r="FY22" s="25"/>
      <c r="FZ22" s="110"/>
      <c r="GA22" s="110"/>
      <c r="GB22" s="25"/>
      <c r="GC22" s="25"/>
      <c r="GD22" s="25"/>
      <c r="GE22" s="25"/>
      <c r="GF22" s="25"/>
      <c r="GG22" s="110"/>
      <c r="GH22" s="110"/>
      <c r="GI22" s="25"/>
      <c r="GJ22" s="25"/>
      <c r="GK22" s="25"/>
      <c r="GL22" s="25"/>
      <c r="GM22" s="25"/>
      <c r="GN22" s="110"/>
      <c r="GO22" s="110"/>
      <c r="GP22" s="110"/>
      <c r="GQ22" s="110" t="s">
        <v>445</v>
      </c>
      <c r="GR22" s="25"/>
      <c r="GS22" s="25"/>
      <c r="GT22" s="25"/>
      <c r="GU22" s="110"/>
      <c r="GV22" s="110"/>
      <c r="GW22" s="25"/>
      <c r="GX22" s="25"/>
      <c r="GY22" s="25"/>
      <c r="GZ22" s="25"/>
      <c r="HA22" s="25"/>
      <c r="HB22" s="110"/>
      <c r="HC22" s="110"/>
      <c r="HD22" s="25"/>
      <c r="HE22" s="25"/>
      <c r="HF22" s="25"/>
      <c r="HG22" s="25"/>
      <c r="HH22" s="25"/>
      <c r="HI22" s="110"/>
      <c r="HJ22" s="110"/>
      <c r="HK22" s="25"/>
      <c r="HL22" s="25"/>
      <c r="HM22" s="25"/>
      <c r="HN22" s="25"/>
      <c r="HO22" s="25"/>
      <c r="HP22" s="110"/>
      <c r="HQ22" s="110"/>
      <c r="HR22" s="25"/>
      <c r="HS22" s="25"/>
      <c r="HT22" s="25"/>
      <c r="HU22" s="25"/>
      <c r="HV22" s="25"/>
      <c r="HW22" s="110"/>
      <c r="HX22" s="110"/>
      <c r="HY22" s="25"/>
      <c r="HZ22" s="25"/>
      <c r="IA22" s="25"/>
      <c r="IB22" s="25"/>
      <c r="IC22" s="25"/>
      <c r="ID22" s="110"/>
      <c r="IE22" s="110"/>
      <c r="IF22" s="25"/>
      <c r="IG22" s="25"/>
      <c r="IH22" s="25"/>
      <c r="II22" s="25"/>
      <c r="IJ22" s="25"/>
      <c r="IK22" s="110"/>
      <c r="IL22" s="110"/>
      <c r="IM22" s="25"/>
      <c r="IN22" s="25"/>
      <c r="IO22" s="25"/>
      <c r="IP22" s="25"/>
      <c r="IQ22" s="25"/>
      <c r="IR22" s="110"/>
      <c r="IS22" s="110"/>
      <c r="IT22" s="25"/>
      <c r="IU22" s="25"/>
      <c r="IV22" s="25"/>
      <c r="IW22" s="25"/>
      <c r="IX22" s="25"/>
      <c r="IY22" s="110"/>
      <c r="IZ22" s="110"/>
      <c r="JA22" s="25"/>
      <c r="JB22" s="25"/>
      <c r="JC22" s="25"/>
      <c r="JD22" s="25"/>
      <c r="JE22" s="25"/>
      <c r="JF22" s="110"/>
      <c r="JG22" s="110"/>
      <c r="JH22" s="25"/>
      <c r="JI22" s="25"/>
      <c r="JJ22" s="25"/>
      <c r="JK22" s="25"/>
      <c r="JL22" s="25"/>
      <c r="JM22" s="110"/>
      <c r="JN22" s="110"/>
      <c r="JO22" s="25"/>
      <c r="JP22" s="25"/>
      <c r="JQ22" s="25"/>
      <c r="JR22" s="25"/>
      <c r="JS22" s="25"/>
      <c r="JT22" s="110"/>
      <c r="JU22" s="110"/>
      <c r="JV22" s="25"/>
      <c r="JW22" s="25"/>
      <c r="JX22" s="25"/>
      <c r="JY22" s="25"/>
      <c r="JZ22" s="25"/>
      <c r="KA22" s="110"/>
      <c r="KB22" s="110"/>
      <c r="KC22" s="25"/>
      <c r="KD22" s="25"/>
      <c r="KE22" s="25"/>
      <c r="KF22" s="25"/>
      <c r="KG22" s="25"/>
      <c r="KH22" s="110"/>
      <c r="KI22" s="110"/>
      <c r="KJ22" s="25"/>
      <c r="KK22" s="25"/>
      <c r="KL22" s="25"/>
      <c r="KM22" s="25"/>
      <c r="KN22" s="25"/>
      <c r="KO22" s="110"/>
      <c r="KP22" s="110"/>
      <c r="KQ22" s="25"/>
      <c r="KR22" s="25"/>
      <c r="KS22" s="25"/>
      <c r="KT22" s="25"/>
      <c r="KU22" s="25"/>
      <c r="KV22" s="110"/>
      <c r="KW22" s="110"/>
      <c r="KX22" s="25"/>
      <c r="KY22" s="25"/>
      <c r="KZ22" s="25"/>
      <c r="LA22" s="25"/>
      <c r="LB22" s="25"/>
      <c r="LC22" s="110"/>
      <c r="LD22" s="110"/>
      <c r="LE22" s="25"/>
      <c r="LF22" s="25"/>
      <c r="LG22" s="110" t="s">
        <v>445</v>
      </c>
      <c r="LH22" s="25"/>
      <c r="LI22" s="25"/>
      <c r="LJ22" s="110"/>
      <c r="LK22" s="110"/>
      <c r="LL22" s="25"/>
      <c r="LM22" s="25"/>
      <c r="LN22" s="25"/>
      <c r="LO22" s="25"/>
      <c r="LP22" s="25"/>
      <c r="LQ22" s="110"/>
      <c r="LR22" s="110"/>
      <c r="LS22" s="25"/>
      <c r="LT22" s="25"/>
      <c r="LU22" s="25"/>
      <c r="LV22" s="25"/>
      <c r="LW22" s="25"/>
      <c r="LX22" s="110"/>
      <c r="LY22" s="110"/>
      <c r="LZ22" s="25"/>
      <c r="MA22" s="25"/>
      <c r="MB22" s="25"/>
      <c r="MC22" s="25"/>
      <c r="MD22" s="25"/>
      <c r="ME22" s="110"/>
      <c r="MF22" s="110"/>
      <c r="MG22" s="25"/>
      <c r="MH22" s="25"/>
      <c r="MI22" s="25"/>
      <c r="MJ22" s="25"/>
      <c r="MK22" s="25"/>
      <c r="ML22" s="110"/>
      <c r="MM22" s="110"/>
      <c r="MN22" s="25"/>
      <c r="MO22" s="25"/>
      <c r="MP22" s="25"/>
      <c r="MQ22" s="25"/>
      <c r="MR22" s="25"/>
      <c r="MS22" s="110"/>
      <c r="MT22" s="110"/>
      <c r="MU22" s="25"/>
      <c r="MV22" s="25"/>
      <c r="MW22" s="25"/>
      <c r="MX22" s="25"/>
      <c r="MY22" s="25"/>
      <c r="MZ22" s="110"/>
      <c r="NA22" s="110"/>
      <c r="NB22" s="25"/>
      <c r="NC22" s="25"/>
      <c r="ND22" s="25"/>
      <c r="NE22" s="129"/>
      <c r="NF22" s="111"/>
      <c r="NG22" s="8">
        <f t="shared" si="0"/>
        <v>0</v>
      </c>
      <c r="NH22" s="32" cm="1">
        <f t="array" ref="NH22">NETWORKDAYS($I$2,$AI$2)- SUM(COUNTIF(I22:AI22,{"I";"F";"CP";"R";"P";"AC";"AM"}))</f>
        <v>20</v>
      </c>
      <c r="NI22" s="138">
        <f t="shared" si="1"/>
        <v>0</v>
      </c>
      <c r="NJ22" s="8">
        <f t="shared" si="2"/>
        <v>0</v>
      </c>
      <c r="NK22" s="32" cm="1">
        <f t="array" ref="NK22">NETWORKDAYS($AJ$2,$BK$2)- SUM(COUNTIF(AJ22:BK22,{"I";"F";"CP";"R";"P";"AC";"AM"}))</f>
        <v>20</v>
      </c>
      <c r="NL22" s="138">
        <f t="shared" si="3"/>
        <v>0</v>
      </c>
      <c r="NM22" s="8">
        <f t="shared" si="4"/>
        <v>0</v>
      </c>
      <c r="NN22" s="32" cm="1">
        <f t="array" ref="NN22">NETWORKDAYS($BL$2,$CP$2)- SUM(COUNTIF(BL22:CP22,{"I";"F";"CP";"R";"P";"AC";"AM"}))</f>
        <v>22</v>
      </c>
      <c r="NO22" s="138">
        <f t="shared" si="5"/>
        <v>0</v>
      </c>
      <c r="NP22" s="8">
        <f t="shared" si="26"/>
        <v>0</v>
      </c>
      <c r="NQ22" s="32" cm="1">
        <f t="array" ref="NQ22">NETWORKDAYS($CQ$2,$DT$2,$CV$2)- SUM(COUNTIF(CQ22:DT22,{"I";"F";"CP";"R";"P";"AC";"AM"}))</f>
        <v>21</v>
      </c>
      <c r="NR22" s="138">
        <f t="shared" si="6"/>
        <v>0</v>
      </c>
      <c r="NS22" s="8">
        <f t="shared" si="7"/>
        <v>0</v>
      </c>
      <c r="NT22" s="32" cm="1">
        <f t="array" ref="NT22">NETWORKDAYS($DV$2,$EY$2)-SUM(COUNTIF(DV22:EY22,{"I";"F";"CP";"R";"P";"AC";"AM"}))</f>
        <v>16</v>
      </c>
      <c r="NU22" s="138">
        <f t="shared" si="8"/>
        <v>0</v>
      </c>
      <c r="NV22" s="8">
        <f t="shared" si="9"/>
        <v>0</v>
      </c>
      <c r="NW22" s="32" cm="1">
        <f t="array" ref="NW22">NETWORKDAYS($EZ$2,$GC$2)-SUM(COUNTIF(EZ102:GC102,{"I";"F";"CP";"R";"P";"AC";"AM"}))</f>
        <v>22</v>
      </c>
      <c r="NX22" s="138">
        <f t="shared" si="10"/>
        <v>0</v>
      </c>
      <c r="NY22" s="8">
        <f t="shared" si="11"/>
        <v>0</v>
      </c>
      <c r="NZ22" s="32" cm="1">
        <f t="array" ref="NZ22">NETWORKDAYS($GD$2,$HH$2,$GQ$2)-SUM(COUNTIF(GD22:HH22,{"I";"F";"CP";"R";"P";"AC";"AM"}))</f>
        <v>21</v>
      </c>
      <c r="OA22" s="138">
        <f t="shared" si="12"/>
        <v>0</v>
      </c>
      <c r="OB22" s="8">
        <f t="shared" si="13"/>
        <v>0</v>
      </c>
      <c r="OC22" s="32" cm="1">
        <f t="array" ref="OC22">NETWORKDAYS($HI$2,$IM$2)-SUM(COUNTIF(HI22:IM22,{"I";"F";"CP";"R";"P";"AC";"AM"}))</f>
        <v>21</v>
      </c>
      <c r="OD22" s="138">
        <f t="shared" si="14"/>
        <v>0</v>
      </c>
      <c r="OE22" s="8">
        <f t="shared" si="15"/>
        <v>0</v>
      </c>
      <c r="OF22" s="32" cm="1">
        <f t="array" ref="OF22">NETWORKDAYS($IN$2,$JQ$2)-SUM(COUNTIF(IN22:JQ22,{"I";"F";"CP";"R";"P";"AC";"AM"}))</f>
        <v>22</v>
      </c>
      <c r="OG22" s="138">
        <f t="shared" si="16"/>
        <v>0</v>
      </c>
      <c r="OH22" s="8">
        <f t="shared" si="17"/>
        <v>0</v>
      </c>
      <c r="OI22" s="32" cm="1">
        <f t="array" ref="OI22">NETWORKDAYS($JR$2,$KV$2)-SUM(COUNTIF(JR22:KV22,{"I";"F";"CP";"R";"P";"AC";"AM"}))</f>
        <v>22</v>
      </c>
      <c r="OJ22" s="138">
        <f t="shared" si="18"/>
        <v>0</v>
      </c>
      <c r="OK22" s="8">
        <f t="shared" si="19"/>
        <v>0</v>
      </c>
      <c r="OL22" s="32" cm="1">
        <f t="array" ref="OL22">NETWORKDAYS($KW$2,$LZ$2,$LG$2)-SUM(COUNTIF(KW22:LZ22,{"I";"F";"CP";"R";"P";"AC";"AM"}))</f>
        <v>19</v>
      </c>
      <c r="OM22" s="138">
        <f t="shared" si="20"/>
        <v>0</v>
      </c>
      <c r="ON22" s="8">
        <f t="shared" si="21"/>
        <v>0</v>
      </c>
      <c r="OO22" s="32" cm="1">
        <f t="array" ref="OO22">NETWORKDAYS($MA$2,$MR$2)-SUM(COUNTIF(MA22:MR22,{"I";"F";"CP";"R";"P";"AC";"AM"}))</f>
        <v>14</v>
      </c>
      <c r="OP22" s="138">
        <f t="shared" si="22"/>
        <v>0</v>
      </c>
      <c r="OQ22" s="94">
        <f t="shared" si="23"/>
        <v>0</v>
      </c>
      <c r="OR22" s="94">
        <f t="shared" si="24"/>
        <v>240</v>
      </c>
      <c r="OS22" s="138">
        <f t="shared" si="25"/>
        <v>0</v>
      </c>
    </row>
    <row r="23" spans="1:409" ht="18" hidden="1" customHeight="1" x14ac:dyDescent="0.25">
      <c r="A23" s="94" t="s">
        <v>100</v>
      </c>
      <c r="B23" s="94" t="s">
        <v>34</v>
      </c>
      <c r="C23" s="27" t="s">
        <v>166</v>
      </c>
      <c r="D23" s="27" t="s">
        <v>191</v>
      </c>
      <c r="E23" s="128"/>
      <c r="F23" s="110"/>
      <c r="G23" s="110"/>
      <c r="H23" s="110"/>
      <c r="I23" s="25"/>
      <c r="J23" s="25"/>
      <c r="K23" s="25"/>
      <c r="L23" s="25"/>
      <c r="M23" s="25"/>
      <c r="N23" s="110"/>
      <c r="O23" s="110"/>
      <c r="P23" s="25"/>
      <c r="Q23" s="25"/>
      <c r="R23" s="25"/>
      <c r="S23" s="25"/>
      <c r="T23" s="25"/>
      <c r="U23" s="110"/>
      <c r="V23" s="110"/>
      <c r="W23" s="25"/>
      <c r="X23" s="25"/>
      <c r="Y23" s="25"/>
      <c r="Z23" s="25"/>
      <c r="AA23" s="25"/>
      <c r="AB23" s="110"/>
      <c r="AC23" s="110"/>
      <c r="AD23" s="25"/>
      <c r="AE23" s="25"/>
      <c r="AF23" s="25"/>
      <c r="AG23" s="25"/>
      <c r="AH23" s="25"/>
      <c r="AI23" s="110"/>
      <c r="AJ23" s="110"/>
      <c r="AK23" s="25"/>
      <c r="AL23" s="25"/>
      <c r="AM23" s="25"/>
      <c r="AN23" s="25"/>
      <c r="AO23" s="25"/>
      <c r="AP23" s="110"/>
      <c r="AQ23" s="110"/>
      <c r="AR23" s="25"/>
      <c r="AS23" s="25"/>
      <c r="AT23" s="25"/>
      <c r="AU23" s="25"/>
      <c r="AV23" s="25"/>
      <c r="AW23" s="110"/>
      <c r="AX23" s="110"/>
      <c r="AY23" s="25"/>
      <c r="AZ23" s="25"/>
      <c r="BA23" s="25"/>
      <c r="BB23" s="25"/>
      <c r="BC23" s="25"/>
      <c r="BD23" s="110"/>
      <c r="BE23" s="110"/>
      <c r="BF23" s="25"/>
      <c r="BG23" s="25"/>
      <c r="BH23" s="25"/>
      <c r="BI23" s="25"/>
      <c r="BJ23" s="25"/>
      <c r="BK23" s="110"/>
      <c r="BL23" s="110"/>
      <c r="BM23" s="25"/>
      <c r="BN23" s="25"/>
      <c r="BO23" s="25"/>
      <c r="BP23" s="25"/>
      <c r="BQ23" s="25"/>
      <c r="BR23" s="110"/>
      <c r="BS23" s="110"/>
      <c r="BT23" s="25"/>
      <c r="BU23" s="25"/>
      <c r="BV23" s="25"/>
      <c r="BW23" s="25"/>
      <c r="BX23" s="25"/>
      <c r="BY23" s="110"/>
      <c r="BZ23" s="110"/>
      <c r="CA23" s="25"/>
      <c r="CB23" s="25"/>
      <c r="CC23" s="25"/>
      <c r="CD23" s="25"/>
      <c r="CE23" s="25"/>
      <c r="CF23" s="110"/>
      <c r="CG23" s="110"/>
      <c r="CH23" s="25"/>
      <c r="CI23" s="25"/>
      <c r="CJ23" s="25"/>
      <c r="CK23" s="25"/>
      <c r="CL23" s="25"/>
      <c r="CM23" s="110"/>
      <c r="CN23" s="110"/>
      <c r="CO23" s="25"/>
      <c r="CP23" s="25"/>
      <c r="CQ23" s="25"/>
      <c r="CR23" s="25"/>
      <c r="CS23" s="25"/>
      <c r="CT23" s="110"/>
      <c r="CU23" s="110"/>
      <c r="CV23" s="110"/>
      <c r="CW23" s="25"/>
      <c r="CX23" s="25"/>
      <c r="CY23" s="25"/>
      <c r="CZ23" s="25"/>
      <c r="DA23" s="110"/>
      <c r="DB23" s="110"/>
      <c r="DC23" s="25"/>
      <c r="DD23" s="25"/>
      <c r="DE23" s="25"/>
      <c r="DF23" s="25"/>
      <c r="DG23" s="25"/>
      <c r="DH23" s="110"/>
      <c r="DI23" s="110"/>
      <c r="DJ23" s="25"/>
      <c r="DK23" s="25"/>
      <c r="DL23" s="25"/>
      <c r="DM23" s="25"/>
      <c r="DN23" s="25"/>
      <c r="DO23" s="110"/>
      <c r="DP23" s="110"/>
      <c r="DQ23" s="25"/>
      <c r="DR23" s="25"/>
      <c r="DS23" s="25"/>
      <c r="DT23" s="25"/>
      <c r="DU23" s="110"/>
      <c r="DV23" s="110"/>
      <c r="DW23" s="110"/>
      <c r="DX23" s="25"/>
      <c r="DY23" s="25"/>
      <c r="DZ23" s="25"/>
      <c r="EA23" s="25"/>
      <c r="EB23" s="110" t="s">
        <v>445</v>
      </c>
      <c r="EC23" s="110"/>
      <c r="ED23" s="110"/>
      <c r="EE23" s="25"/>
      <c r="EF23" s="25"/>
      <c r="EG23" s="25"/>
      <c r="EH23" s="110" t="s">
        <v>445</v>
      </c>
      <c r="EI23" s="110" t="s">
        <v>445</v>
      </c>
      <c r="EJ23" s="110"/>
      <c r="EK23" s="110"/>
      <c r="EL23" s="25"/>
      <c r="EM23" s="25"/>
      <c r="EN23" s="25"/>
      <c r="EO23" s="25"/>
      <c r="EP23" s="25"/>
      <c r="EQ23" s="110"/>
      <c r="ER23" s="110"/>
      <c r="ES23" s="110" t="s">
        <v>445</v>
      </c>
      <c r="ET23" s="25"/>
      <c r="EU23" s="25"/>
      <c r="EV23" s="25"/>
      <c r="EW23" s="25"/>
      <c r="EX23" s="110"/>
      <c r="EY23" s="110"/>
      <c r="EZ23" s="25"/>
      <c r="FA23" s="25"/>
      <c r="FB23" s="25"/>
      <c r="FC23" s="25"/>
      <c r="FD23" s="25"/>
      <c r="FE23" s="110"/>
      <c r="FF23" s="110"/>
      <c r="FG23" s="25"/>
      <c r="FH23" s="25"/>
      <c r="FI23" s="25"/>
      <c r="FJ23" s="25"/>
      <c r="FK23" s="25"/>
      <c r="FL23" s="110"/>
      <c r="FM23" s="110"/>
      <c r="FN23" s="25"/>
      <c r="FO23" s="25"/>
      <c r="FP23" s="25"/>
      <c r="FQ23" s="25"/>
      <c r="FR23" s="25"/>
      <c r="FS23" s="110"/>
      <c r="FT23" s="110"/>
      <c r="FU23" s="25"/>
      <c r="FV23" s="25"/>
      <c r="FW23" s="25"/>
      <c r="FX23" s="25"/>
      <c r="FY23" s="25"/>
      <c r="FZ23" s="110"/>
      <c r="GA23" s="110"/>
      <c r="GB23" s="25"/>
      <c r="GC23" s="25"/>
      <c r="GD23" s="25"/>
      <c r="GE23" s="25"/>
      <c r="GF23" s="25"/>
      <c r="GG23" s="110"/>
      <c r="GH23" s="110"/>
      <c r="GI23" s="25"/>
      <c r="GJ23" s="25"/>
      <c r="GK23" s="25"/>
      <c r="GL23" s="25"/>
      <c r="GM23" s="25"/>
      <c r="GN23" s="110"/>
      <c r="GO23" s="110"/>
      <c r="GP23" s="110"/>
      <c r="GQ23" s="110" t="s">
        <v>445</v>
      </c>
      <c r="GR23" s="25"/>
      <c r="GS23" s="25"/>
      <c r="GT23" s="25"/>
      <c r="GU23" s="110"/>
      <c r="GV23" s="110"/>
      <c r="GW23" s="25"/>
      <c r="GX23" s="25"/>
      <c r="GY23" s="25"/>
      <c r="GZ23" s="25"/>
      <c r="HA23" s="25"/>
      <c r="HB23" s="110"/>
      <c r="HC23" s="110"/>
      <c r="HD23" s="25"/>
      <c r="HE23" s="25"/>
      <c r="HF23" s="25"/>
      <c r="HG23" s="25"/>
      <c r="HH23" s="25"/>
      <c r="HI23" s="110"/>
      <c r="HJ23" s="110"/>
      <c r="HK23" s="25"/>
      <c r="HL23" s="25"/>
      <c r="HM23" s="25"/>
      <c r="HN23" s="25"/>
      <c r="HO23" s="25"/>
      <c r="HP23" s="110"/>
      <c r="HQ23" s="110"/>
      <c r="HR23" s="25"/>
      <c r="HS23" s="25"/>
      <c r="HT23" s="25"/>
      <c r="HU23" s="25"/>
      <c r="HV23" s="25"/>
      <c r="HW23" s="110"/>
      <c r="HX23" s="110"/>
      <c r="HY23" s="25"/>
      <c r="HZ23" s="25"/>
      <c r="IA23" s="25"/>
      <c r="IB23" s="25"/>
      <c r="IC23" s="25"/>
      <c r="ID23" s="110"/>
      <c r="IE23" s="110"/>
      <c r="IF23" s="25"/>
      <c r="IG23" s="25"/>
      <c r="IH23" s="25"/>
      <c r="II23" s="25"/>
      <c r="IJ23" s="25"/>
      <c r="IK23" s="110"/>
      <c r="IL23" s="110"/>
      <c r="IM23" s="25"/>
      <c r="IN23" s="25"/>
      <c r="IO23" s="25"/>
      <c r="IP23" s="25"/>
      <c r="IQ23" s="25"/>
      <c r="IR23" s="110"/>
      <c r="IS23" s="110"/>
      <c r="IT23" s="25"/>
      <c r="IU23" s="25"/>
      <c r="IV23" s="25"/>
      <c r="IW23" s="25"/>
      <c r="IX23" s="25"/>
      <c r="IY23" s="110"/>
      <c r="IZ23" s="110"/>
      <c r="JA23" s="25"/>
      <c r="JB23" s="25"/>
      <c r="JC23" s="25"/>
      <c r="JD23" s="25"/>
      <c r="JE23" s="25"/>
      <c r="JF23" s="110"/>
      <c r="JG23" s="110"/>
      <c r="JH23" s="25"/>
      <c r="JI23" s="25"/>
      <c r="JJ23" s="25"/>
      <c r="JK23" s="25"/>
      <c r="JL23" s="25"/>
      <c r="JM23" s="110"/>
      <c r="JN23" s="110"/>
      <c r="JO23" s="25"/>
      <c r="JP23" s="25"/>
      <c r="JQ23" s="25"/>
      <c r="JR23" s="25"/>
      <c r="JS23" s="25"/>
      <c r="JT23" s="110"/>
      <c r="JU23" s="110"/>
      <c r="JV23" s="25"/>
      <c r="JW23" s="25"/>
      <c r="JX23" s="25"/>
      <c r="JY23" s="25"/>
      <c r="JZ23" s="25"/>
      <c r="KA23" s="110"/>
      <c r="KB23" s="110"/>
      <c r="KC23" s="25"/>
      <c r="KD23" s="25"/>
      <c r="KE23" s="25"/>
      <c r="KF23" s="25"/>
      <c r="KG23" s="25"/>
      <c r="KH23" s="110"/>
      <c r="KI23" s="110"/>
      <c r="KJ23" s="25"/>
      <c r="KK23" s="25"/>
      <c r="KL23" s="25"/>
      <c r="KM23" s="25"/>
      <c r="KN23" s="25"/>
      <c r="KO23" s="110"/>
      <c r="KP23" s="110"/>
      <c r="KQ23" s="25"/>
      <c r="KR23" s="25"/>
      <c r="KS23" s="25"/>
      <c r="KT23" s="25"/>
      <c r="KU23" s="25"/>
      <c r="KV23" s="110"/>
      <c r="KW23" s="110"/>
      <c r="KX23" s="25"/>
      <c r="KY23" s="25"/>
      <c r="KZ23" s="25"/>
      <c r="LA23" s="25"/>
      <c r="LB23" s="25"/>
      <c r="LC23" s="110"/>
      <c r="LD23" s="110"/>
      <c r="LE23" s="25"/>
      <c r="LF23" s="25"/>
      <c r="LG23" s="110" t="s">
        <v>445</v>
      </c>
      <c r="LH23" s="25"/>
      <c r="LI23" s="25"/>
      <c r="LJ23" s="110"/>
      <c r="LK23" s="110"/>
      <c r="LL23" s="25"/>
      <c r="LM23" s="25"/>
      <c r="LN23" s="25"/>
      <c r="LO23" s="25"/>
      <c r="LP23" s="25"/>
      <c r="LQ23" s="110"/>
      <c r="LR23" s="110"/>
      <c r="LS23" s="25"/>
      <c r="LT23" s="25"/>
      <c r="LU23" s="25"/>
      <c r="LV23" s="25"/>
      <c r="LW23" s="25"/>
      <c r="LX23" s="110"/>
      <c r="LY23" s="110"/>
      <c r="LZ23" s="25"/>
      <c r="MA23" s="25"/>
      <c r="MB23" s="25"/>
      <c r="MC23" s="25"/>
      <c r="MD23" s="25"/>
      <c r="ME23" s="110"/>
      <c r="MF23" s="110"/>
      <c r="MG23" s="25"/>
      <c r="MH23" s="25"/>
      <c r="MI23" s="25"/>
      <c r="MJ23" s="25"/>
      <c r="MK23" s="25"/>
      <c r="ML23" s="110"/>
      <c r="MM23" s="110"/>
      <c r="MN23" s="25"/>
      <c r="MO23" s="25"/>
      <c r="MP23" s="25"/>
      <c r="MQ23" s="25"/>
      <c r="MR23" s="25"/>
      <c r="MS23" s="110"/>
      <c r="MT23" s="110"/>
      <c r="MU23" s="25"/>
      <c r="MV23" s="25"/>
      <c r="MW23" s="25"/>
      <c r="MX23" s="25"/>
      <c r="MY23" s="25"/>
      <c r="MZ23" s="110"/>
      <c r="NA23" s="110"/>
      <c r="NB23" s="25"/>
      <c r="NC23" s="25"/>
      <c r="ND23" s="25"/>
      <c r="NE23" s="129"/>
      <c r="NF23" s="111"/>
      <c r="NG23" s="8">
        <f t="shared" si="0"/>
        <v>0</v>
      </c>
      <c r="NH23" s="32" cm="1">
        <f t="array" ref="NH23">NETWORKDAYS($I$2,$AI$2)- SUM(COUNTIF(I23:AI23,{"I";"F";"CP";"R";"P";"AC";"AM"}))</f>
        <v>20</v>
      </c>
      <c r="NI23" s="138">
        <f t="shared" si="1"/>
        <v>0</v>
      </c>
      <c r="NJ23" s="8">
        <f t="shared" si="2"/>
        <v>0</v>
      </c>
      <c r="NK23" s="32" cm="1">
        <f t="array" ref="NK23">NETWORKDAYS($AJ$2,$BK$2)- SUM(COUNTIF(AJ23:BK23,{"I";"F";"CP";"R";"P";"AC";"AM"}))</f>
        <v>20</v>
      </c>
      <c r="NL23" s="138">
        <f t="shared" si="3"/>
        <v>0</v>
      </c>
      <c r="NM23" s="8">
        <f t="shared" si="4"/>
        <v>0</v>
      </c>
      <c r="NN23" s="32" cm="1">
        <f t="array" ref="NN23">NETWORKDAYS($BL$2,$CP$2)- SUM(COUNTIF(BL23:CP23,{"I";"F";"CP";"R";"P";"AC";"AM"}))</f>
        <v>22</v>
      </c>
      <c r="NO23" s="138">
        <f t="shared" si="5"/>
        <v>0</v>
      </c>
      <c r="NP23" s="32">
        <f t="shared" si="26"/>
        <v>0</v>
      </c>
      <c r="NQ23" s="32" cm="1">
        <f t="array" ref="NQ23">NETWORKDAYS($CQ$2,$DT$2,$CV$2)- SUM(COUNTIF(CQ23:DT23,{"I";"F";"CP";"R";"P";"AC";"AM"}))</f>
        <v>21</v>
      </c>
      <c r="NR23" s="138">
        <f t="shared" si="6"/>
        <v>0</v>
      </c>
      <c r="NS23" s="8">
        <f t="shared" si="7"/>
        <v>0</v>
      </c>
      <c r="NT23" s="32" cm="1">
        <f t="array" ref="NT23">NETWORKDAYS($DV$2,$EY$2)-SUM(COUNTIF(DV23:EY23,{"I";"F";"CP";"R";"P";"AC";"AM"}))</f>
        <v>16</v>
      </c>
      <c r="NU23" s="138">
        <f t="shared" si="8"/>
        <v>0</v>
      </c>
      <c r="NV23" s="8">
        <f t="shared" si="9"/>
        <v>0</v>
      </c>
      <c r="NW23" s="32" cm="1">
        <f t="array" ref="NW23">NETWORKDAYS($EZ$2,$GC$2)-SUM(COUNTIF(EZ103:GC103,{"I";"F";"CP";"R";"P";"AC";"AM"}))</f>
        <v>22</v>
      </c>
      <c r="NX23" s="138">
        <f t="shared" si="10"/>
        <v>0</v>
      </c>
      <c r="NY23" s="8">
        <f t="shared" si="11"/>
        <v>0</v>
      </c>
      <c r="NZ23" s="32" cm="1">
        <f t="array" ref="NZ23">NETWORKDAYS($GD$2,$HH$2,$GQ$2)-SUM(COUNTIF(GD23:HH23,{"I";"F";"CP";"R";"P";"AC";"AM"}))</f>
        <v>21</v>
      </c>
      <c r="OA23" s="138">
        <f t="shared" si="12"/>
        <v>0</v>
      </c>
      <c r="OB23" s="8">
        <f t="shared" si="13"/>
        <v>0</v>
      </c>
      <c r="OC23" s="32" cm="1">
        <f t="array" ref="OC23">NETWORKDAYS($HI$2,$IM$2)-SUM(COUNTIF(HI23:IM23,{"I";"F";"CP";"R";"P";"AC";"AM"}))</f>
        <v>21</v>
      </c>
      <c r="OD23" s="138">
        <f t="shared" si="14"/>
        <v>0</v>
      </c>
      <c r="OE23" s="8">
        <f t="shared" si="15"/>
        <v>0</v>
      </c>
      <c r="OF23" s="32" cm="1">
        <f t="array" ref="OF23">NETWORKDAYS($IN$2,$JQ$2)-SUM(COUNTIF(IN23:JQ23,{"I";"F";"CP";"R";"P";"AC";"AM"}))</f>
        <v>22</v>
      </c>
      <c r="OG23" s="138">
        <f t="shared" si="16"/>
        <v>0</v>
      </c>
      <c r="OH23" s="8">
        <f t="shared" si="17"/>
        <v>0</v>
      </c>
      <c r="OI23" s="32" cm="1">
        <f t="array" ref="OI23">NETWORKDAYS($JR$2,$KV$2)-SUM(COUNTIF(JR23:KV23,{"I";"F";"CP";"R";"P";"AC";"AM"}))</f>
        <v>22</v>
      </c>
      <c r="OJ23" s="138">
        <f t="shared" si="18"/>
        <v>0</v>
      </c>
      <c r="OK23" s="8">
        <f t="shared" si="19"/>
        <v>0</v>
      </c>
      <c r="OL23" s="32" cm="1">
        <f t="array" ref="OL23">NETWORKDAYS($KW$2,$LZ$2,$LG$2)-SUM(COUNTIF(KW23:LZ23,{"I";"F";"CP";"R";"P";"AC";"AM"}))</f>
        <v>19</v>
      </c>
      <c r="OM23" s="138">
        <f t="shared" si="20"/>
        <v>0</v>
      </c>
      <c r="ON23" s="8">
        <f t="shared" si="21"/>
        <v>0</v>
      </c>
      <c r="OO23" s="32" cm="1">
        <f t="array" ref="OO23">NETWORKDAYS($MA$2,$MR$2)-SUM(COUNTIF(MA23:MR23,{"I";"F";"CP";"R";"P";"AC";"AM"}))</f>
        <v>14</v>
      </c>
      <c r="OP23" s="138">
        <f t="shared" si="22"/>
        <v>0</v>
      </c>
      <c r="OQ23" s="94">
        <f t="shared" si="23"/>
        <v>0</v>
      </c>
      <c r="OR23" s="94">
        <f t="shared" si="24"/>
        <v>240</v>
      </c>
      <c r="OS23" s="138">
        <f t="shared" si="25"/>
        <v>0</v>
      </c>
    </row>
    <row r="24" spans="1:409" ht="18" hidden="1" customHeight="1" x14ac:dyDescent="0.25">
      <c r="A24" s="94" t="s">
        <v>192</v>
      </c>
      <c r="B24" s="94" t="s">
        <v>194</v>
      </c>
      <c r="C24" s="27" t="s">
        <v>166</v>
      </c>
      <c r="D24" s="27" t="s">
        <v>195</v>
      </c>
      <c r="E24" s="128"/>
      <c r="F24" s="110"/>
      <c r="G24" s="110"/>
      <c r="H24" s="110"/>
      <c r="I24" s="25"/>
      <c r="J24" s="25"/>
      <c r="K24" s="25"/>
      <c r="L24" s="25"/>
      <c r="M24" s="25"/>
      <c r="N24" s="110"/>
      <c r="O24" s="110"/>
      <c r="P24" s="25"/>
      <c r="Q24" s="25"/>
      <c r="R24" s="25"/>
      <c r="S24" s="25"/>
      <c r="T24" s="25"/>
      <c r="U24" s="110"/>
      <c r="V24" s="110"/>
      <c r="W24" s="25"/>
      <c r="X24" s="25"/>
      <c r="Y24" s="25"/>
      <c r="Z24" s="25"/>
      <c r="AA24" s="25"/>
      <c r="AB24" s="110"/>
      <c r="AC24" s="110"/>
      <c r="AD24" s="25"/>
      <c r="AE24" s="25"/>
      <c r="AF24" s="25"/>
      <c r="AG24" s="25"/>
      <c r="AH24" s="25"/>
      <c r="AI24" s="110"/>
      <c r="AJ24" s="110"/>
      <c r="AK24" s="25"/>
      <c r="AL24" s="25"/>
      <c r="AM24" s="25"/>
      <c r="AN24" s="25"/>
      <c r="AO24" s="25"/>
      <c r="AP24" s="110"/>
      <c r="AQ24" s="110"/>
      <c r="AR24" s="25"/>
      <c r="AS24" s="25"/>
      <c r="AT24" s="25"/>
      <c r="AU24" s="25"/>
      <c r="AV24" s="25"/>
      <c r="AW24" s="110"/>
      <c r="AX24" s="110"/>
      <c r="AY24" s="25"/>
      <c r="AZ24" s="25"/>
      <c r="BA24" s="25"/>
      <c r="BB24" s="25"/>
      <c r="BC24" s="25"/>
      <c r="BD24" s="110"/>
      <c r="BE24" s="110"/>
      <c r="BF24" s="25"/>
      <c r="BG24" s="25"/>
      <c r="BH24" s="25"/>
      <c r="BI24" s="25"/>
      <c r="BJ24" s="25"/>
      <c r="BK24" s="110"/>
      <c r="BL24" s="110"/>
      <c r="BM24" s="25"/>
      <c r="BN24" s="25"/>
      <c r="BO24" s="25"/>
      <c r="BP24" s="25"/>
      <c r="BQ24" s="25"/>
      <c r="BR24" s="110"/>
      <c r="BS24" s="110"/>
      <c r="BT24" s="25"/>
      <c r="BU24" s="25"/>
      <c r="BV24" s="25"/>
      <c r="BW24" s="25"/>
      <c r="BX24" s="25"/>
      <c r="BY24" s="110"/>
      <c r="BZ24" s="110"/>
      <c r="CA24" s="25"/>
      <c r="CB24" s="25"/>
      <c r="CC24" s="25"/>
      <c r="CD24" s="25"/>
      <c r="CE24" s="25"/>
      <c r="CF24" s="110"/>
      <c r="CG24" s="110"/>
      <c r="CH24" s="25"/>
      <c r="CI24" s="25"/>
      <c r="CJ24" s="25"/>
      <c r="CK24" s="25"/>
      <c r="CL24" s="25"/>
      <c r="CM24" s="110"/>
      <c r="CN24" s="110"/>
      <c r="CO24" s="25"/>
      <c r="CP24" s="25"/>
      <c r="CQ24" s="25"/>
      <c r="CR24" s="25"/>
      <c r="CS24" s="25"/>
      <c r="CT24" s="110"/>
      <c r="CU24" s="110"/>
      <c r="CV24" s="110"/>
      <c r="CW24" s="25"/>
      <c r="CX24" s="25"/>
      <c r="CY24" s="25"/>
      <c r="CZ24" s="25"/>
      <c r="DA24" s="110"/>
      <c r="DB24" s="110"/>
      <c r="DC24" s="25"/>
      <c r="DD24" s="25"/>
      <c r="DE24" s="25"/>
      <c r="DF24" s="25"/>
      <c r="DG24" s="25"/>
      <c r="DH24" s="110"/>
      <c r="DI24" s="110"/>
      <c r="DJ24" s="25"/>
      <c r="DK24" s="25"/>
      <c r="DL24" s="25"/>
      <c r="DM24" s="25"/>
      <c r="DN24" s="25"/>
      <c r="DO24" s="110"/>
      <c r="DP24" s="110"/>
      <c r="DQ24" s="25"/>
      <c r="DR24" s="25"/>
      <c r="DS24" s="25"/>
      <c r="DT24" s="25"/>
      <c r="DU24" s="110"/>
      <c r="DV24" s="110"/>
      <c r="DW24" s="110"/>
      <c r="DX24" s="25"/>
      <c r="DY24" s="25"/>
      <c r="DZ24" s="25"/>
      <c r="EA24" s="25"/>
      <c r="EB24" s="110" t="s">
        <v>445</v>
      </c>
      <c r="EC24" s="110"/>
      <c r="ED24" s="110"/>
      <c r="EE24" s="25"/>
      <c r="EF24" s="25"/>
      <c r="EG24" s="25"/>
      <c r="EH24" s="110" t="s">
        <v>445</v>
      </c>
      <c r="EI24" s="110" t="s">
        <v>445</v>
      </c>
      <c r="EJ24" s="110"/>
      <c r="EK24" s="110"/>
      <c r="EL24" s="25"/>
      <c r="EM24" s="25"/>
      <c r="EN24" s="25"/>
      <c r="EO24" s="25"/>
      <c r="EP24" s="25"/>
      <c r="EQ24" s="110"/>
      <c r="ER24" s="110"/>
      <c r="ES24" s="110" t="s">
        <v>445</v>
      </c>
      <c r="ET24" s="25"/>
      <c r="EU24" s="25"/>
      <c r="EV24" s="25"/>
      <c r="EW24" s="25"/>
      <c r="EX24" s="110"/>
      <c r="EY24" s="110"/>
      <c r="EZ24" s="25"/>
      <c r="FA24" s="25"/>
      <c r="FB24" s="25"/>
      <c r="FC24" s="25"/>
      <c r="FD24" s="25"/>
      <c r="FE24" s="110"/>
      <c r="FF24" s="110"/>
      <c r="FG24" s="25"/>
      <c r="FH24" s="25"/>
      <c r="FI24" s="25"/>
      <c r="FJ24" s="25"/>
      <c r="FK24" s="25"/>
      <c r="FL24" s="110"/>
      <c r="FM24" s="110"/>
      <c r="FN24" s="25"/>
      <c r="FO24" s="25"/>
      <c r="FP24" s="25"/>
      <c r="FQ24" s="25"/>
      <c r="FR24" s="25"/>
      <c r="FS24" s="110"/>
      <c r="FT24" s="110"/>
      <c r="FU24" s="25"/>
      <c r="FV24" s="25"/>
      <c r="FW24" s="25"/>
      <c r="FX24" s="25"/>
      <c r="FY24" s="25"/>
      <c r="FZ24" s="110"/>
      <c r="GA24" s="110"/>
      <c r="GB24" s="25"/>
      <c r="GC24" s="25"/>
      <c r="GD24" s="25"/>
      <c r="GE24" s="25"/>
      <c r="GF24" s="25"/>
      <c r="GG24" s="110"/>
      <c r="GH24" s="110"/>
      <c r="GI24" s="25"/>
      <c r="GJ24" s="25"/>
      <c r="GK24" s="25"/>
      <c r="GL24" s="25"/>
      <c r="GM24" s="25"/>
      <c r="GN24" s="110"/>
      <c r="GO24" s="110"/>
      <c r="GP24" s="110"/>
      <c r="GQ24" s="110" t="s">
        <v>445</v>
      </c>
      <c r="GR24" s="25"/>
      <c r="GS24" s="25"/>
      <c r="GT24" s="25"/>
      <c r="GU24" s="110"/>
      <c r="GV24" s="110"/>
      <c r="GW24" s="25"/>
      <c r="GX24" s="25"/>
      <c r="GY24" s="25"/>
      <c r="GZ24" s="25"/>
      <c r="HA24" s="25"/>
      <c r="HB24" s="110"/>
      <c r="HC24" s="110"/>
      <c r="HD24" s="25"/>
      <c r="HE24" s="25"/>
      <c r="HF24" s="25"/>
      <c r="HG24" s="25"/>
      <c r="HH24" s="25"/>
      <c r="HI24" s="110"/>
      <c r="HJ24" s="110"/>
      <c r="HK24" s="25"/>
      <c r="HL24" s="25"/>
      <c r="HM24" s="25"/>
      <c r="HN24" s="25"/>
      <c r="HO24" s="25"/>
      <c r="HP24" s="110"/>
      <c r="HQ24" s="110"/>
      <c r="HR24" s="25"/>
      <c r="HS24" s="25"/>
      <c r="HT24" s="25"/>
      <c r="HU24" s="25"/>
      <c r="HV24" s="25"/>
      <c r="HW24" s="110"/>
      <c r="HX24" s="110"/>
      <c r="HY24" s="25"/>
      <c r="HZ24" s="25"/>
      <c r="IA24" s="25"/>
      <c r="IB24" s="25"/>
      <c r="IC24" s="25"/>
      <c r="ID24" s="110"/>
      <c r="IE24" s="110"/>
      <c r="IF24" s="25"/>
      <c r="IG24" s="25"/>
      <c r="IH24" s="25"/>
      <c r="II24" s="25"/>
      <c r="IJ24" s="25"/>
      <c r="IK24" s="110"/>
      <c r="IL24" s="110"/>
      <c r="IM24" s="25"/>
      <c r="IN24" s="25"/>
      <c r="IO24" s="25"/>
      <c r="IP24" s="25"/>
      <c r="IQ24" s="25"/>
      <c r="IR24" s="110"/>
      <c r="IS24" s="110"/>
      <c r="IT24" s="25"/>
      <c r="IU24" s="25"/>
      <c r="IV24" s="25"/>
      <c r="IW24" s="25"/>
      <c r="IX24" s="25"/>
      <c r="IY24" s="110"/>
      <c r="IZ24" s="110"/>
      <c r="JA24" s="25"/>
      <c r="JB24" s="25"/>
      <c r="JC24" s="25"/>
      <c r="JD24" s="25"/>
      <c r="JE24" s="25"/>
      <c r="JF24" s="110"/>
      <c r="JG24" s="110"/>
      <c r="JH24" s="25"/>
      <c r="JI24" s="25"/>
      <c r="JJ24" s="25"/>
      <c r="JK24" s="25"/>
      <c r="JL24" s="25"/>
      <c r="JM24" s="110"/>
      <c r="JN24" s="110"/>
      <c r="JO24" s="25"/>
      <c r="JP24" s="25"/>
      <c r="JQ24" s="25"/>
      <c r="JR24" s="25"/>
      <c r="JS24" s="25"/>
      <c r="JT24" s="110"/>
      <c r="JU24" s="110"/>
      <c r="JV24" s="25"/>
      <c r="JW24" s="25"/>
      <c r="JX24" s="25"/>
      <c r="JY24" s="25"/>
      <c r="JZ24" s="25"/>
      <c r="KA24" s="110"/>
      <c r="KB24" s="110"/>
      <c r="KC24" s="25"/>
      <c r="KD24" s="25"/>
      <c r="KE24" s="25"/>
      <c r="KF24" s="25"/>
      <c r="KG24" s="25"/>
      <c r="KH24" s="110"/>
      <c r="KI24" s="110"/>
      <c r="KJ24" s="25"/>
      <c r="KK24" s="25"/>
      <c r="KL24" s="25"/>
      <c r="KM24" s="25"/>
      <c r="KN24" s="25"/>
      <c r="KO24" s="110"/>
      <c r="KP24" s="110"/>
      <c r="KQ24" s="25"/>
      <c r="KR24" s="25"/>
      <c r="KS24" s="25"/>
      <c r="KT24" s="25"/>
      <c r="KU24" s="25"/>
      <c r="KV24" s="110"/>
      <c r="KW24" s="110"/>
      <c r="KX24" s="25"/>
      <c r="KY24" s="25"/>
      <c r="KZ24" s="25"/>
      <c r="LA24" s="25"/>
      <c r="LB24" s="25"/>
      <c r="LC24" s="110"/>
      <c r="LD24" s="110"/>
      <c r="LE24" s="25"/>
      <c r="LF24" s="25"/>
      <c r="LG24" s="110" t="s">
        <v>445</v>
      </c>
      <c r="LH24" s="25"/>
      <c r="LI24" s="25"/>
      <c r="LJ24" s="110"/>
      <c r="LK24" s="110"/>
      <c r="LL24" s="25"/>
      <c r="LM24" s="25"/>
      <c r="LN24" s="25"/>
      <c r="LO24" s="25"/>
      <c r="LP24" s="25"/>
      <c r="LQ24" s="110"/>
      <c r="LR24" s="110"/>
      <c r="LS24" s="25"/>
      <c r="LT24" s="25"/>
      <c r="LU24" s="25"/>
      <c r="LV24" s="25"/>
      <c r="LW24" s="25"/>
      <c r="LX24" s="110"/>
      <c r="LY24" s="110"/>
      <c r="LZ24" s="25"/>
      <c r="MA24" s="25"/>
      <c r="MB24" s="25"/>
      <c r="MC24" s="25"/>
      <c r="MD24" s="25"/>
      <c r="ME24" s="110"/>
      <c r="MF24" s="110"/>
      <c r="MG24" s="25"/>
      <c r="MH24" s="25"/>
      <c r="MI24" s="25"/>
      <c r="MJ24" s="25"/>
      <c r="MK24" s="25"/>
      <c r="ML24" s="110"/>
      <c r="MM24" s="110"/>
      <c r="MN24" s="25"/>
      <c r="MO24" s="25"/>
      <c r="MP24" s="25"/>
      <c r="MQ24" s="25"/>
      <c r="MR24" s="25"/>
      <c r="MS24" s="110"/>
      <c r="MT24" s="110"/>
      <c r="MU24" s="25"/>
      <c r="MV24" s="25"/>
      <c r="MW24" s="25"/>
      <c r="MX24" s="25"/>
      <c r="MY24" s="25"/>
      <c r="MZ24" s="110"/>
      <c r="NA24" s="110"/>
      <c r="NB24" s="25"/>
      <c r="NC24" s="25"/>
      <c r="ND24" s="25"/>
      <c r="NE24" s="129"/>
      <c r="NF24" s="111"/>
      <c r="NG24" s="8">
        <f t="shared" si="0"/>
        <v>0</v>
      </c>
      <c r="NH24" s="32" cm="1">
        <f t="array" ref="NH24">NETWORKDAYS($I$2,$AI$2)- SUM(COUNTIF(I24:AI24,{"I";"F";"CP";"R";"P";"AC";"AM"}))</f>
        <v>20</v>
      </c>
      <c r="NI24" s="138">
        <f t="shared" si="1"/>
        <v>0</v>
      </c>
      <c r="NJ24" s="8">
        <f t="shared" si="2"/>
        <v>0</v>
      </c>
      <c r="NK24" s="32" cm="1">
        <f t="array" ref="NK24">NETWORKDAYS($AJ$2,$BK$2)- SUM(COUNTIF(AJ24:BK24,{"I";"F";"CP";"R";"P";"AC";"AM"}))</f>
        <v>20</v>
      </c>
      <c r="NL24" s="138">
        <f t="shared" si="3"/>
        <v>0</v>
      </c>
      <c r="NM24" s="8">
        <f t="shared" si="4"/>
        <v>0</v>
      </c>
      <c r="NN24" s="32" cm="1">
        <f t="array" ref="NN24">NETWORKDAYS($BL$2,$CP$2)- SUM(COUNTIF(BL24:CP24,{"I";"F";"CP";"R";"P";"AC";"AM"}))</f>
        <v>22</v>
      </c>
      <c r="NO24" s="138">
        <f t="shared" si="5"/>
        <v>0</v>
      </c>
      <c r="NP24" s="8">
        <f t="shared" si="26"/>
        <v>0</v>
      </c>
      <c r="NQ24" s="32" cm="1">
        <f t="array" ref="NQ24">NETWORKDAYS($CQ$2,$DT$2,$CV$2)- SUM(COUNTIF(CQ24:DT24,{"I";"F";"CP";"R";"P";"AC";"AM"}))</f>
        <v>21</v>
      </c>
      <c r="NR24" s="138">
        <f t="shared" si="6"/>
        <v>0</v>
      </c>
      <c r="NS24" s="8">
        <f t="shared" si="7"/>
        <v>0</v>
      </c>
      <c r="NT24" s="32" cm="1">
        <f t="array" ref="NT24">NETWORKDAYS($DV$2,$EY$2)-SUM(COUNTIF(DV24:EY24,{"I";"F";"CP";"R";"P";"AC";"AM"}))</f>
        <v>16</v>
      </c>
      <c r="NU24" s="138">
        <f t="shared" si="8"/>
        <v>0</v>
      </c>
      <c r="NV24" s="8">
        <f t="shared" si="9"/>
        <v>0</v>
      </c>
      <c r="NW24" s="32" cm="1">
        <f t="array" ref="NW24">NETWORKDAYS($EZ$2,$GC$2)-SUM(COUNTIF(EZ104:GC104,{"I";"F";"CP";"R";"P";"AC";"AM"}))</f>
        <v>22</v>
      </c>
      <c r="NX24" s="138">
        <f t="shared" si="10"/>
        <v>0</v>
      </c>
      <c r="NY24" s="8">
        <f t="shared" si="11"/>
        <v>0</v>
      </c>
      <c r="NZ24" s="32" cm="1">
        <f t="array" ref="NZ24">NETWORKDAYS($GD$2,$HH$2,$GQ$2)-SUM(COUNTIF(GD24:HH24,{"I";"F";"CP";"R";"P";"AC";"AM"}))</f>
        <v>21</v>
      </c>
      <c r="OA24" s="138">
        <f t="shared" si="12"/>
        <v>0</v>
      </c>
      <c r="OB24" s="8">
        <f t="shared" si="13"/>
        <v>0</v>
      </c>
      <c r="OC24" s="32" cm="1">
        <f t="array" ref="OC24">NETWORKDAYS($HI$2,$IM$2)-SUM(COUNTIF(HI24:IM24,{"I";"F";"CP";"R";"P";"AC";"AM"}))</f>
        <v>21</v>
      </c>
      <c r="OD24" s="138">
        <f t="shared" si="14"/>
        <v>0</v>
      </c>
      <c r="OE24" s="8">
        <f t="shared" si="15"/>
        <v>0</v>
      </c>
      <c r="OF24" s="32" cm="1">
        <f t="array" ref="OF24">NETWORKDAYS($IN$2,$JQ$2)-SUM(COUNTIF(IN24:JQ24,{"I";"F";"CP";"R";"P";"AC";"AM"}))</f>
        <v>22</v>
      </c>
      <c r="OG24" s="138">
        <f t="shared" si="16"/>
        <v>0</v>
      </c>
      <c r="OH24" s="8">
        <f t="shared" si="17"/>
        <v>0</v>
      </c>
      <c r="OI24" s="32" cm="1">
        <f t="array" ref="OI24">NETWORKDAYS($JR$2,$KV$2)-SUM(COUNTIF(JR24:KV24,{"I";"F";"CP";"R";"P";"AC";"AM"}))</f>
        <v>22</v>
      </c>
      <c r="OJ24" s="138">
        <f t="shared" si="18"/>
        <v>0</v>
      </c>
      <c r="OK24" s="8">
        <f t="shared" si="19"/>
        <v>0</v>
      </c>
      <c r="OL24" s="32" cm="1">
        <f t="array" ref="OL24">NETWORKDAYS($KW$2,$LZ$2,$LG$2)-SUM(COUNTIF(KW24:LZ24,{"I";"F";"CP";"R";"P";"AC";"AM"}))</f>
        <v>19</v>
      </c>
      <c r="OM24" s="138">
        <f t="shared" si="20"/>
        <v>0</v>
      </c>
      <c r="ON24" s="8">
        <f t="shared" si="21"/>
        <v>0</v>
      </c>
      <c r="OO24" s="32" cm="1">
        <f t="array" ref="OO24">NETWORKDAYS($MA$2,$MR$2)-SUM(COUNTIF(MA24:MR24,{"I";"F";"CP";"R";"P";"AC";"AM"}))</f>
        <v>14</v>
      </c>
      <c r="OP24" s="138">
        <f t="shared" si="22"/>
        <v>0</v>
      </c>
      <c r="OQ24" s="94">
        <f t="shared" si="23"/>
        <v>0</v>
      </c>
      <c r="OR24" s="94">
        <f t="shared" si="24"/>
        <v>240</v>
      </c>
      <c r="OS24" s="138">
        <f t="shared" si="25"/>
        <v>0</v>
      </c>
    </row>
    <row r="25" spans="1:409" ht="18" hidden="1" customHeight="1" x14ac:dyDescent="0.25">
      <c r="A25" s="93" t="s">
        <v>468</v>
      </c>
      <c r="B25" s="93" t="s">
        <v>34</v>
      </c>
      <c r="C25" s="91" t="s">
        <v>166</v>
      </c>
      <c r="D25" s="91" t="s">
        <v>196</v>
      </c>
      <c r="E25" s="128"/>
      <c r="F25" s="110"/>
      <c r="G25" s="110"/>
      <c r="H25" s="110"/>
      <c r="I25" s="25"/>
      <c r="J25" s="25"/>
      <c r="K25" s="25"/>
      <c r="L25" s="25"/>
      <c r="M25" s="25"/>
      <c r="N25" s="110"/>
      <c r="O25" s="110"/>
      <c r="P25" s="25"/>
      <c r="Q25" s="25"/>
      <c r="R25" s="25"/>
      <c r="S25" s="25"/>
      <c r="T25" s="25"/>
      <c r="U25" s="110"/>
      <c r="V25" s="110"/>
      <c r="W25" s="25"/>
      <c r="X25" s="25"/>
      <c r="Y25" s="25"/>
      <c r="Z25" s="25"/>
      <c r="AA25" s="25"/>
      <c r="AB25" s="110"/>
      <c r="AC25" s="110"/>
      <c r="AD25" s="25"/>
      <c r="AE25" s="25"/>
      <c r="AF25" s="25"/>
      <c r="AG25" s="25"/>
      <c r="AH25" s="25"/>
      <c r="AI25" s="110"/>
      <c r="AJ25" s="110"/>
      <c r="AK25" s="25"/>
      <c r="AL25" s="25"/>
      <c r="AM25" s="25"/>
      <c r="AN25" s="25"/>
      <c r="AO25" s="25"/>
      <c r="AP25" s="110"/>
      <c r="AQ25" s="110"/>
      <c r="AR25" s="25"/>
      <c r="AS25" s="25"/>
      <c r="AT25" s="25"/>
      <c r="AU25" s="25"/>
      <c r="AV25" s="25"/>
      <c r="AW25" s="110"/>
      <c r="AX25" s="110"/>
      <c r="AY25" s="25"/>
      <c r="AZ25" s="25"/>
      <c r="BA25" s="25"/>
      <c r="BB25" s="25"/>
      <c r="BC25" s="25"/>
      <c r="BD25" s="110"/>
      <c r="BE25" s="110"/>
      <c r="BF25" s="25"/>
      <c r="BG25" s="25"/>
      <c r="BH25" s="25"/>
      <c r="BI25" s="25"/>
      <c r="BJ25" s="25"/>
      <c r="BK25" s="110"/>
      <c r="BL25" s="110"/>
      <c r="BM25" s="25"/>
      <c r="BN25" s="25"/>
      <c r="BO25" s="25"/>
      <c r="BP25" s="25"/>
      <c r="BQ25" s="25"/>
      <c r="BR25" s="110"/>
      <c r="BS25" s="110"/>
      <c r="BT25" s="25"/>
      <c r="BU25" s="25"/>
      <c r="BV25" s="25"/>
      <c r="BW25" s="25"/>
      <c r="BX25" s="25"/>
      <c r="BY25" s="110"/>
      <c r="BZ25" s="110"/>
      <c r="CA25" s="25"/>
      <c r="CB25" s="25"/>
      <c r="CC25" s="25"/>
      <c r="CD25" s="25"/>
      <c r="CE25" s="25"/>
      <c r="CF25" s="110"/>
      <c r="CG25" s="110"/>
      <c r="CH25" s="25"/>
      <c r="CI25" s="25"/>
      <c r="CJ25" s="25"/>
      <c r="CK25" s="25"/>
      <c r="CL25" s="25"/>
      <c r="CM25" s="110"/>
      <c r="CN25" s="110"/>
      <c r="CO25" s="25"/>
      <c r="CP25" s="25"/>
      <c r="CQ25" s="25"/>
      <c r="CR25" s="25"/>
      <c r="CS25" s="25"/>
      <c r="CT25" s="110"/>
      <c r="CU25" s="110"/>
      <c r="CV25" s="110"/>
      <c r="CW25" s="25"/>
      <c r="CX25" s="25"/>
      <c r="CY25" s="25"/>
      <c r="CZ25" s="25"/>
      <c r="DA25" s="110"/>
      <c r="DB25" s="110"/>
      <c r="DC25" s="25"/>
      <c r="DD25" s="25"/>
      <c r="DE25" s="25"/>
      <c r="DF25" s="25"/>
      <c r="DG25" s="25"/>
      <c r="DH25" s="110"/>
      <c r="DI25" s="110"/>
      <c r="DJ25" s="25"/>
      <c r="DK25" s="25"/>
      <c r="DL25" s="25"/>
      <c r="DM25" s="25"/>
      <c r="DN25" s="25"/>
      <c r="DO25" s="110"/>
      <c r="DP25" s="110"/>
      <c r="DQ25" s="25"/>
      <c r="DR25" s="25"/>
      <c r="DS25" s="25"/>
      <c r="DT25" s="25"/>
      <c r="DU25" s="110"/>
      <c r="DV25" s="110"/>
      <c r="DW25" s="110"/>
      <c r="DX25" s="25"/>
      <c r="DY25" s="25"/>
      <c r="DZ25" s="25"/>
      <c r="EA25" s="25"/>
      <c r="EB25" s="110" t="s">
        <v>445</v>
      </c>
      <c r="EC25" s="110"/>
      <c r="ED25" s="110"/>
      <c r="EE25" s="25"/>
      <c r="EF25" s="25"/>
      <c r="EG25" s="25"/>
      <c r="EH25" s="110" t="s">
        <v>445</v>
      </c>
      <c r="EI25" s="110" t="s">
        <v>445</v>
      </c>
      <c r="EJ25" s="110"/>
      <c r="EK25" s="110"/>
      <c r="EL25" s="25"/>
      <c r="EM25" s="25"/>
      <c r="EN25" s="25"/>
      <c r="EO25" s="25"/>
      <c r="EP25" s="25"/>
      <c r="EQ25" s="110"/>
      <c r="ER25" s="110"/>
      <c r="ES25" s="110" t="s">
        <v>445</v>
      </c>
      <c r="ET25" s="25"/>
      <c r="EU25" s="25"/>
      <c r="EV25" s="25"/>
      <c r="EW25" s="25"/>
      <c r="EX25" s="110"/>
      <c r="EY25" s="110"/>
      <c r="EZ25" s="25"/>
      <c r="FA25" s="25"/>
      <c r="FB25" s="25"/>
      <c r="FC25" s="25"/>
      <c r="FD25" s="25"/>
      <c r="FE25" s="110"/>
      <c r="FF25" s="110"/>
      <c r="FG25" s="25"/>
      <c r="FH25" s="25"/>
      <c r="FI25" s="25"/>
      <c r="FJ25" s="25"/>
      <c r="FK25" s="25"/>
      <c r="FL25" s="110"/>
      <c r="FM25" s="110"/>
      <c r="FN25" s="25"/>
      <c r="FO25" s="25"/>
      <c r="FP25" s="25"/>
      <c r="FQ25" s="25"/>
      <c r="FR25" s="25"/>
      <c r="FS25" s="110"/>
      <c r="FT25" s="110"/>
      <c r="FU25" s="25"/>
      <c r="FV25" s="25"/>
      <c r="FW25" s="25"/>
      <c r="FX25" s="25"/>
      <c r="FY25" s="25"/>
      <c r="FZ25" s="110"/>
      <c r="GA25" s="110"/>
      <c r="GB25" s="25"/>
      <c r="GC25" s="25"/>
      <c r="GD25" s="25"/>
      <c r="GE25" s="25"/>
      <c r="GF25" s="25"/>
      <c r="GG25" s="110"/>
      <c r="GH25" s="110"/>
      <c r="GI25" s="25"/>
      <c r="GJ25" s="25"/>
      <c r="GK25" s="25"/>
      <c r="GL25" s="25"/>
      <c r="GM25" s="25"/>
      <c r="GN25" s="110"/>
      <c r="GO25" s="110"/>
      <c r="GP25" s="110"/>
      <c r="GQ25" s="110" t="s">
        <v>445</v>
      </c>
      <c r="GR25" s="25"/>
      <c r="GS25" s="25"/>
      <c r="GT25" s="25"/>
      <c r="GU25" s="110"/>
      <c r="GV25" s="110"/>
      <c r="GW25" s="25"/>
      <c r="GX25" s="25"/>
      <c r="GY25" s="25"/>
      <c r="GZ25" s="25"/>
      <c r="HA25" s="25"/>
      <c r="HB25" s="110"/>
      <c r="HC25" s="110"/>
      <c r="HD25" s="25"/>
      <c r="HE25" s="25"/>
      <c r="HF25" s="25"/>
      <c r="HG25" s="25"/>
      <c r="HH25" s="25"/>
      <c r="HI25" s="110"/>
      <c r="HJ25" s="110"/>
      <c r="HK25" s="25"/>
      <c r="HL25" s="25"/>
      <c r="HM25" s="25"/>
      <c r="HN25" s="25"/>
      <c r="HO25" s="25"/>
      <c r="HP25" s="110"/>
      <c r="HQ25" s="110"/>
      <c r="HR25" s="25"/>
      <c r="HS25" s="25"/>
      <c r="HT25" s="25"/>
      <c r="HU25" s="25"/>
      <c r="HV25" s="25"/>
      <c r="HW25" s="110"/>
      <c r="HX25" s="110"/>
      <c r="HY25" s="25"/>
      <c r="HZ25" s="25"/>
      <c r="IA25" s="25"/>
      <c r="IB25" s="25"/>
      <c r="IC25" s="25"/>
      <c r="ID25" s="110"/>
      <c r="IE25" s="110"/>
      <c r="IF25" s="25"/>
      <c r="IG25" s="25"/>
      <c r="IH25" s="25"/>
      <c r="II25" s="25"/>
      <c r="IJ25" s="25"/>
      <c r="IK25" s="110"/>
      <c r="IL25" s="110"/>
      <c r="IM25" s="25"/>
      <c r="IN25" s="25"/>
      <c r="IO25" s="25"/>
      <c r="IP25" s="25"/>
      <c r="IQ25" s="25"/>
      <c r="IR25" s="110"/>
      <c r="IS25" s="110"/>
      <c r="IT25" s="25"/>
      <c r="IU25" s="25"/>
      <c r="IV25" s="25"/>
      <c r="IW25" s="25"/>
      <c r="IX25" s="25"/>
      <c r="IY25" s="110"/>
      <c r="IZ25" s="110"/>
      <c r="JA25" s="25"/>
      <c r="JB25" s="25"/>
      <c r="JC25" s="25"/>
      <c r="JD25" s="25"/>
      <c r="JE25" s="25"/>
      <c r="JF25" s="110"/>
      <c r="JG25" s="110"/>
      <c r="JH25" s="25"/>
      <c r="JI25" s="25"/>
      <c r="JJ25" s="25"/>
      <c r="JK25" s="25"/>
      <c r="JL25" s="25"/>
      <c r="JM25" s="110"/>
      <c r="JN25" s="110"/>
      <c r="JO25" s="25"/>
      <c r="JP25" s="25"/>
      <c r="JQ25" s="25"/>
      <c r="JR25" s="25"/>
      <c r="JS25" s="25"/>
      <c r="JT25" s="110"/>
      <c r="JU25" s="110"/>
      <c r="JV25" s="25"/>
      <c r="JW25" s="25"/>
      <c r="JX25" s="25"/>
      <c r="JY25" s="25"/>
      <c r="JZ25" s="25"/>
      <c r="KA25" s="110"/>
      <c r="KB25" s="110"/>
      <c r="KC25" s="25"/>
      <c r="KD25" s="25"/>
      <c r="KE25" s="25"/>
      <c r="KF25" s="25"/>
      <c r="KG25" s="25"/>
      <c r="KH25" s="110"/>
      <c r="KI25" s="110"/>
      <c r="KJ25" s="25"/>
      <c r="KK25" s="25"/>
      <c r="KL25" s="25"/>
      <c r="KM25" s="25"/>
      <c r="KN25" s="25"/>
      <c r="KO25" s="110"/>
      <c r="KP25" s="110"/>
      <c r="KQ25" s="25"/>
      <c r="KR25" s="25"/>
      <c r="KS25" s="25"/>
      <c r="KT25" s="25"/>
      <c r="KU25" s="25"/>
      <c r="KV25" s="110"/>
      <c r="KW25" s="110"/>
      <c r="KX25" s="25"/>
      <c r="KY25" s="25"/>
      <c r="KZ25" s="25"/>
      <c r="LA25" s="25"/>
      <c r="LB25" s="25"/>
      <c r="LC25" s="110"/>
      <c r="LD25" s="110"/>
      <c r="LE25" s="25"/>
      <c r="LF25" s="25"/>
      <c r="LG25" s="110" t="s">
        <v>445</v>
      </c>
      <c r="LH25" s="25"/>
      <c r="LI25" s="25"/>
      <c r="LJ25" s="110"/>
      <c r="LK25" s="110"/>
      <c r="LL25" s="25"/>
      <c r="LM25" s="25"/>
      <c r="LN25" s="25"/>
      <c r="LO25" s="25"/>
      <c r="LP25" s="25"/>
      <c r="LQ25" s="110"/>
      <c r="LR25" s="110"/>
      <c r="LS25" s="25"/>
      <c r="LT25" s="25"/>
      <c r="LU25" s="25"/>
      <c r="LV25" s="25"/>
      <c r="LW25" s="25"/>
      <c r="LX25" s="110"/>
      <c r="LY25" s="110"/>
      <c r="LZ25" s="25"/>
      <c r="MA25" s="25"/>
      <c r="MB25" s="25"/>
      <c r="MC25" s="25"/>
      <c r="MD25" s="25"/>
      <c r="ME25" s="110"/>
      <c r="MF25" s="110"/>
      <c r="MG25" s="25"/>
      <c r="MH25" s="25"/>
      <c r="MI25" s="25"/>
      <c r="MJ25" s="25"/>
      <c r="MK25" s="25"/>
      <c r="ML25" s="110"/>
      <c r="MM25" s="110"/>
      <c r="MN25" s="25"/>
      <c r="MO25" s="25"/>
      <c r="MP25" s="25"/>
      <c r="MQ25" s="25"/>
      <c r="MR25" s="25"/>
      <c r="MS25" s="110"/>
      <c r="MT25" s="110"/>
      <c r="MU25" s="25"/>
      <c r="MV25" s="25"/>
      <c r="MW25" s="25"/>
      <c r="MX25" s="25"/>
      <c r="MY25" s="25"/>
      <c r="MZ25" s="110"/>
      <c r="NA25" s="110"/>
      <c r="NB25" s="25"/>
      <c r="NC25" s="25"/>
      <c r="ND25" s="25"/>
      <c r="NE25" s="129"/>
      <c r="NF25" s="111"/>
      <c r="NG25" s="8">
        <f t="shared" si="0"/>
        <v>0</v>
      </c>
      <c r="NH25" s="32" cm="1">
        <f t="array" ref="NH25">NETWORKDAYS($I$2,$AI$2)- SUM(COUNTIF(I25:AI25,{"I";"F";"CP";"R";"P";"AC";"AM"}))</f>
        <v>20</v>
      </c>
      <c r="NI25" s="138">
        <f t="shared" si="1"/>
        <v>0</v>
      </c>
      <c r="NJ25" s="8">
        <f t="shared" si="2"/>
        <v>0</v>
      </c>
      <c r="NK25" s="32" cm="1">
        <f t="array" ref="NK25">NETWORKDAYS($AJ$2,$BK$2)- SUM(COUNTIF(AJ25:BK25,{"I";"F";"CP";"R";"P";"AC";"AM"}))</f>
        <v>20</v>
      </c>
      <c r="NL25" s="138">
        <f t="shared" si="3"/>
        <v>0</v>
      </c>
      <c r="NM25" s="8">
        <f t="shared" si="4"/>
        <v>0</v>
      </c>
      <c r="NN25" s="32" cm="1">
        <f t="array" ref="NN25">NETWORKDAYS($BL$2,$CP$2)- SUM(COUNTIF(BL25:CP25,{"I";"F";"CP";"R";"P";"AC";"AM"}))</f>
        <v>22</v>
      </c>
      <c r="NO25" s="138">
        <f t="shared" si="5"/>
        <v>0</v>
      </c>
      <c r="NP25" s="32">
        <f t="shared" si="26"/>
        <v>0</v>
      </c>
      <c r="NQ25" s="32" cm="1">
        <f t="array" ref="NQ25">NETWORKDAYS($CQ$2,$DT$2,$CV$2)- SUM(COUNTIF(CQ25:DT25,{"I";"F";"CP";"R";"P";"AC";"AM"}))</f>
        <v>21</v>
      </c>
      <c r="NR25" s="138">
        <f t="shared" si="6"/>
        <v>0</v>
      </c>
      <c r="NS25" s="8">
        <f t="shared" si="7"/>
        <v>0</v>
      </c>
      <c r="NT25" s="32" cm="1">
        <f t="array" ref="NT25">NETWORKDAYS($DV$2,$EY$2)-SUM(COUNTIF(DV25:EY25,{"I";"F";"CP";"R";"P";"AC";"AM"}))</f>
        <v>16</v>
      </c>
      <c r="NU25" s="138">
        <f t="shared" si="8"/>
        <v>0</v>
      </c>
      <c r="NV25" s="8">
        <f t="shared" si="9"/>
        <v>0</v>
      </c>
      <c r="NW25" s="32" cm="1">
        <f t="array" ref="NW25">NETWORKDAYS($EZ$2,$GC$2)-SUM(COUNTIF(EZ105:GC105,{"I";"F";"CP";"R";"P";"AC";"AM"}))</f>
        <v>22</v>
      </c>
      <c r="NX25" s="138">
        <f t="shared" si="10"/>
        <v>0</v>
      </c>
      <c r="NY25" s="8">
        <f t="shared" si="11"/>
        <v>0</v>
      </c>
      <c r="NZ25" s="32" cm="1">
        <f t="array" ref="NZ25">NETWORKDAYS($GD$2,$HH$2,$GQ$2)-SUM(COUNTIF(GD25:HH25,{"I";"F";"CP";"R";"P";"AC";"AM"}))</f>
        <v>21</v>
      </c>
      <c r="OA25" s="138">
        <f t="shared" si="12"/>
        <v>0</v>
      </c>
      <c r="OB25" s="8">
        <f t="shared" si="13"/>
        <v>0</v>
      </c>
      <c r="OC25" s="32" cm="1">
        <f t="array" ref="OC25">NETWORKDAYS($HI$2,$IM$2)-SUM(COUNTIF(HI25:IM25,{"I";"F";"CP";"R";"P";"AC";"AM"}))</f>
        <v>21</v>
      </c>
      <c r="OD25" s="138">
        <f t="shared" si="14"/>
        <v>0</v>
      </c>
      <c r="OE25" s="8">
        <f t="shared" si="15"/>
        <v>0</v>
      </c>
      <c r="OF25" s="32" cm="1">
        <f t="array" ref="OF25">NETWORKDAYS($IN$2,$JQ$2)-SUM(COUNTIF(IN25:JQ25,{"I";"F";"CP";"R";"P";"AC";"AM"}))</f>
        <v>22</v>
      </c>
      <c r="OG25" s="138">
        <f t="shared" si="16"/>
        <v>0</v>
      </c>
      <c r="OH25" s="8">
        <f t="shared" si="17"/>
        <v>0</v>
      </c>
      <c r="OI25" s="32" cm="1">
        <f t="array" ref="OI25">NETWORKDAYS($JR$2,$KV$2)-SUM(COUNTIF(JR25:KV25,{"I";"F";"CP";"R";"P";"AC";"AM"}))</f>
        <v>22</v>
      </c>
      <c r="OJ25" s="138">
        <f t="shared" si="18"/>
        <v>0</v>
      </c>
      <c r="OK25" s="8">
        <f t="shared" si="19"/>
        <v>0</v>
      </c>
      <c r="OL25" s="32" cm="1">
        <f t="array" ref="OL25">NETWORKDAYS($KW$2,$LZ$2,$LG$2)-SUM(COUNTIF(KW25:LZ25,{"I";"F";"CP";"R";"P";"AC";"AM"}))</f>
        <v>19</v>
      </c>
      <c r="OM25" s="138">
        <f t="shared" si="20"/>
        <v>0</v>
      </c>
      <c r="ON25" s="8">
        <f t="shared" si="21"/>
        <v>0</v>
      </c>
      <c r="OO25" s="32" cm="1">
        <f t="array" ref="OO25">NETWORKDAYS($MA$2,$MR$2)-SUM(COUNTIF(MA25:MR25,{"I";"F";"CP";"R";"P";"AC";"AM"}))</f>
        <v>14</v>
      </c>
      <c r="OP25" s="138">
        <f t="shared" si="22"/>
        <v>0</v>
      </c>
      <c r="OQ25" s="94">
        <f t="shared" si="23"/>
        <v>0</v>
      </c>
      <c r="OR25" s="94">
        <f t="shared" si="24"/>
        <v>240</v>
      </c>
      <c r="OS25" s="138">
        <f t="shared" si="25"/>
        <v>0</v>
      </c>
    </row>
    <row r="26" spans="1:409" ht="18" hidden="1" customHeight="1" x14ac:dyDescent="0.25">
      <c r="A26" s="94" t="s">
        <v>192</v>
      </c>
      <c r="B26" s="94" t="s">
        <v>192</v>
      </c>
      <c r="C26" s="27" t="s">
        <v>166</v>
      </c>
      <c r="D26" s="27" t="s">
        <v>197</v>
      </c>
      <c r="E26" s="128"/>
      <c r="F26" s="110"/>
      <c r="G26" s="110"/>
      <c r="H26" s="110"/>
      <c r="I26" s="25"/>
      <c r="J26" s="25"/>
      <c r="K26" s="25"/>
      <c r="L26" s="25"/>
      <c r="M26" s="25"/>
      <c r="N26" s="110"/>
      <c r="O26" s="110"/>
      <c r="P26" s="25"/>
      <c r="Q26" s="25"/>
      <c r="R26" s="25"/>
      <c r="S26" s="25"/>
      <c r="T26" s="25"/>
      <c r="U26" s="110"/>
      <c r="V26" s="110"/>
      <c r="W26" s="25"/>
      <c r="X26" s="25"/>
      <c r="Y26" s="25"/>
      <c r="Z26" s="25"/>
      <c r="AA26" s="25"/>
      <c r="AB26" s="110"/>
      <c r="AC26" s="110"/>
      <c r="AD26" s="25"/>
      <c r="AE26" s="25"/>
      <c r="AF26" s="25"/>
      <c r="AG26" s="25"/>
      <c r="AH26" s="25"/>
      <c r="AI26" s="110"/>
      <c r="AJ26" s="110"/>
      <c r="AK26" s="25"/>
      <c r="AL26" s="25"/>
      <c r="AM26" s="25"/>
      <c r="AN26" s="25"/>
      <c r="AO26" s="25"/>
      <c r="AP26" s="110"/>
      <c r="AQ26" s="110"/>
      <c r="AR26" s="25"/>
      <c r="AS26" s="25"/>
      <c r="AT26" s="25"/>
      <c r="AU26" s="25"/>
      <c r="AV26" s="25"/>
      <c r="AW26" s="110"/>
      <c r="AX26" s="110"/>
      <c r="AY26" s="25"/>
      <c r="AZ26" s="25"/>
      <c r="BA26" s="25"/>
      <c r="BB26" s="25"/>
      <c r="BC26" s="25"/>
      <c r="BD26" s="110"/>
      <c r="BE26" s="110"/>
      <c r="BF26" s="25"/>
      <c r="BG26" s="25"/>
      <c r="BH26" s="25"/>
      <c r="BI26" s="25"/>
      <c r="BJ26" s="25"/>
      <c r="BK26" s="110"/>
      <c r="BL26" s="110"/>
      <c r="BM26" s="25"/>
      <c r="BN26" s="25"/>
      <c r="BO26" s="25"/>
      <c r="BP26" s="25"/>
      <c r="BQ26" s="25"/>
      <c r="BR26" s="110"/>
      <c r="BS26" s="110"/>
      <c r="BT26" s="25"/>
      <c r="BU26" s="25"/>
      <c r="BV26" s="25"/>
      <c r="BW26" s="25"/>
      <c r="BX26" s="25"/>
      <c r="BY26" s="110"/>
      <c r="BZ26" s="110"/>
      <c r="CA26" s="25"/>
      <c r="CB26" s="25"/>
      <c r="CC26" s="25"/>
      <c r="CD26" s="25"/>
      <c r="CE26" s="25"/>
      <c r="CF26" s="110"/>
      <c r="CG26" s="110"/>
      <c r="CH26" s="25"/>
      <c r="CI26" s="25"/>
      <c r="CJ26" s="25"/>
      <c r="CK26" s="25"/>
      <c r="CL26" s="25"/>
      <c r="CM26" s="110"/>
      <c r="CN26" s="110"/>
      <c r="CO26" s="25"/>
      <c r="CP26" s="25"/>
      <c r="CQ26" s="25"/>
      <c r="CR26" s="25"/>
      <c r="CS26" s="25"/>
      <c r="CT26" s="110"/>
      <c r="CU26" s="110"/>
      <c r="CV26" s="110"/>
      <c r="CW26" s="25"/>
      <c r="CX26" s="25"/>
      <c r="CY26" s="25"/>
      <c r="CZ26" s="25"/>
      <c r="DA26" s="110"/>
      <c r="DB26" s="110"/>
      <c r="DC26" s="25"/>
      <c r="DD26" s="25"/>
      <c r="DE26" s="25"/>
      <c r="DF26" s="25"/>
      <c r="DG26" s="25"/>
      <c r="DH26" s="110"/>
      <c r="DI26" s="110"/>
      <c r="DJ26" s="25"/>
      <c r="DK26" s="25"/>
      <c r="DL26" s="25"/>
      <c r="DM26" s="25"/>
      <c r="DN26" s="25"/>
      <c r="DO26" s="110"/>
      <c r="DP26" s="110"/>
      <c r="DQ26" s="25"/>
      <c r="DR26" s="25"/>
      <c r="DS26" s="25"/>
      <c r="DT26" s="25"/>
      <c r="DU26" s="110"/>
      <c r="DV26" s="110"/>
      <c r="DW26" s="110"/>
      <c r="DX26" s="25"/>
      <c r="DY26" s="25"/>
      <c r="DZ26" s="25"/>
      <c r="EA26" s="25"/>
      <c r="EB26" s="110" t="s">
        <v>445</v>
      </c>
      <c r="EC26" s="110"/>
      <c r="ED26" s="110"/>
      <c r="EE26" s="25"/>
      <c r="EF26" s="25"/>
      <c r="EG26" s="25"/>
      <c r="EH26" s="110" t="s">
        <v>445</v>
      </c>
      <c r="EI26" s="110" t="s">
        <v>445</v>
      </c>
      <c r="EJ26" s="110"/>
      <c r="EK26" s="110"/>
      <c r="EL26" s="25"/>
      <c r="EM26" s="25"/>
      <c r="EN26" s="25"/>
      <c r="EO26" s="25"/>
      <c r="EP26" s="25"/>
      <c r="EQ26" s="110"/>
      <c r="ER26" s="110"/>
      <c r="ES26" s="110" t="s">
        <v>445</v>
      </c>
      <c r="ET26" s="25"/>
      <c r="EU26" s="25"/>
      <c r="EV26" s="25"/>
      <c r="EW26" s="25"/>
      <c r="EX26" s="110"/>
      <c r="EY26" s="110"/>
      <c r="EZ26" s="25"/>
      <c r="FA26" s="25"/>
      <c r="FB26" s="25"/>
      <c r="FC26" s="25"/>
      <c r="FD26" s="25"/>
      <c r="FE26" s="110"/>
      <c r="FF26" s="110"/>
      <c r="FG26" s="25"/>
      <c r="FH26" s="25"/>
      <c r="FI26" s="25"/>
      <c r="FJ26" s="25"/>
      <c r="FK26" s="25"/>
      <c r="FL26" s="110"/>
      <c r="FM26" s="110"/>
      <c r="FN26" s="25"/>
      <c r="FO26" s="25"/>
      <c r="FP26" s="25"/>
      <c r="FQ26" s="25"/>
      <c r="FR26" s="25"/>
      <c r="FS26" s="110"/>
      <c r="FT26" s="110"/>
      <c r="FU26" s="25"/>
      <c r="FV26" s="25"/>
      <c r="FW26" s="25"/>
      <c r="FX26" s="25"/>
      <c r="FY26" s="25"/>
      <c r="FZ26" s="110"/>
      <c r="GA26" s="110"/>
      <c r="GB26" s="25"/>
      <c r="GC26" s="25"/>
      <c r="GD26" s="25"/>
      <c r="GE26" s="25"/>
      <c r="GF26" s="25"/>
      <c r="GG26" s="110"/>
      <c r="GH26" s="110"/>
      <c r="GI26" s="25"/>
      <c r="GJ26" s="25"/>
      <c r="GK26" s="25"/>
      <c r="GL26" s="25"/>
      <c r="GM26" s="25"/>
      <c r="GN26" s="110"/>
      <c r="GO26" s="110"/>
      <c r="GP26" s="110"/>
      <c r="GQ26" s="110" t="s">
        <v>445</v>
      </c>
      <c r="GR26" s="25"/>
      <c r="GS26" s="25"/>
      <c r="GT26" s="25"/>
      <c r="GU26" s="110"/>
      <c r="GV26" s="110"/>
      <c r="GW26" s="25"/>
      <c r="GX26" s="25"/>
      <c r="GY26" s="25"/>
      <c r="GZ26" s="25"/>
      <c r="HA26" s="25"/>
      <c r="HB26" s="110"/>
      <c r="HC26" s="110"/>
      <c r="HD26" s="25"/>
      <c r="HE26" s="25"/>
      <c r="HF26" s="25"/>
      <c r="HG26" s="25"/>
      <c r="HH26" s="25"/>
      <c r="HI26" s="110"/>
      <c r="HJ26" s="110"/>
      <c r="HK26" s="25"/>
      <c r="HL26" s="25"/>
      <c r="HM26" s="25"/>
      <c r="HN26" s="25"/>
      <c r="HO26" s="25"/>
      <c r="HP26" s="110"/>
      <c r="HQ26" s="110"/>
      <c r="HR26" s="25"/>
      <c r="HS26" s="25"/>
      <c r="HT26" s="25"/>
      <c r="HU26" s="25"/>
      <c r="HV26" s="25"/>
      <c r="HW26" s="110"/>
      <c r="HX26" s="110"/>
      <c r="HY26" s="25"/>
      <c r="HZ26" s="25"/>
      <c r="IA26" s="25"/>
      <c r="IB26" s="25"/>
      <c r="IC26" s="25"/>
      <c r="ID26" s="110"/>
      <c r="IE26" s="110"/>
      <c r="IF26" s="25"/>
      <c r="IG26" s="25"/>
      <c r="IH26" s="25"/>
      <c r="II26" s="25"/>
      <c r="IJ26" s="25"/>
      <c r="IK26" s="110"/>
      <c r="IL26" s="110"/>
      <c r="IM26" s="25"/>
      <c r="IN26" s="25"/>
      <c r="IO26" s="25"/>
      <c r="IP26" s="25"/>
      <c r="IQ26" s="25"/>
      <c r="IR26" s="110"/>
      <c r="IS26" s="110"/>
      <c r="IT26" s="25"/>
      <c r="IU26" s="25"/>
      <c r="IV26" s="25"/>
      <c r="IW26" s="25"/>
      <c r="IX26" s="25"/>
      <c r="IY26" s="110"/>
      <c r="IZ26" s="110"/>
      <c r="JA26" s="25"/>
      <c r="JB26" s="25"/>
      <c r="JC26" s="25"/>
      <c r="JD26" s="25"/>
      <c r="JE26" s="25"/>
      <c r="JF26" s="110"/>
      <c r="JG26" s="110"/>
      <c r="JH26" s="25"/>
      <c r="JI26" s="25"/>
      <c r="JJ26" s="25"/>
      <c r="JK26" s="25"/>
      <c r="JL26" s="25"/>
      <c r="JM26" s="110"/>
      <c r="JN26" s="110"/>
      <c r="JO26" s="25"/>
      <c r="JP26" s="25"/>
      <c r="JQ26" s="25"/>
      <c r="JR26" s="25"/>
      <c r="JS26" s="25"/>
      <c r="JT26" s="110"/>
      <c r="JU26" s="110"/>
      <c r="JV26" s="25"/>
      <c r="JW26" s="25"/>
      <c r="JX26" s="25"/>
      <c r="JY26" s="25"/>
      <c r="JZ26" s="25"/>
      <c r="KA26" s="110"/>
      <c r="KB26" s="110"/>
      <c r="KC26" s="25"/>
      <c r="KD26" s="25"/>
      <c r="KE26" s="25"/>
      <c r="KF26" s="25"/>
      <c r="KG26" s="25"/>
      <c r="KH26" s="110"/>
      <c r="KI26" s="110"/>
      <c r="KJ26" s="25"/>
      <c r="KK26" s="25"/>
      <c r="KL26" s="25"/>
      <c r="KM26" s="25"/>
      <c r="KN26" s="25"/>
      <c r="KO26" s="110"/>
      <c r="KP26" s="110"/>
      <c r="KQ26" s="25"/>
      <c r="KR26" s="25"/>
      <c r="KS26" s="25"/>
      <c r="KT26" s="25"/>
      <c r="KU26" s="25"/>
      <c r="KV26" s="110"/>
      <c r="KW26" s="110"/>
      <c r="KX26" s="25"/>
      <c r="KY26" s="25"/>
      <c r="KZ26" s="25"/>
      <c r="LA26" s="25"/>
      <c r="LB26" s="25"/>
      <c r="LC26" s="110"/>
      <c r="LD26" s="110"/>
      <c r="LE26" s="25"/>
      <c r="LF26" s="25"/>
      <c r="LG26" s="110" t="s">
        <v>445</v>
      </c>
      <c r="LH26" s="25"/>
      <c r="LI26" s="25"/>
      <c r="LJ26" s="110"/>
      <c r="LK26" s="110"/>
      <c r="LL26" s="25"/>
      <c r="LM26" s="25"/>
      <c r="LN26" s="25"/>
      <c r="LO26" s="25"/>
      <c r="LP26" s="25"/>
      <c r="LQ26" s="110"/>
      <c r="LR26" s="110"/>
      <c r="LS26" s="25"/>
      <c r="LT26" s="25"/>
      <c r="LU26" s="25"/>
      <c r="LV26" s="25"/>
      <c r="LW26" s="25"/>
      <c r="LX26" s="110"/>
      <c r="LY26" s="110"/>
      <c r="LZ26" s="25"/>
      <c r="MA26" s="25"/>
      <c r="MB26" s="25"/>
      <c r="MC26" s="25"/>
      <c r="MD26" s="25"/>
      <c r="ME26" s="110"/>
      <c r="MF26" s="110"/>
      <c r="MG26" s="25"/>
      <c r="MH26" s="25"/>
      <c r="MI26" s="25"/>
      <c r="MJ26" s="25"/>
      <c r="MK26" s="25"/>
      <c r="ML26" s="110"/>
      <c r="MM26" s="110"/>
      <c r="MN26" s="25"/>
      <c r="MO26" s="25"/>
      <c r="MP26" s="25"/>
      <c r="MQ26" s="25"/>
      <c r="MR26" s="25"/>
      <c r="MS26" s="110"/>
      <c r="MT26" s="110"/>
      <c r="MU26" s="25"/>
      <c r="MV26" s="25"/>
      <c r="MW26" s="25"/>
      <c r="MX26" s="25"/>
      <c r="MY26" s="25"/>
      <c r="MZ26" s="110"/>
      <c r="NA26" s="110"/>
      <c r="NB26" s="25"/>
      <c r="NC26" s="25"/>
      <c r="ND26" s="25"/>
      <c r="NE26" s="129"/>
      <c r="NF26" s="111"/>
      <c r="NG26" s="8">
        <f t="shared" si="0"/>
        <v>0</v>
      </c>
      <c r="NH26" s="32" cm="1">
        <f t="array" ref="NH26">NETWORKDAYS($I$2,$AI$2)- SUM(COUNTIF(I26:AI26,{"I";"F";"CP";"R";"P";"AC";"AM"}))</f>
        <v>20</v>
      </c>
      <c r="NI26" s="138">
        <f t="shared" si="1"/>
        <v>0</v>
      </c>
      <c r="NJ26" s="8">
        <f t="shared" si="2"/>
        <v>0</v>
      </c>
      <c r="NK26" s="32" cm="1">
        <f t="array" ref="NK26">NETWORKDAYS($AJ$2,$BK$2)- SUM(COUNTIF(AJ26:BK26,{"I";"F";"CP";"R";"P";"AC";"AM"}))</f>
        <v>20</v>
      </c>
      <c r="NL26" s="138">
        <f t="shared" si="3"/>
        <v>0</v>
      </c>
      <c r="NM26" s="8">
        <f t="shared" si="4"/>
        <v>0</v>
      </c>
      <c r="NN26" s="32" cm="1">
        <f t="array" ref="NN26">NETWORKDAYS($BL$2,$CP$2)- SUM(COUNTIF(BL26:CP26,{"I";"F";"CP";"R";"P";"AC";"AM"}))</f>
        <v>22</v>
      </c>
      <c r="NO26" s="138">
        <f t="shared" si="5"/>
        <v>0</v>
      </c>
      <c r="NP26" s="8">
        <f t="shared" si="26"/>
        <v>0</v>
      </c>
      <c r="NQ26" s="32" cm="1">
        <f t="array" ref="NQ26">NETWORKDAYS($CQ$2,$DT$2,$CV$2)- SUM(COUNTIF(CQ26:DT26,{"I";"F";"CP";"R";"P";"AC";"AM"}))</f>
        <v>21</v>
      </c>
      <c r="NR26" s="138">
        <f t="shared" si="6"/>
        <v>0</v>
      </c>
      <c r="NS26" s="8">
        <f t="shared" si="7"/>
        <v>0</v>
      </c>
      <c r="NT26" s="32" cm="1">
        <f t="array" ref="NT26">NETWORKDAYS($DV$2,$EY$2)-SUM(COUNTIF(DV26:EY26,{"I";"F";"CP";"R";"P";"AC";"AM"}))</f>
        <v>16</v>
      </c>
      <c r="NU26" s="138">
        <f t="shared" si="8"/>
        <v>0</v>
      </c>
      <c r="NV26" s="8">
        <f t="shared" si="9"/>
        <v>0</v>
      </c>
      <c r="NW26" s="32" cm="1">
        <f t="array" ref="NW26">NETWORKDAYS($EZ$2,$GC$2)-SUM(COUNTIF(EZ106:GC106,{"I";"F";"CP";"R";"P";"AC";"AM"}))</f>
        <v>22</v>
      </c>
      <c r="NX26" s="138">
        <f t="shared" si="10"/>
        <v>0</v>
      </c>
      <c r="NY26" s="8">
        <f t="shared" si="11"/>
        <v>0</v>
      </c>
      <c r="NZ26" s="32" cm="1">
        <f t="array" ref="NZ26">NETWORKDAYS($GD$2,$HH$2,$GQ$2)-SUM(COUNTIF(GD26:HH26,{"I";"F";"CP";"R";"P";"AC";"AM"}))</f>
        <v>21</v>
      </c>
      <c r="OA26" s="138">
        <f t="shared" si="12"/>
        <v>0</v>
      </c>
      <c r="OB26" s="8">
        <f t="shared" si="13"/>
        <v>0</v>
      </c>
      <c r="OC26" s="32" cm="1">
        <f t="array" ref="OC26">NETWORKDAYS($HI$2,$IM$2)-SUM(COUNTIF(HI26:IM26,{"I";"F";"CP";"R";"P";"AC";"AM"}))</f>
        <v>21</v>
      </c>
      <c r="OD26" s="138">
        <f t="shared" si="14"/>
        <v>0</v>
      </c>
      <c r="OE26" s="8">
        <f t="shared" si="15"/>
        <v>0</v>
      </c>
      <c r="OF26" s="32" cm="1">
        <f t="array" ref="OF26">NETWORKDAYS($IN$2,$JQ$2)-SUM(COUNTIF(IN26:JQ26,{"I";"F";"CP";"R";"P";"AC";"AM"}))</f>
        <v>22</v>
      </c>
      <c r="OG26" s="138">
        <f t="shared" si="16"/>
        <v>0</v>
      </c>
      <c r="OH26" s="8">
        <f t="shared" si="17"/>
        <v>0</v>
      </c>
      <c r="OI26" s="32" cm="1">
        <f t="array" ref="OI26">NETWORKDAYS($JR$2,$KV$2)-SUM(COUNTIF(JR26:KV26,{"I";"F";"CP";"R";"P";"AC";"AM"}))</f>
        <v>22</v>
      </c>
      <c r="OJ26" s="138">
        <f t="shared" si="18"/>
        <v>0</v>
      </c>
      <c r="OK26" s="8">
        <f t="shared" si="19"/>
        <v>0</v>
      </c>
      <c r="OL26" s="32" cm="1">
        <f t="array" ref="OL26">NETWORKDAYS($KW$2,$LZ$2,$LG$2)-SUM(COUNTIF(KW26:LZ26,{"I";"F";"CP";"R";"P";"AC";"AM"}))</f>
        <v>19</v>
      </c>
      <c r="OM26" s="138">
        <f t="shared" si="20"/>
        <v>0</v>
      </c>
      <c r="ON26" s="8">
        <f t="shared" si="21"/>
        <v>0</v>
      </c>
      <c r="OO26" s="32" cm="1">
        <f t="array" ref="OO26">NETWORKDAYS($MA$2,$MR$2)-SUM(COUNTIF(MA26:MR26,{"I";"F";"CP";"R";"P";"AC";"AM"}))</f>
        <v>14</v>
      </c>
      <c r="OP26" s="138">
        <f t="shared" si="22"/>
        <v>0</v>
      </c>
      <c r="OQ26" s="94">
        <f t="shared" si="23"/>
        <v>0</v>
      </c>
      <c r="OR26" s="94">
        <f t="shared" si="24"/>
        <v>240</v>
      </c>
      <c r="OS26" s="138">
        <f t="shared" si="25"/>
        <v>0</v>
      </c>
    </row>
    <row r="27" spans="1:409" ht="18" hidden="1" customHeight="1" x14ac:dyDescent="0.25">
      <c r="A27" s="93" t="s">
        <v>164</v>
      </c>
      <c r="B27" s="93" t="s">
        <v>34</v>
      </c>
      <c r="C27" s="27" t="s">
        <v>160</v>
      </c>
      <c r="D27" s="27" t="s">
        <v>198</v>
      </c>
      <c r="E27" s="128"/>
      <c r="F27" s="110"/>
      <c r="G27" s="110"/>
      <c r="H27" s="110"/>
      <c r="I27" s="25"/>
      <c r="J27" s="25"/>
      <c r="K27" s="25"/>
      <c r="L27" s="25"/>
      <c r="M27" s="25"/>
      <c r="N27" s="110"/>
      <c r="O27" s="110"/>
      <c r="P27" s="25"/>
      <c r="Q27" s="25"/>
      <c r="R27" s="25"/>
      <c r="S27" s="25"/>
      <c r="T27" s="25"/>
      <c r="U27" s="110"/>
      <c r="V27" s="110"/>
      <c r="W27" s="25"/>
      <c r="X27" s="25"/>
      <c r="Y27" s="25"/>
      <c r="Z27" s="25"/>
      <c r="AA27" s="25"/>
      <c r="AB27" s="110"/>
      <c r="AC27" s="110"/>
      <c r="AD27" s="25"/>
      <c r="AE27" s="25"/>
      <c r="AF27" s="25"/>
      <c r="AG27" s="25"/>
      <c r="AH27" s="25"/>
      <c r="AI27" s="110"/>
      <c r="AJ27" s="110"/>
      <c r="AK27" s="25"/>
      <c r="AL27" s="25"/>
      <c r="AM27" s="25"/>
      <c r="AN27" s="25"/>
      <c r="AO27" s="25"/>
      <c r="AP27" s="110"/>
      <c r="AQ27" s="110"/>
      <c r="AR27" s="25"/>
      <c r="AS27" s="25"/>
      <c r="AT27" s="25"/>
      <c r="AU27" s="25"/>
      <c r="AV27" s="25"/>
      <c r="AW27" s="110"/>
      <c r="AX27" s="110"/>
      <c r="AY27" s="25"/>
      <c r="AZ27" s="25"/>
      <c r="BA27" s="25"/>
      <c r="BB27" s="25"/>
      <c r="BC27" s="25"/>
      <c r="BD27" s="110"/>
      <c r="BE27" s="110"/>
      <c r="BF27" s="25"/>
      <c r="BG27" s="25"/>
      <c r="BH27" s="25"/>
      <c r="BI27" s="25"/>
      <c r="BJ27" s="25"/>
      <c r="BK27" s="110"/>
      <c r="BL27" s="110"/>
      <c r="BM27" s="25"/>
      <c r="BN27" s="25"/>
      <c r="BO27" s="25"/>
      <c r="BP27" s="25"/>
      <c r="BQ27" s="25"/>
      <c r="BR27" s="110"/>
      <c r="BS27" s="110"/>
      <c r="BT27" s="25"/>
      <c r="BU27" s="25"/>
      <c r="BV27" s="25"/>
      <c r="BW27" s="25"/>
      <c r="BX27" s="25"/>
      <c r="BY27" s="110"/>
      <c r="BZ27" s="110"/>
      <c r="CA27" s="25"/>
      <c r="CB27" s="25"/>
      <c r="CC27" s="25"/>
      <c r="CD27" s="25"/>
      <c r="CE27" s="25"/>
      <c r="CF27" s="110"/>
      <c r="CG27" s="110"/>
      <c r="CH27" s="25"/>
      <c r="CI27" s="25"/>
      <c r="CJ27" s="25"/>
      <c r="CK27" s="25"/>
      <c r="CL27" s="25"/>
      <c r="CM27" s="110"/>
      <c r="CN27" s="110"/>
      <c r="CO27" s="25"/>
      <c r="CP27" s="25"/>
      <c r="CQ27" s="25"/>
      <c r="CR27" s="25"/>
      <c r="CS27" s="25"/>
      <c r="CT27" s="110"/>
      <c r="CU27" s="110"/>
      <c r="CV27" s="110"/>
      <c r="CW27" s="25"/>
      <c r="CX27" s="25"/>
      <c r="CY27" s="25"/>
      <c r="CZ27" s="25"/>
      <c r="DA27" s="110"/>
      <c r="DB27" s="110"/>
      <c r="DC27" s="25"/>
      <c r="DD27" s="25"/>
      <c r="DE27" s="25"/>
      <c r="DF27" s="25"/>
      <c r="DG27" s="25"/>
      <c r="DH27" s="110"/>
      <c r="DI27" s="110"/>
      <c r="DJ27" s="25"/>
      <c r="DK27" s="25"/>
      <c r="DL27" s="25"/>
      <c r="DM27" s="25"/>
      <c r="DN27" s="25"/>
      <c r="DO27" s="110"/>
      <c r="DP27" s="110"/>
      <c r="DQ27" s="25"/>
      <c r="DR27" s="25"/>
      <c r="DS27" s="25"/>
      <c r="DT27" s="25"/>
      <c r="DU27" s="110"/>
      <c r="DV27" s="110"/>
      <c r="DW27" s="110"/>
      <c r="DX27" s="25"/>
      <c r="DY27" s="25"/>
      <c r="DZ27" s="25"/>
      <c r="EA27" s="25"/>
      <c r="EB27" s="110" t="s">
        <v>445</v>
      </c>
      <c r="EC27" s="110"/>
      <c r="ED27" s="110"/>
      <c r="EE27" s="25"/>
      <c r="EF27" s="25"/>
      <c r="EG27" s="25"/>
      <c r="EH27" s="110" t="s">
        <v>445</v>
      </c>
      <c r="EI27" s="110" t="s">
        <v>445</v>
      </c>
      <c r="EJ27" s="110"/>
      <c r="EK27" s="110"/>
      <c r="EL27" s="25"/>
      <c r="EM27" s="25"/>
      <c r="EN27" s="25"/>
      <c r="EO27" s="25"/>
      <c r="EP27" s="25"/>
      <c r="EQ27" s="110"/>
      <c r="ER27" s="110"/>
      <c r="ES27" s="110" t="s">
        <v>445</v>
      </c>
      <c r="ET27" s="25"/>
      <c r="EU27" s="25"/>
      <c r="EV27" s="25"/>
      <c r="EW27" s="25"/>
      <c r="EX27" s="110"/>
      <c r="EY27" s="110"/>
      <c r="EZ27" s="25"/>
      <c r="FA27" s="25"/>
      <c r="FB27" s="25"/>
      <c r="FC27" s="25"/>
      <c r="FD27" s="25"/>
      <c r="FE27" s="110"/>
      <c r="FF27" s="110"/>
      <c r="FG27" s="25"/>
      <c r="FH27" s="25"/>
      <c r="FI27" s="25"/>
      <c r="FJ27" s="25"/>
      <c r="FK27" s="25"/>
      <c r="FL27" s="110"/>
      <c r="FM27" s="110"/>
      <c r="FN27" s="25"/>
      <c r="FO27" s="25"/>
      <c r="FP27" s="25"/>
      <c r="FQ27" s="25"/>
      <c r="FR27" s="25"/>
      <c r="FS27" s="110"/>
      <c r="FT27" s="110"/>
      <c r="FU27" s="25"/>
      <c r="FV27" s="25"/>
      <c r="FW27" s="25"/>
      <c r="FX27" s="25"/>
      <c r="FY27" s="25"/>
      <c r="FZ27" s="110"/>
      <c r="GA27" s="110"/>
      <c r="GB27" s="25"/>
      <c r="GC27" s="25"/>
      <c r="GD27" s="25"/>
      <c r="GE27" s="25"/>
      <c r="GF27" s="25"/>
      <c r="GG27" s="110"/>
      <c r="GH27" s="110"/>
      <c r="GI27" s="25"/>
      <c r="GJ27" s="25"/>
      <c r="GK27" s="25"/>
      <c r="GL27" s="25"/>
      <c r="GM27" s="25"/>
      <c r="GN27" s="110"/>
      <c r="GO27" s="110"/>
      <c r="GP27" s="110"/>
      <c r="GQ27" s="110" t="s">
        <v>445</v>
      </c>
      <c r="GR27" s="25"/>
      <c r="GS27" s="25"/>
      <c r="GT27" s="25"/>
      <c r="GU27" s="110"/>
      <c r="GV27" s="110"/>
      <c r="GW27" s="25"/>
      <c r="GX27" s="25"/>
      <c r="GY27" s="25"/>
      <c r="GZ27" s="25"/>
      <c r="HA27" s="25"/>
      <c r="HB27" s="110"/>
      <c r="HC27" s="110"/>
      <c r="HD27" s="25"/>
      <c r="HE27" s="25"/>
      <c r="HF27" s="25"/>
      <c r="HG27" s="25"/>
      <c r="HH27" s="25"/>
      <c r="HI27" s="110"/>
      <c r="HJ27" s="110"/>
      <c r="HK27" s="25"/>
      <c r="HL27" s="25"/>
      <c r="HM27" s="25"/>
      <c r="HN27" s="25"/>
      <c r="HO27" s="25"/>
      <c r="HP27" s="110"/>
      <c r="HQ27" s="110"/>
      <c r="HR27" s="25"/>
      <c r="HS27" s="25"/>
      <c r="HT27" s="25"/>
      <c r="HU27" s="25"/>
      <c r="HV27" s="25"/>
      <c r="HW27" s="110"/>
      <c r="HX27" s="110"/>
      <c r="HY27" s="25"/>
      <c r="HZ27" s="25"/>
      <c r="IA27" s="25"/>
      <c r="IB27" s="25"/>
      <c r="IC27" s="25"/>
      <c r="ID27" s="110"/>
      <c r="IE27" s="110"/>
      <c r="IF27" s="25"/>
      <c r="IG27" s="25"/>
      <c r="IH27" s="25"/>
      <c r="II27" s="25"/>
      <c r="IJ27" s="25"/>
      <c r="IK27" s="110"/>
      <c r="IL27" s="110"/>
      <c r="IM27" s="25"/>
      <c r="IN27" s="25"/>
      <c r="IO27" s="25"/>
      <c r="IP27" s="25"/>
      <c r="IQ27" s="25"/>
      <c r="IR27" s="110"/>
      <c r="IS27" s="110"/>
      <c r="IT27" s="25"/>
      <c r="IU27" s="25"/>
      <c r="IV27" s="25"/>
      <c r="IW27" s="25"/>
      <c r="IX27" s="25"/>
      <c r="IY27" s="110"/>
      <c r="IZ27" s="110"/>
      <c r="JA27" s="25"/>
      <c r="JB27" s="25"/>
      <c r="JC27" s="25"/>
      <c r="JD27" s="25"/>
      <c r="JE27" s="25"/>
      <c r="JF27" s="110"/>
      <c r="JG27" s="110"/>
      <c r="JH27" s="25"/>
      <c r="JI27" s="25"/>
      <c r="JJ27" s="25"/>
      <c r="JK27" s="25"/>
      <c r="JL27" s="25"/>
      <c r="JM27" s="110"/>
      <c r="JN27" s="110"/>
      <c r="JO27" s="25"/>
      <c r="JP27" s="25"/>
      <c r="JQ27" s="25"/>
      <c r="JR27" s="25"/>
      <c r="JS27" s="25"/>
      <c r="JT27" s="110"/>
      <c r="JU27" s="110"/>
      <c r="JV27" s="25"/>
      <c r="JW27" s="25"/>
      <c r="JX27" s="25"/>
      <c r="JY27" s="25"/>
      <c r="JZ27" s="25"/>
      <c r="KA27" s="110"/>
      <c r="KB27" s="110"/>
      <c r="KC27" s="25"/>
      <c r="KD27" s="25"/>
      <c r="KE27" s="25"/>
      <c r="KF27" s="25"/>
      <c r="KG27" s="25"/>
      <c r="KH27" s="110"/>
      <c r="KI27" s="110"/>
      <c r="KJ27" s="25"/>
      <c r="KK27" s="25"/>
      <c r="KL27" s="25"/>
      <c r="KM27" s="25"/>
      <c r="KN27" s="25"/>
      <c r="KO27" s="110"/>
      <c r="KP27" s="110"/>
      <c r="KQ27" s="25"/>
      <c r="KR27" s="25"/>
      <c r="KS27" s="25"/>
      <c r="KT27" s="25"/>
      <c r="KU27" s="25"/>
      <c r="KV27" s="110"/>
      <c r="KW27" s="110"/>
      <c r="KX27" s="25"/>
      <c r="KY27" s="25"/>
      <c r="KZ27" s="25"/>
      <c r="LA27" s="25"/>
      <c r="LB27" s="25"/>
      <c r="LC27" s="110"/>
      <c r="LD27" s="110"/>
      <c r="LE27" s="25"/>
      <c r="LF27" s="25"/>
      <c r="LG27" s="110" t="s">
        <v>445</v>
      </c>
      <c r="LH27" s="25"/>
      <c r="LI27" s="25"/>
      <c r="LJ27" s="110"/>
      <c r="LK27" s="110"/>
      <c r="LL27" s="25"/>
      <c r="LM27" s="25"/>
      <c r="LN27" s="25"/>
      <c r="LO27" s="25"/>
      <c r="LP27" s="25"/>
      <c r="LQ27" s="110"/>
      <c r="LR27" s="110"/>
      <c r="LS27" s="25"/>
      <c r="LT27" s="25"/>
      <c r="LU27" s="25"/>
      <c r="LV27" s="25"/>
      <c r="LW27" s="25"/>
      <c r="LX27" s="110"/>
      <c r="LY27" s="110"/>
      <c r="LZ27" s="25"/>
      <c r="MA27" s="25"/>
      <c r="MB27" s="25"/>
      <c r="MC27" s="25"/>
      <c r="MD27" s="25"/>
      <c r="ME27" s="110"/>
      <c r="MF27" s="110"/>
      <c r="MG27" s="25"/>
      <c r="MH27" s="25"/>
      <c r="MI27" s="25"/>
      <c r="MJ27" s="25"/>
      <c r="MK27" s="25"/>
      <c r="ML27" s="110"/>
      <c r="MM27" s="110"/>
      <c r="MN27" s="25"/>
      <c r="MO27" s="25"/>
      <c r="MP27" s="25"/>
      <c r="MQ27" s="25"/>
      <c r="MR27" s="25"/>
      <c r="MS27" s="110"/>
      <c r="MT27" s="110"/>
      <c r="MU27" s="25"/>
      <c r="MV27" s="25"/>
      <c r="MW27" s="25"/>
      <c r="MX27" s="25"/>
      <c r="MY27" s="25"/>
      <c r="MZ27" s="110"/>
      <c r="NA27" s="110"/>
      <c r="NB27" s="25"/>
      <c r="NC27" s="25"/>
      <c r="ND27" s="25"/>
      <c r="NE27" s="129"/>
      <c r="NF27" s="111"/>
      <c r="NG27" s="8">
        <f t="shared" si="0"/>
        <v>0</v>
      </c>
      <c r="NH27" s="32" cm="1">
        <f t="array" ref="NH27">NETWORKDAYS($I$2,$AI$2)- SUM(COUNTIF(I27:AI27,{"I";"F";"CP";"R";"P";"AC";"AM"}))</f>
        <v>20</v>
      </c>
      <c r="NI27" s="138">
        <f t="shared" si="1"/>
        <v>0</v>
      </c>
      <c r="NJ27" s="8">
        <f t="shared" si="2"/>
        <v>0</v>
      </c>
      <c r="NK27" s="32" cm="1">
        <f t="array" ref="NK27">NETWORKDAYS($AJ$2,$BK$2)- SUM(COUNTIF(AJ27:BK27,{"I";"F";"CP";"R";"P";"AC";"AM"}))</f>
        <v>20</v>
      </c>
      <c r="NL27" s="138">
        <f t="shared" si="3"/>
        <v>0</v>
      </c>
      <c r="NM27" s="8">
        <f t="shared" si="4"/>
        <v>0</v>
      </c>
      <c r="NN27" s="32" cm="1">
        <f t="array" ref="NN27">NETWORKDAYS($BL$2,$CP$2)- SUM(COUNTIF(BL27:CP27,{"I";"F";"CP";"R";"P";"AC";"AM"}))</f>
        <v>22</v>
      </c>
      <c r="NO27" s="138">
        <f t="shared" si="5"/>
        <v>0</v>
      </c>
      <c r="NP27" s="32">
        <f t="shared" si="26"/>
        <v>0</v>
      </c>
      <c r="NQ27" s="32" cm="1">
        <f t="array" ref="NQ27">NETWORKDAYS($CQ$2,$DT$2,$CV$2)- SUM(COUNTIF(CQ27:DT27,{"I";"F";"CP";"R";"P";"AC";"AM"}))</f>
        <v>21</v>
      </c>
      <c r="NR27" s="138">
        <f t="shared" si="6"/>
        <v>0</v>
      </c>
      <c r="NS27" s="8">
        <f t="shared" si="7"/>
        <v>0</v>
      </c>
      <c r="NT27" s="32" cm="1">
        <f t="array" ref="NT27">NETWORKDAYS($DV$2,$EY$2)-SUM(COUNTIF(DV27:EY27,{"I";"F";"CP";"R";"P";"AC";"AM"}))</f>
        <v>16</v>
      </c>
      <c r="NU27" s="138">
        <f t="shared" si="8"/>
        <v>0</v>
      </c>
      <c r="NV27" s="8">
        <f t="shared" si="9"/>
        <v>0</v>
      </c>
      <c r="NW27" s="32" cm="1">
        <f t="array" ref="NW27">NETWORKDAYS($EZ$2,$GC$2)-SUM(COUNTIF(EZ107:GC107,{"I";"F";"CP";"R";"P";"AC";"AM"}))</f>
        <v>22</v>
      </c>
      <c r="NX27" s="138">
        <f t="shared" si="10"/>
        <v>0</v>
      </c>
      <c r="NY27" s="8">
        <f t="shared" si="11"/>
        <v>0</v>
      </c>
      <c r="NZ27" s="32" cm="1">
        <f t="array" ref="NZ27">NETWORKDAYS($GD$2,$HH$2,$GQ$2)-SUM(COUNTIF(GD27:HH27,{"I";"F";"CP";"R";"P";"AC";"AM"}))</f>
        <v>21</v>
      </c>
      <c r="OA27" s="138">
        <f t="shared" si="12"/>
        <v>0</v>
      </c>
      <c r="OB27" s="8">
        <f t="shared" si="13"/>
        <v>0</v>
      </c>
      <c r="OC27" s="32" cm="1">
        <f t="array" ref="OC27">NETWORKDAYS($HI$2,$IM$2)-SUM(COUNTIF(HI27:IM27,{"I";"F";"CP";"R";"P";"AC";"AM"}))</f>
        <v>21</v>
      </c>
      <c r="OD27" s="138">
        <f t="shared" si="14"/>
        <v>0</v>
      </c>
      <c r="OE27" s="8">
        <f t="shared" si="15"/>
        <v>0</v>
      </c>
      <c r="OF27" s="32" cm="1">
        <f t="array" ref="OF27">NETWORKDAYS($IN$2,$JQ$2)-SUM(COUNTIF(IN27:JQ27,{"I";"F";"CP";"R";"P";"AC";"AM"}))</f>
        <v>22</v>
      </c>
      <c r="OG27" s="138">
        <f t="shared" si="16"/>
        <v>0</v>
      </c>
      <c r="OH27" s="8">
        <f t="shared" si="17"/>
        <v>0</v>
      </c>
      <c r="OI27" s="32" cm="1">
        <f t="array" ref="OI27">NETWORKDAYS($JR$2,$KV$2)-SUM(COUNTIF(JR27:KV27,{"I";"F";"CP";"R";"P";"AC";"AM"}))</f>
        <v>22</v>
      </c>
      <c r="OJ27" s="138">
        <f t="shared" si="18"/>
        <v>0</v>
      </c>
      <c r="OK27" s="8">
        <f t="shared" si="19"/>
        <v>0</v>
      </c>
      <c r="OL27" s="32" cm="1">
        <f t="array" ref="OL27">NETWORKDAYS($KW$2,$LZ$2,$LG$2)-SUM(COUNTIF(KW27:LZ27,{"I";"F";"CP";"R";"P";"AC";"AM"}))</f>
        <v>19</v>
      </c>
      <c r="OM27" s="138">
        <f t="shared" si="20"/>
        <v>0</v>
      </c>
      <c r="ON27" s="8">
        <f t="shared" si="21"/>
        <v>0</v>
      </c>
      <c r="OO27" s="32" cm="1">
        <f t="array" ref="OO27">NETWORKDAYS($MA$2,$MR$2)-SUM(COUNTIF(MA27:MR27,{"I";"F";"CP";"R";"P";"AC";"AM"}))</f>
        <v>14</v>
      </c>
      <c r="OP27" s="138">
        <f t="shared" si="22"/>
        <v>0</v>
      </c>
      <c r="OQ27" s="94">
        <f t="shared" si="23"/>
        <v>0</v>
      </c>
      <c r="OR27" s="94">
        <f t="shared" si="24"/>
        <v>240</v>
      </c>
      <c r="OS27" s="138">
        <f t="shared" si="25"/>
        <v>0</v>
      </c>
    </row>
    <row r="28" spans="1:409" ht="18" hidden="1" customHeight="1" x14ac:dyDescent="0.25">
      <c r="A28" s="93" t="s">
        <v>159</v>
      </c>
      <c r="B28" s="93" t="s">
        <v>45</v>
      </c>
      <c r="C28" s="27" t="s">
        <v>160</v>
      </c>
      <c r="D28" s="27" t="s">
        <v>199</v>
      </c>
      <c r="E28" s="128"/>
      <c r="F28" s="110"/>
      <c r="G28" s="110"/>
      <c r="H28" s="110"/>
      <c r="I28" s="25"/>
      <c r="J28" s="25"/>
      <c r="K28" s="25"/>
      <c r="L28" s="25"/>
      <c r="M28" s="25"/>
      <c r="N28" s="110"/>
      <c r="O28" s="110"/>
      <c r="P28" s="25"/>
      <c r="Q28" s="25"/>
      <c r="R28" s="25"/>
      <c r="S28" s="25"/>
      <c r="T28" s="25"/>
      <c r="U28" s="110"/>
      <c r="V28" s="110"/>
      <c r="W28" s="25"/>
      <c r="X28" s="25"/>
      <c r="Y28" s="25"/>
      <c r="Z28" s="25"/>
      <c r="AA28" s="25"/>
      <c r="AB28" s="110"/>
      <c r="AC28" s="110"/>
      <c r="AD28" s="25"/>
      <c r="AE28" s="25"/>
      <c r="AF28" s="25"/>
      <c r="AG28" s="25"/>
      <c r="AH28" s="25"/>
      <c r="AI28" s="110"/>
      <c r="AJ28" s="110"/>
      <c r="AK28" s="25"/>
      <c r="AL28" s="25"/>
      <c r="AM28" s="25"/>
      <c r="AN28" s="25"/>
      <c r="AO28" s="25"/>
      <c r="AP28" s="110"/>
      <c r="AQ28" s="110"/>
      <c r="AR28" s="25"/>
      <c r="AS28" s="25"/>
      <c r="AT28" s="25"/>
      <c r="AU28" s="25"/>
      <c r="AV28" s="25"/>
      <c r="AW28" s="110"/>
      <c r="AX28" s="110"/>
      <c r="AY28" s="25"/>
      <c r="AZ28" s="25"/>
      <c r="BA28" s="25"/>
      <c r="BB28" s="25"/>
      <c r="BC28" s="25"/>
      <c r="BD28" s="110"/>
      <c r="BE28" s="110"/>
      <c r="BF28" s="25"/>
      <c r="BG28" s="25"/>
      <c r="BH28" s="25"/>
      <c r="BI28" s="25"/>
      <c r="BJ28" s="25"/>
      <c r="BK28" s="110"/>
      <c r="BL28" s="110"/>
      <c r="BM28" s="25"/>
      <c r="BN28" s="25"/>
      <c r="BO28" s="25"/>
      <c r="BP28" s="25"/>
      <c r="BQ28" s="25"/>
      <c r="BR28" s="110"/>
      <c r="BS28" s="110"/>
      <c r="BT28" s="25"/>
      <c r="BU28" s="25"/>
      <c r="BV28" s="25"/>
      <c r="BW28" s="25"/>
      <c r="BX28" s="25"/>
      <c r="BY28" s="110"/>
      <c r="BZ28" s="110"/>
      <c r="CA28" s="25"/>
      <c r="CB28" s="25"/>
      <c r="CC28" s="25"/>
      <c r="CD28" s="25"/>
      <c r="CE28" s="25"/>
      <c r="CF28" s="110"/>
      <c r="CG28" s="110"/>
      <c r="CH28" s="25"/>
      <c r="CI28" s="25"/>
      <c r="CJ28" s="25"/>
      <c r="CK28" s="25"/>
      <c r="CL28" s="25"/>
      <c r="CM28" s="110"/>
      <c r="CN28" s="110"/>
      <c r="CO28" s="25"/>
      <c r="CP28" s="25"/>
      <c r="CQ28" s="25"/>
      <c r="CR28" s="25"/>
      <c r="CS28" s="25"/>
      <c r="CT28" s="110"/>
      <c r="CU28" s="110"/>
      <c r="CV28" s="110"/>
      <c r="CW28" s="25"/>
      <c r="CX28" s="25"/>
      <c r="CY28" s="25"/>
      <c r="CZ28" s="25"/>
      <c r="DA28" s="110"/>
      <c r="DB28" s="110"/>
      <c r="DC28" s="25"/>
      <c r="DD28" s="25"/>
      <c r="DE28" s="25"/>
      <c r="DF28" s="25"/>
      <c r="DG28" s="25"/>
      <c r="DH28" s="110"/>
      <c r="DI28" s="110"/>
      <c r="DJ28" s="25"/>
      <c r="DK28" s="25"/>
      <c r="DL28" s="25"/>
      <c r="DM28" s="25"/>
      <c r="DN28" s="25"/>
      <c r="DO28" s="110"/>
      <c r="DP28" s="110"/>
      <c r="DQ28" s="25"/>
      <c r="DR28" s="25"/>
      <c r="DS28" s="25"/>
      <c r="DT28" s="25"/>
      <c r="DU28" s="110"/>
      <c r="DV28" s="110"/>
      <c r="DW28" s="110"/>
      <c r="DX28" s="25"/>
      <c r="DY28" s="25"/>
      <c r="DZ28" s="25"/>
      <c r="EA28" s="25"/>
      <c r="EB28" s="110" t="s">
        <v>445</v>
      </c>
      <c r="EC28" s="110"/>
      <c r="ED28" s="110"/>
      <c r="EE28" s="25"/>
      <c r="EF28" s="25"/>
      <c r="EG28" s="25"/>
      <c r="EH28" s="110" t="s">
        <v>445</v>
      </c>
      <c r="EI28" s="110" t="s">
        <v>445</v>
      </c>
      <c r="EJ28" s="110"/>
      <c r="EK28" s="110"/>
      <c r="EL28" s="25"/>
      <c r="EM28" s="25"/>
      <c r="EN28" s="25"/>
      <c r="EO28" s="25"/>
      <c r="EP28" s="25"/>
      <c r="EQ28" s="110"/>
      <c r="ER28" s="110"/>
      <c r="ES28" s="110" t="s">
        <v>445</v>
      </c>
      <c r="ET28" s="25"/>
      <c r="EU28" s="25"/>
      <c r="EV28" s="25"/>
      <c r="EW28" s="25"/>
      <c r="EX28" s="110"/>
      <c r="EY28" s="110"/>
      <c r="EZ28" s="25"/>
      <c r="FA28" s="25"/>
      <c r="FB28" s="25"/>
      <c r="FC28" s="25"/>
      <c r="FD28" s="25"/>
      <c r="FE28" s="110"/>
      <c r="FF28" s="110"/>
      <c r="FG28" s="25"/>
      <c r="FH28" s="25"/>
      <c r="FI28" s="25"/>
      <c r="FJ28" s="25"/>
      <c r="FK28" s="25"/>
      <c r="FL28" s="110"/>
      <c r="FM28" s="110"/>
      <c r="FN28" s="25"/>
      <c r="FO28" s="25"/>
      <c r="FP28" s="25"/>
      <c r="FQ28" s="25"/>
      <c r="FR28" s="25"/>
      <c r="FS28" s="110"/>
      <c r="FT28" s="110"/>
      <c r="FU28" s="25"/>
      <c r="FV28" s="25"/>
      <c r="FW28" s="25"/>
      <c r="FX28" s="25"/>
      <c r="FY28" s="25"/>
      <c r="FZ28" s="110"/>
      <c r="GA28" s="110"/>
      <c r="GB28" s="25"/>
      <c r="GC28" s="25"/>
      <c r="GD28" s="25"/>
      <c r="GE28" s="25"/>
      <c r="GF28" s="25"/>
      <c r="GG28" s="110"/>
      <c r="GH28" s="110"/>
      <c r="GI28" s="25"/>
      <c r="GJ28" s="25"/>
      <c r="GK28" s="25"/>
      <c r="GL28" s="25"/>
      <c r="GM28" s="25"/>
      <c r="GN28" s="110"/>
      <c r="GO28" s="110"/>
      <c r="GP28" s="110"/>
      <c r="GQ28" s="110" t="s">
        <v>445</v>
      </c>
      <c r="GR28" s="25"/>
      <c r="GS28" s="25"/>
      <c r="GT28" s="25"/>
      <c r="GU28" s="110"/>
      <c r="GV28" s="110"/>
      <c r="GW28" s="25"/>
      <c r="GX28" s="25"/>
      <c r="GY28" s="25"/>
      <c r="GZ28" s="25"/>
      <c r="HA28" s="25"/>
      <c r="HB28" s="110"/>
      <c r="HC28" s="110"/>
      <c r="HD28" s="25"/>
      <c r="HE28" s="25"/>
      <c r="HF28" s="25"/>
      <c r="HG28" s="25"/>
      <c r="HH28" s="25"/>
      <c r="HI28" s="110"/>
      <c r="HJ28" s="110"/>
      <c r="HK28" s="25"/>
      <c r="HL28" s="25"/>
      <c r="HM28" s="25"/>
      <c r="HN28" s="25"/>
      <c r="HO28" s="25"/>
      <c r="HP28" s="110"/>
      <c r="HQ28" s="110"/>
      <c r="HR28" s="25"/>
      <c r="HS28" s="25"/>
      <c r="HT28" s="25"/>
      <c r="HU28" s="25"/>
      <c r="HV28" s="25"/>
      <c r="HW28" s="110"/>
      <c r="HX28" s="110"/>
      <c r="HY28" s="25"/>
      <c r="HZ28" s="25"/>
      <c r="IA28" s="25"/>
      <c r="IB28" s="25"/>
      <c r="IC28" s="25"/>
      <c r="ID28" s="110"/>
      <c r="IE28" s="110"/>
      <c r="IF28" s="25"/>
      <c r="IG28" s="25"/>
      <c r="IH28" s="25"/>
      <c r="II28" s="25"/>
      <c r="IJ28" s="25"/>
      <c r="IK28" s="110"/>
      <c r="IL28" s="110"/>
      <c r="IM28" s="25"/>
      <c r="IN28" s="25"/>
      <c r="IO28" s="25"/>
      <c r="IP28" s="25"/>
      <c r="IQ28" s="25"/>
      <c r="IR28" s="110"/>
      <c r="IS28" s="110"/>
      <c r="IT28" s="25"/>
      <c r="IU28" s="25"/>
      <c r="IV28" s="25"/>
      <c r="IW28" s="25"/>
      <c r="IX28" s="25"/>
      <c r="IY28" s="110"/>
      <c r="IZ28" s="110"/>
      <c r="JA28" s="25"/>
      <c r="JB28" s="25"/>
      <c r="JC28" s="25"/>
      <c r="JD28" s="25"/>
      <c r="JE28" s="25"/>
      <c r="JF28" s="110"/>
      <c r="JG28" s="110"/>
      <c r="JH28" s="25"/>
      <c r="JI28" s="25"/>
      <c r="JJ28" s="25"/>
      <c r="JK28" s="25"/>
      <c r="JL28" s="25"/>
      <c r="JM28" s="110"/>
      <c r="JN28" s="110"/>
      <c r="JO28" s="25"/>
      <c r="JP28" s="25"/>
      <c r="JQ28" s="25"/>
      <c r="JR28" s="25"/>
      <c r="JS28" s="25"/>
      <c r="JT28" s="110"/>
      <c r="JU28" s="110"/>
      <c r="JV28" s="25"/>
      <c r="JW28" s="25"/>
      <c r="JX28" s="25"/>
      <c r="JY28" s="25"/>
      <c r="JZ28" s="25"/>
      <c r="KA28" s="110"/>
      <c r="KB28" s="110"/>
      <c r="KC28" s="25"/>
      <c r="KD28" s="25"/>
      <c r="KE28" s="25"/>
      <c r="KF28" s="25"/>
      <c r="KG28" s="25"/>
      <c r="KH28" s="110"/>
      <c r="KI28" s="110"/>
      <c r="KJ28" s="25"/>
      <c r="KK28" s="25"/>
      <c r="KL28" s="25"/>
      <c r="KM28" s="25"/>
      <c r="KN28" s="25"/>
      <c r="KO28" s="110"/>
      <c r="KP28" s="110"/>
      <c r="KQ28" s="25"/>
      <c r="KR28" s="25"/>
      <c r="KS28" s="25"/>
      <c r="KT28" s="25"/>
      <c r="KU28" s="25"/>
      <c r="KV28" s="110"/>
      <c r="KW28" s="110"/>
      <c r="KX28" s="25"/>
      <c r="KY28" s="25"/>
      <c r="KZ28" s="25"/>
      <c r="LA28" s="25"/>
      <c r="LB28" s="25"/>
      <c r="LC28" s="110"/>
      <c r="LD28" s="110"/>
      <c r="LE28" s="25"/>
      <c r="LF28" s="25"/>
      <c r="LG28" s="110" t="s">
        <v>445</v>
      </c>
      <c r="LH28" s="25"/>
      <c r="LI28" s="25"/>
      <c r="LJ28" s="110"/>
      <c r="LK28" s="110"/>
      <c r="LL28" s="25"/>
      <c r="LM28" s="25"/>
      <c r="LN28" s="25"/>
      <c r="LO28" s="25"/>
      <c r="LP28" s="25"/>
      <c r="LQ28" s="110"/>
      <c r="LR28" s="110"/>
      <c r="LS28" s="25"/>
      <c r="LT28" s="25"/>
      <c r="LU28" s="25"/>
      <c r="LV28" s="25"/>
      <c r="LW28" s="25"/>
      <c r="LX28" s="110"/>
      <c r="LY28" s="110"/>
      <c r="LZ28" s="25"/>
      <c r="MA28" s="25"/>
      <c r="MB28" s="25"/>
      <c r="MC28" s="25"/>
      <c r="MD28" s="25"/>
      <c r="ME28" s="110"/>
      <c r="MF28" s="110"/>
      <c r="MG28" s="25"/>
      <c r="MH28" s="25"/>
      <c r="MI28" s="25"/>
      <c r="MJ28" s="25"/>
      <c r="MK28" s="25"/>
      <c r="ML28" s="110"/>
      <c r="MM28" s="110"/>
      <c r="MN28" s="25"/>
      <c r="MO28" s="25"/>
      <c r="MP28" s="25"/>
      <c r="MQ28" s="25"/>
      <c r="MR28" s="25"/>
      <c r="MS28" s="110"/>
      <c r="MT28" s="110"/>
      <c r="MU28" s="25"/>
      <c r="MV28" s="25"/>
      <c r="MW28" s="25"/>
      <c r="MX28" s="25"/>
      <c r="MY28" s="25"/>
      <c r="MZ28" s="110"/>
      <c r="NA28" s="110"/>
      <c r="NB28" s="25"/>
      <c r="NC28" s="25"/>
      <c r="ND28" s="25"/>
      <c r="NE28" s="129"/>
      <c r="NF28" s="111"/>
      <c r="NG28" s="8">
        <f t="shared" si="0"/>
        <v>0</v>
      </c>
      <c r="NH28" s="32" cm="1">
        <f t="array" ref="NH28">NETWORKDAYS($I$2,$AI$2)- SUM(COUNTIF(I28:AI28,{"I";"F";"CP";"R";"P";"AC";"AM"}))</f>
        <v>20</v>
      </c>
      <c r="NI28" s="138">
        <f t="shared" si="1"/>
        <v>0</v>
      </c>
      <c r="NJ28" s="8">
        <f t="shared" si="2"/>
        <v>0</v>
      </c>
      <c r="NK28" s="32" cm="1">
        <f t="array" ref="NK28">NETWORKDAYS($AJ$2,$BK$2)- SUM(COUNTIF(AJ28:BK28,{"I";"F";"CP";"R";"P";"AC";"AM"}))</f>
        <v>20</v>
      </c>
      <c r="NL28" s="138">
        <f t="shared" si="3"/>
        <v>0</v>
      </c>
      <c r="NM28" s="8">
        <f t="shared" si="4"/>
        <v>0</v>
      </c>
      <c r="NN28" s="32" cm="1">
        <f t="array" ref="NN28">NETWORKDAYS($BL$2,$CP$2)- SUM(COUNTIF(BL28:CP28,{"I";"F";"CP";"R";"P";"AC";"AM"}))</f>
        <v>22</v>
      </c>
      <c r="NO28" s="138">
        <f t="shared" si="5"/>
        <v>0</v>
      </c>
      <c r="NP28" s="8">
        <f t="shared" si="26"/>
        <v>0</v>
      </c>
      <c r="NQ28" s="32" cm="1">
        <f t="array" ref="NQ28">NETWORKDAYS($CQ$2,$DT$2,$CV$2)- SUM(COUNTIF(CQ28:DT28,{"I";"F";"CP";"R";"P";"AC";"AM"}))</f>
        <v>21</v>
      </c>
      <c r="NR28" s="138">
        <f t="shared" si="6"/>
        <v>0</v>
      </c>
      <c r="NS28" s="8">
        <f t="shared" si="7"/>
        <v>0</v>
      </c>
      <c r="NT28" s="32" cm="1">
        <f t="array" ref="NT28">NETWORKDAYS($DV$2,$EY$2)-SUM(COUNTIF(DV28:EY28,{"I";"F";"CP";"R";"P";"AC";"AM"}))</f>
        <v>16</v>
      </c>
      <c r="NU28" s="138">
        <f t="shared" si="8"/>
        <v>0</v>
      </c>
      <c r="NV28" s="8">
        <f t="shared" si="9"/>
        <v>0</v>
      </c>
      <c r="NW28" s="32" cm="1">
        <f t="array" ref="NW28">NETWORKDAYS($EZ$2,$GC$2)-SUM(COUNTIF(EZ108:GC108,{"I";"F";"CP";"R";"P";"AC";"AM"}))</f>
        <v>22</v>
      </c>
      <c r="NX28" s="138">
        <f t="shared" si="10"/>
        <v>0</v>
      </c>
      <c r="NY28" s="8">
        <f t="shared" si="11"/>
        <v>0</v>
      </c>
      <c r="NZ28" s="32" cm="1">
        <f t="array" ref="NZ28">NETWORKDAYS($GD$2,$HH$2,$GQ$2)-SUM(COUNTIF(GD28:HH28,{"I";"F";"CP";"R";"P";"AC";"AM"}))</f>
        <v>21</v>
      </c>
      <c r="OA28" s="138">
        <f t="shared" si="12"/>
        <v>0</v>
      </c>
      <c r="OB28" s="8">
        <f t="shared" si="13"/>
        <v>0</v>
      </c>
      <c r="OC28" s="32" cm="1">
        <f t="array" ref="OC28">NETWORKDAYS($HI$2,$IM$2)-SUM(COUNTIF(HI28:IM28,{"I";"F";"CP";"R";"P";"AC";"AM"}))</f>
        <v>21</v>
      </c>
      <c r="OD28" s="138">
        <f t="shared" si="14"/>
        <v>0</v>
      </c>
      <c r="OE28" s="8">
        <f t="shared" si="15"/>
        <v>0</v>
      </c>
      <c r="OF28" s="32" cm="1">
        <f t="array" ref="OF28">NETWORKDAYS($IN$2,$JQ$2)-SUM(COUNTIF(IN28:JQ28,{"I";"F";"CP";"R";"P";"AC";"AM"}))</f>
        <v>22</v>
      </c>
      <c r="OG28" s="138">
        <f t="shared" si="16"/>
        <v>0</v>
      </c>
      <c r="OH28" s="8">
        <f t="shared" si="17"/>
        <v>0</v>
      </c>
      <c r="OI28" s="32" cm="1">
        <f t="array" ref="OI28">NETWORKDAYS($JR$2,$KV$2)-SUM(COUNTIF(JR28:KV28,{"I";"F";"CP";"R";"P";"AC";"AM"}))</f>
        <v>22</v>
      </c>
      <c r="OJ28" s="138">
        <f t="shared" si="18"/>
        <v>0</v>
      </c>
      <c r="OK28" s="8">
        <f t="shared" si="19"/>
        <v>0</v>
      </c>
      <c r="OL28" s="32" cm="1">
        <f t="array" ref="OL28">NETWORKDAYS($KW$2,$LZ$2,$LG$2)-SUM(COUNTIF(KW28:LZ28,{"I";"F";"CP";"R";"P";"AC";"AM"}))</f>
        <v>19</v>
      </c>
      <c r="OM28" s="138">
        <f t="shared" si="20"/>
        <v>0</v>
      </c>
      <c r="ON28" s="8">
        <f t="shared" si="21"/>
        <v>0</v>
      </c>
      <c r="OO28" s="32" cm="1">
        <f t="array" ref="OO28">NETWORKDAYS($MA$2,$MR$2)-SUM(COUNTIF(MA28:MR28,{"I";"F";"CP";"R";"P";"AC";"AM"}))</f>
        <v>14</v>
      </c>
      <c r="OP28" s="138">
        <f t="shared" si="22"/>
        <v>0</v>
      </c>
      <c r="OQ28" s="94">
        <f t="shared" si="23"/>
        <v>0</v>
      </c>
      <c r="OR28" s="94">
        <f t="shared" si="24"/>
        <v>240</v>
      </c>
      <c r="OS28" s="138">
        <f t="shared" si="25"/>
        <v>0</v>
      </c>
    </row>
    <row r="29" spans="1:409" ht="18" hidden="1" customHeight="1" x14ac:dyDescent="0.25">
      <c r="A29" s="93" t="s">
        <v>100</v>
      </c>
      <c r="B29" s="93" t="s">
        <v>34</v>
      </c>
      <c r="C29" s="27" t="s">
        <v>160</v>
      </c>
      <c r="D29" s="27" t="s">
        <v>200</v>
      </c>
      <c r="E29" s="128"/>
      <c r="F29" s="110"/>
      <c r="G29" s="110"/>
      <c r="H29" s="110"/>
      <c r="I29" s="25"/>
      <c r="J29" s="25"/>
      <c r="K29" s="25"/>
      <c r="L29" s="25"/>
      <c r="M29" s="25"/>
      <c r="N29" s="110"/>
      <c r="O29" s="110"/>
      <c r="P29" s="25"/>
      <c r="Q29" s="25"/>
      <c r="R29" s="25"/>
      <c r="S29" s="25"/>
      <c r="T29" s="25"/>
      <c r="U29" s="110"/>
      <c r="V29" s="110"/>
      <c r="W29" s="25"/>
      <c r="X29" s="25"/>
      <c r="Y29" s="25"/>
      <c r="Z29" s="25"/>
      <c r="AA29" s="25"/>
      <c r="AB29" s="110"/>
      <c r="AC29" s="110"/>
      <c r="AD29" s="25"/>
      <c r="AE29" s="25"/>
      <c r="AF29" s="25"/>
      <c r="AG29" s="25"/>
      <c r="AH29" s="25"/>
      <c r="AI29" s="110"/>
      <c r="AJ29" s="110"/>
      <c r="AK29" s="25"/>
      <c r="AL29" s="25"/>
      <c r="AM29" s="25"/>
      <c r="AN29" s="25"/>
      <c r="AO29" s="25"/>
      <c r="AP29" s="110"/>
      <c r="AQ29" s="110"/>
      <c r="AR29" s="25"/>
      <c r="AS29" s="25"/>
      <c r="AT29" s="25"/>
      <c r="AU29" s="25"/>
      <c r="AV29" s="25"/>
      <c r="AW29" s="110"/>
      <c r="AX29" s="110"/>
      <c r="AY29" s="25"/>
      <c r="AZ29" s="25"/>
      <c r="BA29" s="25"/>
      <c r="BB29" s="25"/>
      <c r="BC29" s="25"/>
      <c r="BD29" s="110"/>
      <c r="BE29" s="110"/>
      <c r="BF29" s="25"/>
      <c r="BG29" s="25"/>
      <c r="BH29" s="25"/>
      <c r="BI29" s="25"/>
      <c r="BJ29" s="25"/>
      <c r="BK29" s="110"/>
      <c r="BL29" s="110"/>
      <c r="BM29" s="25"/>
      <c r="BN29" s="25"/>
      <c r="BO29" s="25"/>
      <c r="BP29" s="25"/>
      <c r="BQ29" s="25"/>
      <c r="BR29" s="110"/>
      <c r="BS29" s="110"/>
      <c r="BT29" s="25"/>
      <c r="BU29" s="25"/>
      <c r="BV29" s="25"/>
      <c r="BW29" s="25"/>
      <c r="BX29" s="25"/>
      <c r="BY29" s="110"/>
      <c r="BZ29" s="110"/>
      <c r="CA29" s="25"/>
      <c r="CB29" s="25"/>
      <c r="CC29" s="25"/>
      <c r="CD29" s="25"/>
      <c r="CE29" s="25"/>
      <c r="CF29" s="110"/>
      <c r="CG29" s="110"/>
      <c r="CH29" s="25"/>
      <c r="CI29" s="25"/>
      <c r="CJ29" s="25"/>
      <c r="CK29" s="25"/>
      <c r="CL29" s="25"/>
      <c r="CM29" s="110"/>
      <c r="CN29" s="110"/>
      <c r="CO29" s="25"/>
      <c r="CP29" s="25"/>
      <c r="CQ29" s="25"/>
      <c r="CR29" s="25"/>
      <c r="CS29" s="25"/>
      <c r="CT29" s="110"/>
      <c r="CU29" s="110"/>
      <c r="CV29" s="110"/>
      <c r="CW29" s="25"/>
      <c r="CX29" s="25"/>
      <c r="CY29" s="25"/>
      <c r="CZ29" s="25"/>
      <c r="DA29" s="110"/>
      <c r="DB29" s="110"/>
      <c r="DC29" s="25"/>
      <c r="DD29" s="25"/>
      <c r="DE29" s="25"/>
      <c r="DF29" s="25"/>
      <c r="DG29" s="25"/>
      <c r="DH29" s="110"/>
      <c r="DI29" s="110"/>
      <c r="DJ29" s="25"/>
      <c r="DK29" s="25"/>
      <c r="DL29" s="25"/>
      <c r="DM29" s="25"/>
      <c r="DN29" s="25"/>
      <c r="DO29" s="110"/>
      <c r="DP29" s="110"/>
      <c r="DQ29" s="25"/>
      <c r="DR29" s="25"/>
      <c r="DS29" s="25"/>
      <c r="DT29" s="25"/>
      <c r="DU29" s="110"/>
      <c r="DV29" s="110"/>
      <c r="DW29" s="110"/>
      <c r="DX29" s="25"/>
      <c r="DY29" s="25"/>
      <c r="DZ29" s="25"/>
      <c r="EA29" s="25"/>
      <c r="EB29" s="110" t="s">
        <v>445</v>
      </c>
      <c r="EC29" s="110"/>
      <c r="ED29" s="110"/>
      <c r="EE29" s="25"/>
      <c r="EF29" s="25"/>
      <c r="EG29" s="25"/>
      <c r="EH29" s="110" t="s">
        <v>445</v>
      </c>
      <c r="EI29" s="110" t="s">
        <v>445</v>
      </c>
      <c r="EJ29" s="110"/>
      <c r="EK29" s="110"/>
      <c r="EL29" s="25"/>
      <c r="EM29" s="25"/>
      <c r="EN29" s="25"/>
      <c r="EO29" s="25"/>
      <c r="EP29" s="25"/>
      <c r="EQ29" s="110"/>
      <c r="ER29" s="110"/>
      <c r="ES29" s="110" t="s">
        <v>445</v>
      </c>
      <c r="ET29" s="25"/>
      <c r="EU29" s="25"/>
      <c r="EV29" s="25"/>
      <c r="EW29" s="25"/>
      <c r="EX29" s="110"/>
      <c r="EY29" s="110"/>
      <c r="EZ29" s="25"/>
      <c r="FA29" s="25"/>
      <c r="FB29" s="25"/>
      <c r="FC29" s="25"/>
      <c r="FD29" s="25"/>
      <c r="FE29" s="110"/>
      <c r="FF29" s="110"/>
      <c r="FG29" s="25"/>
      <c r="FH29" s="25"/>
      <c r="FI29" s="25"/>
      <c r="FJ29" s="25"/>
      <c r="FK29" s="25"/>
      <c r="FL29" s="110"/>
      <c r="FM29" s="110"/>
      <c r="FN29" s="25"/>
      <c r="FO29" s="25"/>
      <c r="FP29" s="25"/>
      <c r="FQ29" s="25"/>
      <c r="FR29" s="25"/>
      <c r="FS29" s="110"/>
      <c r="FT29" s="110"/>
      <c r="FU29" s="25"/>
      <c r="FV29" s="25"/>
      <c r="FW29" s="25"/>
      <c r="FX29" s="25"/>
      <c r="FY29" s="25"/>
      <c r="FZ29" s="110"/>
      <c r="GA29" s="110"/>
      <c r="GB29" s="25"/>
      <c r="GC29" s="25"/>
      <c r="GD29" s="25"/>
      <c r="GE29" s="25"/>
      <c r="GF29" s="25"/>
      <c r="GG29" s="110"/>
      <c r="GH29" s="110"/>
      <c r="GI29" s="25"/>
      <c r="GJ29" s="25"/>
      <c r="GK29" s="25"/>
      <c r="GL29" s="25"/>
      <c r="GM29" s="25"/>
      <c r="GN29" s="110"/>
      <c r="GO29" s="110"/>
      <c r="GP29" s="110"/>
      <c r="GQ29" s="110" t="s">
        <v>445</v>
      </c>
      <c r="GR29" s="25"/>
      <c r="GS29" s="25"/>
      <c r="GT29" s="25"/>
      <c r="GU29" s="110"/>
      <c r="GV29" s="110"/>
      <c r="GW29" s="25"/>
      <c r="GX29" s="25"/>
      <c r="GY29" s="25"/>
      <c r="GZ29" s="25"/>
      <c r="HA29" s="25"/>
      <c r="HB29" s="110"/>
      <c r="HC29" s="110"/>
      <c r="HD29" s="25"/>
      <c r="HE29" s="25"/>
      <c r="HF29" s="25"/>
      <c r="HG29" s="25"/>
      <c r="HH29" s="25"/>
      <c r="HI29" s="110"/>
      <c r="HJ29" s="110"/>
      <c r="HK29" s="25"/>
      <c r="HL29" s="25"/>
      <c r="HM29" s="25"/>
      <c r="HN29" s="25"/>
      <c r="HO29" s="25"/>
      <c r="HP29" s="110"/>
      <c r="HQ29" s="110"/>
      <c r="HR29" s="25"/>
      <c r="HS29" s="25"/>
      <c r="HT29" s="25"/>
      <c r="HU29" s="25"/>
      <c r="HV29" s="25"/>
      <c r="HW29" s="110"/>
      <c r="HX29" s="110"/>
      <c r="HY29" s="25"/>
      <c r="HZ29" s="25"/>
      <c r="IA29" s="25"/>
      <c r="IB29" s="25"/>
      <c r="IC29" s="25"/>
      <c r="ID29" s="110"/>
      <c r="IE29" s="110"/>
      <c r="IF29" s="25"/>
      <c r="IG29" s="25"/>
      <c r="IH29" s="25"/>
      <c r="II29" s="25"/>
      <c r="IJ29" s="25"/>
      <c r="IK29" s="110"/>
      <c r="IL29" s="110"/>
      <c r="IM29" s="25"/>
      <c r="IN29" s="25"/>
      <c r="IO29" s="25"/>
      <c r="IP29" s="25"/>
      <c r="IQ29" s="25"/>
      <c r="IR29" s="110"/>
      <c r="IS29" s="110"/>
      <c r="IT29" s="25"/>
      <c r="IU29" s="25"/>
      <c r="IV29" s="25"/>
      <c r="IW29" s="25"/>
      <c r="IX29" s="25"/>
      <c r="IY29" s="110"/>
      <c r="IZ29" s="110"/>
      <c r="JA29" s="25"/>
      <c r="JB29" s="25"/>
      <c r="JC29" s="25"/>
      <c r="JD29" s="25"/>
      <c r="JE29" s="25"/>
      <c r="JF29" s="110"/>
      <c r="JG29" s="110"/>
      <c r="JH29" s="25"/>
      <c r="JI29" s="25"/>
      <c r="JJ29" s="25"/>
      <c r="JK29" s="25"/>
      <c r="JL29" s="25"/>
      <c r="JM29" s="110"/>
      <c r="JN29" s="110"/>
      <c r="JO29" s="25"/>
      <c r="JP29" s="25"/>
      <c r="JQ29" s="25"/>
      <c r="JR29" s="25"/>
      <c r="JS29" s="25"/>
      <c r="JT29" s="110"/>
      <c r="JU29" s="110"/>
      <c r="JV29" s="25"/>
      <c r="JW29" s="25"/>
      <c r="JX29" s="25"/>
      <c r="JY29" s="25"/>
      <c r="JZ29" s="25"/>
      <c r="KA29" s="110"/>
      <c r="KB29" s="110"/>
      <c r="KC29" s="25"/>
      <c r="KD29" s="25"/>
      <c r="KE29" s="25"/>
      <c r="KF29" s="25"/>
      <c r="KG29" s="25"/>
      <c r="KH29" s="110"/>
      <c r="KI29" s="110"/>
      <c r="KJ29" s="25"/>
      <c r="KK29" s="25"/>
      <c r="KL29" s="25"/>
      <c r="KM29" s="25"/>
      <c r="KN29" s="25"/>
      <c r="KO29" s="110"/>
      <c r="KP29" s="110"/>
      <c r="KQ29" s="25"/>
      <c r="KR29" s="25"/>
      <c r="KS29" s="25"/>
      <c r="KT29" s="25"/>
      <c r="KU29" s="25"/>
      <c r="KV29" s="110"/>
      <c r="KW29" s="110"/>
      <c r="KX29" s="25"/>
      <c r="KY29" s="25"/>
      <c r="KZ29" s="25"/>
      <c r="LA29" s="25"/>
      <c r="LB29" s="25"/>
      <c r="LC29" s="110"/>
      <c r="LD29" s="110"/>
      <c r="LE29" s="25"/>
      <c r="LF29" s="25"/>
      <c r="LG29" s="110" t="s">
        <v>445</v>
      </c>
      <c r="LH29" s="25"/>
      <c r="LI29" s="25"/>
      <c r="LJ29" s="110"/>
      <c r="LK29" s="110"/>
      <c r="LL29" s="25"/>
      <c r="LM29" s="25"/>
      <c r="LN29" s="25"/>
      <c r="LO29" s="25"/>
      <c r="LP29" s="25"/>
      <c r="LQ29" s="110"/>
      <c r="LR29" s="110"/>
      <c r="LS29" s="25"/>
      <c r="LT29" s="25"/>
      <c r="LU29" s="25"/>
      <c r="LV29" s="25"/>
      <c r="LW29" s="25"/>
      <c r="LX29" s="110"/>
      <c r="LY29" s="110"/>
      <c r="LZ29" s="25"/>
      <c r="MA29" s="25"/>
      <c r="MB29" s="25"/>
      <c r="MC29" s="25"/>
      <c r="MD29" s="25"/>
      <c r="ME29" s="110"/>
      <c r="MF29" s="110"/>
      <c r="MG29" s="25"/>
      <c r="MH29" s="25"/>
      <c r="MI29" s="25"/>
      <c r="MJ29" s="25"/>
      <c r="MK29" s="25"/>
      <c r="ML29" s="110"/>
      <c r="MM29" s="110"/>
      <c r="MN29" s="25"/>
      <c r="MO29" s="25"/>
      <c r="MP29" s="25"/>
      <c r="MQ29" s="25"/>
      <c r="MR29" s="25"/>
      <c r="MS29" s="110"/>
      <c r="MT29" s="110"/>
      <c r="MU29" s="25"/>
      <c r="MV29" s="25"/>
      <c r="MW29" s="25"/>
      <c r="MX29" s="25"/>
      <c r="MY29" s="25"/>
      <c r="MZ29" s="110"/>
      <c r="NA29" s="110"/>
      <c r="NB29" s="25"/>
      <c r="NC29" s="25"/>
      <c r="ND29" s="25"/>
      <c r="NE29" s="129"/>
      <c r="NF29" s="111"/>
      <c r="NG29" s="8">
        <f t="shared" si="0"/>
        <v>0</v>
      </c>
      <c r="NH29" s="32" cm="1">
        <f t="array" ref="NH29">NETWORKDAYS($I$2,$AI$2)- SUM(COUNTIF(I29:AI29,{"I";"F";"CP";"R";"P";"AC";"AM"}))</f>
        <v>20</v>
      </c>
      <c r="NI29" s="138">
        <f t="shared" si="1"/>
        <v>0</v>
      </c>
      <c r="NJ29" s="8">
        <f t="shared" si="2"/>
        <v>0</v>
      </c>
      <c r="NK29" s="32" cm="1">
        <f t="array" ref="NK29">NETWORKDAYS($AJ$2,$BK$2)- SUM(COUNTIF(AJ29:BK29,{"I";"F";"CP";"R";"P";"AC";"AM"}))</f>
        <v>20</v>
      </c>
      <c r="NL29" s="138">
        <f t="shared" si="3"/>
        <v>0</v>
      </c>
      <c r="NM29" s="8">
        <f t="shared" si="4"/>
        <v>0</v>
      </c>
      <c r="NN29" s="32" cm="1">
        <f t="array" ref="NN29">NETWORKDAYS($BL$2,$CP$2)- SUM(COUNTIF(BL29:CP29,{"I";"F";"CP";"R";"P";"AC";"AM"}))</f>
        <v>22</v>
      </c>
      <c r="NO29" s="138">
        <f t="shared" si="5"/>
        <v>0</v>
      </c>
      <c r="NP29" s="32">
        <f t="shared" si="26"/>
        <v>0</v>
      </c>
      <c r="NQ29" s="32" cm="1">
        <f t="array" ref="NQ29">NETWORKDAYS($CQ$2,$DT$2,$CV$2)- SUM(COUNTIF(CQ29:DT29,{"I";"F";"CP";"R";"P";"AC";"AM"}))</f>
        <v>21</v>
      </c>
      <c r="NR29" s="138">
        <f t="shared" si="6"/>
        <v>0</v>
      </c>
      <c r="NS29" s="8">
        <f t="shared" si="7"/>
        <v>0</v>
      </c>
      <c r="NT29" s="32" cm="1">
        <f t="array" ref="NT29">NETWORKDAYS($DV$2,$EY$2)-SUM(COUNTIF(DV29:EY29,{"I";"F";"CP";"R";"P";"AC";"AM"}))</f>
        <v>16</v>
      </c>
      <c r="NU29" s="138">
        <f t="shared" si="8"/>
        <v>0</v>
      </c>
      <c r="NV29" s="8">
        <f t="shared" si="9"/>
        <v>0</v>
      </c>
      <c r="NW29" s="32" cm="1">
        <f t="array" ref="NW29">NETWORKDAYS($EZ$2,$GC$2)-SUM(COUNTIF(EZ109:GC109,{"I";"F";"CP";"R";"P";"AC";"AM"}))</f>
        <v>22</v>
      </c>
      <c r="NX29" s="138">
        <f t="shared" si="10"/>
        <v>0</v>
      </c>
      <c r="NY29" s="8">
        <f t="shared" si="11"/>
        <v>0</v>
      </c>
      <c r="NZ29" s="32" cm="1">
        <f t="array" ref="NZ29">NETWORKDAYS($GD$2,$HH$2,$GQ$2)-SUM(COUNTIF(GD29:HH29,{"I";"F";"CP";"R";"P";"AC";"AM"}))</f>
        <v>21</v>
      </c>
      <c r="OA29" s="138">
        <f t="shared" si="12"/>
        <v>0</v>
      </c>
      <c r="OB29" s="8">
        <f t="shared" si="13"/>
        <v>0</v>
      </c>
      <c r="OC29" s="32" cm="1">
        <f t="array" ref="OC29">NETWORKDAYS($HI$2,$IM$2)-SUM(COUNTIF(HI29:IM29,{"I";"F";"CP";"R";"P";"AC";"AM"}))</f>
        <v>21</v>
      </c>
      <c r="OD29" s="138">
        <f t="shared" si="14"/>
        <v>0</v>
      </c>
      <c r="OE29" s="8">
        <f t="shared" si="15"/>
        <v>0</v>
      </c>
      <c r="OF29" s="32" cm="1">
        <f t="array" ref="OF29">NETWORKDAYS($IN$2,$JQ$2)-SUM(COUNTIF(IN29:JQ29,{"I";"F";"CP";"R";"P";"AC";"AM"}))</f>
        <v>22</v>
      </c>
      <c r="OG29" s="138">
        <f t="shared" si="16"/>
        <v>0</v>
      </c>
      <c r="OH29" s="8">
        <f t="shared" si="17"/>
        <v>0</v>
      </c>
      <c r="OI29" s="32" cm="1">
        <f t="array" ref="OI29">NETWORKDAYS($JR$2,$KV$2)-SUM(COUNTIF(JR29:KV29,{"I";"F";"CP";"R";"P";"AC";"AM"}))</f>
        <v>22</v>
      </c>
      <c r="OJ29" s="138">
        <f t="shared" si="18"/>
        <v>0</v>
      </c>
      <c r="OK29" s="8">
        <f t="shared" si="19"/>
        <v>0</v>
      </c>
      <c r="OL29" s="32" cm="1">
        <f t="array" ref="OL29">NETWORKDAYS($KW$2,$LZ$2,$LG$2)-SUM(COUNTIF(KW29:LZ29,{"I";"F";"CP";"R";"P";"AC";"AM"}))</f>
        <v>19</v>
      </c>
      <c r="OM29" s="138">
        <f t="shared" si="20"/>
        <v>0</v>
      </c>
      <c r="ON29" s="8">
        <f t="shared" si="21"/>
        <v>0</v>
      </c>
      <c r="OO29" s="32" cm="1">
        <f t="array" ref="OO29">NETWORKDAYS($MA$2,$MR$2)-SUM(COUNTIF(MA29:MR29,{"I";"F";"CP";"R";"P";"AC";"AM"}))</f>
        <v>14</v>
      </c>
      <c r="OP29" s="138">
        <f t="shared" si="22"/>
        <v>0</v>
      </c>
      <c r="OQ29" s="94">
        <f t="shared" si="23"/>
        <v>0</v>
      </c>
      <c r="OR29" s="94">
        <f t="shared" si="24"/>
        <v>240</v>
      </c>
      <c r="OS29" s="138">
        <f t="shared" si="25"/>
        <v>0</v>
      </c>
    </row>
    <row r="30" spans="1:409" ht="18" hidden="1" customHeight="1" x14ac:dyDescent="0.25">
      <c r="A30" s="95" t="s">
        <v>159</v>
      </c>
      <c r="B30" s="93" t="s">
        <v>45</v>
      </c>
      <c r="C30" s="89" t="s">
        <v>160</v>
      </c>
      <c r="D30" s="89" t="s">
        <v>201</v>
      </c>
      <c r="E30" s="128"/>
      <c r="F30" s="110"/>
      <c r="G30" s="110"/>
      <c r="H30" s="110"/>
      <c r="I30" s="25"/>
      <c r="J30" s="25"/>
      <c r="K30" s="25"/>
      <c r="L30" s="25"/>
      <c r="M30" s="25"/>
      <c r="N30" s="110"/>
      <c r="O30" s="110"/>
      <c r="P30" s="25"/>
      <c r="Q30" s="25"/>
      <c r="R30" s="25"/>
      <c r="S30" s="25"/>
      <c r="T30" s="25"/>
      <c r="U30" s="110"/>
      <c r="V30" s="110"/>
      <c r="W30" s="25"/>
      <c r="X30" s="25"/>
      <c r="Y30" s="25"/>
      <c r="Z30" s="25"/>
      <c r="AA30" s="25"/>
      <c r="AB30" s="110"/>
      <c r="AC30" s="110"/>
      <c r="AD30" s="25"/>
      <c r="AE30" s="25"/>
      <c r="AF30" s="25"/>
      <c r="AG30" s="25"/>
      <c r="AH30" s="25"/>
      <c r="AI30" s="110"/>
      <c r="AJ30" s="110"/>
      <c r="AK30" s="25"/>
      <c r="AL30" s="25"/>
      <c r="AM30" s="25"/>
      <c r="AN30" s="25"/>
      <c r="AO30" s="25"/>
      <c r="AP30" s="110"/>
      <c r="AQ30" s="110"/>
      <c r="AR30" s="25"/>
      <c r="AS30" s="25"/>
      <c r="AT30" s="25"/>
      <c r="AU30" s="25"/>
      <c r="AV30" s="25"/>
      <c r="AW30" s="110"/>
      <c r="AX30" s="110"/>
      <c r="AY30" s="25"/>
      <c r="AZ30" s="25"/>
      <c r="BA30" s="25"/>
      <c r="BB30" s="25"/>
      <c r="BC30" s="25"/>
      <c r="BD30" s="110"/>
      <c r="BE30" s="110"/>
      <c r="BF30" s="25"/>
      <c r="BG30" s="25"/>
      <c r="BH30" s="25"/>
      <c r="BI30" s="25"/>
      <c r="BJ30" s="25"/>
      <c r="BK30" s="110"/>
      <c r="BL30" s="110"/>
      <c r="BM30" s="25"/>
      <c r="BN30" s="25"/>
      <c r="BO30" s="25"/>
      <c r="BP30" s="25"/>
      <c r="BQ30" s="25"/>
      <c r="BR30" s="110"/>
      <c r="BS30" s="110"/>
      <c r="BT30" s="25"/>
      <c r="BU30" s="25"/>
      <c r="BV30" s="25"/>
      <c r="BW30" s="25"/>
      <c r="BX30" s="25"/>
      <c r="BY30" s="110"/>
      <c r="BZ30" s="110"/>
      <c r="CA30" s="25"/>
      <c r="CB30" s="25"/>
      <c r="CC30" s="25"/>
      <c r="CD30" s="25"/>
      <c r="CE30" s="25"/>
      <c r="CF30" s="110"/>
      <c r="CG30" s="110"/>
      <c r="CH30" s="25"/>
      <c r="CI30" s="25"/>
      <c r="CJ30" s="25"/>
      <c r="CK30" s="25"/>
      <c r="CL30" s="25"/>
      <c r="CM30" s="110"/>
      <c r="CN30" s="110"/>
      <c r="CO30" s="25"/>
      <c r="CP30" s="25"/>
      <c r="CQ30" s="25"/>
      <c r="CR30" s="25"/>
      <c r="CS30" s="25"/>
      <c r="CT30" s="110"/>
      <c r="CU30" s="110"/>
      <c r="CV30" s="110"/>
      <c r="CW30" s="25"/>
      <c r="CX30" s="25"/>
      <c r="CY30" s="25"/>
      <c r="CZ30" s="25"/>
      <c r="DA30" s="110"/>
      <c r="DB30" s="110"/>
      <c r="DC30" s="25"/>
      <c r="DD30" s="25"/>
      <c r="DE30" s="25"/>
      <c r="DF30" s="25"/>
      <c r="DG30" s="25"/>
      <c r="DH30" s="110"/>
      <c r="DI30" s="110"/>
      <c r="DJ30" s="25"/>
      <c r="DK30" s="25"/>
      <c r="DL30" s="25"/>
      <c r="DM30" s="25"/>
      <c r="DN30" s="25"/>
      <c r="DO30" s="110"/>
      <c r="DP30" s="110"/>
      <c r="DQ30" s="25"/>
      <c r="DR30" s="25"/>
      <c r="DS30" s="25"/>
      <c r="DT30" s="25"/>
      <c r="DU30" s="110"/>
      <c r="DV30" s="110"/>
      <c r="DW30" s="110"/>
      <c r="DX30" s="25"/>
      <c r="DY30" s="25"/>
      <c r="DZ30" s="25"/>
      <c r="EA30" s="25"/>
      <c r="EB30" s="110" t="s">
        <v>445</v>
      </c>
      <c r="EC30" s="110"/>
      <c r="ED30" s="110"/>
      <c r="EE30" s="25"/>
      <c r="EF30" s="25"/>
      <c r="EG30" s="25"/>
      <c r="EH30" s="110" t="s">
        <v>445</v>
      </c>
      <c r="EI30" s="110" t="s">
        <v>445</v>
      </c>
      <c r="EJ30" s="110"/>
      <c r="EK30" s="110"/>
      <c r="EL30" s="25"/>
      <c r="EM30" s="25"/>
      <c r="EN30" s="25"/>
      <c r="EO30" s="25"/>
      <c r="EP30" s="25"/>
      <c r="EQ30" s="110"/>
      <c r="ER30" s="110"/>
      <c r="ES30" s="110" t="s">
        <v>445</v>
      </c>
      <c r="ET30" s="25"/>
      <c r="EU30" s="25"/>
      <c r="EV30" s="25"/>
      <c r="EW30" s="25"/>
      <c r="EX30" s="110"/>
      <c r="EY30" s="110"/>
      <c r="EZ30" s="25"/>
      <c r="FA30" s="25"/>
      <c r="FB30" s="25"/>
      <c r="FC30" s="25"/>
      <c r="FD30" s="25"/>
      <c r="FE30" s="110"/>
      <c r="FF30" s="110"/>
      <c r="FG30" s="25"/>
      <c r="FH30" s="25"/>
      <c r="FI30" s="25"/>
      <c r="FJ30" s="25"/>
      <c r="FK30" s="25"/>
      <c r="FL30" s="110"/>
      <c r="FM30" s="110"/>
      <c r="FN30" s="25"/>
      <c r="FO30" s="25"/>
      <c r="FP30" s="25"/>
      <c r="FQ30" s="25"/>
      <c r="FR30" s="25"/>
      <c r="FS30" s="110"/>
      <c r="FT30" s="110"/>
      <c r="FU30" s="25"/>
      <c r="FV30" s="25"/>
      <c r="FW30" s="25"/>
      <c r="FX30" s="25"/>
      <c r="FY30" s="25"/>
      <c r="FZ30" s="110"/>
      <c r="GA30" s="110"/>
      <c r="GB30" s="25"/>
      <c r="GC30" s="25"/>
      <c r="GD30" s="25"/>
      <c r="GE30" s="25"/>
      <c r="GF30" s="25"/>
      <c r="GG30" s="110"/>
      <c r="GH30" s="110"/>
      <c r="GI30" s="25"/>
      <c r="GJ30" s="25"/>
      <c r="GK30" s="25"/>
      <c r="GL30" s="25"/>
      <c r="GM30" s="25"/>
      <c r="GN30" s="110"/>
      <c r="GO30" s="110"/>
      <c r="GP30" s="110"/>
      <c r="GQ30" s="110" t="s">
        <v>445</v>
      </c>
      <c r="GR30" s="25"/>
      <c r="GS30" s="25"/>
      <c r="GT30" s="25"/>
      <c r="GU30" s="110"/>
      <c r="GV30" s="110"/>
      <c r="GW30" s="25"/>
      <c r="GX30" s="25"/>
      <c r="GY30" s="25"/>
      <c r="GZ30" s="25"/>
      <c r="HA30" s="25"/>
      <c r="HB30" s="110"/>
      <c r="HC30" s="110"/>
      <c r="HD30" s="25"/>
      <c r="HE30" s="25"/>
      <c r="HF30" s="25"/>
      <c r="HG30" s="25"/>
      <c r="HH30" s="25"/>
      <c r="HI30" s="110"/>
      <c r="HJ30" s="110"/>
      <c r="HK30" s="25"/>
      <c r="HL30" s="25"/>
      <c r="HM30" s="25"/>
      <c r="HN30" s="25"/>
      <c r="HO30" s="25"/>
      <c r="HP30" s="110"/>
      <c r="HQ30" s="110"/>
      <c r="HR30" s="25"/>
      <c r="HS30" s="25"/>
      <c r="HT30" s="25"/>
      <c r="HU30" s="25"/>
      <c r="HV30" s="25"/>
      <c r="HW30" s="110"/>
      <c r="HX30" s="110"/>
      <c r="HY30" s="25"/>
      <c r="HZ30" s="25"/>
      <c r="IA30" s="25"/>
      <c r="IB30" s="25"/>
      <c r="IC30" s="25"/>
      <c r="ID30" s="110"/>
      <c r="IE30" s="110"/>
      <c r="IF30" s="25"/>
      <c r="IG30" s="25"/>
      <c r="IH30" s="25"/>
      <c r="II30" s="25"/>
      <c r="IJ30" s="25"/>
      <c r="IK30" s="110"/>
      <c r="IL30" s="110"/>
      <c r="IM30" s="25"/>
      <c r="IN30" s="25"/>
      <c r="IO30" s="25"/>
      <c r="IP30" s="25"/>
      <c r="IQ30" s="25"/>
      <c r="IR30" s="110"/>
      <c r="IS30" s="110"/>
      <c r="IT30" s="25"/>
      <c r="IU30" s="25"/>
      <c r="IV30" s="25"/>
      <c r="IW30" s="25"/>
      <c r="IX30" s="25"/>
      <c r="IY30" s="110"/>
      <c r="IZ30" s="110"/>
      <c r="JA30" s="25"/>
      <c r="JB30" s="25"/>
      <c r="JC30" s="25"/>
      <c r="JD30" s="25"/>
      <c r="JE30" s="25"/>
      <c r="JF30" s="110"/>
      <c r="JG30" s="110"/>
      <c r="JH30" s="25"/>
      <c r="JI30" s="25"/>
      <c r="JJ30" s="25"/>
      <c r="JK30" s="25"/>
      <c r="JL30" s="25"/>
      <c r="JM30" s="110"/>
      <c r="JN30" s="110"/>
      <c r="JO30" s="25"/>
      <c r="JP30" s="25"/>
      <c r="JQ30" s="25"/>
      <c r="JR30" s="25"/>
      <c r="JS30" s="25"/>
      <c r="JT30" s="110"/>
      <c r="JU30" s="110"/>
      <c r="JV30" s="25"/>
      <c r="JW30" s="25"/>
      <c r="JX30" s="25"/>
      <c r="JY30" s="25"/>
      <c r="JZ30" s="25"/>
      <c r="KA30" s="110"/>
      <c r="KB30" s="110"/>
      <c r="KC30" s="25"/>
      <c r="KD30" s="25"/>
      <c r="KE30" s="25"/>
      <c r="KF30" s="25"/>
      <c r="KG30" s="25"/>
      <c r="KH30" s="110"/>
      <c r="KI30" s="110"/>
      <c r="KJ30" s="25"/>
      <c r="KK30" s="25"/>
      <c r="KL30" s="25"/>
      <c r="KM30" s="25"/>
      <c r="KN30" s="25"/>
      <c r="KO30" s="110"/>
      <c r="KP30" s="110"/>
      <c r="KQ30" s="25"/>
      <c r="KR30" s="25"/>
      <c r="KS30" s="25"/>
      <c r="KT30" s="25"/>
      <c r="KU30" s="25"/>
      <c r="KV30" s="110"/>
      <c r="KW30" s="110"/>
      <c r="KX30" s="25"/>
      <c r="KY30" s="25"/>
      <c r="KZ30" s="25"/>
      <c r="LA30" s="25"/>
      <c r="LB30" s="25"/>
      <c r="LC30" s="110"/>
      <c r="LD30" s="110"/>
      <c r="LE30" s="25"/>
      <c r="LF30" s="25"/>
      <c r="LG30" s="110" t="s">
        <v>445</v>
      </c>
      <c r="LH30" s="25"/>
      <c r="LI30" s="25"/>
      <c r="LJ30" s="110"/>
      <c r="LK30" s="110"/>
      <c r="LL30" s="25"/>
      <c r="LM30" s="25"/>
      <c r="LN30" s="25"/>
      <c r="LO30" s="25"/>
      <c r="LP30" s="25"/>
      <c r="LQ30" s="110"/>
      <c r="LR30" s="110"/>
      <c r="LS30" s="25"/>
      <c r="LT30" s="25"/>
      <c r="LU30" s="25"/>
      <c r="LV30" s="25"/>
      <c r="LW30" s="25"/>
      <c r="LX30" s="110"/>
      <c r="LY30" s="110"/>
      <c r="LZ30" s="25"/>
      <c r="MA30" s="25"/>
      <c r="MB30" s="25"/>
      <c r="MC30" s="25"/>
      <c r="MD30" s="25"/>
      <c r="ME30" s="110"/>
      <c r="MF30" s="110"/>
      <c r="MG30" s="25"/>
      <c r="MH30" s="25"/>
      <c r="MI30" s="25"/>
      <c r="MJ30" s="25"/>
      <c r="MK30" s="25"/>
      <c r="ML30" s="110"/>
      <c r="MM30" s="110"/>
      <c r="MN30" s="25"/>
      <c r="MO30" s="25"/>
      <c r="MP30" s="25"/>
      <c r="MQ30" s="25"/>
      <c r="MR30" s="25"/>
      <c r="MS30" s="110"/>
      <c r="MT30" s="110"/>
      <c r="MU30" s="25"/>
      <c r="MV30" s="25"/>
      <c r="MW30" s="25"/>
      <c r="MX30" s="25"/>
      <c r="MY30" s="25"/>
      <c r="MZ30" s="110"/>
      <c r="NA30" s="110"/>
      <c r="NB30" s="25"/>
      <c r="NC30" s="25"/>
      <c r="ND30" s="25"/>
      <c r="NE30" s="129"/>
      <c r="NF30" s="111"/>
      <c r="NG30" s="8">
        <f t="shared" si="0"/>
        <v>0</v>
      </c>
      <c r="NH30" s="32" cm="1">
        <f t="array" ref="NH30">NETWORKDAYS($I$2,$AI$2)- SUM(COUNTIF(I30:AI30,{"I";"F";"CP";"R";"P";"AC";"AM"}))</f>
        <v>20</v>
      </c>
      <c r="NI30" s="138">
        <f t="shared" si="1"/>
        <v>0</v>
      </c>
      <c r="NJ30" s="8">
        <f t="shared" si="2"/>
        <v>0</v>
      </c>
      <c r="NK30" s="32" cm="1">
        <f t="array" ref="NK30">NETWORKDAYS($AJ$2,$BK$2)- SUM(COUNTIF(AJ30:BK30,{"I";"F";"CP";"R";"P";"AC";"AM"}))</f>
        <v>20</v>
      </c>
      <c r="NL30" s="138">
        <f t="shared" si="3"/>
        <v>0</v>
      </c>
      <c r="NM30" s="8">
        <f t="shared" si="4"/>
        <v>0</v>
      </c>
      <c r="NN30" s="32" cm="1">
        <f t="array" ref="NN30">NETWORKDAYS($BL$2,$CP$2)- SUM(COUNTIF(BL30:CP30,{"I";"F";"CP";"R";"P";"AC";"AM"}))</f>
        <v>22</v>
      </c>
      <c r="NO30" s="138">
        <f t="shared" si="5"/>
        <v>0</v>
      </c>
      <c r="NP30" s="8">
        <f t="shared" si="26"/>
        <v>0</v>
      </c>
      <c r="NQ30" s="32" cm="1">
        <f t="array" ref="NQ30">NETWORKDAYS($CQ$2,$DT$2,$CV$2)- SUM(COUNTIF(CQ30:DT30,{"I";"F";"CP";"R";"P";"AC";"AM"}))</f>
        <v>21</v>
      </c>
      <c r="NR30" s="138">
        <f t="shared" si="6"/>
        <v>0</v>
      </c>
      <c r="NS30" s="8">
        <f t="shared" si="7"/>
        <v>0</v>
      </c>
      <c r="NT30" s="32" cm="1">
        <f t="array" ref="NT30">NETWORKDAYS($DV$2,$EY$2)-SUM(COUNTIF(DV30:EY30,{"I";"F";"CP";"R";"P";"AC";"AM"}))</f>
        <v>16</v>
      </c>
      <c r="NU30" s="138">
        <f t="shared" si="8"/>
        <v>0</v>
      </c>
      <c r="NV30" s="8">
        <f t="shared" si="9"/>
        <v>0</v>
      </c>
      <c r="NW30" s="32" cm="1">
        <f t="array" ref="NW30">NETWORKDAYS($EZ$2,$GC$2)-SUM(COUNTIF(EZ110:GC110,{"I";"F";"CP";"R";"P";"AC";"AM"}))</f>
        <v>22</v>
      </c>
      <c r="NX30" s="138">
        <f t="shared" si="10"/>
        <v>0</v>
      </c>
      <c r="NY30" s="8">
        <f t="shared" si="11"/>
        <v>0</v>
      </c>
      <c r="NZ30" s="32" cm="1">
        <f t="array" ref="NZ30">NETWORKDAYS($GD$2,$HH$2,$GQ$2)-SUM(COUNTIF(GD30:HH30,{"I";"F";"CP";"R";"P";"AC";"AM"}))</f>
        <v>21</v>
      </c>
      <c r="OA30" s="138">
        <f t="shared" si="12"/>
        <v>0</v>
      </c>
      <c r="OB30" s="8">
        <f t="shared" si="13"/>
        <v>0</v>
      </c>
      <c r="OC30" s="32" cm="1">
        <f t="array" ref="OC30">NETWORKDAYS($HI$2,$IM$2)-SUM(COUNTIF(HI30:IM30,{"I";"F";"CP";"R";"P";"AC";"AM"}))</f>
        <v>21</v>
      </c>
      <c r="OD30" s="138">
        <f t="shared" si="14"/>
        <v>0</v>
      </c>
      <c r="OE30" s="8">
        <f t="shared" si="15"/>
        <v>0</v>
      </c>
      <c r="OF30" s="32" cm="1">
        <f t="array" ref="OF30">NETWORKDAYS($IN$2,$JQ$2)-SUM(COUNTIF(IN30:JQ30,{"I";"F";"CP";"R";"P";"AC";"AM"}))</f>
        <v>22</v>
      </c>
      <c r="OG30" s="138">
        <f t="shared" si="16"/>
        <v>0</v>
      </c>
      <c r="OH30" s="8">
        <f t="shared" si="17"/>
        <v>0</v>
      </c>
      <c r="OI30" s="32" cm="1">
        <f t="array" ref="OI30">NETWORKDAYS($JR$2,$KV$2)-SUM(COUNTIF(JR30:KV30,{"I";"F";"CP";"R";"P";"AC";"AM"}))</f>
        <v>22</v>
      </c>
      <c r="OJ30" s="138">
        <f t="shared" si="18"/>
        <v>0</v>
      </c>
      <c r="OK30" s="8">
        <f t="shared" si="19"/>
        <v>0</v>
      </c>
      <c r="OL30" s="32" cm="1">
        <f t="array" ref="OL30">NETWORKDAYS($KW$2,$LZ$2,$LG$2)-SUM(COUNTIF(KW30:LZ30,{"I";"F";"CP";"R";"P";"AC";"AM"}))</f>
        <v>19</v>
      </c>
      <c r="OM30" s="138">
        <f t="shared" si="20"/>
        <v>0</v>
      </c>
      <c r="ON30" s="8">
        <f t="shared" si="21"/>
        <v>0</v>
      </c>
      <c r="OO30" s="32" cm="1">
        <f t="array" ref="OO30">NETWORKDAYS($MA$2,$MR$2)-SUM(COUNTIF(MA30:MR30,{"I";"F";"CP";"R";"P";"AC";"AM"}))</f>
        <v>14</v>
      </c>
      <c r="OP30" s="138">
        <f t="shared" si="22"/>
        <v>0</v>
      </c>
      <c r="OQ30" s="94">
        <f t="shared" si="23"/>
        <v>0</v>
      </c>
      <c r="OR30" s="94">
        <f t="shared" si="24"/>
        <v>240</v>
      </c>
      <c r="OS30" s="138">
        <f t="shared" si="25"/>
        <v>0</v>
      </c>
    </row>
    <row r="31" spans="1:409" ht="18" hidden="1" customHeight="1" x14ac:dyDescent="0.25">
      <c r="A31" s="95" t="s">
        <v>202</v>
      </c>
      <c r="B31" s="95" t="s">
        <v>45</v>
      </c>
      <c r="C31" s="89" t="s">
        <v>160</v>
      </c>
      <c r="D31" s="89" t="s">
        <v>203</v>
      </c>
      <c r="E31" s="128"/>
      <c r="F31" s="110"/>
      <c r="G31" s="110"/>
      <c r="H31" s="110"/>
      <c r="I31" s="25"/>
      <c r="J31" s="25"/>
      <c r="K31" s="25"/>
      <c r="L31" s="25"/>
      <c r="M31" s="25"/>
      <c r="N31" s="110"/>
      <c r="O31" s="110"/>
      <c r="P31" s="25"/>
      <c r="Q31" s="25"/>
      <c r="R31" s="25"/>
      <c r="S31" s="25"/>
      <c r="T31" s="25"/>
      <c r="U31" s="110"/>
      <c r="V31" s="110"/>
      <c r="W31" s="25"/>
      <c r="X31" s="25"/>
      <c r="Y31" s="25"/>
      <c r="Z31" s="25"/>
      <c r="AA31" s="25"/>
      <c r="AB31" s="110"/>
      <c r="AC31" s="110"/>
      <c r="AD31" s="25"/>
      <c r="AE31" s="25"/>
      <c r="AF31" s="25"/>
      <c r="AG31" s="25"/>
      <c r="AH31" s="25"/>
      <c r="AI31" s="110"/>
      <c r="AJ31" s="110"/>
      <c r="AK31" s="25"/>
      <c r="AL31" s="25"/>
      <c r="AM31" s="25"/>
      <c r="AN31" s="25"/>
      <c r="AO31" s="25"/>
      <c r="AP31" s="110"/>
      <c r="AQ31" s="110"/>
      <c r="AR31" s="25"/>
      <c r="AS31" s="25"/>
      <c r="AT31" s="25"/>
      <c r="AU31" s="25"/>
      <c r="AV31" s="25"/>
      <c r="AW31" s="110"/>
      <c r="AX31" s="110"/>
      <c r="AY31" s="25"/>
      <c r="AZ31" s="25"/>
      <c r="BA31" s="25"/>
      <c r="BB31" s="25"/>
      <c r="BC31" s="25"/>
      <c r="BD31" s="110"/>
      <c r="BE31" s="110"/>
      <c r="BF31" s="25"/>
      <c r="BG31" s="25"/>
      <c r="BH31" s="25"/>
      <c r="BI31" s="25"/>
      <c r="BJ31" s="25"/>
      <c r="BK31" s="110"/>
      <c r="BL31" s="110"/>
      <c r="BM31" s="25"/>
      <c r="BN31" s="25"/>
      <c r="BO31" s="25"/>
      <c r="BP31" s="25"/>
      <c r="BQ31" s="25"/>
      <c r="BR31" s="110"/>
      <c r="BS31" s="110"/>
      <c r="BT31" s="25"/>
      <c r="BU31" s="25"/>
      <c r="BV31" s="25"/>
      <c r="BW31" s="25"/>
      <c r="BX31" s="25"/>
      <c r="BY31" s="110"/>
      <c r="BZ31" s="110"/>
      <c r="CA31" s="25"/>
      <c r="CB31" s="25"/>
      <c r="CC31" s="25"/>
      <c r="CD31" s="25"/>
      <c r="CE31" s="25"/>
      <c r="CF31" s="110"/>
      <c r="CG31" s="110"/>
      <c r="CH31" s="25"/>
      <c r="CI31" s="25"/>
      <c r="CJ31" s="25"/>
      <c r="CK31" s="25"/>
      <c r="CL31" s="25"/>
      <c r="CM31" s="110"/>
      <c r="CN31" s="110"/>
      <c r="CO31" s="25"/>
      <c r="CP31" s="25"/>
      <c r="CQ31" s="25"/>
      <c r="CR31" s="25"/>
      <c r="CS31" s="25"/>
      <c r="CT31" s="110"/>
      <c r="CU31" s="110"/>
      <c r="CV31" s="110"/>
      <c r="CW31" s="25"/>
      <c r="CX31" s="25"/>
      <c r="CY31" s="25"/>
      <c r="CZ31" s="25"/>
      <c r="DA31" s="110"/>
      <c r="DB31" s="110"/>
      <c r="DC31" s="25"/>
      <c r="DD31" s="25"/>
      <c r="DE31" s="25"/>
      <c r="DF31" s="25"/>
      <c r="DG31" s="25"/>
      <c r="DH31" s="110"/>
      <c r="DI31" s="110"/>
      <c r="DJ31" s="25"/>
      <c r="DK31" s="25"/>
      <c r="DL31" s="25"/>
      <c r="DM31" s="25"/>
      <c r="DN31" s="25"/>
      <c r="DO31" s="110"/>
      <c r="DP31" s="110"/>
      <c r="DQ31" s="25"/>
      <c r="DR31" s="25"/>
      <c r="DS31" s="25"/>
      <c r="DT31" s="25"/>
      <c r="DU31" s="110"/>
      <c r="DV31" s="110"/>
      <c r="DW31" s="110"/>
      <c r="DX31" s="25"/>
      <c r="DY31" s="25"/>
      <c r="DZ31" s="25"/>
      <c r="EA31" s="25"/>
      <c r="EB31" s="110" t="s">
        <v>445</v>
      </c>
      <c r="EC31" s="110"/>
      <c r="ED31" s="110"/>
      <c r="EE31" s="25"/>
      <c r="EF31" s="25"/>
      <c r="EG31" s="25"/>
      <c r="EH31" s="110" t="s">
        <v>445</v>
      </c>
      <c r="EI31" s="110" t="s">
        <v>445</v>
      </c>
      <c r="EJ31" s="110"/>
      <c r="EK31" s="110"/>
      <c r="EL31" s="25"/>
      <c r="EM31" s="25"/>
      <c r="EN31" s="25"/>
      <c r="EO31" s="25"/>
      <c r="EP31" s="25"/>
      <c r="EQ31" s="110"/>
      <c r="ER31" s="110"/>
      <c r="ES31" s="110" t="s">
        <v>445</v>
      </c>
      <c r="ET31" s="25"/>
      <c r="EU31" s="25"/>
      <c r="EV31" s="25"/>
      <c r="EW31" s="25"/>
      <c r="EX31" s="110"/>
      <c r="EY31" s="110"/>
      <c r="EZ31" s="25"/>
      <c r="FA31" s="25"/>
      <c r="FB31" s="25"/>
      <c r="FC31" s="25"/>
      <c r="FD31" s="25"/>
      <c r="FE31" s="110"/>
      <c r="FF31" s="110"/>
      <c r="FG31" s="25"/>
      <c r="FH31" s="25"/>
      <c r="FI31" s="25"/>
      <c r="FJ31" s="25"/>
      <c r="FK31" s="25"/>
      <c r="FL31" s="110"/>
      <c r="FM31" s="110"/>
      <c r="FN31" s="25"/>
      <c r="FO31" s="25"/>
      <c r="FP31" s="25"/>
      <c r="FQ31" s="25"/>
      <c r="FR31" s="25"/>
      <c r="FS31" s="110"/>
      <c r="FT31" s="110"/>
      <c r="FU31" s="25"/>
      <c r="FV31" s="25"/>
      <c r="FW31" s="25"/>
      <c r="FX31" s="25"/>
      <c r="FY31" s="25"/>
      <c r="FZ31" s="110"/>
      <c r="GA31" s="110"/>
      <c r="GB31" s="25"/>
      <c r="GC31" s="25"/>
      <c r="GD31" s="25"/>
      <c r="GE31" s="25"/>
      <c r="GF31" s="25"/>
      <c r="GG31" s="110"/>
      <c r="GH31" s="110"/>
      <c r="GI31" s="25"/>
      <c r="GJ31" s="25"/>
      <c r="GK31" s="25"/>
      <c r="GL31" s="25"/>
      <c r="GM31" s="25"/>
      <c r="GN31" s="110"/>
      <c r="GO31" s="110"/>
      <c r="GP31" s="110"/>
      <c r="GQ31" s="110" t="s">
        <v>445</v>
      </c>
      <c r="GR31" s="25"/>
      <c r="GS31" s="25"/>
      <c r="GT31" s="25"/>
      <c r="GU31" s="110"/>
      <c r="GV31" s="110"/>
      <c r="GW31" s="25"/>
      <c r="GX31" s="25"/>
      <c r="GY31" s="25"/>
      <c r="GZ31" s="25"/>
      <c r="HA31" s="25"/>
      <c r="HB31" s="110"/>
      <c r="HC31" s="110"/>
      <c r="HD31" s="25"/>
      <c r="HE31" s="25"/>
      <c r="HF31" s="25"/>
      <c r="HG31" s="25"/>
      <c r="HH31" s="25"/>
      <c r="HI31" s="110"/>
      <c r="HJ31" s="110"/>
      <c r="HK31" s="25"/>
      <c r="HL31" s="25"/>
      <c r="HM31" s="25"/>
      <c r="HN31" s="25"/>
      <c r="HO31" s="25"/>
      <c r="HP31" s="110"/>
      <c r="HQ31" s="110"/>
      <c r="HR31" s="25"/>
      <c r="HS31" s="25"/>
      <c r="HT31" s="25"/>
      <c r="HU31" s="25"/>
      <c r="HV31" s="25"/>
      <c r="HW31" s="110"/>
      <c r="HX31" s="110"/>
      <c r="HY31" s="25"/>
      <c r="HZ31" s="25"/>
      <c r="IA31" s="25"/>
      <c r="IB31" s="25"/>
      <c r="IC31" s="25"/>
      <c r="ID31" s="110"/>
      <c r="IE31" s="110"/>
      <c r="IF31" s="25"/>
      <c r="IG31" s="25"/>
      <c r="IH31" s="25"/>
      <c r="II31" s="25"/>
      <c r="IJ31" s="25"/>
      <c r="IK31" s="110"/>
      <c r="IL31" s="110"/>
      <c r="IM31" s="25"/>
      <c r="IN31" s="25"/>
      <c r="IO31" s="25"/>
      <c r="IP31" s="25"/>
      <c r="IQ31" s="25"/>
      <c r="IR31" s="110"/>
      <c r="IS31" s="110"/>
      <c r="IT31" s="25"/>
      <c r="IU31" s="25"/>
      <c r="IV31" s="25"/>
      <c r="IW31" s="25"/>
      <c r="IX31" s="25"/>
      <c r="IY31" s="110"/>
      <c r="IZ31" s="110"/>
      <c r="JA31" s="25"/>
      <c r="JB31" s="25"/>
      <c r="JC31" s="25"/>
      <c r="JD31" s="25"/>
      <c r="JE31" s="25"/>
      <c r="JF31" s="110"/>
      <c r="JG31" s="110"/>
      <c r="JH31" s="25"/>
      <c r="JI31" s="25"/>
      <c r="JJ31" s="25"/>
      <c r="JK31" s="25"/>
      <c r="JL31" s="25"/>
      <c r="JM31" s="110"/>
      <c r="JN31" s="110"/>
      <c r="JO31" s="25"/>
      <c r="JP31" s="25"/>
      <c r="JQ31" s="25"/>
      <c r="JR31" s="25"/>
      <c r="JS31" s="25"/>
      <c r="JT31" s="110"/>
      <c r="JU31" s="110"/>
      <c r="JV31" s="25"/>
      <c r="JW31" s="25"/>
      <c r="JX31" s="25"/>
      <c r="JY31" s="25"/>
      <c r="JZ31" s="25"/>
      <c r="KA31" s="110"/>
      <c r="KB31" s="110"/>
      <c r="KC31" s="25"/>
      <c r="KD31" s="25"/>
      <c r="KE31" s="25"/>
      <c r="KF31" s="25"/>
      <c r="KG31" s="25"/>
      <c r="KH31" s="110"/>
      <c r="KI31" s="110"/>
      <c r="KJ31" s="25"/>
      <c r="KK31" s="25"/>
      <c r="KL31" s="25"/>
      <c r="KM31" s="25"/>
      <c r="KN31" s="25"/>
      <c r="KO31" s="110"/>
      <c r="KP31" s="110"/>
      <c r="KQ31" s="25"/>
      <c r="KR31" s="25"/>
      <c r="KS31" s="25"/>
      <c r="KT31" s="25"/>
      <c r="KU31" s="25"/>
      <c r="KV31" s="110"/>
      <c r="KW31" s="110"/>
      <c r="KX31" s="25"/>
      <c r="KY31" s="25"/>
      <c r="KZ31" s="25"/>
      <c r="LA31" s="25"/>
      <c r="LB31" s="25"/>
      <c r="LC31" s="110"/>
      <c r="LD31" s="110"/>
      <c r="LE31" s="25"/>
      <c r="LF31" s="25"/>
      <c r="LG31" s="110" t="s">
        <v>445</v>
      </c>
      <c r="LH31" s="25"/>
      <c r="LI31" s="25"/>
      <c r="LJ31" s="110"/>
      <c r="LK31" s="110"/>
      <c r="LL31" s="25"/>
      <c r="LM31" s="25"/>
      <c r="LN31" s="25"/>
      <c r="LO31" s="25"/>
      <c r="LP31" s="25"/>
      <c r="LQ31" s="110"/>
      <c r="LR31" s="110"/>
      <c r="LS31" s="25"/>
      <c r="LT31" s="25"/>
      <c r="LU31" s="25"/>
      <c r="LV31" s="25"/>
      <c r="LW31" s="25"/>
      <c r="LX31" s="110"/>
      <c r="LY31" s="110"/>
      <c r="LZ31" s="25"/>
      <c r="MA31" s="25"/>
      <c r="MB31" s="25"/>
      <c r="MC31" s="25"/>
      <c r="MD31" s="25"/>
      <c r="ME31" s="110"/>
      <c r="MF31" s="110"/>
      <c r="MG31" s="25"/>
      <c r="MH31" s="25"/>
      <c r="MI31" s="25"/>
      <c r="MJ31" s="25"/>
      <c r="MK31" s="25"/>
      <c r="ML31" s="110"/>
      <c r="MM31" s="110"/>
      <c r="MN31" s="25"/>
      <c r="MO31" s="25"/>
      <c r="MP31" s="25"/>
      <c r="MQ31" s="25"/>
      <c r="MR31" s="25"/>
      <c r="MS31" s="110"/>
      <c r="MT31" s="110"/>
      <c r="MU31" s="25"/>
      <c r="MV31" s="25"/>
      <c r="MW31" s="25"/>
      <c r="MX31" s="25"/>
      <c r="MY31" s="25"/>
      <c r="MZ31" s="110"/>
      <c r="NA31" s="110"/>
      <c r="NB31" s="25"/>
      <c r="NC31" s="25"/>
      <c r="ND31" s="25"/>
      <c r="NE31" s="129"/>
      <c r="NF31" s="111"/>
      <c r="NG31" s="8">
        <f t="shared" si="0"/>
        <v>0</v>
      </c>
      <c r="NH31" s="32" cm="1">
        <f t="array" ref="NH31">NETWORKDAYS($I$2,$AI$2)- SUM(COUNTIF(I31:AI31,{"I";"F";"CP";"R";"P";"AC";"AM"}))</f>
        <v>20</v>
      </c>
      <c r="NI31" s="138">
        <f t="shared" si="1"/>
        <v>0</v>
      </c>
      <c r="NJ31" s="8">
        <f t="shared" si="2"/>
        <v>0</v>
      </c>
      <c r="NK31" s="32" cm="1">
        <f t="array" ref="NK31">NETWORKDAYS($AJ$2,$BK$2)- SUM(COUNTIF(AJ31:BK31,{"I";"F";"CP";"R";"P";"AC";"AM"}))</f>
        <v>20</v>
      </c>
      <c r="NL31" s="138">
        <f t="shared" si="3"/>
        <v>0</v>
      </c>
      <c r="NM31" s="8">
        <f t="shared" si="4"/>
        <v>0</v>
      </c>
      <c r="NN31" s="32" cm="1">
        <f t="array" ref="NN31">NETWORKDAYS($BL$2,$CP$2)- SUM(COUNTIF(BL31:CP31,{"I";"F";"CP";"R";"P";"AC";"AM"}))</f>
        <v>22</v>
      </c>
      <c r="NO31" s="138">
        <f t="shared" si="5"/>
        <v>0</v>
      </c>
      <c r="NP31" s="32">
        <f t="shared" si="26"/>
        <v>0</v>
      </c>
      <c r="NQ31" s="32" cm="1">
        <f t="array" ref="NQ31">NETWORKDAYS($CQ$2,$DT$2,$CV$2)- SUM(COUNTIF(CQ31:DT31,{"I";"F";"CP";"R";"P";"AC";"AM"}))</f>
        <v>21</v>
      </c>
      <c r="NR31" s="138">
        <f t="shared" si="6"/>
        <v>0</v>
      </c>
      <c r="NS31" s="8">
        <f t="shared" si="7"/>
        <v>0</v>
      </c>
      <c r="NT31" s="32" cm="1">
        <f t="array" ref="NT31">NETWORKDAYS($DV$2,$EY$2)-SUM(COUNTIF(DV31:EY31,{"I";"F";"CP";"R";"P";"AC";"AM"}))</f>
        <v>16</v>
      </c>
      <c r="NU31" s="138">
        <f t="shared" si="8"/>
        <v>0</v>
      </c>
      <c r="NV31" s="8">
        <f t="shared" si="9"/>
        <v>0</v>
      </c>
      <c r="NW31" s="32" cm="1">
        <f t="array" ref="NW31">NETWORKDAYS($EZ$2,$GC$2)-SUM(COUNTIF(EZ111:GC111,{"I";"F";"CP";"R";"P";"AC";"AM"}))</f>
        <v>22</v>
      </c>
      <c r="NX31" s="138">
        <f t="shared" si="10"/>
        <v>0</v>
      </c>
      <c r="NY31" s="8">
        <f t="shared" si="11"/>
        <v>0</v>
      </c>
      <c r="NZ31" s="32" cm="1">
        <f t="array" ref="NZ31">NETWORKDAYS($GD$2,$HH$2,$GQ$2)-SUM(COUNTIF(GD31:HH31,{"I";"F";"CP";"R";"P";"AC";"AM"}))</f>
        <v>21</v>
      </c>
      <c r="OA31" s="138">
        <f t="shared" si="12"/>
        <v>0</v>
      </c>
      <c r="OB31" s="8">
        <f t="shared" si="13"/>
        <v>0</v>
      </c>
      <c r="OC31" s="32" cm="1">
        <f t="array" ref="OC31">NETWORKDAYS($HI$2,$IM$2)-SUM(COUNTIF(HI31:IM31,{"I";"F";"CP";"R";"P";"AC";"AM"}))</f>
        <v>21</v>
      </c>
      <c r="OD31" s="138">
        <f t="shared" si="14"/>
        <v>0</v>
      </c>
      <c r="OE31" s="8">
        <f t="shared" si="15"/>
        <v>0</v>
      </c>
      <c r="OF31" s="32" cm="1">
        <f t="array" ref="OF31">NETWORKDAYS($IN$2,$JQ$2)-SUM(COUNTIF(IN31:JQ31,{"I";"F";"CP";"R";"P";"AC";"AM"}))</f>
        <v>22</v>
      </c>
      <c r="OG31" s="138">
        <f t="shared" si="16"/>
        <v>0</v>
      </c>
      <c r="OH31" s="8">
        <f t="shared" si="17"/>
        <v>0</v>
      </c>
      <c r="OI31" s="32" cm="1">
        <f t="array" ref="OI31">NETWORKDAYS($JR$2,$KV$2)-SUM(COUNTIF(JR31:KV31,{"I";"F";"CP";"R";"P";"AC";"AM"}))</f>
        <v>22</v>
      </c>
      <c r="OJ31" s="138">
        <f t="shared" si="18"/>
        <v>0</v>
      </c>
      <c r="OK31" s="8">
        <f t="shared" si="19"/>
        <v>0</v>
      </c>
      <c r="OL31" s="32" cm="1">
        <f t="array" ref="OL31">NETWORKDAYS($KW$2,$LZ$2,$LG$2)-SUM(COUNTIF(KW31:LZ31,{"I";"F";"CP";"R";"P";"AC";"AM"}))</f>
        <v>19</v>
      </c>
      <c r="OM31" s="138">
        <f t="shared" si="20"/>
        <v>0</v>
      </c>
      <c r="ON31" s="8">
        <f t="shared" si="21"/>
        <v>0</v>
      </c>
      <c r="OO31" s="32" cm="1">
        <f t="array" ref="OO31">NETWORKDAYS($MA$2,$MR$2)-SUM(COUNTIF(MA31:MR31,{"I";"F";"CP";"R";"P";"AC";"AM"}))</f>
        <v>14</v>
      </c>
      <c r="OP31" s="138">
        <f t="shared" si="22"/>
        <v>0</v>
      </c>
      <c r="OQ31" s="94">
        <f t="shared" si="23"/>
        <v>0</v>
      </c>
      <c r="OR31" s="94">
        <f t="shared" si="24"/>
        <v>240</v>
      </c>
      <c r="OS31" s="138">
        <f t="shared" si="25"/>
        <v>0</v>
      </c>
    </row>
    <row r="32" spans="1:409" ht="18" hidden="1" customHeight="1" x14ac:dyDescent="0.25">
      <c r="A32" s="95" t="s">
        <v>168</v>
      </c>
      <c r="B32" s="93" t="s">
        <v>168</v>
      </c>
      <c r="C32" s="89" t="s">
        <v>166</v>
      </c>
      <c r="D32" s="89" t="s">
        <v>204</v>
      </c>
      <c r="E32" s="128"/>
      <c r="F32" s="110"/>
      <c r="G32" s="110"/>
      <c r="H32" s="110"/>
      <c r="I32" s="25"/>
      <c r="J32" s="25"/>
      <c r="K32" s="25"/>
      <c r="L32" s="25"/>
      <c r="M32" s="25"/>
      <c r="N32" s="110"/>
      <c r="O32" s="110"/>
      <c r="P32" s="25"/>
      <c r="Q32" s="25"/>
      <c r="R32" s="25"/>
      <c r="S32" s="25"/>
      <c r="T32" s="25"/>
      <c r="U32" s="110"/>
      <c r="V32" s="110"/>
      <c r="W32" s="25"/>
      <c r="X32" s="25"/>
      <c r="Y32" s="25"/>
      <c r="Z32" s="25"/>
      <c r="AA32" s="25"/>
      <c r="AB32" s="110"/>
      <c r="AC32" s="110"/>
      <c r="AD32" s="25"/>
      <c r="AE32" s="25"/>
      <c r="AF32" s="25"/>
      <c r="AG32" s="25"/>
      <c r="AH32" s="25"/>
      <c r="AI32" s="110"/>
      <c r="AJ32" s="110"/>
      <c r="AK32" s="25"/>
      <c r="AL32" s="25"/>
      <c r="AM32" s="25"/>
      <c r="AN32" s="25"/>
      <c r="AO32" s="25"/>
      <c r="AP32" s="110"/>
      <c r="AQ32" s="110"/>
      <c r="AR32" s="25"/>
      <c r="AS32" s="25"/>
      <c r="AT32" s="25"/>
      <c r="AU32" s="25"/>
      <c r="AV32" s="25"/>
      <c r="AW32" s="110"/>
      <c r="AX32" s="110"/>
      <c r="AY32" s="25"/>
      <c r="AZ32" s="25"/>
      <c r="BA32" s="25"/>
      <c r="BB32" s="25"/>
      <c r="BC32" s="25"/>
      <c r="BD32" s="110"/>
      <c r="BE32" s="110"/>
      <c r="BF32" s="25"/>
      <c r="BG32" s="25"/>
      <c r="BH32" s="25"/>
      <c r="BI32" s="25"/>
      <c r="BJ32" s="25"/>
      <c r="BK32" s="110"/>
      <c r="BL32" s="110"/>
      <c r="BM32" s="25"/>
      <c r="BN32" s="25"/>
      <c r="BO32" s="25"/>
      <c r="BP32" s="25"/>
      <c r="BQ32" s="25"/>
      <c r="BR32" s="110"/>
      <c r="BS32" s="110"/>
      <c r="BT32" s="25"/>
      <c r="BU32" s="25"/>
      <c r="BV32" s="25"/>
      <c r="BW32" s="25"/>
      <c r="BX32" s="25"/>
      <c r="BY32" s="110"/>
      <c r="BZ32" s="110"/>
      <c r="CA32" s="25"/>
      <c r="CB32" s="25"/>
      <c r="CC32" s="25"/>
      <c r="CD32" s="25"/>
      <c r="CE32" s="25"/>
      <c r="CF32" s="110"/>
      <c r="CG32" s="110"/>
      <c r="CH32" s="25"/>
      <c r="CI32" s="25"/>
      <c r="CJ32" s="25"/>
      <c r="CK32" s="25"/>
      <c r="CL32" s="25"/>
      <c r="CM32" s="110"/>
      <c r="CN32" s="110"/>
      <c r="CO32" s="25"/>
      <c r="CP32" s="25"/>
      <c r="CQ32" s="25"/>
      <c r="CR32" s="25"/>
      <c r="CS32" s="25"/>
      <c r="CT32" s="110"/>
      <c r="CU32" s="110"/>
      <c r="CV32" s="110"/>
      <c r="CW32" s="25"/>
      <c r="CX32" s="25"/>
      <c r="CY32" s="25"/>
      <c r="CZ32" s="25"/>
      <c r="DA32" s="110"/>
      <c r="DB32" s="110"/>
      <c r="DC32" s="25"/>
      <c r="DD32" s="25"/>
      <c r="DE32" s="25"/>
      <c r="DF32" s="25"/>
      <c r="DG32" s="25"/>
      <c r="DH32" s="110"/>
      <c r="DI32" s="110"/>
      <c r="DJ32" s="25"/>
      <c r="DK32" s="25"/>
      <c r="DL32" s="25"/>
      <c r="DM32" s="25"/>
      <c r="DN32" s="25"/>
      <c r="DO32" s="110"/>
      <c r="DP32" s="110"/>
      <c r="DQ32" s="25"/>
      <c r="DR32" s="25"/>
      <c r="DS32" s="25"/>
      <c r="DT32" s="25"/>
      <c r="DU32" s="110"/>
      <c r="DV32" s="110"/>
      <c r="DW32" s="110"/>
      <c r="DX32" s="25"/>
      <c r="DY32" s="25"/>
      <c r="DZ32" s="25"/>
      <c r="EA32" s="25"/>
      <c r="EB32" s="110" t="s">
        <v>445</v>
      </c>
      <c r="EC32" s="110"/>
      <c r="ED32" s="110"/>
      <c r="EE32" s="25"/>
      <c r="EF32" s="25"/>
      <c r="EG32" s="25"/>
      <c r="EH32" s="110" t="s">
        <v>445</v>
      </c>
      <c r="EI32" s="110" t="s">
        <v>445</v>
      </c>
      <c r="EJ32" s="110"/>
      <c r="EK32" s="110"/>
      <c r="EL32" s="25"/>
      <c r="EM32" s="25"/>
      <c r="EN32" s="25"/>
      <c r="EO32" s="25"/>
      <c r="EP32" s="25"/>
      <c r="EQ32" s="110"/>
      <c r="ER32" s="110"/>
      <c r="ES32" s="110" t="s">
        <v>445</v>
      </c>
      <c r="ET32" s="25"/>
      <c r="EU32" s="25"/>
      <c r="EV32" s="25"/>
      <c r="EW32" s="25"/>
      <c r="EX32" s="110"/>
      <c r="EY32" s="110"/>
      <c r="EZ32" s="25"/>
      <c r="FA32" s="25"/>
      <c r="FB32" s="25"/>
      <c r="FC32" s="25"/>
      <c r="FD32" s="25"/>
      <c r="FE32" s="110"/>
      <c r="FF32" s="110"/>
      <c r="FG32" s="25"/>
      <c r="FH32" s="25"/>
      <c r="FI32" s="25"/>
      <c r="FJ32" s="25"/>
      <c r="FK32" s="25"/>
      <c r="FL32" s="110"/>
      <c r="FM32" s="110"/>
      <c r="FN32" s="25"/>
      <c r="FO32" s="25"/>
      <c r="FP32" s="25"/>
      <c r="FQ32" s="25"/>
      <c r="FR32" s="25"/>
      <c r="FS32" s="110"/>
      <c r="FT32" s="110"/>
      <c r="FU32" s="25"/>
      <c r="FV32" s="25"/>
      <c r="FW32" s="25"/>
      <c r="FX32" s="25"/>
      <c r="FY32" s="25"/>
      <c r="FZ32" s="110"/>
      <c r="GA32" s="110"/>
      <c r="GB32" s="25"/>
      <c r="GC32" s="25"/>
      <c r="GD32" s="25"/>
      <c r="GE32" s="25"/>
      <c r="GF32" s="25"/>
      <c r="GG32" s="110"/>
      <c r="GH32" s="110"/>
      <c r="GI32" s="25"/>
      <c r="GJ32" s="25"/>
      <c r="GK32" s="25"/>
      <c r="GL32" s="25"/>
      <c r="GM32" s="25"/>
      <c r="GN32" s="110"/>
      <c r="GO32" s="110"/>
      <c r="GP32" s="110"/>
      <c r="GQ32" s="110" t="s">
        <v>445</v>
      </c>
      <c r="GR32" s="25"/>
      <c r="GS32" s="25"/>
      <c r="GT32" s="25"/>
      <c r="GU32" s="110"/>
      <c r="GV32" s="110"/>
      <c r="GW32" s="25"/>
      <c r="GX32" s="25"/>
      <c r="GY32" s="25"/>
      <c r="GZ32" s="25"/>
      <c r="HA32" s="25"/>
      <c r="HB32" s="110"/>
      <c r="HC32" s="110"/>
      <c r="HD32" s="25"/>
      <c r="HE32" s="25"/>
      <c r="HF32" s="25"/>
      <c r="HG32" s="25"/>
      <c r="HH32" s="25"/>
      <c r="HI32" s="110"/>
      <c r="HJ32" s="110"/>
      <c r="HK32" s="25"/>
      <c r="HL32" s="25"/>
      <c r="HM32" s="25"/>
      <c r="HN32" s="25"/>
      <c r="HO32" s="25"/>
      <c r="HP32" s="110"/>
      <c r="HQ32" s="110"/>
      <c r="HR32" s="25"/>
      <c r="HS32" s="25"/>
      <c r="HT32" s="25"/>
      <c r="HU32" s="25"/>
      <c r="HV32" s="25"/>
      <c r="HW32" s="110"/>
      <c r="HX32" s="110"/>
      <c r="HY32" s="25"/>
      <c r="HZ32" s="25"/>
      <c r="IA32" s="25"/>
      <c r="IB32" s="25"/>
      <c r="IC32" s="25"/>
      <c r="ID32" s="110"/>
      <c r="IE32" s="110"/>
      <c r="IF32" s="25"/>
      <c r="IG32" s="25"/>
      <c r="IH32" s="25"/>
      <c r="II32" s="25"/>
      <c r="IJ32" s="25"/>
      <c r="IK32" s="110"/>
      <c r="IL32" s="110"/>
      <c r="IM32" s="25"/>
      <c r="IN32" s="25"/>
      <c r="IO32" s="25"/>
      <c r="IP32" s="25"/>
      <c r="IQ32" s="25"/>
      <c r="IR32" s="110"/>
      <c r="IS32" s="110"/>
      <c r="IT32" s="25"/>
      <c r="IU32" s="25"/>
      <c r="IV32" s="25"/>
      <c r="IW32" s="25"/>
      <c r="IX32" s="25"/>
      <c r="IY32" s="110"/>
      <c r="IZ32" s="110"/>
      <c r="JA32" s="25"/>
      <c r="JB32" s="25"/>
      <c r="JC32" s="25"/>
      <c r="JD32" s="25"/>
      <c r="JE32" s="25"/>
      <c r="JF32" s="110"/>
      <c r="JG32" s="110"/>
      <c r="JH32" s="25"/>
      <c r="JI32" s="25"/>
      <c r="JJ32" s="25"/>
      <c r="JK32" s="25"/>
      <c r="JL32" s="25"/>
      <c r="JM32" s="110"/>
      <c r="JN32" s="110"/>
      <c r="JO32" s="25"/>
      <c r="JP32" s="25"/>
      <c r="JQ32" s="25"/>
      <c r="JR32" s="25"/>
      <c r="JS32" s="25"/>
      <c r="JT32" s="110"/>
      <c r="JU32" s="110"/>
      <c r="JV32" s="25"/>
      <c r="JW32" s="25"/>
      <c r="JX32" s="25"/>
      <c r="JY32" s="25"/>
      <c r="JZ32" s="25"/>
      <c r="KA32" s="110"/>
      <c r="KB32" s="110"/>
      <c r="KC32" s="25"/>
      <c r="KD32" s="25"/>
      <c r="KE32" s="25"/>
      <c r="KF32" s="25"/>
      <c r="KG32" s="25"/>
      <c r="KH32" s="110"/>
      <c r="KI32" s="110"/>
      <c r="KJ32" s="25"/>
      <c r="KK32" s="25"/>
      <c r="KL32" s="25"/>
      <c r="KM32" s="25"/>
      <c r="KN32" s="25"/>
      <c r="KO32" s="110"/>
      <c r="KP32" s="110"/>
      <c r="KQ32" s="25"/>
      <c r="KR32" s="25"/>
      <c r="KS32" s="25"/>
      <c r="KT32" s="25"/>
      <c r="KU32" s="25"/>
      <c r="KV32" s="110"/>
      <c r="KW32" s="110"/>
      <c r="KX32" s="25"/>
      <c r="KY32" s="25"/>
      <c r="KZ32" s="25"/>
      <c r="LA32" s="25"/>
      <c r="LB32" s="25"/>
      <c r="LC32" s="110"/>
      <c r="LD32" s="110"/>
      <c r="LE32" s="25"/>
      <c r="LF32" s="25"/>
      <c r="LG32" s="110" t="s">
        <v>445</v>
      </c>
      <c r="LH32" s="25"/>
      <c r="LI32" s="25"/>
      <c r="LJ32" s="110"/>
      <c r="LK32" s="110"/>
      <c r="LL32" s="25"/>
      <c r="LM32" s="25"/>
      <c r="LN32" s="25"/>
      <c r="LO32" s="25"/>
      <c r="LP32" s="25"/>
      <c r="LQ32" s="110"/>
      <c r="LR32" s="110"/>
      <c r="LS32" s="25"/>
      <c r="LT32" s="25"/>
      <c r="LU32" s="25"/>
      <c r="LV32" s="25"/>
      <c r="LW32" s="25"/>
      <c r="LX32" s="110"/>
      <c r="LY32" s="110"/>
      <c r="LZ32" s="25"/>
      <c r="MA32" s="25"/>
      <c r="MB32" s="25"/>
      <c r="MC32" s="25"/>
      <c r="MD32" s="25"/>
      <c r="ME32" s="110"/>
      <c r="MF32" s="110"/>
      <c r="MG32" s="25"/>
      <c r="MH32" s="25"/>
      <c r="MI32" s="25"/>
      <c r="MJ32" s="25"/>
      <c r="MK32" s="25"/>
      <c r="ML32" s="110"/>
      <c r="MM32" s="110"/>
      <c r="MN32" s="25"/>
      <c r="MO32" s="25"/>
      <c r="MP32" s="25"/>
      <c r="MQ32" s="25"/>
      <c r="MR32" s="25"/>
      <c r="MS32" s="110"/>
      <c r="MT32" s="110"/>
      <c r="MU32" s="25"/>
      <c r="MV32" s="25"/>
      <c r="MW32" s="25"/>
      <c r="MX32" s="25"/>
      <c r="MY32" s="25"/>
      <c r="MZ32" s="110"/>
      <c r="NA32" s="110"/>
      <c r="NB32" s="25"/>
      <c r="NC32" s="25"/>
      <c r="ND32" s="25"/>
      <c r="NE32" s="129"/>
      <c r="NF32" s="111"/>
      <c r="NG32" s="8">
        <f t="shared" si="0"/>
        <v>0</v>
      </c>
      <c r="NH32" s="32" cm="1">
        <f t="array" ref="NH32">NETWORKDAYS($I$2,$AI$2)- SUM(COUNTIF(I32:AI32,{"I";"F";"CP";"R";"P";"AC";"AM"}))</f>
        <v>20</v>
      </c>
      <c r="NI32" s="138">
        <f t="shared" si="1"/>
        <v>0</v>
      </c>
      <c r="NJ32" s="8">
        <f t="shared" si="2"/>
        <v>0</v>
      </c>
      <c r="NK32" s="32" cm="1">
        <f t="array" ref="NK32">NETWORKDAYS($AJ$2,$BK$2)- SUM(COUNTIF(AJ32:BK32,{"I";"F";"CP";"R";"P";"AC";"AM"}))</f>
        <v>20</v>
      </c>
      <c r="NL32" s="138">
        <f t="shared" si="3"/>
        <v>0</v>
      </c>
      <c r="NM32" s="8">
        <f t="shared" si="4"/>
        <v>0</v>
      </c>
      <c r="NN32" s="32" cm="1">
        <f t="array" ref="NN32">NETWORKDAYS($BL$2,$CP$2)- SUM(COUNTIF(BL32:CP32,{"I";"F";"CP";"R";"P";"AC";"AM"}))</f>
        <v>22</v>
      </c>
      <c r="NO32" s="138">
        <f t="shared" si="5"/>
        <v>0</v>
      </c>
      <c r="NP32" s="8">
        <f t="shared" si="26"/>
        <v>0</v>
      </c>
      <c r="NQ32" s="32" cm="1">
        <f t="array" ref="NQ32">NETWORKDAYS($CQ$2,$DT$2,$CV$2)- SUM(COUNTIF(CQ32:DT32,{"I";"F";"CP";"R";"P";"AC";"AM"}))</f>
        <v>21</v>
      </c>
      <c r="NR32" s="138">
        <f t="shared" si="6"/>
        <v>0</v>
      </c>
      <c r="NS32" s="8">
        <f t="shared" si="7"/>
        <v>0</v>
      </c>
      <c r="NT32" s="32" cm="1">
        <f t="array" ref="NT32">NETWORKDAYS($DV$2,$EY$2)-SUM(COUNTIF(DV32:EY32,{"I";"F";"CP";"R";"P";"AC";"AM"}))</f>
        <v>16</v>
      </c>
      <c r="NU32" s="138">
        <f t="shared" si="8"/>
        <v>0</v>
      </c>
      <c r="NV32" s="8">
        <f t="shared" si="9"/>
        <v>0</v>
      </c>
      <c r="NW32" s="32" cm="1">
        <f t="array" ref="NW32">NETWORKDAYS($EZ$2,$GC$2)-SUM(COUNTIF(EZ112:GC112,{"I";"F";"CP";"R";"P";"AC";"AM"}))</f>
        <v>22</v>
      </c>
      <c r="NX32" s="138">
        <f t="shared" si="10"/>
        <v>0</v>
      </c>
      <c r="NY32" s="8">
        <f t="shared" si="11"/>
        <v>0</v>
      </c>
      <c r="NZ32" s="32" cm="1">
        <f t="array" ref="NZ32">NETWORKDAYS($GD$2,$HH$2,$GQ$2)-SUM(COUNTIF(GD32:HH32,{"I";"F";"CP";"R";"P";"AC";"AM"}))</f>
        <v>21</v>
      </c>
      <c r="OA32" s="138">
        <f t="shared" si="12"/>
        <v>0</v>
      </c>
      <c r="OB32" s="8">
        <f t="shared" si="13"/>
        <v>0</v>
      </c>
      <c r="OC32" s="32" cm="1">
        <f t="array" ref="OC32">NETWORKDAYS($HI$2,$IM$2)-SUM(COUNTIF(HI32:IM32,{"I";"F";"CP";"R";"P";"AC";"AM"}))</f>
        <v>21</v>
      </c>
      <c r="OD32" s="138">
        <f t="shared" si="14"/>
        <v>0</v>
      </c>
      <c r="OE32" s="8">
        <f t="shared" si="15"/>
        <v>0</v>
      </c>
      <c r="OF32" s="32" cm="1">
        <f t="array" ref="OF32">NETWORKDAYS($IN$2,$JQ$2)-SUM(COUNTIF(IN32:JQ32,{"I";"F";"CP";"R";"P";"AC";"AM"}))</f>
        <v>22</v>
      </c>
      <c r="OG32" s="138">
        <f t="shared" si="16"/>
        <v>0</v>
      </c>
      <c r="OH32" s="8">
        <f t="shared" si="17"/>
        <v>0</v>
      </c>
      <c r="OI32" s="32" cm="1">
        <f t="array" ref="OI32">NETWORKDAYS($JR$2,$KV$2)-SUM(COUNTIF(JR32:KV32,{"I";"F";"CP";"R";"P";"AC";"AM"}))</f>
        <v>22</v>
      </c>
      <c r="OJ32" s="138">
        <f t="shared" si="18"/>
        <v>0</v>
      </c>
      <c r="OK32" s="8">
        <f t="shared" si="19"/>
        <v>0</v>
      </c>
      <c r="OL32" s="32" cm="1">
        <f t="array" ref="OL32">NETWORKDAYS($KW$2,$LZ$2,$LG$2)-SUM(COUNTIF(KW32:LZ32,{"I";"F";"CP";"R";"P";"AC";"AM"}))</f>
        <v>19</v>
      </c>
      <c r="OM32" s="138">
        <f t="shared" si="20"/>
        <v>0</v>
      </c>
      <c r="ON32" s="8">
        <f t="shared" si="21"/>
        <v>0</v>
      </c>
      <c r="OO32" s="32" cm="1">
        <f t="array" ref="OO32">NETWORKDAYS($MA$2,$MR$2)-SUM(COUNTIF(MA32:MR32,{"I";"F";"CP";"R";"P";"AC";"AM"}))</f>
        <v>14</v>
      </c>
      <c r="OP32" s="138">
        <f t="shared" si="22"/>
        <v>0</v>
      </c>
      <c r="OQ32" s="94">
        <f t="shared" si="23"/>
        <v>0</v>
      </c>
      <c r="OR32" s="94">
        <f t="shared" si="24"/>
        <v>240</v>
      </c>
      <c r="OS32" s="138">
        <f t="shared" si="25"/>
        <v>0</v>
      </c>
    </row>
    <row r="33" spans="1:409" ht="18" hidden="1" customHeight="1" x14ac:dyDescent="0.25">
      <c r="A33" s="95" t="s">
        <v>168</v>
      </c>
      <c r="B33" s="93" t="s">
        <v>168</v>
      </c>
      <c r="C33" s="89" t="s">
        <v>166</v>
      </c>
      <c r="D33" s="89" t="s">
        <v>205</v>
      </c>
      <c r="E33" s="128"/>
      <c r="F33" s="110"/>
      <c r="G33" s="110"/>
      <c r="H33" s="110"/>
      <c r="I33" s="25"/>
      <c r="J33" s="25"/>
      <c r="K33" s="25"/>
      <c r="L33" s="25"/>
      <c r="M33" s="25"/>
      <c r="N33" s="110"/>
      <c r="O33" s="110"/>
      <c r="P33" s="25"/>
      <c r="Q33" s="25"/>
      <c r="R33" s="25"/>
      <c r="S33" s="25"/>
      <c r="T33" s="25"/>
      <c r="U33" s="110"/>
      <c r="V33" s="110"/>
      <c r="W33" s="25"/>
      <c r="X33" s="25"/>
      <c r="Y33" s="25"/>
      <c r="Z33" s="25"/>
      <c r="AA33" s="25"/>
      <c r="AB33" s="110"/>
      <c r="AC33" s="110"/>
      <c r="AD33" s="25"/>
      <c r="AE33" s="25"/>
      <c r="AF33" s="25"/>
      <c r="AG33" s="25"/>
      <c r="AH33" s="25"/>
      <c r="AI33" s="110"/>
      <c r="AJ33" s="110"/>
      <c r="AK33" s="25"/>
      <c r="AL33" s="25"/>
      <c r="AM33" s="25"/>
      <c r="AN33" s="25"/>
      <c r="AO33" s="25"/>
      <c r="AP33" s="110"/>
      <c r="AQ33" s="110"/>
      <c r="AR33" s="25"/>
      <c r="AS33" s="25"/>
      <c r="AT33" s="25"/>
      <c r="AU33" s="25"/>
      <c r="AV33" s="25"/>
      <c r="AW33" s="110"/>
      <c r="AX33" s="110"/>
      <c r="AY33" s="25"/>
      <c r="AZ33" s="25"/>
      <c r="BA33" s="25"/>
      <c r="BB33" s="25"/>
      <c r="BC33" s="25"/>
      <c r="BD33" s="110"/>
      <c r="BE33" s="110"/>
      <c r="BF33" s="25"/>
      <c r="BG33" s="25"/>
      <c r="BH33" s="25"/>
      <c r="BI33" s="25"/>
      <c r="BJ33" s="25"/>
      <c r="BK33" s="110"/>
      <c r="BL33" s="110"/>
      <c r="BM33" s="25"/>
      <c r="BN33" s="25"/>
      <c r="BO33" s="25"/>
      <c r="BP33" s="25"/>
      <c r="BQ33" s="25"/>
      <c r="BR33" s="110"/>
      <c r="BS33" s="110"/>
      <c r="BT33" s="25"/>
      <c r="BU33" s="25"/>
      <c r="BV33" s="25"/>
      <c r="BW33" s="25"/>
      <c r="BX33" s="25"/>
      <c r="BY33" s="110"/>
      <c r="BZ33" s="110"/>
      <c r="CA33" s="25"/>
      <c r="CB33" s="25"/>
      <c r="CC33" s="25"/>
      <c r="CD33" s="25"/>
      <c r="CE33" s="25"/>
      <c r="CF33" s="110"/>
      <c r="CG33" s="110"/>
      <c r="CH33" s="25"/>
      <c r="CI33" s="25"/>
      <c r="CJ33" s="25"/>
      <c r="CK33" s="25"/>
      <c r="CL33" s="25"/>
      <c r="CM33" s="110"/>
      <c r="CN33" s="110"/>
      <c r="CO33" s="25"/>
      <c r="CP33" s="25"/>
      <c r="CQ33" s="25"/>
      <c r="CR33" s="25"/>
      <c r="CS33" s="25"/>
      <c r="CT33" s="110"/>
      <c r="CU33" s="110"/>
      <c r="CV33" s="110"/>
      <c r="CW33" s="25"/>
      <c r="CX33" s="25"/>
      <c r="CY33" s="25"/>
      <c r="CZ33" s="25"/>
      <c r="DA33" s="110"/>
      <c r="DB33" s="110"/>
      <c r="DC33" s="25"/>
      <c r="DD33" s="25"/>
      <c r="DE33" s="25"/>
      <c r="DF33" s="25"/>
      <c r="DG33" s="25"/>
      <c r="DH33" s="110"/>
      <c r="DI33" s="110"/>
      <c r="DJ33" s="25"/>
      <c r="DK33" s="25"/>
      <c r="DL33" s="25"/>
      <c r="DM33" s="25"/>
      <c r="DN33" s="25"/>
      <c r="DO33" s="110"/>
      <c r="DP33" s="110"/>
      <c r="DQ33" s="25"/>
      <c r="DR33" s="25"/>
      <c r="DS33" s="25"/>
      <c r="DT33" s="25"/>
      <c r="DU33" s="110"/>
      <c r="DV33" s="110"/>
      <c r="DW33" s="110"/>
      <c r="DX33" s="25"/>
      <c r="DY33" s="25"/>
      <c r="DZ33" s="25"/>
      <c r="EA33" s="25"/>
      <c r="EB33" s="110" t="s">
        <v>445</v>
      </c>
      <c r="EC33" s="110"/>
      <c r="ED33" s="110"/>
      <c r="EE33" s="25"/>
      <c r="EF33" s="25"/>
      <c r="EG33" s="25"/>
      <c r="EH33" s="110" t="s">
        <v>445</v>
      </c>
      <c r="EI33" s="110" t="s">
        <v>445</v>
      </c>
      <c r="EJ33" s="110"/>
      <c r="EK33" s="110"/>
      <c r="EL33" s="25"/>
      <c r="EM33" s="25"/>
      <c r="EN33" s="25"/>
      <c r="EO33" s="25"/>
      <c r="EP33" s="25"/>
      <c r="EQ33" s="110"/>
      <c r="ER33" s="110"/>
      <c r="ES33" s="110" t="s">
        <v>445</v>
      </c>
      <c r="ET33" s="25"/>
      <c r="EU33" s="25"/>
      <c r="EV33" s="25"/>
      <c r="EW33" s="25"/>
      <c r="EX33" s="110"/>
      <c r="EY33" s="110"/>
      <c r="EZ33" s="25"/>
      <c r="FA33" s="25"/>
      <c r="FB33" s="25"/>
      <c r="FC33" s="25"/>
      <c r="FD33" s="25"/>
      <c r="FE33" s="110"/>
      <c r="FF33" s="110"/>
      <c r="FG33" s="25"/>
      <c r="FH33" s="25"/>
      <c r="FI33" s="25"/>
      <c r="FJ33" s="25"/>
      <c r="FK33" s="25"/>
      <c r="FL33" s="110"/>
      <c r="FM33" s="110"/>
      <c r="FN33" s="25"/>
      <c r="FO33" s="25"/>
      <c r="FP33" s="25"/>
      <c r="FQ33" s="25"/>
      <c r="FR33" s="25"/>
      <c r="FS33" s="110"/>
      <c r="FT33" s="110"/>
      <c r="FU33" s="25"/>
      <c r="FV33" s="25"/>
      <c r="FW33" s="25"/>
      <c r="FX33" s="25"/>
      <c r="FY33" s="25"/>
      <c r="FZ33" s="110"/>
      <c r="GA33" s="110"/>
      <c r="GB33" s="25"/>
      <c r="GC33" s="25"/>
      <c r="GD33" s="25"/>
      <c r="GE33" s="25"/>
      <c r="GF33" s="25"/>
      <c r="GG33" s="110"/>
      <c r="GH33" s="110"/>
      <c r="GI33" s="25"/>
      <c r="GJ33" s="25"/>
      <c r="GK33" s="25"/>
      <c r="GL33" s="25"/>
      <c r="GM33" s="25"/>
      <c r="GN33" s="110"/>
      <c r="GO33" s="110"/>
      <c r="GP33" s="110"/>
      <c r="GQ33" s="110" t="s">
        <v>445</v>
      </c>
      <c r="GR33" s="25"/>
      <c r="GS33" s="25"/>
      <c r="GT33" s="25"/>
      <c r="GU33" s="110"/>
      <c r="GV33" s="110"/>
      <c r="GW33" s="25"/>
      <c r="GX33" s="25"/>
      <c r="GY33" s="25"/>
      <c r="GZ33" s="25"/>
      <c r="HA33" s="25"/>
      <c r="HB33" s="110"/>
      <c r="HC33" s="110"/>
      <c r="HD33" s="25"/>
      <c r="HE33" s="25"/>
      <c r="HF33" s="25"/>
      <c r="HG33" s="25"/>
      <c r="HH33" s="25"/>
      <c r="HI33" s="110"/>
      <c r="HJ33" s="110"/>
      <c r="HK33" s="25"/>
      <c r="HL33" s="25"/>
      <c r="HM33" s="25"/>
      <c r="HN33" s="25"/>
      <c r="HO33" s="25"/>
      <c r="HP33" s="110"/>
      <c r="HQ33" s="110"/>
      <c r="HR33" s="25"/>
      <c r="HS33" s="25"/>
      <c r="HT33" s="25"/>
      <c r="HU33" s="25"/>
      <c r="HV33" s="25"/>
      <c r="HW33" s="110"/>
      <c r="HX33" s="110"/>
      <c r="HY33" s="25"/>
      <c r="HZ33" s="25"/>
      <c r="IA33" s="25"/>
      <c r="IB33" s="25"/>
      <c r="IC33" s="25"/>
      <c r="ID33" s="110"/>
      <c r="IE33" s="110"/>
      <c r="IF33" s="25"/>
      <c r="IG33" s="25"/>
      <c r="IH33" s="25"/>
      <c r="II33" s="25"/>
      <c r="IJ33" s="25"/>
      <c r="IK33" s="110"/>
      <c r="IL33" s="110"/>
      <c r="IM33" s="25"/>
      <c r="IN33" s="25"/>
      <c r="IO33" s="25"/>
      <c r="IP33" s="25"/>
      <c r="IQ33" s="25"/>
      <c r="IR33" s="110"/>
      <c r="IS33" s="110"/>
      <c r="IT33" s="25"/>
      <c r="IU33" s="25"/>
      <c r="IV33" s="25"/>
      <c r="IW33" s="25"/>
      <c r="IX33" s="25"/>
      <c r="IY33" s="110"/>
      <c r="IZ33" s="110"/>
      <c r="JA33" s="25"/>
      <c r="JB33" s="25"/>
      <c r="JC33" s="25"/>
      <c r="JD33" s="25"/>
      <c r="JE33" s="25"/>
      <c r="JF33" s="110"/>
      <c r="JG33" s="110"/>
      <c r="JH33" s="25"/>
      <c r="JI33" s="25"/>
      <c r="JJ33" s="25"/>
      <c r="JK33" s="25"/>
      <c r="JL33" s="25"/>
      <c r="JM33" s="110"/>
      <c r="JN33" s="110"/>
      <c r="JO33" s="25"/>
      <c r="JP33" s="25"/>
      <c r="JQ33" s="25"/>
      <c r="JR33" s="25"/>
      <c r="JS33" s="25"/>
      <c r="JT33" s="110"/>
      <c r="JU33" s="110"/>
      <c r="JV33" s="25"/>
      <c r="JW33" s="25"/>
      <c r="JX33" s="25"/>
      <c r="JY33" s="25"/>
      <c r="JZ33" s="25"/>
      <c r="KA33" s="110"/>
      <c r="KB33" s="110"/>
      <c r="KC33" s="25"/>
      <c r="KD33" s="25"/>
      <c r="KE33" s="25"/>
      <c r="KF33" s="25"/>
      <c r="KG33" s="25"/>
      <c r="KH33" s="110"/>
      <c r="KI33" s="110"/>
      <c r="KJ33" s="25"/>
      <c r="KK33" s="25"/>
      <c r="KL33" s="25"/>
      <c r="KM33" s="25"/>
      <c r="KN33" s="25"/>
      <c r="KO33" s="110"/>
      <c r="KP33" s="110"/>
      <c r="KQ33" s="25"/>
      <c r="KR33" s="25"/>
      <c r="KS33" s="25"/>
      <c r="KT33" s="25"/>
      <c r="KU33" s="25"/>
      <c r="KV33" s="110"/>
      <c r="KW33" s="110"/>
      <c r="KX33" s="25"/>
      <c r="KY33" s="25"/>
      <c r="KZ33" s="25"/>
      <c r="LA33" s="25"/>
      <c r="LB33" s="25"/>
      <c r="LC33" s="110"/>
      <c r="LD33" s="110"/>
      <c r="LE33" s="25"/>
      <c r="LF33" s="25"/>
      <c r="LG33" s="110" t="s">
        <v>445</v>
      </c>
      <c r="LH33" s="25"/>
      <c r="LI33" s="25"/>
      <c r="LJ33" s="110"/>
      <c r="LK33" s="110"/>
      <c r="LL33" s="25"/>
      <c r="LM33" s="25"/>
      <c r="LN33" s="25"/>
      <c r="LO33" s="25"/>
      <c r="LP33" s="25"/>
      <c r="LQ33" s="110"/>
      <c r="LR33" s="110"/>
      <c r="LS33" s="25"/>
      <c r="LT33" s="25"/>
      <c r="LU33" s="25"/>
      <c r="LV33" s="25"/>
      <c r="LW33" s="25"/>
      <c r="LX33" s="110"/>
      <c r="LY33" s="110"/>
      <c r="LZ33" s="25"/>
      <c r="MA33" s="25"/>
      <c r="MB33" s="25"/>
      <c r="MC33" s="25"/>
      <c r="MD33" s="25"/>
      <c r="ME33" s="110"/>
      <c r="MF33" s="110"/>
      <c r="MG33" s="25"/>
      <c r="MH33" s="25"/>
      <c r="MI33" s="25"/>
      <c r="MJ33" s="25"/>
      <c r="MK33" s="25"/>
      <c r="ML33" s="110"/>
      <c r="MM33" s="110"/>
      <c r="MN33" s="25"/>
      <c r="MO33" s="25"/>
      <c r="MP33" s="25"/>
      <c r="MQ33" s="25"/>
      <c r="MR33" s="25"/>
      <c r="MS33" s="110"/>
      <c r="MT33" s="110"/>
      <c r="MU33" s="25"/>
      <c r="MV33" s="25"/>
      <c r="MW33" s="25"/>
      <c r="MX33" s="25"/>
      <c r="MY33" s="25"/>
      <c r="MZ33" s="110"/>
      <c r="NA33" s="110"/>
      <c r="NB33" s="25"/>
      <c r="NC33" s="25"/>
      <c r="ND33" s="25"/>
      <c r="NE33" s="129"/>
      <c r="NF33" s="111"/>
      <c r="NG33" s="8">
        <f t="shared" si="0"/>
        <v>0</v>
      </c>
      <c r="NH33" s="32" cm="1">
        <f t="array" ref="NH33">NETWORKDAYS($I$2,$AI$2)- SUM(COUNTIF(I33:AI33,{"I";"F";"CP";"R";"P";"AC";"AM"}))</f>
        <v>20</v>
      </c>
      <c r="NI33" s="138">
        <f t="shared" si="1"/>
        <v>0</v>
      </c>
      <c r="NJ33" s="8">
        <f t="shared" si="2"/>
        <v>0</v>
      </c>
      <c r="NK33" s="32" cm="1">
        <f t="array" ref="NK33">NETWORKDAYS($AJ$2,$BK$2)- SUM(COUNTIF(AJ33:BK33,{"I";"F";"CP";"R";"P";"AC";"AM"}))</f>
        <v>20</v>
      </c>
      <c r="NL33" s="138">
        <f t="shared" si="3"/>
        <v>0</v>
      </c>
      <c r="NM33" s="8">
        <f t="shared" si="4"/>
        <v>0</v>
      </c>
      <c r="NN33" s="32" cm="1">
        <f t="array" ref="NN33">NETWORKDAYS($BL$2,$CP$2)- SUM(COUNTIF(BL33:CP33,{"I";"F";"CP";"R";"P";"AC";"AM"}))</f>
        <v>22</v>
      </c>
      <c r="NO33" s="138">
        <f t="shared" si="5"/>
        <v>0</v>
      </c>
      <c r="NP33" s="32">
        <f t="shared" si="26"/>
        <v>0</v>
      </c>
      <c r="NQ33" s="32" cm="1">
        <f t="array" ref="NQ33">NETWORKDAYS($CQ$2,$DT$2,$CV$2)- SUM(COUNTIF(CQ33:DT33,{"I";"F";"CP";"R";"P";"AC";"AM"}))</f>
        <v>21</v>
      </c>
      <c r="NR33" s="138">
        <f t="shared" si="6"/>
        <v>0</v>
      </c>
      <c r="NS33" s="8">
        <f t="shared" si="7"/>
        <v>0</v>
      </c>
      <c r="NT33" s="32" cm="1">
        <f t="array" ref="NT33">NETWORKDAYS($DV$2,$EY$2)-SUM(COUNTIF(DV33:EY33,{"I";"F";"CP";"R";"P";"AC";"AM"}))</f>
        <v>16</v>
      </c>
      <c r="NU33" s="138">
        <f t="shared" si="8"/>
        <v>0</v>
      </c>
      <c r="NV33" s="8">
        <f t="shared" si="9"/>
        <v>0</v>
      </c>
      <c r="NW33" s="32" cm="1">
        <f t="array" ref="NW33">NETWORKDAYS($EZ$2,$GC$2)-SUM(COUNTIF(EZ113:GC113,{"I";"F";"CP";"R";"P";"AC";"AM"}))</f>
        <v>22</v>
      </c>
      <c r="NX33" s="138">
        <f t="shared" si="10"/>
        <v>0</v>
      </c>
      <c r="NY33" s="8">
        <f t="shared" si="11"/>
        <v>0</v>
      </c>
      <c r="NZ33" s="32" cm="1">
        <f t="array" ref="NZ33">NETWORKDAYS($GD$2,$HH$2,$GQ$2)-SUM(COUNTIF(GD33:HH33,{"I";"F";"CP";"R";"P";"AC";"AM"}))</f>
        <v>21</v>
      </c>
      <c r="OA33" s="138">
        <f t="shared" si="12"/>
        <v>0</v>
      </c>
      <c r="OB33" s="8">
        <f t="shared" si="13"/>
        <v>0</v>
      </c>
      <c r="OC33" s="32" cm="1">
        <f t="array" ref="OC33">NETWORKDAYS($HI$2,$IM$2)-SUM(COUNTIF(HI33:IM33,{"I";"F";"CP";"R";"P";"AC";"AM"}))</f>
        <v>21</v>
      </c>
      <c r="OD33" s="138">
        <f t="shared" si="14"/>
        <v>0</v>
      </c>
      <c r="OE33" s="8">
        <f t="shared" si="15"/>
        <v>0</v>
      </c>
      <c r="OF33" s="32" cm="1">
        <f t="array" ref="OF33">NETWORKDAYS($IN$2,$JQ$2)-SUM(COUNTIF(IN33:JQ33,{"I";"F";"CP";"R";"P";"AC";"AM"}))</f>
        <v>22</v>
      </c>
      <c r="OG33" s="138">
        <f t="shared" si="16"/>
        <v>0</v>
      </c>
      <c r="OH33" s="8">
        <f t="shared" si="17"/>
        <v>0</v>
      </c>
      <c r="OI33" s="32" cm="1">
        <f t="array" ref="OI33">NETWORKDAYS($JR$2,$KV$2)-SUM(COUNTIF(JR33:KV33,{"I";"F";"CP";"R";"P";"AC";"AM"}))</f>
        <v>22</v>
      </c>
      <c r="OJ33" s="138">
        <f t="shared" si="18"/>
        <v>0</v>
      </c>
      <c r="OK33" s="8">
        <f t="shared" si="19"/>
        <v>0</v>
      </c>
      <c r="OL33" s="32" cm="1">
        <f t="array" ref="OL33">NETWORKDAYS($KW$2,$LZ$2,$LG$2)-SUM(COUNTIF(KW33:LZ33,{"I";"F";"CP";"R";"P";"AC";"AM"}))</f>
        <v>19</v>
      </c>
      <c r="OM33" s="138">
        <f t="shared" si="20"/>
        <v>0</v>
      </c>
      <c r="ON33" s="8">
        <f t="shared" si="21"/>
        <v>0</v>
      </c>
      <c r="OO33" s="32" cm="1">
        <f t="array" ref="OO33">NETWORKDAYS($MA$2,$MR$2)-SUM(COUNTIF(MA33:MR33,{"I";"F";"CP";"R";"P";"AC";"AM"}))</f>
        <v>14</v>
      </c>
      <c r="OP33" s="138">
        <f t="shared" si="22"/>
        <v>0</v>
      </c>
      <c r="OQ33" s="94">
        <f t="shared" si="23"/>
        <v>0</v>
      </c>
      <c r="OR33" s="94">
        <f t="shared" si="24"/>
        <v>240</v>
      </c>
      <c r="OS33" s="138">
        <f t="shared" si="25"/>
        <v>0</v>
      </c>
    </row>
    <row r="34" spans="1:409" ht="18" customHeight="1" x14ac:dyDescent="0.25">
      <c r="A34" s="95" t="s">
        <v>181</v>
      </c>
      <c r="B34" s="95" t="s">
        <v>34</v>
      </c>
      <c r="C34" s="89" t="s">
        <v>160</v>
      </c>
      <c r="D34" s="89" t="s">
        <v>206</v>
      </c>
      <c r="E34" s="128"/>
      <c r="F34" s="110"/>
      <c r="G34" s="110"/>
      <c r="H34" s="110"/>
      <c r="I34" s="25">
        <v>1</v>
      </c>
      <c r="J34" s="25">
        <v>1</v>
      </c>
      <c r="K34" s="25" t="s">
        <v>449</v>
      </c>
      <c r="L34" s="25" t="s">
        <v>449</v>
      </c>
      <c r="M34" s="25" t="s">
        <v>248</v>
      </c>
      <c r="N34" s="110"/>
      <c r="O34" s="110"/>
      <c r="P34" s="25">
        <v>1</v>
      </c>
      <c r="Q34" s="25">
        <v>1</v>
      </c>
      <c r="R34" s="25">
        <v>1</v>
      </c>
      <c r="S34" s="25">
        <v>1</v>
      </c>
      <c r="T34" s="25">
        <v>1</v>
      </c>
      <c r="U34" s="110"/>
      <c r="V34" s="110"/>
      <c r="W34" s="25">
        <v>1</v>
      </c>
      <c r="X34" s="25">
        <v>1</v>
      </c>
      <c r="Y34" s="25" t="s">
        <v>447</v>
      </c>
      <c r="Z34" s="25" t="s">
        <v>447</v>
      </c>
      <c r="AA34" s="25">
        <v>1</v>
      </c>
      <c r="AB34" s="110"/>
      <c r="AC34" s="110"/>
      <c r="AD34" s="25">
        <v>1</v>
      </c>
      <c r="AE34" s="25">
        <v>1</v>
      </c>
      <c r="AF34" s="25">
        <v>1</v>
      </c>
      <c r="AG34" s="25">
        <v>1</v>
      </c>
      <c r="AH34" s="25">
        <v>1</v>
      </c>
      <c r="AI34" s="110"/>
      <c r="AJ34" s="110"/>
      <c r="AK34" s="25">
        <v>1</v>
      </c>
      <c r="AL34" s="25">
        <v>1</v>
      </c>
      <c r="AM34" s="25">
        <v>1</v>
      </c>
      <c r="AN34" s="25">
        <v>1</v>
      </c>
      <c r="AO34" s="25">
        <v>1</v>
      </c>
      <c r="AP34" s="110"/>
      <c r="AQ34" s="110"/>
      <c r="AR34" s="25">
        <v>1</v>
      </c>
      <c r="AS34" s="25">
        <v>1</v>
      </c>
      <c r="AT34" s="25">
        <v>1</v>
      </c>
      <c r="AU34" s="25" t="s">
        <v>449</v>
      </c>
      <c r="AV34" s="25">
        <v>1</v>
      </c>
      <c r="AW34" s="110"/>
      <c r="AX34" s="110"/>
      <c r="AY34" s="25">
        <v>1</v>
      </c>
      <c r="AZ34" s="25">
        <v>1</v>
      </c>
      <c r="BA34" s="25" t="s">
        <v>445</v>
      </c>
      <c r="BB34" s="25" t="s">
        <v>445</v>
      </c>
      <c r="BC34" s="25" t="s">
        <v>445</v>
      </c>
      <c r="BD34" s="110"/>
      <c r="BE34" s="110"/>
      <c r="BF34" s="25">
        <v>1</v>
      </c>
      <c r="BG34" s="25">
        <v>1</v>
      </c>
      <c r="BH34" s="25">
        <v>1</v>
      </c>
      <c r="BI34" s="25">
        <v>1</v>
      </c>
      <c r="BJ34" s="25">
        <v>1</v>
      </c>
      <c r="BK34" s="110"/>
      <c r="BL34" s="110"/>
      <c r="BM34" s="25">
        <v>1</v>
      </c>
      <c r="BN34" s="25">
        <v>1</v>
      </c>
      <c r="BO34" s="25">
        <v>1</v>
      </c>
      <c r="BP34" s="25">
        <v>1</v>
      </c>
      <c r="BQ34" s="25">
        <v>1</v>
      </c>
      <c r="BR34" s="110"/>
      <c r="BS34" s="110"/>
      <c r="BT34" s="25">
        <v>1</v>
      </c>
      <c r="BU34" s="25">
        <v>1</v>
      </c>
      <c r="BV34" s="25">
        <v>1</v>
      </c>
      <c r="BW34" s="25">
        <v>1</v>
      </c>
      <c r="BX34" s="25"/>
      <c r="BY34" s="110"/>
      <c r="BZ34" s="110"/>
      <c r="CA34" s="25">
        <v>1</v>
      </c>
      <c r="CB34" s="25">
        <v>1</v>
      </c>
      <c r="CC34" s="25">
        <v>1</v>
      </c>
      <c r="CD34" s="25"/>
      <c r="CE34" s="25">
        <v>1</v>
      </c>
      <c r="CF34" s="110"/>
      <c r="CG34" s="110"/>
      <c r="CH34" s="25">
        <v>1</v>
      </c>
      <c r="CI34" s="25">
        <v>1</v>
      </c>
      <c r="CJ34" s="25">
        <v>1</v>
      </c>
      <c r="CK34" s="25">
        <v>1</v>
      </c>
      <c r="CL34" s="25">
        <v>1</v>
      </c>
      <c r="CM34" s="110"/>
      <c r="CN34" s="110"/>
      <c r="CO34" s="25">
        <v>1</v>
      </c>
      <c r="CP34" s="25">
        <v>1</v>
      </c>
      <c r="CQ34" s="25">
        <v>1</v>
      </c>
      <c r="CR34" s="25">
        <v>1</v>
      </c>
      <c r="CS34" s="25">
        <v>1</v>
      </c>
      <c r="CT34" s="110"/>
      <c r="CU34" s="110"/>
      <c r="CV34" s="110"/>
      <c r="CW34" s="25">
        <v>1</v>
      </c>
      <c r="CX34" s="25">
        <v>1</v>
      </c>
      <c r="CY34" s="25">
        <v>1</v>
      </c>
      <c r="CZ34" s="25">
        <v>1</v>
      </c>
      <c r="DA34" s="110"/>
      <c r="DB34" s="110"/>
      <c r="DC34" s="25">
        <v>1</v>
      </c>
      <c r="DD34" s="25">
        <v>1</v>
      </c>
      <c r="DE34" s="25">
        <v>1</v>
      </c>
      <c r="DF34" s="25">
        <v>1</v>
      </c>
      <c r="DG34" s="25">
        <v>1</v>
      </c>
      <c r="DH34" s="110"/>
      <c r="DI34" s="110"/>
      <c r="DJ34" s="25"/>
      <c r="DK34" s="25"/>
      <c r="DL34" s="25"/>
      <c r="DM34" s="25"/>
      <c r="DN34" s="25"/>
      <c r="DO34" s="110"/>
      <c r="DP34" s="110"/>
      <c r="DQ34" s="25"/>
      <c r="DR34" s="25"/>
      <c r="DS34" s="25"/>
      <c r="DT34" s="25"/>
      <c r="DU34" s="110"/>
      <c r="DV34" s="110"/>
      <c r="DW34" s="110"/>
      <c r="DX34" s="25" t="s">
        <v>223</v>
      </c>
      <c r="DY34" s="25" t="s">
        <v>223</v>
      </c>
      <c r="DZ34" s="25" t="s">
        <v>223</v>
      </c>
      <c r="EA34" s="25" t="s">
        <v>223</v>
      </c>
      <c r="EB34" s="110" t="s">
        <v>445</v>
      </c>
      <c r="EC34" s="110"/>
      <c r="ED34" s="110"/>
      <c r="EE34" s="25" t="s">
        <v>223</v>
      </c>
      <c r="EF34" s="25" t="s">
        <v>223</v>
      </c>
      <c r="EG34" s="25">
        <v>1</v>
      </c>
      <c r="EH34" s="110" t="s">
        <v>445</v>
      </c>
      <c r="EI34" s="110" t="s">
        <v>445</v>
      </c>
      <c r="EJ34" s="110"/>
      <c r="EK34" s="110"/>
      <c r="EL34" s="25">
        <v>1</v>
      </c>
      <c r="EM34" s="25"/>
      <c r="EN34" s="25"/>
      <c r="EO34" s="25"/>
      <c r="EP34" s="25"/>
      <c r="EQ34" s="110"/>
      <c r="ER34" s="110"/>
      <c r="ES34" s="110" t="s">
        <v>445</v>
      </c>
      <c r="ET34" s="25"/>
      <c r="EU34" s="25"/>
      <c r="EV34" s="25"/>
      <c r="EW34" s="25"/>
      <c r="EX34" s="110"/>
      <c r="EY34" s="110"/>
      <c r="EZ34" s="25"/>
      <c r="FA34" s="25"/>
      <c r="FB34" s="25"/>
      <c r="FC34" s="25"/>
      <c r="FD34" s="25"/>
      <c r="FE34" s="110"/>
      <c r="FF34" s="110"/>
      <c r="FG34" s="25"/>
      <c r="FH34" s="25"/>
      <c r="FI34" s="25"/>
      <c r="FJ34" s="25"/>
      <c r="FK34" s="25"/>
      <c r="FL34" s="110"/>
      <c r="FM34" s="110"/>
      <c r="FN34" s="25"/>
      <c r="FO34" s="25"/>
      <c r="FP34" s="25"/>
      <c r="FQ34" s="25"/>
      <c r="FR34" s="25"/>
      <c r="FS34" s="110"/>
      <c r="FT34" s="110"/>
      <c r="FU34" s="25"/>
      <c r="FV34" s="25"/>
      <c r="FW34" s="25"/>
      <c r="FX34" s="25"/>
      <c r="FY34" s="25"/>
      <c r="FZ34" s="110"/>
      <c r="GA34" s="110"/>
      <c r="GB34" s="25"/>
      <c r="GC34" s="25"/>
      <c r="GD34" s="25"/>
      <c r="GE34" s="25"/>
      <c r="GF34" s="25"/>
      <c r="GG34" s="110"/>
      <c r="GH34" s="110"/>
      <c r="GI34" s="25"/>
      <c r="GJ34" s="25"/>
      <c r="GK34" s="25"/>
      <c r="GL34" s="25"/>
      <c r="GM34" s="25"/>
      <c r="GN34" s="110"/>
      <c r="GO34" s="110"/>
      <c r="GP34" s="110"/>
      <c r="GQ34" s="110" t="s">
        <v>445</v>
      </c>
      <c r="GR34" s="25"/>
      <c r="GS34" s="25"/>
      <c r="GT34" s="25"/>
      <c r="GU34" s="110"/>
      <c r="GV34" s="110"/>
      <c r="GW34" s="25"/>
      <c r="GX34" s="25"/>
      <c r="GY34" s="25"/>
      <c r="GZ34" s="25"/>
      <c r="HA34" s="25"/>
      <c r="HB34" s="110"/>
      <c r="HC34" s="110"/>
      <c r="HD34" s="25"/>
      <c r="HE34" s="25"/>
      <c r="HF34" s="25"/>
      <c r="HG34" s="25"/>
      <c r="HH34" s="25"/>
      <c r="HI34" s="110"/>
      <c r="HJ34" s="110"/>
      <c r="HK34" s="25"/>
      <c r="HL34" s="25"/>
      <c r="HM34" s="25"/>
      <c r="HN34" s="25"/>
      <c r="HO34" s="25"/>
      <c r="HP34" s="110"/>
      <c r="HQ34" s="110"/>
      <c r="HR34" s="25"/>
      <c r="HS34" s="25"/>
      <c r="HT34" s="25"/>
      <c r="HU34" s="25"/>
      <c r="HV34" s="25"/>
      <c r="HW34" s="110"/>
      <c r="HX34" s="110"/>
      <c r="HY34" s="25"/>
      <c r="HZ34" s="25"/>
      <c r="IA34" s="25"/>
      <c r="IB34" s="25"/>
      <c r="IC34" s="25"/>
      <c r="ID34" s="110"/>
      <c r="IE34" s="110"/>
      <c r="IF34" s="25"/>
      <c r="IG34" s="25"/>
      <c r="IH34" s="25"/>
      <c r="II34" s="25"/>
      <c r="IJ34" s="25"/>
      <c r="IK34" s="110"/>
      <c r="IL34" s="110"/>
      <c r="IM34" s="25"/>
      <c r="IN34" s="25"/>
      <c r="IO34" s="25"/>
      <c r="IP34" s="25"/>
      <c r="IQ34" s="25"/>
      <c r="IR34" s="110"/>
      <c r="IS34" s="110"/>
      <c r="IT34" s="25"/>
      <c r="IU34" s="25"/>
      <c r="IV34" s="25"/>
      <c r="IW34" s="25"/>
      <c r="IX34" s="25"/>
      <c r="IY34" s="110"/>
      <c r="IZ34" s="110"/>
      <c r="JA34" s="25"/>
      <c r="JB34" s="25"/>
      <c r="JC34" s="25"/>
      <c r="JD34" s="25"/>
      <c r="JE34" s="25"/>
      <c r="JF34" s="110"/>
      <c r="JG34" s="110"/>
      <c r="JH34" s="25"/>
      <c r="JI34" s="25"/>
      <c r="JJ34" s="25"/>
      <c r="JK34" s="25"/>
      <c r="JL34" s="25"/>
      <c r="JM34" s="110"/>
      <c r="JN34" s="110"/>
      <c r="JO34" s="25"/>
      <c r="JP34" s="25"/>
      <c r="JQ34" s="25"/>
      <c r="JR34" s="25"/>
      <c r="JS34" s="25"/>
      <c r="JT34" s="110"/>
      <c r="JU34" s="110"/>
      <c r="JV34" s="25"/>
      <c r="JW34" s="25"/>
      <c r="JX34" s="25"/>
      <c r="JY34" s="25"/>
      <c r="JZ34" s="25"/>
      <c r="KA34" s="110"/>
      <c r="KB34" s="110"/>
      <c r="KC34" s="25"/>
      <c r="KD34" s="25"/>
      <c r="KE34" s="25"/>
      <c r="KF34" s="25"/>
      <c r="KG34" s="25"/>
      <c r="KH34" s="110"/>
      <c r="KI34" s="110"/>
      <c r="KJ34" s="25"/>
      <c r="KK34" s="25"/>
      <c r="KL34" s="25"/>
      <c r="KM34" s="25"/>
      <c r="KN34" s="25"/>
      <c r="KO34" s="110"/>
      <c r="KP34" s="110"/>
      <c r="KQ34" s="25"/>
      <c r="KR34" s="25"/>
      <c r="KS34" s="25"/>
      <c r="KT34" s="25"/>
      <c r="KU34" s="25"/>
      <c r="KV34" s="110"/>
      <c r="KW34" s="110"/>
      <c r="KX34" s="25"/>
      <c r="KY34" s="25"/>
      <c r="KZ34" s="25"/>
      <c r="LA34" s="25"/>
      <c r="LB34" s="25"/>
      <c r="LC34" s="110"/>
      <c r="LD34" s="110"/>
      <c r="LE34" s="25"/>
      <c r="LF34" s="25"/>
      <c r="LG34" s="110" t="s">
        <v>445</v>
      </c>
      <c r="LH34" s="25"/>
      <c r="LI34" s="25"/>
      <c r="LJ34" s="110"/>
      <c r="LK34" s="110"/>
      <c r="LL34" s="25"/>
      <c r="LM34" s="25"/>
      <c r="LN34" s="25"/>
      <c r="LO34" s="25"/>
      <c r="LP34" s="25"/>
      <c r="LQ34" s="110"/>
      <c r="LR34" s="110"/>
      <c r="LS34" s="25"/>
      <c r="LT34" s="25"/>
      <c r="LU34" s="25"/>
      <c r="LV34" s="25"/>
      <c r="LW34" s="25"/>
      <c r="LX34" s="110"/>
      <c r="LY34" s="110"/>
      <c r="LZ34" s="25"/>
      <c r="MA34" s="25"/>
      <c r="MB34" s="25"/>
      <c r="MC34" s="25"/>
      <c r="MD34" s="25"/>
      <c r="ME34" s="110"/>
      <c r="MF34" s="110"/>
      <c r="MG34" s="25"/>
      <c r="MH34" s="25"/>
      <c r="MI34" s="25"/>
      <c r="MJ34" s="25"/>
      <c r="MK34" s="25"/>
      <c r="ML34" s="110"/>
      <c r="MM34" s="110"/>
      <c r="MN34" s="25"/>
      <c r="MO34" s="25"/>
      <c r="MP34" s="25"/>
      <c r="MQ34" s="25"/>
      <c r="MR34" s="25"/>
      <c r="MS34" s="110"/>
      <c r="MT34" s="110"/>
      <c r="MU34" s="25"/>
      <c r="MV34" s="25"/>
      <c r="MW34" s="25"/>
      <c r="MX34" s="25"/>
      <c r="MY34" s="25"/>
      <c r="MZ34" s="110"/>
      <c r="NA34" s="110"/>
      <c r="NB34" s="25"/>
      <c r="NC34" s="25"/>
      <c r="ND34" s="25"/>
      <c r="NE34" s="129"/>
      <c r="NF34" s="111"/>
      <c r="NG34" s="8">
        <f t="shared" si="0"/>
        <v>15</v>
      </c>
      <c r="NH34" s="32" cm="1">
        <f t="array" ref="NH34">NETWORKDAYS($I$2,$AI$2)- SUM(COUNTIF(I34:AI34,{"I";"F";"CP";"R";"P";"AC";"AM"}))</f>
        <v>16</v>
      </c>
      <c r="NI34" s="138">
        <f t="shared" si="1"/>
        <v>0.9375</v>
      </c>
      <c r="NJ34" s="8">
        <f t="shared" si="2"/>
        <v>16</v>
      </c>
      <c r="NK34" s="32" cm="1">
        <f t="array" ref="NK34">NETWORKDAYS($AJ$2,$BK$2)- SUM(COUNTIF(AJ34:BK34,{"I";"F";"CP";"R";"P";"AC";"AM"}))</f>
        <v>16</v>
      </c>
      <c r="NL34" s="138">
        <f t="shared" si="3"/>
        <v>1</v>
      </c>
      <c r="NM34" s="8">
        <f t="shared" si="4"/>
        <v>20</v>
      </c>
      <c r="NN34" s="32" cm="1">
        <f t="array" ref="NN34">NETWORKDAYS($BL$2,$CP$2)- SUM(COUNTIF(BL34:CP34,{"I";"F";"CP";"R";"P";"AC";"AM"}))</f>
        <v>22</v>
      </c>
      <c r="NO34" s="138">
        <f t="shared" si="5"/>
        <v>0.90909090909090906</v>
      </c>
      <c r="NP34" s="8">
        <f t="shared" si="26"/>
        <v>12</v>
      </c>
      <c r="NQ34" s="32" cm="1">
        <f t="array" ref="NQ34">NETWORKDAYS($CQ$2,$DT$2,$CV$2)- SUM(COUNTIF(CQ34:DT34,{"I";"F";"CP";"R";"P";"AC";"AM"}))</f>
        <v>21</v>
      </c>
      <c r="NR34" s="138">
        <f t="shared" si="6"/>
        <v>0.5714285714285714</v>
      </c>
      <c r="NS34" s="8">
        <f t="shared" si="7"/>
        <v>2</v>
      </c>
      <c r="NT34" s="32" cm="1">
        <f t="array" ref="NT34">NETWORKDAYS($DV$2,$EY$2)-SUM(COUNTIF(DV34:EY34,{"I";"F";"CP";"R";"P";"AC";"AM"}))</f>
        <v>10</v>
      </c>
      <c r="NU34" s="138">
        <f t="shared" si="8"/>
        <v>0.2</v>
      </c>
      <c r="NV34" s="8">
        <f t="shared" si="9"/>
        <v>0</v>
      </c>
      <c r="NW34" s="32" cm="1">
        <f t="array" ref="NW34">NETWORKDAYS($EZ$2,$GC$2)-SUM(COUNTIF(EZ114:GC114,{"I";"F";"CP";"R";"P";"AC";"AM"}))</f>
        <v>22</v>
      </c>
      <c r="NX34" s="138">
        <f t="shared" si="10"/>
        <v>0</v>
      </c>
      <c r="NY34" s="8">
        <f t="shared" si="11"/>
        <v>0</v>
      </c>
      <c r="NZ34" s="32" cm="1">
        <f t="array" ref="NZ34">NETWORKDAYS($GD$2,$HH$2,$GQ$2)-SUM(COUNTIF(GD34:HH34,{"I";"F";"CP";"R";"P";"AC";"AM"}))</f>
        <v>21</v>
      </c>
      <c r="OA34" s="138">
        <f t="shared" si="12"/>
        <v>0</v>
      </c>
      <c r="OB34" s="8">
        <f t="shared" si="13"/>
        <v>0</v>
      </c>
      <c r="OC34" s="32" cm="1">
        <f t="array" ref="OC34">NETWORKDAYS($HI$2,$IM$2)-SUM(COUNTIF(HI34:IM34,{"I";"F";"CP";"R";"P";"AC";"AM"}))</f>
        <v>21</v>
      </c>
      <c r="OD34" s="138">
        <f t="shared" si="14"/>
        <v>0</v>
      </c>
      <c r="OE34" s="8">
        <f t="shared" si="15"/>
        <v>0</v>
      </c>
      <c r="OF34" s="32" cm="1">
        <f t="array" ref="OF34">NETWORKDAYS($IN$2,$JQ$2)-SUM(COUNTIF(IN34:JQ34,{"I";"F";"CP";"R";"P";"AC";"AM"}))</f>
        <v>22</v>
      </c>
      <c r="OG34" s="138">
        <f t="shared" si="16"/>
        <v>0</v>
      </c>
      <c r="OH34" s="8">
        <f t="shared" si="17"/>
        <v>0</v>
      </c>
      <c r="OI34" s="32" cm="1">
        <f t="array" ref="OI34">NETWORKDAYS($JR$2,$KV$2)-SUM(COUNTIF(JR34:KV34,{"I";"F";"CP";"R";"P";"AC";"AM"}))</f>
        <v>22</v>
      </c>
      <c r="OJ34" s="138">
        <f t="shared" si="18"/>
        <v>0</v>
      </c>
      <c r="OK34" s="8">
        <f t="shared" si="19"/>
        <v>0</v>
      </c>
      <c r="OL34" s="32" cm="1">
        <f t="array" ref="OL34">NETWORKDAYS($KW$2,$LZ$2,$LG$2)-SUM(COUNTIF(KW34:LZ34,{"I";"F";"CP";"R";"P";"AC";"AM"}))</f>
        <v>19</v>
      </c>
      <c r="OM34" s="138">
        <f t="shared" si="20"/>
        <v>0</v>
      </c>
      <c r="ON34" s="8">
        <f t="shared" si="21"/>
        <v>0</v>
      </c>
      <c r="OO34" s="32" cm="1">
        <f t="array" ref="OO34">NETWORKDAYS($MA$2,$MR$2)-SUM(COUNTIF(MA34:MR34,{"I";"F";"CP";"R";"P";"AC";"AM"}))</f>
        <v>14</v>
      </c>
      <c r="OP34" s="138">
        <f t="shared" si="22"/>
        <v>0</v>
      </c>
      <c r="OQ34" s="94">
        <f t="shared" si="23"/>
        <v>65</v>
      </c>
      <c r="OR34" s="94">
        <f t="shared" si="24"/>
        <v>226</v>
      </c>
      <c r="OS34" s="138">
        <f t="shared" si="25"/>
        <v>0.28761061946902655</v>
      </c>
    </row>
    <row r="35" spans="1:409" ht="18" hidden="1" customHeight="1" x14ac:dyDescent="0.25">
      <c r="A35" s="95" t="s">
        <v>468</v>
      </c>
      <c r="B35" s="95" t="s">
        <v>34</v>
      </c>
      <c r="C35" s="89" t="s">
        <v>166</v>
      </c>
      <c r="D35" s="89" t="s">
        <v>210</v>
      </c>
      <c r="E35" s="128"/>
      <c r="F35" s="110"/>
      <c r="G35" s="110"/>
      <c r="H35" s="110"/>
      <c r="I35" s="25"/>
      <c r="J35" s="25"/>
      <c r="K35" s="25"/>
      <c r="L35" s="25"/>
      <c r="M35" s="25"/>
      <c r="N35" s="110"/>
      <c r="O35" s="110"/>
      <c r="P35" s="25"/>
      <c r="Q35" s="25"/>
      <c r="R35" s="25"/>
      <c r="S35" s="25"/>
      <c r="T35" s="25"/>
      <c r="U35" s="110"/>
      <c r="V35" s="110"/>
      <c r="W35" s="25"/>
      <c r="X35" s="25"/>
      <c r="Y35" s="25"/>
      <c r="Z35" s="25"/>
      <c r="AA35" s="25"/>
      <c r="AB35" s="110"/>
      <c r="AC35" s="110"/>
      <c r="AD35" s="25"/>
      <c r="AE35" s="25"/>
      <c r="AF35" s="25"/>
      <c r="AG35" s="25"/>
      <c r="AH35" s="25"/>
      <c r="AI35" s="110"/>
      <c r="AJ35" s="110"/>
      <c r="AK35" s="25"/>
      <c r="AL35" s="25"/>
      <c r="AM35" s="25"/>
      <c r="AN35" s="25"/>
      <c r="AO35" s="25"/>
      <c r="AP35" s="110"/>
      <c r="AQ35" s="110"/>
      <c r="AR35" s="25"/>
      <c r="AS35" s="25"/>
      <c r="AT35" s="25"/>
      <c r="AU35" s="25"/>
      <c r="AV35" s="25"/>
      <c r="AW35" s="110"/>
      <c r="AX35" s="110"/>
      <c r="AY35" s="25"/>
      <c r="AZ35" s="25"/>
      <c r="BA35" s="25"/>
      <c r="BB35" s="25"/>
      <c r="BC35" s="25"/>
      <c r="BD35" s="110"/>
      <c r="BE35" s="110"/>
      <c r="BF35" s="25"/>
      <c r="BG35" s="25"/>
      <c r="BH35" s="25"/>
      <c r="BI35" s="25"/>
      <c r="BJ35" s="25"/>
      <c r="BK35" s="110"/>
      <c r="BL35" s="110"/>
      <c r="BM35" s="25"/>
      <c r="BN35" s="25"/>
      <c r="BO35" s="25"/>
      <c r="BP35" s="25"/>
      <c r="BQ35" s="25"/>
      <c r="BR35" s="110"/>
      <c r="BS35" s="110"/>
      <c r="BT35" s="25"/>
      <c r="BU35" s="25"/>
      <c r="BV35" s="25"/>
      <c r="BW35" s="25"/>
      <c r="BX35" s="25"/>
      <c r="BY35" s="110"/>
      <c r="BZ35" s="110"/>
      <c r="CA35" s="25"/>
      <c r="CB35" s="25"/>
      <c r="CC35" s="25"/>
      <c r="CD35" s="25"/>
      <c r="CE35" s="25"/>
      <c r="CF35" s="110"/>
      <c r="CG35" s="110"/>
      <c r="CH35" s="25"/>
      <c r="CI35" s="25"/>
      <c r="CJ35" s="25"/>
      <c r="CK35" s="25"/>
      <c r="CL35" s="25"/>
      <c r="CM35" s="110"/>
      <c r="CN35" s="110"/>
      <c r="CO35" s="25"/>
      <c r="CP35" s="25"/>
      <c r="CQ35" s="25"/>
      <c r="CR35" s="25"/>
      <c r="CS35" s="25"/>
      <c r="CT35" s="110"/>
      <c r="CU35" s="110"/>
      <c r="CV35" s="110"/>
      <c r="CW35" s="25"/>
      <c r="CX35" s="25"/>
      <c r="CY35" s="25"/>
      <c r="CZ35" s="25"/>
      <c r="DA35" s="110"/>
      <c r="DB35" s="110"/>
      <c r="DC35" s="25"/>
      <c r="DD35" s="25"/>
      <c r="DE35" s="25"/>
      <c r="DF35" s="25"/>
      <c r="DG35" s="25"/>
      <c r="DH35" s="110"/>
      <c r="DI35" s="110"/>
      <c r="DJ35" s="25"/>
      <c r="DK35" s="25"/>
      <c r="DL35" s="25"/>
      <c r="DM35" s="25"/>
      <c r="DN35" s="25"/>
      <c r="DO35" s="110"/>
      <c r="DP35" s="110"/>
      <c r="DQ35" s="25"/>
      <c r="DR35" s="25"/>
      <c r="DS35" s="25"/>
      <c r="DT35" s="25"/>
      <c r="DU35" s="110"/>
      <c r="DV35" s="110"/>
      <c r="DW35" s="110"/>
      <c r="DX35" s="25"/>
      <c r="DY35" s="25"/>
      <c r="DZ35" s="25"/>
      <c r="EA35" s="25"/>
      <c r="EB35" s="110" t="s">
        <v>445</v>
      </c>
      <c r="EC35" s="110"/>
      <c r="ED35" s="110"/>
      <c r="EE35" s="25"/>
      <c r="EF35" s="25"/>
      <c r="EG35" s="25"/>
      <c r="EH35" s="110" t="s">
        <v>445</v>
      </c>
      <c r="EI35" s="110" t="s">
        <v>445</v>
      </c>
      <c r="EJ35" s="110"/>
      <c r="EK35" s="110"/>
      <c r="EL35" s="25"/>
      <c r="EM35" s="25"/>
      <c r="EN35" s="25"/>
      <c r="EO35" s="25"/>
      <c r="EP35" s="25"/>
      <c r="EQ35" s="110"/>
      <c r="ER35" s="110"/>
      <c r="ES35" s="110" t="s">
        <v>445</v>
      </c>
      <c r="ET35" s="25"/>
      <c r="EU35" s="25"/>
      <c r="EV35" s="25"/>
      <c r="EW35" s="25"/>
      <c r="EX35" s="110"/>
      <c r="EY35" s="110"/>
      <c r="EZ35" s="25"/>
      <c r="FA35" s="25"/>
      <c r="FB35" s="25"/>
      <c r="FC35" s="25"/>
      <c r="FD35" s="25"/>
      <c r="FE35" s="110"/>
      <c r="FF35" s="110"/>
      <c r="FG35" s="25"/>
      <c r="FH35" s="25"/>
      <c r="FI35" s="25"/>
      <c r="FJ35" s="25"/>
      <c r="FK35" s="25"/>
      <c r="FL35" s="110"/>
      <c r="FM35" s="110"/>
      <c r="FN35" s="25"/>
      <c r="FO35" s="25"/>
      <c r="FP35" s="25"/>
      <c r="FQ35" s="25"/>
      <c r="FR35" s="25"/>
      <c r="FS35" s="110"/>
      <c r="FT35" s="110"/>
      <c r="FU35" s="25"/>
      <c r="FV35" s="25"/>
      <c r="FW35" s="25"/>
      <c r="FX35" s="25"/>
      <c r="FY35" s="25"/>
      <c r="FZ35" s="110"/>
      <c r="GA35" s="110"/>
      <c r="GB35" s="25"/>
      <c r="GC35" s="25"/>
      <c r="GD35" s="25"/>
      <c r="GE35" s="25"/>
      <c r="GF35" s="25"/>
      <c r="GG35" s="110"/>
      <c r="GH35" s="110"/>
      <c r="GI35" s="25"/>
      <c r="GJ35" s="25"/>
      <c r="GK35" s="25"/>
      <c r="GL35" s="25"/>
      <c r="GM35" s="25"/>
      <c r="GN35" s="110"/>
      <c r="GO35" s="110"/>
      <c r="GP35" s="110"/>
      <c r="GQ35" s="110" t="s">
        <v>445</v>
      </c>
      <c r="GR35" s="25"/>
      <c r="GS35" s="25"/>
      <c r="GT35" s="25"/>
      <c r="GU35" s="110"/>
      <c r="GV35" s="110"/>
      <c r="GW35" s="25"/>
      <c r="GX35" s="25"/>
      <c r="GY35" s="25"/>
      <c r="GZ35" s="25"/>
      <c r="HA35" s="25"/>
      <c r="HB35" s="110"/>
      <c r="HC35" s="110"/>
      <c r="HD35" s="25"/>
      <c r="HE35" s="25"/>
      <c r="HF35" s="25"/>
      <c r="HG35" s="25"/>
      <c r="HH35" s="25"/>
      <c r="HI35" s="110"/>
      <c r="HJ35" s="110"/>
      <c r="HK35" s="25"/>
      <c r="HL35" s="25"/>
      <c r="HM35" s="25"/>
      <c r="HN35" s="25"/>
      <c r="HO35" s="25"/>
      <c r="HP35" s="110"/>
      <c r="HQ35" s="110"/>
      <c r="HR35" s="25"/>
      <c r="HS35" s="25"/>
      <c r="HT35" s="25"/>
      <c r="HU35" s="25"/>
      <c r="HV35" s="25"/>
      <c r="HW35" s="110"/>
      <c r="HX35" s="110"/>
      <c r="HY35" s="25"/>
      <c r="HZ35" s="25"/>
      <c r="IA35" s="25"/>
      <c r="IB35" s="25"/>
      <c r="IC35" s="25"/>
      <c r="ID35" s="110"/>
      <c r="IE35" s="110"/>
      <c r="IF35" s="25"/>
      <c r="IG35" s="25"/>
      <c r="IH35" s="25"/>
      <c r="II35" s="25"/>
      <c r="IJ35" s="25"/>
      <c r="IK35" s="110"/>
      <c r="IL35" s="110"/>
      <c r="IM35" s="25"/>
      <c r="IN35" s="25"/>
      <c r="IO35" s="25"/>
      <c r="IP35" s="25"/>
      <c r="IQ35" s="25"/>
      <c r="IR35" s="110"/>
      <c r="IS35" s="110"/>
      <c r="IT35" s="25"/>
      <c r="IU35" s="25"/>
      <c r="IV35" s="25"/>
      <c r="IW35" s="25"/>
      <c r="IX35" s="25"/>
      <c r="IY35" s="110"/>
      <c r="IZ35" s="110"/>
      <c r="JA35" s="25"/>
      <c r="JB35" s="25"/>
      <c r="JC35" s="25"/>
      <c r="JD35" s="25"/>
      <c r="JE35" s="25"/>
      <c r="JF35" s="110"/>
      <c r="JG35" s="110"/>
      <c r="JH35" s="25"/>
      <c r="JI35" s="25"/>
      <c r="JJ35" s="25"/>
      <c r="JK35" s="25"/>
      <c r="JL35" s="25"/>
      <c r="JM35" s="110"/>
      <c r="JN35" s="110"/>
      <c r="JO35" s="25"/>
      <c r="JP35" s="25"/>
      <c r="JQ35" s="25"/>
      <c r="JR35" s="25"/>
      <c r="JS35" s="25"/>
      <c r="JT35" s="110"/>
      <c r="JU35" s="110"/>
      <c r="JV35" s="25"/>
      <c r="JW35" s="25"/>
      <c r="JX35" s="25"/>
      <c r="JY35" s="25"/>
      <c r="JZ35" s="25"/>
      <c r="KA35" s="110"/>
      <c r="KB35" s="110"/>
      <c r="KC35" s="25"/>
      <c r="KD35" s="25"/>
      <c r="KE35" s="25"/>
      <c r="KF35" s="25"/>
      <c r="KG35" s="25"/>
      <c r="KH35" s="110"/>
      <c r="KI35" s="110"/>
      <c r="KJ35" s="25"/>
      <c r="KK35" s="25"/>
      <c r="KL35" s="25"/>
      <c r="KM35" s="25"/>
      <c r="KN35" s="25"/>
      <c r="KO35" s="110"/>
      <c r="KP35" s="110"/>
      <c r="KQ35" s="25"/>
      <c r="KR35" s="25"/>
      <c r="KS35" s="25"/>
      <c r="KT35" s="25"/>
      <c r="KU35" s="25"/>
      <c r="KV35" s="110"/>
      <c r="KW35" s="110"/>
      <c r="KX35" s="25"/>
      <c r="KY35" s="25"/>
      <c r="KZ35" s="25"/>
      <c r="LA35" s="25"/>
      <c r="LB35" s="25"/>
      <c r="LC35" s="110"/>
      <c r="LD35" s="110"/>
      <c r="LE35" s="25"/>
      <c r="LF35" s="25"/>
      <c r="LG35" s="110" t="s">
        <v>445</v>
      </c>
      <c r="LH35" s="25"/>
      <c r="LI35" s="25"/>
      <c r="LJ35" s="110"/>
      <c r="LK35" s="110"/>
      <c r="LL35" s="25"/>
      <c r="LM35" s="25"/>
      <c r="LN35" s="25"/>
      <c r="LO35" s="25"/>
      <c r="LP35" s="25"/>
      <c r="LQ35" s="110"/>
      <c r="LR35" s="110"/>
      <c r="LS35" s="25"/>
      <c r="LT35" s="25"/>
      <c r="LU35" s="25"/>
      <c r="LV35" s="25"/>
      <c r="LW35" s="25"/>
      <c r="LX35" s="110"/>
      <c r="LY35" s="110"/>
      <c r="LZ35" s="25"/>
      <c r="MA35" s="25"/>
      <c r="MB35" s="25"/>
      <c r="MC35" s="25"/>
      <c r="MD35" s="25"/>
      <c r="ME35" s="110"/>
      <c r="MF35" s="110"/>
      <c r="MG35" s="25"/>
      <c r="MH35" s="25"/>
      <c r="MI35" s="25"/>
      <c r="MJ35" s="25"/>
      <c r="MK35" s="25"/>
      <c r="ML35" s="110"/>
      <c r="MM35" s="110"/>
      <c r="MN35" s="25"/>
      <c r="MO35" s="25"/>
      <c r="MP35" s="25"/>
      <c r="MQ35" s="25"/>
      <c r="MR35" s="25"/>
      <c r="MS35" s="110"/>
      <c r="MT35" s="110"/>
      <c r="MU35" s="25"/>
      <c r="MV35" s="25"/>
      <c r="MW35" s="25"/>
      <c r="MX35" s="25"/>
      <c r="MY35" s="25"/>
      <c r="MZ35" s="110"/>
      <c r="NA35" s="110"/>
      <c r="NB35" s="25"/>
      <c r="NC35" s="25"/>
      <c r="ND35" s="25"/>
      <c r="NE35" s="129"/>
      <c r="NF35" s="111"/>
      <c r="NG35" s="8">
        <f t="shared" si="0"/>
        <v>0</v>
      </c>
      <c r="NH35" s="32" cm="1">
        <f t="array" ref="NH35">NETWORKDAYS($I$2,$AI$2)- SUM(COUNTIF(I35:AI35,{"I";"F";"CP";"R";"P";"AC";"AM"}))</f>
        <v>20</v>
      </c>
      <c r="NI35" s="138">
        <f t="shared" si="1"/>
        <v>0</v>
      </c>
      <c r="NJ35" s="8">
        <f t="shared" si="2"/>
        <v>0</v>
      </c>
      <c r="NK35" s="32" cm="1">
        <f t="array" ref="NK35">NETWORKDAYS($AJ$2,$BK$2)- SUM(COUNTIF(AJ35:BK35,{"I";"F";"CP";"R";"P";"AC";"AM"}))</f>
        <v>20</v>
      </c>
      <c r="NL35" s="138">
        <f t="shared" si="3"/>
        <v>0</v>
      </c>
      <c r="NM35" s="8">
        <f t="shared" si="4"/>
        <v>0</v>
      </c>
      <c r="NN35" s="32" cm="1">
        <f t="array" ref="NN35">NETWORKDAYS($BL$2,$CP$2)- SUM(COUNTIF(BL35:CP35,{"I";"F";"CP";"R";"P";"AC";"AM"}))</f>
        <v>22</v>
      </c>
      <c r="NO35" s="138">
        <f t="shared" si="5"/>
        <v>0</v>
      </c>
      <c r="NP35" s="32">
        <f t="shared" si="26"/>
        <v>0</v>
      </c>
      <c r="NQ35" s="32" cm="1">
        <f t="array" ref="NQ35">NETWORKDAYS($CQ$2,$DT$2,$CV$2)- SUM(COUNTIF(CQ35:DT35,{"I";"F";"CP";"R";"P";"AC";"AM"}))</f>
        <v>21</v>
      </c>
      <c r="NR35" s="138">
        <f t="shared" si="6"/>
        <v>0</v>
      </c>
      <c r="NS35" s="8">
        <f t="shared" si="7"/>
        <v>0</v>
      </c>
      <c r="NT35" s="32" cm="1">
        <f t="array" ref="NT35">NETWORKDAYS($DV$2,$EY$2)-SUM(COUNTIF(DV35:EY35,{"I";"F";"CP";"R";"P";"AC";"AM"}))</f>
        <v>16</v>
      </c>
      <c r="NU35" s="138">
        <f t="shared" si="8"/>
        <v>0</v>
      </c>
      <c r="NV35" s="8">
        <f t="shared" si="9"/>
        <v>0</v>
      </c>
      <c r="NW35" s="32" cm="1">
        <f t="array" ref="NW35">NETWORKDAYS($EZ$2,$GC$2)-SUM(COUNTIF(EZ115:GC115,{"I";"F";"CP";"R";"P";"AC";"AM"}))</f>
        <v>22</v>
      </c>
      <c r="NX35" s="138">
        <f t="shared" si="10"/>
        <v>0</v>
      </c>
      <c r="NY35" s="8">
        <f t="shared" si="11"/>
        <v>0</v>
      </c>
      <c r="NZ35" s="32" cm="1">
        <f t="array" ref="NZ35">NETWORKDAYS($GD$2,$HH$2,$GQ$2)-SUM(COUNTIF(GD35:HH35,{"I";"F";"CP";"R";"P";"AC";"AM"}))</f>
        <v>21</v>
      </c>
      <c r="OA35" s="138">
        <f t="shared" si="12"/>
        <v>0</v>
      </c>
      <c r="OB35" s="8">
        <f t="shared" si="13"/>
        <v>0</v>
      </c>
      <c r="OC35" s="32" cm="1">
        <f t="array" ref="OC35">NETWORKDAYS($HI$2,$IM$2)-SUM(COUNTIF(HI35:IM35,{"I";"F";"CP";"R";"P";"AC";"AM"}))</f>
        <v>21</v>
      </c>
      <c r="OD35" s="138">
        <f t="shared" si="14"/>
        <v>0</v>
      </c>
      <c r="OE35" s="8">
        <f t="shared" si="15"/>
        <v>0</v>
      </c>
      <c r="OF35" s="32" cm="1">
        <f t="array" ref="OF35">NETWORKDAYS($IN$2,$JQ$2)-SUM(COUNTIF(IN35:JQ35,{"I";"F";"CP";"R";"P";"AC";"AM"}))</f>
        <v>22</v>
      </c>
      <c r="OG35" s="138">
        <f t="shared" si="16"/>
        <v>0</v>
      </c>
      <c r="OH35" s="8">
        <f t="shared" si="17"/>
        <v>0</v>
      </c>
      <c r="OI35" s="32" cm="1">
        <f t="array" ref="OI35">NETWORKDAYS($JR$2,$KV$2)-SUM(COUNTIF(JR35:KV35,{"I";"F";"CP";"R";"P";"AC";"AM"}))</f>
        <v>22</v>
      </c>
      <c r="OJ35" s="138">
        <f t="shared" si="18"/>
        <v>0</v>
      </c>
      <c r="OK35" s="8">
        <f t="shared" si="19"/>
        <v>0</v>
      </c>
      <c r="OL35" s="32" cm="1">
        <f t="array" ref="OL35">NETWORKDAYS($KW$2,$LZ$2,$LG$2)-SUM(COUNTIF(KW35:LZ35,{"I";"F";"CP";"R";"P";"AC";"AM"}))</f>
        <v>19</v>
      </c>
      <c r="OM35" s="138">
        <f t="shared" si="20"/>
        <v>0</v>
      </c>
      <c r="ON35" s="8">
        <f t="shared" si="21"/>
        <v>0</v>
      </c>
      <c r="OO35" s="32" cm="1">
        <f t="array" ref="OO35">NETWORKDAYS($MA$2,$MR$2)-SUM(COUNTIF(MA35:MR35,{"I";"F";"CP";"R";"P";"AC";"AM"}))</f>
        <v>14</v>
      </c>
      <c r="OP35" s="138">
        <f t="shared" si="22"/>
        <v>0</v>
      </c>
      <c r="OQ35" s="94">
        <f t="shared" si="23"/>
        <v>0</v>
      </c>
      <c r="OR35" s="94">
        <f t="shared" si="24"/>
        <v>240</v>
      </c>
      <c r="OS35" s="138">
        <f t="shared" si="25"/>
        <v>0</v>
      </c>
    </row>
    <row r="36" spans="1:409" ht="18" customHeight="1" x14ac:dyDescent="0.25">
      <c r="A36" s="95" t="s">
        <v>181</v>
      </c>
      <c r="B36" s="95" t="s">
        <v>34</v>
      </c>
      <c r="C36" s="89" t="s">
        <v>160</v>
      </c>
      <c r="D36" s="89" t="s">
        <v>211</v>
      </c>
      <c r="E36" s="128"/>
      <c r="F36" s="110"/>
      <c r="G36" s="110"/>
      <c r="H36" s="110"/>
      <c r="I36" s="25" t="s">
        <v>248</v>
      </c>
      <c r="J36" s="25" t="s">
        <v>248</v>
      </c>
      <c r="K36" s="25" t="s">
        <v>248</v>
      </c>
      <c r="L36" s="25" t="s">
        <v>248</v>
      </c>
      <c r="M36" s="25" t="s">
        <v>248</v>
      </c>
      <c r="N36" s="110"/>
      <c r="O36" s="110"/>
      <c r="P36" s="25">
        <v>1</v>
      </c>
      <c r="Q36" s="25" t="s">
        <v>447</v>
      </c>
      <c r="R36" s="25" t="s">
        <v>447</v>
      </c>
      <c r="S36" s="25">
        <v>1</v>
      </c>
      <c r="T36" s="25"/>
      <c r="U36" s="110"/>
      <c r="V36" s="110"/>
      <c r="W36" s="25">
        <v>1</v>
      </c>
      <c r="X36" s="25">
        <v>1</v>
      </c>
      <c r="Y36" s="25">
        <v>1</v>
      </c>
      <c r="Z36" s="25" t="s">
        <v>447</v>
      </c>
      <c r="AA36" s="25" t="s">
        <v>447</v>
      </c>
      <c r="AB36" s="110"/>
      <c r="AC36" s="110"/>
      <c r="AD36" s="25">
        <v>1</v>
      </c>
      <c r="AE36" s="25" t="s">
        <v>447</v>
      </c>
      <c r="AF36" s="25"/>
      <c r="AG36" s="25"/>
      <c r="AH36" s="25"/>
      <c r="AI36" s="110"/>
      <c r="AJ36" s="110"/>
      <c r="AK36" s="25"/>
      <c r="AL36" s="25">
        <v>1</v>
      </c>
      <c r="AM36" s="25">
        <v>1</v>
      </c>
      <c r="AN36" s="25"/>
      <c r="AO36" s="25"/>
      <c r="AP36" s="110"/>
      <c r="AQ36" s="110"/>
      <c r="AR36" s="25">
        <v>1</v>
      </c>
      <c r="AS36" s="25" t="s">
        <v>447</v>
      </c>
      <c r="AT36" s="25" t="s">
        <v>447</v>
      </c>
      <c r="AU36" s="25" t="s">
        <v>223</v>
      </c>
      <c r="AV36" s="25" t="s">
        <v>223</v>
      </c>
      <c r="AW36" s="110"/>
      <c r="AX36" s="110"/>
      <c r="AY36" s="25">
        <v>1</v>
      </c>
      <c r="AZ36" s="25">
        <v>1</v>
      </c>
      <c r="BA36" s="25" t="s">
        <v>445</v>
      </c>
      <c r="BB36" s="25">
        <v>1</v>
      </c>
      <c r="BC36" s="25">
        <v>1</v>
      </c>
      <c r="BD36" s="110"/>
      <c r="BE36" s="110"/>
      <c r="BF36" s="25"/>
      <c r="BG36" s="25"/>
      <c r="BH36" s="25"/>
      <c r="BI36" s="25"/>
      <c r="BJ36" s="25"/>
      <c r="BK36" s="110"/>
      <c r="BL36" s="110"/>
      <c r="BM36" s="25">
        <v>1</v>
      </c>
      <c r="BN36" s="25"/>
      <c r="BO36" s="25">
        <v>1</v>
      </c>
      <c r="BP36" s="25">
        <v>1</v>
      </c>
      <c r="BQ36" s="25"/>
      <c r="BR36" s="110"/>
      <c r="BS36" s="110"/>
      <c r="BT36" s="25"/>
      <c r="BU36" s="25">
        <v>1</v>
      </c>
      <c r="BV36" s="25">
        <v>1</v>
      </c>
      <c r="BW36" s="25">
        <v>1</v>
      </c>
      <c r="BX36" s="25"/>
      <c r="BY36" s="110"/>
      <c r="BZ36" s="110"/>
      <c r="CA36" s="25"/>
      <c r="CB36" s="25">
        <v>1</v>
      </c>
      <c r="CC36" s="25"/>
      <c r="CD36" s="25"/>
      <c r="CE36" s="25">
        <v>1</v>
      </c>
      <c r="CF36" s="110"/>
      <c r="CG36" s="110"/>
      <c r="CH36" s="25">
        <v>1</v>
      </c>
      <c r="CI36" s="25">
        <v>1</v>
      </c>
      <c r="CJ36" s="25"/>
      <c r="CK36" s="25">
        <v>1</v>
      </c>
      <c r="CL36" s="25"/>
      <c r="CM36" s="110"/>
      <c r="CN36" s="110"/>
      <c r="CO36" s="25"/>
      <c r="CP36" s="25"/>
      <c r="CQ36" s="25">
        <v>1</v>
      </c>
      <c r="CR36" s="25">
        <v>1</v>
      </c>
      <c r="CS36" s="25"/>
      <c r="CT36" s="110"/>
      <c r="CU36" s="110"/>
      <c r="CV36" s="110"/>
      <c r="CW36" s="25" t="s">
        <v>223</v>
      </c>
      <c r="CX36" s="25" t="s">
        <v>223</v>
      </c>
      <c r="CY36" s="25" t="s">
        <v>223</v>
      </c>
      <c r="CZ36" s="25" t="s">
        <v>223</v>
      </c>
      <c r="DA36" s="110"/>
      <c r="DB36" s="110"/>
      <c r="DC36" s="25"/>
      <c r="DD36" s="25">
        <v>1</v>
      </c>
      <c r="DE36" s="25">
        <v>1</v>
      </c>
      <c r="DF36" s="25">
        <v>1</v>
      </c>
      <c r="DG36" s="25">
        <v>1</v>
      </c>
      <c r="DH36" s="110"/>
      <c r="DI36" s="110"/>
      <c r="DJ36" s="25" t="s">
        <v>223</v>
      </c>
      <c r="DK36" s="25"/>
      <c r="DL36" s="25"/>
      <c r="DM36" s="25">
        <v>1</v>
      </c>
      <c r="DN36" s="25">
        <v>1</v>
      </c>
      <c r="DO36" s="110"/>
      <c r="DP36" s="110"/>
      <c r="DQ36" s="25"/>
      <c r="DR36" s="25"/>
      <c r="DS36" s="25"/>
      <c r="DT36" s="25"/>
      <c r="DU36" s="110"/>
      <c r="DV36" s="110"/>
      <c r="DW36" s="110"/>
      <c r="DX36" s="25"/>
      <c r="DY36" s="25"/>
      <c r="DZ36" s="25">
        <v>1</v>
      </c>
      <c r="EA36" s="25"/>
      <c r="EB36" s="110" t="s">
        <v>445</v>
      </c>
      <c r="EC36" s="110"/>
      <c r="ED36" s="110"/>
      <c r="EE36" s="25"/>
      <c r="EF36" s="25"/>
      <c r="EG36" s="25"/>
      <c r="EH36" s="110" t="s">
        <v>445</v>
      </c>
      <c r="EI36" s="110" t="s">
        <v>445</v>
      </c>
      <c r="EJ36" s="110"/>
      <c r="EK36" s="110"/>
      <c r="EL36" s="25">
        <v>1</v>
      </c>
      <c r="EM36" s="25"/>
      <c r="EN36" s="25"/>
      <c r="EO36" s="25"/>
      <c r="EP36" s="25"/>
      <c r="EQ36" s="110"/>
      <c r="ER36" s="110"/>
      <c r="ES36" s="110" t="s">
        <v>445</v>
      </c>
      <c r="ET36" s="25"/>
      <c r="EU36" s="25"/>
      <c r="EV36" s="25"/>
      <c r="EW36" s="25"/>
      <c r="EX36" s="110"/>
      <c r="EY36" s="110"/>
      <c r="EZ36" s="25"/>
      <c r="FA36" s="25"/>
      <c r="FB36" s="25"/>
      <c r="FC36" s="25"/>
      <c r="FD36" s="25"/>
      <c r="FE36" s="110"/>
      <c r="FF36" s="110"/>
      <c r="FG36" s="25"/>
      <c r="FH36" s="25"/>
      <c r="FI36" s="25"/>
      <c r="FJ36" s="25"/>
      <c r="FK36" s="25"/>
      <c r="FL36" s="110"/>
      <c r="FM36" s="110"/>
      <c r="FN36" s="25"/>
      <c r="FO36" s="25"/>
      <c r="FP36" s="25"/>
      <c r="FQ36" s="25"/>
      <c r="FR36" s="25"/>
      <c r="FS36" s="110"/>
      <c r="FT36" s="110"/>
      <c r="FU36" s="25"/>
      <c r="FV36" s="25"/>
      <c r="FW36" s="25"/>
      <c r="FX36" s="25"/>
      <c r="FY36" s="25"/>
      <c r="FZ36" s="110"/>
      <c r="GA36" s="110"/>
      <c r="GB36" s="25"/>
      <c r="GC36" s="25"/>
      <c r="GD36" s="25"/>
      <c r="GE36" s="25"/>
      <c r="GF36" s="25"/>
      <c r="GG36" s="110"/>
      <c r="GH36" s="110"/>
      <c r="GI36" s="25"/>
      <c r="GJ36" s="25"/>
      <c r="GK36" s="25"/>
      <c r="GL36" s="25"/>
      <c r="GM36" s="25"/>
      <c r="GN36" s="110"/>
      <c r="GO36" s="110"/>
      <c r="GP36" s="110"/>
      <c r="GQ36" s="110" t="s">
        <v>445</v>
      </c>
      <c r="GR36" s="25"/>
      <c r="GS36" s="25"/>
      <c r="GT36" s="25"/>
      <c r="GU36" s="110"/>
      <c r="GV36" s="110"/>
      <c r="GW36" s="25"/>
      <c r="GX36" s="25"/>
      <c r="GY36" s="25"/>
      <c r="GZ36" s="25"/>
      <c r="HA36" s="25"/>
      <c r="HB36" s="110"/>
      <c r="HC36" s="110"/>
      <c r="HD36" s="25"/>
      <c r="HE36" s="25"/>
      <c r="HF36" s="25"/>
      <c r="HG36" s="25"/>
      <c r="HH36" s="25"/>
      <c r="HI36" s="110"/>
      <c r="HJ36" s="110"/>
      <c r="HK36" s="25"/>
      <c r="HL36" s="25"/>
      <c r="HM36" s="25"/>
      <c r="HN36" s="25"/>
      <c r="HO36" s="25"/>
      <c r="HP36" s="110"/>
      <c r="HQ36" s="110"/>
      <c r="HR36" s="25"/>
      <c r="HS36" s="25"/>
      <c r="HT36" s="25"/>
      <c r="HU36" s="25"/>
      <c r="HV36" s="25"/>
      <c r="HW36" s="110"/>
      <c r="HX36" s="110"/>
      <c r="HY36" s="25"/>
      <c r="HZ36" s="25"/>
      <c r="IA36" s="25"/>
      <c r="IB36" s="25"/>
      <c r="IC36" s="25"/>
      <c r="ID36" s="110"/>
      <c r="IE36" s="110"/>
      <c r="IF36" s="25"/>
      <c r="IG36" s="25"/>
      <c r="IH36" s="25"/>
      <c r="II36" s="25"/>
      <c r="IJ36" s="25"/>
      <c r="IK36" s="110"/>
      <c r="IL36" s="110"/>
      <c r="IM36" s="25"/>
      <c r="IN36" s="25"/>
      <c r="IO36" s="25"/>
      <c r="IP36" s="25"/>
      <c r="IQ36" s="25"/>
      <c r="IR36" s="110"/>
      <c r="IS36" s="110"/>
      <c r="IT36" s="25"/>
      <c r="IU36" s="25"/>
      <c r="IV36" s="25"/>
      <c r="IW36" s="25"/>
      <c r="IX36" s="25"/>
      <c r="IY36" s="110"/>
      <c r="IZ36" s="110"/>
      <c r="JA36" s="25"/>
      <c r="JB36" s="25"/>
      <c r="JC36" s="25"/>
      <c r="JD36" s="25"/>
      <c r="JE36" s="25"/>
      <c r="JF36" s="110"/>
      <c r="JG36" s="110"/>
      <c r="JH36" s="25"/>
      <c r="JI36" s="25"/>
      <c r="JJ36" s="25"/>
      <c r="JK36" s="25"/>
      <c r="JL36" s="25"/>
      <c r="JM36" s="110"/>
      <c r="JN36" s="110"/>
      <c r="JO36" s="25"/>
      <c r="JP36" s="25"/>
      <c r="JQ36" s="25"/>
      <c r="JR36" s="25"/>
      <c r="JS36" s="25"/>
      <c r="JT36" s="110"/>
      <c r="JU36" s="110"/>
      <c r="JV36" s="25"/>
      <c r="JW36" s="25"/>
      <c r="JX36" s="25"/>
      <c r="JY36" s="25"/>
      <c r="JZ36" s="25"/>
      <c r="KA36" s="110"/>
      <c r="KB36" s="110"/>
      <c r="KC36" s="25"/>
      <c r="KD36" s="25"/>
      <c r="KE36" s="25"/>
      <c r="KF36" s="25"/>
      <c r="KG36" s="25"/>
      <c r="KH36" s="110"/>
      <c r="KI36" s="110"/>
      <c r="KJ36" s="25"/>
      <c r="KK36" s="25"/>
      <c r="KL36" s="25"/>
      <c r="KM36" s="25"/>
      <c r="KN36" s="25"/>
      <c r="KO36" s="110"/>
      <c r="KP36" s="110"/>
      <c r="KQ36" s="25"/>
      <c r="KR36" s="25"/>
      <c r="KS36" s="25"/>
      <c r="KT36" s="25"/>
      <c r="KU36" s="25"/>
      <c r="KV36" s="110"/>
      <c r="KW36" s="110"/>
      <c r="KX36" s="25"/>
      <c r="KY36" s="25"/>
      <c r="KZ36" s="25"/>
      <c r="LA36" s="25"/>
      <c r="LB36" s="25"/>
      <c r="LC36" s="110"/>
      <c r="LD36" s="110"/>
      <c r="LE36" s="25"/>
      <c r="LF36" s="25"/>
      <c r="LG36" s="110" t="s">
        <v>445</v>
      </c>
      <c r="LH36" s="25"/>
      <c r="LI36" s="25"/>
      <c r="LJ36" s="110"/>
      <c r="LK36" s="110"/>
      <c r="LL36" s="25"/>
      <c r="LM36" s="25"/>
      <c r="LN36" s="25"/>
      <c r="LO36" s="25"/>
      <c r="LP36" s="25"/>
      <c r="LQ36" s="110"/>
      <c r="LR36" s="110"/>
      <c r="LS36" s="25"/>
      <c r="LT36" s="25"/>
      <c r="LU36" s="25"/>
      <c r="LV36" s="25"/>
      <c r="LW36" s="25"/>
      <c r="LX36" s="110"/>
      <c r="LY36" s="110"/>
      <c r="LZ36" s="25"/>
      <c r="MA36" s="25"/>
      <c r="MB36" s="25"/>
      <c r="MC36" s="25"/>
      <c r="MD36" s="25"/>
      <c r="ME36" s="110"/>
      <c r="MF36" s="110"/>
      <c r="MG36" s="25"/>
      <c r="MH36" s="25"/>
      <c r="MI36" s="25"/>
      <c r="MJ36" s="25"/>
      <c r="MK36" s="25"/>
      <c r="ML36" s="110"/>
      <c r="MM36" s="110"/>
      <c r="MN36" s="25"/>
      <c r="MO36" s="25"/>
      <c r="MP36" s="25"/>
      <c r="MQ36" s="25"/>
      <c r="MR36" s="25"/>
      <c r="MS36" s="110"/>
      <c r="MT36" s="110"/>
      <c r="MU36" s="25"/>
      <c r="MV36" s="25"/>
      <c r="MW36" s="25"/>
      <c r="MX36" s="25"/>
      <c r="MY36" s="25"/>
      <c r="MZ36" s="110"/>
      <c r="NA36" s="110"/>
      <c r="NB36" s="25"/>
      <c r="NC36" s="25"/>
      <c r="ND36" s="25"/>
      <c r="NE36" s="129"/>
      <c r="NF36" s="111"/>
      <c r="NG36" s="8">
        <f t="shared" si="0"/>
        <v>6</v>
      </c>
      <c r="NH36" s="32" cm="1">
        <f t="array" ref="NH36">NETWORKDAYS($I$2,$AI$2)- SUM(COUNTIF(I36:AI36,{"I";"F";"CP";"R";"P";"AC";"AM"}))</f>
        <v>15</v>
      </c>
      <c r="NI36" s="138">
        <f t="shared" si="1"/>
        <v>0.4</v>
      </c>
      <c r="NJ36" s="8">
        <f t="shared" si="2"/>
        <v>7</v>
      </c>
      <c r="NK36" s="32" cm="1">
        <f t="array" ref="NK36">NETWORKDAYS($AJ$2,$BK$2)- SUM(COUNTIF(AJ36:BK36,{"I";"F";"CP";"R";"P";"AC";"AM"}))</f>
        <v>15</v>
      </c>
      <c r="NL36" s="138">
        <f t="shared" si="3"/>
        <v>0.46666666666666667</v>
      </c>
      <c r="NM36" s="8">
        <f t="shared" si="4"/>
        <v>11</v>
      </c>
      <c r="NN36" s="32" cm="1">
        <f t="array" ref="NN36">NETWORKDAYS($BL$2,$CP$2)- SUM(COUNTIF(BL36:CP36,{"I";"F";"CP";"R";"P";"AC";"AM"}))</f>
        <v>22</v>
      </c>
      <c r="NO36" s="138">
        <f t="shared" si="5"/>
        <v>0.5</v>
      </c>
      <c r="NP36" s="8">
        <f t="shared" si="26"/>
        <v>8</v>
      </c>
      <c r="NQ36" s="32" cm="1">
        <f t="array" ref="NQ36">NETWORKDAYS($CQ$2,$DT$2,$CV$2)- SUM(COUNTIF(CQ36:DT36,{"I";"F";"CP";"R";"P";"AC";"AM"}))</f>
        <v>16</v>
      </c>
      <c r="NR36" s="138">
        <f t="shared" si="6"/>
        <v>0.5</v>
      </c>
      <c r="NS36" s="8">
        <f t="shared" si="7"/>
        <v>2</v>
      </c>
      <c r="NT36" s="32" cm="1">
        <f t="array" ref="NT36">NETWORKDAYS($DV$2,$EY$2)-SUM(COUNTIF(DV36:EY36,{"I";"F";"CP";"R";"P";"AC";"AM"}))</f>
        <v>16</v>
      </c>
      <c r="NU36" s="138">
        <f t="shared" si="8"/>
        <v>0.125</v>
      </c>
      <c r="NV36" s="8">
        <f t="shared" si="9"/>
        <v>0</v>
      </c>
      <c r="NW36" s="32" cm="1">
        <f t="array" ref="NW36">NETWORKDAYS($EZ$2,$GC$2)-SUM(COUNTIF(EZ116:GC116,{"I";"F";"CP";"R";"P";"AC";"AM"}))</f>
        <v>22</v>
      </c>
      <c r="NX36" s="138">
        <f t="shared" si="10"/>
        <v>0</v>
      </c>
      <c r="NY36" s="8">
        <f t="shared" si="11"/>
        <v>0</v>
      </c>
      <c r="NZ36" s="32" cm="1">
        <f t="array" ref="NZ36">NETWORKDAYS($GD$2,$HH$2,$GQ$2)-SUM(COUNTIF(GD36:HH36,{"I";"F";"CP";"R";"P";"AC";"AM"}))</f>
        <v>21</v>
      </c>
      <c r="OA36" s="138">
        <f t="shared" si="12"/>
        <v>0</v>
      </c>
      <c r="OB36" s="8">
        <f t="shared" si="13"/>
        <v>0</v>
      </c>
      <c r="OC36" s="32" cm="1">
        <f t="array" ref="OC36">NETWORKDAYS($HI$2,$IM$2)-SUM(COUNTIF(HI36:IM36,{"I";"F";"CP";"R";"P";"AC";"AM"}))</f>
        <v>21</v>
      </c>
      <c r="OD36" s="138">
        <f t="shared" si="14"/>
        <v>0</v>
      </c>
      <c r="OE36" s="8">
        <f t="shared" si="15"/>
        <v>0</v>
      </c>
      <c r="OF36" s="32" cm="1">
        <f t="array" ref="OF36">NETWORKDAYS($IN$2,$JQ$2)-SUM(COUNTIF(IN36:JQ36,{"I";"F";"CP";"R";"P";"AC";"AM"}))</f>
        <v>22</v>
      </c>
      <c r="OG36" s="138">
        <f t="shared" si="16"/>
        <v>0</v>
      </c>
      <c r="OH36" s="8">
        <f t="shared" si="17"/>
        <v>0</v>
      </c>
      <c r="OI36" s="32" cm="1">
        <f t="array" ref="OI36">NETWORKDAYS($JR$2,$KV$2)-SUM(COUNTIF(JR36:KV36,{"I";"F";"CP";"R";"P";"AC";"AM"}))</f>
        <v>22</v>
      </c>
      <c r="OJ36" s="138">
        <f t="shared" si="18"/>
        <v>0</v>
      </c>
      <c r="OK36" s="8">
        <f t="shared" si="19"/>
        <v>0</v>
      </c>
      <c r="OL36" s="32" cm="1">
        <f t="array" ref="OL36">NETWORKDAYS($KW$2,$LZ$2,$LG$2)-SUM(COUNTIF(KW36:LZ36,{"I";"F";"CP";"R";"P";"AC";"AM"}))</f>
        <v>19</v>
      </c>
      <c r="OM36" s="138">
        <f t="shared" si="20"/>
        <v>0</v>
      </c>
      <c r="ON36" s="8">
        <f t="shared" si="21"/>
        <v>0</v>
      </c>
      <c r="OO36" s="32" cm="1">
        <f t="array" ref="OO36">NETWORKDAYS($MA$2,$MR$2)-SUM(COUNTIF(MA36:MR36,{"I";"F";"CP";"R";"P";"AC";"AM"}))</f>
        <v>14</v>
      </c>
      <c r="OP36" s="138">
        <f t="shared" si="22"/>
        <v>0</v>
      </c>
      <c r="OQ36" s="94">
        <f t="shared" si="23"/>
        <v>34</v>
      </c>
      <c r="OR36" s="94">
        <f t="shared" si="24"/>
        <v>225</v>
      </c>
      <c r="OS36" s="138">
        <f t="shared" si="25"/>
        <v>0.15111111111111111</v>
      </c>
    </row>
    <row r="37" spans="1:409" ht="18" hidden="1" customHeight="1" x14ac:dyDescent="0.25">
      <c r="A37" s="95" t="s">
        <v>468</v>
      </c>
      <c r="B37" s="95" t="s">
        <v>34</v>
      </c>
      <c r="C37" s="89" t="s">
        <v>166</v>
      </c>
      <c r="D37" s="89" t="s">
        <v>212</v>
      </c>
      <c r="E37" s="128"/>
      <c r="F37" s="110"/>
      <c r="G37" s="110"/>
      <c r="H37" s="110"/>
      <c r="I37" s="25"/>
      <c r="J37" s="25"/>
      <c r="K37" s="25"/>
      <c r="L37" s="25"/>
      <c r="M37" s="25"/>
      <c r="N37" s="110"/>
      <c r="O37" s="110"/>
      <c r="P37" s="25"/>
      <c r="Q37" s="25"/>
      <c r="R37" s="25"/>
      <c r="S37" s="25"/>
      <c r="T37" s="25"/>
      <c r="U37" s="110"/>
      <c r="V37" s="110"/>
      <c r="W37" s="25"/>
      <c r="X37" s="25"/>
      <c r="Y37" s="25"/>
      <c r="Z37" s="25"/>
      <c r="AA37" s="25"/>
      <c r="AB37" s="110"/>
      <c r="AC37" s="110"/>
      <c r="AD37" s="25"/>
      <c r="AE37" s="25"/>
      <c r="AF37" s="25"/>
      <c r="AG37" s="25"/>
      <c r="AH37" s="25"/>
      <c r="AI37" s="110"/>
      <c r="AJ37" s="110"/>
      <c r="AK37" s="25"/>
      <c r="AL37" s="25"/>
      <c r="AM37" s="25"/>
      <c r="AN37" s="25"/>
      <c r="AO37" s="25"/>
      <c r="AP37" s="110"/>
      <c r="AQ37" s="110"/>
      <c r="AR37" s="25"/>
      <c r="AS37" s="25"/>
      <c r="AT37" s="25"/>
      <c r="AU37" s="25"/>
      <c r="AV37" s="25"/>
      <c r="AW37" s="110"/>
      <c r="AX37" s="110"/>
      <c r="AY37" s="25"/>
      <c r="AZ37" s="25"/>
      <c r="BA37" s="25"/>
      <c r="BB37" s="25"/>
      <c r="BC37" s="25"/>
      <c r="BD37" s="110"/>
      <c r="BE37" s="110"/>
      <c r="BF37" s="25"/>
      <c r="BG37" s="25"/>
      <c r="BH37" s="25"/>
      <c r="BI37" s="25"/>
      <c r="BJ37" s="25"/>
      <c r="BK37" s="110"/>
      <c r="BL37" s="110"/>
      <c r="BM37" s="25"/>
      <c r="BN37" s="25"/>
      <c r="BO37" s="25"/>
      <c r="BP37" s="25"/>
      <c r="BQ37" s="25"/>
      <c r="BR37" s="110"/>
      <c r="BS37" s="110"/>
      <c r="BT37" s="25"/>
      <c r="BU37" s="25"/>
      <c r="BV37" s="25"/>
      <c r="BW37" s="25"/>
      <c r="BX37" s="25"/>
      <c r="BY37" s="110"/>
      <c r="BZ37" s="110"/>
      <c r="CA37" s="25"/>
      <c r="CB37" s="25"/>
      <c r="CC37" s="25"/>
      <c r="CD37" s="25"/>
      <c r="CE37" s="25"/>
      <c r="CF37" s="110"/>
      <c r="CG37" s="110"/>
      <c r="CH37" s="25"/>
      <c r="CI37" s="25"/>
      <c r="CJ37" s="25"/>
      <c r="CK37" s="25"/>
      <c r="CL37" s="25"/>
      <c r="CM37" s="110"/>
      <c r="CN37" s="110"/>
      <c r="CO37" s="25"/>
      <c r="CP37" s="25"/>
      <c r="CQ37" s="25"/>
      <c r="CR37" s="25"/>
      <c r="CS37" s="25"/>
      <c r="CT37" s="110"/>
      <c r="CU37" s="110"/>
      <c r="CV37" s="110"/>
      <c r="CW37" s="25"/>
      <c r="CX37" s="25"/>
      <c r="CY37" s="25"/>
      <c r="CZ37" s="25"/>
      <c r="DA37" s="110"/>
      <c r="DB37" s="110"/>
      <c r="DC37" s="25"/>
      <c r="DD37" s="25"/>
      <c r="DE37" s="25"/>
      <c r="DF37" s="25"/>
      <c r="DG37" s="25"/>
      <c r="DH37" s="110"/>
      <c r="DI37" s="110"/>
      <c r="DJ37" s="25"/>
      <c r="DK37" s="25"/>
      <c r="DL37" s="25"/>
      <c r="DM37" s="25"/>
      <c r="DN37" s="25"/>
      <c r="DO37" s="110"/>
      <c r="DP37" s="110"/>
      <c r="DQ37" s="25"/>
      <c r="DR37" s="25"/>
      <c r="DS37" s="25"/>
      <c r="DT37" s="25"/>
      <c r="DU37" s="110"/>
      <c r="DV37" s="110"/>
      <c r="DW37" s="110"/>
      <c r="DX37" s="25"/>
      <c r="DY37" s="25"/>
      <c r="DZ37" s="25"/>
      <c r="EA37" s="25"/>
      <c r="EB37" s="110" t="s">
        <v>445</v>
      </c>
      <c r="EC37" s="110"/>
      <c r="ED37" s="110"/>
      <c r="EE37" s="25"/>
      <c r="EF37" s="25"/>
      <c r="EG37" s="25"/>
      <c r="EH37" s="110" t="s">
        <v>445</v>
      </c>
      <c r="EI37" s="110" t="s">
        <v>445</v>
      </c>
      <c r="EJ37" s="110"/>
      <c r="EK37" s="110"/>
      <c r="EL37" s="25"/>
      <c r="EM37" s="25"/>
      <c r="EN37" s="25"/>
      <c r="EO37" s="25"/>
      <c r="EP37" s="25"/>
      <c r="EQ37" s="110"/>
      <c r="ER37" s="110"/>
      <c r="ES37" s="110" t="s">
        <v>445</v>
      </c>
      <c r="ET37" s="25"/>
      <c r="EU37" s="25"/>
      <c r="EV37" s="25"/>
      <c r="EW37" s="25"/>
      <c r="EX37" s="110"/>
      <c r="EY37" s="110"/>
      <c r="EZ37" s="25"/>
      <c r="FA37" s="25"/>
      <c r="FB37" s="25"/>
      <c r="FC37" s="25"/>
      <c r="FD37" s="25"/>
      <c r="FE37" s="110"/>
      <c r="FF37" s="110"/>
      <c r="FG37" s="25"/>
      <c r="FH37" s="25"/>
      <c r="FI37" s="25"/>
      <c r="FJ37" s="25"/>
      <c r="FK37" s="25"/>
      <c r="FL37" s="110"/>
      <c r="FM37" s="110"/>
      <c r="FN37" s="25"/>
      <c r="FO37" s="25"/>
      <c r="FP37" s="25"/>
      <c r="FQ37" s="25"/>
      <c r="FR37" s="25"/>
      <c r="FS37" s="110"/>
      <c r="FT37" s="110"/>
      <c r="FU37" s="25"/>
      <c r="FV37" s="25"/>
      <c r="FW37" s="25"/>
      <c r="FX37" s="25"/>
      <c r="FY37" s="25"/>
      <c r="FZ37" s="110"/>
      <c r="GA37" s="110"/>
      <c r="GB37" s="25"/>
      <c r="GC37" s="25"/>
      <c r="GD37" s="25"/>
      <c r="GE37" s="25"/>
      <c r="GF37" s="25"/>
      <c r="GG37" s="110"/>
      <c r="GH37" s="110"/>
      <c r="GI37" s="25"/>
      <c r="GJ37" s="25"/>
      <c r="GK37" s="25"/>
      <c r="GL37" s="25"/>
      <c r="GM37" s="25"/>
      <c r="GN37" s="110"/>
      <c r="GO37" s="110"/>
      <c r="GP37" s="110"/>
      <c r="GQ37" s="110" t="s">
        <v>445</v>
      </c>
      <c r="GR37" s="25"/>
      <c r="GS37" s="25"/>
      <c r="GT37" s="25"/>
      <c r="GU37" s="110"/>
      <c r="GV37" s="110"/>
      <c r="GW37" s="25"/>
      <c r="GX37" s="25"/>
      <c r="GY37" s="25"/>
      <c r="GZ37" s="25"/>
      <c r="HA37" s="25"/>
      <c r="HB37" s="110"/>
      <c r="HC37" s="110"/>
      <c r="HD37" s="25"/>
      <c r="HE37" s="25"/>
      <c r="HF37" s="25"/>
      <c r="HG37" s="25"/>
      <c r="HH37" s="25"/>
      <c r="HI37" s="110"/>
      <c r="HJ37" s="110"/>
      <c r="HK37" s="25"/>
      <c r="HL37" s="25"/>
      <c r="HM37" s="25"/>
      <c r="HN37" s="25"/>
      <c r="HO37" s="25"/>
      <c r="HP37" s="110"/>
      <c r="HQ37" s="110"/>
      <c r="HR37" s="25"/>
      <c r="HS37" s="25"/>
      <c r="HT37" s="25"/>
      <c r="HU37" s="25"/>
      <c r="HV37" s="25"/>
      <c r="HW37" s="110"/>
      <c r="HX37" s="110"/>
      <c r="HY37" s="25"/>
      <c r="HZ37" s="25"/>
      <c r="IA37" s="25"/>
      <c r="IB37" s="25"/>
      <c r="IC37" s="25"/>
      <c r="ID37" s="110"/>
      <c r="IE37" s="110"/>
      <c r="IF37" s="25"/>
      <c r="IG37" s="25"/>
      <c r="IH37" s="25"/>
      <c r="II37" s="25"/>
      <c r="IJ37" s="25"/>
      <c r="IK37" s="110"/>
      <c r="IL37" s="110"/>
      <c r="IM37" s="25"/>
      <c r="IN37" s="25"/>
      <c r="IO37" s="25"/>
      <c r="IP37" s="25"/>
      <c r="IQ37" s="25"/>
      <c r="IR37" s="110"/>
      <c r="IS37" s="110"/>
      <c r="IT37" s="25"/>
      <c r="IU37" s="25"/>
      <c r="IV37" s="25"/>
      <c r="IW37" s="25"/>
      <c r="IX37" s="25"/>
      <c r="IY37" s="110"/>
      <c r="IZ37" s="110"/>
      <c r="JA37" s="25"/>
      <c r="JB37" s="25"/>
      <c r="JC37" s="25"/>
      <c r="JD37" s="25"/>
      <c r="JE37" s="25"/>
      <c r="JF37" s="110"/>
      <c r="JG37" s="110"/>
      <c r="JH37" s="25"/>
      <c r="JI37" s="25"/>
      <c r="JJ37" s="25"/>
      <c r="JK37" s="25"/>
      <c r="JL37" s="25"/>
      <c r="JM37" s="110"/>
      <c r="JN37" s="110"/>
      <c r="JO37" s="25"/>
      <c r="JP37" s="25"/>
      <c r="JQ37" s="25"/>
      <c r="JR37" s="25"/>
      <c r="JS37" s="25"/>
      <c r="JT37" s="110"/>
      <c r="JU37" s="110"/>
      <c r="JV37" s="25"/>
      <c r="JW37" s="25"/>
      <c r="JX37" s="25"/>
      <c r="JY37" s="25"/>
      <c r="JZ37" s="25"/>
      <c r="KA37" s="110"/>
      <c r="KB37" s="110"/>
      <c r="KC37" s="25"/>
      <c r="KD37" s="25"/>
      <c r="KE37" s="25"/>
      <c r="KF37" s="25"/>
      <c r="KG37" s="25"/>
      <c r="KH37" s="110"/>
      <c r="KI37" s="110"/>
      <c r="KJ37" s="25"/>
      <c r="KK37" s="25"/>
      <c r="KL37" s="25"/>
      <c r="KM37" s="25"/>
      <c r="KN37" s="25"/>
      <c r="KO37" s="110"/>
      <c r="KP37" s="110"/>
      <c r="KQ37" s="25"/>
      <c r="KR37" s="25"/>
      <c r="KS37" s="25"/>
      <c r="KT37" s="25"/>
      <c r="KU37" s="25"/>
      <c r="KV37" s="110"/>
      <c r="KW37" s="110"/>
      <c r="KX37" s="25"/>
      <c r="KY37" s="25"/>
      <c r="KZ37" s="25"/>
      <c r="LA37" s="25"/>
      <c r="LB37" s="25"/>
      <c r="LC37" s="110"/>
      <c r="LD37" s="110"/>
      <c r="LE37" s="25"/>
      <c r="LF37" s="25"/>
      <c r="LG37" s="110" t="s">
        <v>445</v>
      </c>
      <c r="LH37" s="25"/>
      <c r="LI37" s="25"/>
      <c r="LJ37" s="110"/>
      <c r="LK37" s="110"/>
      <c r="LL37" s="25"/>
      <c r="LM37" s="25"/>
      <c r="LN37" s="25"/>
      <c r="LO37" s="25"/>
      <c r="LP37" s="25"/>
      <c r="LQ37" s="110"/>
      <c r="LR37" s="110"/>
      <c r="LS37" s="25"/>
      <c r="LT37" s="25"/>
      <c r="LU37" s="25"/>
      <c r="LV37" s="25"/>
      <c r="LW37" s="25"/>
      <c r="LX37" s="110"/>
      <c r="LY37" s="110"/>
      <c r="LZ37" s="25"/>
      <c r="MA37" s="25"/>
      <c r="MB37" s="25"/>
      <c r="MC37" s="25"/>
      <c r="MD37" s="25"/>
      <c r="ME37" s="110"/>
      <c r="MF37" s="110"/>
      <c r="MG37" s="25"/>
      <c r="MH37" s="25"/>
      <c r="MI37" s="25"/>
      <c r="MJ37" s="25"/>
      <c r="MK37" s="25"/>
      <c r="ML37" s="110"/>
      <c r="MM37" s="110"/>
      <c r="MN37" s="25"/>
      <c r="MO37" s="25"/>
      <c r="MP37" s="25"/>
      <c r="MQ37" s="25"/>
      <c r="MR37" s="25"/>
      <c r="MS37" s="110"/>
      <c r="MT37" s="110"/>
      <c r="MU37" s="25"/>
      <c r="MV37" s="25"/>
      <c r="MW37" s="25"/>
      <c r="MX37" s="25"/>
      <c r="MY37" s="25"/>
      <c r="MZ37" s="110"/>
      <c r="NA37" s="110"/>
      <c r="NB37" s="25"/>
      <c r="NC37" s="25"/>
      <c r="ND37" s="25"/>
      <c r="NE37" s="129"/>
      <c r="NF37" s="111"/>
      <c r="NG37" s="8">
        <f t="shared" si="0"/>
        <v>0</v>
      </c>
      <c r="NH37" s="32" cm="1">
        <f t="array" ref="NH37">NETWORKDAYS($I$2,$AI$2)- SUM(COUNTIF(I37:AI37,{"I";"F";"CP";"R";"P";"AC";"AM"}))</f>
        <v>20</v>
      </c>
      <c r="NI37" s="138">
        <f t="shared" si="1"/>
        <v>0</v>
      </c>
      <c r="NJ37" s="8">
        <f t="shared" si="2"/>
        <v>0</v>
      </c>
      <c r="NK37" s="32" cm="1">
        <f t="array" ref="NK37">NETWORKDAYS($AJ$2,$BK$2)- SUM(COUNTIF(AJ37:BK37,{"I";"F";"CP";"R";"P";"AC";"AM"}))</f>
        <v>20</v>
      </c>
      <c r="NL37" s="138">
        <f t="shared" si="3"/>
        <v>0</v>
      </c>
      <c r="NM37" s="8">
        <f t="shared" si="4"/>
        <v>0</v>
      </c>
      <c r="NN37" s="32" cm="1">
        <f t="array" ref="NN37">NETWORKDAYS($BL$2,$CP$2)- SUM(COUNTIF(BL37:CP37,{"I";"F";"CP";"R";"P";"AC";"AM"}))</f>
        <v>22</v>
      </c>
      <c r="NO37" s="138">
        <f t="shared" si="5"/>
        <v>0</v>
      </c>
      <c r="NP37" s="32">
        <f t="shared" si="26"/>
        <v>0</v>
      </c>
      <c r="NQ37" s="32" cm="1">
        <f t="array" ref="NQ37">NETWORKDAYS($CQ$2,$DT$2,$CV$2)- SUM(COUNTIF(CQ37:DT37,{"I";"F";"CP";"R";"P";"AC";"AM"}))</f>
        <v>21</v>
      </c>
      <c r="NR37" s="138">
        <f t="shared" si="6"/>
        <v>0</v>
      </c>
      <c r="NS37" s="8">
        <f t="shared" si="7"/>
        <v>0</v>
      </c>
      <c r="NT37" s="32" cm="1">
        <f t="array" ref="NT37">NETWORKDAYS($DV$2,$EY$2)-SUM(COUNTIF(DV37:EY37,{"I";"F";"CP";"R";"P";"AC";"AM"}))</f>
        <v>16</v>
      </c>
      <c r="NU37" s="138">
        <f t="shared" si="8"/>
        <v>0</v>
      </c>
      <c r="NV37" s="8">
        <f t="shared" si="9"/>
        <v>0</v>
      </c>
      <c r="NW37" s="32" cm="1">
        <f t="array" ref="NW37">NETWORKDAYS($EZ$2,$GC$2)-SUM(COUNTIF(EZ117:GC117,{"I";"F";"CP";"R";"P";"AC";"AM"}))</f>
        <v>22</v>
      </c>
      <c r="NX37" s="138">
        <f t="shared" si="10"/>
        <v>0</v>
      </c>
      <c r="NY37" s="8">
        <f t="shared" si="11"/>
        <v>0</v>
      </c>
      <c r="NZ37" s="32" cm="1">
        <f t="array" ref="NZ37">NETWORKDAYS($GD$2,$HH$2,$GQ$2)-SUM(COUNTIF(GD37:HH37,{"I";"F";"CP";"R";"P";"AC";"AM"}))</f>
        <v>21</v>
      </c>
      <c r="OA37" s="138">
        <f t="shared" si="12"/>
        <v>0</v>
      </c>
      <c r="OB37" s="8">
        <f t="shared" si="13"/>
        <v>0</v>
      </c>
      <c r="OC37" s="32" cm="1">
        <f t="array" ref="OC37">NETWORKDAYS($HI$2,$IM$2)-SUM(COUNTIF(HI37:IM37,{"I";"F";"CP";"R";"P";"AC";"AM"}))</f>
        <v>21</v>
      </c>
      <c r="OD37" s="138">
        <f t="shared" si="14"/>
        <v>0</v>
      </c>
      <c r="OE37" s="8">
        <f t="shared" si="15"/>
        <v>0</v>
      </c>
      <c r="OF37" s="32" cm="1">
        <f t="array" ref="OF37">NETWORKDAYS($IN$2,$JQ$2)-SUM(COUNTIF(IN37:JQ37,{"I";"F";"CP";"R";"P";"AC";"AM"}))</f>
        <v>22</v>
      </c>
      <c r="OG37" s="138">
        <f t="shared" si="16"/>
        <v>0</v>
      </c>
      <c r="OH37" s="8">
        <f t="shared" si="17"/>
        <v>0</v>
      </c>
      <c r="OI37" s="32" cm="1">
        <f t="array" ref="OI37">NETWORKDAYS($JR$2,$KV$2)-SUM(COUNTIF(JR37:KV37,{"I";"F";"CP";"R";"P";"AC";"AM"}))</f>
        <v>22</v>
      </c>
      <c r="OJ37" s="138">
        <f t="shared" si="18"/>
        <v>0</v>
      </c>
      <c r="OK37" s="8">
        <f t="shared" si="19"/>
        <v>0</v>
      </c>
      <c r="OL37" s="32" cm="1">
        <f t="array" ref="OL37">NETWORKDAYS($KW$2,$LZ$2,$LG$2)-SUM(COUNTIF(KW37:LZ37,{"I";"F";"CP";"R";"P";"AC";"AM"}))</f>
        <v>19</v>
      </c>
      <c r="OM37" s="138">
        <f t="shared" si="20"/>
        <v>0</v>
      </c>
      <c r="ON37" s="8">
        <f t="shared" si="21"/>
        <v>0</v>
      </c>
      <c r="OO37" s="32" cm="1">
        <f t="array" ref="OO37">NETWORKDAYS($MA$2,$MR$2)-SUM(COUNTIF(MA37:MR37,{"I";"F";"CP";"R";"P";"AC";"AM"}))</f>
        <v>14</v>
      </c>
      <c r="OP37" s="138">
        <f t="shared" si="22"/>
        <v>0</v>
      </c>
      <c r="OQ37" s="94">
        <f t="shared" si="23"/>
        <v>0</v>
      </c>
      <c r="OR37" s="94">
        <f t="shared" si="24"/>
        <v>240</v>
      </c>
      <c r="OS37" s="138">
        <f t="shared" si="25"/>
        <v>0</v>
      </c>
    </row>
    <row r="38" spans="1:409" ht="18" hidden="1" customHeight="1" x14ac:dyDescent="0.25">
      <c r="A38" s="95" t="s">
        <v>168</v>
      </c>
      <c r="B38" s="95" t="s">
        <v>168</v>
      </c>
      <c r="C38" s="89" t="s">
        <v>160</v>
      </c>
      <c r="D38" s="89" t="s">
        <v>213</v>
      </c>
      <c r="E38" s="128"/>
      <c r="F38" s="110"/>
      <c r="G38" s="110"/>
      <c r="H38" s="110"/>
      <c r="I38" s="25"/>
      <c r="J38" s="25"/>
      <c r="K38" s="25"/>
      <c r="L38" s="25"/>
      <c r="M38" s="25"/>
      <c r="N38" s="110"/>
      <c r="O38" s="110"/>
      <c r="P38" s="25"/>
      <c r="Q38" s="25"/>
      <c r="R38" s="25"/>
      <c r="S38" s="25"/>
      <c r="T38" s="25"/>
      <c r="U38" s="110"/>
      <c r="V38" s="110"/>
      <c r="W38" s="25"/>
      <c r="X38" s="25"/>
      <c r="Y38" s="25"/>
      <c r="Z38" s="25"/>
      <c r="AA38" s="25"/>
      <c r="AB38" s="110"/>
      <c r="AC38" s="110"/>
      <c r="AD38" s="25"/>
      <c r="AE38" s="25"/>
      <c r="AF38" s="25"/>
      <c r="AG38" s="25"/>
      <c r="AH38" s="25"/>
      <c r="AI38" s="110"/>
      <c r="AJ38" s="110"/>
      <c r="AK38" s="25"/>
      <c r="AL38" s="25"/>
      <c r="AM38" s="25"/>
      <c r="AN38" s="25"/>
      <c r="AO38" s="25"/>
      <c r="AP38" s="110"/>
      <c r="AQ38" s="110"/>
      <c r="AR38" s="25"/>
      <c r="AS38" s="25"/>
      <c r="AT38" s="25"/>
      <c r="AU38" s="25"/>
      <c r="AV38" s="25"/>
      <c r="AW38" s="110"/>
      <c r="AX38" s="110"/>
      <c r="AY38" s="25"/>
      <c r="AZ38" s="25"/>
      <c r="BA38" s="25"/>
      <c r="BB38" s="25"/>
      <c r="BC38" s="25"/>
      <c r="BD38" s="110"/>
      <c r="BE38" s="110"/>
      <c r="BF38" s="25"/>
      <c r="BG38" s="25"/>
      <c r="BH38" s="25"/>
      <c r="BI38" s="25"/>
      <c r="BJ38" s="25"/>
      <c r="BK38" s="110"/>
      <c r="BL38" s="110"/>
      <c r="BM38" s="25"/>
      <c r="BN38" s="25"/>
      <c r="BO38" s="25"/>
      <c r="BP38" s="25"/>
      <c r="BQ38" s="25"/>
      <c r="BR38" s="110"/>
      <c r="BS38" s="110"/>
      <c r="BT38" s="25"/>
      <c r="BU38" s="25"/>
      <c r="BV38" s="25"/>
      <c r="BW38" s="25"/>
      <c r="BX38" s="25"/>
      <c r="BY38" s="110"/>
      <c r="BZ38" s="110"/>
      <c r="CA38" s="25"/>
      <c r="CB38" s="25"/>
      <c r="CC38" s="25"/>
      <c r="CD38" s="25"/>
      <c r="CE38" s="25"/>
      <c r="CF38" s="110"/>
      <c r="CG38" s="110"/>
      <c r="CH38" s="25"/>
      <c r="CI38" s="25"/>
      <c r="CJ38" s="25"/>
      <c r="CK38" s="25"/>
      <c r="CL38" s="25"/>
      <c r="CM38" s="110"/>
      <c r="CN38" s="110"/>
      <c r="CO38" s="25"/>
      <c r="CP38" s="25"/>
      <c r="CQ38" s="25"/>
      <c r="CR38" s="25"/>
      <c r="CS38" s="25"/>
      <c r="CT38" s="110"/>
      <c r="CU38" s="110"/>
      <c r="CV38" s="110"/>
      <c r="CW38" s="25"/>
      <c r="CX38" s="25"/>
      <c r="CY38" s="25"/>
      <c r="CZ38" s="25"/>
      <c r="DA38" s="110"/>
      <c r="DB38" s="110"/>
      <c r="DC38" s="25"/>
      <c r="DD38" s="25"/>
      <c r="DE38" s="25"/>
      <c r="DF38" s="25"/>
      <c r="DG38" s="25"/>
      <c r="DH38" s="110"/>
      <c r="DI38" s="110"/>
      <c r="DJ38" s="25"/>
      <c r="DK38" s="25"/>
      <c r="DL38" s="25"/>
      <c r="DM38" s="25"/>
      <c r="DN38" s="25"/>
      <c r="DO38" s="110"/>
      <c r="DP38" s="110"/>
      <c r="DQ38" s="25"/>
      <c r="DR38" s="25"/>
      <c r="DS38" s="25"/>
      <c r="DT38" s="25"/>
      <c r="DU38" s="110"/>
      <c r="DV38" s="110"/>
      <c r="DW38" s="110"/>
      <c r="DX38" s="25"/>
      <c r="DY38" s="25"/>
      <c r="DZ38" s="25"/>
      <c r="EA38" s="25"/>
      <c r="EB38" s="110" t="s">
        <v>445</v>
      </c>
      <c r="EC38" s="110"/>
      <c r="ED38" s="110"/>
      <c r="EE38" s="25"/>
      <c r="EF38" s="25"/>
      <c r="EG38" s="25"/>
      <c r="EH38" s="110" t="s">
        <v>445</v>
      </c>
      <c r="EI38" s="110" t="s">
        <v>445</v>
      </c>
      <c r="EJ38" s="110"/>
      <c r="EK38" s="110"/>
      <c r="EL38" s="25"/>
      <c r="EM38" s="25"/>
      <c r="EN38" s="25"/>
      <c r="EO38" s="25"/>
      <c r="EP38" s="25"/>
      <c r="EQ38" s="110"/>
      <c r="ER38" s="110"/>
      <c r="ES38" s="110" t="s">
        <v>445</v>
      </c>
      <c r="ET38" s="25"/>
      <c r="EU38" s="25"/>
      <c r="EV38" s="25"/>
      <c r="EW38" s="25"/>
      <c r="EX38" s="110"/>
      <c r="EY38" s="110"/>
      <c r="EZ38" s="25"/>
      <c r="FA38" s="25"/>
      <c r="FB38" s="25"/>
      <c r="FC38" s="25"/>
      <c r="FD38" s="25"/>
      <c r="FE38" s="110"/>
      <c r="FF38" s="110"/>
      <c r="FG38" s="25"/>
      <c r="FH38" s="25"/>
      <c r="FI38" s="25"/>
      <c r="FJ38" s="25"/>
      <c r="FK38" s="25"/>
      <c r="FL38" s="110"/>
      <c r="FM38" s="110"/>
      <c r="FN38" s="25"/>
      <c r="FO38" s="25"/>
      <c r="FP38" s="25"/>
      <c r="FQ38" s="25"/>
      <c r="FR38" s="25"/>
      <c r="FS38" s="110"/>
      <c r="FT38" s="110"/>
      <c r="FU38" s="25"/>
      <c r="FV38" s="25"/>
      <c r="FW38" s="25"/>
      <c r="FX38" s="25"/>
      <c r="FY38" s="25"/>
      <c r="FZ38" s="110"/>
      <c r="GA38" s="110"/>
      <c r="GB38" s="25"/>
      <c r="GC38" s="25"/>
      <c r="GD38" s="25"/>
      <c r="GE38" s="25"/>
      <c r="GF38" s="25"/>
      <c r="GG38" s="110"/>
      <c r="GH38" s="110"/>
      <c r="GI38" s="25"/>
      <c r="GJ38" s="25"/>
      <c r="GK38" s="25"/>
      <c r="GL38" s="25"/>
      <c r="GM38" s="25"/>
      <c r="GN38" s="110"/>
      <c r="GO38" s="110"/>
      <c r="GP38" s="110"/>
      <c r="GQ38" s="110" t="s">
        <v>445</v>
      </c>
      <c r="GR38" s="25"/>
      <c r="GS38" s="25"/>
      <c r="GT38" s="25"/>
      <c r="GU38" s="110"/>
      <c r="GV38" s="110"/>
      <c r="GW38" s="25"/>
      <c r="GX38" s="25"/>
      <c r="GY38" s="25"/>
      <c r="GZ38" s="25"/>
      <c r="HA38" s="25"/>
      <c r="HB38" s="110"/>
      <c r="HC38" s="110"/>
      <c r="HD38" s="25"/>
      <c r="HE38" s="25"/>
      <c r="HF38" s="25"/>
      <c r="HG38" s="25"/>
      <c r="HH38" s="25"/>
      <c r="HI38" s="110"/>
      <c r="HJ38" s="110"/>
      <c r="HK38" s="25"/>
      <c r="HL38" s="25"/>
      <c r="HM38" s="25"/>
      <c r="HN38" s="25"/>
      <c r="HO38" s="25"/>
      <c r="HP38" s="110"/>
      <c r="HQ38" s="110"/>
      <c r="HR38" s="25"/>
      <c r="HS38" s="25"/>
      <c r="HT38" s="25"/>
      <c r="HU38" s="25"/>
      <c r="HV38" s="25"/>
      <c r="HW38" s="110"/>
      <c r="HX38" s="110"/>
      <c r="HY38" s="25"/>
      <c r="HZ38" s="25"/>
      <c r="IA38" s="25"/>
      <c r="IB38" s="25"/>
      <c r="IC38" s="25"/>
      <c r="ID38" s="110"/>
      <c r="IE38" s="110"/>
      <c r="IF38" s="25"/>
      <c r="IG38" s="25"/>
      <c r="IH38" s="25"/>
      <c r="II38" s="25"/>
      <c r="IJ38" s="25"/>
      <c r="IK38" s="110"/>
      <c r="IL38" s="110"/>
      <c r="IM38" s="25"/>
      <c r="IN38" s="25"/>
      <c r="IO38" s="25"/>
      <c r="IP38" s="25"/>
      <c r="IQ38" s="25"/>
      <c r="IR38" s="110"/>
      <c r="IS38" s="110"/>
      <c r="IT38" s="25"/>
      <c r="IU38" s="25"/>
      <c r="IV38" s="25"/>
      <c r="IW38" s="25"/>
      <c r="IX38" s="25"/>
      <c r="IY38" s="110"/>
      <c r="IZ38" s="110"/>
      <c r="JA38" s="25"/>
      <c r="JB38" s="25"/>
      <c r="JC38" s="25"/>
      <c r="JD38" s="25"/>
      <c r="JE38" s="25"/>
      <c r="JF38" s="110"/>
      <c r="JG38" s="110"/>
      <c r="JH38" s="25"/>
      <c r="JI38" s="25"/>
      <c r="JJ38" s="25"/>
      <c r="JK38" s="25"/>
      <c r="JL38" s="25"/>
      <c r="JM38" s="110"/>
      <c r="JN38" s="110"/>
      <c r="JO38" s="25"/>
      <c r="JP38" s="25"/>
      <c r="JQ38" s="25"/>
      <c r="JR38" s="25"/>
      <c r="JS38" s="25"/>
      <c r="JT38" s="110"/>
      <c r="JU38" s="110"/>
      <c r="JV38" s="25"/>
      <c r="JW38" s="25"/>
      <c r="JX38" s="25"/>
      <c r="JY38" s="25"/>
      <c r="JZ38" s="25"/>
      <c r="KA38" s="110"/>
      <c r="KB38" s="110"/>
      <c r="KC38" s="25"/>
      <c r="KD38" s="25"/>
      <c r="KE38" s="25"/>
      <c r="KF38" s="25"/>
      <c r="KG38" s="25"/>
      <c r="KH38" s="110"/>
      <c r="KI38" s="110"/>
      <c r="KJ38" s="25"/>
      <c r="KK38" s="25"/>
      <c r="KL38" s="25"/>
      <c r="KM38" s="25"/>
      <c r="KN38" s="25"/>
      <c r="KO38" s="110"/>
      <c r="KP38" s="110"/>
      <c r="KQ38" s="25"/>
      <c r="KR38" s="25"/>
      <c r="KS38" s="25"/>
      <c r="KT38" s="25"/>
      <c r="KU38" s="25"/>
      <c r="KV38" s="110"/>
      <c r="KW38" s="110"/>
      <c r="KX38" s="25"/>
      <c r="KY38" s="25"/>
      <c r="KZ38" s="25"/>
      <c r="LA38" s="25"/>
      <c r="LB38" s="25"/>
      <c r="LC38" s="110"/>
      <c r="LD38" s="110"/>
      <c r="LE38" s="25"/>
      <c r="LF38" s="25"/>
      <c r="LG38" s="110" t="s">
        <v>445</v>
      </c>
      <c r="LH38" s="25"/>
      <c r="LI38" s="25"/>
      <c r="LJ38" s="110"/>
      <c r="LK38" s="110"/>
      <c r="LL38" s="25"/>
      <c r="LM38" s="25"/>
      <c r="LN38" s="25"/>
      <c r="LO38" s="25"/>
      <c r="LP38" s="25"/>
      <c r="LQ38" s="110"/>
      <c r="LR38" s="110"/>
      <c r="LS38" s="25"/>
      <c r="LT38" s="25"/>
      <c r="LU38" s="25"/>
      <c r="LV38" s="25"/>
      <c r="LW38" s="25"/>
      <c r="LX38" s="110"/>
      <c r="LY38" s="110"/>
      <c r="LZ38" s="25"/>
      <c r="MA38" s="25"/>
      <c r="MB38" s="25"/>
      <c r="MC38" s="25"/>
      <c r="MD38" s="25"/>
      <c r="ME38" s="110"/>
      <c r="MF38" s="110"/>
      <c r="MG38" s="25"/>
      <c r="MH38" s="25"/>
      <c r="MI38" s="25"/>
      <c r="MJ38" s="25"/>
      <c r="MK38" s="25"/>
      <c r="ML38" s="110"/>
      <c r="MM38" s="110"/>
      <c r="MN38" s="25"/>
      <c r="MO38" s="25"/>
      <c r="MP38" s="25"/>
      <c r="MQ38" s="25"/>
      <c r="MR38" s="25"/>
      <c r="MS38" s="110"/>
      <c r="MT38" s="110"/>
      <c r="MU38" s="25"/>
      <c r="MV38" s="25"/>
      <c r="MW38" s="25"/>
      <c r="MX38" s="25"/>
      <c r="MY38" s="25"/>
      <c r="MZ38" s="110"/>
      <c r="NA38" s="110"/>
      <c r="NB38" s="25"/>
      <c r="NC38" s="25"/>
      <c r="ND38" s="25"/>
      <c r="NE38" s="129"/>
      <c r="NF38" s="111"/>
      <c r="NG38" s="8">
        <f t="shared" si="0"/>
        <v>0</v>
      </c>
      <c r="NH38" s="32" cm="1">
        <f t="array" ref="NH38">NETWORKDAYS($I$2,$AI$2)- SUM(COUNTIF(I38:AI38,{"I";"F";"CP";"R";"P";"AC";"AM"}))</f>
        <v>20</v>
      </c>
      <c r="NI38" s="138">
        <f t="shared" si="1"/>
        <v>0</v>
      </c>
      <c r="NJ38" s="8">
        <f t="shared" si="2"/>
        <v>0</v>
      </c>
      <c r="NK38" s="32" cm="1">
        <f t="array" ref="NK38">NETWORKDAYS($AJ$2,$BK$2)- SUM(COUNTIF(AJ38:BK38,{"I";"F";"CP";"R";"P";"AC";"AM"}))</f>
        <v>20</v>
      </c>
      <c r="NL38" s="138">
        <f t="shared" si="3"/>
        <v>0</v>
      </c>
      <c r="NM38" s="8">
        <f t="shared" si="4"/>
        <v>0</v>
      </c>
      <c r="NN38" s="32" cm="1">
        <f t="array" ref="NN38">NETWORKDAYS($BL$2,$CP$2)- SUM(COUNTIF(BL38:CP38,{"I";"F";"CP";"R";"P";"AC";"AM"}))</f>
        <v>22</v>
      </c>
      <c r="NO38" s="138">
        <f t="shared" si="5"/>
        <v>0</v>
      </c>
      <c r="NP38" s="8">
        <f t="shared" si="26"/>
        <v>0</v>
      </c>
      <c r="NQ38" s="32" cm="1">
        <f t="array" ref="NQ38">NETWORKDAYS($CQ$2,$DT$2,$CV$2)- SUM(COUNTIF(CQ38:DT38,{"I";"F";"CP";"R";"P";"AC";"AM"}))</f>
        <v>21</v>
      </c>
      <c r="NR38" s="138">
        <f t="shared" si="6"/>
        <v>0</v>
      </c>
      <c r="NS38" s="8">
        <f t="shared" si="7"/>
        <v>0</v>
      </c>
      <c r="NT38" s="32" cm="1">
        <f t="array" ref="NT38">NETWORKDAYS($DV$2,$EY$2)-SUM(COUNTIF(DV38:EY38,{"I";"F";"CP";"R";"P";"AC";"AM"}))</f>
        <v>16</v>
      </c>
      <c r="NU38" s="138">
        <f t="shared" si="8"/>
        <v>0</v>
      </c>
      <c r="NV38" s="8">
        <f t="shared" si="9"/>
        <v>0</v>
      </c>
      <c r="NW38" s="32" cm="1">
        <f t="array" ref="NW38">NETWORKDAYS($EZ$2,$GC$2)-SUM(COUNTIF(EZ118:GC118,{"I";"F";"CP";"R";"P";"AC";"AM"}))</f>
        <v>22</v>
      </c>
      <c r="NX38" s="138">
        <f t="shared" si="10"/>
        <v>0</v>
      </c>
      <c r="NY38" s="8">
        <f t="shared" si="11"/>
        <v>0</v>
      </c>
      <c r="NZ38" s="32" cm="1">
        <f t="array" ref="NZ38">NETWORKDAYS($GD$2,$HH$2,$GQ$2)-SUM(COUNTIF(GD38:HH38,{"I";"F";"CP";"R";"P";"AC";"AM"}))</f>
        <v>21</v>
      </c>
      <c r="OA38" s="138">
        <f t="shared" si="12"/>
        <v>0</v>
      </c>
      <c r="OB38" s="8">
        <f t="shared" si="13"/>
        <v>0</v>
      </c>
      <c r="OC38" s="32" cm="1">
        <f t="array" ref="OC38">NETWORKDAYS($HI$2,$IM$2)-SUM(COUNTIF(HI38:IM38,{"I";"F";"CP";"R";"P";"AC";"AM"}))</f>
        <v>21</v>
      </c>
      <c r="OD38" s="138">
        <f t="shared" si="14"/>
        <v>0</v>
      </c>
      <c r="OE38" s="8">
        <f t="shared" si="15"/>
        <v>0</v>
      </c>
      <c r="OF38" s="32" cm="1">
        <f t="array" ref="OF38">NETWORKDAYS($IN$2,$JQ$2)-SUM(COUNTIF(IN38:JQ38,{"I";"F";"CP";"R";"P";"AC";"AM"}))</f>
        <v>22</v>
      </c>
      <c r="OG38" s="138">
        <f t="shared" si="16"/>
        <v>0</v>
      </c>
      <c r="OH38" s="8">
        <f t="shared" si="17"/>
        <v>0</v>
      </c>
      <c r="OI38" s="32" cm="1">
        <f t="array" ref="OI38">NETWORKDAYS($JR$2,$KV$2)-SUM(COUNTIF(JR38:KV38,{"I";"F";"CP";"R";"P";"AC";"AM"}))</f>
        <v>22</v>
      </c>
      <c r="OJ38" s="138">
        <f t="shared" si="18"/>
        <v>0</v>
      </c>
      <c r="OK38" s="8">
        <f t="shared" si="19"/>
        <v>0</v>
      </c>
      <c r="OL38" s="32" cm="1">
        <f t="array" ref="OL38">NETWORKDAYS($KW$2,$LZ$2,$LG$2)-SUM(COUNTIF(KW38:LZ38,{"I";"F";"CP";"R";"P";"AC";"AM"}))</f>
        <v>19</v>
      </c>
      <c r="OM38" s="138">
        <f t="shared" si="20"/>
        <v>0</v>
      </c>
      <c r="ON38" s="8">
        <f t="shared" si="21"/>
        <v>0</v>
      </c>
      <c r="OO38" s="32" cm="1">
        <f t="array" ref="OO38">NETWORKDAYS($MA$2,$MR$2)-SUM(COUNTIF(MA38:MR38,{"I";"F";"CP";"R";"P";"AC";"AM"}))</f>
        <v>14</v>
      </c>
      <c r="OP38" s="138">
        <f t="shared" si="22"/>
        <v>0</v>
      </c>
      <c r="OQ38" s="94">
        <f t="shared" si="23"/>
        <v>0</v>
      </c>
      <c r="OR38" s="94">
        <f t="shared" si="24"/>
        <v>240</v>
      </c>
      <c r="OS38" s="138">
        <f t="shared" si="25"/>
        <v>0</v>
      </c>
    </row>
    <row r="39" spans="1:409" ht="18" hidden="1" customHeight="1" x14ac:dyDescent="0.25">
      <c r="A39" s="95" t="s">
        <v>468</v>
      </c>
      <c r="B39" s="95" t="s">
        <v>34</v>
      </c>
      <c r="C39" s="89" t="s">
        <v>160</v>
      </c>
      <c r="D39" s="89" t="s">
        <v>214</v>
      </c>
      <c r="E39" s="128"/>
      <c r="F39" s="110"/>
      <c r="G39" s="110"/>
      <c r="H39" s="110"/>
      <c r="I39" s="25"/>
      <c r="J39" s="25"/>
      <c r="K39" s="25"/>
      <c r="L39" s="25"/>
      <c r="M39" s="25"/>
      <c r="N39" s="110"/>
      <c r="O39" s="110"/>
      <c r="P39" s="25"/>
      <c r="Q39" s="25"/>
      <c r="R39" s="25"/>
      <c r="S39" s="25"/>
      <c r="T39" s="25"/>
      <c r="U39" s="110"/>
      <c r="V39" s="110"/>
      <c r="W39" s="25"/>
      <c r="X39" s="25"/>
      <c r="Y39" s="25"/>
      <c r="Z39" s="25"/>
      <c r="AA39" s="25"/>
      <c r="AB39" s="110"/>
      <c r="AC39" s="110"/>
      <c r="AD39" s="25"/>
      <c r="AE39" s="25"/>
      <c r="AF39" s="25"/>
      <c r="AG39" s="25"/>
      <c r="AH39" s="25"/>
      <c r="AI39" s="110"/>
      <c r="AJ39" s="110"/>
      <c r="AK39" s="25"/>
      <c r="AL39" s="25"/>
      <c r="AM39" s="25"/>
      <c r="AN39" s="25"/>
      <c r="AO39" s="25"/>
      <c r="AP39" s="110"/>
      <c r="AQ39" s="110"/>
      <c r="AR39" s="25"/>
      <c r="AS39" s="25"/>
      <c r="AT39" s="25"/>
      <c r="AU39" s="25"/>
      <c r="AV39" s="25"/>
      <c r="AW39" s="110"/>
      <c r="AX39" s="110"/>
      <c r="AY39" s="25"/>
      <c r="AZ39" s="25"/>
      <c r="BA39" s="25"/>
      <c r="BB39" s="25"/>
      <c r="BC39" s="25"/>
      <c r="BD39" s="110"/>
      <c r="BE39" s="110"/>
      <c r="BF39" s="25"/>
      <c r="BG39" s="25"/>
      <c r="BH39" s="25"/>
      <c r="BI39" s="25"/>
      <c r="BJ39" s="25"/>
      <c r="BK39" s="110"/>
      <c r="BL39" s="110"/>
      <c r="BM39" s="25"/>
      <c r="BN39" s="25"/>
      <c r="BO39" s="25"/>
      <c r="BP39" s="25"/>
      <c r="BQ39" s="25"/>
      <c r="BR39" s="110"/>
      <c r="BS39" s="110"/>
      <c r="BT39" s="25"/>
      <c r="BU39" s="25"/>
      <c r="BV39" s="25"/>
      <c r="BW39" s="25"/>
      <c r="BX39" s="25"/>
      <c r="BY39" s="110"/>
      <c r="BZ39" s="110"/>
      <c r="CA39" s="25"/>
      <c r="CB39" s="25"/>
      <c r="CC39" s="25"/>
      <c r="CD39" s="25"/>
      <c r="CE39" s="25"/>
      <c r="CF39" s="110"/>
      <c r="CG39" s="110"/>
      <c r="CH39" s="25"/>
      <c r="CI39" s="25"/>
      <c r="CJ39" s="25"/>
      <c r="CK39" s="25"/>
      <c r="CL39" s="25"/>
      <c r="CM39" s="110"/>
      <c r="CN39" s="110"/>
      <c r="CO39" s="25"/>
      <c r="CP39" s="25"/>
      <c r="CQ39" s="25"/>
      <c r="CR39" s="25"/>
      <c r="CS39" s="25"/>
      <c r="CT39" s="110"/>
      <c r="CU39" s="110"/>
      <c r="CV39" s="110"/>
      <c r="CW39" s="25"/>
      <c r="CX39" s="25"/>
      <c r="CY39" s="25"/>
      <c r="CZ39" s="25"/>
      <c r="DA39" s="110"/>
      <c r="DB39" s="110"/>
      <c r="DC39" s="25"/>
      <c r="DD39" s="25"/>
      <c r="DE39" s="25"/>
      <c r="DF39" s="25"/>
      <c r="DG39" s="25"/>
      <c r="DH39" s="110"/>
      <c r="DI39" s="110"/>
      <c r="DJ39" s="25"/>
      <c r="DK39" s="25"/>
      <c r="DL39" s="25"/>
      <c r="DM39" s="25"/>
      <c r="DN39" s="25"/>
      <c r="DO39" s="110"/>
      <c r="DP39" s="110"/>
      <c r="DQ39" s="25"/>
      <c r="DR39" s="25"/>
      <c r="DS39" s="25"/>
      <c r="DT39" s="25"/>
      <c r="DU39" s="110"/>
      <c r="DV39" s="110"/>
      <c r="DW39" s="110"/>
      <c r="DX39" s="25"/>
      <c r="DY39" s="25"/>
      <c r="DZ39" s="25"/>
      <c r="EA39" s="25"/>
      <c r="EB39" s="110" t="s">
        <v>445</v>
      </c>
      <c r="EC39" s="110"/>
      <c r="ED39" s="110"/>
      <c r="EE39" s="25"/>
      <c r="EF39" s="25"/>
      <c r="EG39" s="25"/>
      <c r="EH39" s="110" t="s">
        <v>445</v>
      </c>
      <c r="EI39" s="110" t="s">
        <v>445</v>
      </c>
      <c r="EJ39" s="110"/>
      <c r="EK39" s="110"/>
      <c r="EL39" s="25"/>
      <c r="EM39" s="25"/>
      <c r="EN39" s="25"/>
      <c r="EO39" s="25"/>
      <c r="EP39" s="25"/>
      <c r="EQ39" s="110"/>
      <c r="ER39" s="110"/>
      <c r="ES39" s="110" t="s">
        <v>445</v>
      </c>
      <c r="ET39" s="25"/>
      <c r="EU39" s="25"/>
      <c r="EV39" s="25"/>
      <c r="EW39" s="25"/>
      <c r="EX39" s="110"/>
      <c r="EY39" s="110"/>
      <c r="EZ39" s="25"/>
      <c r="FA39" s="25"/>
      <c r="FB39" s="25"/>
      <c r="FC39" s="25"/>
      <c r="FD39" s="25"/>
      <c r="FE39" s="110"/>
      <c r="FF39" s="110"/>
      <c r="FG39" s="25"/>
      <c r="FH39" s="25"/>
      <c r="FI39" s="25"/>
      <c r="FJ39" s="25"/>
      <c r="FK39" s="25"/>
      <c r="FL39" s="110"/>
      <c r="FM39" s="110"/>
      <c r="FN39" s="25"/>
      <c r="FO39" s="25"/>
      <c r="FP39" s="25"/>
      <c r="FQ39" s="25"/>
      <c r="FR39" s="25"/>
      <c r="FS39" s="110"/>
      <c r="FT39" s="110"/>
      <c r="FU39" s="25"/>
      <c r="FV39" s="25"/>
      <c r="FW39" s="25"/>
      <c r="FX39" s="25"/>
      <c r="FY39" s="25"/>
      <c r="FZ39" s="110"/>
      <c r="GA39" s="110"/>
      <c r="GB39" s="25"/>
      <c r="GC39" s="25"/>
      <c r="GD39" s="25"/>
      <c r="GE39" s="25"/>
      <c r="GF39" s="25"/>
      <c r="GG39" s="110"/>
      <c r="GH39" s="110"/>
      <c r="GI39" s="25"/>
      <c r="GJ39" s="25"/>
      <c r="GK39" s="25"/>
      <c r="GL39" s="25"/>
      <c r="GM39" s="25"/>
      <c r="GN39" s="110"/>
      <c r="GO39" s="110"/>
      <c r="GP39" s="110"/>
      <c r="GQ39" s="110" t="s">
        <v>445</v>
      </c>
      <c r="GR39" s="25"/>
      <c r="GS39" s="25"/>
      <c r="GT39" s="25"/>
      <c r="GU39" s="110"/>
      <c r="GV39" s="110"/>
      <c r="GW39" s="25"/>
      <c r="GX39" s="25"/>
      <c r="GY39" s="25"/>
      <c r="GZ39" s="25"/>
      <c r="HA39" s="25"/>
      <c r="HB39" s="110"/>
      <c r="HC39" s="110"/>
      <c r="HD39" s="25"/>
      <c r="HE39" s="25"/>
      <c r="HF39" s="25"/>
      <c r="HG39" s="25"/>
      <c r="HH39" s="25"/>
      <c r="HI39" s="110"/>
      <c r="HJ39" s="110"/>
      <c r="HK39" s="25"/>
      <c r="HL39" s="25"/>
      <c r="HM39" s="25"/>
      <c r="HN39" s="25"/>
      <c r="HO39" s="25"/>
      <c r="HP39" s="110"/>
      <c r="HQ39" s="110"/>
      <c r="HR39" s="25"/>
      <c r="HS39" s="25"/>
      <c r="HT39" s="25"/>
      <c r="HU39" s="25"/>
      <c r="HV39" s="25"/>
      <c r="HW39" s="110"/>
      <c r="HX39" s="110"/>
      <c r="HY39" s="25"/>
      <c r="HZ39" s="25"/>
      <c r="IA39" s="25"/>
      <c r="IB39" s="25"/>
      <c r="IC39" s="25"/>
      <c r="ID39" s="110"/>
      <c r="IE39" s="110"/>
      <c r="IF39" s="25"/>
      <c r="IG39" s="25"/>
      <c r="IH39" s="25"/>
      <c r="II39" s="25"/>
      <c r="IJ39" s="25"/>
      <c r="IK39" s="110"/>
      <c r="IL39" s="110"/>
      <c r="IM39" s="25"/>
      <c r="IN39" s="25"/>
      <c r="IO39" s="25"/>
      <c r="IP39" s="25"/>
      <c r="IQ39" s="25"/>
      <c r="IR39" s="110"/>
      <c r="IS39" s="110"/>
      <c r="IT39" s="25"/>
      <c r="IU39" s="25"/>
      <c r="IV39" s="25"/>
      <c r="IW39" s="25"/>
      <c r="IX39" s="25"/>
      <c r="IY39" s="110"/>
      <c r="IZ39" s="110"/>
      <c r="JA39" s="25"/>
      <c r="JB39" s="25"/>
      <c r="JC39" s="25"/>
      <c r="JD39" s="25"/>
      <c r="JE39" s="25"/>
      <c r="JF39" s="110"/>
      <c r="JG39" s="110"/>
      <c r="JH39" s="25"/>
      <c r="JI39" s="25"/>
      <c r="JJ39" s="25"/>
      <c r="JK39" s="25"/>
      <c r="JL39" s="25"/>
      <c r="JM39" s="110"/>
      <c r="JN39" s="110"/>
      <c r="JO39" s="25"/>
      <c r="JP39" s="25"/>
      <c r="JQ39" s="25"/>
      <c r="JR39" s="25"/>
      <c r="JS39" s="25"/>
      <c r="JT39" s="110"/>
      <c r="JU39" s="110"/>
      <c r="JV39" s="25"/>
      <c r="JW39" s="25"/>
      <c r="JX39" s="25"/>
      <c r="JY39" s="25"/>
      <c r="JZ39" s="25"/>
      <c r="KA39" s="110"/>
      <c r="KB39" s="110"/>
      <c r="KC39" s="25"/>
      <c r="KD39" s="25"/>
      <c r="KE39" s="25"/>
      <c r="KF39" s="25"/>
      <c r="KG39" s="25"/>
      <c r="KH39" s="110"/>
      <c r="KI39" s="110"/>
      <c r="KJ39" s="25"/>
      <c r="KK39" s="25"/>
      <c r="KL39" s="25"/>
      <c r="KM39" s="25"/>
      <c r="KN39" s="25"/>
      <c r="KO39" s="110"/>
      <c r="KP39" s="110"/>
      <c r="KQ39" s="25"/>
      <c r="KR39" s="25"/>
      <c r="KS39" s="25"/>
      <c r="KT39" s="25"/>
      <c r="KU39" s="25"/>
      <c r="KV39" s="110"/>
      <c r="KW39" s="110"/>
      <c r="KX39" s="25"/>
      <c r="KY39" s="25"/>
      <c r="KZ39" s="25"/>
      <c r="LA39" s="25"/>
      <c r="LB39" s="25"/>
      <c r="LC39" s="110"/>
      <c r="LD39" s="110"/>
      <c r="LE39" s="25"/>
      <c r="LF39" s="25"/>
      <c r="LG39" s="110" t="s">
        <v>445</v>
      </c>
      <c r="LH39" s="25"/>
      <c r="LI39" s="25"/>
      <c r="LJ39" s="110"/>
      <c r="LK39" s="110"/>
      <c r="LL39" s="25"/>
      <c r="LM39" s="25"/>
      <c r="LN39" s="25"/>
      <c r="LO39" s="25"/>
      <c r="LP39" s="25"/>
      <c r="LQ39" s="110"/>
      <c r="LR39" s="110"/>
      <c r="LS39" s="25"/>
      <c r="LT39" s="25"/>
      <c r="LU39" s="25"/>
      <c r="LV39" s="25"/>
      <c r="LW39" s="25"/>
      <c r="LX39" s="110"/>
      <c r="LY39" s="110"/>
      <c r="LZ39" s="25"/>
      <c r="MA39" s="25"/>
      <c r="MB39" s="25"/>
      <c r="MC39" s="25"/>
      <c r="MD39" s="25"/>
      <c r="ME39" s="110"/>
      <c r="MF39" s="110"/>
      <c r="MG39" s="25"/>
      <c r="MH39" s="25"/>
      <c r="MI39" s="25"/>
      <c r="MJ39" s="25"/>
      <c r="MK39" s="25"/>
      <c r="ML39" s="110"/>
      <c r="MM39" s="110"/>
      <c r="MN39" s="25"/>
      <c r="MO39" s="25"/>
      <c r="MP39" s="25"/>
      <c r="MQ39" s="25"/>
      <c r="MR39" s="25"/>
      <c r="MS39" s="110"/>
      <c r="MT39" s="110"/>
      <c r="MU39" s="25"/>
      <c r="MV39" s="25"/>
      <c r="MW39" s="25"/>
      <c r="MX39" s="25"/>
      <c r="MY39" s="25"/>
      <c r="MZ39" s="110"/>
      <c r="NA39" s="110"/>
      <c r="NB39" s="25"/>
      <c r="NC39" s="25"/>
      <c r="ND39" s="25"/>
      <c r="NE39" s="129"/>
      <c r="NF39" s="111"/>
      <c r="NG39" s="8">
        <f t="shared" si="0"/>
        <v>0</v>
      </c>
      <c r="NH39" s="32" cm="1">
        <f t="array" ref="NH39">NETWORKDAYS($I$2,$AI$2)- SUM(COUNTIF(I39:AI39,{"I";"F";"CP";"R";"P";"AC";"AM"}))</f>
        <v>20</v>
      </c>
      <c r="NI39" s="138">
        <f t="shared" si="1"/>
        <v>0</v>
      </c>
      <c r="NJ39" s="8">
        <f t="shared" si="2"/>
        <v>0</v>
      </c>
      <c r="NK39" s="32" cm="1">
        <f t="array" ref="NK39">NETWORKDAYS($AJ$2,$BK$2)- SUM(COUNTIF(AJ39:BK39,{"I";"F";"CP";"R";"P";"AC";"AM"}))</f>
        <v>20</v>
      </c>
      <c r="NL39" s="138">
        <f t="shared" si="3"/>
        <v>0</v>
      </c>
      <c r="NM39" s="8">
        <f t="shared" si="4"/>
        <v>0</v>
      </c>
      <c r="NN39" s="32" cm="1">
        <f t="array" ref="NN39">NETWORKDAYS($BL$2,$CP$2)- SUM(COUNTIF(BL39:CP39,{"I";"F";"CP";"R";"P";"AC";"AM"}))</f>
        <v>22</v>
      </c>
      <c r="NO39" s="138">
        <f t="shared" si="5"/>
        <v>0</v>
      </c>
      <c r="NP39" s="32">
        <f t="shared" si="26"/>
        <v>0</v>
      </c>
      <c r="NQ39" s="32" cm="1">
        <f t="array" ref="NQ39">NETWORKDAYS($CQ$2,$DT$2,$CV$2)- SUM(COUNTIF(CQ39:DT39,{"I";"F";"CP";"R";"P";"AC";"AM"}))</f>
        <v>21</v>
      </c>
      <c r="NR39" s="138">
        <f t="shared" si="6"/>
        <v>0</v>
      </c>
      <c r="NS39" s="8">
        <f t="shared" si="7"/>
        <v>0</v>
      </c>
      <c r="NT39" s="32" cm="1">
        <f t="array" ref="NT39">NETWORKDAYS($DV$2,$EY$2)-SUM(COUNTIF(DV39:EY39,{"I";"F";"CP";"R";"P";"AC";"AM"}))</f>
        <v>16</v>
      </c>
      <c r="NU39" s="138">
        <f t="shared" si="8"/>
        <v>0</v>
      </c>
      <c r="NV39" s="8">
        <f t="shared" si="9"/>
        <v>0</v>
      </c>
      <c r="NW39" s="32" cm="1">
        <f t="array" ref="NW39">NETWORKDAYS($EZ$2,$GC$2)-SUM(COUNTIF(EZ119:GC119,{"I";"F";"CP";"R";"P";"AC";"AM"}))</f>
        <v>22</v>
      </c>
      <c r="NX39" s="138">
        <f t="shared" si="10"/>
        <v>0</v>
      </c>
      <c r="NY39" s="8">
        <f t="shared" si="11"/>
        <v>0</v>
      </c>
      <c r="NZ39" s="32" cm="1">
        <f t="array" ref="NZ39">NETWORKDAYS($GD$2,$HH$2,$GQ$2)-SUM(COUNTIF(GD39:HH39,{"I";"F";"CP";"R";"P";"AC";"AM"}))</f>
        <v>21</v>
      </c>
      <c r="OA39" s="138">
        <f t="shared" si="12"/>
        <v>0</v>
      </c>
      <c r="OB39" s="8">
        <f t="shared" si="13"/>
        <v>0</v>
      </c>
      <c r="OC39" s="32" cm="1">
        <f t="array" ref="OC39">NETWORKDAYS($HI$2,$IM$2)-SUM(COUNTIF(HI39:IM39,{"I";"F";"CP";"R";"P";"AC";"AM"}))</f>
        <v>21</v>
      </c>
      <c r="OD39" s="138">
        <f t="shared" si="14"/>
        <v>0</v>
      </c>
      <c r="OE39" s="8">
        <f t="shared" si="15"/>
        <v>0</v>
      </c>
      <c r="OF39" s="32" cm="1">
        <f t="array" ref="OF39">NETWORKDAYS($IN$2,$JQ$2)-SUM(COUNTIF(IN39:JQ39,{"I";"F";"CP";"R";"P";"AC";"AM"}))</f>
        <v>22</v>
      </c>
      <c r="OG39" s="138">
        <f t="shared" si="16"/>
        <v>0</v>
      </c>
      <c r="OH39" s="8">
        <f t="shared" si="17"/>
        <v>0</v>
      </c>
      <c r="OI39" s="32" cm="1">
        <f t="array" ref="OI39">NETWORKDAYS($JR$2,$KV$2)-SUM(COUNTIF(JR39:KV39,{"I";"F";"CP";"R";"P";"AC";"AM"}))</f>
        <v>22</v>
      </c>
      <c r="OJ39" s="138">
        <f t="shared" si="18"/>
        <v>0</v>
      </c>
      <c r="OK39" s="8">
        <f t="shared" si="19"/>
        <v>0</v>
      </c>
      <c r="OL39" s="32" cm="1">
        <f t="array" ref="OL39">NETWORKDAYS($KW$2,$LZ$2,$LG$2)-SUM(COUNTIF(KW39:LZ39,{"I";"F";"CP";"R";"P";"AC";"AM"}))</f>
        <v>19</v>
      </c>
      <c r="OM39" s="138">
        <f t="shared" si="20"/>
        <v>0</v>
      </c>
      <c r="ON39" s="8">
        <f t="shared" si="21"/>
        <v>0</v>
      </c>
      <c r="OO39" s="32" cm="1">
        <f t="array" ref="OO39">NETWORKDAYS($MA$2,$MR$2)-SUM(COUNTIF(MA39:MR39,{"I";"F";"CP";"R";"P";"AC";"AM"}))</f>
        <v>14</v>
      </c>
      <c r="OP39" s="138">
        <f t="shared" si="22"/>
        <v>0</v>
      </c>
      <c r="OQ39" s="94">
        <f t="shared" si="23"/>
        <v>0</v>
      </c>
      <c r="OR39" s="94">
        <f t="shared" si="24"/>
        <v>240</v>
      </c>
      <c r="OS39" s="138">
        <f t="shared" si="25"/>
        <v>0</v>
      </c>
    </row>
    <row r="40" spans="1:409" ht="18" hidden="1" customHeight="1" x14ac:dyDescent="0.25">
      <c r="A40" s="95" t="s">
        <v>468</v>
      </c>
      <c r="B40" s="95" t="s">
        <v>34</v>
      </c>
      <c r="C40" s="89" t="s">
        <v>160</v>
      </c>
      <c r="D40" s="89" t="s">
        <v>215</v>
      </c>
      <c r="E40" s="128"/>
      <c r="F40" s="110"/>
      <c r="G40" s="110"/>
      <c r="H40" s="110"/>
      <c r="I40" s="25"/>
      <c r="J40" s="25"/>
      <c r="K40" s="25"/>
      <c r="L40" s="25"/>
      <c r="M40" s="25"/>
      <c r="N40" s="110"/>
      <c r="O40" s="110"/>
      <c r="P40" s="25"/>
      <c r="Q40" s="25"/>
      <c r="R40" s="25"/>
      <c r="S40" s="25"/>
      <c r="T40" s="25"/>
      <c r="U40" s="110"/>
      <c r="V40" s="110"/>
      <c r="W40" s="25"/>
      <c r="X40" s="25"/>
      <c r="Y40" s="25"/>
      <c r="Z40" s="25"/>
      <c r="AA40" s="25"/>
      <c r="AB40" s="110"/>
      <c r="AC40" s="110"/>
      <c r="AD40" s="25"/>
      <c r="AE40" s="25"/>
      <c r="AF40" s="25"/>
      <c r="AG40" s="25"/>
      <c r="AH40" s="25"/>
      <c r="AI40" s="110"/>
      <c r="AJ40" s="110"/>
      <c r="AK40" s="25"/>
      <c r="AL40" s="25"/>
      <c r="AM40" s="25"/>
      <c r="AN40" s="25"/>
      <c r="AO40" s="25"/>
      <c r="AP40" s="110"/>
      <c r="AQ40" s="110"/>
      <c r="AR40" s="25"/>
      <c r="AS40" s="25"/>
      <c r="AT40" s="25"/>
      <c r="AU40" s="25"/>
      <c r="AV40" s="25"/>
      <c r="AW40" s="110"/>
      <c r="AX40" s="110"/>
      <c r="AY40" s="25"/>
      <c r="AZ40" s="25"/>
      <c r="BA40" s="25"/>
      <c r="BB40" s="25"/>
      <c r="BC40" s="25"/>
      <c r="BD40" s="110"/>
      <c r="BE40" s="110"/>
      <c r="BF40" s="25"/>
      <c r="BG40" s="25"/>
      <c r="BH40" s="25"/>
      <c r="BI40" s="25"/>
      <c r="BJ40" s="25"/>
      <c r="BK40" s="110"/>
      <c r="BL40" s="110"/>
      <c r="BM40" s="25"/>
      <c r="BN40" s="25"/>
      <c r="BO40" s="25"/>
      <c r="BP40" s="25"/>
      <c r="BQ40" s="25"/>
      <c r="BR40" s="110"/>
      <c r="BS40" s="110"/>
      <c r="BT40" s="25"/>
      <c r="BU40" s="25"/>
      <c r="BV40" s="25"/>
      <c r="BW40" s="25"/>
      <c r="BX40" s="25"/>
      <c r="BY40" s="110"/>
      <c r="BZ40" s="110"/>
      <c r="CA40" s="25"/>
      <c r="CB40" s="25"/>
      <c r="CC40" s="25"/>
      <c r="CD40" s="25"/>
      <c r="CE40" s="25"/>
      <c r="CF40" s="110"/>
      <c r="CG40" s="110"/>
      <c r="CH40" s="25"/>
      <c r="CI40" s="25"/>
      <c r="CJ40" s="25"/>
      <c r="CK40" s="25"/>
      <c r="CL40" s="25"/>
      <c r="CM40" s="110"/>
      <c r="CN40" s="110"/>
      <c r="CO40" s="25"/>
      <c r="CP40" s="25"/>
      <c r="CQ40" s="25"/>
      <c r="CR40" s="25"/>
      <c r="CS40" s="25"/>
      <c r="CT40" s="110"/>
      <c r="CU40" s="110"/>
      <c r="CV40" s="110"/>
      <c r="CW40" s="25"/>
      <c r="CX40" s="25"/>
      <c r="CY40" s="25"/>
      <c r="CZ40" s="25"/>
      <c r="DA40" s="110"/>
      <c r="DB40" s="110"/>
      <c r="DC40" s="25"/>
      <c r="DD40" s="25"/>
      <c r="DE40" s="25"/>
      <c r="DF40" s="25"/>
      <c r="DG40" s="25"/>
      <c r="DH40" s="110"/>
      <c r="DI40" s="110"/>
      <c r="DJ40" s="25"/>
      <c r="DK40" s="25"/>
      <c r="DL40" s="25"/>
      <c r="DM40" s="25"/>
      <c r="DN40" s="25"/>
      <c r="DO40" s="110"/>
      <c r="DP40" s="110"/>
      <c r="DQ40" s="25"/>
      <c r="DR40" s="25"/>
      <c r="DS40" s="25"/>
      <c r="DT40" s="25"/>
      <c r="DU40" s="110"/>
      <c r="DV40" s="110"/>
      <c r="DW40" s="110"/>
      <c r="DX40" s="25"/>
      <c r="DY40" s="25"/>
      <c r="DZ40" s="25"/>
      <c r="EA40" s="25"/>
      <c r="EB40" s="110" t="s">
        <v>445</v>
      </c>
      <c r="EC40" s="110"/>
      <c r="ED40" s="110"/>
      <c r="EE40" s="25"/>
      <c r="EF40" s="25"/>
      <c r="EG40" s="25"/>
      <c r="EH40" s="110" t="s">
        <v>445</v>
      </c>
      <c r="EI40" s="110" t="s">
        <v>445</v>
      </c>
      <c r="EJ40" s="110"/>
      <c r="EK40" s="110"/>
      <c r="EL40" s="25"/>
      <c r="EM40" s="25"/>
      <c r="EN40" s="25"/>
      <c r="EO40" s="25"/>
      <c r="EP40" s="25"/>
      <c r="EQ40" s="110"/>
      <c r="ER40" s="110"/>
      <c r="ES40" s="110" t="s">
        <v>445</v>
      </c>
      <c r="ET40" s="25"/>
      <c r="EU40" s="25"/>
      <c r="EV40" s="25"/>
      <c r="EW40" s="25"/>
      <c r="EX40" s="110"/>
      <c r="EY40" s="110"/>
      <c r="EZ40" s="25"/>
      <c r="FA40" s="25"/>
      <c r="FB40" s="25"/>
      <c r="FC40" s="25"/>
      <c r="FD40" s="25"/>
      <c r="FE40" s="110"/>
      <c r="FF40" s="110"/>
      <c r="FG40" s="25"/>
      <c r="FH40" s="25"/>
      <c r="FI40" s="25"/>
      <c r="FJ40" s="25"/>
      <c r="FK40" s="25"/>
      <c r="FL40" s="110"/>
      <c r="FM40" s="110"/>
      <c r="FN40" s="25"/>
      <c r="FO40" s="25"/>
      <c r="FP40" s="25"/>
      <c r="FQ40" s="25"/>
      <c r="FR40" s="25"/>
      <c r="FS40" s="110"/>
      <c r="FT40" s="110"/>
      <c r="FU40" s="25"/>
      <c r="FV40" s="25"/>
      <c r="FW40" s="25"/>
      <c r="FX40" s="25"/>
      <c r="FY40" s="25"/>
      <c r="FZ40" s="110"/>
      <c r="GA40" s="110"/>
      <c r="GB40" s="25"/>
      <c r="GC40" s="25"/>
      <c r="GD40" s="25"/>
      <c r="GE40" s="25"/>
      <c r="GF40" s="25"/>
      <c r="GG40" s="110"/>
      <c r="GH40" s="110"/>
      <c r="GI40" s="25"/>
      <c r="GJ40" s="25"/>
      <c r="GK40" s="25"/>
      <c r="GL40" s="25"/>
      <c r="GM40" s="25"/>
      <c r="GN40" s="110"/>
      <c r="GO40" s="110"/>
      <c r="GP40" s="110"/>
      <c r="GQ40" s="110" t="s">
        <v>445</v>
      </c>
      <c r="GR40" s="25"/>
      <c r="GS40" s="25"/>
      <c r="GT40" s="25"/>
      <c r="GU40" s="110"/>
      <c r="GV40" s="110"/>
      <c r="GW40" s="25"/>
      <c r="GX40" s="25"/>
      <c r="GY40" s="25"/>
      <c r="GZ40" s="25"/>
      <c r="HA40" s="25"/>
      <c r="HB40" s="110"/>
      <c r="HC40" s="110"/>
      <c r="HD40" s="25"/>
      <c r="HE40" s="25"/>
      <c r="HF40" s="25"/>
      <c r="HG40" s="25"/>
      <c r="HH40" s="25"/>
      <c r="HI40" s="110"/>
      <c r="HJ40" s="110"/>
      <c r="HK40" s="25"/>
      <c r="HL40" s="25"/>
      <c r="HM40" s="25"/>
      <c r="HN40" s="25"/>
      <c r="HO40" s="25"/>
      <c r="HP40" s="110"/>
      <c r="HQ40" s="110"/>
      <c r="HR40" s="25"/>
      <c r="HS40" s="25"/>
      <c r="HT40" s="25"/>
      <c r="HU40" s="25"/>
      <c r="HV40" s="25"/>
      <c r="HW40" s="110"/>
      <c r="HX40" s="110"/>
      <c r="HY40" s="25"/>
      <c r="HZ40" s="25"/>
      <c r="IA40" s="25"/>
      <c r="IB40" s="25"/>
      <c r="IC40" s="25"/>
      <c r="ID40" s="110"/>
      <c r="IE40" s="110"/>
      <c r="IF40" s="25"/>
      <c r="IG40" s="25"/>
      <c r="IH40" s="25"/>
      <c r="II40" s="25"/>
      <c r="IJ40" s="25"/>
      <c r="IK40" s="110"/>
      <c r="IL40" s="110"/>
      <c r="IM40" s="25"/>
      <c r="IN40" s="25"/>
      <c r="IO40" s="25"/>
      <c r="IP40" s="25"/>
      <c r="IQ40" s="25"/>
      <c r="IR40" s="110"/>
      <c r="IS40" s="110"/>
      <c r="IT40" s="25"/>
      <c r="IU40" s="25"/>
      <c r="IV40" s="25"/>
      <c r="IW40" s="25"/>
      <c r="IX40" s="25"/>
      <c r="IY40" s="110"/>
      <c r="IZ40" s="110"/>
      <c r="JA40" s="25"/>
      <c r="JB40" s="25"/>
      <c r="JC40" s="25"/>
      <c r="JD40" s="25"/>
      <c r="JE40" s="25"/>
      <c r="JF40" s="110"/>
      <c r="JG40" s="110"/>
      <c r="JH40" s="25"/>
      <c r="JI40" s="25"/>
      <c r="JJ40" s="25"/>
      <c r="JK40" s="25"/>
      <c r="JL40" s="25"/>
      <c r="JM40" s="110"/>
      <c r="JN40" s="110"/>
      <c r="JO40" s="25"/>
      <c r="JP40" s="25"/>
      <c r="JQ40" s="25"/>
      <c r="JR40" s="25"/>
      <c r="JS40" s="25"/>
      <c r="JT40" s="110"/>
      <c r="JU40" s="110"/>
      <c r="JV40" s="25"/>
      <c r="JW40" s="25"/>
      <c r="JX40" s="25"/>
      <c r="JY40" s="25"/>
      <c r="JZ40" s="25"/>
      <c r="KA40" s="110"/>
      <c r="KB40" s="110"/>
      <c r="KC40" s="25"/>
      <c r="KD40" s="25"/>
      <c r="KE40" s="25"/>
      <c r="KF40" s="25"/>
      <c r="KG40" s="25"/>
      <c r="KH40" s="110"/>
      <c r="KI40" s="110"/>
      <c r="KJ40" s="25"/>
      <c r="KK40" s="25"/>
      <c r="KL40" s="25"/>
      <c r="KM40" s="25"/>
      <c r="KN40" s="25"/>
      <c r="KO40" s="110"/>
      <c r="KP40" s="110"/>
      <c r="KQ40" s="25"/>
      <c r="KR40" s="25"/>
      <c r="KS40" s="25"/>
      <c r="KT40" s="25"/>
      <c r="KU40" s="25"/>
      <c r="KV40" s="110"/>
      <c r="KW40" s="110"/>
      <c r="KX40" s="25"/>
      <c r="KY40" s="25"/>
      <c r="KZ40" s="25"/>
      <c r="LA40" s="25"/>
      <c r="LB40" s="25"/>
      <c r="LC40" s="110"/>
      <c r="LD40" s="110"/>
      <c r="LE40" s="25"/>
      <c r="LF40" s="25"/>
      <c r="LG40" s="110" t="s">
        <v>445</v>
      </c>
      <c r="LH40" s="25"/>
      <c r="LI40" s="25"/>
      <c r="LJ40" s="110"/>
      <c r="LK40" s="110"/>
      <c r="LL40" s="25"/>
      <c r="LM40" s="25"/>
      <c r="LN40" s="25"/>
      <c r="LO40" s="25"/>
      <c r="LP40" s="25"/>
      <c r="LQ40" s="110"/>
      <c r="LR40" s="110"/>
      <c r="LS40" s="25"/>
      <c r="LT40" s="25"/>
      <c r="LU40" s="25"/>
      <c r="LV40" s="25"/>
      <c r="LW40" s="25"/>
      <c r="LX40" s="110"/>
      <c r="LY40" s="110"/>
      <c r="LZ40" s="25"/>
      <c r="MA40" s="25"/>
      <c r="MB40" s="25"/>
      <c r="MC40" s="25"/>
      <c r="MD40" s="25"/>
      <c r="ME40" s="110"/>
      <c r="MF40" s="110"/>
      <c r="MG40" s="25"/>
      <c r="MH40" s="25"/>
      <c r="MI40" s="25"/>
      <c r="MJ40" s="25"/>
      <c r="MK40" s="25"/>
      <c r="ML40" s="110"/>
      <c r="MM40" s="110"/>
      <c r="MN40" s="25"/>
      <c r="MO40" s="25"/>
      <c r="MP40" s="25"/>
      <c r="MQ40" s="25"/>
      <c r="MR40" s="25"/>
      <c r="MS40" s="110"/>
      <c r="MT40" s="110"/>
      <c r="MU40" s="25"/>
      <c r="MV40" s="25"/>
      <c r="MW40" s="25"/>
      <c r="MX40" s="25"/>
      <c r="MY40" s="25"/>
      <c r="MZ40" s="110"/>
      <c r="NA40" s="110"/>
      <c r="NB40" s="25"/>
      <c r="NC40" s="25"/>
      <c r="ND40" s="25"/>
      <c r="NE40" s="129"/>
      <c r="NF40" s="111"/>
      <c r="NG40" s="8">
        <f t="shared" si="0"/>
        <v>0</v>
      </c>
      <c r="NH40" s="32" cm="1">
        <f t="array" ref="NH40">NETWORKDAYS($I$2,$AI$2)- SUM(COUNTIF(I40:AI40,{"I";"F";"CP";"R";"P";"AC";"AM"}))</f>
        <v>20</v>
      </c>
      <c r="NI40" s="138">
        <f t="shared" si="1"/>
        <v>0</v>
      </c>
      <c r="NJ40" s="8">
        <f t="shared" si="2"/>
        <v>0</v>
      </c>
      <c r="NK40" s="32" cm="1">
        <f t="array" ref="NK40">NETWORKDAYS($AJ$2,$BK$2)- SUM(COUNTIF(AJ40:BK40,{"I";"F";"CP";"R";"P";"AC";"AM"}))</f>
        <v>20</v>
      </c>
      <c r="NL40" s="138">
        <f t="shared" si="3"/>
        <v>0</v>
      </c>
      <c r="NM40" s="8">
        <f t="shared" si="4"/>
        <v>0</v>
      </c>
      <c r="NN40" s="32" cm="1">
        <f t="array" ref="NN40">NETWORKDAYS($BL$2,$CP$2)- SUM(COUNTIF(BL40:CP40,{"I";"F";"CP";"R";"P";"AC";"AM"}))</f>
        <v>22</v>
      </c>
      <c r="NO40" s="138">
        <f t="shared" si="5"/>
        <v>0</v>
      </c>
      <c r="NP40" s="8">
        <f t="shared" si="26"/>
        <v>0</v>
      </c>
      <c r="NQ40" s="32" cm="1">
        <f t="array" ref="NQ40">NETWORKDAYS($CQ$2,$DT$2,$CV$2)- SUM(COUNTIF(CQ40:DT40,{"I";"F";"CP";"R";"P";"AC";"AM"}))</f>
        <v>21</v>
      </c>
      <c r="NR40" s="138">
        <f t="shared" si="6"/>
        <v>0</v>
      </c>
      <c r="NS40" s="8">
        <f t="shared" si="7"/>
        <v>0</v>
      </c>
      <c r="NT40" s="32" cm="1">
        <f t="array" ref="NT40">NETWORKDAYS($DV$2,$EY$2)-SUM(COUNTIF(DV40:EY40,{"I";"F";"CP";"R";"P";"AC";"AM"}))</f>
        <v>16</v>
      </c>
      <c r="NU40" s="138">
        <f t="shared" si="8"/>
        <v>0</v>
      </c>
      <c r="NV40" s="8">
        <f t="shared" si="9"/>
        <v>0</v>
      </c>
      <c r="NW40" s="32" cm="1">
        <f t="array" ref="NW40">NETWORKDAYS($EZ$2,$GC$2)-SUM(COUNTIF(EZ120:GC120,{"I";"F";"CP";"R";"P";"AC";"AM"}))</f>
        <v>22</v>
      </c>
      <c r="NX40" s="138">
        <f t="shared" si="10"/>
        <v>0</v>
      </c>
      <c r="NY40" s="8">
        <f t="shared" si="11"/>
        <v>0</v>
      </c>
      <c r="NZ40" s="32" cm="1">
        <f t="array" ref="NZ40">NETWORKDAYS($GD$2,$HH$2,$GQ$2)-SUM(COUNTIF(GD40:HH40,{"I";"F";"CP";"R";"P";"AC";"AM"}))</f>
        <v>21</v>
      </c>
      <c r="OA40" s="138">
        <f t="shared" si="12"/>
        <v>0</v>
      </c>
      <c r="OB40" s="8">
        <f t="shared" si="13"/>
        <v>0</v>
      </c>
      <c r="OC40" s="32" cm="1">
        <f t="array" ref="OC40">NETWORKDAYS($HI$2,$IM$2)-SUM(COUNTIF(HI40:IM40,{"I";"F";"CP";"R";"P";"AC";"AM"}))</f>
        <v>21</v>
      </c>
      <c r="OD40" s="138">
        <f t="shared" si="14"/>
        <v>0</v>
      </c>
      <c r="OE40" s="8">
        <f t="shared" si="15"/>
        <v>0</v>
      </c>
      <c r="OF40" s="32" cm="1">
        <f t="array" ref="OF40">NETWORKDAYS($IN$2,$JQ$2)-SUM(COUNTIF(IN40:JQ40,{"I";"F";"CP";"R";"P";"AC";"AM"}))</f>
        <v>22</v>
      </c>
      <c r="OG40" s="138">
        <f t="shared" si="16"/>
        <v>0</v>
      </c>
      <c r="OH40" s="8">
        <f t="shared" si="17"/>
        <v>0</v>
      </c>
      <c r="OI40" s="32" cm="1">
        <f t="array" ref="OI40">NETWORKDAYS($JR$2,$KV$2)-SUM(COUNTIF(JR40:KV40,{"I";"F";"CP";"R";"P";"AC";"AM"}))</f>
        <v>22</v>
      </c>
      <c r="OJ40" s="138">
        <f t="shared" si="18"/>
        <v>0</v>
      </c>
      <c r="OK40" s="8">
        <f t="shared" si="19"/>
        <v>0</v>
      </c>
      <c r="OL40" s="32" cm="1">
        <f t="array" ref="OL40">NETWORKDAYS($KW$2,$LZ$2,$LG$2)-SUM(COUNTIF(KW40:LZ40,{"I";"F";"CP";"R";"P";"AC";"AM"}))</f>
        <v>19</v>
      </c>
      <c r="OM40" s="138">
        <f t="shared" si="20"/>
        <v>0</v>
      </c>
      <c r="ON40" s="8">
        <f t="shared" si="21"/>
        <v>0</v>
      </c>
      <c r="OO40" s="32" cm="1">
        <f t="array" ref="OO40">NETWORKDAYS($MA$2,$MR$2)-SUM(COUNTIF(MA40:MR40,{"I";"F";"CP";"R";"P";"AC";"AM"}))</f>
        <v>14</v>
      </c>
      <c r="OP40" s="138">
        <f t="shared" si="22"/>
        <v>0</v>
      </c>
      <c r="OQ40" s="94">
        <f t="shared" si="23"/>
        <v>0</v>
      </c>
      <c r="OR40" s="94">
        <f t="shared" si="24"/>
        <v>240</v>
      </c>
      <c r="OS40" s="138">
        <f t="shared" si="25"/>
        <v>0</v>
      </c>
    </row>
    <row r="41" spans="1:409" ht="18" hidden="1" customHeight="1" x14ac:dyDescent="0.25">
      <c r="A41" s="95" t="s">
        <v>468</v>
      </c>
      <c r="B41" s="95" t="s">
        <v>34</v>
      </c>
      <c r="C41" s="89" t="s">
        <v>166</v>
      </c>
      <c r="D41" s="89" t="s">
        <v>451</v>
      </c>
      <c r="E41" s="128"/>
      <c r="F41" s="110"/>
      <c r="G41" s="110"/>
      <c r="H41" s="110"/>
      <c r="I41" s="25"/>
      <c r="J41" s="25"/>
      <c r="K41" s="25"/>
      <c r="L41" s="25"/>
      <c r="M41" s="25"/>
      <c r="N41" s="110"/>
      <c r="O41" s="110"/>
      <c r="P41" s="25"/>
      <c r="Q41" s="25"/>
      <c r="R41" s="25"/>
      <c r="S41" s="25"/>
      <c r="T41" s="25"/>
      <c r="U41" s="110"/>
      <c r="V41" s="110"/>
      <c r="W41" s="25"/>
      <c r="X41" s="25"/>
      <c r="Y41" s="25"/>
      <c r="Z41" s="25"/>
      <c r="AA41" s="25"/>
      <c r="AB41" s="110"/>
      <c r="AC41" s="110"/>
      <c r="AD41" s="25"/>
      <c r="AE41" s="25"/>
      <c r="AF41" s="25"/>
      <c r="AG41" s="25"/>
      <c r="AH41" s="25"/>
      <c r="AI41" s="110"/>
      <c r="AJ41" s="110"/>
      <c r="AK41" s="25"/>
      <c r="AL41" s="25"/>
      <c r="AM41" s="25"/>
      <c r="AN41" s="25"/>
      <c r="AO41" s="25"/>
      <c r="AP41" s="110"/>
      <c r="AQ41" s="110"/>
      <c r="AR41" s="25"/>
      <c r="AS41" s="25"/>
      <c r="AT41" s="25"/>
      <c r="AU41" s="25"/>
      <c r="AV41" s="25"/>
      <c r="AW41" s="110"/>
      <c r="AX41" s="110"/>
      <c r="AY41" s="25"/>
      <c r="AZ41" s="25"/>
      <c r="BA41" s="25"/>
      <c r="BB41" s="25"/>
      <c r="BC41" s="25"/>
      <c r="BD41" s="110"/>
      <c r="BE41" s="110"/>
      <c r="BF41" s="25"/>
      <c r="BG41" s="25"/>
      <c r="BH41" s="25"/>
      <c r="BI41" s="25"/>
      <c r="BJ41" s="25"/>
      <c r="BK41" s="110"/>
      <c r="BL41" s="110"/>
      <c r="BM41" s="25"/>
      <c r="BN41" s="25"/>
      <c r="BO41" s="25"/>
      <c r="BP41" s="25"/>
      <c r="BQ41" s="25"/>
      <c r="BR41" s="110"/>
      <c r="BS41" s="110"/>
      <c r="BT41" s="25"/>
      <c r="BU41" s="25"/>
      <c r="BV41" s="25"/>
      <c r="BW41" s="25"/>
      <c r="BX41" s="25"/>
      <c r="BY41" s="110"/>
      <c r="BZ41" s="110"/>
      <c r="CA41" s="25"/>
      <c r="CB41" s="25"/>
      <c r="CC41" s="25"/>
      <c r="CD41" s="25"/>
      <c r="CE41" s="25"/>
      <c r="CF41" s="110"/>
      <c r="CG41" s="110"/>
      <c r="CH41" s="25"/>
      <c r="CI41" s="25"/>
      <c r="CJ41" s="25"/>
      <c r="CK41" s="25"/>
      <c r="CL41" s="25"/>
      <c r="CM41" s="110"/>
      <c r="CN41" s="110"/>
      <c r="CO41" s="25"/>
      <c r="CP41" s="25"/>
      <c r="CQ41" s="25"/>
      <c r="CR41" s="25"/>
      <c r="CS41" s="25"/>
      <c r="CT41" s="110"/>
      <c r="CU41" s="110"/>
      <c r="CV41" s="110"/>
      <c r="CW41" s="25"/>
      <c r="CX41" s="25"/>
      <c r="CY41" s="25"/>
      <c r="CZ41" s="25"/>
      <c r="DA41" s="110"/>
      <c r="DB41" s="110"/>
      <c r="DC41" s="25"/>
      <c r="DD41" s="25"/>
      <c r="DE41" s="25"/>
      <c r="DF41" s="25"/>
      <c r="DG41" s="25"/>
      <c r="DH41" s="110"/>
      <c r="DI41" s="110"/>
      <c r="DJ41" s="25"/>
      <c r="DK41" s="25"/>
      <c r="DL41" s="25"/>
      <c r="DM41" s="25"/>
      <c r="DN41" s="25"/>
      <c r="DO41" s="110"/>
      <c r="DP41" s="110"/>
      <c r="DQ41" s="25"/>
      <c r="DR41" s="25"/>
      <c r="DS41" s="25"/>
      <c r="DT41" s="25"/>
      <c r="DU41" s="110"/>
      <c r="DV41" s="110"/>
      <c r="DW41" s="110"/>
      <c r="DX41" s="25"/>
      <c r="DY41" s="25"/>
      <c r="DZ41" s="25"/>
      <c r="EA41" s="25"/>
      <c r="EB41" s="110" t="s">
        <v>445</v>
      </c>
      <c r="EC41" s="110"/>
      <c r="ED41" s="110"/>
      <c r="EE41" s="25"/>
      <c r="EF41" s="25"/>
      <c r="EG41" s="25"/>
      <c r="EH41" s="110" t="s">
        <v>445</v>
      </c>
      <c r="EI41" s="110" t="s">
        <v>445</v>
      </c>
      <c r="EJ41" s="110"/>
      <c r="EK41" s="110"/>
      <c r="EL41" s="25"/>
      <c r="EM41" s="25"/>
      <c r="EN41" s="25"/>
      <c r="EO41" s="25"/>
      <c r="EP41" s="25"/>
      <c r="EQ41" s="110"/>
      <c r="ER41" s="110"/>
      <c r="ES41" s="110" t="s">
        <v>445</v>
      </c>
      <c r="ET41" s="25"/>
      <c r="EU41" s="25"/>
      <c r="EV41" s="25"/>
      <c r="EW41" s="25"/>
      <c r="EX41" s="110"/>
      <c r="EY41" s="110"/>
      <c r="EZ41" s="25"/>
      <c r="FA41" s="25"/>
      <c r="FB41" s="25"/>
      <c r="FC41" s="25"/>
      <c r="FD41" s="25"/>
      <c r="FE41" s="110"/>
      <c r="FF41" s="110"/>
      <c r="FG41" s="25"/>
      <c r="FH41" s="25"/>
      <c r="FI41" s="25"/>
      <c r="FJ41" s="25"/>
      <c r="FK41" s="25"/>
      <c r="FL41" s="110"/>
      <c r="FM41" s="110"/>
      <c r="FN41" s="25"/>
      <c r="FO41" s="25"/>
      <c r="FP41" s="25"/>
      <c r="FQ41" s="25"/>
      <c r="FR41" s="25"/>
      <c r="FS41" s="110"/>
      <c r="FT41" s="110"/>
      <c r="FU41" s="25"/>
      <c r="FV41" s="25"/>
      <c r="FW41" s="25"/>
      <c r="FX41" s="25"/>
      <c r="FY41" s="25"/>
      <c r="FZ41" s="110"/>
      <c r="GA41" s="110"/>
      <c r="GB41" s="25"/>
      <c r="GC41" s="25"/>
      <c r="GD41" s="25"/>
      <c r="GE41" s="25"/>
      <c r="GF41" s="25"/>
      <c r="GG41" s="110"/>
      <c r="GH41" s="110"/>
      <c r="GI41" s="25"/>
      <c r="GJ41" s="25"/>
      <c r="GK41" s="25"/>
      <c r="GL41" s="25"/>
      <c r="GM41" s="25"/>
      <c r="GN41" s="110"/>
      <c r="GO41" s="110"/>
      <c r="GP41" s="110"/>
      <c r="GQ41" s="110" t="s">
        <v>445</v>
      </c>
      <c r="GR41" s="25"/>
      <c r="GS41" s="25"/>
      <c r="GT41" s="25"/>
      <c r="GU41" s="110"/>
      <c r="GV41" s="110"/>
      <c r="GW41" s="25"/>
      <c r="GX41" s="25"/>
      <c r="GY41" s="25"/>
      <c r="GZ41" s="25"/>
      <c r="HA41" s="25"/>
      <c r="HB41" s="110"/>
      <c r="HC41" s="110"/>
      <c r="HD41" s="25"/>
      <c r="HE41" s="25"/>
      <c r="HF41" s="25"/>
      <c r="HG41" s="25"/>
      <c r="HH41" s="25"/>
      <c r="HI41" s="110"/>
      <c r="HJ41" s="110"/>
      <c r="HK41" s="25"/>
      <c r="HL41" s="25"/>
      <c r="HM41" s="25"/>
      <c r="HN41" s="25"/>
      <c r="HO41" s="25"/>
      <c r="HP41" s="110"/>
      <c r="HQ41" s="110"/>
      <c r="HR41" s="25"/>
      <c r="HS41" s="25"/>
      <c r="HT41" s="25"/>
      <c r="HU41" s="25"/>
      <c r="HV41" s="25"/>
      <c r="HW41" s="110"/>
      <c r="HX41" s="110"/>
      <c r="HY41" s="25"/>
      <c r="HZ41" s="25"/>
      <c r="IA41" s="25"/>
      <c r="IB41" s="25"/>
      <c r="IC41" s="25"/>
      <c r="ID41" s="110"/>
      <c r="IE41" s="110"/>
      <c r="IF41" s="25"/>
      <c r="IG41" s="25"/>
      <c r="IH41" s="25"/>
      <c r="II41" s="25"/>
      <c r="IJ41" s="25"/>
      <c r="IK41" s="110"/>
      <c r="IL41" s="110"/>
      <c r="IM41" s="25"/>
      <c r="IN41" s="25"/>
      <c r="IO41" s="25"/>
      <c r="IP41" s="25"/>
      <c r="IQ41" s="25"/>
      <c r="IR41" s="110"/>
      <c r="IS41" s="110"/>
      <c r="IT41" s="25"/>
      <c r="IU41" s="25"/>
      <c r="IV41" s="25"/>
      <c r="IW41" s="25"/>
      <c r="IX41" s="25"/>
      <c r="IY41" s="110"/>
      <c r="IZ41" s="110"/>
      <c r="JA41" s="25"/>
      <c r="JB41" s="25"/>
      <c r="JC41" s="25"/>
      <c r="JD41" s="25"/>
      <c r="JE41" s="25"/>
      <c r="JF41" s="110"/>
      <c r="JG41" s="110"/>
      <c r="JH41" s="25"/>
      <c r="JI41" s="25"/>
      <c r="JJ41" s="25"/>
      <c r="JK41" s="25"/>
      <c r="JL41" s="25"/>
      <c r="JM41" s="110"/>
      <c r="JN41" s="110"/>
      <c r="JO41" s="25"/>
      <c r="JP41" s="25"/>
      <c r="JQ41" s="25"/>
      <c r="JR41" s="25"/>
      <c r="JS41" s="25"/>
      <c r="JT41" s="110"/>
      <c r="JU41" s="110"/>
      <c r="JV41" s="25"/>
      <c r="JW41" s="25"/>
      <c r="JX41" s="25"/>
      <c r="JY41" s="25"/>
      <c r="JZ41" s="25"/>
      <c r="KA41" s="110"/>
      <c r="KB41" s="110"/>
      <c r="KC41" s="25"/>
      <c r="KD41" s="25"/>
      <c r="KE41" s="25"/>
      <c r="KF41" s="25"/>
      <c r="KG41" s="25"/>
      <c r="KH41" s="110"/>
      <c r="KI41" s="110"/>
      <c r="KJ41" s="25"/>
      <c r="KK41" s="25"/>
      <c r="KL41" s="25"/>
      <c r="KM41" s="25"/>
      <c r="KN41" s="25"/>
      <c r="KO41" s="110"/>
      <c r="KP41" s="110"/>
      <c r="KQ41" s="25"/>
      <c r="KR41" s="25"/>
      <c r="KS41" s="25"/>
      <c r="KT41" s="25"/>
      <c r="KU41" s="25"/>
      <c r="KV41" s="110"/>
      <c r="KW41" s="110"/>
      <c r="KX41" s="25"/>
      <c r="KY41" s="25"/>
      <c r="KZ41" s="25"/>
      <c r="LA41" s="25"/>
      <c r="LB41" s="25"/>
      <c r="LC41" s="110"/>
      <c r="LD41" s="110"/>
      <c r="LE41" s="25"/>
      <c r="LF41" s="25"/>
      <c r="LG41" s="110" t="s">
        <v>445</v>
      </c>
      <c r="LH41" s="25"/>
      <c r="LI41" s="25"/>
      <c r="LJ41" s="110"/>
      <c r="LK41" s="110"/>
      <c r="LL41" s="25"/>
      <c r="LM41" s="25"/>
      <c r="LN41" s="25"/>
      <c r="LO41" s="25"/>
      <c r="LP41" s="25"/>
      <c r="LQ41" s="110"/>
      <c r="LR41" s="110"/>
      <c r="LS41" s="25"/>
      <c r="LT41" s="25"/>
      <c r="LU41" s="25"/>
      <c r="LV41" s="25"/>
      <c r="LW41" s="25"/>
      <c r="LX41" s="110"/>
      <c r="LY41" s="110"/>
      <c r="LZ41" s="25"/>
      <c r="MA41" s="25"/>
      <c r="MB41" s="25"/>
      <c r="MC41" s="25"/>
      <c r="MD41" s="25"/>
      <c r="ME41" s="110"/>
      <c r="MF41" s="110"/>
      <c r="MG41" s="25"/>
      <c r="MH41" s="25"/>
      <c r="MI41" s="25"/>
      <c r="MJ41" s="25"/>
      <c r="MK41" s="25"/>
      <c r="ML41" s="110"/>
      <c r="MM41" s="110"/>
      <c r="MN41" s="25"/>
      <c r="MO41" s="25"/>
      <c r="MP41" s="25"/>
      <c r="MQ41" s="25"/>
      <c r="MR41" s="25"/>
      <c r="MS41" s="110"/>
      <c r="MT41" s="110"/>
      <c r="MU41" s="25"/>
      <c r="MV41" s="25"/>
      <c r="MW41" s="25"/>
      <c r="MX41" s="25"/>
      <c r="MY41" s="25"/>
      <c r="MZ41" s="110"/>
      <c r="NA41" s="110"/>
      <c r="NB41" s="25"/>
      <c r="NC41" s="25"/>
      <c r="ND41" s="25"/>
      <c r="NE41" s="129"/>
      <c r="NF41" s="111"/>
      <c r="NG41" s="8">
        <f t="shared" si="0"/>
        <v>0</v>
      </c>
      <c r="NH41" s="32" cm="1">
        <f t="array" ref="NH41">NETWORKDAYS($I$2,$AI$2)- SUM(COUNTIF(I41:AI41,{"I";"F";"CP";"R";"P";"AC";"AM"}))</f>
        <v>20</v>
      </c>
      <c r="NI41" s="138">
        <f t="shared" si="1"/>
        <v>0</v>
      </c>
      <c r="NJ41" s="8">
        <f t="shared" si="2"/>
        <v>0</v>
      </c>
      <c r="NK41" s="32" cm="1">
        <f t="array" ref="NK41">NETWORKDAYS($AJ$2,$BK$2)- SUM(COUNTIF(AJ41:BK41,{"I";"F";"CP";"R";"P";"AC";"AM"}))</f>
        <v>20</v>
      </c>
      <c r="NL41" s="138">
        <f t="shared" si="3"/>
        <v>0</v>
      </c>
      <c r="NM41" s="8">
        <f t="shared" si="4"/>
        <v>0</v>
      </c>
      <c r="NN41" s="32" cm="1">
        <f t="array" ref="NN41">NETWORKDAYS($BL$2,$CP$2)- SUM(COUNTIF(BL41:CP41,{"I";"F";"CP";"R";"P";"AC";"AM"}))</f>
        <v>22</v>
      </c>
      <c r="NO41" s="138">
        <f t="shared" si="5"/>
        <v>0</v>
      </c>
      <c r="NP41" s="32">
        <f t="shared" si="26"/>
        <v>0</v>
      </c>
      <c r="NQ41" s="32" cm="1">
        <f t="array" ref="NQ41">NETWORKDAYS($CQ$2,$DT$2,$CV$2)- SUM(COUNTIF(CQ41:DT41,{"I";"F";"CP";"R";"P";"AC";"AM"}))</f>
        <v>21</v>
      </c>
      <c r="NR41" s="138">
        <f t="shared" si="6"/>
        <v>0</v>
      </c>
      <c r="NS41" s="8">
        <f t="shared" si="7"/>
        <v>0</v>
      </c>
      <c r="NT41" s="32" cm="1">
        <f t="array" ref="NT41">NETWORKDAYS($DV$2,$EY$2)-SUM(COUNTIF(DV41:EY41,{"I";"F";"CP";"R";"P";"AC";"AM"}))</f>
        <v>16</v>
      </c>
      <c r="NU41" s="138">
        <f t="shared" si="8"/>
        <v>0</v>
      </c>
      <c r="NV41" s="8">
        <f t="shared" si="9"/>
        <v>0</v>
      </c>
      <c r="NW41" s="32" cm="1">
        <f t="array" ref="NW41">NETWORKDAYS($EZ$2,$GC$2)-SUM(COUNTIF(EZ121:GC121,{"I";"F";"CP";"R";"P";"AC";"AM"}))</f>
        <v>22</v>
      </c>
      <c r="NX41" s="138">
        <f t="shared" si="10"/>
        <v>0</v>
      </c>
      <c r="NY41" s="8">
        <f t="shared" si="11"/>
        <v>0</v>
      </c>
      <c r="NZ41" s="32" cm="1">
        <f t="array" ref="NZ41">NETWORKDAYS($GD$2,$HH$2,$GQ$2)-SUM(COUNTIF(GD41:HH41,{"I";"F";"CP";"R";"P";"AC";"AM"}))</f>
        <v>21</v>
      </c>
      <c r="OA41" s="138">
        <f t="shared" si="12"/>
        <v>0</v>
      </c>
      <c r="OB41" s="8">
        <f t="shared" si="13"/>
        <v>0</v>
      </c>
      <c r="OC41" s="32" cm="1">
        <f t="array" ref="OC41">NETWORKDAYS($HI$2,$IM$2)-SUM(COUNTIF(HI41:IM41,{"I";"F";"CP";"R";"P";"AC";"AM"}))</f>
        <v>21</v>
      </c>
      <c r="OD41" s="138">
        <f t="shared" si="14"/>
        <v>0</v>
      </c>
      <c r="OE41" s="8">
        <f t="shared" si="15"/>
        <v>0</v>
      </c>
      <c r="OF41" s="32" cm="1">
        <f t="array" ref="OF41">NETWORKDAYS($IN$2,$JQ$2)-SUM(COUNTIF(IN41:JQ41,{"I";"F";"CP";"R";"P";"AC";"AM"}))</f>
        <v>22</v>
      </c>
      <c r="OG41" s="138">
        <f t="shared" si="16"/>
        <v>0</v>
      </c>
      <c r="OH41" s="8">
        <f t="shared" si="17"/>
        <v>0</v>
      </c>
      <c r="OI41" s="32" cm="1">
        <f t="array" ref="OI41">NETWORKDAYS($JR$2,$KV$2)-SUM(COUNTIF(JR41:KV41,{"I";"F";"CP";"R";"P";"AC";"AM"}))</f>
        <v>22</v>
      </c>
      <c r="OJ41" s="138">
        <f t="shared" si="18"/>
        <v>0</v>
      </c>
      <c r="OK41" s="8">
        <f t="shared" si="19"/>
        <v>0</v>
      </c>
      <c r="OL41" s="32" cm="1">
        <f t="array" ref="OL41">NETWORKDAYS($KW$2,$LZ$2,$LG$2)-SUM(COUNTIF(KW41:LZ41,{"I";"F";"CP";"R";"P";"AC";"AM"}))</f>
        <v>19</v>
      </c>
      <c r="OM41" s="138">
        <f t="shared" si="20"/>
        <v>0</v>
      </c>
      <c r="ON41" s="8">
        <f t="shared" si="21"/>
        <v>0</v>
      </c>
      <c r="OO41" s="32" cm="1">
        <f t="array" ref="OO41">NETWORKDAYS($MA$2,$MR$2)-SUM(COUNTIF(MA41:MR41,{"I";"F";"CP";"R";"P";"AC";"AM"}))</f>
        <v>14</v>
      </c>
      <c r="OP41" s="138">
        <f t="shared" si="22"/>
        <v>0</v>
      </c>
      <c r="OQ41" s="94">
        <f t="shared" si="23"/>
        <v>0</v>
      </c>
      <c r="OR41" s="94">
        <f t="shared" si="24"/>
        <v>240</v>
      </c>
      <c r="OS41" s="138">
        <f t="shared" si="25"/>
        <v>0</v>
      </c>
    </row>
    <row r="42" spans="1:409" ht="18" hidden="1" customHeight="1" x14ac:dyDescent="0.25">
      <c r="A42" s="95" t="s">
        <v>100</v>
      </c>
      <c r="B42" s="95" t="s">
        <v>34</v>
      </c>
      <c r="C42" s="89" t="s">
        <v>166</v>
      </c>
      <c r="D42" s="89" t="s">
        <v>217</v>
      </c>
      <c r="E42" s="128"/>
      <c r="F42" s="110"/>
      <c r="G42" s="110"/>
      <c r="H42" s="110"/>
      <c r="I42" s="25"/>
      <c r="J42" s="25"/>
      <c r="K42" s="25"/>
      <c r="L42" s="25"/>
      <c r="M42" s="25"/>
      <c r="N42" s="110"/>
      <c r="O42" s="110"/>
      <c r="P42" s="25"/>
      <c r="Q42" s="25"/>
      <c r="R42" s="25"/>
      <c r="S42" s="25"/>
      <c r="T42" s="25"/>
      <c r="U42" s="110"/>
      <c r="V42" s="110"/>
      <c r="W42" s="25"/>
      <c r="X42" s="25"/>
      <c r="Y42" s="25"/>
      <c r="Z42" s="25"/>
      <c r="AA42" s="25"/>
      <c r="AB42" s="110"/>
      <c r="AC42" s="110"/>
      <c r="AD42" s="25"/>
      <c r="AE42" s="25"/>
      <c r="AF42" s="25"/>
      <c r="AG42" s="25"/>
      <c r="AH42" s="25"/>
      <c r="AI42" s="110"/>
      <c r="AJ42" s="110"/>
      <c r="AK42" s="25"/>
      <c r="AL42" s="25"/>
      <c r="AM42" s="25"/>
      <c r="AN42" s="25"/>
      <c r="AO42" s="25"/>
      <c r="AP42" s="110"/>
      <c r="AQ42" s="110"/>
      <c r="AR42" s="25"/>
      <c r="AS42" s="25"/>
      <c r="AT42" s="25"/>
      <c r="AU42" s="25"/>
      <c r="AV42" s="25"/>
      <c r="AW42" s="110"/>
      <c r="AX42" s="110"/>
      <c r="AY42" s="25"/>
      <c r="AZ42" s="25"/>
      <c r="BA42" s="25"/>
      <c r="BB42" s="25"/>
      <c r="BC42" s="25"/>
      <c r="BD42" s="110"/>
      <c r="BE42" s="110"/>
      <c r="BF42" s="25"/>
      <c r="BG42" s="25"/>
      <c r="BH42" s="25"/>
      <c r="BI42" s="25"/>
      <c r="BJ42" s="25"/>
      <c r="BK42" s="110"/>
      <c r="BL42" s="110"/>
      <c r="BM42" s="25"/>
      <c r="BN42" s="25"/>
      <c r="BO42" s="25"/>
      <c r="BP42" s="25"/>
      <c r="BQ42" s="25"/>
      <c r="BR42" s="110"/>
      <c r="BS42" s="110"/>
      <c r="BT42" s="25"/>
      <c r="BU42" s="25"/>
      <c r="BV42" s="25"/>
      <c r="BW42" s="25"/>
      <c r="BX42" s="25"/>
      <c r="BY42" s="110"/>
      <c r="BZ42" s="110"/>
      <c r="CA42" s="25"/>
      <c r="CB42" s="25"/>
      <c r="CC42" s="25"/>
      <c r="CD42" s="25"/>
      <c r="CE42" s="25"/>
      <c r="CF42" s="110"/>
      <c r="CG42" s="110"/>
      <c r="CH42" s="25"/>
      <c r="CI42" s="25"/>
      <c r="CJ42" s="25"/>
      <c r="CK42" s="25"/>
      <c r="CL42" s="25"/>
      <c r="CM42" s="110"/>
      <c r="CN42" s="110"/>
      <c r="CO42" s="25"/>
      <c r="CP42" s="25"/>
      <c r="CQ42" s="25"/>
      <c r="CR42" s="25"/>
      <c r="CS42" s="25"/>
      <c r="CT42" s="110"/>
      <c r="CU42" s="110"/>
      <c r="CV42" s="110"/>
      <c r="CW42" s="25"/>
      <c r="CX42" s="25"/>
      <c r="CY42" s="25"/>
      <c r="CZ42" s="25"/>
      <c r="DA42" s="110"/>
      <c r="DB42" s="110"/>
      <c r="DC42" s="25"/>
      <c r="DD42" s="25"/>
      <c r="DE42" s="25"/>
      <c r="DF42" s="25"/>
      <c r="DG42" s="25"/>
      <c r="DH42" s="110"/>
      <c r="DI42" s="110"/>
      <c r="DJ42" s="25"/>
      <c r="DK42" s="25"/>
      <c r="DL42" s="25"/>
      <c r="DM42" s="25"/>
      <c r="DN42" s="25"/>
      <c r="DO42" s="110"/>
      <c r="DP42" s="110"/>
      <c r="DQ42" s="25"/>
      <c r="DR42" s="25"/>
      <c r="DS42" s="25"/>
      <c r="DT42" s="25"/>
      <c r="DU42" s="110"/>
      <c r="DV42" s="110"/>
      <c r="DW42" s="110"/>
      <c r="DX42" s="25"/>
      <c r="DY42" s="25"/>
      <c r="DZ42" s="25"/>
      <c r="EA42" s="25"/>
      <c r="EB42" s="110" t="s">
        <v>445</v>
      </c>
      <c r="EC42" s="110"/>
      <c r="ED42" s="110"/>
      <c r="EE42" s="25"/>
      <c r="EF42" s="25"/>
      <c r="EG42" s="25"/>
      <c r="EH42" s="110" t="s">
        <v>445</v>
      </c>
      <c r="EI42" s="110" t="s">
        <v>445</v>
      </c>
      <c r="EJ42" s="110"/>
      <c r="EK42" s="110"/>
      <c r="EL42" s="25"/>
      <c r="EM42" s="25"/>
      <c r="EN42" s="25"/>
      <c r="EO42" s="25"/>
      <c r="EP42" s="25"/>
      <c r="EQ42" s="110"/>
      <c r="ER42" s="110"/>
      <c r="ES42" s="110" t="s">
        <v>445</v>
      </c>
      <c r="ET42" s="25"/>
      <c r="EU42" s="25"/>
      <c r="EV42" s="25"/>
      <c r="EW42" s="25"/>
      <c r="EX42" s="110"/>
      <c r="EY42" s="110"/>
      <c r="EZ42" s="25"/>
      <c r="FA42" s="25"/>
      <c r="FB42" s="25"/>
      <c r="FC42" s="25"/>
      <c r="FD42" s="25"/>
      <c r="FE42" s="110"/>
      <c r="FF42" s="110"/>
      <c r="FG42" s="25"/>
      <c r="FH42" s="25"/>
      <c r="FI42" s="25"/>
      <c r="FJ42" s="25"/>
      <c r="FK42" s="25"/>
      <c r="FL42" s="110"/>
      <c r="FM42" s="110"/>
      <c r="FN42" s="25"/>
      <c r="FO42" s="25"/>
      <c r="FP42" s="25"/>
      <c r="FQ42" s="25"/>
      <c r="FR42" s="25"/>
      <c r="FS42" s="110"/>
      <c r="FT42" s="110"/>
      <c r="FU42" s="25"/>
      <c r="FV42" s="25"/>
      <c r="FW42" s="25"/>
      <c r="FX42" s="25"/>
      <c r="FY42" s="25"/>
      <c r="FZ42" s="110"/>
      <c r="GA42" s="110"/>
      <c r="GB42" s="25"/>
      <c r="GC42" s="25"/>
      <c r="GD42" s="25"/>
      <c r="GE42" s="25"/>
      <c r="GF42" s="25"/>
      <c r="GG42" s="110"/>
      <c r="GH42" s="110"/>
      <c r="GI42" s="25"/>
      <c r="GJ42" s="25"/>
      <c r="GK42" s="25"/>
      <c r="GL42" s="25"/>
      <c r="GM42" s="25"/>
      <c r="GN42" s="110"/>
      <c r="GO42" s="110"/>
      <c r="GP42" s="110"/>
      <c r="GQ42" s="110" t="s">
        <v>445</v>
      </c>
      <c r="GR42" s="25"/>
      <c r="GS42" s="25"/>
      <c r="GT42" s="25"/>
      <c r="GU42" s="110"/>
      <c r="GV42" s="110"/>
      <c r="GW42" s="25"/>
      <c r="GX42" s="25"/>
      <c r="GY42" s="25"/>
      <c r="GZ42" s="25"/>
      <c r="HA42" s="25"/>
      <c r="HB42" s="110"/>
      <c r="HC42" s="110"/>
      <c r="HD42" s="25"/>
      <c r="HE42" s="25"/>
      <c r="HF42" s="25"/>
      <c r="HG42" s="25"/>
      <c r="HH42" s="25"/>
      <c r="HI42" s="110"/>
      <c r="HJ42" s="110"/>
      <c r="HK42" s="25"/>
      <c r="HL42" s="25"/>
      <c r="HM42" s="25"/>
      <c r="HN42" s="25"/>
      <c r="HO42" s="25"/>
      <c r="HP42" s="110"/>
      <c r="HQ42" s="110"/>
      <c r="HR42" s="25"/>
      <c r="HS42" s="25"/>
      <c r="HT42" s="25"/>
      <c r="HU42" s="25"/>
      <c r="HV42" s="25"/>
      <c r="HW42" s="110"/>
      <c r="HX42" s="110"/>
      <c r="HY42" s="25"/>
      <c r="HZ42" s="25"/>
      <c r="IA42" s="25"/>
      <c r="IB42" s="25"/>
      <c r="IC42" s="25"/>
      <c r="ID42" s="110"/>
      <c r="IE42" s="110"/>
      <c r="IF42" s="25"/>
      <c r="IG42" s="25"/>
      <c r="IH42" s="25"/>
      <c r="II42" s="25"/>
      <c r="IJ42" s="25"/>
      <c r="IK42" s="110"/>
      <c r="IL42" s="110"/>
      <c r="IM42" s="25"/>
      <c r="IN42" s="25"/>
      <c r="IO42" s="25"/>
      <c r="IP42" s="25"/>
      <c r="IQ42" s="25"/>
      <c r="IR42" s="110"/>
      <c r="IS42" s="110"/>
      <c r="IT42" s="25"/>
      <c r="IU42" s="25"/>
      <c r="IV42" s="25"/>
      <c r="IW42" s="25"/>
      <c r="IX42" s="25"/>
      <c r="IY42" s="110"/>
      <c r="IZ42" s="110"/>
      <c r="JA42" s="25"/>
      <c r="JB42" s="25"/>
      <c r="JC42" s="25"/>
      <c r="JD42" s="25"/>
      <c r="JE42" s="25"/>
      <c r="JF42" s="110"/>
      <c r="JG42" s="110"/>
      <c r="JH42" s="25"/>
      <c r="JI42" s="25"/>
      <c r="JJ42" s="25"/>
      <c r="JK42" s="25"/>
      <c r="JL42" s="25"/>
      <c r="JM42" s="110"/>
      <c r="JN42" s="110"/>
      <c r="JO42" s="25"/>
      <c r="JP42" s="25"/>
      <c r="JQ42" s="25"/>
      <c r="JR42" s="25"/>
      <c r="JS42" s="25"/>
      <c r="JT42" s="110"/>
      <c r="JU42" s="110"/>
      <c r="JV42" s="25"/>
      <c r="JW42" s="25"/>
      <c r="JX42" s="25"/>
      <c r="JY42" s="25"/>
      <c r="JZ42" s="25"/>
      <c r="KA42" s="110"/>
      <c r="KB42" s="110"/>
      <c r="KC42" s="25"/>
      <c r="KD42" s="25"/>
      <c r="KE42" s="25"/>
      <c r="KF42" s="25"/>
      <c r="KG42" s="25"/>
      <c r="KH42" s="110"/>
      <c r="KI42" s="110"/>
      <c r="KJ42" s="25"/>
      <c r="KK42" s="25"/>
      <c r="KL42" s="25"/>
      <c r="KM42" s="25"/>
      <c r="KN42" s="25"/>
      <c r="KO42" s="110"/>
      <c r="KP42" s="110"/>
      <c r="KQ42" s="25"/>
      <c r="KR42" s="25"/>
      <c r="KS42" s="25"/>
      <c r="KT42" s="25"/>
      <c r="KU42" s="25"/>
      <c r="KV42" s="110"/>
      <c r="KW42" s="110"/>
      <c r="KX42" s="25"/>
      <c r="KY42" s="25"/>
      <c r="KZ42" s="25"/>
      <c r="LA42" s="25"/>
      <c r="LB42" s="25"/>
      <c r="LC42" s="110"/>
      <c r="LD42" s="110"/>
      <c r="LE42" s="25"/>
      <c r="LF42" s="25"/>
      <c r="LG42" s="110" t="s">
        <v>445</v>
      </c>
      <c r="LH42" s="25"/>
      <c r="LI42" s="25"/>
      <c r="LJ42" s="110"/>
      <c r="LK42" s="110"/>
      <c r="LL42" s="25"/>
      <c r="LM42" s="25"/>
      <c r="LN42" s="25"/>
      <c r="LO42" s="25"/>
      <c r="LP42" s="25"/>
      <c r="LQ42" s="110"/>
      <c r="LR42" s="110"/>
      <c r="LS42" s="25"/>
      <c r="LT42" s="25"/>
      <c r="LU42" s="25"/>
      <c r="LV42" s="25"/>
      <c r="LW42" s="25"/>
      <c r="LX42" s="110"/>
      <c r="LY42" s="110"/>
      <c r="LZ42" s="25"/>
      <c r="MA42" s="25"/>
      <c r="MB42" s="25"/>
      <c r="MC42" s="25"/>
      <c r="MD42" s="25"/>
      <c r="ME42" s="110"/>
      <c r="MF42" s="110"/>
      <c r="MG42" s="25"/>
      <c r="MH42" s="25"/>
      <c r="MI42" s="25"/>
      <c r="MJ42" s="25"/>
      <c r="MK42" s="25"/>
      <c r="ML42" s="110"/>
      <c r="MM42" s="110"/>
      <c r="MN42" s="25"/>
      <c r="MO42" s="25"/>
      <c r="MP42" s="25"/>
      <c r="MQ42" s="25"/>
      <c r="MR42" s="25"/>
      <c r="MS42" s="110"/>
      <c r="MT42" s="110"/>
      <c r="MU42" s="25"/>
      <c r="MV42" s="25"/>
      <c r="MW42" s="25"/>
      <c r="MX42" s="25"/>
      <c r="MY42" s="25"/>
      <c r="MZ42" s="110"/>
      <c r="NA42" s="110"/>
      <c r="NB42" s="25"/>
      <c r="NC42" s="25"/>
      <c r="ND42" s="25"/>
      <c r="NE42" s="129"/>
      <c r="NF42" s="111"/>
      <c r="NG42" s="8">
        <f t="shared" si="0"/>
        <v>0</v>
      </c>
      <c r="NH42" s="32" cm="1">
        <f t="array" ref="NH42">NETWORKDAYS($I$2,$AI$2)- SUM(COUNTIF(I42:AI42,{"I";"F";"CP";"R";"P";"AC";"AM"}))</f>
        <v>20</v>
      </c>
      <c r="NI42" s="138">
        <f t="shared" si="1"/>
        <v>0</v>
      </c>
      <c r="NJ42" s="8">
        <f t="shared" si="2"/>
        <v>0</v>
      </c>
      <c r="NK42" s="32" cm="1">
        <f t="array" ref="NK42">NETWORKDAYS($AJ$2,$BK$2)- SUM(COUNTIF(AJ42:BK42,{"I";"F";"CP";"R";"P";"AC";"AM"}))</f>
        <v>20</v>
      </c>
      <c r="NL42" s="138">
        <f t="shared" si="3"/>
        <v>0</v>
      </c>
      <c r="NM42" s="8">
        <f t="shared" si="4"/>
        <v>0</v>
      </c>
      <c r="NN42" s="32" cm="1">
        <f t="array" ref="NN42">NETWORKDAYS($BL$2,$CP$2)- SUM(COUNTIF(BL42:CP42,{"I";"F";"CP";"R";"P";"AC";"AM"}))</f>
        <v>22</v>
      </c>
      <c r="NO42" s="138">
        <f t="shared" si="5"/>
        <v>0</v>
      </c>
      <c r="NP42" s="8">
        <f t="shared" si="26"/>
        <v>0</v>
      </c>
      <c r="NQ42" s="32" cm="1">
        <f t="array" ref="NQ42">NETWORKDAYS($CQ$2,$DT$2,$CV$2)- SUM(COUNTIF(CQ42:DT42,{"I";"F";"CP";"R";"P";"AC";"AM"}))</f>
        <v>21</v>
      </c>
      <c r="NR42" s="138">
        <f t="shared" si="6"/>
        <v>0</v>
      </c>
      <c r="NS42" s="8">
        <f t="shared" si="7"/>
        <v>0</v>
      </c>
      <c r="NT42" s="32" cm="1">
        <f t="array" ref="NT42">NETWORKDAYS($DV$2,$EY$2)-SUM(COUNTIF(DV42:EY42,{"I";"F";"CP";"R";"P";"AC";"AM"}))</f>
        <v>16</v>
      </c>
      <c r="NU42" s="138">
        <f t="shared" si="8"/>
        <v>0</v>
      </c>
      <c r="NV42" s="8">
        <f t="shared" si="9"/>
        <v>0</v>
      </c>
      <c r="NW42" s="32" cm="1">
        <f t="array" ref="NW42">NETWORKDAYS($EZ$2,$GC$2)-SUM(COUNTIF(EZ122:GC122,{"I";"F";"CP";"R";"P";"AC";"AM"}))</f>
        <v>22</v>
      </c>
      <c r="NX42" s="138">
        <f t="shared" si="10"/>
        <v>0</v>
      </c>
      <c r="NY42" s="8">
        <f t="shared" si="11"/>
        <v>0</v>
      </c>
      <c r="NZ42" s="32" cm="1">
        <f t="array" ref="NZ42">NETWORKDAYS($GD$2,$HH$2,$GQ$2)-SUM(COUNTIF(GD42:HH42,{"I";"F";"CP";"R";"P";"AC";"AM"}))</f>
        <v>21</v>
      </c>
      <c r="OA42" s="138">
        <f t="shared" si="12"/>
        <v>0</v>
      </c>
      <c r="OB42" s="8">
        <f t="shared" si="13"/>
        <v>0</v>
      </c>
      <c r="OC42" s="32" cm="1">
        <f t="array" ref="OC42">NETWORKDAYS($HI$2,$IM$2)-SUM(COUNTIF(HI42:IM42,{"I";"F";"CP";"R";"P";"AC";"AM"}))</f>
        <v>21</v>
      </c>
      <c r="OD42" s="138">
        <f t="shared" si="14"/>
        <v>0</v>
      </c>
      <c r="OE42" s="8">
        <f t="shared" si="15"/>
        <v>0</v>
      </c>
      <c r="OF42" s="32" cm="1">
        <f t="array" ref="OF42">NETWORKDAYS($IN$2,$JQ$2)-SUM(COUNTIF(IN42:JQ42,{"I";"F";"CP";"R";"P";"AC";"AM"}))</f>
        <v>22</v>
      </c>
      <c r="OG42" s="138">
        <f t="shared" si="16"/>
        <v>0</v>
      </c>
      <c r="OH42" s="8">
        <f t="shared" si="17"/>
        <v>0</v>
      </c>
      <c r="OI42" s="32" cm="1">
        <f t="array" ref="OI42">NETWORKDAYS($JR$2,$KV$2)-SUM(COUNTIF(JR42:KV42,{"I";"F";"CP";"R";"P";"AC";"AM"}))</f>
        <v>22</v>
      </c>
      <c r="OJ42" s="138">
        <f t="shared" si="18"/>
        <v>0</v>
      </c>
      <c r="OK42" s="8">
        <f t="shared" si="19"/>
        <v>0</v>
      </c>
      <c r="OL42" s="32" cm="1">
        <f t="array" ref="OL42">NETWORKDAYS($KW$2,$LZ$2,$LG$2)-SUM(COUNTIF(KW42:LZ42,{"I";"F";"CP";"R";"P";"AC";"AM"}))</f>
        <v>19</v>
      </c>
      <c r="OM42" s="138">
        <f t="shared" si="20"/>
        <v>0</v>
      </c>
      <c r="ON42" s="8">
        <f t="shared" si="21"/>
        <v>0</v>
      </c>
      <c r="OO42" s="32" cm="1">
        <f t="array" ref="OO42">NETWORKDAYS($MA$2,$MR$2)-SUM(COUNTIF(MA42:MR42,{"I";"F";"CP";"R";"P";"AC";"AM"}))</f>
        <v>14</v>
      </c>
      <c r="OP42" s="138">
        <f t="shared" si="22"/>
        <v>0</v>
      </c>
      <c r="OQ42" s="94">
        <f t="shared" si="23"/>
        <v>0</v>
      </c>
      <c r="OR42" s="94">
        <f t="shared" si="24"/>
        <v>240</v>
      </c>
      <c r="OS42" s="138">
        <f t="shared" si="25"/>
        <v>0</v>
      </c>
    </row>
    <row r="43" spans="1:409" ht="18" hidden="1" customHeight="1" x14ac:dyDescent="0.25">
      <c r="A43" s="95" t="s">
        <v>468</v>
      </c>
      <c r="B43" s="95" t="s">
        <v>34</v>
      </c>
      <c r="C43" s="89" t="s">
        <v>166</v>
      </c>
      <c r="D43" s="89" t="s">
        <v>218</v>
      </c>
      <c r="E43" s="128"/>
      <c r="F43" s="110"/>
      <c r="G43" s="110"/>
      <c r="H43" s="110"/>
      <c r="I43" s="25"/>
      <c r="J43" s="25"/>
      <c r="K43" s="25"/>
      <c r="L43" s="25"/>
      <c r="M43" s="25"/>
      <c r="N43" s="110"/>
      <c r="O43" s="110"/>
      <c r="P43" s="25"/>
      <c r="Q43" s="25"/>
      <c r="R43" s="25"/>
      <c r="S43" s="25"/>
      <c r="T43" s="25"/>
      <c r="U43" s="110"/>
      <c r="V43" s="110"/>
      <c r="W43" s="25"/>
      <c r="X43" s="25"/>
      <c r="Y43" s="25"/>
      <c r="Z43" s="25"/>
      <c r="AA43" s="25"/>
      <c r="AB43" s="110"/>
      <c r="AC43" s="110"/>
      <c r="AD43" s="25"/>
      <c r="AE43" s="25"/>
      <c r="AF43" s="25"/>
      <c r="AG43" s="25"/>
      <c r="AH43" s="25"/>
      <c r="AI43" s="110"/>
      <c r="AJ43" s="110"/>
      <c r="AK43" s="25"/>
      <c r="AL43" s="25"/>
      <c r="AM43" s="25"/>
      <c r="AN43" s="25"/>
      <c r="AO43" s="25"/>
      <c r="AP43" s="110"/>
      <c r="AQ43" s="110"/>
      <c r="AR43" s="25"/>
      <c r="AS43" s="25"/>
      <c r="AT43" s="25"/>
      <c r="AU43" s="25"/>
      <c r="AV43" s="25"/>
      <c r="AW43" s="110"/>
      <c r="AX43" s="110"/>
      <c r="AY43" s="25"/>
      <c r="AZ43" s="25"/>
      <c r="BA43" s="25"/>
      <c r="BB43" s="25"/>
      <c r="BC43" s="25"/>
      <c r="BD43" s="110"/>
      <c r="BE43" s="110"/>
      <c r="BF43" s="25"/>
      <c r="BG43" s="25"/>
      <c r="BH43" s="25"/>
      <c r="BI43" s="25"/>
      <c r="BJ43" s="25"/>
      <c r="BK43" s="110"/>
      <c r="BL43" s="110"/>
      <c r="BM43" s="25"/>
      <c r="BN43" s="25"/>
      <c r="BO43" s="25"/>
      <c r="BP43" s="25"/>
      <c r="BQ43" s="25"/>
      <c r="BR43" s="110"/>
      <c r="BS43" s="110"/>
      <c r="BT43" s="25"/>
      <c r="BU43" s="25"/>
      <c r="BV43" s="25"/>
      <c r="BW43" s="25"/>
      <c r="BX43" s="25"/>
      <c r="BY43" s="110"/>
      <c r="BZ43" s="110"/>
      <c r="CA43" s="25"/>
      <c r="CB43" s="25"/>
      <c r="CC43" s="25"/>
      <c r="CD43" s="25"/>
      <c r="CE43" s="25"/>
      <c r="CF43" s="110"/>
      <c r="CG43" s="110"/>
      <c r="CH43" s="25"/>
      <c r="CI43" s="25"/>
      <c r="CJ43" s="25"/>
      <c r="CK43" s="25"/>
      <c r="CL43" s="25"/>
      <c r="CM43" s="110"/>
      <c r="CN43" s="110"/>
      <c r="CO43" s="25"/>
      <c r="CP43" s="25"/>
      <c r="CQ43" s="25"/>
      <c r="CR43" s="25"/>
      <c r="CS43" s="25"/>
      <c r="CT43" s="110"/>
      <c r="CU43" s="110"/>
      <c r="CV43" s="110"/>
      <c r="CW43" s="25"/>
      <c r="CX43" s="25"/>
      <c r="CY43" s="25"/>
      <c r="CZ43" s="25"/>
      <c r="DA43" s="110"/>
      <c r="DB43" s="110"/>
      <c r="DC43" s="25"/>
      <c r="DD43" s="25"/>
      <c r="DE43" s="25"/>
      <c r="DF43" s="25"/>
      <c r="DG43" s="25"/>
      <c r="DH43" s="110"/>
      <c r="DI43" s="110"/>
      <c r="DJ43" s="25"/>
      <c r="DK43" s="25"/>
      <c r="DL43" s="25"/>
      <c r="DM43" s="25"/>
      <c r="DN43" s="25"/>
      <c r="DO43" s="110"/>
      <c r="DP43" s="110"/>
      <c r="DQ43" s="25"/>
      <c r="DR43" s="25"/>
      <c r="DS43" s="25"/>
      <c r="DT43" s="25"/>
      <c r="DU43" s="110"/>
      <c r="DV43" s="110"/>
      <c r="DW43" s="110"/>
      <c r="DX43" s="25"/>
      <c r="DY43" s="25"/>
      <c r="DZ43" s="25"/>
      <c r="EA43" s="25"/>
      <c r="EB43" s="110" t="s">
        <v>445</v>
      </c>
      <c r="EC43" s="110"/>
      <c r="ED43" s="110"/>
      <c r="EE43" s="25"/>
      <c r="EF43" s="25"/>
      <c r="EG43" s="25"/>
      <c r="EH43" s="110" t="s">
        <v>445</v>
      </c>
      <c r="EI43" s="110" t="s">
        <v>445</v>
      </c>
      <c r="EJ43" s="110"/>
      <c r="EK43" s="110"/>
      <c r="EL43" s="25"/>
      <c r="EM43" s="25"/>
      <c r="EN43" s="25"/>
      <c r="EO43" s="25"/>
      <c r="EP43" s="25"/>
      <c r="EQ43" s="110"/>
      <c r="ER43" s="110"/>
      <c r="ES43" s="110" t="s">
        <v>445</v>
      </c>
      <c r="ET43" s="25"/>
      <c r="EU43" s="25"/>
      <c r="EV43" s="25"/>
      <c r="EW43" s="25"/>
      <c r="EX43" s="110"/>
      <c r="EY43" s="110"/>
      <c r="EZ43" s="25"/>
      <c r="FA43" s="25"/>
      <c r="FB43" s="25"/>
      <c r="FC43" s="25"/>
      <c r="FD43" s="25"/>
      <c r="FE43" s="110"/>
      <c r="FF43" s="110"/>
      <c r="FG43" s="25"/>
      <c r="FH43" s="25"/>
      <c r="FI43" s="25"/>
      <c r="FJ43" s="25"/>
      <c r="FK43" s="25"/>
      <c r="FL43" s="110"/>
      <c r="FM43" s="110"/>
      <c r="FN43" s="25"/>
      <c r="FO43" s="25"/>
      <c r="FP43" s="25"/>
      <c r="FQ43" s="25"/>
      <c r="FR43" s="25"/>
      <c r="FS43" s="110"/>
      <c r="FT43" s="110"/>
      <c r="FU43" s="25"/>
      <c r="FV43" s="25"/>
      <c r="FW43" s="25"/>
      <c r="FX43" s="25"/>
      <c r="FY43" s="25"/>
      <c r="FZ43" s="110"/>
      <c r="GA43" s="110"/>
      <c r="GB43" s="25"/>
      <c r="GC43" s="25"/>
      <c r="GD43" s="25"/>
      <c r="GE43" s="25"/>
      <c r="GF43" s="25"/>
      <c r="GG43" s="110"/>
      <c r="GH43" s="110"/>
      <c r="GI43" s="25"/>
      <c r="GJ43" s="25"/>
      <c r="GK43" s="25"/>
      <c r="GL43" s="25"/>
      <c r="GM43" s="25"/>
      <c r="GN43" s="110"/>
      <c r="GO43" s="110"/>
      <c r="GP43" s="110"/>
      <c r="GQ43" s="110" t="s">
        <v>445</v>
      </c>
      <c r="GR43" s="25"/>
      <c r="GS43" s="25"/>
      <c r="GT43" s="25"/>
      <c r="GU43" s="110"/>
      <c r="GV43" s="110"/>
      <c r="GW43" s="25"/>
      <c r="GX43" s="25"/>
      <c r="GY43" s="25"/>
      <c r="GZ43" s="25"/>
      <c r="HA43" s="25"/>
      <c r="HB43" s="110"/>
      <c r="HC43" s="110"/>
      <c r="HD43" s="25"/>
      <c r="HE43" s="25"/>
      <c r="HF43" s="25"/>
      <c r="HG43" s="25"/>
      <c r="HH43" s="25"/>
      <c r="HI43" s="110"/>
      <c r="HJ43" s="110"/>
      <c r="HK43" s="25"/>
      <c r="HL43" s="25"/>
      <c r="HM43" s="25"/>
      <c r="HN43" s="25"/>
      <c r="HO43" s="25"/>
      <c r="HP43" s="110"/>
      <c r="HQ43" s="110"/>
      <c r="HR43" s="25"/>
      <c r="HS43" s="25"/>
      <c r="HT43" s="25"/>
      <c r="HU43" s="25"/>
      <c r="HV43" s="25"/>
      <c r="HW43" s="110"/>
      <c r="HX43" s="110"/>
      <c r="HY43" s="25"/>
      <c r="HZ43" s="25"/>
      <c r="IA43" s="25"/>
      <c r="IB43" s="25"/>
      <c r="IC43" s="25"/>
      <c r="ID43" s="110"/>
      <c r="IE43" s="110"/>
      <c r="IF43" s="25"/>
      <c r="IG43" s="25"/>
      <c r="IH43" s="25"/>
      <c r="II43" s="25"/>
      <c r="IJ43" s="25"/>
      <c r="IK43" s="110"/>
      <c r="IL43" s="110"/>
      <c r="IM43" s="25"/>
      <c r="IN43" s="25"/>
      <c r="IO43" s="25"/>
      <c r="IP43" s="25"/>
      <c r="IQ43" s="25"/>
      <c r="IR43" s="110"/>
      <c r="IS43" s="110"/>
      <c r="IT43" s="25"/>
      <c r="IU43" s="25"/>
      <c r="IV43" s="25"/>
      <c r="IW43" s="25"/>
      <c r="IX43" s="25"/>
      <c r="IY43" s="110"/>
      <c r="IZ43" s="110"/>
      <c r="JA43" s="25"/>
      <c r="JB43" s="25"/>
      <c r="JC43" s="25"/>
      <c r="JD43" s="25"/>
      <c r="JE43" s="25"/>
      <c r="JF43" s="110"/>
      <c r="JG43" s="110"/>
      <c r="JH43" s="25"/>
      <c r="JI43" s="25"/>
      <c r="JJ43" s="25"/>
      <c r="JK43" s="25"/>
      <c r="JL43" s="25"/>
      <c r="JM43" s="110"/>
      <c r="JN43" s="110"/>
      <c r="JO43" s="25"/>
      <c r="JP43" s="25"/>
      <c r="JQ43" s="25"/>
      <c r="JR43" s="25"/>
      <c r="JS43" s="25"/>
      <c r="JT43" s="110"/>
      <c r="JU43" s="110"/>
      <c r="JV43" s="25"/>
      <c r="JW43" s="25"/>
      <c r="JX43" s="25"/>
      <c r="JY43" s="25"/>
      <c r="JZ43" s="25"/>
      <c r="KA43" s="110"/>
      <c r="KB43" s="110"/>
      <c r="KC43" s="25"/>
      <c r="KD43" s="25"/>
      <c r="KE43" s="25"/>
      <c r="KF43" s="25"/>
      <c r="KG43" s="25"/>
      <c r="KH43" s="110"/>
      <c r="KI43" s="110"/>
      <c r="KJ43" s="25"/>
      <c r="KK43" s="25"/>
      <c r="KL43" s="25"/>
      <c r="KM43" s="25"/>
      <c r="KN43" s="25"/>
      <c r="KO43" s="110"/>
      <c r="KP43" s="110"/>
      <c r="KQ43" s="25"/>
      <c r="KR43" s="25"/>
      <c r="KS43" s="25"/>
      <c r="KT43" s="25"/>
      <c r="KU43" s="25"/>
      <c r="KV43" s="110"/>
      <c r="KW43" s="110"/>
      <c r="KX43" s="25"/>
      <c r="KY43" s="25"/>
      <c r="KZ43" s="25"/>
      <c r="LA43" s="25"/>
      <c r="LB43" s="25"/>
      <c r="LC43" s="110"/>
      <c r="LD43" s="110"/>
      <c r="LE43" s="25"/>
      <c r="LF43" s="25"/>
      <c r="LG43" s="110" t="s">
        <v>445</v>
      </c>
      <c r="LH43" s="25"/>
      <c r="LI43" s="25"/>
      <c r="LJ43" s="110"/>
      <c r="LK43" s="110"/>
      <c r="LL43" s="25"/>
      <c r="LM43" s="25"/>
      <c r="LN43" s="25"/>
      <c r="LO43" s="25"/>
      <c r="LP43" s="25"/>
      <c r="LQ43" s="110"/>
      <c r="LR43" s="110"/>
      <c r="LS43" s="25"/>
      <c r="LT43" s="25"/>
      <c r="LU43" s="25"/>
      <c r="LV43" s="25"/>
      <c r="LW43" s="25"/>
      <c r="LX43" s="110"/>
      <c r="LY43" s="110"/>
      <c r="LZ43" s="25"/>
      <c r="MA43" s="25"/>
      <c r="MB43" s="25"/>
      <c r="MC43" s="25"/>
      <c r="MD43" s="25"/>
      <c r="ME43" s="110"/>
      <c r="MF43" s="110"/>
      <c r="MG43" s="25"/>
      <c r="MH43" s="25"/>
      <c r="MI43" s="25"/>
      <c r="MJ43" s="25"/>
      <c r="MK43" s="25"/>
      <c r="ML43" s="110"/>
      <c r="MM43" s="110"/>
      <c r="MN43" s="25"/>
      <c r="MO43" s="25"/>
      <c r="MP43" s="25"/>
      <c r="MQ43" s="25"/>
      <c r="MR43" s="25"/>
      <c r="MS43" s="110"/>
      <c r="MT43" s="110"/>
      <c r="MU43" s="25"/>
      <c r="MV43" s="25"/>
      <c r="MW43" s="25"/>
      <c r="MX43" s="25"/>
      <c r="MY43" s="25"/>
      <c r="MZ43" s="110"/>
      <c r="NA43" s="110"/>
      <c r="NB43" s="25"/>
      <c r="NC43" s="25"/>
      <c r="ND43" s="25"/>
      <c r="NE43" s="129"/>
      <c r="NF43" s="111"/>
      <c r="NG43" s="8">
        <f t="shared" si="0"/>
        <v>0</v>
      </c>
      <c r="NH43" s="32" cm="1">
        <f t="array" ref="NH43">NETWORKDAYS($I$2,$AI$2)- SUM(COUNTIF(I43:AI43,{"I";"F";"CP";"R";"P";"AC";"AM"}))</f>
        <v>20</v>
      </c>
      <c r="NI43" s="138">
        <f t="shared" si="1"/>
        <v>0</v>
      </c>
      <c r="NJ43" s="8">
        <f t="shared" si="2"/>
        <v>0</v>
      </c>
      <c r="NK43" s="32" cm="1">
        <f t="array" ref="NK43">NETWORKDAYS($AJ$2,$BK$2)- SUM(COUNTIF(AJ43:BK43,{"I";"F";"CP";"R";"P";"AC";"AM"}))</f>
        <v>20</v>
      </c>
      <c r="NL43" s="138">
        <f t="shared" si="3"/>
        <v>0</v>
      </c>
      <c r="NM43" s="8">
        <f t="shared" si="4"/>
        <v>0</v>
      </c>
      <c r="NN43" s="32" cm="1">
        <f t="array" ref="NN43">NETWORKDAYS($BL$2,$CP$2)- SUM(COUNTIF(BL43:CP43,{"I";"F";"CP";"R";"P";"AC";"AM"}))</f>
        <v>22</v>
      </c>
      <c r="NO43" s="138">
        <f t="shared" si="5"/>
        <v>0</v>
      </c>
      <c r="NP43" s="32">
        <f t="shared" si="26"/>
        <v>0</v>
      </c>
      <c r="NQ43" s="32" cm="1">
        <f t="array" ref="NQ43">NETWORKDAYS($CQ$2,$DT$2,$CV$2)- SUM(COUNTIF(CQ43:DT43,{"I";"F";"CP";"R";"P";"AC";"AM"}))</f>
        <v>21</v>
      </c>
      <c r="NR43" s="138">
        <f t="shared" si="6"/>
        <v>0</v>
      </c>
      <c r="NS43" s="8">
        <f t="shared" si="7"/>
        <v>0</v>
      </c>
      <c r="NT43" s="32" cm="1">
        <f t="array" ref="NT43">NETWORKDAYS($DV$2,$EY$2)-SUM(COUNTIF(DV43:EY43,{"I";"F";"CP";"R";"P";"AC";"AM"}))</f>
        <v>16</v>
      </c>
      <c r="NU43" s="138">
        <f t="shared" si="8"/>
        <v>0</v>
      </c>
      <c r="NV43" s="8">
        <f t="shared" si="9"/>
        <v>0</v>
      </c>
      <c r="NW43" s="32" cm="1">
        <f t="array" ref="NW43">NETWORKDAYS($EZ$2,$GC$2)-SUM(COUNTIF(EZ123:GC123,{"I";"F";"CP";"R";"P";"AC";"AM"}))</f>
        <v>22</v>
      </c>
      <c r="NX43" s="138">
        <f t="shared" si="10"/>
        <v>0</v>
      </c>
      <c r="NY43" s="8">
        <f t="shared" si="11"/>
        <v>0</v>
      </c>
      <c r="NZ43" s="32" cm="1">
        <f t="array" ref="NZ43">NETWORKDAYS($GD$2,$HH$2,$GQ$2)-SUM(COUNTIF(GD43:HH43,{"I";"F";"CP";"R";"P";"AC";"AM"}))</f>
        <v>21</v>
      </c>
      <c r="OA43" s="138">
        <f t="shared" si="12"/>
        <v>0</v>
      </c>
      <c r="OB43" s="8">
        <f t="shared" si="13"/>
        <v>0</v>
      </c>
      <c r="OC43" s="32" cm="1">
        <f t="array" ref="OC43">NETWORKDAYS($HI$2,$IM$2)-SUM(COUNTIF(HI43:IM43,{"I";"F";"CP";"R";"P";"AC";"AM"}))</f>
        <v>21</v>
      </c>
      <c r="OD43" s="138">
        <f t="shared" si="14"/>
        <v>0</v>
      </c>
      <c r="OE43" s="8">
        <f t="shared" si="15"/>
        <v>0</v>
      </c>
      <c r="OF43" s="32" cm="1">
        <f t="array" ref="OF43">NETWORKDAYS($IN$2,$JQ$2)-SUM(COUNTIF(IN43:JQ43,{"I";"F";"CP";"R";"P";"AC";"AM"}))</f>
        <v>22</v>
      </c>
      <c r="OG43" s="138">
        <f t="shared" si="16"/>
        <v>0</v>
      </c>
      <c r="OH43" s="8">
        <f t="shared" si="17"/>
        <v>0</v>
      </c>
      <c r="OI43" s="32" cm="1">
        <f t="array" ref="OI43">NETWORKDAYS($JR$2,$KV$2)-SUM(COUNTIF(JR43:KV43,{"I";"F";"CP";"R";"P";"AC";"AM"}))</f>
        <v>22</v>
      </c>
      <c r="OJ43" s="138">
        <f t="shared" si="18"/>
        <v>0</v>
      </c>
      <c r="OK43" s="8">
        <f t="shared" si="19"/>
        <v>0</v>
      </c>
      <c r="OL43" s="32" cm="1">
        <f t="array" ref="OL43">NETWORKDAYS($KW$2,$LZ$2,$LG$2)-SUM(COUNTIF(KW43:LZ43,{"I";"F";"CP";"R";"P";"AC";"AM"}))</f>
        <v>19</v>
      </c>
      <c r="OM43" s="138">
        <f t="shared" si="20"/>
        <v>0</v>
      </c>
      <c r="ON43" s="8">
        <f t="shared" si="21"/>
        <v>0</v>
      </c>
      <c r="OO43" s="32" cm="1">
        <f t="array" ref="OO43">NETWORKDAYS($MA$2,$MR$2)-SUM(COUNTIF(MA43:MR43,{"I";"F";"CP";"R";"P";"AC";"AM"}))</f>
        <v>14</v>
      </c>
      <c r="OP43" s="138">
        <f t="shared" si="22"/>
        <v>0</v>
      </c>
      <c r="OQ43" s="94">
        <f t="shared" si="23"/>
        <v>0</v>
      </c>
      <c r="OR43" s="94">
        <f t="shared" si="24"/>
        <v>240</v>
      </c>
      <c r="OS43" s="138">
        <f t="shared" si="25"/>
        <v>0</v>
      </c>
    </row>
    <row r="44" spans="1:409" ht="18" customHeight="1" x14ac:dyDescent="0.25">
      <c r="A44" s="95" t="s">
        <v>181</v>
      </c>
      <c r="B44" s="95" t="s">
        <v>34</v>
      </c>
      <c r="C44" s="89" t="s">
        <v>160</v>
      </c>
      <c r="D44" s="89" t="s">
        <v>219</v>
      </c>
      <c r="E44" s="128"/>
      <c r="F44" s="110"/>
      <c r="G44" s="110"/>
      <c r="H44" s="110"/>
      <c r="I44" s="25" t="s">
        <v>248</v>
      </c>
      <c r="J44" s="25" t="s">
        <v>248</v>
      </c>
      <c r="K44" s="25" t="s">
        <v>248</v>
      </c>
      <c r="L44" s="25" t="s">
        <v>248</v>
      </c>
      <c r="M44" s="25" t="s">
        <v>248</v>
      </c>
      <c r="N44" s="110"/>
      <c r="O44" s="110"/>
      <c r="P44" s="25"/>
      <c r="Q44" s="25">
        <v>1</v>
      </c>
      <c r="R44" s="25">
        <v>1</v>
      </c>
      <c r="S44" s="25"/>
      <c r="T44" s="25">
        <v>1</v>
      </c>
      <c r="U44" s="110"/>
      <c r="V44" s="110"/>
      <c r="W44" s="25"/>
      <c r="X44" s="25"/>
      <c r="Y44" s="25"/>
      <c r="Z44" s="25"/>
      <c r="AA44" s="25"/>
      <c r="AB44" s="110"/>
      <c r="AC44" s="110"/>
      <c r="AD44" s="25"/>
      <c r="AE44" s="25"/>
      <c r="AF44" s="25">
        <v>1</v>
      </c>
      <c r="AG44" s="25">
        <v>1</v>
      </c>
      <c r="AH44" s="25">
        <v>1</v>
      </c>
      <c r="AI44" s="110"/>
      <c r="AJ44" s="110"/>
      <c r="AK44" s="25">
        <v>1</v>
      </c>
      <c r="AL44" s="25">
        <v>1</v>
      </c>
      <c r="AM44" s="25">
        <v>1</v>
      </c>
      <c r="AN44" s="25">
        <v>1</v>
      </c>
      <c r="AO44" s="25"/>
      <c r="AP44" s="110"/>
      <c r="AQ44" s="110"/>
      <c r="AR44" s="25"/>
      <c r="AS44" s="25"/>
      <c r="AT44" s="25"/>
      <c r="AU44" s="25"/>
      <c r="AV44" s="25"/>
      <c r="AW44" s="110"/>
      <c r="AX44" s="110"/>
      <c r="AY44" s="25">
        <v>1</v>
      </c>
      <c r="AZ44" s="25">
        <v>1</v>
      </c>
      <c r="BA44" s="25">
        <v>1</v>
      </c>
      <c r="BB44" s="25">
        <v>1</v>
      </c>
      <c r="BC44" s="25">
        <v>1</v>
      </c>
      <c r="BD44" s="110"/>
      <c r="BE44" s="110"/>
      <c r="BF44" s="25">
        <v>1</v>
      </c>
      <c r="BG44" s="25">
        <v>1</v>
      </c>
      <c r="BH44" s="25"/>
      <c r="BI44" s="25"/>
      <c r="BJ44" s="25"/>
      <c r="BK44" s="110"/>
      <c r="BL44" s="110"/>
      <c r="BM44" s="25"/>
      <c r="BN44" s="25">
        <v>1</v>
      </c>
      <c r="BO44" s="25">
        <v>1</v>
      </c>
      <c r="BP44" s="25"/>
      <c r="BQ44" s="25">
        <v>1</v>
      </c>
      <c r="BR44" s="110"/>
      <c r="BS44" s="110"/>
      <c r="BT44" s="25">
        <v>1</v>
      </c>
      <c r="BU44" s="25">
        <v>1</v>
      </c>
      <c r="BV44" s="25">
        <v>1</v>
      </c>
      <c r="BW44" s="25">
        <v>1</v>
      </c>
      <c r="BX44" s="25">
        <v>1</v>
      </c>
      <c r="BY44" s="110"/>
      <c r="BZ44" s="110"/>
      <c r="CA44" s="25">
        <v>1</v>
      </c>
      <c r="CB44" s="25">
        <v>1</v>
      </c>
      <c r="CC44" s="25">
        <v>1</v>
      </c>
      <c r="CD44" s="25"/>
      <c r="CE44" s="25"/>
      <c r="CF44" s="110"/>
      <c r="CG44" s="110"/>
      <c r="CH44" s="25"/>
      <c r="CI44" s="25"/>
      <c r="CJ44" s="25"/>
      <c r="CK44" s="25">
        <v>1</v>
      </c>
      <c r="CL44" s="25">
        <v>1</v>
      </c>
      <c r="CM44" s="110"/>
      <c r="CN44" s="110"/>
      <c r="CO44" s="25"/>
      <c r="CP44" s="25">
        <v>1</v>
      </c>
      <c r="CQ44" s="25">
        <v>1</v>
      </c>
      <c r="CR44" s="25">
        <v>1</v>
      </c>
      <c r="CS44" s="25"/>
      <c r="CT44" s="110"/>
      <c r="CU44" s="110"/>
      <c r="CV44" s="110"/>
      <c r="CW44" s="25" t="s">
        <v>223</v>
      </c>
      <c r="CX44" s="25" t="s">
        <v>223</v>
      </c>
      <c r="CY44" s="25" t="s">
        <v>223</v>
      </c>
      <c r="CZ44" s="25" t="s">
        <v>223</v>
      </c>
      <c r="DA44" s="110"/>
      <c r="DB44" s="110"/>
      <c r="DC44" s="25" t="s">
        <v>223</v>
      </c>
      <c r="DD44" s="25">
        <v>1</v>
      </c>
      <c r="DE44" s="25">
        <v>1</v>
      </c>
      <c r="DF44" s="25">
        <v>1</v>
      </c>
      <c r="DG44" s="25">
        <v>1</v>
      </c>
      <c r="DH44" s="110"/>
      <c r="DI44" s="110"/>
      <c r="DJ44" s="25">
        <v>1</v>
      </c>
      <c r="DK44" s="25">
        <v>1</v>
      </c>
      <c r="DL44" s="25"/>
      <c r="DM44" s="25"/>
      <c r="DN44" s="25"/>
      <c r="DO44" s="110"/>
      <c r="DP44" s="110"/>
      <c r="DQ44" s="25"/>
      <c r="DR44" s="25"/>
      <c r="DS44" s="25"/>
      <c r="DT44" s="25"/>
      <c r="DU44" s="110"/>
      <c r="DV44" s="110"/>
      <c r="DW44" s="110"/>
      <c r="DX44" s="25"/>
      <c r="DY44" s="25"/>
      <c r="DZ44" s="25">
        <v>1</v>
      </c>
      <c r="EA44" s="25">
        <v>1</v>
      </c>
      <c r="EB44" s="110" t="s">
        <v>445</v>
      </c>
      <c r="EC44" s="110"/>
      <c r="ED44" s="110"/>
      <c r="EE44" s="25">
        <v>1</v>
      </c>
      <c r="EF44" s="25">
        <v>1</v>
      </c>
      <c r="EG44" s="25">
        <v>1</v>
      </c>
      <c r="EH44" s="110" t="s">
        <v>445</v>
      </c>
      <c r="EI44" s="110" t="s">
        <v>445</v>
      </c>
      <c r="EJ44" s="110"/>
      <c r="EK44" s="110"/>
      <c r="EL44" s="25"/>
      <c r="EM44" s="25"/>
      <c r="EN44" s="25"/>
      <c r="EO44" s="25"/>
      <c r="EP44" s="25"/>
      <c r="EQ44" s="110"/>
      <c r="ER44" s="110"/>
      <c r="ES44" s="110" t="s">
        <v>445</v>
      </c>
      <c r="ET44" s="25"/>
      <c r="EU44" s="25"/>
      <c r="EV44" s="25"/>
      <c r="EW44" s="25"/>
      <c r="EX44" s="110"/>
      <c r="EY44" s="110"/>
      <c r="EZ44" s="25"/>
      <c r="FA44" s="25"/>
      <c r="FB44" s="25"/>
      <c r="FC44" s="25"/>
      <c r="FD44" s="25"/>
      <c r="FE44" s="110"/>
      <c r="FF44" s="110"/>
      <c r="FG44" s="25"/>
      <c r="FH44" s="25"/>
      <c r="FI44" s="25"/>
      <c r="FJ44" s="25"/>
      <c r="FK44" s="25"/>
      <c r="FL44" s="110"/>
      <c r="FM44" s="110"/>
      <c r="FN44" s="25"/>
      <c r="FO44" s="25"/>
      <c r="FP44" s="25"/>
      <c r="FQ44" s="25"/>
      <c r="FR44" s="25"/>
      <c r="FS44" s="110"/>
      <c r="FT44" s="110"/>
      <c r="FU44" s="25"/>
      <c r="FV44" s="25"/>
      <c r="FW44" s="25"/>
      <c r="FX44" s="25"/>
      <c r="FY44" s="25"/>
      <c r="FZ44" s="110"/>
      <c r="GA44" s="110"/>
      <c r="GB44" s="25"/>
      <c r="GC44" s="25"/>
      <c r="GD44" s="25"/>
      <c r="GE44" s="25"/>
      <c r="GF44" s="25"/>
      <c r="GG44" s="110"/>
      <c r="GH44" s="110"/>
      <c r="GI44" s="25"/>
      <c r="GJ44" s="25"/>
      <c r="GK44" s="25"/>
      <c r="GL44" s="25"/>
      <c r="GM44" s="25"/>
      <c r="GN44" s="110"/>
      <c r="GO44" s="110"/>
      <c r="GP44" s="110"/>
      <c r="GQ44" s="110" t="s">
        <v>445</v>
      </c>
      <c r="GR44" s="25"/>
      <c r="GS44" s="25"/>
      <c r="GT44" s="25"/>
      <c r="GU44" s="110"/>
      <c r="GV44" s="110"/>
      <c r="GW44" s="25"/>
      <c r="GX44" s="25"/>
      <c r="GY44" s="25"/>
      <c r="GZ44" s="25"/>
      <c r="HA44" s="25"/>
      <c r="HB44" s="110"/>
      <c r="HC44" s="110"/>
      <c r="HD44" s="25"/>
      <c r="HE44" s="25"/>
      <c r="HF44" s="25"/>
      <c r="HG44" s="25"/>
      <c r="HH44" s="25"/>
      <c r="HI44" s="110"/>
      <c r="HJ44" s="110"/>
      <c r="HK44" s="25"/>
      <c r="HL44" s="25"/>
      <c r="HM44" s="25"/>
      <c r="HN44" s="25"/>
      <c r="HO44" s="25"/>
      <c r="HP44" s="110"/>
      <c r="HQ44" s="110"/>
      <c r="HR44" s="25"/>
      <c r="HS44" s="25"/>
      <c r="HT44" s="25"/>
      <c r="HU44" s="25"/>
      <c r="HV44" s="25"/>
      <c r="HW44" s="110"/>
      <c r="HX44" s="110"/>
      <c r="HY44" s="25"/>
      <c r="HZ44" s="25"/>
      <c r="IA44" s="25"/>
      <c r="IB44" s="25"/>
      <c r="IC44" s="25"/>
      <c r="ID44" s="110"/>
      <c r="IE44" s="110"/>
      <c r="IF44" s="25"/>
      <c r="IG44" s="25"/>
      <c r="IH44" s="25"/>
      <c r="II44" s="25"/>
      <c r="IJ44" s="25"/>
      <c r="IK44" s="110"/>
      <c r="IL44" s="110"/>
      <c r="IM44" s="25"/>
      <c r="IN44" s="25"/>
      <c r="IO44" s="25"/>
      <c r="IP44" s="25"/>
      <c r="IQ44" s="25"/>
      <c r="IR44" s="110"/>
      <c r="IS44" s="110"/>
      <c r="IT44" s="25"/>
      <c r="IU44" s="25"/>
      <c r="IV44" s="25"/>
      <c r="IW44" s="25"/>
      <c r="IX44" s="25"/>
      <c r="IY44" s="110"/>
      <c r="IZ44" s="110"/>
      <c r="JA44" s="25"/>
      <c r="JB44" s="25"/>
      <c r="JC44" s="25"/>
      <c r="JD44" s="25"/>
      <c r="JE44" s="25"/>
      <c r="JF44" s="110"/>
      <c r="JG44" s="110"/>
      <c r="JH44" s="25"/>
      <c r="JI44" s="25"/>
      <c r="JJ44" s="25"/>
      <c r="JK44" s="25"/>
      <c r="JL44" s="25"/>
      <c r="JM44" s="110"/>
      <c r="JN44" s="110"/>
      <c r="JO44" s="25"/>
      <c r="JP44" s="25"/>
      <c r="JQ44" s="25"/>
      <c r="JR44" s="25"/>
      <c r="JS44" s="25"/>
      <c r="JT44" s="110"/>
      <c r="JU44" s="110"/>
      <c r="JV44" s="25"/>
      <c r="JW44" s="25"/>
      <c r="JX44" s="25"/>
      <c r="JY44" s="25"/>
      <c r="JZ44" s="25"/>
      <c r="KA44" s="110"/>
      <c r="KB44" s="110"/>
      <c r="KC44" s="25"/>
      <c r="KD44" s="25"/>
      <c r="KE44" s="25"/>
      <c r="KF44" s="25"/>
      <c r="KG44" s="25"/>
      <c r="KH44" s="110"/>
      <c r="KI44" s="110"/>
      <c r="KJ44" s="25"/>
      <c r="KK44" s="25"/>
      <c r="KL44" s="25"/>
      <c r="KM44" s="25"/>
      <c r="KN44" s="25"/>
      <c r="KO44" s="110"/>
      <c r="KP44" s="110"/>
      <c r="KQ44" s="25"/>
      <c r="KR44" s="25"/>
      <c r="KS44" s="25"/>
      <c r="KT44" s="25"/>
      <c r="KU44" s="25"/>
      <c r="KV44" s="110"/>
      <c r="KW44" s="110"/>
      <c r="KX44" s="25"/>
      <c r="KY44" s="25"/>
      <c r="KZ44" s="25"/>
      <c r="LA44" s="25"/>
      <c r="LB44" s="25"/>
      <c r="LC44" s="110"/>
      <c r="LD44" s="110"/>
      <c r="LE44" s="25"/>
      <c r="LF44" s="25"/>
      <c r="LG44" s="110" t="s">
        <v>445</v>
      </c>
      <c r="LH44" s="25"/>
      <c r="LI44" s="25"/>
      <c r="LJ44" s="110"/>
      <c r="LK44" s="110"/>
      <c r="LL44" s="25"/>
      <c r="LM44" s="25"/>
      <c r="LN44" s="25"/>
      <c r="LO44" s="25"/>
      <c r="LP44" s="25"/>
      <c r="LQ44" s="110"/>
      <c r="LR44" s="110"/>
      <c r="LS44" s="25"/>
      <c r="LT44" s="25"/>
      <c r="LU44" s="25"/>
      <c r="LV44" s="25"/>
      <c r="LW44" s="25"/>
      <c r="LX44" s="110"/>
      <c r="LY44" s="110"/>
      <c r="LZ44" s="25"/>
      <c r="MA44" s="25"/>
      <c r="MB44" s="25"/>
      <c r="MC44" s="25"/>
      <c r="MD44" s="25"/>
      <c r="ME44" s="110"/>
      <c r="MF44" s="110"/>
      <c r="MG44" s="25"/>
      <c r="MH44" s="25"/>
      <c r="MI44" s="25"/>
      <c r="MJ44" s="25"/>
      <c r="MK44" s="25"/>
      <c r="ML44" s="110"/>
      <c r="MM44" s="110"/>
      <c r="MN44" s="25"/>
      <c r="MO44" s="25"/>
      <c r="MP44" s="25"/>
      <c r="MQ44" s="25"/>
      <c r="MR44" s="25"/>
      <c r="MS44" s="110"/>
      <c r="MT44" s="110"/>
      <c r="MU44" s="25"/>
      <c r="MV44" s="25"/>
      <c r="MW44" s="25"/>
      <c r="MX44" s="25"/>
      <c r="MY44" s="25"/>
      <c r="MZ44" s="110"/>
      <c r="NA44" s="110"/>
      <c r="NB44" s="25"/>
      <c r="NC44" s="25"/>
      <c r="ND44" s="25"/>
      <c r="NE44" s="129"/>
      <c r="NF44" s="111"/>
      <c r="NG44" s="8">
        <f t="shared" si="0"/>
        <v>6</v>
      </c>
      <c r="NH44" s="32" cm="1">
        <f t="array" ref="NH44">NETWORKDAYS($I$2,$AI$2)- SUM(COUNTIF(I44:AI44,{"I";"F";"CP";"R";"P";"AC";"AM"}))</f>
        <v>20</v>
      </c>
      <c r="NI44" s="138">
        <f t="shared" si="1"/>
        <v>0.3</v>
      </c>
      <c r="NJ44" s="8">
        <f t="shared" si="2"/>
        <v>11</v>
      </c>
      <c r="NK44" s="32" cm="1">
        <f t="array" ref="NK44">NETWORKDAYS($AJ$2,$BK$2)- SUM(COUNTIF(AJ44:BK44,{"I";"F";"CP";"R";"P";"AC";"AM"}))</f>
        <v>20</v>
      </c>
      <c r="NL44" s="138">
        <f t="shared" si="3"/>
        <v>0.55000000000000004</v>
      </c>
      <c r="NM44" s="8">
        <f t="shared" si="4"/>
        <v>14</v>
      </c>
      <c r="NN44" s="32" cm="1">
        <f t="array" ref="NN44">NETWORKDAYS($BL$2,$CP$2)- SUM(COUNTIF(BL44:CP44,{"I";"F";"CP";"R";"P";"AC";"AM"}))</f>
        <v>22</v>
      </c>
      <c r="NO44" s="138">
        <f t="shared" si="5"/>
        <v>0.63636363636363635</v>
      </c>
      <c r="NP44" s="8">
        <f t="shared" si="26"/>
        <v>8</v>
      </c>
      <c r="NQ44" s="32" cm="1">
        <f t="array" ref="NQ44">NETWORKDAYS($CQ$2,$DT$2,$CV$2)- SUM(COUNTIF(CQ44:DT44,{"I";"F";"CP";"R";"P";"AC";"AM"}))</f>
        <v>16</v>
      </c>
      <c r="NR44" s="138">
        <f t="shared" si="6"/>
        <v>0.5</v>
      </c>
      <c r="NS44" s="8">
        <f t="shared" si="7"/>
        <v>5</v>
      </c>
      <c r="NT44" s="32" cm="1">
        <f t="array" ref="NT44">NETWORKDAYS($DV$2,$EY$2)-SUM(COUNTIF(DV44:EY44,{"I";"F";"CP";"R";"P";"AC";"AM"}))</f>
        <v>16</v>
      </c>
      <c r="NU44" s="138">
        <f t="shared" si="8"/>
        <v>0.3125</v>
      </c>
      <c r="NV44" s="8">
        <f t="shared" si="9"/>
        <v>0</v>
      </c>
      <c r="NW44" s="32" cm="1">
        <f t="array" ref="NW44">NETWORKDAYS($EZ$2,$GC$2)-SUM(COUNTIF(EZ124:GC124,{"I";"F";"CP";"R";"P";"AC";"AM"}))</f>
        <v>22</v>
      </c>
      <c r="NX44" s="138">
        <f t="shared" si="10"/>
        <v>0</v>
      </c>
      <c r="NY44" s="8">
        <f t="shared" si="11"/>
        <v>0</v>
      </c>
      <c r="NZ44" s="32" cm="1">
        <f t="array" ref="NZ44">NETWORKDAYS($GD$2,$HH$2,$GQ$2)-SUM(COUNTIF(GD44:HH44,{"I";"F";"CP";"R";"P";"AC";"AM"}))</f>
        <v>21</v>
      </c>
      <c r="OA44" s="138">
        <f t="shared" si="12"/>
        <v>0</v>
      </c>
      <c r="OB44" s="8">
        <f t="shared" si="13"/>
        <v>0</v>
      </c>
      <c r="OC44" s="32" cm="1">
        <f t="array" ref="OC44">NETWORKDAYS($HI$2,$IM$2)-SUM(COUNTIF(HI44:IM44,{"I";"F";"CP";"R";"P";"AC";"AM"}))</f>
        <v>21</v>
      </c>
      <c r="OD44" s="138">
        <f t="shared" si="14"/>
        <v>0</v>
      </c>
      <c r="OE44" s="8">
        <f t="shared" si="15"/>
        <v>0</v>
      </c>
      <c r="OF44" s="32" cm="1">
        <f t="array" ref="OF44">NETWORKDAYS($IN$2,$JQ$2)-SUM(COUNTIF(IN44:JQ44,{"I";"F";"CP";"R";"P";"AC";"AM"}))</f>
        <v>22</v>
      </c>
      <c r="OG44" s="138">
        <f t="shared" si="16"/>
        <v>0</v>
      </c>
      <c r="OH44" s="8">
        <f t="shared" si="17"/>
        <v>0</v>
      </c>
      <c r="OI44" s="32" cm="1">
        <f t="array" ref="OI44">NETWORKDAYS($JR$2,$KV$2)-SUM(COUNTIF(JR44:KV44,{"I";"F";"CP";"R";"P";"AC";"AM"}))</f>
        <v>22</v>
      </c>
      <c r="OJ44" s="138">
        <f t="shared" si="18"/>
        <v>0</v>
      </c>
      <c r="OK44" s="8">
        <f t="shared" si="19"/>
        <v>0</v>
      </c>
      <c r="OL44" s="32" cm="1">
        <f t="array" ref="OL44">NETWORKDAYS($KW$2,$LZ$2,$LG$2)-SUM(COUNTIF(KW44:LZ44,{"I";"F";"CP";"R";"P";"AC";"AM"}))</f>
        <v>19</v>
      </c>
      <c r="OM44" s="138">
        <f t="shared" si="20"/>
        <v>0</v>
      </c>
      <c r="ON44" s="8">
        <f t="shared" si="21"/>
        <v>0</v>
      </c>
      <c r="OO44" s="32" cm="1">
        <f t="array" ref="OO44">NETWORKDAYS($MA$2,$MR$2)-SUM(COUNTIF(MA44:MR44,{"I";"F";"CP";"R";"P";"AC";"AM"}))</f>
        <v>14</v>
      </c>
      <c r="OP44" s="138">
        <f t="shared" si="22"/>
        <v>0</v>
      </c>
      <c r="OQ44" s="94">
        <f t="shared" si="23"/>
        <v>44</v>
      </c>
      <c r="OR44" s="94">
        <f t="shared" si="24"/>
        <v>235</v>
      </c>
      <c r="OS44" s="138">
        <f t="shared" si="25"/>
        <v>0.18723404255319148</v>
      </c>
    </row>
    <row r="45" spans="1:409" ht="18" hidden="1" customHeight="1" x14ac:dyDescent="0.25">
      <c r="A45" s="95" t="s">
        <v>168</v>
      </c>
      <c r="B45" s="95" t="s">
        <v>168</v>
      </c>
      <c r="C45" s="89" t="s">
        <v>166</v>
      </c>
      <c r="D45" s="89" t="s">
        <v>220</v>
      </c>
      <c r="E45" s="128"/>
      <c r="F45" s="110"/>
      <c r="G45" s="110"/>
      <c r="H45" s="110"/>
      <c r="I45" s="25"/>
      <c r="J45" s="25"/>
      <c r="K45" s="25"/>
      <c r="L45" s="25"/>
      <c r="M45" s="25"/>
      <c r="N45" s="110"/>
      <c r="O45" s="110"/>
      <c r="P45" s="25"/>
      <c r="Q45" s="25"/>
      <c r="R45" s="25"/>
      <c r="S45" s="25"/>
      <c r="T45" s="25"/>
      <c r="U45" s="110"/>
      <c r="V45" s="110"/>
      <c r="W45" s="25"/>
      <c r="X45" s="25"/>
      <c r="Y45" s="25"/>
      <c r="Z45" s="25"/>
      <c r="AA45" s="25"/>
      <c r="AB45" s="110"/>
      <c r="AC45" s="110"/>
      <c r="AD45" s="25"/>
      <c r="AE45" s="25"/>
      <c r="AF45" s="25"/>
      <c r="AG45" s="25"/>
      <c r="AH45" s="25"/>
      <c r="AI45" s="110"/>
      <c r="AJ45" s="110"/>
      <c r="AK45" s="25"/>
      <c r="AL45" s="25"/>
      <c r="AM45" s="25"/>
      <c r="AN45" s="25"/>
      <c r="AO45" s="25"/>
      <c r="AP45" s="110"/>
      <c r="AQ45" s="110"/>
      <c r="AR45" s="25"/>
      <c r="AS45" s="25"/>
      <c r="AT45" s="25"/>
      <c r="AU45" s="25"/>
      <c r="AV45" s="25"/>
      <c r="AW45" s="110"/>
      <c r="AX45" s="110"/>
      <c r="AY45" s="25"/>
      <c r="AZ45" s="25"/>
      <c r="BA45" s="25"/>
      <c r="BB45" s="25"/>
      <c r="BC45" s="25"/>
      <c r="BD45" s="110"/>
      <c r="BE45" s="110"/>
      <c r="BF45" s="25"/>
      <c r="BG45" s="25"/>
      <c r="BH45" s="25"/>
      <c r="BI45" s="25"/>
      <c r="BJ45" s="25"/>
      <c r="BK45" s="110"/>
      <c r="BL45" s="110"/>
      <c r="BM45" s="25"/>
      <c r="BN45" s="25"/>
      <c r="BO45" s="25"/>
      <c r="BP45" s="25"/>
      <c r="BQ45" s="25"/>
      <c r="BR45" s="110"/>
      <c r="BS45" s="110"/>
      <c r="BT45" s="25"/>
      <c r="BU45" s="25"/>
      <c r="BV45" s="25"/>
      <c r="BW45" s="25"/>
      <c r="BX45" s="25"/>
      <c r="BY45" s="110"/>
      <c r="BZ45" s="110"/>
      <c r="CA45" s="25"/>
      <c r="CB45" s="25"/>
      <c r="CC45" s="25"/>
      <c r="CD45" s="25"/>
      <c r="CE45" s="25"/>
      <c r="CF45" s="110"/>
      <c r="CG45" s="110"/>
      <c r="CH45" s="25"/>
      <c r="CI45" s="25"/>
      <c r="CJ45" s="25"/>
      <c r="CK45" s="25"/>
      <c r="CL45" s="25"/>
      <c r="CM45" s="110"/>
      <c r="CN45" s="110"/>
      <c r="CO45" s="25"/>
      <c r="CP45" s="25"/>
      <c r="CQ45" s="25"/>
      <c r="CR45" s="25"/>
      <c r="CS45" s="25"/>
      <c r="CT45" s="110"/>
      <c r="CU45" s="110"/>
      <c r="CV45" s="110"/>
      <c r="CW45" s="25"/>
      <c r="CX45" s="25"/>
      <c r="CY45" s="25"/>
      <c r="CZ45" s="25"/>
      <c r="DA45" s="110"/>
      <c r="DB45" s="110"/>
      <c r="DC45" s="25"/>
      <c r="DD45" s="25"/>
      <c r="DE45" s="25"/>
      <c r="DF45" s="25"/>
      <c r="DG45" s="25"/>
      <c r="DH45" s="110"/>
      <c r="DI45" s="110"/>
      <c r="DJ45" s="25"/>
      <c r="DK45" s="25"/>
      <c r="DL45" s="25"/>
      <c r="DM45" s="25"/>
      <c r="DN45" s="25"/>
      <c r="DO45" s="110"/>
      <c r="DP45" s="110"/>
      <c r="DQ45" s="25"/>
      <c r="DR45" s="25"/>
      <c r="DS45" s="25"/>
      <c r="DT45" s="25"/>
      <c r="DU45" s="110"/>
      <c r="DV45" s="110"/>
      <c r="DW45" s="110"/>
      <c r="DX45" s="25"/>
      <c r="DY45" s="25"/>
      <c r="DZ45" s="25"/>
      <c r="EA45" s="25"/>
      <c r="EB45" s="110" t="s">
        <v>445</v>
      </c>
      <c r="EC45" s="110"/>
      <c r="ED45" s="110"/>
      <c r="EE45" s="25"/>
      <c r="EF45" s="25"/>
      <c r="EG45" s="25"/>
      <c r="EH45" s="110" t="s">
        <v>445</v>
      </c>
      <c r="EI45" s="110" t="s">
        <v>445</v>
      </c>
      <c r="EJ45" s="110"/>
      <c r="EK45" s="110"/>
      <c r="EL45" s="25"/>
      <c r="EM45" s="25"/>
      <c r="EN45" s="25"/>
      <c r="EO45" s="25"/>
      <c r="EP45" s="25"/>
      <c r="EQ45" s="110"/>
      <c r="ER45" s="110"/>
      <c r="ES45" s="110" t="s">
        <v>445</v>
      </c>
      <c r="ET45" s="25"/>
      <c r="EU45" s="25"/>
      <c r="EV45" s="25"/>
      <c r="EW45" s="25"/>
      <c r="EX45" s="110"/>
      <c r="EY45" s="110"/>
      <c r="EZ45" s="25"/>
      <c r="FA45" s="25"/>
      <c r="FB45" s="25"/>
      <c r="FC45" s="25"/>
      <c r="FD45" s="25"/>
      <c r="FE45" s="110"/>
      <c r="FF45" s="110"/>
      <c r="FG45" s="25"/>
      <c r="FH45" s="25"/>
      <c r="FI45" s="25"/>
      <c r="FJ45" s="25"/>
      <c r="FK45" s="25"/>
      <c r="FL45" s="110"/>
      <c r="FM45" s="110"/>
      <c r="FN45" s="25"/>
      <c r="FO45" s="25"/>
      <c r="FP45" s="25"/>
      <c r="FQ45" s="25"/>
      <c r="FR45" s="25"/>
      <c r="FS45" s="110"/>
      <c r="FT45" s="110"/>
      <c r="FU45" s="25"/>
      <c r="FV45" s="25"/>
      <c r="FW45" s="25"/>
      <c r="FX45" s="25"/>
      <c r="FY45" s="25"/>
      <c r="FZ45" s="110"/>
      <c r="GA45" s="110"/>
      <c r="GB45" s="25"/>
      <c r="GC45" s="25"/>
      <c r="GD45" s="25"/>
      <c r="GE45" s="25"/>
      <c r="GF45" s="25"/>
      <c r="GG45" s="110"/>
      <c r="GH45" s="110"/>
      <c r="GI45" s="25"/>
      <c r="GJ45" s="25"/>
      <c r="GK45" s="25"/>
      <c r="GL45" s="25"/>
      <c r="GM45" s="25"/>
      <c r="GN45" s="110"/>
      <c r="GO45" s="110"/>
      <c r="GP45" s="110"/>
      <c r="GQ45" s="110" t="s">
        <v>445</v>
      </c>
      <c r="GR45" s="25"/>
      <c r="GS45" s="25"/>
      <c r="GT45" s="25"/>
      <c r="GU45" s="110"/>
      <c r="GV45" s="110"/>
      <c r="GW45" s="25"/>
      <c r="GX45" s="25"/>
      <c r="GY45" s="25"/>
      <c r="GZ45" s="25"/>
      <c r="HA45" s="25"/>
      <c r="HB45" s="110"/>
      <c r="HC45" s="110"/>
      <c r="HD45" s="25"/>
      <c r="HE45" s="25"/>
      <c r="HF45" s="25"/>
      <c r="HG45" s="25"/>
      <c r="HH45" s="25"/>
      <c r="HI45" s="110"/>
      <c r="HJ45" s="110"/>
      <c r="HK45" s="25"/>
      <c r="HL45" s="25"/>
      <c r="HM45" s="25"/>
      <c r="HN45" s="25"/>
      <c r="HO45" s="25"/>
      <c r="HP45" s="110"/>
      <c r="HQ45" s="110"/>
      <c r="HR45" s="25"/>
      <c r="HS45" s="25"/>
      <c r="HT45" s="25"/>
      <c r="HU45" s="25"/>
      <c r="HV45" s="25"/>
      <c r="HW45" s="110"/>
      <c r="HX45" s="110"/>
      <c r="HY45" s="25"/>
      <c r="HZ45" s="25"/>
      <c r="IA45" s="25"/>
      <c r="IB45" s="25"/>
      <c r="IC45" s="25"/>
      <c r="ID45" s="110"/>
      <c r="IE45" s="110"/>
      <c r="IF45" s="25"/>
      <c r="IG45" s="25"/>
      <c r="IH45" s="25"/>
      <c r="II45" s="25"/>
      <c r="IJ45" s="25"/>
      <c r="IK45" s="110"/>
      <c r="IL45" s="110"/>
      <c r="IM45" s="25"/>
      <c r="IN45" s="25"/>
      <c r="IO45" s="25"/>
      <c r="IP45" s="25"/>
      <c r="IQ45" s="25"/>
      <c r="IR45" s="110"/>
      <c r="IS45" s="110"/>
      <c r="IT45" s="25"/>
      <c r="IU45" s="25"/>
      <c r="IV45" s="25"/>
      <c r="IW45" s="25"/>
      <c r="IX45" s="25"/>
      <c r="IY45" s="110"/>
      <c r="IZ45" s="110"/>
      <c r="JA45" s="25"/>
      <c r="JB45" s="25"/>
      <c r="JC45" s="25"/>
      <c r="JD45" s="25"/>
      <c r="JE45" s="25"/>
      <c r="JF45" s="110"/>
      <c r="JG45" s="110"/>
      <c r="JH45" s="25"/>
      <c r="JI45" s="25"/>
      <c r="JJ45" s="25"/>
      <c r="JK45" s="25"/>
      <c r="JL45" s="25"/>
      <c r="JM45" s="110"/>
      <c r="JN45" s="110"/>
      <c r="JO45" s="25"/>
      <c r="JP45" s="25"/>
      <c r="JQ45" s="25"/>
      <c r="JR45" s="25"/>
      <c r="JS45" s="25"/>
      <c r="JT45" s="110"/>
      <c r="JU45" s="110"/>
      <c r="JV45" s="25"/>
      <c r="JW45" s="25"/>
      <c r="JX45" s="25"/>
      <c r="JY45" s="25"/>
      <c r="JZ45" s="25"/>
      <c r="KA45" s="110"/>
      <c r="KB45" s="110"/>
      <c r="KC45" s="25"/>
      <c r="KD45" s="25"/>
      <c r="KE45" s="25"/>
      <c r="KF45" s="25"/>
      <c r="KG45" s="25"/>
      <c r="KH45" s="110"/>
      <c r="KI45" s="110"/>
      <c r="KJ45" s="25"/>
      <c r="KK45" s="25"/>
      <c r="KL45" s="25"/>
      <c r="KM45" s="25"/>
      <c r="KN45" s="25"/>
      <c r="KO45" s="110"/>
      <c r="KP45" s="110"/>
      <c r="KQ45" s="25"/>
      <c r="KR45" s="25"/>
      <c r="KS45" s="25"/>
      <c r="KT45" s="25"/>
      <c r="KU45" s="25"/>
      <c r="KV45" s="110"/>
      <c r="KW45" s="110"/>
      <c r="KX45" s="25"/>
      <c r="KY45" s="25"/>
      <c r="KZ45" s="25"/>
      <c r="LA45" s="25"/>
      <c r="LB45" s="25"/>
      <c r="LC45" s="110"/>
      <c r="LD45" s="110"/>
      <c r="LE45" s="25"/>
      <c r="LF45" s="25"/>
      <c r="LG45" s="110" t="s">
        <v>445</v>
      </c>
      <c r="LH45" s="25"/>
      <c r="LI45" s="25"/>
      <c r="LJ45" s="110"/>
      <c r="LK45" s="110"/>
      <c r="LL45" s="25"/>
      <c r="LM45" s="25"/>
      <c r="LN45" s="25"/>
      <c r="LO45" s="25"/>
      <c r="LP45" s="25"/>
      <c r="LQ45" s="110"/>
      <c r="LR45" s="110"/>
      <c r="LS45" s="25"/>
      <c r="LT45" s="25"/>
      <c r="LU45" s="25"/>
      <c r="LV45" s="25"/>
      <c r="LW45" s="25"/>
      <c r="LX45" s="110"/>
      <c r="LY45" s="110"/>
      <c r="LZ45" s="25"/>
      <c r="MA45" s="25"/>
      <c r="MB45" s="25"/>
      <c r="MC45" s="25"/>
      <c r="MD45" s="25"/>
      <c r="ME45" s="110"/>
      <c r="MF45" s="110"/>
      <c r="MG45" s="25"/>
      <c r="MH45" s="25"/>
      <c r="MI45" s="25"/>
      <c r="MJ45" s="25"/>
      <c r="MK45" s="25"/>
      <c r="ML45" s="110"/>
      <c r="MM45" s="110"/>
      <c r="MN45" s="25"/>
      <c r="MO45" s="25"/>
      <c r="MP45" s="25"/>
      <c r="MQ45" s="25"/>
      <c r="MR45" s="25"/>
      <c r="MS45" s="110"/>
      <c r="MT45" s="110"/>
      <c r="MU45" s="25"/>
      <c r="MV45" s="25"/>
      <c r="MW45" s="25"/>
      <c r="MX45" s="25"/>
      <c r="MY45" s="25"/>
      <c r="MZ45" s="110"/>
      <c r="NA45" s="110"/>
      <c r="NB45" s="25"/>
      <c r="NC45" s="25"/>
      <c r="ND45" s="25"/>
      <c r="NE45" s="129"/>
      <c r="NF45" s="111"/>
      <c r="NG45" s="8">
        <f t="shared" si="0"/>
        <v>0</v>
      </c>
      <c r="NH45" s="32" cm="1">
        <f t="array" ref="NH45">NETWORKDAYS($I$2,$AI$2)- SUM(COUNTIF(I45:AI45,{"I";"F";"CP";"R";"P";"AC";"AM"}))</f>
        <v>20</v>
      </c>
      <c r="NI45" s="138">
        <f t="shared" si="1"/>
        <v>0</v>
      </c>
      <c r="NJ45" s="8">
        <f t="shared" si="2"/>
        <v>0</v>
      </c>
      <c r="NK45" s="32" cm="1">
        <f t="array" ref="NK45">NETWORKDAYS($AJ$2,$BK$2)- SUM(COUNTIF(AJ45:BK45,{"I";"F";"CP";"R";"P";"AC";"AM"}))</f>
        <v>20</v>
      </c>
      <c r="NL45" s="138">
        <f t="shared" si="3"/>
        <v>0</v>
      </c>
      <c r="NM45" s="8">
        <f t="shared" si="4"/>
        <v>0</v>
      </c>
      <c r="NN45" s="32" cm="1">
        <f t="array" ref="NN45">NETWORKDAYS($BL$2,$CP$2)- SUM(COUNTIF(BL45:CP45,{"I";"F";"CP";"R";"P";"AC";"AM"}))</f>
        <v>22</v>
      </c>
      <c r="NO45" s="138">
        <f t="shared" si="5"/>
        <v>0</v>
      </c>
      <c r="NP45" s="32">
        <f t="shared" si="26"/>
        <v>0</v>
      </c>
      <c r="NQ45" s="32" cm="1">
        <f t="array" ref="NQ45">NETWORKDAYS($CQ$2,$DT$2,$CV$2)- SUM(COUNTIF(CQ45:DT45,{"I";"F";"CP";"R";"P";"AC";"AM"}))</f>
        <v>21</v>
      </c>
      <c r="NR45" s="138">
        <f t="shared" si="6"/>
        <v>0</v>
      </c>
      <c r="NS45" s="8">
        <f t="shared" si="7"/>
        <v>0</v>
      </c>
      <c r="NT45" s="32" cm="1">
        <f t="array" ref="NT45">NETWORKDAYS($DV$2,$EY$2)-SUM(COUNTIF(DV45:EY45,{"I";"F";"CP";"R";"P";"AC";"AM"}))</f>
        <v>16</v>
      </c>
      <c r="NU45" s="138">
        <f t="shared" si="8"/>
        <v>0</v>
      </c>
      <c r="NV45" s="8">
        <f t="shared" si="9"/>
        <v>0</v>
      </c>
      <c r="NW45" s="32" cm="1">
        <f t="array" ref="NW45">NETWORKDAYS($EZ$2,$GC$2)-SUM(COUNTIF(EZ125:GC125,{"I";"F";"CP";"R";"P";"AC";"AM"}))</f>
        <v>22</v>
      </c>
      <c r="NX45" s="138">
        <f t="shared" si="10"/>
        <v>0</v>
      </c>
      <c r="NY45" s="8">
        <f t="shared" si="11"/>
        <v>0</v>
      </c>
      <c r="NZ45" s="32" cm="1">
        <f t="array" ref="NZ45">NETWORKDAYS($GD$2,$HH$2,$GQ$2)-SUM(COUNTIF(GD45:HH45,{"I";"F";"CP";"R";"P";"AC";"AM"}))</f>
        <v>21</v>
      </c>
      <c r="OA45" s="138">
        <f t="shared" si="12"/>
        <v>0</v>
      </c>
      <c r="OB45" s="8">
        <f t="shared" si="13"/>
        <v>0</v>
      </c>
      <c r="OC45" s="32" cm="1">
        <f t="array" ref="OC45">NETWORKDAYS($HI$2,$IM$2)-SUM(COUNTIF(HI45:IM45,{"I";"F";"CP";"R";"P";"AC";"AM"}))</f>
        <v>21</v>
      </c>
      <c r="OD45" s="138">
        <f t="shared" si="14"/>
        <v>0</v>
      </c>
      <c r="OE45" s="8">
        <f t="shared" si="15"/>
        <v>0</v>
      </c>
      <c r="OF45" s="32" cm="1">
        <f t="array" ref="OF45">NETWORKDAYS($IN$2,$JQ$2)-SUM(COUNTIF(IN45:JQ45,{"I";"F";"CP";"R";"P";"AC";"AM"}))</f>
        <v>22</v>
      </c>
      <c r="OG45" s="138">
        <f t="shared" si="16"/>
        <v>0</v>
      </c>
      <c r="OH45" s="8">
        <f t="shared" si="17"/>
        <v>0</v>
      </c>
      <c r="OI45" s="32" cm="1">
        <f t="array" ref="OI45">NETWORKDAYS($JR$2,$KV$2)-SUM(COUNTIF(JR45:KV45,{"I";"F";"CP";"R";"P";"AC";"AM"}))</f>
        <v>22</v>
      </c>
      <c r="OJ45" s="138">
        <f t="shared" si="18"/>
        <v>0</v>
      </c>
      <c r="OK45" s="8">
        <f t="shared" si="19"/>
        <v>0</v>
      </c>
      <c r="OL45" s="32" cm="1">
        <f t="array" ref="OL45">NETWORKDAYS($KW$2,$LZ$2,$LG$2)-SUM(COUNTIF(KW45:LZ45,{"I";"F";"CP";"R";"P";"AC";"AM"}))</f>
        <v>19</v>
      </c>
      <c r="OM45" s="138">
        <f t="shared" si="20"/>
        <v>0</v>
      </c>
      <c r="ON45" s="8">
        <f t="shared" si="21"/>
        <v>0</v>
      </c>
      <c r="OO45" s="32" cm="1">
        <f t="array" ref="OO45">NETWORKDAYS($MA$2,$MR$2)-SUM(COUNTIF(MA45:MR45,{"I";"F";"CP";"R";"P";"AC";"AM"}))</f>
        <v>14</v>
      </c>
      <c r="OP45" s="138">
        <f t="shared" si="22"/>
        <v>0</v>
      </c>
      <c r="OQ45" s="94">
        <f t="shared" si="23"/>
        <v>0</v>
      </c>
      <c r="OR45" s="94">
        <f t="shared" si="24"/>
        <v>240</v>
      </c>
      <c r="OS45" s="138">
        <f t="shared" si="25"/>
        <v>0</v>
      </c>
    </row>
    <row r="46" spans="1:409" ht="18" hidden="1" customHeight="1" x14ac:dyDescent="0.25">
      <c r="A46" s="95" t="s">
        <v>159</v>
      </c>
      <c r="B46" s="95" t="s">
        <v>45</v>
      </c>
      <c r="C46" s="89" t="s">
        <v>160</v>
      </c>
      <c r="D46" s="89" t="s">
        <v>221</v>
      </c>
      <c r="E46" s="128"/>
      <c r="F46" s="110"/>
      <c r="G46" s="110"/>
      <c r="H46" s="110"/>
      <c r="I46" s="25"/>
      <c r="J46" s="25"/>
      <c r="K46" s="25"/>
      <c r="L46" s="25"/>
      <c r="M46" s="25"/>
      <c r="N46" s="110"/>
      <c r="O46" s="110"/>
      <c r="P46" s="25"/>
      <c r="Q46" s="25"/>
      <c r="R46" s="25"/>
      <c r="S46" s="25"/>
      <c r="T46" s="25"/>
      <c r="U46" s="110"/>
      <c r="V46" s="110"/>
      <c r="W46" s="25"/>
      <c r="X46" s="25"/>
      <c r="Y46" s="25"/>
      <c r="Z46" s="25"/>
      <c r="AA46" s="25"/>
      <c r="AB46" s="110"/>
      <c r="AC46" s="110"/>
      <c r="AD46" s="25"/>
      <c r="AE46" s="25"/>
      <c r="AF46" s="25"/>
      <c r="AG46" s="25"/>
      <c r="AH46" s="25"/>
      <c r="AI46" s="110"/>
      <c r="AJ46" s="110"/>
      <c r="AK46" s="25"/>
      <c r="AL46" s="25"/>
      <c r="AM46" s="25"/>
      <c r="AN46" s="25"/>
      <c r="AO46" s="25"/>
      <c r="AP46" s="110"/>
      <c r="AQ46" s="110"/>
      <c r="AR46" s="25"/>
      <c r="AS46" s="25"/>
      <c r="AT46" s="25"/>
      <c r="AU46" s="25"/>
      <c r="AV46" s="25"/>
      <c r="AW46" s="110"/>
      <c r="AX46" s="110"/>
      <c r="AY46" s="25"/>
      <c r="AZ46" s="25"/>
      <c r="BA46" s="25"/>
      <c r="BB46" s="25"/>
      <c r="BC46" s="25"/>
      <c r="BD46" s="110"/>
      <c r="BE46" s="110"/>
      <c r="BF46" s="25"/>
      <c r="BG46" s="25"/>
      <c r="BH46" s="25"/>
      <c r="BI46" s="25"/>
      <c r="BJ46" s="25"/>
      <c r="BK46" s="110"/>
      <c r="BL46" s="110"/>
      <c r="BM46" s="25"/>
      <c r="BN46" s="25"/>
      <c r="BO46" s="25"/>
      <c r="BP46" s="25"/>
      <c r="BQ46" s="25"/>
      <c r="BR46" s="110"/>
      <c r="BS46" s="110"/>
      <c r="BT46" s="25"/>
      <c r="BU46" s="25"/>
      <c r="BV46" s="25"/>
      <c r="BW46" s="25"/>
      <c r="BX46" s="25"/>
      <c r="BY46" s="110"/>
      <c r="BZ46" s="110"/>
      <c r="CA46" s="25"/>
      <c r="CB46" s="25"/>
      <c r="CC46" s="25"/>
      <c r="CD46" s="25"/>
      <c r="CE46" s="25"/>
      <c r="CF46" s="110"/>
      <c r="CG46" s="110"/>
      <c r="CH46" s="25"/>
      <c r="CI46" s="25"/>
      <c r="CJ46" s="25"/>
      <c r="CK46" s="25"/>
      <c r="CL46" s="25"/>
      <c r="CM46" s="110"/>
      <c r="CN46" s="110"/>
      <c r="CO46" s="25"/>
      <c r="CP46" s="25"/>
      <c r="CQ46" s="25"/>
      <c r="CR46" s="25"/>
      <c r="CS46" s="25"/>
      <c r="CT46" s="110"/>
      <c r="CU46" s="110"/>
      <c r="CV46" s="110"/>
      <c r="CW46" s="25"/>
      <c r="CX46" s="25"/>
      <c r="CY46" s="25"/>
      <c r="CZ46" s="25"/>
      <c r="DA46" s="110"/>
      <c r="DB46" s="110"/>
      <c r="DC46" s="25"/>
      <c r="DD46" s="25"/>
      <c r="DE46" s="25"/>
      <c r="DF46" s="25"/>
      <c r="DG46" s="25"/>
      <c r="DH46" s="110"/>
      <c r="DI46" s="110"/>
      <c r="DJ46" s="25"/>
      <c r="DK46" s="25"/>
      <c r="DL46" s="25"/>
      <c r="DM46" s="25"/>
      <c r="DN46" s="25"/>
      <c r="DO46" s="110"/>
      <c r="DP46" s="110"/>
      <c r="DQ46" s="25"/>
      <c r="DR46" s="25"/>
      <c r="DS46" s="25"/>
      <c r="DT46" s="25"/>
      <c r="DU46" s="110"/>
      <c r="DV46" s="110"/>
      <c r="DW46" s="110"/>
      <c r="DX46" s="25"/>
      <c r="DY46" s="25"/>
      <c r="DZ46" s="25"/>
      <c r="EA46" s="25"/>
      <c r="EB46" s="110" t="s">
        <v>445</v>
      </c>
      <c r="EC46" s="110"/>
      <c r="ED46" s="110"/>
      <c r="EE46" s="25"/>
      <c r="EF46" s="25"/>
      <c r="EG46" s="25"/>
      <c r="EH46" s="110" t="s">
        <v>445</v>
      </c>
      <c r="EI46" s="110" t="s">
        <v>445</v>
      </c>
      <c r="EJ46" s="110"/>
      <c r="EK46" s="110"/>
      <c r="EL46" s="25"/>
      <c r="EM46" s="25"/>
      <c r="EN46" s="25"/>
      <c r="EO46" s="25"/>
      <c r="EP46" s="25"/>
      <c r="EQ46" s="110"/>
      <c r="ER46" s="110"/>
      <c r="ES46" s="110" t="s">
        <v>445</v>
      </c>
      <c r="ET46" s="25"/>
      <c r="EU46" s="25"/>
      <c r="EV46" s="25"/>
      <c r="EW46" s="25"/>
      <c r="EX46" s="110"/>
      <c r="EY46" s="110"/>
      <c r="EZ46" s="25"/>
      <c r="FA46" s="25"/>
      <c r="FB46" s="25"/>
      <c r="FC46" s="25"/>
      <c r="FD46" s="25"/>
      <c r="FE46" s="110"/>
      <c r="FF46" s="110"/>
      <c r="FG46" s="25"/>
      <c r="FH46" s="25"/>
      <c r="FI46" s="25"/>
      <c r="FJ46" s="25"/>
      <c r="FK46" s="25"/>
      <c r="FL46" s="110"/>
      <c r="FM46" s="110"/>
      <c r="FN46" s="25"/>
      <c r="FO46" s="25"/>
      <c r="FP46" s="25"/>
      <c r="FQ46" s="25"/>
      <c r="FR46" s="25"/>
      <c r="FS46" s="110"/>
      <c r="FT46" s="110"/>
      <c r="FU46" s="25"/>
      <c r="FV46" s="25"/>
      <c r="FW46" s="25"/>
      <c r="FX46" s="25"/>
      <c r="FY46" s="25"/>
      <c r="FZ46" s="110"/>
      <c r="GA46" s="110"/>
      <c r="GB46" s="25"/>
      <c r="GC46" s="25"/>
      <c r="GD46" s="25"/>
      <c r="GE46" s="25"/>
      <c r="GF46" s="25"/>
      <c r="GG46" s="110"/>
      <c r="GH46" s="110"/>
      <c r="GI46" s="25"/>
      <c r="GJ46" s="25"/>
      <c r="GK46" s="25"/>
      <c r="GL46" s="25"/>
      <c r="GM46" s="25"/>
      <c r="GN46" s="110"/>
      <c r="GO46" s="110"/>
      <c r="GP46" s="110"/>
      <c r="GQ46" s="110" t="s">
        <v>445</v>
      </c>
      <c r="GR46" s="25"/>
      <c r="GS46" s="25"/>
      <c r="GT46" s="25"/>
      <c r="GU46" s="110"/>
      <c r="GV46" s="110"/>
      <c r="GW46" s="25"/>
      <c r="GX46" s="25"/>
      <c r="GY46" s="25"/>
      <c r="GZ46" s="25"/>
      <c r="HA46" s="25"/>
      <c r="HB46" s="110"/>
      <c r="HC46" s="110"/>
      <c r="HD46" s="25"/>
      <c r="HE46" s="25"/>
      <c r="HF46" s="25"/>
      <c r="HG46" s="25"/>
      <c r="HH46" s="25"/>
      <c r="HI46" s="110"/>
      <c r="HJ46" s="110"/>
      <c r="HK46" s="25"/>
      <c r="HL46" s="25"/>
      <c r="HM46" s="25"/>
      <c r="HN46" s="25"/>
      <c r="HO46" s="25"/>
      <c r="HP46" s="110"/>
      <c r="HQ46" s="110"/>
      <c r="HR46" s="25"/>
      <c r="HS46" s="25"/>
      <c r="HT46" s="25"/>
      <c r="HU46" s="25"/>
      <c r="HV46" s="25"/>
      <c r="HW46" s="110"/>
      <c r="HX46" s="110"/>
      <c r="HY46" s="25"/>
      <c r="HZ46" s="25"/>
      <c r="IA46" s="25"/>
      <c r="IB46" s="25"/>
      <c r="IC46" s="25"/>
      <c r="ID46" s="110"/>
      <c r="IE46" s="110"/>
      <c r="IF46" s="25"/>
      <c r="IG46" s="25"/>
      <c r="IH46" s="25"/>
      <c r="II46" s="25"/>
      <c r="IJ46" s="25"/>
      <c r="IK46" s="110"/>
      <c r="IL46" s="110"/>
      <c r="IM46" s="25"/>
      <c r="IN46" s="25"/>
      <c r="IO46" s="25"/>
      <c r="IP46" s="25"/>
      <c r="IQ46" s="25"/>
      <c r="IR46" s="110"/>
      <c r="IS46" s="110"/>
      <c r="IT46" s="25"/>
      <c r="IU46" s="25"/>
      <c r="IV46" s="25"/>
      <c r="IW46" s="25"/>
      <c r="IX46" s="25"/>
      <c r="IY46" s="110"/>
      <c r="IZ46" s="110"/>
      <c r="JA46" s="25"/>
      <c r="JB46" s="25"/>
      <c r="JC46" s="25"/>
      <c r="JD46" s="25"/>
      <c r="JE46" s="25"/>
      <c r="JF46" s="110"/>
      <c r="JG46" s="110"/>
      <c r="JH46" s="25"/>
      <c r="JI46" s="25"/>
      <c r="JJ46" s="25"/>
      <c r="JK46" s="25"/>
      <c r="JL46" s="25"/>
      <c r="JM46" s="110"/>
      <c r="JN46" s="110"/>
      <c r="JO46" s="25"/>
      <c r="JP46" s="25"/>
      <c r="JQ46" s="25"/>
      <c r="JR46" s="25"/>
      <c r="JS46" s="25"/>
      <c r="JT46" s="110"/>
      <c r="JU46" s="110"/>
      <c r="JV46" s="25"/>
      <c r="JW46" s="25"/>
      <c r="JX46" s="25"/>
      <c r="JY46" s="25"/>
      <c r="JZ46" s="25"/>
      <c r="KA46" s="110"/>
      <c r="KB46" s="110"/>
      <c r="KC46" s="25"/>
      <c r="KD46" s="25"/>
      <c r="KE46" s="25"/>
      <c r="KF46" s="25"/>
      <c r="KG46" s="25"/>
      <c r="KH46" s="110"/>
      <c r="KI46" s="110"/>
      <c r="KJ46" s="25"/>
      <c r="KK46" s="25"/>
      <c r="KL46" s="25"/>
      <c r="KM46" s="25"/>
      <c r="KN46" s="25"/>
      <c r="KO46" s="110"/>
      <c r="KP46" s="110"/>
      <c r="KQ46" s="25"/>
      <c r="KR46" s="25"/>
      <c r="KS46" s="25"/>
      <c r="KT46" s="25"/>
      <c r="KU46" s="25"/>
      <c r="KV46" s="110"/>
      <c r="KW46" s="110"/>
      <c r="KX46" s="25"/>
      <c r="KY46" s="25"/>
      <c r="KZ46" s="25"/>
      <c r="LA46" s="25"/>
      <c r="LB46" s="25"/>
      <c r="LC46" s="110"/>
      <c r="LD46" s="110"/>
      <c r="LE46" s="25"/>
      <c r="LF46" s="25"/>
      <c r="LG46" s="110" t="s">
        <v>445</v>
      </c>
      <c r="LH46" s="25"/>
      <c r="LI46" s="25"/>
      <c r="LJ46" s="110"/>
      <c r="LK46" s="110"/>
      <c r="LL46" s="25"/>
      <c r="LM46" s="25"/>
      <c r="LN46" s="25"/>
      <c r="LO46" s="25"/>
      <c r="LP46" s="25"/>
      <c r="LQ46" s="110"/>
      <c r="LR46" s="110"/>
      <c r="LS46" s="25"/>
      <c r="LT46" s="25"/>
      <c r="LU46" s="25"/>
      <c r="LV46" s="25"/>
      <c r="LW46" s="25"/>
      <c r="LX46" s="110"/>
      <c r="LY46" s="110"/>
      <c r="LZ46" s="25"/>
      <c r="MA46" s="25"/>
      <c r="MB46" s="25"/>
      <c r="MC46" s="25"/>
      <c r="MD46" s="25"/>
      <c r="ME46" s="110"/>
      <c r="MF46" s="110"/>
      <c r="MG46" s="25"/>
      <c r="MH46" s="25"/>
      <c r="MI46" s="25"/>
      <c r="MJ46" s="25"/>
      <c r="MK46" s="25"/>
      <c r="ML46" s="110"/>
      <c r="MM46" s="110"/>
      <c r="MN46" s="25"/>
      <c r="MO46" s="25"/>
      <c r="MP46" s="25"/>
      <c r="MQ46" s="25"/>
      <c r="MR46" s="25"/>
      <c r="MS46" s="110"/>
      <c r="MT46" s="110"/>
      <c r="MU46" s="25"/>
      <c r="MV46" s="25"/>
      <c r="MW46" s="25"/>
      <c r="MX46" s="25"/>
      <c r="MY46" s="25"/>
      <c r="MZ46" s="110"/>
      <c r="NA46" s="110"/>
      <c r="NB46" s="25"/>
      <c r="NC46" s="25"/>
      <c r="ND46" s="25"/>
      <c r="NE46" s="129"/>
      <c r="NF46" s="111"/>
      <c r="NG46" s="8">
        <f t="shared" si="0"/>
        <v>0</v>
      </c>
      <c r="NH46" s="32" cm="1">
        <f t="array" ref="NH46">NETWORKDAYS($I$2,$AI$2)- SUM(COUNTIF(I46:AI46,{"I";"F";"CP";"R";"P";"AC";"AM"}))</f>
        <v>20</v>
      </c>
      <c r="NI46" s="138">
        <f t="shared" si="1"/>
        <v>0</v>
      </c>
      <c r="NJ46" s="8">
        <f t="shared" si="2"/>
        <v>0</v>
      </c>
      <c r="NK46" s="32" cm="1">
        <f t="array" ref="NK46">NETWORKDAYS($AJ$2,$BK$2)- SUM(COUNTIF(AJ46:BK46,{"I";"F";"CP";"R";"P";"AC";"AM"}))</f>
        <v>20</v>
      </c>
      <c r="NL46" s="138">
        <f t="shared" si="3"/>
        <v>0</v>
      </c>
      <c r="NM46" s="8">
        <f t="shared" si="4"/>
        <v>0</v>
      </c>
      <c r="NN46" s="32" cm="1">
        <f t="array" ref="NN46">NETWORKDAYS($BL$2,$CP$2)- SUM(COUNTIF(BL46:CP46,{"I";"F";"CP";"R";"P";"AC";"AM"}))</f>
        <v>22</v>
      </c>
      <c r="NO46" s="138">
        <f t="shared" si="5"/>
        <v>0</v>
      </c>
      <c r="NP46" s="8">
        <f t="shared" si="26"/>
        <v>0</v>
      </c>
      <c r="NQ46" s="32" cm="1">
        <f t="array" ref="NQ46">NETWORKDAYS($CQ$2,$DT$2,$CV$2)- SUM(COUNTIF(CQ46:DT46,{"I";"F";"CP";"R";"P";"AC";"AM"}))</f>
        <v>21</v>
      </c>
      <c r="NR46" s="138">
        <f t="shared" si="6"/>
        <v>0</v>
      </c>
      <c r="NS46" s="8">
        <f t="shared" si="7"/>
        <v>0</v>
      </c>
      <c r="NT46" s="32" cm="1">
        <f t="array" ref="NT46">NETWORKDAYS($DV$2,$EY$2)-SUM(COUNTIF(DV46:EY46,{"I";"F";"CP";"R";"P";"AC";"AM"}))</f>
        <v>16</v>
      </c>
      <c r="NU46" s="138">
        <f t="shared" si="8"/>
        <v>0</v>
      </c>
      <c r="NV46" s="8">
        <f t="shared" si="9"/>
        <v>0</v>
      </c>
      <c r="NW46" s="32" cm="1">
        <f t="array" ref="NW46">NETWORKDAYS($EZ$2,$GC$2)-SUM(COUNTIF(EZ126:GC126,{"I";"F";"CP";"R";"P";"AC";"AM"}))</f>
        <v>22</v>
      </c>
      <c r="NX46" s="138">
        <f t="shared" si="10"/>
        <v>0</v>
      </c>
      <c r="NY46" s="8">
        <f t="shared" si="11"/>
        <v>0</v>
      </c>
      <c r="NZ46" s="32" cm="1">
        <f t="array" ref="NZ46">NETWORKDAYS($GD$2,$HH$2,$GQ$2)-SUM(COUNTIF(GD46:HH46,{"I";"F";"CP";"R";"P";"AC";"AM"}))</f>
        <v>21</v>
      </c>
      <c r="OA46" s="138">
        <f t="shared" si="12"/>
        <v>0</v>
      </c>
      <c r="OB46" s="8">
        <f t="shared" si="13"/>
        <v>0</v>
      </c>
      <c r="OC46" s="32" cm="1">
        <f t="array" ref="OC46">NETWORKDAYS($HI$2,$IM$2)-SUM(COUNTIF(HI46:IM46,{"I";"F";"CP";"R";"P";"AC";"AM"}))</f>
        <v>21</v>
      </c>
      <c r="OD46" s="138">
        <f t="shared" si="14"/>
        <v>0</v>
      </c>
      <c r="OE46" s="8">
        <f t="shared" si="15"/>
        <v>0</v>
      </c>
      <c r="OF46" s="32" cm="1">
        <f t="array" ref="OF46">NETWORKDAYS($IN$2,$JQ$2)-SUM(COUNTIF(IN46:JQ46,{"I";"F";"CP";"R";"P";"AC";"AM"}))</f>
        <v>22</v>
      </c>
      <c r="OG46" s="138">
        <f t="shared" si="16"/>
        <v>0</v>
      </c>
      <c r="OH46" s="8">
        <f t="shared" si="17"/>
        <v>0</v>
      </c>
      <c r="OI46" s="32" cm="1">
        <f t="array" ref="OI46">NETWORKDAYS($JR$2,$KV$2)-SUM(COUNTIF(JR46:KV46,{"I";"F";"CP";"R";"P";"AC";"AM"}))</f>
        <v>22</v>
      </c>
      <c r="OJ46" s="138">
        <f t="shared" si="18"/>
        <v>0</v>
      </c>
      <c r="OK46" s="8">
        <f t="shared" si="19"/>
        <v>0</v>
      </c>
      <c r="OL46" s="32" cm="1">
        <f t="array" ref="OL46">NETWORKDAYS($KW$2,$LZ$2,$LG$2)-SUM(COUNTIF(KW46:LZ46,{"I";"F";"CP";"R";"P";"AC";"AM"}))</f>
        <v>19</v>
      </c>
      <c r="OM46" s="138">
        <f t="shared" si="20"/>
        <v>0</v>
      </c>
      <c r="ON46" s="8">
        <f t="shared" si="21"/>
        <v>0</v>
      </c>
      <c r="OO46" s="32" cm="1">
        <f t="array" ref="OO46">NETWORKDAYS($MA$2,$MR$2)-SUM(COUNTIF(MA46:MR46,{"I";"F";"CP";"R";"P";"AC";"AM"}))</f>
        <v>14</v>
      </c>
      <c r="OP46" s="138">
        <f t="shared" si="22"/>
        <v>0</v>
      </c>
      <c r="OQ46" s="94">
        <f t="shared" si="23"/>
        <v>0</v>
      </c>
      <c r="OR46" s="94">
        <f t="shared" si="24"/>
        <v>240</v>
      </c>
      <c r="OS46" s="138">
        <f t="shared" si="25"/>
        <v>0</v>
      </c>
    </row>
    <row r="47" spans="1:409" ht="18" customHeight="1" x14ac:dyDescent="0.25">
      <c r="A47" s="95" t="s">
        <v>181</v>
      </c>
      <c r="B47" s="95" t="s">
        <v>34</v>
      </c>
      <c r="C47" s="89" t="s">
        <v>166</v>
      </c>
      <c r="D47" s="89" t="s">
        <v>222</v>
      </c>
      <c r="E47" s="128"/>
      <c r="F47" s="110"/>
      <c r="G47" s="110"/>
      <c r="H47" s="110"/>
      <c r="I47" s="25" t="s">
        <v>248</v>
      </c>
      <c r="J47" s="25" t="s">
        <v>248</v>
      </c>
      <c r="K47" s="25" t="s">
        <v>248</v>
      </c>
      <c r="L47" s="25" t="s">
        <v>248</v>
      </c>
      <c r="M47" s="25" t="s">
        <v>248</v>
      </c>
      <c r="N47" s="110"/>
      <c r="O47" s="110"/>
      <c r="P47" s="25">
        <v>1</v>
      </c>
      <c r="Q47" s="25">
        <v>1</v>
      </c>
      <c r="R47" s="25">
        <v>1</v>
      </c>
      <c r="S47" s="25">
        <v>1</v>
      </c>
      <c r="T47" s="25">
        <v>1</v>
      </c>
      <c r="U47" s="110"/>
      <c r="V47" s="110"/>
      <c r="W47" s="25"/>
      <c r="X47" s="25">
        <v>1</v>
      </c>
      <c r="Y47" s="25">
        <v>1</v>
      </c>
      <c r="Z47" s="25">
        <v>1</v>
      </c>
      <c r="AA47" s="25" t="s">
        <v>447</v>
      </c>
      <c r="AB47" s="110"/>
      <c r="AC47" s="110"/>
      <c r="AD47" s="25"/>
      <c r="AE47" s="25">
        <v>1</v>
      </c>
      <c r="AF47" s="25">
        <v>1</v>
      </c>
      <c r="AG47" s="25">
        <v>1</v>
      </c>
      <c r="AH47" s="25">
        <v>1</v>
      </c>
      <c r="AI47" s="110"/>
      <c r="AJ47" s="110"/>
      <c r="AK47" s="25">
        <v>1</v>
      </c>
      <c r="AL47" s="25">
        <v>1</v>
      </c>
      <c r="AM47" s="25">
        <v>1</v>
      </c>
      <c r="AN47" s="25"/>
      <c r="AO47" s="25"/>
      <c r="AP47" s="110"/>
      <c r="AQ47" s="110"/>
      <c r="AR47" s="25"/>
      <c r="AS47" s="25">
        <v>1</v>
      </c>
      <c r="AT47" s="25">
        <v>1</v>
      </c>
      <c r="AU47" s="25">
        <v>1</v>
      </c>
      <c r="AV47" s="25">
        <v>1</v>
      </c>
      <c r="AW47" s="110"/>
      <c r="AX47" s="110"/>
      <c r="AY47" s="25">
        <v>1</v>
      </c>
      <c r="AZ47" s="25">
        <v>1</v>
      </c>
      <c r="BA47" s="25">
        <v>1</v>
      </c>
      <c r="BB47" s="25">
        <v>1</v>
      </c>
      <c r="BC47" s="25">
        <v>1</v>
      </c>
      <c r="BD47" s="110"/>
      <c r="BE47" s="110"/>
      <c r="BF47" s="25" t="s">
        <v>445</v>
      </c>
      <c r="BG47" s="25" t="s">
        <v>445</v>
      </c>
      <c r="BH47" s="25">
        <v>1</v>
      </c>
      <c r="BI47" s="25">
        <v>1</v>
      </c>
      <c r="BJ47" s="25">
        <v>1</v>
      </c>
      <c r="BK47" s="110"/>
      <c r="BL47" s="110"/>
      <c r="BM47" s="25">
        <v>1</v>
      </c>
      <c r="BN47" s="25">
        <v>1</v>
      </c>
      <c r="BO47" s="25">
        <v>1</v>
      </c>
      <c r="BP47" s="25">
        <v>1</v>
      </c>
      <c r="BQ47" s="25">
        <v>1</v>
      </c>
      <c r="BR47" s="110"/>
      <c r="BS47" s="110"/>
      <c r="BT47" s="25" t="s">
        <v>223</v>
      </c>
      <c r="BU47" s="25" t="s">
        <v>223</v>
      </c>
      <c r="BV47" s="25" t="s">
        <v>223</v>
      </c>
      <c r="BW47" s="25" t="s">
        <v>223</v>
      </c>
      <c r="BX47" s="25" t="s">
        <v>223</v>
      </c>
      <c r="BY47" s="110"/>
      <c r="BZ47" s="110"/>
      <c r="CA47" s="25">
        <v>1</v>
      </c>
      <c r="CB47" s="25">
        <v>1</v>
      </c>
      <c r="CC47" s="25">
        <v>1</v>
      </c>
      <c r="CD47" s="25">
        <v>1</v>
      </c>
      <c r="CE47" s="25">
        <v>1</v>
      </c>
      <c r="CF47" s="110"/>
      <c r="CG47" s="110"/>
      <c r="CH47" s="25">
        <v>1</v>
      </c>
      <c r="CI47" s="25">
        <v>1</v>
      </c>
      <c r="CJ47" s="25">
        <v>1</v>
      </c>
      <c r="CK47" s="25">
        <v>1</v>
      </c>
      <c r="CL47" s="25">
        <v>1</v>
      </c>
      <c r="CM47" s="110"/>
      <c r="CN47" s="110"/>
      <c r="CO47" s="25">
        <v>1</v>
      </c>
      <c r="CP47" s="25">
        <v>1</v>
      </c>
      <c r="CQ47" s="25">
        <v>1</v>
      </c>
      <c r="CR47" s="25">
        <v>1</v>
      </c>
      <c r="CS47" s="25">
        <v>1</v>
      </c>
      <c r="CT47" s="110"/>
      <c r="CU47" s="110"/>
      <c r="CV47" s="110"/>
      <c r="CW47" s="25">
        <v>1</v>
      </c>
      <c r="CX47" s="25">
        <v>1</v>
      </c>
      <c r="CY47" s="25">
        <v>1</v>
      </c>
      <c r="CZ47" s="25">
        <v>1</v>
      </c>
      <c r="DA47" s="110"/>
      <c r="DB47" s="110"/>
      <c r="DC47" s="25">
        <v>1</v>
      </c>
      <c r="DD47" s="25">
        <v>1</v>
      </c>
      <c r="DE47" s="25">
        <v>1</v>
      </c>
      <c r="DF47" s="25">
        <v>1</v>
      </c>
      <c r="DG47" s="25">
        <v>1</v>
      </c>
      <c r="DH47" s="110"/>
      <c r="DI47" s="110"/>
      <c r="DJ47" s="25">
        <v>1</v>
      </c>
      <c r="DK47" s="25">
        <v>1</v>
      </c>
      <c r="DL47" s="25">
        <v>1</v>
      </c>
      <c r="DM47" s="25"/>
      <c r="DN47" s="25"/>
      <c r="DO47" s="110"/>
      <c r="DP47" s="110"/>
      <c r="DQ47" s="25"/>
      <c r="DR47" s="25"/>
      <c r="DS47" s="25"/>
      <c r="DT47" s="25"/>
      <c r="DU47" s="110"/>
      <c r="DV47" s="110"/>
      <c r="DW47" s="110"/>
      <c r="DX47" s="25"/>
      <c r="DY47" s="25">
        <v>1</v>
      </c>
      <c r="DZ47" s="25">
        <v>1</v>
      </c>
      <c r="EA47" s="25">
        <v>1</v>
      </c>
      <c r="EB47" s="110" t="s">
        <v>445</v>
      </c>
      <c r="EC47" s="110"/>
      <c r="ED47" s="110"/>
      <c r="EE47" s="25">
        <v>1</v>
      </c>
      <c r="EF47" s="25">
        <v>1</v>
      </c>
      <c r="EG47" s="25">
        <v>1</v>
      </c>
      <c r="EH47" s="110" t="s">
        <v>445</v>
      </c>
      <c r="EI47" s="110" t="s">
        <v>445</v>
      </c>
      <c r="EJ47" s="110"/>
      <c r="EK47" s="110"/>
      <c r="EL47" s="25">
        <v>1</v>
      </c>
      <c r="EM47" s="25"/>
      <c r="EN47" s="25"/>
      <c r="EO47" s="25"/>
      <c r="EP47" s="25"/>
      <c r="EQ47" s="110"/>
      <c r="ER47" s="110"/>
      <c r="ES47" s="110" t="s">
        <v>445</v>
      </c>
      <c r="ET47" s="25"/>
      <c r="EU47" s="25"/>
      <c r="EV47" s="25"/>
      <c r="EW47" s="25"/>
      <c r="EX47" s="110"/>
      <c r="EY47" s="110"/>
      <c r="EZ47" s="25"/>
      <c r="FA47" s="25"/>
      <c r="FB47" s="25"/>
      <c r="FC47" s="25"/>
      <c r="FD47" s="25"/>
      <c r="FE47" s="110"/>
      <c r="FF47" s="110"/>
      <c r="FG47" s="25"/>
      <c r="FH47" s="25"/>
      <c r="FI47" s="25"/>
      <c r="FJ47" s="25"/>
      <c r="FK47" s="25"/>
      <c r="FL47" s="110"/>
      <c r="FM47" s="110"/>
      <c r="FN47" s="25"/>
      <c r="FO47" s="25"/>
      <c r="FP47" s="25"/>
      <c r="FQ47" s="25"/>
      <c r="FR47" s="25"/>
      <c r="FS47" s="110"/>
      <c r="FT47" s="110"/>
      <c r="FU47" s="25"/>
      <c r="FV47" s="25"/>
      <c r="FW47" s="25"/>
      <c r="FX47" s="25"/>
      <c r="FY47" s="25"/>
      <c r="FZ47" s="110"/>
      <c r="GA47" s="110"/>
      <c r="GB47" s="25"/>
      <c r="GC47" s="25"/>
      <c r="GD47" s="25"/>
      <c r="GE47" s="25"/>
      <c r="GF47" s="25"/>
      <c r="GG47" s="110"/>
      <c r="GH47" s="110"/>
      <c r="GI47" s="25"/>
      <c r="GJ47" s="25"/>
      <c r="GK47" s="25"/>
      <c r="GL47" s="25"/>
      <c r="GM47" s="25"/>
      <c r="GN47" s="110"/>
      <c r="GO47" s="110"/>
      <c r="GP47" s="110"/>
      <c r="GQ47" s="110" t="s">
        <v>445</v>
      </c>
      <c r="GR47" s="25"/>
      <c r="GS47" s="25"/>
      <c r="GT47" s="25"/>
      <c r="GU47" s="110"/>
      <c r="GV47" s="110"/>
      <c r="GW47" s="25"/>
      <c r="GX47" s="25"/>
      <c r="GY47" s="25"/>
      <c r="GZ47" s="25"/>
      <c r="HA47" s="25"/>
      <c r="HB47" s="110"/>
      <c r="HC47" s="110"/>
      <c r="HD47" s="25"/>
      <c r="HE47" s="25"/>
      <c r="HF47" s="25"/>
      <c r="HG47" s="25"/>
      <c r="HH47" s="25"/>
      <c r="HI47" s="110"/>
      <c r="HJ47" s="110"/>
      <c r="HK47" s="25"/>
      <c r="HL47" s="25"/>
      <c r="HM47" s="25"/>
      <c r="HN47" s="25"/>
      <c r="HO47" s="25"/>
      <c r="HP47" s="110"/>
      <c r="HQ47" s="110"/>
      <c r="HR47" s="25"/>
      <c r="HS47" s="25"/>
      <c r="HT47" s="25"/>
      <c r="HU47" s="25"/>
      <c r="HV47" s="25"/>
      <c r="HW47" s="110"/>
      <c r="HX47" s="110"/>
      <c r="HY47" s="25"/>
      <c r="HZ47" s="25"/>
      <c r="IA47" s="25"/>
      <c r="IB47" s="25"/>
      <c r="IC47" s="25"/>
      <c r="ID47" s="110"/>
      <c r="IE47" s="110"/>
      <c r="IF47" s="25"/>
      <c r="IG47" s="25"/>
      <c r="IH47" s="25"/>
      <c r="II47" s="25"/>
      <c r="IJ47" s="25"/>
      <c r="IK47" s="110"/>
      <c r="IL47" s="110"/>
      <c r="IM47" s="25"/>
      <c r="IN47" s="25"/>
      <c r="IO47" s="25"/>
      <c r="IP47" s="25"/>
      <c r="IQ47" s="25"/>
      <c r="IR47" s="110"/>
      <c r="IS47" s="110"/>
      <c r="IT47" s="25"/>
      <c r="IU47" s="25"/>
      <c r="IV47" s="25"/>
      <c r="IW47" s="25"/>
      <c r="IX47" s="25"/>
      <c r="IY47" s="110"/>
      <c r="IZ47" s="110"/>
      <c r="JA47" s="25"/>
      <c r="JB47" s="25"/>
      <c r="JC47" s="25"/>
      <c r="JD47" s="25"/>
      <c r="JE47" s="25"/>
      <c r="JF47" s="110"/>
      <c r="JG47" s="110"/>
      <c r="JH47" s="25"/>
      <c r="JI47" s="25"/>
      <c r="JJ47" s="25"/>
      <c r="JK47" s="25"/>
      <c r="JL47" s="25"/>
      <c r="JM47" s="110"/>
      <c r="JN47" s="110"/>
      <c r="JO47" s="25"/>
      <c r="JP47" s="25"/>
      <c r="JQ47" s="25"/>
      <c r="JR47" s="25"/>
      <c r="JS47" s="25"/>
      <c r="JT47" s="110"/>
      <c r="JU47" s="110"/>
      <c r="JV47" s="25"/>
      <c r="JW47" s="25"/>
      <c r="JX47" s="25"/>
      <c r="JY47" s="25"/>
      <c r="JZ47" s="25"/>
      <c r="KA47" s="110"/>
      <c r="KB47" s="110"/>
      <c r="KC47" s="25"/>
      <c r="KD47" s="25"/>
      <c r="KE47" s="25"/>
      <c r="KF47" s="25"/>
      <c r="KG47" s="25"/>
      <c r="KH47" s="110"/>
      <c r="KI47" s="110"/>
      <c r="KJ47" s="25"/>
      <c r="KK47" s="25"/>
      <c r="KL47" s="25"/>
      <c r="KM47" s="25"/>
      <c r="KN47" s="25"/>
      <c r="KO47" s="110"/>
      <c r="KP47" s="110"/>
      <c r="KQ47" s="25"/>
      <c r="KR47" s="25"/>
      <c r="KS47" s="25"/>
      <c r="KT47" s="25"/>
      <c r="KU47" s="25"/>
      <c r="KV47" s="110"/>
      <c r="KW47" s="110"/>
      <c r="KX47" s="25"/>
      <c r="KY47" s="25"/>
      <c r="KZ47" s="25"/>
      <c r="LA47" s="25"/>
      <c r="LB47" s="25"/>
      <c r="LC47" s="110"/>
      <c r="LD47" s="110"/>
      <c r="LE47" s="25"/>
      <c r="LF47" s="25"/>
      <c r="LG47" s="110" t="s">
        <v>445</v>
      </c>
      <c r="LH47" s="25"/>
      <c r="LI47" s="25"/>
      <c r="LJ47" s="110"/>
      <c r="LK47" s="110"/>
      <c r="LL47" s="25"/>
      <c r="LM47" s="25"/>
      <c r="LN47" s="25"/>
      <c r="LO47" s="25"/>
      <c r="LP47" s="25"/>
      <c r="LQ47" s="110"/>
      <c r="LR47" s="110"/>
      <c r="LS47" s="25"/>
      <c r="LT47" s="25"/>
      <c r="LU47" s="25"/>
      <c r="LV47" s="25"/>
      <c r="LW47" s="25"/>
      <c r="LX47" s="110"/>
      <c r="LY47" s="110"/>
      <c r="LZ47" s="25"/>
      <c r="MA47" s="25"/>
      <c r="MB47" s="25"/>
      <c r="MC47" s="25"/>
      <c r="MD47" s="25"/>
      <c r="ME47" s="110"/>
      <c r="MF47" s="110"/>
      <c r="MG47" s="25"/>
      <c r="MH47" s="25"/>
      <c r="MI47" s="25"/>
      <c r="MJ47" s="25"/>
      <c r="MK47" s="25"/>
      <c r="ML47" s="110"/>
      <c r="MM47" s="110"/>
      <c r="MN47" s="25"/>
      <c r="MO47" s="25"/>
      <c r="MP47" s="25"/>
      <c r="MQ47" s="25"/>
      <c r="MR47" s="25"/>
      <c r="MS47" s="110"/>
      <c r="MT47" s="110"/>
      <c r="MU47" s="25"/>
      <c r="MV47" s="25"/>
      <c r="MW47" s="25"/>
      <c r="MX47" s="25"/>
      <c r="MY47" s="25"/>
      <c r="MZ47" s="110"/>
      <c r="NA47" s="110"/>
      <c r="NB47" s="25"/>
      <c r="NC47" s="25"/>
      <c r="ND47" s="25"/>
      <c r="NE47" s="129"/>
      <c r="NF47" s="111"/>
      <c r="NG47" s="8">
        <f t="shared" si="0"/>
        <v>12</v>
      </c>
      <c r="NH47" s="32" cm="1">
        <f t="array" ref="NH47">NETWORKDAYS($I$2,$AI$2)- SUM(COUNTIF(I47:AI47,{"I";"F";"CP";"R";"P";"AC";"AM"}))</f>
        <v>19</v>
      </c>
      <c r="NI47" s="138">
        <f t="shared" si="1"/>
        <v>0.63157894736842102</v>
      </c>
      <c r="NJ47" s="8">
        <f t="shared" si="2"/>
        <v>15</v>
      </c>
      <c r="NK47" s="32" cm="1">
        <f t="array" ref="NK47">NETWORKDAYS($AJ$2,$BK$2)- SUM(COUNTIF(AJ47:BK47,{"I";"F";"CP";"R";"P";"AC";"AM"}))</f>
        <v>18</v>
      </c>
      <c r="NL47" s="138">
        <f t="shared" si="3"/>
        <v>0.83333333333333337</v>
      </c>
      <c r="NM47" s="8">
        <f t="shared" si="4"/>
        <v>17</v>
      </c>
      <c r="NN47" s="32" cm="1">
        <f t="array" ref="NN47">NETWORKDAYS($BL$2,$CP$2)- SUM(COUNTIF(BL47:CP47,{"I";"F";"CP";"R";"P";"AC";"AM"}))</f>
        <v>17</v>
      </c>
      <c r="NO47" s="138">
        <f t="shared" si="5"/>
        <v>1</v>
      </c>
      <c r="NP47" s="8">
        <f t="shared" si="26"/>
        <v>15</v>
      </c>
      <c r="NQ47" s="32" cm="1">
        <f t="array" ref="NQ47">NETWORKDAYS($CQ$2,$DT$2,$CV$2)- SUM(COUNTIF(CQ47:DT47,{"I";"F";"CP";"R";"P";"AC";"AM"}))</f>
        <v>21</v>
      </c>
      <c r="NR47" s="138">
        <f t="shared" si="6"/>
        <v>0.7142857142857143</v>
      </c>
      <c r="NS47" s="8">
        <f t="shared" si="7"/>
        <v>7</v>
      </c>
      <c r="NT47" s="32" cm="1">
        <f t="array" ref="NT47">NETWORKDAYS($DV$2,$EY$2)-SUM(COUNTIF(DV47:EY47,{"I";"F";"CP";"R";"P";"AC";"AM"}))</f>
        <v>16</v>
      </c>
      <c r="NU47" s="138">
        <f t="shared" si="8"/>
        <v>0.4375</v>
      </c>
      <c r="NV47" s="8">
        <f t="shared" si="9"/>
        <v>0</v>
      </c>
      <c r="NW47" s="32" cm="1">
        <f t="array" ref="NW47">NETWORKDAYS($EZ$2,$GC$2)-SUM(COUNTIF(EZ127:GC127,{"I";"F";"CP";"R";"P";"AC";"AM"}))</f>
        <v>22</v>
      </c>
      <c r="NX47" s="138">
        <f t="shared" si="10"/>
        <v>0</v>
      </c>
      <c r="NY47" s="8">
        <f t="shared" si="11"/>
        <v>0</v>
      </c>
      <c r="NZ47" s="32" cm="1">
        <f t="array" ref="NZ47">NETWORKDAYS($GD$2,$HH$2,$GQ$2)-SUM(COUNTIF(GD47:HH47,{"I";"F";"CP";"R";"P";"AC";"AM"}))</f>
        <v>21</v>
      </c>
      <c r="OA47" s="138">
        <f t="shared" si="12"/>
        <v>0</v>
      </c>
      <c r="OB47" s="8">
        <f t="shared" si="13"/>
        <v>0</v>
      </c>
      <c r="OC47" s="32" cm="1">
        <f t="array" ref="OC47">NETWORKDAYS($HI$2,$IM$2)-SUM(COUNTIF(HI47:IM47,{"I";"F";"CP";"R";"P";"AC";"AM"}))</f>
        <v>21</v>
      </c>
      <c r="OD47" s="138">
        <f t="shared" si="14"/>
        <v>0</v>
      </c>
      <c r="OE47" s="8">
        <f t="shared" si="15"/>
        <v>0</v>
      </c>
      <c r="OF47" s="32" cm="1">
        <f t="array" ref="OF47">NETWORKDAYS($IN$2,$JQ$2)-SUM(COUNTIF(IN47:JQ47,{"I";"F";"CP";"R";"P";"AC";"AM"}))</f>
        <v>22</v>
      </c>
      <c r="OG47" s="138">
        <f t="shared" si="16"/>
        <v>0</v>
      </c>
      <c r="OH47" s="8">
        <f t="shared" si="17"/>
        <v>0</v>
      </c>
      <c r="OI47" s="32" cm="1">
        <f t="array" ref="OI47">NETWORKDAYS($JR$2,$KV$2)-SUM(COUNTIF(JR47:KV47,{"I";"F";"CP";"R";"P";"AC";"AM"}))</f>
        <v>22</v>
      </c>
      <c r="OJ47" s="138">
        <f t="shared" si="18"/>
        <v>0</v>
      </c>
      <c r="OK47" s="8">
        <f t="shared" si="19"/>
        <v>0</v>
      </c>
      <c r="OL47" s="32" cm="1">
        <f t="array" ref="OL47">NETWORKDAYS($KW$2,$LZ$2,$LG$2)-SUM(COUNTIF(KW47:LZ47,{"I";"F";"CP";"R";"P";"AC";"AM"}))</f>
        <v>19</v>
      </c>
      <c r="OM47" s="138">
        <f t="shared" si="20"/>
        <v>0</v>
      </c>
      <c r="ON47" s="8">
        <f t="shared" si="21"/>
        <v>0</v>
      </c>
      <c r="OO47" s="32" cm="1">
        <f t="array" ref="OO47">NETWORKDAYS($MA$2,$MR$2)-SUM(COUNTIF(MA47:MR47,{"I";"F";"CP";"R";"P";"AC";"AM"}))</f>
        <v>14</v>
      </c>
      <c r="OP47" s="138">
        <f t="shared" si="22"/>
        <v>0</v>
      </c>
      <c r="OQ47" s="94">
        <f t="shared" si="23"/>
        <v>66</v>
      </c>
      <c r="OR47" s="94">
        <f t="shared" si="24"/>
        <v>232</v>
      </c>
      <c r="OS47" s="138">
        <f t="shared" si="25"/>
        <v>0.28448275862068967</v>
      </c>
    </row>
    <row r="48" spans="1:409" ht="18" hidden="1" customHeight="1" x14ac:dyDescent="0.25">
      <c r="A48" s="95" t="s">
        <v>468</v>
      </c>
      <c r="B48" s="95" t="s">
        <v>34</v>
      </c>
      <c r="C48" s="89" t="s">
        <v>166</v>
      </c>
      <c r="D48" s="89" t="s">
        <v>225</v>
      </c>
      <c r="E48" s="128"/>
      <c r="F48" s="110"/>
      <c r="G48" s="110"/>
      <c r="H48" s="110"/>
      <c r="I48" s="25"/>
      <c r="J48" s="25"/>
      <c r="K48" s="25"/>
      <c r="L48" s="25"/>
      <c r="M48" s="25"/>
      <c r="N48" s="110"/>
      <c r="O48" s="110"/>
      <c r="P48" s="25"/>
      <c r="Q48" s="25"/>
      <c r="R48" s="25"/>
      <c r="S48" s="25"/>
      <c r="T48" s="25"/>
      <c r="U48" s="110"/>
      <c r="V48" s="110"/>
      <c r="W48" s="25"/>
      <c r="X48" s="25"/>
      <c r="Y48" s="25"/>
      <c r="Z48" s="25"/>
      <c r="AA48" s="25"/>
      <c r="AB48" s="110"/>
      <c r="AC48" s="110"/>
      <c r="AD48" s="25"/>
      <c r="AE48" s="25"/>
      <c r="AF48" s="25"/>
      <c r="AG48" s="25"/>
      <c r="AH48" s="25"/>
      <c r="AI48" s="110"/>
      <c r="AJ48" s="110"/>
      <c r="AK48" s="25"/>
      <c r="AL48" s="25"/>
      <c r="AM48" s="25"/>
      <c r="AN48" s="25"/>
      <c r="AO48" s="25"/>
      <c r="AP48" s="110"/>
      <c r="AQ48" s="110"/>
      <c r="AR48" s="25"/>
      <c r="AS48" s="25"/>
      <c r="AT48" s="25"/>
      <c r="AU48" s="25"/>
      <c r="AV48" s="25"/>
      <c r="AW48" s="110"/>
      <c r="AX48" s="110"/>
      <c r="AY48" s="25"/>
      <c r="AZ48" s="25"/>
      <c r="BA48" s="25"/>
      <c r="BB48" s="25"/>
      <c r="BC48" s="25"/>
      <c r="BD48" s="110"/>
      <c r="BE48" s="110"/>
      <c r="BF48" s="25"/>
      <c r="BG48" s="25"/>
      <c r="BH48" s="25"/>
      <c r="BI48" s="25"/>
      <c r="BJ48" s="25"/>
      <c r="BK48" s="110"/>
      <c r="BL48" s="110"/>
      <c r="BM48" s="25"/>
      <c r="BN48" s="25"/>
      <c r="BO48" s="25"/>
      <c r="BP48" s="25"/>
      <c r="BQ48" s="25"/>
      <c r="BR48" s="110"/>
      <c r="BS48" s="110"/>
      <c r="BT48" s="25"/>
      <c r="BU48" s="25"/>
      <c r="BV48" s="25"/>
      <c r="BW48" s="25"/>
      <c r="BX48" s="25"/>
      <c r="BY48" s="110"/>
      <c r="BZ48" s="110"/>
      <c r="CA48" s="25"/>
      <c r="CB48" s="25"/>
      <c r="CC48" s="25"/>
      <c r="CD48" s="25"/>
      <c r="CE48" s="25"/>
      <c r="CF48" s="110"/>
      <c r="CG48" s="110"/>
      <c r="CH48" s="25"/>
      <c r="CI48" s="25"/>
      <c r="CJ48" s="25"/>
      <c r="CK48" s="25"/>
      <c r="CL48" s="25"/>
      <c r="CM48" s="110"/>
      <c r="CN48" s="110"/>
      <c r="CO48" s="25"/>
      <c r="CP48" s="25"/>
      <c r="CQ48" s="25"/>
      <c r="CR48" s="25"/>
      <c r="CS48" s="25"/>
      <c r="CT48" s="110"/>
      <c r="CU48" s="110"/>
      <c r="CV48" s="110"/>
      <c r="CW48" s="25"/>
      <c r="CX48" s="25"/>
      <c r="CY48" s="25"/>
      <c r="CZ48" s="25"/>
      <c r="DA48" s="110"/>
      <c r="DB48" s="110"/>
      <c r="DC48" s="25"/>
      <c r="DD48" s="25"/>
      <c r="DE48" s="25"/>
      <c r="DF48" s="25"/>
      <c r="DG48" s="25"/>
      <c r="DH48" s="110"/>
      <c r="DI48" s="110"/>
      <c r="DJ48" s="25"/>
      <c r="DK48" s="25"/>
      <c r="DL48" s="25"/>
      <c r="DM48" s="25"/>
      <c r="DN48" s="25"/>
      <c r="DO48" s="110"/>
      <c r="DP48" s="110"/>
      <c r="DQ48" s="25"/>
      <c r="DR48" s="25"/>
      <c r="DS48" s="25"/>
      <c r="DT48" s="25"/>
      <c r="DU48" s="110"/>
      <c r="DV48" s="110"/>
      <c r="DW48" s="110"/>
      <c r="DX48" s="25"/>
      <c r="DY48" s="25"/>
      <c r="DZ48" s="25"/>
      <c r="EA48" s="25"/>
      <c r="EB48" s="110" t="s">
        <v>445</v>
      </c>
      <c r="EC48" s="110"/>
      <c r="ED48" s="110"/>
      <c r="EE48" s="25"/>
      <c r="EF48" s="25"/>
      <c r="EG48" s="25"/>
      <c r="EH48" s="110" t="s">
        <v>445</v>
      </c>
      <c r="EI48" s="110" t="s">
        <v>445</v>
      </c>
      <c r="EJ48" s="110"/>
      <c r="EK48" s="110"/>
      <c r="EL48" s="25"/>
      <c r="EM48" s="25"/>
      <c r="EN48" s="25"/>
      <c r="EO48" s="25"/>
      <c r="EP48" s="25"/>
      <c r="EQ48" s="110"/>
      <c r="ER48" s="110"/>
      <c r="ES48" s="110" t="s">
        <v>445</v>
      </c>
      <c r="ET48" s="25"/>
      <c r="EU48" s="25"/>
      <c r="EV48" s="25"/>
      <c r="EW48" s="25"/>
      <c r="EX48" s="110"/>
      <c r="EY48" s="110"/>
      <c r="EZ48" s="25"/>
      <c r="FA48" s="25"/>
      <c r="FB48" s="25"/>
      <c r="FC48" s="25"/>
      <c r="FD48" s="25"/>
      <c r="FE48" s="110"/>
      <c r="FF48" s="110"/>
      <c r="FG48" s="25"/>
      <c r="FH48" s="25"/>
      <c r="FI48" s="25"/>
      <c r="FJ48" s="25"/>
      <c r="FK48" s="25"/>
      <c r="FL48" s="110"/>
      <c r="FM48" s="110"/>
      <c r="FN48" s="25"/>
      <c r="FO48" s="25"/>
      <c r="FP48" s="25"/>
      <c r="FQ48" s="25"/>
      <c r="FR48" s="25"/>
      <c r="FS48" s="110"/>
      <c r="FT48" s="110"/>
      <c r="FU48" s="25"/>
      <c r="FV48" s="25"/>
      <c r="FW48" s="25"/>
      <c r="FX48" s="25"/>
      <c r="FY48" s="25"/>
      <c r="FZ48" s="110"/>
      <c r="GA48" s="110"/>
      <c r="GB48" s="25"/>
      <c r="GC48" s="25"/>
      <c r="GD48" s="25"/>
      <c r="GE48" s="25"/>
      <c r="GF48" s="25"/>
      <c r="GG48" s="110"/>
      <c r="GH48" s="110"/>
      <c r="GI48" s="25"/>
      <c r="GJ48" s="25"/>
      <c r="GK48" s="25"/>
      <c r="GL48" s="25"/>
      <c r="GM48" s="25"/>
      <c r="GN48" s="110"/>
      <c r="GO48" s="110"/>
      <c r="GP48" s="110"/>
      <c r="GQ48" s="110" t="s">
        <v>445</v>
      </c>
      <c r="GR48" s="25"/>
      <c r="GS48" s="25"/>
      <c r="GT48" s="25"/>
      <c r="GU48" s="110"/>
      <c r="GV48" s="110"/>
      <c r="GW48" s="25"/>
      <c r="GX48" s="25"/>
      <c r="GY48" s="25"/>
      <c r="GZ48" s="25"/>
      <c r="HA48" s="25"/>
      <c r="HB48" s="110"/>
      <c r="HC48" s="110"/>
      <c r="HD48" s="25"/>
      <c r="HE48" s="25"/>
      <c r="HF48" s="25"/>
      <c r="HG48" s="25"/>
      <c r="HH48" s="25"/>
      <c r="HI48" s="110"/>
      <c r="HJ48" s="110"/>
      <c r="HK48" s="25"/>
      <c r="HL48" s="25"/>
      <c r="HM48" s="25"/>
      <c r="HN48" s="25"/>
      <c r="HO48" s="25"/>
      <c r="HP48" s="110"/>
      <c r="HQ48" s="110"/>
      <c r="HR48" s="25"/>
      <c r="HS48" s="25"/>
      <c r="HT48" s="25"/>
      <c r="HU48" s="25"/>
      <c r="HV48" s="25"/>
      <c r="HW48" s="110"/>
      <c r="HX48" s="110"/>
      <c r="HY48" s="25"/>
      <c r="HZ48" s="25"/>
      <c r="IA48" s="25"/>
      <c r="IB48" s="25"/>
      <c r="IC48" s="25"/>
      <c r="ID48" s="110"/>
      <c r="IE48" s="110"/>
      <c r="IF48" s="25"/>
      <c r="IG48" s="25"/>
      <c r="IH48" s="25"/>
      <c r="II48" s="25"/>
      <c r="IJ48" s="25"/>
      <c r="IK48" s="110"/>
      <c r="IL48" s="110"/>
      <c r="IM48" s="25"/>
      <c r="IN48" s="25"/>
      <c r="IO48" s="25"/>
      <c r="IP48" s="25"/>
      <c r="IQ48" s="25"/>
      <c r="IR48" s="110"/>
      <c r="IS48" s="110"/>
      <c r="IT48" s="25"/>
      <c r="IU48" s="25"/>
      <c r="IV48" s="25"/>
      <c r="IW48" s="25"/>
      <c r="IX48" s="25"/>
      <c r="IY48" s="110"/>
      <c r="IZ48" s="110"/>
      <c r="JA48" s="25"/>
      <c r="JB48" s="25"/>
      <c r="JC48" s="25"/>
      <c r="JD48" s="25"/>
      <c r="JE48" s="25"/>
      <c r="JF48" s="110"/>
      <c r="JG48" s="110"/>
      <c r="JH48" s="25"/>
      <c r="JI48" s="25"/>
      <c r="JJ48" s="25"/>
      <c r="JK48" s="25"/>
      <c r="JL48" s="25"/>
      <c r="JM48" s="110"/>
      <c r="JN48" s="110"/>
      <c r="JO48" s="25"/>
      <c r="JP48" s="25"/>
      <c r="JQ48" s="25"/>
      <c r="JR48" s="25"/>
      <c r="JS48" s="25"/>
      <c r="JT48" s="110"/>
      <c r="JU48" s="110"/>
      <c r="JV48" s="25"/>
      <c r="JW48" s="25"/>
      <c r="JX48" s="25"/>
      <c r="JY48" s="25"/>
      <c r="JZ48" s="25"/>
      <c r="KA48" s="110"/>
      <c r="KB48" s="110"/>
      <c r="KC48" s="25"/>
      <c r="KD48" s="25"/>
      <c r="KE48" s="25"/>
      <c r="KF48" s="25"/>
      <c r="KG48" s="25"/>
      <c r="KH48" s="110"/>
      <c r="KI48" s="110"/>
      <c r="KJ48" s="25"/>
      <c r="KK48" s="25"/>
      <c r="KL48" s="25"/>
      <c r="KM48" s="25"/>
      <c r="KN48" s="25"/>
      <c r="KO48" s="110"/>
      <c r="KP48" s="110"/>
      <c r="KQ48" s="25"/>
      <c r="KR48" s="25"/>
      <c r="KS48" s="25"/>
      <c r="KT48" s="25"/>
      <c r="KU48" s="25"/>
      <c r="KV48" s="110"/>
      <c r="KW48" s="110"/>
      <c r="KX48" s="25"/>
      <c r="KY48" s="25"/>
      <c r="KZ48" s="25"/>
      <c r="LA48" s="25"/>
      <c r="LB48" s="25"/>
      <c r="LC48" s="110"/>
      <c r="LD48" s="110"/>
      <c r="LE48" s="25"/>
      <c r="LF48" s="25"/>
      <c r="LG48" s="110" t="s">
        <v>445</v>
      </c>
      <c r="LH48" s="25"/>
      <c r="LI48" s="25"/>
      <c r="LJ48" s="110"/>
      <c r="LK48" s="110"/>
      <c r="LL48" s="25"/>
      <c r="LM48" s="25"/>
      <c r="LN48" s="25"/>
      <c r="LO48" s="25"/>
      <c r="LP48" s="25"/>
      <c r="LQ48" s="110"/>
      <c r="LR48" s="110"/>
      <c r="LS48" s="25"/>
      <c r="LT48" s="25"/>
      <c r="LU48" s="25"/>
      <c r="LV48" s="25"/>
      <c r="LW48" s="25"/>
      <c r="LX48" s="110"/>
      <c r="LY48" s="110"/>
      <c r="LZ48" s="25"/>
      <c r="MA48" s="25"/>
      <c r="MB48" s="25"/>
      <c r="MC48" s="25"/>
      <c r="MD48" s="25"/>
      <c r="ME48" s="110"/>
      <c r="MF48" s="110"/>
      <c r="MG48" s="25"/>
      <c r="MH48" s="25"/>
      <c r="MI48" s="25"/>
      <c r="MJ48" s="25"/>
      <c r="MK48" s="25"/>
      <c r="ML48" s="110"/>
      <c r="MM48" s="110"/>
      <c r="MN48" s="25"/>
      <c r="MO48" s="25"/>
      <c r="MP48" s="25"/>
      <c r="MQ48" s="25"/>
      <c r="MR48" s="25"/>
      <c r="MS48" s="110"/>
      <c r="MT48" s="110"/>
      <c r="MU48" s="25"/>
      <c r="MV48" s="25"/>
      <c r="MW48" s="25"/>
      <c r="MX48" s="25"/>
      <c r="MY48" s="25"/>
      <c r="MZ48" s="110"/>
      <c r="NA48" s="110"/>
      <c r="NB48" s="25"/>
      <c r="NC48" s="25"/>
      <c r="ND48" s="25"/>
      <c r="NE48" s="129"/>
      <c r="NF48" s="111"/>
      <c r="NG48" s="8"/>
      <c r="NH48" s="32" cm="1">
        <f t="array" ref="NH48">NETWORKDAYS($I$2,$AI$2)- SUM(COUNTIF(I48:AI48,{"I";"F";"CP";"R";"P";"AC";"AM"}))</f>
        <v>20</v>
      </c>
      <c r="NI48" s="138"/>
      <c r="NJ48" s="8"/>
      <c r="NK48" s="32" cm="1">
        <f t="array" ref="NK48">NETWORKDAYS($AJ$2,$BK$2)- SUM(COUNTIF(AJ48:BK48,{"I";"F";"CP";"R";"P";"AC";"AM"}))</f>
        <v>20</v>
      </c>
      <c r="NL48" s="138"/>
      <c r="NM48" s="8"/>
      <c r="NN48" s="32" cm="1">
        <f t="array" ref="NN48">NETWORKDAYS($BL$2,$CP$2)- SUM(COUNTIF(BL48:CP48,{"I";"F";"CP";"R";"P";"AC";"AM"}))</f>
        <v>22</v>
      </c>
      <c r="NO48" s="138"/>
      <c r="NP48" s="8">
        <f t="shared" si="26"/>
        <v>0</v>
      </c>
      <c r="NQ48" s="32" cm="1">
        <f t="array" ref="NQ48">NETWORKDAYS($CQ$2,$DT$2,$CV$2)- SUM(COUNTIF(CQ48:DT48,{"I";"F";"CP";"R";"P";"AC";"AM"}))</f>
        <v>21</v>
      </c>
      <c r="NR48" s="138"/>
      <c r="NS48" s="8"/>
      <c r="NT48" s="32" cm="1">
        <f t="array" ref="NT48">NETWORKDAYS($DV$2,$EY$2)-SUM(COUNTIF(DV48:EY48,{"I";"F";"CP";"R";"P";"AC";"AM"}))</f>
        <v>16</v>
      </c>
      <c r="NU48" s="138"/>
      <c r="NV48" s="8"/>
      <c r="NW48" s="32" cm="1">
        <f t="array" ref="NW48">NETWORKDAYS($EZ$2,$GC$2)-SUM(COUNTIF(EZ128:GC128,{"I";"F";"CP";"R";"P";"AC";"AM"}))</f>
        <v>22</v>
      </c>
      <c r="NX48" s="138"/>
      <c r="NY48" s="8"/>
      <c r="NZ48" s="32" cm="1">
        <f t="array" ref="NZ48">NETWORKDAYS($GD$2,$HH$2,$GQ$2)-SUM(COUNTIF(GD48:HH48,{"I";"F";"CP";"R";"P";"AC";"AM"}))</f>
        <v>21</v>
      </c>
      <c r="OA48" s="138"/>
      <c r="OB48" s="8"/>
      <c r="OC48" s="32" cm="1">
        <f t="array" ref="OC48">NETWORKDAYS($HI$2,$IM$2)-SUM(COUNTIF(HI48:IM48,{"I";"F";"CP";"R";"P";"AC";"AM"}))</f>
        <v>21</v>
      </c>
      <c r="OD48" s="138"/>
      <c r="OE48" s="8"/>
      <c r="OF48" s="32" cm="1">
        <f t="array" ref="OF48">NETWORKDAYS($IN$2,$JQ$2)-SUM(COUNTIF(IN48:JQ48,{"I";"F";"CP";"R";"P";"AC";"AM"}))</f>
        <v>22</v>
      </c>
      <c r="OG48" s="138"/>
      <c r="OH48" s="8"/>
      <c r="OI48" s="32" cm="1">
        <f t="array" ref="OI48">NETWORKDAYS($JR$2,$KV$2)-SUM(COUNTIF(JR48:KV48,{"I";"F";"CP";"R";"P";"AC";"AM"}))</f>
        <v>22</v>
      </c>
      <c r="OJ48" s="138"/>
      <c r="OK48" s="8"/>
      <c r="OL48" s="32" cm="1">
        <f t="array" ref="OL48">NETWORKDAYS($KW$2,$LZ$2,$LG$2)-SUM(COUNTIF(KW48:LZ48,{"I";"F";"CP";"R";"P";"AC";"AM"}))</f>
        <v>19</v>
      </c>
      <c r="OM48" s="138"/>
      <c r="ON48" s="8"/>
      <c r="OO48" s="32" cm="1">
        <f t="array" ref="OO48">NETWORKDAYS($MA$2,$MR$2)-SUM(COUNTIF(MA48:MR48,{"I";"F";"CP";"R";"P";"AC";"AM"}))</f>
        <v>14</v>
      </c>
      <c r="OP48" s="138"/>
      <c r="OQ48" s="94"/>
      <c r="OR48" s="94"/>
      <c r="OS48" s="138"/>
    </row>
    <row r="49" spans="1:409" ht="18" customHeight="1" x14ac:dyDescent="0.25">
      <c r="A49" s="95" t="s">
        <v>181</v>
      </c>
      <c r="B49" s="95" t="s">
        <v>45</v>
      </c>
      <c r="C49" s="89" t="s">
        <v>160</v>
      </c>
      <c r="D49" s="89" t="s">
        <v>226</v>
      </c>
      <c r="E49" s="128"/>
      <c r="F49" s="110"/>
      <c r="G49" s="110"/>
      <c r="H49" s="110"/>
      <c r="I49" s="25" t="s">
        <v>248</v>
      </c>
      <c r="J49" s="25" t="s">
        <v>248</v>
      </c>
      <c r="K49" s="25" t="s">
        <v>248</v>
      </c>
      <c r="L49" s="25" t="s">
        <v>248</v>
      </c>
      <c r="M49" s="25" t="s">
        <v>248</v>
      </c>
      <c r="N49" s="110"/>
      <c r="O49" s="110"/>
      <c r="P49" s="25"/>
      <c r="Q49" s="25"/>
      <c r="R49" s="25"/>
      <c r="S49" s="25"/>
      <c r="T49" s="25"/>
      <c r="U49" s="110"/>
      <c r="V49" s="110"/>
      <c r="W49" s="25"/>
      <c r="X49" s="25"/>
      <c r="Y49" s="25"/>
      <c r="Z49" s="25"/>
      <c r="AA49" s="25"/>
      <c r="AB49" s="110"/>
      <c r="AC49" s="110"/>
      <c r="AD49" s="25"/>
      <c r="AE49" s="25"/>
      <c r="AF49" s="25"/>
      <c r="AG49" s="25"/>
      <c r="AH49" s="25"/>
      <c r="AI49" s="110"/>
      <c r="AJ49" s="110"/>
      <c r="AK49" s="25"/>
      <c r="AL49" s="25"/>
      <c r="AM49" s="25"/>
      <c r="AN49" s="25"/>
      <c r="AO49" s="25"/>
      <c r="AP49" s="110"/>
      <c r="AQ49" s="110"/>
      <c r="AR49" s="25"/>
      <c r="AS49" s="25"/>
      <c r="AT49" s="25"/>
      <c r="AU49" s="25"/>
      <c r="AV49" s="25"/>
      <c r="AW49" s="110"/>
      <c r="AX49" s="110"/>
      <c r="AY49" s="25"/>
      <c r="AZ49" s="25"/>
      <c r="BA49" s="25"/>
      <c r="BB49" s="25"/>
      <c r="BC49" s="25"/>
      <c r="BD49" s="110"/>
      <c r="BE49" s="110"/>
      <c r="BF49" s="25"/>
      <c r="BG49" s="25"/>
      <c r="BH49" s="25"/>
      <c r="BI49" s="25"/>
      <c r="BJ49" s="25"/>
      <c r="BK49" s="110"/>
      <c r="BL49" s="110"/>
      <c r="BM49" s="25"/>
      <c r="BN49" s="25"/>
      <c r="BO49" s="25"/>
      <c r="BP49" s="25"/>
      <c r="BQ49" s="25"/>
      <c r="BR49" s="110"/>
      <c r="BS49" s="110"/>
      <c r="BT49" s="25"/>
      <c r="BU49" s="25"/>
      <c r="BV49" s="25"/>
      <c r="BW49" s="25"/>
      <c r="BX49" s="25"/>
      <c r="BY49" s="110"/>
      <c r="BZ49" s="110"/>
      <c r="CA49" s="25"/>
      <c r="CB49" s="25" t="s">
        <v>447</v>
      </c>
      <c r="CC49" s="25" t="s">
        <v>447</v>
      </c>
      <c r="CD49" s="25"/>
      <c r="CE49" s="25"/>
      <c r="CF49" s="110"/>
      <c r="CG49" s="110"/>
      <c r="CH49" s="25"/>
      <c r="CI49" s="25"/>
      <c r="CJ49" s="25"/>
      <c r="CK49" s="25"/>
      <c r="CL49" s="25"/>
      <c r="CM49" s="110"/>
      <c r="CN49" s="110"/>
      <c r="CO49" s="25"/>
      <c r="CP49" s="25"/>
      <c r="CQ49" s="25"/>
      <c r="CR49" s="25"/>
      <c r="CS49" s="25"/>
      <c r="CT49" s="110"/>
      <c r="CU49" s="110"/>
      <c r="CV49" s="110"/>
      <c r="CW49" s="25"/>
      <c r="CX49" s="25"/>
      <c r="CY49" s="25"/>
      <c r="CZ49" s="25"/>
      <c r="DA49" s="110"/>
      <c r="DB49" s="110"/>
      <c r="DC49" s="25"/>
      <c r="DD49" s="25"/>
      <c r="DE49" s="25"/>
      <c r="DF49" s="25"/>
      <c r="DG49" s="25"/>
      <c r="DH49" s="110"/>
      <c r="DI49" s="110"/>
      <c r="DJ49" s="25"/>
      <c r="DK49" s="25"/>
      <c r="DL49" s="25"/>
      <c r="DM49" s="25"/>
      <c r="DN49" s="25"/>
      <c r="DO49" s="110"/>
      <c r="DP49" s="110"/>
      <c r="DQ49" s="25"/>
      <c r="DR49" s="25"/>
      <c r="DS49" s="25"/>
      <c r="DT49" s="25"/>
      <c r="DU49" s="110"/>
      <c r="DV49" s="110"/>
      <c r="DW49" s="110"/>
      <c r="DX49" s="25"/>
      <c r="DY49" s="25"/>
      <c r="DZ49" s="25"/>
      <c r="EA49" s="25"/>
      <c r="EB49" s="110" t="s">
        <v>445</v>
      </c>
      <c r="EC49" s="110"/>
      <c r="ED49" s="110"/>
      <c r="EE49" s="25"/>
      <c r="EF49" s="25"/>
      <c r="EG49" s="25"/>
      <c r="EH49" s="110" t="s">
        <v>445</v>
      </c>
      <c r="EI49" s="110" t="s">
        <v>445</v>
      </c>
      <c r="EJ49" s="110"/>
      <c r="EK49" s="110"/>
      <c r="EL49" s="25"/>
      <c r="EM49" s="25"/>
      <c r="EN49" s="25"/>
      <c r="EO49" s="25"/>
      <c r="EP49" s="25"/>
      <c r="EQ49" s="110"/>
      <c r="ER49" s="110"/>
      <c r="ES49" s="110" t="s">
        <v>445</v>
      </c>
      <c r="ET49" s="25"/>
      <c r="EU49" s="25"/>
      <c r="EV49" s="25"/>
      <c r="EW49" s="25"/>
      <c r="EX49" s="110"/>
      <c r="EY49" s="110"/>
      <c r="EZ49" s="25"/>
      <c r="FA49" s="25"/>
      <c r="FB49" s="25"/>
      <c r="FC49" s="25"/>
      <c r="FD49" s="25"/>
      <c r="FE49" s="110"/>
      <c r="FF49" s="110"/>
      <c r="FG49" s="25"/>
      <c r="FH49" s="25"/>
      <c r="FI49" s="25"/>
      <c r="FJ49" s="25"/>
      <c r="FK49" s="25"/>
      <c r="FL49" s="110"/>
      <c r="FM49" s="110"/>
      <c r="FN49" s="25"/>
      <c r="FO49" s="25"/>
      <c r="FP49" s="25"/>
      <c r="FQ49" s="25"/>
      <c r="FR49" s="25"/>
      <c r="FS49" s="110"/>
      <c r="FT49" s="110"/>
      <c r="FU49" s="25"/>
      <c r="FV49" s="25"/>
      <c r="FW49" s="25"/>
      <c r="FX49" s="25"/>
      <c r="FY49" s="25"/>
      <c r="FZ49" s="110"/>
      <c r="GA49" s="110"/>
      <c r="GB49" s="25"/>
      <c r="GC49" s="25"/>
      <c r="GD49" s="25"/>
      <c r="GE49" s="25"/>
      <c r="GF49" s="25"/>
      <c r="GG49" s="110"/>
      <c r="GH49" s="110"/>
      <c r="GI49" s="25"/>
      <c r="GJ49" s="25"/>
      <c r="GK49" s="25"/>
      <c r="GL49" s="25"/>
      <c r="GM49" s="25"/>
      <c r="GN49" s="110"/>
      <c r="GO49" s="110"/>
      <c r="GP49" s="110"/>
      <c r="GQ49" s="110" t="s">
        <v>445</v>
      </c>
      <c r="GR49" s="25"/>
      <c r="GS49" s="25"/>
      <c r="GT49" s="25"/>
      <c r="GU49" s="110"/>
      <c r="GV49" s="110"/>
      <c r="GW49" s="25"/>
      <c r="GX49" s="25"/>
      <c r="GY49" s="25"/>
      <c r="GZ49" s="25"/>
      <c r="HA49" s="25"/>
      <c r="HB49" s="110"/>
      <c r="HC49" s="110"/>
      <c r="HD49" s="25"/>
      <c r="HE49" s="25"/>
      <c r="HF49" s="25"/>
      <c r="HG49" s="25"/>
      <c r="HH49" s="25"/>
      <c r="HI49" s="110"/>
      <c r="HJ49" s="110"/>
      <c r="HK49" s="25"/>
      <c r="HL49" s="25"/>
      <c r="HM49" s="25"/>
      <c r="HN49" s="25"/>
      <c r="HO49" s="25"/>
      <c r="HP49" s="110"/>
      <c r="HQ49" s="110"/>
      <c r="HR49" s="25"/>
      <c r="HS49" s="25"/>
      <c r="HT49" s="25"/>
      <c r="HU49" s="25"/>
      <c r="HV49" s="25"/>
      <c r="HW49" s="110"/>
      <c r="HX49" s="110"/>
      <c r="HY49" s="25"/>
      <c r="HZ49" s="25"/>
      <c r="IA49" s="25"/>
      <c r="IB49" s="25"/>
      <c r="IC49" s="25"/>
      <c r="ID49" s="110"/>
      <c r="IE49" s="110"/>
      <c r="IF49" s="25"/>
      <c r="IG49" s="25"/>
      <c r="IH49" s="25"/>
      <c r="II49" s="25"/>
      <c r="IJ49" s="25"/>
      <c r="IK49" s="110"/>
      <c r="IL49" s="110"/>
      <c r="IM49" s="25"/>
      <c r="IN49" s="25"/>
      <c r="IO49" s="25"/>
      <c r="IP49" s="25"/>
      <c r="IQ49" s="25"/>
      <c r="IR49" s="110"/>
      <c r="IS49" s="110"/>
      <c r="IT49" s="25"/>
      <c r="IU49" s="25"/>
      <c r="IV49" s="25"/>
      <c r="IW49" s="25"/>
      <c r="IX49" s="25"/>
      <c r="IY49" s="110"/>
      <c r="IZ49" s="110"/>
      <c r="JA49" s="25"/>
      <c r="JB49" s="25"/>
      <c r="JC49" s="25"/>
      <c r="JD49" s="25"/>
      <c r="JE49" s="25"/>
      <c r="JF49" s="110"/>
      <c r="JG49" s="110"/>
      <c r="JH49" s="25"/>
      <c r="JI49" s="25"/>
      <c r="JJ49" s="25"/>
      <c r="JK49" s="25"/>
      <c r="JL49" s="25"/>
      <c r="JM49" s="110"/>
      <c r="JN49" s="110"/>
      <c r="JO49" s="25"/>
      <c r="JP49" s="25"/>
      <c r="JQ49" s="25"/>
      <c r="JR49" s="25"/>
      <c r="JS49" s="25"/>
      <c r="JT49" s="110"/>
      <c r="JU49" s="110"/>
      <c r="JV49" s="25"/>
      <c r="JW49" s="25"/>
      <c r="JX49" s="25"/>
      <c r="JY49" s="25"/>
      <c r="JZ49" s="25"/>
      <c r="KA49" s="110"/>
      <c r="KB49" s="110"/>
      <c r="KC49" s="25"/>
      <c r="KD49" s="25"/>
      <c r="KE49" s="25"/>
      <c r="KF49" s="25"/>
      <c r="KG49" s="25"/>
      <c r="KH49" s="110"/>
      <c r="KI49" s="110"/>
      <c r="KJ49" s="25"/>
      <c r="KK49" s="25"/>
      <c r="KL49" s="25"/>
      <c r="KM49" s="25"/>
      <c r="KN49" s="25"/>
      <c r="KO49" s="110"/>
      <c r="KP49" s="110"/>
      <c r="KQ49" s="25"/>
      <c r="KR49" s="25"/>
      <c r="KS49" s="25"/>
      <c r="KT49" s="25"/>
      <c r="KU49" s="25"/>
      <c r="KV49" s="110"/>
      <c r="KW49" s="110"/>
      <c r="KX49" s="25"/>
      <c r="KY49" s="25"/>
      <c r="KZ49" s="25"/>
      <c r="LA49" s="25"/>
      <c r="LB49" s="25"/>
      <c r="LC49" s="110"/>
      <c r="LD49" s="110"/>
      <c r="LE49" s="25"/>
      <c r="LF49" s="25"/>
      <c r="LG49" s="110" t="s">
        <v>445</v>
      </c>
      <c r="LH49" s="25"/>
      <c r="LI49" s="25"/>
      <c r="LJ49" s="110"/>
      <c r="LK49" s="110"/>
      <c r="LL49" s="25"/>
      <c r="LM49" s="25"/>
      <c r="LN49" s="25"/>
      <c r="LO49" s="25"/>
      <c r="LP49" s="25"/>
      <c r="LQ49" s="110"/>
      <c r="LR49" s="110"/>
      <c r="LS49" s="25"/>
      <c r="LT49" s="25"/>
      <c r="LU49" s="25"/>
      <c r="LV49" s="25"/>
      <c r="LW49" s="25"/>
      <c r="LX49" s="110"/>
      <c r="LY49" s="110"/>
      <c r="LZ49" s="25"/>
      <c r="MA49" s="25"/>
      <c r="MB49" s="25"/>
      <c r="MC49" s="25"/>
      <c r="MD49" s="25"/>
      <c r="ME49" s="110"/>
      <c r="MF49" s="110"/>
      <c r="MG49" s="25"/>
      <c r="MH49" s="25"/>
      <c r="MI49" s="25"/>
      <c r="MJ49" s="25"/>
      <c r="MK49" s="25"/>
      <c r="ML49" s="110"/>
      <c r="MM49" s="110"/>
      <c r="MN49" s="25"/>
      <c r="MO49" s="25"/>
      <c r="MP49" s="25"/>
      <c r="MQ49" s="25"/>
      <c r="MR49" s="25"/>
      <c r="MS49" s="110"/>
      <c r="MT49" s="110"/>
      <c r="MU49" s="25"/>
      <c r="MV49" s="25"/>
      <c r="MW49" s="25"/>
      <c r="MX49" s="25"/>
      <c r="MY49" s="25"/>
      <c r="MZ49" s="110"/>
      <c r="NA49" s="110"/>
      <c r="NB49" s="25"/>
      <c r="NC49" s="25"/>
      <c r="ND49" s="25"/>
      <c r="NE49" s="129"/>
      <c r="NF49" s="111"/>
      <c r="NG49" s="8">
        <f t="shared" ref="NG49:NG80" si="27">SUM(E49:AI49)</f>
        <v>0</v>
      </c>
      <c r="NH49" s="32" cm="1">
        <f t="array" ref="NH49">NETWORKDAYS($I$2,$AI$2)- SUM(COUNTIF(I49:AI49,{"I";"F";"CP";"R";"P";"AC";"AM"}))</f>
        <v>20</v>
      </c>
      <c r="NI49" s="138">
        <f t="shared" ref="NI49:NI80" si="28">NG49/NH49</f>
        <v>0</v>
      </c>
      <c r="NJ49" s="8">
        <f t="shared" ref="NJ49:NJ80" si="29">SUM(AJ49:BK49)</f>
        <v>0</v>
      </c>
      <c r="NK49" s="32" cm="1">
        <f t="array" ref="NK49">NETWORKDAYS($AJ$2,$BK$2)- SUM(COUNTIF(AJ49:BK49,{"I";"F";"CP";"R";"P";"AC";"AM"}))</f>
        <v>20</v>
      </c>
      <c r="NL49" s="138">
        <f t="shared" ref="NL49:NL80" si="30">NJ49/NK49</f>
        <v>0</v>
      </c>
      <c r="NM49" s="8">
        <f t="shared" ref="NM49:NM80" si="31">SUM(BM49:CP49)</f>
        <v>0</v>
      </c>
      <c r="NN49" s="32" cm="1">
        <f t="array" ref="NN49">NETWORKDAYS($BL$2,$CP$2)- SUM(COUNTIF(BL49:CP49,{"I";"F";"CP";"R";"P";"AC";"AM"}))</f>
        <v>20</v>
      </c>
      <c r="NO49" s="138">
        <f t="shared" ref="NO49:NO80" si="32">NM49/NN49</f>
        <v>0</v>
      </c>
      <c r="NP49" s="32">
        <f t="shared" si="26"/>
        <v>0</v>
      </c>
      <c r="NQ49" s="32" cm="1">
        <f t="array" ref="NQ49">NETWORKDAYS($CQ$2,$DT$2,$CV$2)- SUM(COUNTIF(CQ49:DT49,{"I";"F";"CP";"R";"P";"AC";"AM"}))</f>
        <v>21</v>
      </c>
      <c r="NR49" s="138">
        <f t="shared" ref="NR49:NR80" si="33">NP49/NQ49</f>
        <v>0</v>
      </c>
      <c r="NS49" s="8">
        <f t="shared" ref="NS49:NS80" si="34">SUM(DU49:EY49)</f>
        <v>0</v>
      </c>
      <c r="NT49" s="32" cm="1">
        <f t="array" ref="NT49">NETWORKDAYS($DV$2,$EY$2)-SUM(COUNTIF(DV49:EY49,{"I";"F";"CP";"R";"P";"AC";"AM"}))</f>
        <v>16</v>
      </c>
      <c r="NU49" s="138">
        <f t="shared" ref="NU49:NU80" si="35">NS49/NT49</f>
        <v>0</v>
      </c>
      <c r="NV49" s="8">
        <f t="shared" ref="NV49:NV80" si="36">SUM(EZ49:GC49)</f>
        <v>0</v>
      </c>
      <c r="NW49" s="32" cm="1">
        <f t="array" ref="NW49">NETWORKDAYS($EZ$2,$GC$2)-SUM(COUNTIF(EZ129:GC129,{"I";"F";"CP";"R";"P";"AC";"AM"}))</f>
        <v>22</v>
      </c>
      <c r="NX49" s="138">
        <f t="shared" ref="NX49:NX80" si="37">NV49/NW49</f>
        <v>0</v>
      </c>
      <c r="NY49" s="8">
        <f t="shared" ref="NY49:NY80" si="38">SUM(GD49:HH49)</f>
        <v>0</v>
      </c>
      <c r="NZ49" s="32" cm="1">
        <f t="array" ref="NZ49">NETWORKDAYS($GD$2,$HH$2,$GQ$2)-SUM(COUNTIF(GD49:HH49,{"I";"F";"CP";"R";"P";"AC";"AM"}))</f>
        <v>21</v>
      </c>
      <c r="OA49" s="138">
        <f t="shared" ref="OA49:OA80" si="39">NY49/NZ49</f>
        <v>0</v>
      </c>
      <c r="OB49" s="8">
        <f t="shared" ref="OB49:OB80" si="40">SUM(HI49:IM49)</f>
        <v>0</v>
      </c>
      <c r="OC49" s="32" cm="1">
        <f t="array" ref="OC49">NETWORKDAYS($HI$2,$IM$2)-SUM(COUNTIF(HI49:IM49,{"I";"F";"CP";"R";"P";"AC";"AM"}))</f>
        <v>21</v>
      </c>
      <c r="OD49" s="138">
        <f t="shared" ref="OD49:OD80" si="41">OB49/OC49</f>
        <v>0</v>
      </c>
      <c r="OE49" s="8">
        <f t="shared" ref="OE49:OE80" si="42">SUM(IN49:JQ49)</f>
        <v>0</v>
      </c>
      <c r="OF49" s="32" cm="1">
        <f t="array" ref="OF49">NETWORKDAYS($IN$2,$JQ$2)-SUM(COUNTIF(IN49:JQ49,{"I";"F";"CP";"R";"P";"AC";"AM"}))</f>
        <v>22</v>
      </c>
      <c r="OG49" s="138">
        <f t="shared" ref="OG49:OG80" si="43">OE49/OF49</f>
        <v>0</v>
      </c>
      <c r="OH49" s="8">
        <f t="shared" ref="OH49:OH80" si="44">SUM(JR49:KV49)</f>
        <v>0</v>
      </c>
      <c r="OI49" s="32" cm="1">
        <f t="array" ref="OI49">NETWORKDAYS($JR$2,$KV$2)-SUM(COUNTIF(JR49:KV49,{"I";"F";"CP";"R";"P";"AC";"AM"}))</f>
        <v>22</v>
      </c>
      <c r="OJ49" s="138">
        <f t="shared" ref="OJ49:OJ80" si="45">OH49/OI49</f>
        <v>0</v>
      </c>
      <c r="OK49" s="8">
        <f t="shared" ref="OK49:OK80" si="46">SUM(KW49:LZ49)</f>
        <v>0</v>
      </c>
      <c r="OL49" s="32" cm="1">
        <f t="array" ref="OL49">NETWORKDAYS($KW$2,$LZ$2,$LG$2)-SUM(COUNTIF(KW49:LZ49,{"I";"F";"CP";"R";"P";"AC";"AM"}))</f>
        <v>19</v>
      </c>
      <c r="OM49" s="138">
        <f t="shared" ref="OM49:OM80" si="47">OK49/OL49</f>
        <v>0</v>
      </c>
      <c r="ON49" s="8">
        <f t="shared" ref="ON49:ON80" si="48">SUM(MA49:NE49)</f>
        <v>0</v>
      </c>
      <c r="OO49" s="32" cm="1">
        <f t="array" ref="OO49">NETWORKDAYS($MA$2,$MR$2)-SUM(COUNTIF(MA49:MR49,{"I";"F";"CP";"R";"P";"AC";"AM"}))</f>
        <v>14</v>
      </c>
      <c r="OP49" s="138">
        <f t="shared" ref="OP49:OP80" si="49">ON49/OO49</f>
        <v>0</v>
      </c>
      <c r="OQ49" s="94">
        <f t="shared" ref="OQ49:OQ80" si="50">NG49+NJ49+NM49+NP49+NS49+NV49+NY49+OB49+OE49+OH49+OK49+ON49</f>
        <v>0</v>
      </c>
      <c r="OR49" s="94">
        <f t="shared" ref="OR49:OR80" si="51">NH49+NK49+NN49+NQ49+NT49+NW49+NZ49+OC49+OF49+OI49+OL49+OO49</f>
        <v>238</v>
      </c>
      <c r="OS49" s="138">
        <f t="shared" ref="OS49:OS80" si="52">OQ49/OR49</f>
        <v>0</v>
      </c>
    </row>
    <row r="50" spans="1:409" ht="18" customHeight="1" x14ac:dyDescent="0.25">
      <c r="A50" s="95" t="s">
        <v>181</v>
      </c>
      <c r="B50" s="93" t="s">
        <v>45</v>
      </c>
      <c r="C50" s="89" t="s">
        <v>166</v>
      </c>
      <c r="D50" s="89" t="s">
        <v>227</v>
      </c>
      <c r="E50" s="128"/>
      <c r="F50" s="110"/>
      <c r="G50" s="110"/>
      <c r="H50" s="110"/>
      <c r="I50" s="25" t="s">
        <v>248</v>
      </c>
      <c r="J50" s="25" t="s">
        <v>248</v>
      </c>
      <c r="K50" s="25" t="s">
        <v>248</v>
      </c>
      <c r="L50" s="25" t="s">
        <v>248</v>
      </c>
      <c r="M50" s="25" t="s">
        <v>248</v>
      </c>
      <c r="N50" s="110"/>
      <c r="O50" s="110"/>
      <c r="P50" s="25"/>
      <c r="Q50" s="25"/>
      <c r="R50" s="25"/>
      <c r="S50" s="25"/>
      <c r="T50" s="25"/>
      <c r="U50" s="110"/>
      <c r="V50" s="110"/>
      <c r="W50" s="25"/>
      <c r="X50" s="25"/>
      <c r="Y50" s="25"/>
      <c r="Z50" s="25"/>
      <c r="AA50" s="25"/>
      <c r="AB50" s="110"/>
      <c r="AC50" s="110"/>
      <c r="AD50" s="25"/>
      <c r="AE50" s="25"/>
      <c r="AF50" s="25"/>
      <c r="AG50" s="25"/>
      <c r="AH50" s="25"/>
      <c r="AI50" s="110"/>
      <c r="AJ50" s="110"/>
      <c r="AK50" s="25"/>
      <c r="AL50" s="25"/>
      <c r="AM50" s="25"/>
      <c r="AN50" s="25"/>
      <c r="AO50" s="25"/>
      <c r="AP50" s="110"/>
      <c r="AQ50" s="110"/>
      <c r="AR50" s="25"/>
      <c r="AS50" s="25"/>
      <c r="AT50" s="25"/>
      <c r="AU50" s="25"/>
      <c r="AV50" s="25"/>
      <c r="AW50" s="110"/>
      <c r="AX50" s="110"/>
      <c r="AY50" s="25"/>
      <c r="AZ50" s="25"/>
      <c r="BA50" s="25"/>
      <c r="BB50" s="25"/>
      <c r="BC50" s="25"/>
      <c r="BD50" s="110"/>
      <c r="BE50" s="110"/>
      <c r="BF50" s="25"/>
      <c r="BG50" s="25"/>
      <c r="BH50" s="25"/>
      <c r="BI50" s="25"/>
      <c r="BJ50" s="25"/>
      <c r="BK50" s="110"/>
      <c r="BL50" s="110"/>
      <c r="BM50" s="25"/>
      <c r="BN50" s="25"/>
      <c r="BO50" s="25"/>
      <c r="BP50" s="25"/>
      <c r="BQ50" s="25"/>
      <c r="BR50" s="110"/>
      <c r="BS50" s="110"/>
      <c r="BT50" s="25"/>
      <c r="BU50" s="25"/>
      <c r="BV50" s="25"/>
      <c r="BW50" s="25"/>
      <c r="BX50" s="25"/>
      <c r="BY50" s="110"/>
      <c r="BZ50" s="110"/>
      <c r="CA50" s="25"/>
      <c r="CB50" s="25"/>
      <c r="CC50" s="25"/>
      <c r="CD50" s="25"/>
      <c r="CE50" s="25"/>
      <c r="CF50" s="110"/>
      <c r="CG50" s="110"/>
      <c r="CH50" s="25"/>
      <c r="CI50" s="25"/>
      <c r="CJ50" s="25"/>
      <c r="CK50" s="25"/>
      <c r="CL50" s="25"/>
      <c r="CM50" s="110"/>
      <c r="CN50" s="110"/>
      <c r="CO50" s="25"/>
      <c r="CP50" s="25"/>
      <c r="CQ50" s="25"/>
      <c r="CR50" s="25"/>
      <c r="CS50" s="25"/>
      <c r="CT50" s="110"/>
      <c r="CU50" s="110"/>
      <c r="CV50" s="110"/>
      <c r="CW50" s="25"/>
      <c r="CX50" s="25"/>
      <c r="CY50" s="25"/>
      <c r="CZ50" s="25"/>
      <c r="DA50" s="110"/>
      <c r="DB50" s="110"/>
      <c r="DC50" s="25"/>
      <c r="DD50" s="25"/>
      <c r="DE50" s="25"/>
      <c r="DF50" s="25"/>
      <c r="DG50" s="25"/>
      <c r="DH50" s="110"/>
      <c r="DI50" s="110"/>
      <c r="DJ50" s="25"/>
      <c r="DK50" s="25"/>
      <c r="DL50" s="25"/>
      <c r="DM50" s="25"/>
      <c r="DN50" s="25"/>
      <c r="DO50" s="110"/>
      <c r="DP50" s="110"/>
      <c r="DQ50" s="25"/>
      <c r="DR50" s="25"/>
      <c r="DS50" s="25"/>
      <c r="DT50" s="25"/>
      <c r="DU50" s="110"/>
      <c r="DV50" s="110"/>
      <c r="DW50" s="110"/>
      <c r="DX50" s="25"/>
      <c r="DY50" s="25"/>
      <c r="DZ50" s="25"/>
      <c r="EA50" s="25"/>
      <c r="EB50" s="110" t="s">
        <v>445</v>
      </c>
      <c r="EC50" s="110"/>
      <c r="ED50" s="110"/>
      <c r="EE50" s="25"/>
      <c r="EF50" s="25"/>
      <c r="EG50" s="25"/>
      <c r="EH50" s="110" t="s">
        <v>445</v>
      </c>
      <c r="EI50" s="110" t="s">
        <v>445</v>
      </c>
      <c r="EJ50" s="110"/>
      <c r="EK50" s="110"/>
      <c r="EL50" s="25"/>
      <c r="EM50" s="25"/>
      <c r="EN50" s="25"/>
      <c r="EO50" s="25"/>
      <c r="EP50" s="25"/>
      <c r="EQ50" s="110"/>
      <c r="ER50" s="110"/>
      <c r="ES50" s="110" t="s">
        <v>445</v>
      </c>
      <c r="ET50" s="25"/>
      <c r="EU50" s="25"/>
      <c r="EV50" s="25"/>
      <c r="EW50" s="25"/>
      <c r="EX50" s="110"/>
      <c r="EY50" s="110"/>
      <c r="EZ50" s="25"/>
      <c r="FA50" s="25"/>
      <c r="FB50" s="25"/>
      <c r="FC50" s="25"/>
      <c r="FD50" s="25"/>
      <c r="FE50" s="110"/>
      <c r="FF50" s="110"/>
      <c r="FG50" s="25"/>
      <c r="FH50" s="25"/>
      <c r="FI50" s="25"/>
      <c r="FJ50" s="25"/>
      <c r="FK50" s="25"/>
      <c r="FL50" s="110"/>
      <c r="FM50" s="110"/>
      <c r="FN50" s="25"/>
      <c r="FO50" s="25"/>
      <c r="FP50" s="25"/>
      <c r="FQ50" s="25"/>
      <c r="FR50" s="25"/>
      <c r="FS50" s="110"/>
      <c r="FT50" s="110"/>
      <c r="FU50" s="25"/>
      <c r="FV50" s="25"/>
      <c r="FW50" s="25"/>
      <c r="FX50" s="25"/>
      <c r="FY50" s="25"/>
      <c r="FZ50" s="110"/>
      <c r="GA50" s="110"/>
      <c r="GB50" s="25"/>
      <c r="GC50" s="25"/>
      <c r="GD50" s="25"/>
      <c r="GE50" s="25"/>
      <c r="GF50" s="25"/>
      <c r="GG50" s="110"/>
      <c r="GH50" s="110"/>
      <c r="GI50" s="25"/>
      <c r="GJ50" s="25"/>
      <c r="GK50" s="25"/>
      <c r="GL50" s="25"/>
      <c r="GM50" s="25"/>
      <c r="GN50" s="110"/>
      <c r="GO50" s="110"/>
      <c r="GP50" s="110"/>
      <c r="GQ50" s="110" t="s">
        <v>445</v>
      </c>
      <c r="GR50" s="25"/>
      <c r="GS50" s="25"/>
      <c r="GT50" s="25"/>
      <c r="GU50" s="110"/>
      <c r="GV50" s="110"/>
      <c r="GW50" s="25"/>
      <c r="GX50" s="25"/>
      <c r="GY50" s="25"/>
      <c r="GZ50" s="25"/>
      <c r="HA50" s="25"/>
      <c r="HB50" s="110"/>
      <c r="HC50" s="110"/>
      <c r="HD50" s="25"/>
      <c r="HE50" s="25"/>
      <c r="HF50" s="25"/>
      <c r="HG50" s="25"/>
      <c r="HH50" s="25"/>
      <c r="HI50" s="110"/>
      <c r="HJ50" s="110"/>
      <c r="HK50" s="25"/>
      <c r="HL50" s="25"/>
      <c r="HM50" s="25"/>
      <c r="HN50" s="25"/>
      <c r="HO50" s="25"/>
      <c r="HP50" s="110"/>
      <c r="HQ50" s="110"/>
      <c r="HR50" s="25"/>
      <c r="HS50" s="25"/>
      <c r="HT50" s="25"/>
      <c r="HU50" s="25"/>
      <c r="HV50" s="25"/>
      <c r="HW50" s="110"/>
      <c r="HX50" s="110"/>
      <c r="HY50" s="25"/>
      <c r="HZ50" s="25"/>
      <c r="IA50" s="25"/>
      <c r="IB50" s="25"/>
      <c r="IC50" s="25"/>
      <c r="ID50" s="110"/>
      <c r="IE50" s="110"/>
      <c r="IF50" s="25"/>
      <c r="IG50" s="25"/>
      <c r="IH50" s="25"/>
      <c r="II50" s="25"/>
      <c r="IJ50" s="25"/>
      <c r="IK50" s="110"/>
      <c r="IL50" s="110"/>
      <c r="IM50" s="25"/>
      <c r="IN50" s="25"/>
      <c r="IO50" s="25"/>
      <c r="IP50" s="25"/>
      <c r="IQ50" s="25"/>
      <c r="IR50" s="110"/>
      <c r="IS50" s="110"/>
      <c r="IT50" s="25"/>
      <c r="IU50" s="25"/>
      <c r="IV50" s="25"/>
      <c r="IW50" s="25"/>
      <c r="IX50" s="25"/>
      <c r="IY50" s="110"/>
      <c r="IZ50" s="110"/>
      <c r="JA50" s="25"/>
      <c r="JB50" s="25"/>
      <c r="JC50" s="25"/>
      <c r="JD50" s="25"/>
      <c r="JE50" s="25"/>
      <c r="JF50" s="110"/>
      <c r="JG50" s="110"/>
      <c r="JH50" s="25"/>
      <c r="JI50" s="25"/>
      <c r="JJ50" s="25"/>
      <c r="JK50" s="25"/>
      <c r="JL50" s="25"/>
      <c r="JM50" s="110"/>
      <c r="JN50" s="110"/>
      <c r="JO50" s="25"/>
      <c r="JP50" s="25"/>
      <c r="JQ50" s="25"/>
      <c r="JR50" s="25"/>
      <c r="JS50" s="25"/>
      <c r="JT50" s="110"/>
      <c r="JU50" s="110"/>
      <c r="JV50" s="25"/>
      <c r="JW50" s="25"/>
      <c r="JX50" s="25"/>
      <c r="JY50" s="25"/>
      <c r="JZ50" s="25"/>
      <c r="KA50" s="110"/>
      <c r="KB50" s="110"/>
      <c r="KC50" s="25"/>
      <c r="KD50" s="25"/>
      <c r="KE50" s="25"/>
      <c r="KF50" s="25"/>
      <c r="KG50" s="25"/>
      <c r="KH50" s="110"/>
      <c r="KI50" s="110"/>
      <c r="KJ50" s="25"/>
      <c r="KK50" s="25"/>
      <c r="KL50" s="25"/>
      <c r="KM50" s="25"/>
      <c r="KN50" s="25"/>
      <c r="KO50" s="110"/>
      <c r="KP50" s="110"/>
      <c r="KQ50" s="25"/>
      <c r="KR50" s="25"/>
      <c r="KS50" s="25"/>
      <c r="KT50" s="25"/>
      <c r="KU50" s="25"/>
      <c r="KV50" s="110"/>
      <c r="KW50" s="110"/>
      <c r="KX50" s="25"/>
      <c r="KY50" s="25"/>
      <c r="KZ50" s="25"/>
      <c r="LA50" s="25"/>
      <c r="LB50" s="25"/>
      <c r="LC50" s="110"/>
      <c r="LD50" s="110"/>
      <c r="LE50" s="25"/>
      <c r="LF50" s="25"/>
      <c r="LG50" s="110" t="s">
        <v>445</v>
      </c>
      <c r="LH50" s="25"/>
      <c r="LI50" s="25"/>
      <c r="LJ50" s="110"/>
      <c r="LK50" s="110"/>
      <c r="LL50" s="25"/>
      <c r="LM50" s="25"/>
      <c r="LN50" s="25"/>
      <c r="LO50" s="25"/>
      <c r="LP50" s="25"/>
      <c r="LQ50" s="110"/>
      <c r="LR50" s="110"/>
      <c r="LS50" s="25"/>
      <c r="LT50" s="25"/>
      <c r="LU50" s="25"/>
      <c r="LV50" s="25"/>
      <c r="LW50" s="25"/>
      <c r="LX50" s="110"/>
      <c r="LY50" s="110"/>
      <c r="LZ50" s="25"/>
      <c r="MA50" s="25"/>
      <c r="MB50" s="25"/>
      <c r="MC50" s="25"/>
      <c r="MD50" s="25"/>
      <c r="ME50" s="110"/>
      <c r="MF50" s="110"/>
      <c r="MG50" s="25"/>
      <c r="MH50" s="25"/>
      <c r="MI50" s="25"/>
      <c r="MJ50" s="25"/>
      <c r="MK50" s="25"/>
      <c r="ML50" s="110"/>
      <c r="MM50" s="110"/>
      <c r="MN50" s="25"/>
      <c r="MO50" s="25"/>
      <c r="MP50" s="25"/>
      <c r="MQ50" s="25"/>
      <c r="MR50" s="25"/>
      <c r="MS50" s="110"/>
      <c r="MT50" s="110"/>
      <c r="MU50" s="25"/>
      <c r="MV50" s="25"/>
      <c r="MW50" s="25"/>
      <c r="MX50" s="25"/>
      <c r="MY50" s="25"/>
      <c r="MZ50" s="110"/>
      <c r="NA50" s="110"/>
      <c r="NB50" s="25"/>
      <c r="NC50" s="25"/>
      <c r="ND50" s="25"/>
      <c r="NE50" s="129"/>
      <c r="NF50" s="111"/>
      <c r="NG50" s="8">
        <f t="shared" si="27"/>
        <v>0</v>
      </c>
      <c r="NH50" s="32" cm="1">
        <f t="array" ref="NH50">NETWORKDAYS($I$2,$AI$2)- SUM(COUNTIF(I50:AI50,{"I";"F";"CP";"R";"P";"AC";"AM"}))</f>
        <v>20</v>
      </c>
      <c r="NI50" s="138">
        <f t="shared" si="28"/>
        <v>0</v>
      </c>
      <c r="NJ50" s="8">
        <f t="shared" si="29"/>
        <v>0</v>
      </c>
      <c r="NK50" s="32" cm="1">
        <f t="array" ref="NK50">NETWORKDAYS($AJ$2,$BK$2)- SUM(COUNTIF(AJ50:BK50,{"I";"F";"CP";"R";"P";"AC";"AM"}))</f>
        <v>20</v>
      </c>
      <c r="NL50" s="138">
        <f t="shared" si="30"/>
        <v>0</v>
      </c>
      <c r="NM50" s="8">
        <f t="shared" si="31"/>
        <v>0</v>
      </c>
      <c r="NN50" s="32" cm="1">
        <f t="array" ref="NN50">NETWORKDAYS($BL$2,$CP$2)- SUM(COUNTIF(BL50:CP50,{"I";"F";"CP";"R";"P";"AC";"AM"}))</f>
        <v>22</v>
      </c>
      <c r="NO50" s="138">
        <f t="shared" si="32"/>
        <v>0</v>
      </c>
      <c r="NP50" s="8">
        <f t="shared" si="26"/>
        <v>0</v>
      </c>
      <c r="NQ50" s="32" cm="1">
        <f t="array" ref="NQ50">NETWORKDAYS($CQ$2,$DT$2,$CV$2)- SUM(COUNTIF(CQ50:DT50,{"I";"F";"CP";"R";"P";"AC";"AM"}))</f>
        <v>21</v>
      </c>
      <c r="NR50" s="138">
        <f t="shared" si="33"/>
        <v>0</v>
      </c>
      <c r="NS50" s="8">
        <f t="shared" si="34"/>
        <v>0</v>
      </c>
      <c r="NT50" s="32" cm="1">
        <f t="array" ref="NT50">NETWORKDAYS($DV$2,$EY$2)-SUM(COUNTIF(DV50:EY50,{"I";"F";"CP";"R";"P";"AC";"AM"}))</f>
        <v>16</v>
      </c>
      <c r="NU50" s="138">
        <f t="shared" si="35"/>
        <v>0</v>
      </c>
      <c r="NV50" s="8">
        <f t="shared" si="36"/>
        <v>0</v>
      </c>
      <c r="NW50" s="32" cm="1">
        <f t="array" ref="NW50">NETWORKDAYS($EZ$2,$GC$2)-SUM(COUNTIF(EZ130:GC130,{"I";"F";"CP";"R";"P";"AC";"AM"}))</f>
        <v>22</v>
      </c>
      <c r="NX50" s="138">
        <f t="shared" si="37"/>
        <v>0</v>
      </c>
      <c r="NY50" s="8">
        <f t="shared" si="38"/>
        <v>0</v>
      </c>
      <c r="NZ50" s="32" cm="1">
        <f t="array" ref="NZ50">NETWORKDAYS($GD$2,$HH$2,$GQ$2)-SUM(COUNTIF(GD50:HH50,{"I";"F";"CP";"R";"P";"AC";"AM"}))</f>
        <v>21</v>
      </c>
      <c r="OA50" s="138">
        <f t="shared" si="39"/>
        <v>0</v>
      </c>
      <c r="OB50" s="8">
        <f t="shared" si="40"/>
        <v>0</v>
      </c>
      <c r="OC50" s="32" cm="1">
        <f t="array" ref="OC50">NETWORKDAYS($HI$2,$IM$2)-SUM(COUNTIF(HI50:IM50,{"I";"F";"CP";"R";"P";"AC";"AM"}))</f>
        <v>21</v>
      </c>
      <c r="OD50" s="138">
        <f t="shared" si="41"/>
        <v>0</v>
      </c>
      <c r="OE50" s="8">
        <f t="shared" si="42"/>
        <v>0</v>
      </c>
      <c r="OF50" s="32" cm="1">
        <f t="array" ref="OF50">NETWORKDAYS($IN$2,$JQ$2)-SUM(COUNTIF(IN50:JQ50,{"I";"F";"CP";"R";"P";"AC";"AM"}))</f>
        <v>22</v>
      </c>
      <c r="OG50" s="138">
        <f t="shared" si="43"/>
        <v>0</v>
      </c>
      <c r="OH50" s="8">
        <f t="shared" si="44"/>
        <v>0</v>
      </c>
      <c r="OI50" s="32" cm="1">
        <f t="array" ref="OI50">NETWORKDAYS($JR$2,$KV$2)-SUM(COUNTIF(JR50:KV50,{"I";"F";"CP";"R";"P";"AC";"AM"}))</f>
        <v>22</v>
      </c>
      <c r="OJ50" s="138">
        <f t="shared" si="45"/>
        <v>0</v>
      </c>
      <c r="OK50" s="8">
        <f t="shared" si="46"/>
        <v>0</v>
      </c>
      <c r="OL50" s="32" cm="1">
        <f t="array" ref="OL50">NETWORKDAYS($KW$2,$LZ$2,$LG$2)-SUM(COUNTIF(KW50:LZ50,{"I";"F";"CP";"R";"P";"AC";"AM"}))</f>
        <v>19</v>
      </c>
      <c r="OM50" s="138">
        <f t="shared" si="47"/>
        <v>0</v>
      </c>
      <c r="ON50" s="8">
        <f t="shared" si="48"/>
        <v>0</v>
      </c>
      <c r="OO50" s="32" cm="1">
        <f t="array" ref="OO50">NETWORKDAYS($MA$2,$MR$2)-SUM(COUNTIF(MA50:MR50,{"I";"F";"CP";"R";"P";"AC";"AM"}))</f>
        <v>14</v>
      </c>
      <c r="OP50" s="138">
        <f t="shared" si="49"/>
        <v>0</v>
      </c>
      <c r="OQ50" s="94">
        <f t="shared" si="50"/>
        <v>0</v>
      </c>
      <c r="OR50" s="94">
        <f t="shared" si="51"/>
        <v>240</v>
      </c>
      <c r="OS50" s="138">
        <f t="shared" si="52"/>
        <v>0</v>
      </c>
    </row>
    <row r="51" spans="1:409" ht="18" hidden="1" customHeight="1" x14ac:dyDescent="0.25">
      <c r="A51" s="95" t="s">
        <v>168</v>
      </c>
      <c r="B51" s="95" t="s">
        <v>168</v>
      </c>
      <c r="C51" s="89" t="s">
        <v>160</v>
      </c>
      <c r="D51" s="89" t="s">
        <v>228</v>
      </c>
      <c r="E51" s="128"/>
      <c r="F51" s="110"/>
      <c r="G51" s="110"/>
      <c r="H51" s="110"/>
      <c r="I51" s="25"/>
      <c r="J51" s="25"/>
      <c r="K51" s="25"/>
      <c r="L51" s="25"/>
      <c r="M51" s="25"/>
      <c r="N51" s="110"/>
      <c r="O51" s="110"/>
      <c r="P51" s="25"/>
      <c r="Q51" s="25"/>
      <c r="R51" s="25"/>
      <c r="S51" s="25"/>
      <c r="T51" s="25"/>
      <c r="U51" s="110"/>
      <c r="V51" s="110"/>
      <c r="W51" s="25"/>
      <c r="X51" s="25"/>
      <c r="Y51" s="25"/>
      <c r="Z51" s="25"/>
      <c r="AA51" s="25"/>
      <c r="AB51" s="110"/>
      <c r="AC51" s="110"/>
      <c r="AD51" s="25"/>
      <c r="AE51" s="25"/>
      <c r="AF51" s="25"/>
      <c r="AG51" s="25"/>
      <c r="AH51" s="25"/>
      <c r="AI51" s="110"/>
      <c r="AJ51" s="110"/>
      <c r="AK51" s="25"/>
      <c r="AL51" s="25"/>
      <c r="AM51" s="25"/>
      <c r="AN51" s="25"/>
      <c r="AO51" s="25"/>
      <c r="AP51" s="110"/>
      <c r="AQ51" s="110"/>
      <c r="AR51" s="25"/>
      <c r="AS51" s="25"/>
      <c r="AT51" s="25"/>
      <c r="AU51" s="25"/>
      <c r="AV51" s="25"/>
      <c r="AW51" s="110"/>
      <c r="AX51" s="110"/>
      <c r="AY51" s="25"/>
      <c r="AZ51" s="25"/>
      <c r="BA51" s="25"/>
      <c r="BB51" s="25"/>
      <c r="BC51" s="25"/>
      <c r="BD51" s="110"/>
      <c r="BE51" s="110"/>
      <c r="BF51" s="25"/>
      <c r="BG51" s="25"/>
      <c r="BH51" s="25"/>
      <c r="BI51" s="25"/>
      <c r="BJ51" s="25"/>
      <c r="BK51" s="110"/>
      <c r="BL51" s="110"/>
      <c r="BM51" s="25"/>
      <c r="BN51" s="25"/>
      <c r="BO51" s="25"/>
      <c r="BP51" s="25"/>
      <c r="BQ51" s="25"/>
      <c r="BR51" s="110"/>
      <c r="BS51" s="110"/>
      <c r="BT51" s="25"/>
      <c r="BU51" s="25"/>
      <c r="BV51" s="25"/>
      <c r="BW51" s="25"/>
      <c r="BX51" s="25"/>
      <c r="BY51" s="110"/>
      <c r="BZ51" s="110"/>
      <c r="CA51" s="25"/>
      <c r="CB51" s="25"/>
      <c r="CC51" s="25"/>
      <c r="CD51" s="25"/>
      <c r="CE51" s="25"/>
      <c r="CF51" s="110"/>
      <c r="CG51" s="110"/>
      <c r="CH51" s="25"/>
      <c r="CI51" s="25"/>
      <c r="CJ51" s="25"/>
      <c r="CK51" s="25"/>
      <c r="CL51" s="25"/>
      <c r="CM51" s="110"/>
      <c r="CN51" s="110"/>
      <c r="CO51" s="25"/>
      <c r="CP51" s="25"/>
      <c r="CQ51" s="25"/>
      <c r="CR51" s="25"/>
      <c r="CS51" s="25"/>
      <c r="CT51" s="110"/>
      <c r="CU51" s="110"/>
      <c r="CV51" s="110"/>
      <c r="CW51" s="25"/>
      <c r="CX51" s="25"/>
      <c r="CY51" s="25"/>
      <c r="CZ51" s="25"/>
      <c r="DA51" s="110"/>
      <c r="DB51" s="110"/>
      <c r="DC51" s="25"/>
      <c r="DD51" s="25"/>
      <c r="DE51" s="25"/>
      <c r="DF51" s="25"/>
      <c r="DG51" s="25"/>
      <c r="DH51" s="110"/>
      <c r="DI51" s="110"/>
      <c r="DJ51" s="25"/>
      <c r="DK51" s="25"/>
      <c r="DL51" s="25"/>
      <c r="DM51" s="25"/>
      <c r="DN51" s="25"/>
      <c r="DO51" s="110"/>
      <c r="DP51" s="110"/>
      <c r="DQ51" s="25"/>
      <c r="DR51" s="25"/>
      <c r="DS51" s="25"/>
      <c r="DT51" s="25"/>
      <c r="DU51" s="110"/>
      <c r="DV51" s="110"/>
      <c r="DW51" s="110"/>
      <c r="DX51" s="25"/>
      <c r="DY51" s="25"/>
      <c r="DZ51" s="25"/>
      <c r="EA51" s="25"/>
      <c r="EB51" s="110" t="s">
        <v>445</v>
      </c>
      <c r="EC51" s="110"/>
      <c r="ED51" s="110"/>
      <c r="EE51" s="25"/>
      <c r="EF51" s="25"/>
      <c r="EG51" s="25"/>
      <c r="EH51" s="110" t="s">
        <v>445</v>
      </c>
      <c r="EI51" s="110" t="s">
        <v>445</v>
      </c>
      <c r="EJ51" s="110"/>
      <c r="EK51" s="110"/>
      <c r="EL51" s="25"/>
      <c r="EM51" s="25"/>
      <c r="EN51" s="25"/>
      <c r="EO51" s="25"/>
      <c r="EP51" s="25"/>
      <c r="EQ51" s="110"/>
      <c r="ER51" s="110"/>
      <c r="ES51" s="110" t="s">
        <v>445</v>
      </c>
      <c r="ET51" s="25"/>
      <c r="EU51" s="25"/>
      <c r="EV51" s="25"/>
      <c r="EW51" s="25"/>
      <c r="EX51" s="110"/>
      <c r="EY51" s="110"/>
      <c r="EZ51" s="25"/>
      <c r="FA51" s="25"/>
      <c r="FB51" s="25"/>
      <c r="FC51" s="25"/>
      <c r="FD51" s="25"/>
      <c r="FE51" s="110"/>
      <c r="FF51" s="110"/>
      <c r="FG51" s="25"/>
      <c r="FH51" s="25"/>
      <c r="FI51" s="25"/>
      <c r="FJ51" s="25"/>
      <c r="FK51" s="25"/>
      <c r="FL51" s="110"/>
      <c r="FM51" s="110"/>
      <c r="FN51" s="25"/>
      <c r="FO51" s="25"/>
      <c r="FP51" s="25"/>
      <c r="FQ51" s="25"/>
      <c r="FR51" s="25"/>
      <c r="FS51" s="110"/>
      <c r="FT51" s="110"/>
      <c r="FU51" s="25"/>
      <c r="FV51" s="25"/>
      <c r="FW51" s="25"/>
      <c r="FX51" s="25"/>
      <c r="FY51" s="25"/>
      <c r="FZ51" s="110"/>
      <c r="GA51" s="110"/>
      <c r="GB51" s="25"/>
      <c r="GC51" s="25"/>
      <c r="GD51" s="25"/>
      <c r="GE51" s="25"/>
      <c r="GF51" s="25"/>
      <c r="GG51" s="110"/>
      <c r="GH51" s="110"/>
      <c r="GI51" s="25"/>
      <c r="GJ51" s="25"/>
      <c r="GK51" s="25"/>
      <c r="GL51" s="25"/>
      <c r="GM51" s="25"/>
      <c r="GN51" s="110"/>
      <c r="GO51" s="110"/>
      <c r="GP51" s="110"/>
      <c r="GQ51" s="110" t="s">
        <v>445</v>
      </c>
      <c r="GR51" s="25"/>
      <c r="GS51" s="25"/>
      <c r="GT51" s="25"/>
      <c r="GU51" s="110"/>
      <c r="GV51" s="110"/>
      <c r="GW51" s="25"/>
      <c r="GX51" s="25"/>
      <c r="GY51" s="25"/>
      <c r="GZ51" s="25"/>
      <c r="HA51" s="25"/>
      <c r="HB51" s="110"/>
      <c r="HC51" s="110"/>
      <c r="HD51" s="25"/>
      <c r="HE51" s="25"/>
      <c r="HF51" s="25"/>
      <c r="HG51" s="25"/>
      <c r="HH51" s="25"/>
      <c r="HI51" s="110"/>
      <c r="HJ51" s="110"/>
      <c r="HK51" s="25"/>
      <c r="HL51" s="25"/>
      <c r="HM51" s="25"/>
      <c r="HN51" s="25"/>
      <c r="HO51" s="25"/>
      <c r="HP51" s="110"/>
      <c r="HQ51" s="110"/>
      <c r="HR51" s="25"/>
      <c r="HS51" s="25"/>
      <c r="HT51" s="25"/>
      <c r="HU51" s="25"/>
      <c r="HV51" s="25"/>
      <c r="HW51" s="110"/>
      <c r="HX51" s="110"/>
      <c r="HY51" s="25"/>
      <c r="HZ51" s="25"/>
      <c r="IA51" s="25"/>
      <c r="IB51" s="25"/>
      <c r="IC51" s="25"/>
      <c r="ID51" s="110"/>
      <c r="IE51" s="110"/>
      <c r="IF51" s="25"/>
      <c r="IG51" s="25"/>
      <c r="IH51" s="25"/>
      <c r="II51" s="25"/>
      <c r="IJ51" s="25"/>
      <c r="IK51" s="110"/>
      <c r="IL51" s="110"/>
      <c r="IM51" s="25"/>
      <c r="IN51" s="25"/>
      <c r="IO51" s="25"/>
      <c r="IP51" s="25"/>
      <c r="IQ51" s="25"/>
      <c r="IR51" s="110"/>
      <c r="IS51" s="110"/>
      <c r="IT51" s="25"/>
      <c r="IU51" s="25"/>
      <c r="IV51" s="25"/>
      <c r="IW51" s="25"/>
      <c r="IX51" s="25"/>
      <c r="IY51" s="110"/>
      <c r="IZ51" s="110"/>
      <c r="JA51" s="25"/>
      <c r="JB51" s="25"/>
      <c r="JC51" s="25"/>
      <c r="JD51" s="25"/>
      <c r="JE51" s="25"/>
      <c r="JF51" s="110"/>
      <c r="JG51" s="110"/>
      <c r="JH51" s="25"/>
      <c r="JI51" s="25"/>
      <c r="JJ51" s="25"/>
      <c r="JK51" s="25"/>
      <c r="JL51" s="25"/>
      <c r="JM51" s="110"/>
      <c r="JN51" s="110"/>
      <c r="JO51" s="25"/>
      <c r="JP51" s="25"/>
      <c r="JQ51" s="25"/>
      <c r="JR51" s="25"/>
      <c r="JS51" s="25"/>
      <c r="JT51" s="110"/>
      <c r="JU51" s="110"/>
      <c r="JV51" s="25"/>
      <c r="JW51" s="25"/>
      <c r="JX51" s="25"/>
      <c r="JY51" s="25"/>
      <c r="JZ51" s="25"/>
      <c r="KA51" s="110"/>
      <c r="KB51" s="110"/>
      <c r="KC51" s="25"/>
      <c r="KD51" s="25"/>
      <c r="KE51" s="25"/>
      <c r="KF51" s="25"/>
      <c r="KG51" s="25"/>
      <c r="KH51" s="110"/>
      <c r="KI51" s="110"/>
      <c r="KJ51" s="25"/>
      <c r="KK51" s="25"/>
      <c r="KL51" s="25"/>
      <c r="KM51" s="25"/>
      <c r="KN51" s="25"/>
      <c r="KO51" s="110"/>
      <c r="KP51" s="110"/>
      <c r="KQ51" s="25"/>
      <c r="KR51" s="25"/>
      <c r="KS51" s="25"/>
      <c r="KT51" s="25"/>
      <c r="KU51" s="25"/>
      <c r="KV51" s="110"/>
      <c r="KW51" s="110"/>
      <c r="KX51" s="25"/>
      <c r="KY51" s="25"/>
      <c r="KZ51" s="25"/>
      <c r="LA51" s="25"/>
      <c r="LB51" s="25"/>
      <c r="LC51" s="110"/>
      <c r="LD51" s="110"/>
      <c r="LE51" s="25"/>
      <c r="LF51" s="25"/>
      <c r="LG51" s="110" t="s">
        <v>445</v>
      </c>
      <c r="LH51" s="25"/>
      <c r="LI51" s="25"/>
      <c r="LJ51" s="110"/>
      <c r="LK51" s="110"/>
      <c r="LL51" s="25"/>
      <c r="LM51" s="25"/>
      <c r="LN51" s="25"/>
      <c r="LO51" s="25"/>
      <c r="LP51" s="25"/>
      <c r="LQ51" s="110"/>
      <c r="LR51" s="110"/>
      <c r="LS51" s="25"/>
      <c r="LT51" s="25"/>
      <c r="LU51" s="25"/>
      <c r="LV51" s="25"/>
      <c r="LW51" s="25"/>
      <c r="LX51" s="110"/>
      <c r="LY51" s="110"/>
      <c r="LZ51" s="25"/>
      <c r="MA51" s="25"/>
      <c r="MB51" s="25"/>
      <c r="MC51" s="25"/>
      <c r="MD51" s="25"/>
      <c r="ME51" s="110"/>
      <c r="MF51" s="110"/>
      <c r="MG51" s="25"/>
      <c r="MH51" s="25"/>
      <c r="MI51" s="25"/>
      <c r="MJ51" s="25"/>
      <c r="MK51" s="25"/>
      <c r="ML51" s="110"/>
      <c r="MM51" s="110"/>
      <c r="MN51" s="25"/>
      <c r="MO51" s="25"/>
      <c r="MP51" s="25"/>
      <c r="MQ51" s="25"/>
      <c r="MR51" s="25"/>
      <c r="MS51" s="110"/>
      <c r="MT51" s="110"/>
      <c r="MU51" s="25"/>
      <c r="MV51" s="25"/>
      <c r="MW51" s="25"/>
      <c r="MX51" s="25"/>
      <c r="MY51" s="25"/>
      <c r="MZ51" s="110"/>
      <c r="NA51" s="110"/>
      <c r="NB51" s="25"/>
      <c r="NC51" s="25"/>
      <c r="ND51" s="25"/>
      <c r="NE51" s="129"/>
      <c r="NF51" s="111"/>
      <c r="NG51" s="8">
        <f t="shared" si="27"/>
        <v>0</v>
      </c>
      <c r="NH51" s="32" cm="1">
        <f t="array" ref="NH51">NETWORKDAYS($I$2,$AI$2)- SUM(COUNTIF(I51:AI51,{"I";"F";"CP";"R";"P";"AC";"AM"}))</f>
        <v>20</v>
      </c>
      <c r="NI51" s="138">
        <f t="shared" si="28"/>
        <v>0</v>
      </c>
      <c r="NJ51" s="8">
        <f t="shared" si="29"/>
        <v>0</v>
      </c>
      <c r="NK51" s="32" cm="1">
        <f t="array" ref="NK51">NETWORKDAYS($AJ$2,$BK$2)- SUM(COUNTIF(AJ51:BK51,{"I";"F";"CP";"R";"P";"AC";"AM"}))</f>
        <v>20</v>
      </c>
      <c r="NL51" s="138">
        <f t="shared" si="30"/>
        <v>0</v>
      </c>
      <c r="NM51" s="8">
        <f t="shared" si="31"/>
        <v>0</v>
      </c>
      <c r="NN51" s="32" cm="1">
        <f t="array" ref="NN51">NETWORKDAYS($BL$2,$CP$2)- SUM(COUNTIF(BL51:CP51,{"I";"F";"CP";"R";"P";"AC";"AM"}))</f>
        <v>22</v>
      </c>
      <c r="NO51" s="138">
        <f t="shared" si="32"/>
        <v>0</v>
      </c>
      <c r="NP51" s="32">
        <f t="shared" si="26"/>
        <v>0</v>
      </c>
      <c r="NQ51" s="32" cm="1">
        <f t="array" ref="NQ51">NETWORKDAYS($CQ$2,$DT$2,$CV$2)- SUM(COUNTIF(CQ51:DT51,{"I";"F";"CP";"R";"P";"AC";"AM"}))</f>
        <v>21</v>
      </c>
      <c r="NR51" s="138">
        <f t="shared" si="33"/>
        <v>0</v>
      </c>
      <c r="NS51" s="8">
        <f t="shared" si="34"/>
        <v>0</v>
      </c>
      <c r="NT51" s="32" cm="1">
        <f t="array" ref="NT51">NETWORKDAYS($DV$2,$EY$2)-SUM(COUNTIF(DV51:EY51,{"I";"F";"CP";"R";"P";"AC";"AM"}))</f>
        <v>16</v>
      </c>
      <c r="NU51" s="138">
        <f t="shared" si="35"/>
        <v>0</v>
      </c>
      <c r="NV51" s="8">
        <f t="shared" si="36"/>
        <v>0</v>
      </c>
      <c r="NW51" s="32" cm="1">
        <f t="array" ref="NW51">NETWORKDAYS($EZ$2,$GC$2)-SUM(COUNTIF(EZ131:GC131,{"I";"F";"CP";"R";"P";"AC";"AM"}))</f>
        <v>22</v>
      </c>
      <c r="NX51" s="138">
        <f t="shared" si="37"/>
        <v>0</v>
      </c>
      <c r="NY51" s="8">
        <f t="shared" si="38"/>
        <v>0</v>
      </c>
      <c r="NZ51" s="32" cm="1">
        <f t="array" ref="NZ51">NETWORKDAYS($GD$2,$HH$2,$GQ$2)-SUM(COUNTIF(GD51:HH51,{"I";"F";"CP";"R";"P";"AC";"AM"}))</f>
        <v>21</v>
      </c>
      <c r="OA51" s="138">
        <f t="shared" si="39"/>
        <v>0</v>
      </c>
      <c r="OB51" s="8">
        <f t="shared" si="40"/>
        <v>0</v>
      </c>
      <c r="OC51" s="32" cm="1">
        <f t="array" ref="OC51">NETWORKDAYS($HI$2,$IM$2)-SUM(COUNTIF(HI51:IM51,{"I";"F";"CP";"R";"P";"AC";"AM"}))</f>
        <v>21</v>
      </c>
      <c r="OD51" s="138">
        <f t="shared" si="41"/>
        <v>0</v>
      </c>
      <c r="OE51" s="8">
        <f t="shared" si="42"/>
        <v>0</v>
      </c>
      <c r="OF51" s="32" cm="1">
        <f t="array" ref="OF51">NETWORKDAYS($IN$2,$JQ$2)-SUM(COUNTIF(IN51:JQ51,{"I";"F";"CP";"R";"P";"AC";"AM"}))</f>
        <v>22</v>
      </c>
      <c r="OG51" s="138">
        <f t="shared" si="43"/>
        <v>0</v>
      </c>
      <c r="OH51" s="8">
        <f t="shared" si="44"/>
        <v>0</v>
      </c>
      <c r="OI51" s="32" cm="1">
        <f t="array" ref="OI51">NETWORKDAYS($JR$2,$KV$2)-SUM(COUNTIF(JR51:KV51,{"I";"F";"CP";"R";"P";"AC";"AM"}))</f>
        <v>22</v>
      </c>
      <c r="OJ51" s="138">
        <f t="shared" si="45"/>
        <v>0</v>
      </c>
      <c r="OK51" s="8">
        <f t="shared" si="46"/>
        <v>0</v>
      </c>
      <c r="OL51" s="32" cm="1">
        <f t="array" ref="OL51">NETWORKDAYS($KW$2,$LZ$2,$LG$2)-SUM(COUNTIF(KW51:LZ51,{"I";"F";"CP";"R";"P";"AC";"AM"}))</f>
        <v>19</v>
      </c>
      <c r="OM51" s="138">
        <f t="shared" si="47"/>
        <v>0</v>
      </c>
      <c r="ON51" s="8">
        <f t="shared" si="48"/>
        <v>0</v>
      </c>
      <c r="OO51" s="32" cm="1">
        <f t="array" ref="OO51">NETWORKDAYS($MA$2,$MR$2)-SUM(COUNTIF(MA51:MR51,{"I";"F";"CP";"R";"P";"AC";"AM"}))</f>
        <v>14</v>
      </c>
      <c r="OP51" s="138">
        <f t="shared" si="49"/>
        <v>0</v>
      </c>
      <c r="OQ51" s="94">
        <f t="shared" si="50"/>
        <v>0</v>
      </c>
      <c r="OR51" s="94">
        <f t="shared" si="51"/>
        <v>240</v>
      </c>
      <c r="OS51" s="138">
        <f t="shared" si="52"/>
        <v>0</v>
      </c>
    </row>
    <row r="52" spans="1:409" ht="18" hidden="1" customHeight="1" x14ac:dyDescent="0.25">
      <c r="A52" s="95" t="s">
        <v>168</v>
      </c>
      <c r="B52" s="95" t="s">
        <v>168</v>
      </c>
      <c r="C52" s="89" t="s">
        <v>160</v>
      </c>
      <c r="D52" s="89" t="s">
        <v>229</v>
      </c>
      <c r="E52" s="128"/>
      <c r="F52" s="110"/>
      <c r="G52" s="110"/>
      <c r="H52" s="110"/>
      <c r="I52" s="25"/>
      <c r="J52" s="25"/>
      <c r="K52" s="25"/>
      <c r="L52" s="25"/>
      <c r="M52" s="25"/>
      <c r="N52" s="110"/>
      <c r="O52" s="110"/>
      <c r="P52" s="25"/>
      <c r="Q52" s="25"/>
      <c r="R52" s="25"/>
      <c r="S52" s="25"/>
      <c r="T52" s="25"/>
      <c r="U52" s="110"/>
      <c r="V52" s="110"/>
      <c r="W52" s="25"/>
      <c r="X52" s="25"/>
      <c r="Y52" s="25"/>
      <c r="Z52" s="25"/>
      <c r="AA52" s="25"/>
      <c r="AB52" s="110"/>
      <c r="AC52" s="110"/>
      <c r="AD52" s="25"/>
      <c r="AE52" s="25"/>
      <c r="AF52" s="25"/>
      <c r="AG52" s="25"/>
      <c r="AH52" s="25"/>
      <c r="AI52" s="110"/>
      <c r="AJ52" s="110"/>
      <c r="AK52" s="25"/>
      <c r="AL52" s="25"/>
      <c r="AM52" s="25"/>
      <c r="AN52" s="25"/>
      <c r="AO52" s="25"/>
      <c r="AP52" s="110"/>
      <c r="AQ52" s="110"/>
      <c r="AR52" s="25"/>
      <c r="AS52" s="25"/>
      <c r="AT52" s="25"/>
      <c r="AU52" s="25">
        <v>1</v>
      </c>
      <c r="AV52" s="25"/>
      <c r="AW52" s="110"/>
      <c r="AX52" s="110"/>
      <c r="AY52" s="25">
        <v>1</v>
      </c>
      <c r="AZ52" s="25">
        <v>1</v>
      </c>
      <c r="BA52" s="25">
        <v>1</v>
      </c>
      <c r="BB52" s="25">
        <v>1</v>
      </c>
      <c r="BC52" s="25"/>
      <c r="BD52" s="110"/>
      <c r="BE52" s="110"/>
      <c r="BF52" s="25"/>
      <c r="BG52" s="25"/>
      <c r="BH52" s="25"/>
      <c r="BI52" s="25"/>
      <c r="BJ52" s="25"/>
      <c r="BK52" s="110"/>
      <c r="BL52" s="110"/>
      <c r="BM52" s="25"/>
      <c r="BN52" s="25"/>
      <c r="BO52" s="25"/>
      <c r="BP52" s="25"/>
      <c r="BQ52" s="25"/>
      <c r="BR52" s="110"/>
      <c r="BS52" s="110"/>
      <c r="BT52" s="25"/>
      <c r="BU52" s="25"/>
      <c r="BV52" s="25"/>
      <c r="BW52" s="25"/>
      <c r="BX52" s="25"/>
      <c r="BY52" s="110"/>
      <c r="BZ52" s="110"/>
      <c r="CA52" s="25"/>
      <c r="CB52" s="25"/>
      <c r="CC52" s="25"/>
      <c r="CD52" s="25"/>
      <c r="CE52" s="25"/>
      <c r="CF52" s="110"/>
      <c r="CG52" s="110"/>
      <c r="CH52" s="25"/>
      <c r="CI52" s="25"/>
      <c r="CJ52" s="25"/>
      <c r="CK52" s="25"/>
      <c r="CL52" s="25"/>
      <c r="CM52" s="110"/>
      <c r="CN52" s="110"/>
      <c r="CO52" s="25"/>
      <c r="CP52" s="25"/>
      <c r="CQ52" s="25"/>
      <c r="CR52" s="25"/>
      <c r="CS52" s="25"/>
      <c r="CT52" s="110"/>
      <c r="CU52" s="110"/>
      <c r="CV52" s="110"/>
      <c r="CW52" s="25"/>
      <c r="CX52" s="25"/>
      <c r="CY52" s="25"/>
      <c r="CZ52" s="25"/>
      <c r="DA52" s="110"/>
      <c r="DB52" s="110"/>
      <c r="DC52" s="25"/>
      <c r="DD52" s="25"/>
      <c r="DE52" s="25"/>
      <c r="DF52" s="25"/>
      <c r="DG52" s="25"/>
      <c r="DH52" s="110"/>
      <c r="DI52" s="110"/>
      <c r="DJ52" s="25"/>
      <c r="DK52" s="25"/>
      <c r="DL52" s="25"/>
      <c r="DM52" s="25"/>
      <c r="DN52" s="25"/>
      <c r="DO52" s="110"/>
      <c r="DP52" s="110"/>
      <c r="DQ52" s="25"/>
      <c r="DR52" s="25"/>
      <c r="DS52" s="25"/>
      <c r="DT52" s="25"/>
      <c r="DU52" s="110"/>
      <c r="DV52" s="110"/>
      <c r="DW52" s="110"/>
      <c r="DX52" s="25"/>
      <c r="DY52" s="25"/>
      <c r="DZ52" s="25"/>
      <c r="EA52" s="25"/>
      <c r="EB52" s="110" t="s">
        <v>445</v>
      </c>
      <c r="EC52" s="110"/>
      <c r="ED52" s="110"/>
      <c r="EE52" s="25"/>
      <c r="EF52" s="25"/>
      <c r="EG52" s="25"/>
      <c r="EH52" s="110" t="s">
        <v>445</v>
      </c>
      <c r="EI52" s="110" t="s">
        <v>445</v>
      </c>
      <c r="EJ52" s="110"/>
      <c r="EK52" s="110"/>
      <c r="EL52" s="25"/>
      <c r="EM52" s="25"/>
      <c r="EN52" s="25"/>
      <c r="EO52" s="25"/>
      <c r="EP52" s="25"/>
      <c r="EQ52" s="110"/>
      <c r="ER52" s="110"/>
      <c r="ES52" s="110" t="s">
        <v>445</v>
      </c>
      <c r="ET52" s="25"/>
      <c r="EU52" s="25"/>
      <c r="EV52" s="25"/>
      <c r="EW52" s="25"/>
      <c r="EX52" s="110"/>
      <c r="EY52" s="110"/>
      <c r="EZ52" s="25"/>
      <c r="FA52" s="25"/>
      <c r="FB52" s="25"/>
      <c r="FC52" s="25"/>
      <c r="FD52" s="25"/>
      <c r="FE52" s="110"/>
      <c r="FF52" s="110"/>
      <c r="FG52" s="25"/>
      <c r="FH52" s="25"/>
      <c r="FI52" s="25"/>
      <c r="FJ52" s="25"/>
      <c r="FK52" s="25"/>
      <c r="FL52" s="110"/>
      <c r="FM52" s="110"/>
      <c r="FN52" s="25"/>
      <c r="FO52" s="25"/>
      <c r="FP52" s="25"/>
      <c r="FQ52" s="25"/>
      <c r="FR52" s="25"/>
      <c r="FS52" s="110"/>
      <c r="FT52" s="110"/>
      <c r="FU52" s="25"/>
      <c r="FV52" s="25"/>
      <c r="FW52" s="25"/>
      <c r="FX52" s="25"/>
      <c r="FY52" s="25"/>
      <c r="FZ52" s="110"/>
      <c r="GA52" s="110"/>
      <c r="GB52" s="25"/>
      <c r="GC52" s="25"/>
      <c r="GD52" s="25"/>
      <c r="GE52" s="25"/>
      <c r="GF52" s="25"/>
      <c r="GG52" s="110"/>
      <c r="GH52" s="110"/>
      <c r="GI52" s="25"/>
      <c r="GJ52" s="25"/>
      <c r="GK52" s="25"/>
      <c r="GL52" s="25"/>
      <c r="GM52" s="25"/>
      <c r="GN52" s="110"/>
      <c r="GO52" s="110"/>
      <c r="GP52" s="110"/>
      <c r="GQ52" s="110" t="s">
        <v>445</v>
      </c>
      <c r="GR52" s="25"/>
      <c r="GS52" s="25"/>
      <c r="GT52" s="25"/>
      <c r="GU52" s="110"/>
      <c r="GV52" s="110"/>
      <c r="GW52" s="25"/>
      <c r="GX52" s="25"/>
      <c r="GY52" s="25"/>
      <c r="GZ52" s="25"/>
      <c r="HA52" s="25"/>
      <c r="HB52" s="110"/>
      <c r="HC52" s="110"/>
      <c r="HD52" s="25"/>
      <c r="HE52" s="25"/>
      <c r="HF52" s="25"/>
      <c r="HG52" s="25"/>
      <c r="HH52" s="25"/>
      <c r="HI52" s="110"/>
      <c r="HJ52" s="110"/>
      <c r="HK52" s="25"/>
      <c r="HL52" s="25"/>
      <c r="HM52" s="25"/>
      <c r="HN52" s="25"/>
      <c r="HO52" s="25"/>
      <c r="HP52" s="110"/>
      <c r="HQ52" s="110"/>
      <c r="HR52" s="25"/>
      <c r="HS52" s="25"/>
      <c r="HT52" s="25"/>
      <c r="HU52" s="25"/>
      <c r="HV52" s="25"/>
      <c r="HW52" s="110"/>
      <c r="HX52" s="110"/>
      <c r="HY52" s="25"/>
      <c r="HZ52" s="25"/>
      <c r="IA52" s="25"/>
      <c r="IB52" s="25"/>
      <c r="IC52" s="25"/>
      <c r="ID52" s="110"/>
      <c r="IE52" s="110"/>
      <c r="IF52" s="25"/>
      <c r="IG52" s="25"/>
      <c r="IH52" s="25"/>
      <c r="II52" s="25"/>
      <c r="IJ52" s="25"/>
      <c r="IK52" s="110"/>
      <c r="IL52" s="110"/>
      <c r="IM52" s="25"/>
      <c r="IN52" s="25"/>
      <c r="IO52" s="25"/>
      <c r="IP52" s="25"/>
      <c r="IQ52" s="25"/>
      <c r="IR52" s="110"/>
      <c r="IS52" s="110"/>
      <c r="IT52" s="25"/>
      <c r="IU52" s="25"/>
      <c r="IV52" s="25"/>
      <c r="IW52" s="25"/>
      <c r="IX52" s="25"/>
      <c r="IY52" s="110"/>
      <c r="IZ52" s="110"/>
      <c r="JA52" s="25"/>
      <c r="JB52" s="25"/>
      <c r="JC52" s="25"/>
      <c r="JD52" s="25"/>
      <c r="JE52" s="25"/>
      <c r="JF52" s="110"/>
      <c r="JG52" s="110"/>
      <c r="JH52" s="25"/>
      <c r="JI52" s="25"/>
      <c r="JJ52" s="25"/>
      <c r="JK52" s="25"/>
      <c r="JL52" s="25"/>
      <c r="JM52" s="110"/>
      <c r="JN52" s="110"/>
      <c r="JO52" s="25"/>
      <c r="JP52" s="25"/>
      <c r="JQ52" s="25"/>
      <c r="JR52" s="25"/>
      <c r="JS52" s="25"/>
      <c r="JT52" s="110"/>
      <c r="JU52" s="110"/>
      <c r="JV52" s="25"/>
      <c r="JW52" s="25"/>
      <c r="JX52" s="25"/>
      <c r="JY52" s="25"/>
      <c r="JZ52" s="25"/>
      <c r="KA52" s="110"/>
      <c r="KB52" s="110"/>
      <c r="KC52" s="25"/>
      <c r="KD52" s="25"/>
      <c r="KE52" s="25"/>
      <c r="KF52" s="25"/>
      <c r="KG52" s="25"/>
      <c r="KH52" s="110"/>
      <c r="KI52" s="110"/>
      <c r="KJ52" s="25"/>
      <c r="KK52" s="25"/>
      <c r="KL52" s="25"/>
      <c r="KM52" s="25"/>
      <c r="KN52" s="25"/>
      <c r="KO52" s="110"/>
      <c r="KP52" s="110"/>
      <c r="KQ52" s="25"/>
      <c r="KR52" s="25"/>
      <c r="KS52" s="25"/>
      <c r="KT52" s="25"/>
      <c r="KU52" s="25"/>
      <c r="KV52" s="110"/>
      <c r="KW52" s="110"/>
      <c r="KX52" s="25"/>
      <c r="KY52" s="25"/>
      <c r="KZ52" s="25"/>
      <c r="LA52" s="25"/>
      <c r="LB52" s="25"/>
      <c r="LC52" s="110"/>
      <c r="LD52" s="110"/>
      <c r="LE52" s="25"/>
      <c r="LF52" s="25"/>
      <c r="LG52" s="110" t="s">
        <v>445</v>
      </c>
      <c r="LH52" s="25"/>
      <c r="LI52" s="25"/>
      <c r="LJ52" s="110"/>
      <c r="LK52" s="110"/>
      <c r="LL52" s="25"/>
      <c r="LM52" s="25"/>
      <c r="LN52" s="25"/>
      <c r="LO52" s="25"/>
      <c r="LP52" s="25"/>
      <c r="LQ52" s="110"/>
      <c r="LR52" s="110"/>
      <c r="LS52" s="25"/>
      <c r="LT52" s="25"/>
      <c r="LU52" s="25"/>
      <c r="LV52" s="25"/>
      <c r="LW52" s="25"/>
      <c r="LX52" s="110"/>
      <c r="LY52" s="110"/>
      <c r="LZ52" s="25"/>
      <c r="MA52" s="25"/>
      <c r="MB52" s="25"/>
      <c r="MC52" s="25"/>
      <c r="MD52" s="25"/>
      <c r="ME52" s="110"/>
      <c r="MF52" s="110"/>
      <c r="MG52" s="25"/>
      <c r="MH52" s="25"/>
      <c r="MI52" s="25"/>
      <c r="MJ52" s="25"/>
      <c r="MK52" s="25"/>
      <c r="ML52" s="110"/>
      <c r="MM52" s="110"/>
      <c r="MN52" s="25"/>
      <c r="MO52" s="25"/>
      <c r="MP52" s="25"/>
      <c r="MQ52" s="25"/>
      <c r="MR52" s="25"/>
      <c r="MS52" s="110"/>
      <c r="MT52" s="110"/>
      <c r="MU52" s="25"/>
      <c r="MV52" s="25"/>
      <c r="MW52" s="25"/>
      <c r="MX52" s="25"/>
      <c r="MY52" s="25"/>
      <c r="MZ52" s="110"/>
      <c r="NA52" s="110"/>
      <c r="NB52" s="25"/>
      <c r="NC52" s="25"/>
      <c r="ND52" s="25"/>
      <c r="NE52" s="129"/>
      <c r="NF52" s="111"/>
      <c r="NG52" s="8">
        <f t="shared" si="27"/>
        <v>0</v>
      </c>
      <c r="NH52" s="32" cm="1">
        <f t="array" ref="NH52">NETWORKDAYS($I$2,$AI$2)- SUM(COUNTIF(I52:AI52,{"I";"F";"CP";"R";"P";"AC";"AM"}))</f>
        <v>20</v>
      </c>
      <c r="NI52" s="138">
        <f t="shared" si="28"/>
        <v>0</v>
      </c>
      <c r="NJ52" s="8">
        <f t="shared" si="29"/>
        <v>5</v>
      </c>
      <c r="NK52" s="32" cm="1">
        <f t="array" ref="NK52">NETWORKDAYS($AJ$2,$BK$2)- SUM(COUNTIF(AJ52:BK52,{"I";"F";"CP";"R";"P";"AC";"AM"}))</f>
        <v>20</v>
      </c>
      <c r="NL52" s="138">
        <f t="shared" si="30"/>
        <v>0.25</v>
      </c>
      <c r="NM52" s="8">
        <f t="shared" si="31"/>
        <v>0</v>
      </c>
      <c r="NN52" s="32" cm="1">
        <f t="array" ref="NN52">NETWORKDAYS($BL$2,$CP$2)- SUM(COUNTIF(BL52:CP52,{"I";"F";"CP";"R";"P";"AC";"AM"}))</f>
        <v>22</v>
      </c>
      <c r="NO52" s="138">
        <f t="shared" si="32"/>
        <v>0</v>
      </c>
      <c r="NP52" s="8">
        <f t="shared" si="26"/>
        <v>0</v>
      </c>
      <c r="NQ52" s="32" cm="1">
        <f t="array" ref="NQ52">NETWORKDAYS($CQ$2,$DT$2,$CV$2)- SUM(COUNTIF(CQ52:DT52,{"I";"F";"CP";"R";"P";"AC";"AM"}))</f>
        <v>21</v>
      </c>
      <c r="NR52" s="138">
        <f t="shared" si="33"/>
        <v>0</v>
      </c>
      <c r="NS52" s="8">
        <f t="shared" si="34"/>
        <v>0</v>
      </c>
      <c r="NT52" s="32" cm="1">
        <f t="array" ref="NT52">NETWORKDAYS($DV$2,$EY$2)-SUM(COUNTIF(DV52:EY52,{"I";"F";"CP";"R";"P";"AC";"AM"}))</f>
        <v>16</v>
      </c>
      <c r="NU52" s="138">
        <f t="shared" si="35"/>
        <v>0</v>
      </c>
      <c r="NV52" s="8">
        <f t="shared" si="36"/>
        <v>0</v>
      </c>
      <c r="NW52" s="32" cm="1">
        <f t="array" ref="NW52">NETWORKDAYS($EZ$2,$GC$2)-SUM(COUNTIF(EZ132:GC132,{"I";"F";"CP";"R";"P";"AC";"AM"}))</f>
        <v>22</v>
      </c>
      <c r="NX52" s="138">
        <f t="shared" si="37"/>
        <v>0</v>
      </c>
      <c r="NY52" s="8">
        <f t="shared" si="38"/>
        <v>0</v>
      </c>
      <c r="NZ52" s="32" cm="1">
        <f t="array" ref="NZ52">NETWORKDAYS($GD$2,$HH$2,$GQ$2)-SUM(COUNTIF(GD52:HH52,{"I";"F";"CP";"R";"P";"AC";"AM"}))</f>
        <v>21</v>
      </c>
      <c r="OA52" s="138">
        <f t="shared" si="39"/>
        <v>0</v>
      </c>
      <c r="OB52" s="8">
        <f t="shared" si="40"/>
        <v>0</v>
      </c>
      <c r="OC52" s="32" cm="1">
        <f t="array" ref="OC52">NETWORKDAYS($HI$2,$IM$2)-SUM(COUNTIF(HI52:IM52,{"I";"F";"CP";"R";"P";"AC";"AM"}))</f>
        <v>21</v>
      </c>
      <c r="OD52" s="138">
        <f t="shared" si="41"/>
        <v>0</v>
      </c>
      <c r="OE52" s="8">
        <f t="shared" si="42"/>
        <v>0</v>
      </c>
      <c r="OF52" s="32" cm="1">
        <f t="array" ref="OF52">NETWORKDAYS($IN$2,$JQ$2)-SUM(COUNTIF(IN52:JQ52,{"I";"F";"CP";"R";"P";"AC";"AM"}))</f>
        <v>22</v>
      </c>
      <c r="OG52" s="138">
        <f t="shared" si="43"/>
        <v>0</v>
      </c>
      <c r="OH52" s="8">
        <f t="shared" si="44"/>
        <v>0</v>
      </c>
      <c r="OI52" s="32" cm="1">
        <f t="array" ref="OI52">NETWORKDAYS($JR$2,$KV$2)-SUM(COUNTIF(JR52:KV52,{"I";"F";"CP";"R";"P";"AC";"AM"}))</f>
        <v>22</v>
      </c>
      <c r="OJ52" s="138">
        <f t="shared" si="45"/>
        <v>0</v>
      </c>
      <c r="OK52" s="8">
        <f t="shared" si="46"/>
        <v>0</v>
      </c>
      <c r="OL52" s="32" cm="1">
        <f t="array" ref="OL52">NETWORKDAYS($KW$2,$LZ$2,$LG$2)-SUM(COUNTIF(KW52:LZ52,{"I";"F";"CP";"R";"P";"AC";"AM"}))</f>
        <v>19</v>
      </c>
      <c r="OM52" s="138">
        <f t="shared" si="47"/>
        <v>0</v>
      </c>
      <c r="ON52" s="8">
        <f t="shared" si="48"/>
        <v>0</v>
      </c>
      <c r="OO52" s="32" cm="1">
        <f t="array" ref="OO52">NETWORKDAYS($MA$2,$MR$2)-SUM(COUNTIF(MA52:MR52,{"I";"F";"CP";"R";"P";"AC";"AM"}))</f>
        <v>14</v>
      </c>
      <c r="OP52" s="138">
        <f t="shared" si="49"/>
        <v>0</v>
      </c>
      <c r="OQ52" s="94">
        <f t="shared" si="50"/>
        <v>5</v>
      </c>
      <c r="OR52" s="94">
        <f t="shared" si="51"/>
        <v>240</v>
      </c>
      <c r="OS52" s="138">
        <f t="shared" si="52"/>
        <v>2.0833333333333332E-2</v>
      </c>
    </row>
    <row r="53" spans="1:409" ht="18" hidden="1" customHeight="1" x14ac:dyDescent="0.25">
      <c r="A53" s="95" t="s">
        <v>164</v>
      </c>
      <c r="B53" s="95" t="s">
        <v>34</v>
      </c>
      <c r="C53" s="89" t="s">
        <v>166</v>
      </c>
      <c r="D53" s="89" t="s">
        <v>92</v>
      </c>
      <c r="E53" s="128"/>
      <c r="F53" s="110"/>
      <c r="G53" s="110"/>
      <c r="H53" s="110"/>
      <c r="I53" s="25"/>
      <c r="J53" s="25"/>
      <c r="K53" s="25"/>
      <c r="L53" s="25"/>
      <c r="M53" s="25"/>
      <c r="N53" s="110"/>
      <c r="O53" s="110"/>
      <c r="P53" s="25"/>
      <c r="Q53" s="25"/>
      <c r="R53" s="25"/>
      <c r="S53" s="25"/>
      <c r="T53" s="25"/>
      <c r="U53" s="110"/>
      <c r="V53" s="110"/>
      <c r="W53" s="25"/>
      <c r="X53" s="25"/>
      <c r="Y53" s="25"/>
      <c r="Z53" s="25"/>
      <c r="AA53" s="25"/>
      <c r="AB53" s="110"/>
      <c r="AC53" s="110"/>
      <c r="AD53" s="25"/>
      <c r="AE53" s="25"/>
      <c r="AF53" s="25"/>
      <c r="AG53" s="25"/>
      <c r="AH53" s="25"/>
      <c r="AI53" s="110"/>
      <c r="AJ53" s="110"/>
      <c r="AK53" s="25"/>
      <c r="AL53" s="25"/>
      <c r="AM53" s="25"/>
      <c r="AN53" s="25"/>
      <c r="AO53" s="25"/>
      <c r="AP53" s="110"/>
      <c r="AQ53" s="110"/>
      <c r="AR53" s="25"/>
      <c r="AS53" s="25"/>
      <c r="AT53" s="25"/>
      <c r="AU53" s="25"/>
      <c r="AV53" s="25"/>
      <c r="AW53" s="110"/>
      <c r="AX53" s="110"/>
      <c r="AY53" s="25"/>
      <c r="AZ53" s="25"/>
      <c r="BA53" s="25"/>
      <c r="BB53" s="25"/>
      <c r="BC53" s="25"/>
      <c r="BD53" s="110"/>
      <c r="BE53" s="110"/>
      <c r="BF53" s="25"/>
      <c r="BG53" s="25"/>
      <c r="BH53" s="25"/>
      <c r="BI53" s="25"/>
      <c r="BJ53" s="25"/>
      <c r="BK53" s="110"/>
      <c r="BL53" s="110"/>
      <c r="BM53" s="25"/>
      <c r="BN53" s="25"/>
      <c r="BO53" s="25"/>
      <c r="BP53" s="25"/>
      <c r="BQ53" s="25"/>
      <c r="BR53" s="110"/>
      <c r="BS53" s="110"/>
      <c r="BT53" s="25"/>
      <c r="BU53" s="25"/>
      <c r="BV53" s="25"/>
      <c r="BW53" s="25"/>
      <c r="BX53" s="25"/>
      <c r="BY53" s="110"/>
      <c r="BZ53" s="110"/>
      <c r="CA53" s="25"/>
      <c r="CB53" s="25"/>
      <c r="CC53" s="25"/>
      <c r="CD53" s="25"/>
      <c r="CE53" s="25"/>
      <c r="CF53" s="110"/>
      <c r="CG53" s="110"/>
      <c r="CH53" s="25"/>
      <c r="CI53" s="25"/>
      <c r="CJ53" s="25"/>
      <c r="CK53" s="25"/>
      <c r="CL53" s="25"/>
      <c r="CM53" s="110"/>
      <c r="CN53" s="110"/>
      <c r="CO53" s="25"/>
      <c r="CP53" s="25"/>
      <c r="CQ53" s="25"/>
      <c r="CR53" s="25"/>
      <c r="CS53" s="25"/>
      <c r="CT53" s="110"/>
      <c r="CU53" s="110"/>
      <c r="CV53" s="110"/>
      <c r="CW53" s="25"/>
      <c r="CX53" s="25"/>
      <c r="CY53" s="25"/>
      <c r="CZ53" s="25"/>
      <c r="DA53" s="110"/>
      <c r="DB53" s="110"/>
      <c r="DC53" s="25"/>
      <c r="DD53" s="25"/>
      <c r="DE53" s="25"/>
      <c r="DF53" s="25"/>
      <c r="DG53" s="25"/>
      <c r="DH53" s="110"/>
      <c r="DI53" s="110"/>
      <c r="DJ53" s="25"/>
      <c r="DK53" s="25"/>
      <c r="DL53" s="25"/>
      <c r="DM53" s="25"/>
      <c r="DN53" s="25"/>
      <c r="DO53" s="110"/>
      <c r="DP53" s="110"/>
      <c r="DQ53" s="25"/>
      <c r="DR53" s="25"/>
      <c r="DS53" s="25"/>
      <c r="DT53" s="25"/>
      <c r="DU53" s="110"/>
      <c r="DV53" s="110"/>
      <c r="DW53" s="110"/>
      <c r="DX53" s="25"/>
      <c r="DY53" s="25"/>
      <c r="DZ53" s="25"/>
      <c r="EA53" s="25"/>
      <c r="EB53" s="110" t="s">
        <v>445</v>
      </c>
      <c r="EC53" s="110"/>
      <c r="ED53" s="110"/>
      <c r="EE53" s="25"/>
      <c r="EF53" s="25"/>
      <c r="EG53" s="25"/>
      <c r="EH53" s="110" t="s">
        <v>445</v>
      </c>
      <c r="EI53" s="110" t="s">
        <v>445</v>
      </c>
      <c r="EJ53" s="110"/>
      <c r="EK53" s="110"/>
      <c r="EL53" s="25"/>
      <c r="EM53" s="25"/>
      <c r="EN53" s="25"/>
      <c r="EO53" s="25"/>
      <c r="EP53" s="25"/>
      <c r="EQ53" s="110"/>
      <c r="ER53" s="110"/>
      <c r="ES53" s="110" t="s">
        <v>445</v>
      </c>
      <c r="ET53" s="25"/>
      <c r="EU53" s="25"/>
      <c r="EV53" s="25"/>
      <c r="EW53" s="25"/>
      <c r="EX53" s="110"/>
      <c r="EY53" s="110"/>
      <c r="EZ53" s="25"/>
      <c r="FA53" s="25"/>
      <c r="FB53" s="25"/>
      <c r="FC53" s="25"/>
      <c r="FD53" s="25"/>
      <c r="FE53" s="110"/>
      <c r="FF53" s="110"/>
      <c r="FG53" s="25"/>
      <c r="FH53" s="25"/>
      <c r="FI53" s="25"/>
      <c r="FJ53" s="25"/>
      <c r="FK53" s="25"/>
      <c r="FL53" s="110"/>
      <c r="FM53" s="110"/>
      <c r="FN53" s="25"/>
      <c r="FO53" s="25"/>
      <c r="FP53" s="25"/>
      <c r="FQ53" s="25"/>
      <c r="FR53" s="25"/>
      <c r="FS53" s="110"/>
      <c r="FT53" s="110"/>
      <c r="FU53" s="25"/>
      <c r="FV53" s="25"/>
      <c r="FW53" s="25"/>
      <c r="FX53" s="25"/>
      <c r="FY53" s="25"/>
      <c r="FZ53" s="110"/>
      <c r="GA53" s="110"/>
      <c r="GB53" s="25"/>
      <c r="GC53" s="25"/>
      <c r="GD53" s="25"/>
      <c r="GE53" s="25"/>
      <c r="GF53" s="25"/>
      <c r="GG53" s="110"/>
      <c r="GH53" s="110"/>
      <c r="GI53" s="25"/>
      <c r="GJ53" s="25"/>
      <c r="GK53" s="25"/>
      <c r="GL53" s="25"/>
      <c r="GM53" s="25"/>
      <c r="GN53" s="110"/>
      <c r="GO53" s="110"/>
      <c r="GP53" s="110"/>
      <c r="GQ53" s="110" t="s">
        <v>445</v>
      </c>
      <c r="GR53" s="25"/>
      <c r="GS53" s="25"/>
      <c r="GT53" s="25"/>
      <c r="GU53" s="110"/>
      <c r="GV53" s="110"/>
      <c r="GW53" s="25"/>
      <c r="GX53" s="25"/>
      <c r="GY53" s="25"/>
      <c r="GZ53" s="25"/>
      <c r="HA53" s="25"/>
      <c r="HB53" s="110"/>
      <c r="HC53" s="110"/>
      <c r="HD53" s="25"/>
      <c r="HE53" s="25"/>
      <c r="HF53" s="25"/>
      <c r="HG53" s="25"/>
      <c r="HH53" s="25"/>
      <c r="HI53" s="110"/>
      <c r="HJ53" s="110"/>
      <c r="HK53" s="25"/>
      <c r="HL53" s="25"/>
      <c r="HM53" s="25"/>
      <c r="HN53" s="25"/>
      <c r="HO53" s="25"/>
      <c r="HP53" s="110"/>
      <c r="HQ53" s="110"/>
      <c r="HR53" s="25"/>
      <c r="HS53" s="25"/>
      <c r="HT53" s="25"/>
      <c r="HU53" s="25"/>
      <c r="HV53" s="25"/>
      <c r="HW53" s="110"/>
      <c r="HX53" s="110"/>
      <c r="HY53" s="25"/>
      <c r="HZ53" s="25"/>
      <c r="IA53" s="25"/>
      <c r="IB53" s="25"/>
      <c r="IC53" s="25"/>
      <c r="ID53" s="110"/>
      <c r="IE53" s="110"/>
      <c r="IF53" s="25"/>
      <c r="IG53" s="25"/>
      <c r="IH53" s="25"/>
      <c r="II53" s="25"/>
      <c r="IJ53" s="25"/>
      <c r="IK53" s="110"/>
      <c r="IL53" s="110"/>
      <c r="IM53" s="25"/>
      <c r="IN53" s="25"/>
      <c r="IO53" s="25"/>
      <c r="IP53" s="25"/>
      <c r="IQ53" s="25"/>
      <c r="IR53" s="110"/>
      <c r="IS53" s="110"/>
      <c r="IT53" s="25"/>
      <c r="IU53" s="25"/>
      <c r="IV53" s="25"/>
      <c r="IW53" s="25"/>
      <c r="IX53" s="25"/>
      <c r="IY53" s="110"/>
      <c r="IZ53" s="110"/>
      <c r="JA53" s="25"/>
      <c r="JB53" s="25"/>
      <c r="JC53" s="25"/>
      <c r="JD53" s="25"/>
      <c r="JE53" s="25"/>
      <c r="JF53" s="110"/>
      <c r="JG53" s="110"/>
      <c r="JH53" s="25"/>
      <c r="JI53" s="25"/>
      <c r="JJ53" s="25"/>
      <c r="JK53" s="25"/>
      <c r="JL53" s="25"/>
      <c r="JM53" s="110"/>
      <c r="JN53" s="110"/>
      <c r="JO53" s="25"/>
      <c r="JP53" s="25"/>
      <c r="JQ53" s="25"/>
      <c r="JR53" s="25"/>
      <c r="JS53" s="25"/>
      <c r="JT53" s="110"/>
      <c r="JU53" s="110"/>
      <c r="JV53" s="25"/>
      <c r="JW53" s="25"/>
      <c r="JX53" s="25"/>
      <c r="JY53" s="25"/>
      <c r="JZ53" s="25"/>
      <c r="KA53" s="110"/>
      <c r="KB53" s="110"/>
      <c r="KC53" s="25"/>
      <c r="KD53" s="25"/>
      <c r="KE53" s="25"/>
      <c r="KF53" s="25"/>
      <c r="KG53" s="25"/>
      <c r="KH53" s="110"/>
      <c r="KI53" s="110"/>
      <c r="KJ53" s="25"/>
      <c r="KK53" s="25"/>
      <c r="KL53" s="25"/>
      <c r="KM53" s="25"/>
      <c r="KN53" s="25"/>
      <c r="KO53" s="110"/>
      <c r="KP53" s="110"/>
      <c r="KQ53" s="25"/>
      <c r="KR53" s="25"/>
      <c r="KS53" s="25"/>
      <c r="KT53" s="25"/>
      <c r="KU53" s="25"/>
      <c r="KV53" s="110"/>
      <c r="KW53" s="110"/>
      <c r="KX53" s="25"/>
      <c r="KY53" s="25"/>
      <c r="KZ53" s="25"/>
      <c r="LA53" s="25"/>
      <c r="LB53" s="25"/>
      <c r="LC53" s="110"/>
      <c r="LD53" s="110"/>
      <c r="LE53" s="25"/>
      <c r="LF53" s="25"/>
      <c r="LG53" s="110" t="s">
        <v>445</v>
      </c>
      <c r="LH53" s="25"/>
      <c r="LI53" s="25"/>
      <c r="LJ53" s="110"/>
      <c r="LK53" s="110"/>
      <c r="LL53" s="25"/>
      <c r="LM53" s="25"/>
      <c r="LN53" s="25"/>
      <c r="LO53" s="25"/>
      <c r="LP53" s="25"/>
      <c r="LQ53" s="110"/>
      <c r="LR53" s="110"/>
      <c r="LS53" s="25"/>
      <c r="LT53" s="25"/>
      <c r="LU53" s="25"/>
      <c r="LV53" s="25"/>
      <c r="LW53" s="25"/>
      <c r="LX53" s="110"/>
      <c r="LY53" s="110"/>
      <c r="LZ53" s="25"/>
      <c r="MA53" s="25"/>
      <c r="MB53" s="25"/>
      <c r="MC53" s="25"/>
      <c r="MD53" s="25"/>
      <c r="ME53" s="110"/>
      <c r="MF53" s="110"/>
      <c r="MG53" s="25"/>
      <c r="MH53" s="25"/>
      <c r="MI53" s="25"/>
      <c r="MJ53" s="25"/>
      <c r="MK53" s="25"/>
      <c r="ML53" s="110"/>
      <c r="MM53" s="110"/>
      <c r="MN53" s="25"/>
      <c r="MO53" s="25"/>
      <c r="MP53" s="25"/>
      <c r="MQ53" s="25"/>
      <c r="MR53" s="25"/>
      <c r="MS53" s="110"/>
      <c r="MT53" s="110"/>
      <c r="MU53" s="25"/>
      <c r="MV53" s="25"/>
      <c r="MW53" s="25"/>
      <c r="MX53" s="25"/>
      <c r="MY53" s="25"/>
      <c r="MZ53" s="110"/>
      <c r="NA53" s="110"/>
      <c r="NB53" s="25"/>
      <c r="NC53" s="25"/>
      <c r="ND53" s="25"/>
      <c r="NE53" s="129"/>
      <c r="NF53" s="111"/>
      <c r="NG53" s="8">
        <f t="shared" si="27"/>
        <v>0</v>
      </c>
      <c r="NH53" s="32" cm="1">
        <f t="array" ref="NH53">NETWORKDAYS($I$2,$AI$2)- SUM(COUNTIF(I53:AI53,{"I";"F";"CP";"R";"P";"AC";"AM"}))</f>
        <v>20</v>
      </c>
      <c r="NI53" s="138">
        <f t="shared" si="28"/>
        <v>0</v>
      </c>
      <c r="NJ53" s="8">
        <f t="shared" si="29"/>
        <v>0</v>
      </c>
      <c r="NK53" s="32" cm="1">
        <f t="array" ref="NK53">NETWORKDAYS($AJ$2,$BK$2)- SUM(COUNTIF(AJ53:BK53,{"I";"F";"CP";"R";"P";"AC";"AM"}))</f>
        <v>20</v>
      </c>
      <c r="NL53" s="138">
        <f t="shared" si="30"/>
        <v>0</v>
      </c>
      <c r="NM53" s="8">
        <f t="shared" si="31"/>
        <v>0</v>
      </c>
      <c r="NN53" s="32" cm="1">
        <f t="array" ref="NN53">NETWORKDAYS($BL$2,$CP$2)- SUM(COUNTIF(BL53:CP53,{"I";"F";"CP";"R";"P";"AC";"AM"}))</f>
        <v>22</v>
      </c>
      <c r="NO53" s="138">
        <f t="shared" si="32"/>
        <v>0</v>
      </c>
      <c r="NP53" s="32">
        <f t="shared" si="26"/>
        <v>0</v>
      </c>
      <c r="NQ53" s="32" cm="1">
        <f t="array" ref="NQ53">NETWORKDAYS($CQ$2,$DT$2,$CV$2)- SUM(COUNTIF(CQ53:DT53,{"I";"F";"CP";"R";"P";"AC";"AM"}))</f>
        <v>21</v>
      </c>
      <c r="NR53" s="138">
        <f t="shared" si="33"/>
        <v>0</v>
      </c>
      <c r="NS53" s="8">
        <f t="shared" si="34"/>
        <v>0</v>
      </c>
      <c r="NT53" s="32" cm="1">
        <f t="array" ref="NT53">NETWORKDAYS($DV$2,$EY$2)-SUM(COUNTIF(DV53:EY53,{"I";"F";"CP";"R";"P";"AC";"AM"}))</f>
        <v>16</v>
      </c>
      <c r="NU53" s="138">
        <f t="shared" si="35"/>
        <v>0</v>
      </c>
      <c r="NV53" s="8">
        <f t="shared" si="36"/>
        <v>0</v>
      </c>
      <c r="NW53" s="32" cm="1">
        <f t="array" ref="NW53">NETWORKDAYS($EZ$2,$GC$2)-SUM(COUNTIF(EZ133:GC133,{"I";"F";"CP";"R";"P";"AC";"AM"}))</f>
        <v>22</v>
      </c>
      <c r="NX53" s="138">
        <f t="shared" si="37"/>
        <v>0</v>
      </c>
      <c r="NY53" s="8">
        <f t="shared" si="38"/>
        <v>0</v>
      </c>
      <c r="NZ53" s="32" cm="1">
        <f t="array" ref="NZ53">NETWORKDAYS($GD$2,$HH$2,$GQ$2)-SUM(COUNTIF(GD53:HH53,{"I";"F";"CP";"R";"P";"AC";"AM"}))</f>
        <v>21</v>
      </c>
      <c r="OA53" s="138">
        <f t="shared" si="39"/>
        <v>0</v>
      </c>
      <c r="OB53" s="8">
        <f t="shared" si="40"/>
        <v>0</v>
      </c>
      <c r="OC53" s="32" cm="1">
        <f t="array" ref="OC53">NETWORKDAYS($HI$2,$IM$2)-SUM(COUNTIF(HI53:IM53,{"I";"F";"CP";"R";"P";"AC";"AM"}))</f>
        <v>21</v>
      </c>
      <c r="OD53" s="138">
        <f t="shared" si="41"/>
        <v>0</v>
      </c>
      <c r="OE53" s="8">
        <f t="shared" si="42"/>
        <v>0</v>
      </c>
      <c r="OF53" s="32" cm="1">
        <f t="array" ref="OF53">NETWORKDAYS($IN$2,$JQ$2)-SUM(COUNTIF(IN53:JQ53,{"I";"F";"CP";"R";"P";"AC";"AM"}))</f>
        <v>22</v>
      </c>
      <c r="OG53" s="138">
        <f t="shared" si="43"/>
        <v>0</v>
      </c>
      <c r="OH53" s="8">
        <f t="shared" si="44"/>
        <v>0</v>
      </c>
      <c r="OI53" s="32" cm="1">
        <f t="array" ref="OI53">NETWORKDAYS($JR$2,$KV$2)-SUM(COUNTIF(JR53:KV53,{"I";"F";"CP";"R";"P";"AC";"AM"}))</f>
        <v>22</v>
      </c>
      <c r="OJ53" s="138">
        <f t="shared" si="45"/>
        <v>0</v>
      </c>
      <c r="OK53" s="8">
        <f t="shared" si="46"/>
        <v>0</v>
      </c>
      <c r="OL53" s="32" cm="1">
        <f t="array" ref="OL53">NETWORKDAYS($KW$2,$LZ$2,$LG$2)-SUM(COUNTIF(KW53:LZ53,{"I";"F";"CP";"R";"P";"AC";"AM"}))</f>
        <v>19</v>
      </c>
      <c r="OM53" s="138">
        <f t="shared" si="47"/>
        <v>0</v>
      </c>
      <c r="ON53" s="8">
        <f t="shared" si="48"/>
        <v>0</v>
      </c>
      <c r="OO53" s="32" cm="1">
        <f t="array" ref="OO53">NETWORKDAYS($MA$2,$MR$2)-SUM(COUNTIF(MA53:MR53,{"I";"F";"CP";"R";"P";"AC";"AM"}))</f>
        <v>14</v>
      </c>
      <c r="OP53" s="138">
        <f t="shared" si="49"/>
        <v>0</v>
      </c>
      <c r="OQ53" s="94">
        <f t="shared" si="50"/>
        <v>0</v>
      </c>
      <c r="OR53" s="94">
        <f t="shared" si="51"/>
        <v>240</v>
      </c>
      <c r="OS53" s="138">
        <f t="shared" si="52"/>
        <v>0</v>
      </c>
    </row>
    <row r="54" spans="1:409" ht="18" hidden="1" customHeight="1" x14ac:dyDescent="0.25">
      <c r="A54" s="95" t="s">
        <v>468</v>
      </c>
      <c r="B54" s="95" t="s">
        <v>230</v>
      </c>
      <c r="C54" s="89" t="s">
        <v>160</v>
      </c>
      <c r="D54" s="89" t="s">
        <v>231</v>
      </c>
      <c r="E54" s="128"/>
      <c r="F54" s="110"/>
      <c r="G54" s="110"/>
      <c r="H54" s="110"/>
      <c r="I54" s="25"/>
      <c r="J54" s="25"/>
      <c r="K54" s="25"/>
      <c r="L54" s="25"/>
      <c r="M54" s="25"/>
      <c r="N54" s="110"/>
      <c r="O54" s="110"/>
      <c r="P54" s="25"/>
      <c r="Q54" s="25"/>
      <c r="R54" s="25"/>
      <c r="S54" s="25"/>
      <c r="T54" s="25"/>
      <c r="U54" s="110"/>
      <c r="V54" s="110"/>
      <c r="W54" s="25"/>
      <c r="X54" s="25"/>
      <c r="Y54" s="25"/>
      <c r="Z54" s="25"/>
      <c r="AA54" s="25"/>
      <c r="AB54" s="110"/>
      <c r="AC54" s="110"/>
      <c r="AD54" s="25"/>
      <c r="AE54" s="25"/>
      <c r="AF54" s="25"/>
      <c r="AG54" s="25"/>
      <c r="AH54" s="25"/>
      <c r="AI54" s="110"/>
      <c r="AJ54" s="110"/>
      <c r="AK54" s="25"/>
      <c r="AL54" s="25"/>
      <c r="AM54" s="25"/>
      <c r="AN54" s="25"/>
      <c r="AO54" s="25"/>
      <c r="AP54" s="110"/>
      <c r="AQ54" s="110"/>
      <c r="AR54" s="25"/>
      <c r="AS54" s="25"/>
      <c r="AT54" s="25"/>
      <c r="AU54" s="25"/>
      <c r="AV54" s="25"/>
      <c r="AW54" s="110"/>
      <c r="AX54" s="110"/>
      <c r="AY54" s="25"/>
      <c r="AZ54" s="25"/>
      <c r="BA54" s="25"/>
      <c r="BB54" s="25"/>
      <c r="BC54" s="25"/>
      <c r="BD54" s="110"/>
      <c r="BE54" s="110"/>
      <c r="BF54" s="25"/>
      <c r="BG54" s="25"/>
      <c r="BH54" s="25"/>
      <c r="BI54" s="25"/>
      <c r="BJ54" s="25"/>
      <c r="BK54" s="110"/>
      <c r="BL54" s="110"/>
      <c r="BM54" s="25"/>
      <c r="BN54" s="25"/>
      <c r="BO54" s="25"/>
      <c r="BP54" s="25"/>
      <c r="BQ54" s="25"/>
      <c r="BR54" s="110"/>
      <c r="BS54" s="110"/>
      <c r="BT54" s="25"/>
      <c r="BU54" s="25"/>
      <c r="BV54" s="25"/>
      <c r="BW54" s="25"/>
      <c r="BX54" s="25"/>
      <c r="BY54" s="110"/>
      <c r="BZ54" s="110"/>
      <c r="CA54" s="25"/>
      <c r="CB54" s="25"/>
      <c r="CC54" s="25"/>
      <c r="CD54" s="25"/>
      <c r="CE54" s="25"/>
      <c r="CF54" s="110"/>
      <c r="CG54" s="110"/>
      <c r="CH54" s="25"/>
      <c r="CI54" s="25"/>
      <c r="CJ54" s="25"/>
      <c r="CK54" s="25"/>
      <c r="CL54" s="25"/>
      <c r="CM54" s="110"/>
      <c r="CN54" s="110"/>
      <c r="CO54" s="25"/>
      <c r="CP54" s="25"/>
      <c r="CQ54" s="25"/>
      <c r="CR54" s="25"/>
      <c r="CS54" s="25"/>
      <c r="CT54" s="110"/>
      <c r="CU54" s="110"/>
      <c r="CV54" s="110"/>
      <c r="CW54" s="25"/>
      <c r="CX54" s="25"/>
      <c r="CY54" s="25"/>
      <c r="CZ54" s="25"/>
      <c r="DA54" s="110"/>
      <c r="DB54" s="110"/>
      <c r="DC54" s="25"/>
      <c r="DD54" s="25"/>
      <c r="DE54" s="25"/>
      <c r="DF54" s="25"/>
      <c r="DG54" s="25"/>
      <c r="DH54" s="110"/>
      <c r="DI54" s="110"/>
      <c r="DJ54" s="25"/>
      <c r="DK54" s="25"/>
      <c r="DL54" s="25"/>
      <c r="DM54" s="25"/>
      <c r="DN54" s="25"/>
      <c r="DO54" s="110"/>
      <c r="DP54" s="110"/>
      <c r="DQ54" s="25"/>
      <c r="DR54" s="25"/>
      <c r="DS54" s="25"/>
      <c r="DT54" s="25"/>
      <c r="DU54" s="110"/>
      <c r="DV54" s="110"/>
      <c r="DW54" s="110"/>
      <c r="DX54" s="25"/>
      <c r="DY54" s="25"/>
      <c r="DZ54" s="25"/>
      <c r="EA54" s="25"/>
      <c r="EB54" s="110" t="s">
        <v>445</v>
      </c>
      <c r="EC54" s="110"/>
      <c r="ED54" s="110"/>
      <c r="EE54" s="25"/>
      <c r="EF54" s="25"/>
      <c r="EG54" s="25"/>
      <c r="EH54" s="110" t="s">
        <v>445</v>
      </c>
      <c r="EI54" s="110" t="s">
        <v>445</v>
      </c>
      <c r="EJ54" s="110"/>
      <c r="EK54" s="110"/>
      <c r="EL54" s="25"/>
      <c r="EM54" s="25"/>
      <c r="EN54" s="25"/>
      <c r="EO54" s="25"/>
      <c r="EP54" s="25"/>
      <c r="EQ54" s="110"/>
      <c r="ER54" s="110"/>
      <c r="ES54" s="110" t="s">
        <v>445</v>
      </c>
      <c r="ET54" s="25"/>
      <c r="EU54" s="25"/>
      <c r="EV54" s="25"/>
      <c r="EW54" s="25"/>
      <c r="EX54" s="110"/>
      <c r="EY54" s="110"/>
      <c r="EZ54" s="25"/>
      <c r="FA54" s="25"/>
      <c r="FB54" s="25"/>
      <c r="FC54" s="25"/>
      <c r="FD54" s="25"/>
      <c r="FE54" s="110"/>
      <c r="FF54" s="110"/>
      <c r="FG54" s="25"/>
      <c r="FH54" s="25"/>
      <c r="FI54" s="25"/>
      <c r="FJ54" s="25"/>
      <c r="FK54" s="25"/>
      <c r="FL54" s="110"/>
      <c r="FM54" s="110"/>
      <c r="FN54" s="25"/>
      <c r="FO54" s="25"/>
      <c r="FP54" s="25"/>
      <c r="FQ54" s="25"/>
      <c r="FR54" s="25"/>
      <c r="FS54" s="110"/>
      <c r="FT54" s="110"/>
      <c r="FU54" s="25"/>
      <c r="FV54" s="25"/>
      <c r="FW54" s="25"/>
      <c r="FX54" s="25"/>
      <c r="FY54" s="25"/>
      <c r="FZ54" s="110"/>
      <c r="GA54" s="110"/>
      <c r="GB54" s="25"/>
      <c r="GC54" s="25"/>
      <c r="GD54" s="25"/>
      <c r="GE54" s="25"/>
      <c r="GF54" s="25"/>
      <c r="GG54" s="110"/>
      <c r="GH54" s="110"/>
      <c r="GI54" s="25"/>
      <c r="GJ54" s="25"/>
      <c r="GK54" s="25"/>
      <c r="GL54" s="25"/>
      <c r="GM54" s="25"/>
      <c r="GN54" s="110"/>
      <c r="GO54" s="110"/>
      <c r="GP54" s="110"/>
      <c r="GQ54" s="110" t="s">
        <v>445</v>
      </c>
      <c r="GR54" s="25"/>
      <c r="GS54" s="25"/>
      <c r="GT54" s="25"/>
      <c r="GU54" s="110"/>
      <c r="GV54" s="110"/>
      <c r="GW54" s="25"/>
      <c r="GX54" s="25"/>
      <c r="GY54" s="25"/>
      <c r="GZ54" s="25"/>
      <c r="HA54" s="25"/>
      <c r="HB54" s="110"/>
      <c r="HC54" s="110"/>
      <c r="HD54" s="25"/>
      <c r="HE54" s="25"/>
      <c r="HF54" s="25"/>
      <c r="HG54" s="25"/>
      <c r="HH54" s="25"/>
      <c r="HI54" s="110"/>
      <c r="HJ54" s="110"/>
      <c r="HK54" s="25"/>
      <c r="HL54" s="25"/>
      <c r="HM54" s="25"/>
      <c r="HN54" s="25"/>
      <c r="HO54" s="25"/>
      <c r="HP54" s="110"/>
      <c r="HQ54" s="110"/>
      <c r="HR54" s="25"/>
      <c r="HS54" s="25"/>
      <c r="HT54" s="25"/>
      <c r="HU54" s="25"/>
      <c r="HV54" s="25"/>
      <c r="HW54" s="110"/>
      <c r="HX54" s="110"/>
      <c r="HY54" s="25"/>
      <c r="HZ54" s="25"/>
      <c r="IA54" s="25"/>
      <c r="IB54" s="25"/>
      <c r="IC54" s="25"/>
      <c r="ID54" s="110"/>
      <c r="IE54" s="110"/>
      <c r="IF54" s="25"/>
      <c r="IG54" s="25"/>
      <c r="IH54" s="25"/>
      <c r="II54" s="25"/>
      <c r="IJ54" s="25"/>
      <c r="IK54" s="110"/>
      <c r="IL54" s="110"/>
      <c r="IM54" s="25"/>
      <c r="IN54" s="25"/>
      <c r="IO54" s="25"/>
      <c r="IP54" s="25"/>
      <c r="IQ54" s="25"/>
      <c r="IR54" s="110"/>
      <c r="IS54" s="110"/>
      <c r="IT54" s="25"/>
      <c r="IU54" s="25"/>
      <c r="IV54" s="25"/>
      <c r="IW54" s="25"/>
      <c r="IX54" s="25"/>
      <c r="IY54" s="110"/>
      <c r="IZ54" s="110"/>
      <c r="JA54" s="25"/>
      <c r="JB54" s="25"/>
      <c r="JC54" s="25"/>
      <c r="JD54" s="25"/>
      <c r="JE54" s="25"/>
      <c r="JF54" s="110"/>
      <c r="JG54" s="110"/>
      <c r="JH54" s="25"/>
      <c r="JI54" s="25"/>
      <c r="JJ54" s="25"/>
      <c r="JK54" s="25"/>
      <c r="JL54" s="25"/>
      <c r="JM54" s="110"/>
      <c r="JN54" s="110"/>
      <c r="JO54" s="25"/>
      <c r="JP54" s="25"/>
      <c r="JQ54" s="25"/>
      <c r="JR54" s="25"/>
      <c r="JS54" s="25"/>
      <c r="JT54" s="110"/>
      <c r="JU54" s="110"/>
      <c r="JV54" s="25"/>
      <c r="JW54" s="25"/>
      <c r="JX54" s="25"/>
      <c r="JY54" s="25"/>
      <c r="JZ54" s="25"/>
      <c r="KA54" s="110"/>
      <c r="KB54" s="110"/>
      <c r="KC54" s="25"/>
      <c r="KD54" s="25"/>
      <c r="KE54" s="25"/>
      <c r="KF54" s="25"/>
      <c r="KG54" s="25"/>
      <c r="KH54" s="110"/>
      <c r="KI54" s="110"/>
      <c r="KJ54" s="25"/>
      <c r="KK54" s="25"/>
      <c r="KL54" s="25"/>
      <c r="KM54" s="25"/>
      <c r="KN54" s="25"/>
      <c r="KO54" s="110"/>
      <c r="KP54" s="110"/>
      <c r="KQ54" s="25"/>
      <c r="KR54" s="25"/>
      <c r="KS54" s="25"/>
      <c r="KT54" s="25"/>
      <c r="KU54" s="25"/>
      <c r="KV54" s="110"/>
      <c r="KW54" s="110"/>
      <c r="KX54" s="25"/>
      <c r="KY54" s="25"/>
      <c r="KZ54" s="25"/>
      <c r="LA54" s="25"/>
      <c r="LB54" s="25"/>
      <c r="LC54" s="110"/>
      <c r="LD54" s="110"/>
      <c r="LE54" s="25"/>
      <c r="LF54" s="25"/>
      <c r="LG54" s="110" t="s">
        <v>445</v>
      </c>
      <c r="LH54" s="25"/>
      <c r="LI54" s="25"/>
      <c r="LJ54" s="110"/>
      <c r="LK54" s="110"/>
      <c r="LL54" s="25"/>
      <c r="LM54" s="25"/>
      <c r="LN54" s="25"/>
      <c r="LO54" s="25"/>
      <c r="LP54" s="25"/>
      <c r="LQ54" s="110"/>
      <c r="LR54" s="110"/>
      <c r="LS54" s="25"/>
      <c r="LT54" s="25"/>
      <c r="LU54" s="25"/>
      <c r="LV54" s="25"/>
      <c r="LW54" s="25"/>
      <c r="LX54" s="110"/>
      <c r="LY54" s="110"/>
      <c r="LZ54" s="25"/>
      <c r="MA54" s="25"/>
      <c r="MB54" s="25"/>
      <c r="MC54" s="25"/>
      <c r="MD54" s="25"/>
      <c r="ME54" s="110"/>
      <c r="MF54" s="110"/>
      <c r="MG54" s="25"/>
      <c r="MH54" s="25"/>
      <c r="MI54" s="25"/>
      <c r="MJ54" s="25"/>
      <c r="MK54" s="25"/>
      <c r="ML54" s="110"/>
      <c r="MM54" s="110"/>
      <c r="MN54" s="25"/>
      <c r="MO54" s="25"/>
      <c r="MP54" s="25"/>
      <c r="MQ54" s="25"/>
      <c r="MR54" s="25"/>
      <c r="MS54" s="110"/>
      <c r="MT54" s="110"/>
      <c r="MU54" s="25"/>
      <c r="MV54" s="25"/>
      <c r="MW54" s="25"/>
      <c r="MX54" s="25"/>
      <c r="MY54" s="25"/>
      <c r="MZ54" s="110"/>
      <c r="NA54" s="110"/>
      <c r="NB54" s="25"/>
      <c r="NC54" s="25"/>
      <c r="ND54" s="25"/>
      <c r="NE54" s="129"/>
      <c r="NF54" s="111"/>
      <c r="NG54" s="8">
        <f t="shared" si="27"/>
        <v>0</v>
      </c>
      <c r="NH54" s="32" cm="1">
        <f t="array" ref="NH54">NETWORKDAYS($I$2,$AI$2)- SUM(COUNTIF(I54:AI54,{"I";"F";"CP";"R";"P";"AC";"AM"}))</f>
        <v>20</v>
      </c>
      <c r="NI54" s="138">
        <f t="shared" si="28"/>
        <v>0</v>
      </c>
      <c r="NJ54" s="8">
        <f t="shared" si="29"/>
        <v>0</v>
      </c>
      <c r="NK54" s="32" cm="1">
        <f t="array" ref="NK54">NETWORKDAYS($AJ$2,$BK$2)- SUM(COUNTIF(AJ54:BK54,{"I";"F";"CP";"R";"P";"AC";"AM"}))</f>
        <v>20</v>
      </c>
      <c r="NL54" s="138">
        <f t="shared" si="30"/>
        <v>0</v>
      </c>
      <c r="NM54" s="8">
        <f t="shared" si="31"/>
        <v>0</v>
      </c>
      <c r="NN54" s="32" cm="1">
        <f t="array" ref="NN54">NETWORKDAYS($BL$2,$CP$2)- SUM(COUNTIF(BL54:CP54,{"I";"F";"CP";"R";"P";"AC";"AM"}))</f>
        <v>22</v>
      </c>
      <c r="NO54" s="138">
        <f t="shared" si="32"/>
        <v>0</v>
      </c>
      <c r="NP54" s="8">
        <f t="shared" si="26"/>
        <v>0</v>
      </c>
      <c r="NQ54" s="32" cm="1">
        <f t="array" ref="NQ54">NETWORKDAYS($CQ$2,$DT$2,$CV$2)- SUM(COUNTIF(CQ54:DT54,{"I";"F";"CP";"R";"P";"AC";"AM"}))</f>
        <v>21</v>
      </c>
      <c r="NR54" s="138">
        <f t="shared" si="33"/>
        <v>0</v>
      </c>
      <c r="NS54" s="8">
        <f t="shared" si="34"/>
        <v>0</v>
      </c>
      <c r="NT54" s="32" cm="1">
        <f t="array" ref="NT54">NETWORKDAYS($DV$2,$EY$2)-SUM(COUNTIF(DV54:EY54,{"I";"F";"CP";"R";"P";"AC";"AM"}))</f>
        <v>16</v>
      </c>
      <c r="NU54" s="138">
        <f t="shared" si="35"/>
        <v>0</v>
      </c>
      <c r="NV54" s="8">
        <f t="shared" si="36"/>
        <v>0</v>
      </c>
      <c r="NW54" s="32" cm="1">
        <f t="array" ref="NW54">NETWORKDAYS($EZ$2,$GC$2)-SUM(COUNTIF(EZ134:GC134,{"I";"F";"CP";"R";"P";"AC";"AM"}))</f>
        <v>22</v>
      </c>
      <c r="NX54" s="138">
        <f t="shared" si="37"/>
        <v>0</v>
      </c>
      <c r="NY54" s="8">
        <f t="shared" si="38"/>
        <v>0</v>
      </c>
      <c r="NZ54" s="32" cm="1">
        <f t="array" ref="NZ54">NETWORKDAYS($GD$2,$HH$2,$GQ$2)-SUM(COUNTIF(GD54:HH54,{"I";"F";"CP";"R";"P";"AC";"AM"}))</f>
        <v>21</v>
      </c>
      <c r="OA54" s="138">
        <f t="shared" si="39"/>
        <v>0</v>
      </c>
      <c r="OB54" s="8">
        <f t="shared" si="40"/>
        <v>0</v>
      </c>
      <c r="OC54" s="32" cm="1">
        <f t="array" ref="OC54">NETWORKDAYS($HI$2,$IM$2)-SUM(COUNTIF(HI54:IM54,{"I";"F";"CP";"R";"P";"AC";"AM"}))</f>
        <v>21</v>
      </c>
      <c r="OD54" s="138">
        <f t="shared" si="41"/>
        <v>0</v>
      </c>
      <c r="OE54" s="8">
        <f t="shared" si="42"/>
        <v>0</v>
      </c>
      <c r="OF54" s="32" cm="1">
        <f t="array" ref="OF54">NETWORKDAYS($IN$2,$JQ$2)-SUM(COUNTIF(IN54:JQ54,{"I";"F";"CP";"R";"P";"AC";"AM"}))</f>
        <v>22</v>
      </c>
      <c r="OG54" s="138">
        <f t="shared" si="43"/>
        <v>0</v>
      </c>
      <c r="OH54" s="8">
        <f t="shared" si="44"/>
        <v>0</v>
      </c>
      <c r="OI54" s="32" cm="1">
        <f t="array" ref="OI54">NETWORKDAYS($JR$2,$KV$2)-SUM(COUNTIF(JR54:KV54,{"I";"F";"CP";"R";"P";"AC";"AM"}))</f>
        <v>22</v>
      </c>
      <c r="OJ54" s="138">
        <f t="shared" si="45"/>
        <v>0</v>
      </c>
      <c r="OK54" s="8">
        <f t="shared" si="46"/>
        <v>0</v>
      </c>
      <c r="OL54" s="32" cm="1">
        <f t="array" ref="OL54">NETWORKDAYS($KW$2,$LZ$2,$LG$2)-SUM(COUNTIF(KW54:LZ54,{"I";"F";"CP";"R";"P";"AC";"AM"}))</f>
        <v>19</v>
      </c>
      <c r="OM54" s="138">
        <f t="shared" si="47"/>
        <v>0</v>
      </c>
      <c r="ON54" s="8">
        <f t="shared" si="48"/>
        <v>0</v>
      </c>
      <c r="OO54" s="32" cm="1">
        <f t="array" ref="OO54">NETWORKDAYS($MA$2,$MR$2)-SUM(COUNTIF(MA54:MR54,{"I";"F";"CP";"R";"P";"AC";"AM"}))</f>
        <v>14</v>
      </c>
      <c r="OP54" s="138">
        <f t="shared" si="49"/>
        <v>0</v>
      </c>
      <c r="OQ54" s="94">
        <f t="shared" si="50"/>
        <v>0</v>
      </c>
      <c r="OR54" s="94">
        <f t="shared" si="51"/>
        <v>240</v>
      </c>
      <c r="OS54" s="138">
        <f t="shared" si="52"/>
        <v>0</v>
      </c>
    </row>
    <row r="55" spans="1:409" ht="18" hidden="1" customHeight="1" x14ac:dyDescent="0.25">
      <c r="A55" s="95" t="s">
        <v>468</v>
      </c>
      <c r="B55" s="95" t="s">
        <v>34</v>
      </c>
      <c r="C55" s="89" t="s">
        <v>160</v>
      </c>
      <c r="D55" s="89" t="s">
        <v>233</v>
      </c>
      <c r="E55" s="128"/>
      <c r="F55" s="110"/>
      <c r="G55" s="110"/>
      <c r="H55" s="110"/>
      <c r="I55" s="25"/>
      <c r="J55" s="25"/>
      <c r="K55" s="25"/>
      <c r="L55" s="25"/>
      <c r="M55" s="25"/>
      <c r="N55" s="110"/>
      <c r="O55" s="110"/>
      <c r="P55" s="25"/>
      <c r="Q55" s="25"/>
      <c r="R55" s="25"/>
      <c r="S55" s="25"/>
      <c r="T55" s="25"/>
      <c r="U55" s="110"/>
      <c r="V55" s="110"/>
      <c r="W55" s="25"/>
      <c r="X55" s="25"/>
      <c r="Y55" s="25"/>
      <c r="Z55" s="25"/>
      <c r="AA55" s="25"/>
      <c r="AB55" s="110"/>
      <c r="AC55" s="110"/>
      <c r="AD55" s="25"/>
      <c r="AE55" s="25"/>
      <c r="AF55" s="25"/>
      <c r="AG55" s="25"/>
      <c r="AH55" s="25"/>
      <c r="AI55" s="110"/>
      <c r="AJ55" s="110"/>
      <c r="AK55" s="25"/>
      <c r="AL55" s="25"/>
      <c r="AM55" s="25"/>
      <c r="AN55" s="25"/>
      <c r="AO55" s="25"/>
      <c r="AP55" s="110"/>
      <c r="AQ55" s="110"/>
      <c r="AR55" s="25"/>
      <c r="AS55" s="25"/>
      <c r="AT55" s="25"/>
      <c r="AU55" s="25"/>
      <c r="AV55" s="25"/>
      <c r="AW55" s="110"/>
      <c r="AX55" s="110"/>
      <c r="AY55" s="25"/>
      <c r="AZ55" s="25"/>
      <c r="BA55" s="25"/>
      <c r="BB55" s="25"/>
      <c r="BC55" s="25"/>
      <c r="BD55" s="110"/>
      <c r="BE55" s="110"/>
      <c r="BF55" s="25"/>
      <c r="BG55" s="25"/>
      <c r="BH55" s="25"/>
      <c r="BI55" s="25"/>
      <c r="BJ55" s="25"/>
      <c r="BK55" s="110"/>
      <c r="BL55" s="110"/>
      <c r="BM55" s="25"/>
      <c r="BN55" s="25"/>
      <c r="BO55" s="25"/>
      <c r="BP55" s="25"/>
      <c r="BQ55" s="25"/>
      <c r="BR55" s="110"/>
      <c r="BS55" s="110"/>
      <c r="BT55" s="25"/>
      <c r="BU55" s="25"/>
      <c r="BV55" s="25"/>
      <c r="BW55" s="25"/>
      <c r="BX55" s="25"/>
      <c r="BY55" s="110"/>
      <c r="BZ55" s="110"/>
      <c r="CA55" s="25"/>
      <c r="CB55" s="25"/>
      <c r="CC55" s="25"/>
      <c r="CD55" s="25"/>
      <c r="CE55" s="25"/>
      <c r="CF55" s="110"/>
      <c r="CG55" s="110"/>
      <c r="CH55" s="25"/>
      <c r="CI55" s="25"/>
      <c r="CJ55" s="25"/>
      <c r="CK55" s="25"/>
      <c r="CL55" s="25"/>
      <c r="CM55" s="110"/>
      <c r="CN55" s="110"/>
      <c r="CO55" s="25"/>
      <c r="CP55" s="25"/>
      <c r="CQ55" s="25"/>
      <c r="CR55" s="25"/>
      <c r="CS55" s="25"/>
      <c r="CT55" s="110"/>
      <c r="CU55" s="110"/>
      <c r="CV55" s="110"/>
      <c r="CW55" s="25"/>
      <c r="CX55" s="25"/>
      <c r="CY55" s="25"/>
      <c r="CZ55" s="25"/>
      <c r="DA55" s="110"/>
      <c r="DB55" s="110"/>
      <c r="DC55" s="25"/>
      <c r="DD55" s="25"/>
      <c r="DE55" s="25"/>
      <c r="DF55" s="25"/>
      <c r="DG55" s="25"/>
      <c r="DH55" s="110"/>
      <c r="DI55" s="110"/>
      <c r="DJ55" s="25"/>
      <c r="DK55" s="25"/>
      <c r="DL55" s="25"/>
      <c r="DM55" s="25"/>
      <c r="DN55" s="25"/>
      <c r="DO55" s="110"/>
      <c r="DP55" s="110"/>
      <c r="DQ55" s="25"/>
      <c r="DR55" s="25"/>
      <c r="DS55" s="25"/>
      <c r="DT55" s="25"/>
      <c r="DU55" s="110"/>
      <c r="DV55" s="110"/>
      <c r="DW55" s="110"/>
      <c r="DX55" s="25"/>
      <c r="DY55" s="25"/>
      <c r="DZ55" s="25"/>
      <c r="EA55" s="25"/>
      <c r="EB55" s="110" t="s">
        <v>445</v>
      </c>
      <c r="EC55" s="110"/>
      <c r="ED55" s="110"/>
      <c r="EE55" s="25"/>
      <c r="EF55" s="25"/>
      <c r="EG55" s="25"/>
      <c r="EH55" s="110" t="s">
        <v>445</v>
      </c>
      <c r="EI55" s="110" t="s">
        <v>445</v>
      </c>
      <c r="EJ55" s="110"/>
      <c r="EK55" s="110"/>
      <c r="EL55" s="25"/>
      <c r="EM55" s="25"/>
      <c r="EN55" s="25"/>
      <c r="EO55" s="25"/>
      <c r="EP55" s="25"/>
      <c r="EQ55" s="110"/>
      <c r="ER55" s="110"/>
      <c r="ES55" s="110" t="s">
        <v>445</v>
      </c>
      <c r="ET55" s="25"/>
      <c r="EU55" s="25"/>
      <c r="EV55" s="25"/>
      <c r="EW55" s="25"/>
      <c r="EX55" s="110"/>
      <c r="EY55" s="110"/>
      <c r="EZ55" s="25"/>
      <c r="FA55" s="25"/>
      <c r="FB55" s="25"/>
      <c r="FC55" s="25"/>
      <c r="FD55" s="25"/>
      <c r="FE55" s="110"/>
      <c r="FF55" s="110"/>
      <c r="FG55" s="25"/>
      <c r="FH55" s="25"/>
      <c r="FI55" s="25"/>
      <c r="FJ55" s="25"/>
      <c r="FK55" s="25"/>
      <c r="FL55" s="110"/>
      <c r="FM55" s="110"/>
      <c r="FN55" s="25"/>
      <c r="FO55" s="25"/>
      <c r="FP55" s="25"/>
      <c r="FQ55" s="25"/>
      <c r="FR55" s="25"/>
      <c r="FS55" s="110"/>
      <c r="FT55" s="110"/>
      <c r="FU55" s="25"/>
      <c r="FV55" s="25"/>
      <c r="FW55" s="25"/>
      <c r="FX55" s="25"/>
      <c r="FY55" s="25"/>
      <c r="FZ55" s="110"/>
      <c r="GA55" s="110"/>
      <c r="GB55" s="25"/>
      <c r="GC55" s="25"/>
      <c r="GD55" s="25"/>
      <c r="GE55" s="25"/>
      <c r="GF55" s="25"/>
      <c r="GG55" s="110"/>
      <c r="GH55" s="110"/>
      <c r="GI55" s="25"/>
      <c r="GJ55" s="25"/>
      <c r="GK55" s="25"/>
      <c r="GL55" s="25"/>
      <c r="GM55" s="25"/>
      <c r="GN55" s="110"/>
      <c r="GO55" s="110"/>
      <c r="GP55" s="110"/>
      <c r="GQ55" s="110" t="s">
        <v>445</v>
      </c>
      <c r="GR55" s="25"/>
      <c r="GS55" s="25"/>
      <c r="GT55" s="25"/>
      <c r="GU55" s="110"/>
      <c r="GV55" s="110"/>
      <c r="GW55" s="25"/>
      <c r="GX55" s="25"/>
      <c r="GY55" s="25"/>
      <c r="GZ55" s="25"/>
      <c r="HA55" s="25"/>
      <c r="HB55" s="110"/>
      <c r="HC55" s="110"/>
      <c r="HD55" s="25"/>
      <c r="HE55" s="25"/>
      <c r="HF55" s="25"/>
      <c r="HG55" s="25"/>
      <c r="HH55" s="25"/>
      <c r="HI55" s="110"/>
      <c r="HJ55" s="110"/>
      <c r="HK55" s="25"/>
      <c r="HL55" s="25"/>
      <c r="HM55" s="25"/>
      <c r="HN55" s="25"/>
      <c r="HO55" s="25"/>
      <c r="HP55" s="110"/>
      <c r="HQ55" s="110"/>
      <c r="HR55" s="25"/>
      <c r="HS55" s="25"/>
      <c r="HT55" s="25"/>
      <c r="HU55" s="25"/>
      <c r="HV55" s="25"/>
      <c r="HW55" s="110"/>
      <c r="HX55" s="110"/>
      <c r="HY55" s="25"/>
      <c r="HZ55" s="25"/>
      <c r="IA55" s="25"/>
      <c r="IB55" s="25"/>
      <c r="IC55" s="25"/>
      <c r="ID55" s="110"/>
      <c r="IE55" s="110"/>
      <c r="IF55" s="25"/>
      <c r="IG55" s="25"/>
      <c r="IH55" s="25"/>
      <c r="II55" s="25"/>
      <c r="IJ55" s="25"/>
      <c r="IK55" s="110"/>
      <c r="IL55" s="110"/>
      <c r="IM55" s="25"/>
      <c r="IN55" s="25"/>
      <c r="IO55" s="25"/>
      <c r="IP55" s="25"/>
      <c r="IQ55" s="25"/>
      <c r="IR55" s="110"/>
      <c r="IS55" s="110"/>
      <c r="IT55" s="25"/>
      <c r="IU55" s="25"/>
      <c r="IV55" s="25"/>
      <c r="IW55" s="25"/>
      <c r="IX55" s="25"/>
      <c r="IY55" s="110"/>
      <c r="IZ55" s="110"/>
      <c r="JA55" s="25"/>
      <c r="JB55" s="25"/>
      <c r="JC55" s="25"/>
      <c r="JD55" s="25"/>
      <c r="JE55" s="25"/>
      <c r="JF55" s="110"/>
      <c r="JG55" s="110"/>
      <c r="JH55" s="25"/>
      <c r="JI55" s="25"/>
      <c r="JJ55" s="25"/>
      <c r="JK55" s="25"/>
      <c r="JL55" s="25"/>
      <c r="JM55" s="110"/>
      <c r="JN55" s="110"/>
      <c r="JO55" s="25"/>
      <c r="JP55" s="25"/>
      <c r="JQ55" s="25"/>
      <c r="JR55" s="25"/>
      <c r="JS55" s="25"/>
      <c r="JT55" s="110"/>
      <c r="JU55" s="110"/>
      <c r="JV55" s="25"/>
      <c r="JW55" s="25"/>
      <c r="JX55" s="25"/>
      <c r="JY55" s="25"/>
      <c r="JZ55" s="25"/>
      <c r="KA55" s="110"/>
      <c r="KB55" s="110"/>
      <c r="KC55" s="25"/>
      <c r="KD55" s="25"/>
      <c r="KE55" s="25"/>
      <c r="KF55" s="25"/>
      <c r="KG55" s="25"/>
      <c r="KH55" s="110"/>
      <c r="KI55" s="110"/>
      <c r="KJ55" s="25"/>
      <c r="KK55" s="25"/>
      <c r="KL55" s="25"/>
      <c r="KM55" s="25"/>
      <c r="KN55" s="25"/>
      <c r="KO55" s="110"/>
      <c r="KP55" s="110"/>
      <c r="KQ55" s="25"/>
      <c r="KR55" s="25"/>
      <c r="KS55" s="25"/>
      <c r="KT55" s="25"/>
      <c r="KU55" s="25"/>
      <c r="KV55" s="110"/>
      <c r="KW55" s="110"/>
      <c r="KX55" s="25"/>
      <c r="KY55" s="25"/>
      <c r="KZ55" s="25"/>
      <c r="LA55" s="25"/>
      <c r="LB55" s="25"/>
      <c r="LC55" s="110"/>
      <c r="LD55" s="110"/>
      <c r="LE55" s="25"/>
      <c r="LF55" s="25"/>
      <c r="LG55" s="110" t="s">
        <v>445</v>
      </c>
      <c r="LH55" s="25"/>
      <c r="LI55" s="25"/>
      <c r="LJ55" s="110"/>
      <c r="LK55" s="110"/>
      <c r="LL55" s="25"/>
      <c r="LM55" s="25"/>
      <c r="LN55" s="25"/>
      <c r="LO55" s="25"/>
      <c r="LP55" s="25"/>
      <c r="LQ55" s="110"/>
      <c r="LR55" s="110"/>
      <c r="LS55" s="25"/>
      <c r="LT55" s="25"/>
      <c r="LU55" s="25"/>
      <c r="LV55" s="25"/>
      <c r="LW55" s="25"/>
      <c r="LX55" s="110"/>
      <c r="LY55" s="110"/>
      <c r="LZ55" s="25"/>
      <c r="MA55" s="25"/>
      <c r="MB55" s="25"/>
      <c r="MC55" s="25"/>
      <c r="MD55" s="25"/>
      <c r="ME55" s="110"/>
      <c r="MF55" s="110"/>
      <c r="MG55" s="25"/>
      <c r="MH55" s="25"/>
      <c r="MI55" s="25"/>
      <c r="MJ55" s="25"/>
      <c r="MK55" s="25"/>
      <c r="ML55" s="110"/>
      <c r="MM55" s="110"/>
      <c r="MN55" s="25"/>
      <c r="MO55" s="25"/>
      <c r="MP55" s="25"/>
      <c r="MQ55" s="25"/>
      <c r="MR55" s="25"/>
      <c r="MS55" s="110"/>
      <c r="MT55" s="110"/>
      <c r="MU55" s="25"/>
      <c r="MV55" s="25"/>
      <c r="MW55" s="25"/>
      <c r="MX55" s="25"/>
      <c r="MY55" s="25"/>
      <c r="MZ55" s="110"/>
      <c r="NA55" s="110"/>
      <c r="NB55" s="25"/>
      <c r="NC55" s="25"/>
      <c r="ND55" s="25"/>
      <c r="NE55" s="129"/>
      <c r="NF55" s="111"/>
      <c r="NG55" s="8">
        <f t="shared" si="27"/>
        <v>0</v>
      </c>
      <c r="NH55" s="32" cm="1">
        <f t="array" ref="NH55">NETWORKDAYS($I$2,$AI$2)- SUM(COUNTIF(I55:AI55,{"I";"F";"CP";"R";"P";"AC";"AM"}))</f>
        <v>20</v>
      </c>
      <c r="NI55" s="138">
        <f t="shared" si="28"/>
        <v>0</v>
      </c>
      <c r="NJ55" s="8">
        <f t="shared" si="29"/>
        <v>0</v>
      </c>
      <c r="NK55" s="32" cm="1">
        <f t="array" ref="NK55">NETWORKDAYS($AJ$2,$BK$2)- SUM(COUNTIF(AJ55:BK55,{"I";"F";"CP";"R";"P";"AC";"AM"}))</f>
        <v>20</v>
      </c>
      <c r="NL55" s="138">
        <f t="shared" si="30"/>
        <v>0</v>
      </c>
      <c r="NM55" s="8">
        <f t="shared" si="31"/>
        <v>0</v>
      </c>
      <c r="NN55" s="32" cm="1">
        <f t="array" ref="NN55">NETWORKDAYS($BL$2,$CP$2)- SUM(COUNTIF(BL55:CP55,{"I";"F";"CP";"R";"P";"AC";"AM"}))</f>
        <v>22</v>
      </c>
      <c r="NO55" s="138">
        <f t="shared" si="32"/>
        <v>0</v>
      </c>
      <c r="NP55" s="32">
        <f t="shared" si="26"/>
        <v>0</v>
      </c>
      <c r="NQ55" s="32" cm="1">
        <f t="array" ref="NQ55">NETWORKDAYS($CQ$2,$DT$2,$CV$2)- SUM(COUNTIF(CQ55:DT55,{"I";"F";"CP";"R";"P";"AC";"AM"}))</f>
        <v>21</v>
      </c>
      <c r="NR55" s="138">
        <f t="shared" si="33"/>
        <v>0</v>
      </c>
      <c r="NS55" s="8">
        <f t="shared" si="34"/>
        <v>0</v>
      </c>
      <c r="NT55" s="32" cm="1">
        <f t="array" ref="NT55">NETWORKDAYS($DV$2,$EY$2)-SUM(COUNTIF(DV55:EY55,{"I";"F";"CP";"R";"P";"AC";"AM"}))</f>
        <v>16</v>
      </c>
      <c r="NU55" s="138">
        <f t="shared" si="35"/>
        <v>0</v>
      </c>
      <c r="NV55" s="8">
        <f t="shared" si="36"/>
        <v>0</v>
      </c>
      <c r="NW55" s="32" cm="1">
        <f t="array" ref="NW55">NETWORKDAYS($EZ$2,$GC$2)-SUM(COUNTIF(EZ135:GC135,{"I";"F";"CP";"R";"P";"AC";"AM"}))</f>
        <v>22</v>
      </c>
      <c r="NX55" s="138">
        <f t="shared" si="37"/>
        <v>0</v>
      </c>
      <c r="NY55" s="8">
        <f t="shared" si="38"/>
        <v>0</v>
      </c>
      <c r="NZ55" s="32" cm="1">
        <f t="array" ref="NZ55">NETWORKDAYS($GD$2,$HH$2,$GQ$2)-SUM(COUNTIF(GD55:HH55,{"I";"F";"CP";"R";"P";"AC";"AM"}))</f>
        <v>21</v>
      </c>
      <c r="OA55" s="138">
        <f t="shared" si="39"/>
        <v>0</v>
      </c>
      <c r="OB55" s="8">
        <f t="shared" si="40"/>
        <v>0</v>
      </c>
      <c r="OC55" s="32" cm="1">
        <f t="array" ref="OC55">NETWORKDAYS($HI$2,$IM$2)-SUM(COUNTIF(HI55:IM55,{"I";"F";"CP";"R";"P";"AC";"AM"}))</f>
        <v>21</v>
      </c>
      <c r="OD55" s="138">
        <f t="shared" si="41"/>
        <v>0</v>
      </c>
      <c r="OE55" s="8">
        <f t="shared" si="42"/>
        <v>0</v>
      </c>
      <c r="OF55" s="32" cm="1">
        <f t="array" ref="OF55">NETWORKDAYS($IN$2,$JQ$2)-SUM(COUNTIF(IN55:JQ55,{"I";"F";"CP";"R";"P";"AC";"AM"}))</f>
        <v>22</v>
      </c>
      <c r="OG55" s="138">
        <f t="shared" si="43"/>
        <v>0</v>
      </c>
      <c r="OH55" s="8">
        <f t="shared" si="44"/>
        <v>0</v>
      </c>
      <c r="OI55" s="32" cm="1">
        <f t="array" ref="OI55">NETWORKDAYS($JR$2,$KV$2)-SUM(COUNTIF(JR55:KV55,{"I";"F";"CP";"R";"P";"AC";"AM"}))</f>
        <v>22</v>
      </c>
      <c r="OJ55" s="138">
        <f t="shared" si="45"/>
        <v>0</v>
      </c>
      <c r="OK55" s="8">
        <f t="shared" si="46"/>
        <v>0</v>
      </c>
      <c r="OL55" s="32" cm="1">
        <f t="array" ref="OL55">NETWORKDAYS($KW$2,$LZ$2,$LG$2)-SUM(COUNTIF(KW55:LZ55,{"I";"F";"CP";"R";"P";"AC";"AM"}))</f>
        <v>19</v>
      </c>
      <c r="OM55" s="138">
        <f t="shared" si="47"/>
        <v>0</v>
      </c>
      <c r="ON55" s="8">
        <f t="shared" si="48"/>
        <v>0</v>
      </c>
      <c r="OO55" s="32" cm="1">
        <f t="array" ref="OO55">NETWORKDAYS($MA$2,$MR$2)-SUM(COUNTIF(MA55:MR55,{"I";"F";"CP";"R";"P";"AC";"AM"}))</f>
        <v>14</v>
      </c>
      <c r="OP55" s="138">
        <f t="shared" si="49"/>
        <v>0</v>
      </c>
      <c r="OQ55" s="94">
        <f t="shared" si="50"/>
        <v>0</v>
      </c>
      <c r="OR55" s="94">
        <f t="shared" si="51"/>
        <v>240</v>
      </c>
      <c r="OS55" s="138">
        <f t="shared" si="52"/>
        <v>0</v>
      </c>
    </row>
    <row r="56" spans="1:409" ht="18" customHeight="1" x14ac:dyDescent="0.25">
      <c r="A56" s="95" t="s">
        <v>178</v>
      </c>
      <c r="B56" s="95" t="s">
        <v>34</v>
      </c>
      <c r="C56" s="89" t="s">
        <v>166</v>
      </c>
      <c r="D56" s="89" t="s">
        <v>234</v>
      </c>
      <c r="E56" s="128"/>
      <c r="F56" s="110"/>
      <c r="G56" s="110"/>
      <c r="H56" s="110"/>
      <c r="I56" s="25" t="s">
        <v>248</v>
      </c>
      <c r="J56" s="25" t="s">
        <v>248</v>
      </c>
      <c r="K56" s="25" t="s">
        <v>248</v>
      </c>
      <c r="L56" s="25" t="s">
        <v>248</v>
      </c>
      <c r="M56" s="25" t="s">
        <v>248</v>
      </c>
      <c r="N56" s="110"/>
      <c r="O56" s="110"/>
      <c r="P56" s="25" t="s">
        <v>276</v>
      </c>
      <c r="Q56" s="25" t="s">
        <v>276</v>
      </c>
      <c r="R56" s="25" t="s">
        <v>276</v>
      </c>
      <c r="S56" s="25" t="s">
        <v>276</v>
      </c>
      <c r="T56" s="25" t="s">
        <v>276</v>
      </c>
      <c r="U56" s="110"/>
      <c r="V56" s="110"/>
      <c r="W56" s="25" t="s">
        <v>276</v>
      </c>
      <c r="X56" s="25" t="s">
        <v>276</v>
      </c>
      <c r="Y56" s="25" t="s">
        <v>276</v>
      </c>
      <c r="Z56" s="25" t="s">
        <v>276</v>
      </c>
      <c r="AA56" s="25" t="s">
        <v>276</v>
      </c>
      <c r="AB56" s="110"/>
      <c r="AC56" s="110"/>
      <c r="AD56" s="25" t="s">
        <v>276</v>
      </c>
      <c r="AE56" s="25" t="s">
        <v>276</v>
      </c>
      <c r="AF56" s="25" t="s">
        <v>276</v>
      </c>
      <c r="AG56" s="25" t="s">
        <v>276</v>
      </c>
      <c r="AH56" s="25" t="s">
        <v>276</v>
      </c>
      <c r="AI56" s="110"/>
      <c r="AJ56" s="110"/>
      <c r="AK56" s="25" t="s">
        <v>162</v>
      </c>
      <c r="AL56" s="25" t="s">
        <v>162</v>
      </c>
      <c r="AM56" s="25" t="s">
        <v>162</v>
      </c>
      <c r="AN56" s="25" t="s">
        <v>162</v>
      </c>
      <c r="AO56" s="25" t="s">
        <v>162</v>
      </c>
      <c r="AP56" s="110"/>
      <c r="AQ56" s="110"/>
      <c r="AR56" s="25" t="s">
        <v>162</v>
      </c>
      <c r="AS56" s="25" t="s">
        <v>162</v>
      </c>
      <c r="AT56" s="25" t="s">
        <v>162</v>
      </c>
      <c r="AU56" s="25" t="s">
        <v>162</v>
      </c>
      <c r="AV56" s="25" t="s">
        <v>162</v>
      </c>
      <c r="AW56" s="110"/>
      <c r="AX56" s="110"/>
      <c r="AY56" s="25" t="s">
        <v>162</v>
      </c>
      <c r="AZ56" s="25" t="s">
        <v>162</v>
      </c>
      <c r="BA56" s="25" t="s">
        <v>162</v>
      </c>
      <c r="BB56" s="25" t="s">
        <v>162</v>
      </c>
      <c r="BC56" s="25" t="s">
        <v>162</v>
      </c>
      <c r="BD56" s="110"/>
      <c r="BE56" s="110"/>
      <c r="BF56" s="25" t="s">
        <v>162</v>
      </c>
      <c r="BG56" s="25" t="s">
        <v>162</v>
      </c>
      <c r="BH56" s="25" t="s">
        <v>162</v>
      </c>
      <c r="BI56" s="25" t="s">
        <v>162</v>
      </c>
      <c r="BJ56" s="25" t="s">
        <v>162</v>
      </c>
      <c r="BK56" s="110"/>
      <c r="BL56" s="110"/>
      <c r="BM56" s="25" t="s">
        <v>162</v>
      </c>
      <c r="BN56" s="25" t="s">
        <v>162</v>
      </c>
      <c r="BO56" s="25" t="s">
        <v>162</v>
      </c>
      <c r="BP56" s="25" t="s">
        <v>162</v>
      </c>
      <c r="BQ56" s="25" t="s">
        <v>162</v>
      </c>
      <c r="BR56" s="110"/>
      <c r="BS56" s="110"/>
      <c r="BT56" s="25" t="s">
        <v>162</v>
      </c>
      <c r="BU56" s="25" t="s">
        <v>162</v>
      </c>
      <c r="BV56" s="25" t="s">
        <v>162</v>
      </c>
      <c r="BW56" s="25" t="s">
        <v>162</v>
      </c>
      <c r="BX56" s="25" t="s">
        <v>162</v>
      </c>
      <c r="BY56" s="110"/>
      <c r="BZ56" s="110"/>
      <c r="CA56" s="25" t="s">
        <v>162</v>
      </c>
      <c r="CB56" s="25" t="s">
        <v>162</v>
      </c>
      <c r="CC56" s="25" t="s">
        <v>162</v>
      </c>
      <c r="CD56" s="25" t="s">
        <v>162</v>
      </c>
      <c r="CE56" s="25" t="s">
        <v>162</v>
      </c>
      <c r="CF56" s="110"/>
      <c r="CG56" s="110"/>
      <c r="CH56" s="25" t="s">
        <v>162</v>
      </c>
      <c r="CI56" s="25" t="s">
        <v>162</v>
      </c>
      <c r="CJ56" s="25" t="s">
        <v>162</v>
      </c>
      <c r="CK56" s="25" t="s">
        <v>162</v>
      </c>
      <c r="CL56" s="25" t="s">
        <v>162</v>
      </c>
      <c r="CM56" s="110"/>
      <c r="CN56" s="110"/>
      <c r="CO56" s="25" t="s">
        <v>162</v>
      </c>
      <c r="CP56" s="25" t="s">
        <v>162</v>
      </c>
      <c r="CQ56" s="25" t="s">
        <v>162</v>
      </c>
      <c r="CR56" s="25" t="s">
        <v>162</v>
      </c>
      <c r="CS56" s="25" t="s">
        <v>162</v>
      </c>
      <c r="CT56" s="110"/>
      <c r="CU56" s="110"/>
      <c r="CV56" s="110"/>
      <c r="CW56" s="25" t="s">
        <v>162</v>
      </c>
      <c r="CX56" s="25" t="s">
        <v>162</v>
      </c>
      <c r="CY56" s="25" t="s">
        <v>162</v>
      </c>
      <c r="CZ56" s="25" t="s">
        <v>162</v>
      </c>
      <c r="DA56" s="110"/>
      <c r="DB56" s="110"/>
      <c r="DC56" s="25" t="s">
        <v>162</v>
      </c>
      <c r="DD56" s="25" t="s">
        <v>162</v>
      </c>
      <c r="DE56" s="25" t="s">
        <v>162</v>
      </c>
      <c r="DF56" s="25" t="s">
        <v>162</v>
      </c>
      <c r="DG56" s="25" t="s">
        <v>162</v>
      </c>
      <c r="DH56" s="110"/>
      <c r="DI56" s="110"/>
      <c r="DJ56" s="25" t="s">
        <v>162</v>
      </c>
      <c r="DK56" s="25" t="s">
        <v>162</v>
      </c>
      <c r="DL56" s="25" t="s">
        <v>162</v>
      </c>
      <c r="DM56" s="25" t="s">
        <v>162</v>
      </c>
      <c r="DN56" s="25" t="s">
        <v>162</v>
      </c>
      <c r="DO56" s="110"/>
      <c r="DP56" s="110"/>
      <c r="DQ56" s="25" t="s">
        <v>162</v>
      </c>
      <c r="DR56" s="25" t="s">
        <v>162</v>
      </c>
      <c r="DS56" s="25" t="s">
        <v>162</v>
      </c>
      <c r="DT56" s="25" t="s">
        <v>162</v>
      </c>
      <c r="DU56" s="110"/>
      <c r="DV56" s="110"/>
      <c r="DW56" s="110"/>
      <c r="DX56" s="25" t="s">
        <v>162</v>
      </c>
      <c r="DY56" s="25" t="s">
        <v>162</v>
      </c>
      <c r="DZ56" s="25" t="s">
        <v>162</v>
      </c>
      <c r="EA56" s="25" t="s">
        <v>162</v>
      </c>
      <c r="EB56" s="110" t="s">
        <v>445</v>
      </c>
      <c r="EC56" s="110"/>
      <c r="ED56" s="110"/>
      <c r="EE56" s="25" t="s">
        <v>162</v>
      </c>
      <c r="EF56" s="25" t="s">
        <v>162</v>
      </c>
      <c r="EG56" s="25" t="s">
        <v>162</v>
      </c>
      <c r="EH56" s="110" t="s">
        <v>445</v>
      </c>
      <c r="EI56" s="110" t="s">
        <v>445</v>
      </c>
      <c r="EJ56" s="110"/>
      <c r="EK56" s="110"/>
      <c r="EL56" s="25" t="s">
        <v>162</v>
      </c>
      <c r="EM56" s="25" t="s">
        <v>162</v>
      </c>
      <c r="EN56" s="25" t="s">
        <v>162</v>
      </c>
      <c r="EO56" s="25" t="s">
        <v>162</v>
      </c>
      <c r="EP56" s="25" t="s">
        <v>162</v>
      </c>
      <c r="EQ56" s="110"/>
      <c r="ER56" s="110"/>
      <c r="ES56" s="110" t="s">
        <v>445</v>
      </c>
      <c r="ET56" s="25" t="s">
        <v>162</v>
      </c>
      <c r="EU56" s="25" t="s">
        <v>162</v>
      </c>
      <c r="EV56" s="25" t="s">
        <v>162</v>
      </c>
      <c r="EW56" s="25" t="s">
        <v>162</v>
      </c>
      <c r="EX56" s="110"/>
      <c r="EY56" s="110"/>
      <c r="EZ56" s="25"/>
      <c r="FA56" s="25"/>
      <c r="FB56" s="25"/>
      <c r="FC56" s="25"/>
      <c r="FD56" s="25"/>
      <c r="FE56" s="110"/>
      <c r="FF56" s="110"/>
      <c r="FG56" s="25"/>
      <c r="FH56" s="25"/>
      <c r="FI56" s="25"/>
      <c r="FJ56" s="25"/>
      <c r="FK56" s="25"/>
      <c r="FL56" s="110"/>
      <c r="FM56" s="110"/>
      <c r="FN56" s="25"/>
      <c r="FO56" s="25"/>
      <c r="FP56" s="25"/>
      <c r="FQ56" s="25"/>
      <c r="FR56" s="25"/>
      <c r="FS56" s="110"/>
      <c r="FT56" s="110"/>
      <c r="FU56" s="25"/>
      <c r="FV56" s="25"/>
      <c r="FW56" s="25"/>
      <c r="FX56" s="25"/>
      <c r="FY56" s="25"/>
      <c r="FZ56" s="110"/>
      <c r="GA56" s="110"/>
      <c r="GB56" s="25"/>
      <c r="GC56" s="25"/>
      <c r="GD56" s="25"/>
      <c r="GE56" s="25"/>
      <c r="GF56" s="25"/>
      <c r="GG56" s="110"/>
      <c r="GH56" s="110"/>
      <c r="GI56" s="25"/>
      <c r="GJ56" s="25"/>
      <c r="GK56" s="25"/>
      <c r="GL56" s="25"/>
      <c r="GM56" s="25"/>
      <c r="GN56" s="110"/>
      <c r="GO56" s="110"/>
      <c r="GP56" s="110"/>
      <c r="GQ56" s="110" t="s">
        <v>445</v>
      </c>
      <c r="GR56" s="25"/>
      <c r="GS56" s="25"/>
      <c r="GT56" s="25"/>
      <c r="GU56" s="110"/>
      <c r="GV56" s="110"/>
      <c r="GW56" s="25"/>
      <c r="GX56" s="25"/>
      <c r="GY56" s="25"/>
      <c r="GZ56" s="25"/>
      <c r="HA56" s="25"/>
      <c r="HB56" s="110"/>
      <c r="HC56" s="110"/>
      <c r="HD56" s="25"/>
      <c r="HE56" s="25"/>
      <c r="HF56" s="25"/>
      <c r="HG56" s="25"/>
      <c r="HH56" s="25"/>
      <c r="HI56" s="110"/>
      <c r="HJ56" s="110"/>
      <c r="HK56" s="25"/>
      <c r="HL56" s="25"/>
      <c r="HM56" s="25"/>
      <c r="HN56" s="25"/>
      <c r="HO56" s="25"/>
      <c r="HP56" s="110"/>
      <c r="HQ56" s="110"/>
      <c r="HR56" s="25"/>
      <c r="HS56" s="25"/>
      <c r="HT56" s="25"/>
      <c r="HU56" s="25"/>
      <c r="HV56" s="25"/>
      <c r="HW56" s="110"/>
      <c r="HX56" s="110"/>
      <c r="HY56" s="25"/>
      <c r="HZ56" s="25"/>
      <c r="IA56" s="25"/>
      <c r="IB56" s="25"/>
      <c r="IC56" s="25"/>
      <c r="ID56" s="110"/>
      <c r="IE56" s="110"/>
      <c r="IF56" s="25"/>
      <c r="IG56" s="25"/>
      <c r="IH56" s="25"/>
      <c r="II56" s="25"/>
      <c r="IJ56" s="25"/>
      <c r="IK56" s="110"/>
      <c r="IL56" s="110"/>
      <c r="IM56" s="25"/>
      <c r="IN56" s="25"/>
      <c r="IO56" s="25"/>
      <c r="IP56" s="25"/>
      <c r="IQ56" s="25"/>
      <c r="IR56" s="110"/>
      <c r="IS56" s="110"/>
      <c r="IT56" s="25"/>
      <c r="IU56" s="25"/>
      <c r="IV56" s="25"/>
      <c r="IW56" s="25"/>
      <c r="IX56" s="25"/>
      <c r="IY56" s="110"/>
      <c r="IZ56" s="110"/>
      <c r="JA56" s="25"/>
      <c r="JB56" s="25"/>
      <c r="JC56" s="25"/>
      <c r="JD56" s="25"/>
      <c r="JE56" s="25"/>
      <c r="JF56" s="110"/>
      <c r="JG56" s="110"/>
      <c r="JH56" s="25"/>
      <c r="JI56" s="25"/>
      <c r="JJ56" s="25"/>
      <c r="JK56" s="25"/>
      <c r="JL56" s="25"/>
      <c r="JM56" s="110"/>
      <c r="JN56" s="110"/>
      <c r="JO56" s="25"/>
      <c r="JP56" s="25"/>
      <c r="JQ56" s="25"/>
      <c r="JR56" s="25"/>
      <c r="JS56" s="25"/>
      <c r="JT56" s="110"/>
      <c r="JU56" s="110"/>
      <c r="JV56" s="25"/>
      <c r="JW56" s="25"/>
      <c r="JX56" s="25"/>
      <c r="JY56" s="25"/>
      <c r="JZ56" s="25"/>
      <c r="KA56" s="110"/>
      <c r="KB56" s="110"/>
      <c r="KC56" s="25"/>
      <c r="KD56" s="25"/>
      <c r="KE56" s="25"/>
      <c r="KF56" s="25"/>
      <c r="KG56" s="25"/>
      <c r="KH56" s="110"/>
      <c r="KI56" s="110"/>
      <c r="KJ56" s="25"/>
      <c r="KK56" s="25"/>
      <c r="KL56" s="25"/>
      <c r="KM56" s="25"/>
      <c r="KN56" s="25"/>
      <c r="KO56" s="110"/>
      <c r="KP56" s="110"/>
      <c r="KQ56" s="25"/>
      <c r="KR56" s="25"/>
      <c r="KS56" s="25"/>
      <c r="KT56" s="25"/>
      <c r="KU56" s="25"/>
      <c r="KV56" s="110"/>
      <c r="KW56" s="110"/>
      <c r="KX56" s="25"/>
      <c r="KY56" s="25"/>
      <c r="KZ56" s="25"/>
      <c r="LA56" s="25"/>
      <c r="LB56" s="25"/>
      <c r="LC56" s="110"/>
      <c r="LD56" s="110"/>
      <c r="LE56" s="25"/>
      <c r="LF56" s="25"/>
      <c r="LG56" s="110" t="s">
        <v>445</v>
      </c>
      <c r="LH56" s="25"/>
      <c r="LI56" s="25"/>
      <c r="LJ56" s="110"/>
      <c r="LK56" s="110"/>
      <c r="LL56" s="25"/>
      <c r="LM56" s="25"/>
      <c r="LN56" s="25"/>
      <c r="LO56" s="25"/>
      <c r="LP56" s="25"/>
      <c r="LQ56" s="110"/>
      <c r="LR56" s="110"/>
      <c r="LS56" s="25"/>
      <c r="LT56" s="25"/>
      <c r="LU56" s="25"/>
      <c r="LV56" s="25"/>
      <c r="LW56" s="25"/>
      <c r="LX56" s="110"/>
      <c r="LY56" s="110"/>
      <c r="LZ56" s="25"/>
      <c r="MA56" s="25"/>
      <c r="MB56" s="25"/>
      <c r="MC56" s="25"/>
      <c r="MD56" s="25"/>
      <c r="ME56" s="110"/>
      <c r="MF56" s="110"/>
      <c r="MG56" s="25"/>
      <c r="MH56" s="25"/>
      <c r="MI56" s="25"/>
      <c r="MJ56" s="25"/>
      <c r="MK56" s="25"/>
      <c r="ML56" s="110"/>
      <c r="MM56" s="110"/>
      <c r="MN56" s="25"/>
      <c r="MO56" s="25"/>
      <c r="MP56" s="25"/>
      <c r="MQ56" s="25"/>
      <c r="MR56" s="25"/>
      <c r="MS56" s="110"/>
      <c r="MT56" s="110"/>
      <c r="MU56" s="25"/>
      <c r="MV56" s="25"/>
      <c r="MW56" s="25"/>
      <c r="MX56" s="25"/>
      <c r="MY56" s="25"/>
      <c r="MZ56" s="110"/>
      <c r="NA56" s="110"/>
      <c r="NB56" s="25"/>
      <c r="NC56" s="25"/>
      <c r="ND56" s="25"/>
      <c r="NE56" s="129"/>
      <c r="NF56" s="111"/>
      <c r="NG56" s="8">
        <f t="shared" si="27"/>
        <v>0</v>
      </c>
      <c r="NH56" s="32" cm="1">
        <f t="array" ref="NH56">NETWORKDAYS($I$2,$AI$2)- SUM(COUNTIF(I56:AI56,{"I";"F";"CP";"R";"P";"AC";"AM"}))</f>
        <v>5</v>
      </c>
      <c r="NI56" s="138">
        <f t="shared" si="28"/>
        <v>0</v>
      </c>
      <c r="NJ56" s="8">
        <f t="shared" si="29"/>
        <v>0</v>
      </c>
      <c r="NK56" s="32" cm="1">
        <f t="array" ref="NK56">NETWORKDAYS($AJ$2,$BK$2)- SUM(COUNTIF(AJ56:BK56,{"I";"F";"CP";"R";"P";"AC";"AM"}))</f>
        <v>0</v>
      </c>
      <c r="NL56" s="138" t="e">
        <f t="shared" si="30"/>
        <v>#DIV/0!</v>
      </c>
      <c r="NM56" s="8">
        <f t="shared" si="31"/>
        <v>0</v>
      </c>
      <c r="NN56" s="32" cm="1">
        <f t="array" ref="NN56">NETWORKDAYS($BL$2,$CP$2)- SUM(COUNTIF(BL56:CP56,{"I";"F";"CP";"R";"P";"AC";"AM"}))</f>
        <v>0</v>
      </c>
      <c r="NO56" s="138" t="e">
        <f t="shared" si="32"/>
        <v>#DIV/0!</v>
      </c>
      <c r="NP56" s="8">
        <f t="shared" si="26"/>
        <v>0</v>
      </c>
      <c r="NQ56" s="32" cm="1">
        <f t="array" ref="NQ56">NETWORKDAYS($CQ$2,$DT$2,$CV$2)- SUM(COUNTIF(CQ56:DT56,{"I";"F";"CP";"R";"P";"AC";"AM"}))</f>
        <v>0</v>
      </c>
      <c r="NR56" s="138" t="e">
        <f t="shared" si="33"/>
        <v>#DIV/0!</v>
      </c>
      <c r="NS56" s="8">
        <f t="shared" si="34"/>
        <v>0</v>
      </c>
      <c r="NT56" s="32" cm="1">
        <f t="array" ref="NT56">NETWORKDAYS($DV$2,$EY$2)-SUM(COUNTIF(DV56:EY56,{"I";"F";"CP";"R";"P";"AC";"AM"}))</f>
        <v>0</v>
      </c>
      <c r="NU56" s="138" t="e">
        <f t="shared" si="35"/>
        <v>#DIV/0!</v>
      </c>
      <c r="NV56" s="8">
        <f t="shared" si="36"/>
        <v>0</v>
      </c>
      <c r="NW56" s="32" cm="1">
        <f t="array" ref="NW56">NETWORKDAYS($EZ$2,$GC$2)-SUM(COUNTIF(EZ136:GC136,{"I";"F";"CP";"R";"P";"AC";"AM"}))</f>
        <v>22</v>
      </c>
      <c r="NX56" s="138">
        <f t="shared" si="37"/>
        <v>0</v>
      </c>
      <c r="NY56" s="8">
        <f t="shared" si="38"/>
        <v>0</v>
      </c>
      <c r="NZ56" s="32" cm="1">
        <f t="array" ref="NZ56">NETWORKDAYS($GD$2,$HH$2,$GQ$2)-SUM(COUNTIF(GD56:HH56,{"I";"F";"CP";"R";"P";"AC";"AM"}))</f>
        <v>21</v>
      </c>
      <c r="OA56" s="138">
        <f t="shared" si="39"/>
        <v>0</v>
      </c>
      <c r="OB56" s="8">
        <f t="shared" si="40"/>
        <v>0</v>
      </c>
      <c r="OC56" s="32" cm="1">
        <f t="array" ref="OC56">NETWORKDAYS($HI$2,$IM$2)-SUM(COUNTIF(HI56:IM56,{"I";"F";"CP";"R";"P";"AC";"AM"}))</f>
        <v>21</v>
      </c>
      <c r="OD56" s="138">
        <f t="shared" si="41"/>
        <v>0</v>
      </c>
      <c r="OE56" s="8">
        <f t="shared" si="42"/>
        <v>0</v>
      </c>
      <c r="OF56" s="32" cm="1">
        <f t="array" ref="OF56">NETWORKDAYS($IN$2,$JQ$2)-SUM(COUNTIF(IN56:JQ56,{"I";"F";"CP";"R";"P";"AC";"AM"}))</f>
        <v>22</v>
      </c>
      <c r="OG56" s="138">
        <f t="shared" si="43"/>
        <v>0</v>
      </c>
      <c r="OH56" s="8">
        <f t="shared" si="44"/>
        <v>0</v>
      </c>
      <c r="OI56" s="32" cm="1">
        <f t="array" ref="OI56">NETWORKDAYS($JR$2,$KV$2)-SUM(COUNTIF(JR56:KV56,{"I";"F";"CP";"R";"P";"AC";"AM"}))</f>
        <v>22</v>
      </c>
      <c r="OJ56" s="138">
        <f t="shared" si="45"/>
        <v>0</v>
      </c>
      <c r="OK56" s="8">
        <f t="shared" si="46"/>
        <v>0</v>
      </c>
      <c r="OL56" s="32" cm="1">
        <f t="array" ref="OL56">NETWORKDAYS($KW$2,$LZ$2,$LG$2)-SUM(COUNTIF(KW56:LZ56,{"I";"F";"CP";"R";"P";"AC";"AM"}))</f>
        <v>19</v>
      </c>
      <c r="OM56" s="138">
        <f t="shared" si="47"/>
        <v>0</v>
      </c>
      <c r="ON56" s="8">
        <f t="shared" si="48"/>
        <v>0</v>
      </c>
      <c r="OO56" s="32" cm="1">
        <f t="array" ref="OO56">NETWORKDAYS($MA$2,$MR$2)-SUM(COUNTIF(MA56:MR56,{"I";"F";"CP";"R";"P";"AC";"AM"}))</f>
        <v>14</v>
      </c>
      <c r="OP56" s="138">
        <f t="shared" si="49"/>
        <v>0</v>
      </c>
      <c r="OQ56" s="94">
        <f t="shared" si="50"/>
        <v>0</v>
      </c>
      <c r="OR56" s="94">
        <f t="shared" si="51"/>
        <v>146</v>
      </c>
      <c r="OS56" s="138">
        <f t="shared" si="52"/>
        <v>0</v>
      </c>
    </row>
    <row r="57" spans="1:409" ht="18" hidden="1" customHeight="1" x14ac:dyDescent="0.25">
      <c r="A57" s="95" t="s">
        <v>159</v>
      </c>
      <c r="B57" s="95" t="s">
        <v>45</v>
      </c>
      <c r="C57" s="89" t="s">
        <v>160</v>
      </c>
      <c r="D57" s="89" t="s">
        <v>237</v>
      </c>
      <c r="E57" s="128"/>
      <c r="F57" s="110"/>
      <c r="G57" s="110"/>
      <c r="H57" s="110"/>
      <c r="I57" s="25"/>
      <c r="J57" s="25"/>
      <c r="K57" s="25"/>
      <c r="L57" s="25"/>
      <c r="M57" s="25"/>
      <c r="N57" s="110"/>
      <c r="O57" s="110"/>
      <c r="P57" s="25"/>
      <c r="Q57" s="25"/>
      <c r="R57" s="25"/>
      <c r="S57" s="25"/>
      <c r="T57" s="25"/>
      <c r="U57" s="110"/>
      <c r="V57" s="110"/>
      <c r="W57" s="25"/>
      <c r="X57" s="25"/>
      <c r="Y57" s="25"/>
      <c r="Z57" s="25"/>
      <c r="AA57" s="25"/>
      <c r="AB57" s="110"/>
      <c r="AC57" s="110"/>
      <c r="AD57" s="25"/>
      <c r="AE57" s="25"/>
      <c r="AF57" s="25"/>
      <c r="AG57" s="25"/>
      <c r="AH57" s="25"/>
      <c r="AI57" s="110"/>
      <c r="AJ57" s="110"/>
      <c r="AK57" s="25" t="s">
        <v>452</v>
      </c>
      <c r="AL57" s="25" t="s">
        <v>452</v>
      </c>
      <c r="AM57" s="25" t="s">
        <v>452</v>
      </c>
      <c r="AN57" s="25" t="s">
        <v>452</v>
      </c>
      <c r="AO57" s="25" t="s">
        <v>452</v>
      </c>
      <c r="AP57" s="110"/>
      <c r="AQ57" s="110"/>
      <c r="AR57" s="25"/>
      <c r="AS57" s="25"/>
      <c r="AT57" s="25"/>
      <c r="AU57" s="25"/>
      <c r="AV57" s="25"/>
      <c r="AW57" s="110"/>
      <c r="AX57" s="110"/>
      <c r="AY57" s="25"/>
      <c r="AZ57" s="25"/>
      <c r="BA57" s="25"/>
      <c r="BB57" s="25"/>
      <c r="BC57" s="25"/>
      <c r="BD57" s="110"/>
      <c r="BE57" s="110"/>
      <c r="BF57" s="25"/>
      <c r="BG57" s="25"/>
      <c r="BH57" s="25"/>
      <c r="BI57" s="25"/>
      <c r="BJ57" s="25"/>
      <c r="BK57" s="110"/>
      <c r="BL57" s="110"/>
      <c r="BM57" s="25"/>
      <c r="BN57" s="25"/>
      <c r="BO57" s="25"/>
      <c r="BP57" s="25"/>
      <c r="BQ57" s="25"/>
      <c r="BR57" s="110"/>
      <c r="BS57" s="110"/>
      <c r="BT57" s="25"/>
      <c r="BU57" s="25"/>
      <c r="BV57" s="25"/>
      <c r="BW57" s="25"/>
      <c r="BX57" s="25"/>
      <c r="BY57" s="110"/>
      <c r="BZ57" s="110"/>
      <c r="CA57" s="25"/>
      <c r="CB57" s="25"/>
      <c r="CC57" s="25"/>
      <c r="CD57" s="25"/>
      <c r="CE57" s="25"/>
      <c r="CF57" s="110"/>
      <c r="CG57" s="110"/>
      <c r="CH57" s="25"/>
      <c r="CI57" s="25"/>
      <c r="CJ57" s="25"/>
      <c r="CK57" s="25"/>
      <c r="CL57" s="25"/>
      <c r="CM57" s="110"/>
      <c r="CN57" s="110"/>
      <c r="CO57" s="25"/>
      <c r="CP57" s="25"/>
      <c r="CQ57" s="25"/>
      <c r="CR57" s="25"/>
      <c r="CS57" s="25"/>
      <c r="CT57" s="110"/>
      <c r="CU57" s="110"/>
      <c r="CV57" s="110"/>
      <c r="CW57" s="25"/>
      <c r="CX57" s="25"/>
      <c r="CY57" s="25"/>
      <c r="CZ57" s="25"/>
      <c r="DA57" s="110"/>
      <c r="DB57" s="110"/>
      <c r="DC57" s="25"/>
      <c r="DD57" s="25"/>
      <c r="DE57" s="25"/>
      <c r="DF57" s="25"/>
      <c r="DG57" s="25"/>
      <c r="DH57" s="110"/>
      <c r="DI57" s="110"/>
      <c r="DJ57" s="25"/>
      <c r="DK57" s="25"/>
      <c r="DL57" s="25"/>
      <c r="DM57" s="25"/>
      <c r="DN57" s="25"/>
      <c r="DO57" s="110"/>
      <c r="DP57" s="110"/>
      <c r="DQ57" s="25"/>
      <c r="DR57" s="25"/>
      <c r="DS57" s="25"/>
      <c r="DT57" s="25"/>
      <c r="DU57" s="110"/>
      <c r="DV57" s="110"/>
      <c r="DW57" s="110"/>
      <c r="DX57" s="25"/>
      <c r="DY57" s="25"/>
      <c r="DZ57" s="25"/>
      <c r="EA57" s="25"/>
      <c r="EB57" s="110" t="s">
        <v>445</v>
      </c>
      <c r="EC57" s="110"/>
      <c r="ED57" s="110"/>
      <c r="EE57" s="25"/>
      <c r="EF57" s="25"/>
      <c r="EG57" s="25"/>
      <c r="EH57" s="110" t="s">
        <v>445</v>
      </c>
      <c r="EI57" s="110" t="s">
        <v>445</v>
      </c>
      <c r="EJ57" s="110"/>
      <c r="EK57" s="110"/>
      <c r="EL57" s="25"/>
      <c r="EM57" s="25"/>
      <c r="EN57" s="25"/>
      <c r="EO57" s="25"/>
      <c r="EP57" s="25"/>
      <c r="EQ57" s="110"/>
      <c r="ER57" s="110"/>
      <c r="ES57" s="110" t="s">
        <v>445</v>
      </c>
      <c r="ET57" s="25"/>
      <c r="EU57" s="25"/>
      <c r="EV57" s="25"/>
      <c r="EW57" s="25"/>
      <c r="EX57" s="110"/>
      <c r="EY57" s="110"/>
      <c r="EZ57" s="25"/>
      <c r="FA57" s="25"/>
      <c r="FB57" s="25"/>
      <c r="FC57" s="25"/>
      <c r="FD57" s="25"/>
      <c r="FE57" s="110"/>
      <c r="FF57" s="110"/>
      <c r="FG57" s="25"/>
      <c r="FH57" s="25"/>
      <c r="FI57" s="25"/>
      <c r="FJ57" s="25"/>
      <c r="FK57" s="25"/>
      <c r="FL57" s="110"/>
      <c r="FM57" s="110"/>
      <c r="FN57" s="25"/>
      <c r="FO57" s="25"/>
      <c r="FP57" s="25"/>
      <c r="FQ57" s="25"/>
      <c r="FR57" s="25"/>
      <c r="FS57" s="110"/>
      <c r="FT57" s="110"/>
      <c r="FU57" s="25"/>
      <c r="FV57" s="25"/>
      <c r="FW57" s="25"/>
      <c r="FX57" s="25"/>
      <c r="FY57" s="25"/>
      <c r="FZ57" s="110"/>
      <c r="GA57" s="110"/>
      <c r="GB57" s="25"/>
      <c r="GC57" s="25"/>
      <c r="GD57" s="25"/>
      <c r="GE57" s="25"/>
      <c r="GF57" s="25"/>
      <c r="GG57" s="110"/>
      <c r="GH57" s="110"/>
      <c r="GI57" s="25"/>
      <c r="GJ57" s="25"/>
      <c r="GK57" s="25"/>
      <c r="GL57" s="25"/>
      <c r="GM57" s="25"/>
      <c r="GN57" s="110"/>
      <c r="GO57" s="110"/>
      <c r="GP57" s="110"/>
      <c r="GQ57" s="110" t="s">
        <v>445</v>
      </c>
      <c r="GR57" s="25"/>
      <c r="GS57" s="25"/>
      <c r="GT57" s="25"/>
      <c r="GU57" s="110"/>
      <c r="GV57" s="110"/>
      <c r="GW57" s="25"/>
      <c r="GX57" s="25"/>
      <c r="GY57" s="25"/>
      <c r="GZ57" s="25"/>
      <c r="HA57" s="25"/>
      <c r="HB57" s="110"/>
      <c r="HC57" s="110"/>
      <c r="HD57" s="25"/>
      <c r="HE57" s="25"/>
      <c r="HF57" s="25"/>
      <c r="HG57" s="25"/>
      <c r="HH57" s="25"/>
      <c r="HI57" s="110"/>
      <c r="HJ57" s="110"/>
      <c r="HK57" s="25"/>
      <c r="HL57" s="25"/>
      <c r="HM57" s="25"/>
      <c r="HN57" s="25"/>
      <c r="HO57" s="25"/>
      <c r="HP57" s="110"/>
      <c r="HQ57" s="110"/>
      <c r="HR57" s="25"/>
      <c r="HS57" s="25"/>
      <c r="HT57" s="25"/>
      <c r="HU57" s="25"/>
      <c r="HV57" s="25"/>
      <c r="HW57" s="110"/>
      <c r="HX57" s="110"/>
      <c r="HY57" s="25"/>
      <c r="HZ57" s="25"/>
      <c r="IA57" s="25"/>
      <c r="IB57" s="25"/>
      <c r="IC57" s="25"/>
      <c r="ID57" s="110"/>
      <c r="IE57" s="110"/>
      <c r="IF57" s="25"/>
      <c r="IG57" s="25"/>
      <c r="IH57" s="25"/>
      <c r="II57" s="25"/>
      <c r="IJ57" s="25"/>
      <c r="IK57" s="110"/>
      <c r="IL57" s="110"/>
      <c r="IM57" s="25"/>
      <c r="IN57" s="25"/>
      <c r="IO57" s="25"/>
      <c r="IP57" s="25"/>
      <c r="IQ57" s="25"/>
      <c r="IR57" s="110"/>
      <c r="IS57" s="110"/>
      <c r="IT57" s="25"/>
      <c r="IU57" s="25"/>
      <c r="IV57" s="25"/>
      <c r="IW57" s="25"/>
      <c r="IX57" s="25"/>
      <c r="IY57" s="110"/>
      <c r="IZ57" s="110"/>
      <c r="JA57" s="25"/>
      <c r="JB57" s="25"/>
      <c r="JC57" s="25"/>
      <c r="JD57" s="25"/>
      <c r="JE57" s="25"/>
      <c r="JF57" s="110"/>
      <c r="JG57" s="110"/>
      <c r="JH57" s="25"/>
      <c r="JI57" s="25"/>
      <c r="JJ57" s="25"/>
      <c r="JK57" s="25"/>
      <c r="JL57" s="25"/>
      <c r="JM57" s="110"/>
      <c r="JN57" s="110"/>
      <c r="JO57" s="25"/>
      <c r="JP57" s="25"/>
      <c r="JQ57" s="25"/>
      <c r="JR57" s="25"/>
      <c r="JS57" s="25"/>
      <c r="JT57" s="110"/>
      <c r="JU57" s="110"/>
      <c r="JV57" s="25"/>
      <c r="JW57" s="25"/>
      <c r="JX57" s="25"/>
      <c r="JY57" s="25"/>
      <c r="JZ57" s="25"/>
      <c r="KA57" s="110"/>
      <c r="KB57" s="110"/>
      <c r="KC57" s="25"/>
      <c r="KD57" s="25"/>
      <c r="KE57" s="25"/>
      <c r="KF57" s="25"/>
      <c r="KG57" s="25"/>
      <c r="KH57" s="110"/>
      <c r="KI57" s="110"/>
      <c r="KJ57" s="25"/>
      <c r="KK57" s="25"/>
      <c r="KL57" s="25"/>
      <c r="KM57" s="25"/>
      <c r="KN57" s="25"/>
      <c r="KO57" s="110"/>
      <c r="KP57" s="110"/>
      <c r="KQ57" s="25"/>
      <c r="KR57" s="25"/>
      <c r="KS57" s="25"/>
      <c r="KT57" s="25"/>
      <c r="KU57" s="25"/>
      <c r="KV57" s="110"/>
      <c r="KW57" s="110"/>
      <c r="KX57" s="25"/>
      <c r="KY57" s="25"/>
      <c r="KZ57" s="25"/>
      <c r="LA57" s="25"/>
      <c r="LB57" s="25"/>
      <c r="LC57" s="110"/>
      <c r="LD57" s="110"/>
      <c r="LE57" s="25"/>
      <c r="LF57" s="25"/>
      <c r="LG57" s="110" t="s">
        <v>445</v>
      </c>
      <c r="LH57" s="25"/>
      <c r="LI57" s="25"/>
      <c r="LJ57" s="110"/>
      <c r="LK57" s="110"/>
      <c r="LL57" s="25"/>
      <c r="LM57" s="25"/>
      <c r="LN57" s="25"/>
      <c r="LO57" s="25"/>
      <c r="LP57" s="25"/>
      <c r="LQ57" s="110"/>
      <c r="LR57" s="110"/>
      <c r="LS57" s="25"/>
      <c r="LT57" s="25"/>
      <c r="LU57" s="25"/>
      <c r="LV57" s="25"/>
      <c r="LW57" s="25"/>
      <c r="LX57" s="110"/>
      <c r="LY57" s="110"/>
      <c r="LZ57" s="25"/>
      <c r="MA57" s="25"/>
      <c r="MB57" s="25"/>
      <c r="MC57" s="25"/>
      <c r="MD57" s="25"/>
      <c r="ME57" s="110"/>
      <c r="MF57" s="110"/>
      <c r="MG57" s="25"/>
      <c r="MH57" s="25"/>
      <c r="MI57" s="25"/>
      <c r="MJ57" s="25"/>
      <c r="MK57" s="25"/>
      <c r="ML57" s="110"/>
      <c r="MM57" s="110"/>
      <c r="MN57" s="25"/>
      <c r="MO57" s="25"/>
      <c r="MP57" s="25"/>
      <c r="MQ57" s="25"/>
      <c r="MR57" s="25"/>
      <c r="MS57" s="110"/>
      <c r="MT57" s="110"/>
      <c r="MU57" s="25"/>
      <c r="MV57" s="25"/>
      <c r="MW57" s="25"/>
      <c r="MX57" s="25"/>
      <c r="MY57" s="25"/>
      <c r="MZ57" s="110"/>
      <c r="NA57" s="110"/>
      <c r="NB57" s="25"/>
      <c r="NC57" s="25"/>
      <c r="ND57" s="25"/>
      <c r="NE57" s="129"/>
      <c r="NF57" s="111"/>
      <c r="NG57" s="8">
        <f t="shared" si="27"/>
        <v>0</v>
      </c>
      <c r="NH57" s="32" cm="1">
        <f t="array" ref="NH57">NETWORKDAYS($I$2,$AI$2)- SUM(COUNTIF(I57:AI57,{"I";"F";"CP";"R";"P";"AC";"AM"}))</f>
        <v>20</v>
      </c>
      <c r="NI57" s="138">
        <f t="shared" si="28"/>
        <v>0</v>
      </c>
      <c r="NJ57" s="8">
        <f t="shared" si="29"/>
        <v>0</v>
      </c>
      <c r="NK57" s="32" cm="1">
        <f t="array" ref="NK57">NETWORKDAYS($AJ$2,$BK$2)- SUM(COUNTIF(AJ57:BK57,{"I";"F";"CP";"R";"P";"AC";"AM"}))</f>
        <v>20</v>
      </c>
      <c r="NL57" s="138">
        <f t="shared" si="30"/>
        <v>0</v>
      </c>
      <c r="NM57" s="8">
        <f t="shared" si="31"/>
        <v>0</v>
      </c>
      <c r="NN57" s="32" cm="1">
        <f t="array" ref="NN57">NETWORKDAYS($BL$2,$CP$2)- SUM(COUNTIF(BL57:CP57,{"I";"F";"CP";"R";"P";"AC";"AM"}))</f>
        <v>22</v>
      </c>
      <c r="NO57" s="138">
        <f t="shared" si="32"/>
        <v>0</v>
      </c>
      <c r="NP57" s="32">
        <f t="shared" si="26"/>
        <v>0</v>
      </c>
      <c r="NQ57" s="32" cm="1">
        <f t="array" ref="NQ57">NETWORKDAYS($CQ$2,$DT$2,$CV$2)- SUM(COUNTIF(CQ57:DT57,{"I";"F";"CP";"R";"P";"AC";"AM"}))</f>
        <v>21</v>
      </c>
      <c r="NR57" s="138">
        <f t="shared" si="33"/>
        <v>0</v>
      </c>
      <c r="NS57" s="8">
        <f t="shared" si="34"/>
        <v>0</v>
      </c>
      <c r="NT57" s="32" cm="1">
        <f t="array" ref="NT57">NETWORKDAYS($DV$2,$EY$2)-SUM(COUNTIF(DV57:EY57,{"I";"F";"CP";"R";"P";"AC";"AM"}))</f>
        <v>16</v>
      </c>
      <c r="NU57" s="138">
        <f t="shared" si="35"/>
        <v>0</v>
      </c>
      <c r="NV57" s="8">
        <f t="shared" si="36"/>
        <v>0</v>
      </c>
      <c r="NW57" s="32" cm="1">
        <f t="array" ref="NW57">NETWORKDAYS($EZ$2,$GC$2)-SUM(COUNTIF(EZ137:GC137,{"I";"F";"CP";"R";"P";"AC";"AM"}))</f>
        <v>22</v>
      </c>
      <c r="NX57" s="138">
        <f t="shared" si="37"/>
        <v>0</v>
      </c>
      <c r="NY57" s="8">
        <f t="shared" si="38"/>
        <v>0</v>
      </c>
      <c r="NZ57" s="32" cm="1">
        <f t="array" ref="NZ57">NETWORKDAYS($GD$2,$HH$2,$GQ$2)-SUM(COUNTIF(GD57:HH57,{"I";"F";"CP";"R";"P";"AC";"AM"}))</f>
        <v>21</v>
      </c>
      <c r="OA57" s="138">
        <f t="shared" si="39"/>
        <v>0</v>
      </c>
      <c r="OB57" s="8">
        <f t="shared" si="40"/>
        <v>0</v>
      </c>
      <c r="OC57" s="32" cm="1">
        <f t="array" ref="OC57">NETWORKDAYS($HI$2,$IM$2)-SUM(COUNTIF(HI57:IM57,{"I";"F";"CP";"R";"P";"AC";"AM"}))</f>
        <v>21</v>
      </c>
      <c r="OD57" s="138">
        <f t="shared" si="41"/>
        <v>0</v>
      </c>
      <c r="OE57" s="8">
        <f t="shared" si="42"/>
        <v>0</v>
      </c>
      <c r="OF57" s="32" cm="1">
        <f t="array" ref="OF57">NETWORKDAYS($IN$2,$JQ$2)-SUM(COUNTIF(IN57:JQ57,{"I";"F";"CP";"R";"P";"AC";"AM"}))</f>
        <v>22</v>
      </c>
      <c r="OG57" s="138">
        <f t="shared" si="43"/>
        <v>0</v>
      </c>
      <c r="OH57" s="8">
        <f t="shared" si="44"/>
        <v>0</v>
      </c>
      <c r="OI57" s="32" cm="1">
        <f t="array" ref="OI57">NETWORKDAYS($JR$2,$KV$2)-SUM(COUNTIF(JR57:KV57,{"I";"F";"CP";"R";"P";"AC";"AM"}))</f>
        <v>22</v>
      </c>
      <c r="OJ57" s="138">
        <f t="shared" si="45"/>
        <v>0</v>
      </c>
      <c r="OK57" s="8">
        <f t="shared" si="46"/>
        <v>0</v>
      </c>
      <c r="OL57" s="32" cm="1">
        <f t="array" ref="OL57">NETWORKDAYS($KW$2,$LZ$2,$LG$2)-SUM(COUNTIF(KW57:LZ57,{"I";"F";"CP";"R";"P";"AC";"AM"}))</f>
        <v>19</v>
      </c>
      <c r="OM57" s="138">
        <f t="shared" si="47"/>
        <v>0</v>
      </c>
      <c r="ON57" s="8">
        <f t="shared" si="48"/>
        <v>0</v>
      </c>
      <c r="OO57" s="32" cm="1">
        <f t="array" ref="OO57">NETWORKDAYS($MA$2,$MR$2)-SUM(COUNTIF(MA57:MR57,{"I";"F";"CP";"R";"P";"AC";"AM"}))</f>
        <v>14</v>
      </c>
      <c r="OP57" s="138">
        <f t="shared" si="49"/>
        <v>0</v>
      </c>
      <c r="OQ57" s="94">
        <f t="shared" si="50"/>
        <v>0</v>
      </c>
      <c r="OR57" s="94">
        <f t="shared" si="51"/>
        <v>240</v>
      </c>
      <c r="OS57" s="138">
        <f t="shared" si="52"/>
        <v>0</v>
      </c>
    </row>
    <row r="58" spans="1:409" ht="18" hidden="1" customHeight="1" x14ac:dyDescent="0.25">
      <c r="A58" s="95" t="s">
        <v>468</v>
      </c>
      <c r="B58" s="95" t="s">
        <v>34</v>
      </c>
      <c r="C58" s="89" t="s">
        <v>166</v>
      </c>
      <c r="D58" s="89" t="s">
        <v>238</v>
      </c>
      <c r="E58" s="128"/>
      <c r="F58" s="110"/>
      <c r="G58" s="110"/>
      <c r="H58" s="110"/>
      <c r="I58" s="25"/>
      <c r="J58" s="25"/>
      <c r="K58" s="25"/>
      <c r="L58" s="25"/>
      <c r="M58" s="25"/>
      <c r="N58" s="110"/>
      <c r="O58" s="110"/>
      <c r="P58" s="25"/>
      <c r="Q58" s="25"/>
      <c r="R58" s="25"/>
      <c r="S58" s="25"/>
      <c r="T58" s="25"/>
      <c r="U58" s="110"/>
      <c r="V58" s="110"/>
      <c r="W58" s="25"/>
      <c r="X58" s="25"/>
      <c r="Y58" s="25"/>
      <c r="Z58" s="25"/>
      <c r="AA58" s="25"/>
      <c r="AB58" s="110"/>
      <c r="AC58" s="110"/>
      <c r="AD58" s="25"/>
      <c r="AE58" s="25"/>
      <c r="AF58" s="25"/>
      <c r="AG58" s="25"/>
      <c r="AH58" s="25"/>
      <c r="AI58" s="110"/>
      <c r="AJ58" s="110"/>
      <c r="AK58" s="25"/>
      <c r="AL58" s="25"/>
      <c r="AM58" s="25"/>
      <c r="AN58" s="25"/>
      <c r="AO58" s="25"/>
      <c r="AP58" s="110"/>
      <c r="AQ58" s="110"/>
      <c r="AR58" s="25"/>
      <c r="AS58" s="25"/>
      <c r="AT58" s="25"/>
      <c r="AU58" s="25"/>
      <c r="AV58" s="25"/>
      <c r="AW58" s="110"/>
      <c r="AX58" s="110"/>
      <c r="AY58" s="25"/>
      <c r="AZ58" s="25"/>
      <c r="BA58" s="25"/>
      <c r="BB58" s="25"/>
      <c r="BC58" s="25"/>
      <c r="BD58" s="110"/>
      <c r="BE58" s="110"/>
      <c r="BF58" s="25"/>
      <c r="BG58" s="25"/>
      <c r="BH58" s="25"/>
      <c r="BI58" s="25"/>
      <c r="BJ58" s="25"/>
      <c r="BK58" s="110"/>
      <c r="BL58" s="110"/>
      <c r="BM58" s="25"/>
      <c r="BN58" s="25"/>
      <c r="BO58" s="25"/>
      <c r="BP58" s="25"/>
      <c r="BQ58" s="25"/>
      <c r="BR58" s="110"/>
      <c r="BS58" s="110"/>
      <c r="BT58" s="25"/>
      <c r="BU58" s="25"/>
      <c r="BV58" s="25"/>
      <c r="BW58" s="25"/>
      <c r="BX58" s="25"/>
      <c r="BY58" s="110"/>
      <c r="BZ58" s="110"/>
      <c r="CA58" s="25"/>
      <c r="CB58" s="25"/>
      <c r="CC58" s="25"/>
      <c r="CD58" s="25"/>
      <c r="CE58" s="25"/>
      <c r="CF58" s="110"/>
      <c r="CG58" s="110"/>
      <c r="CH58" s="25"/>
      <c r="CI58" s="25"/>
      <c r="CJ58" s="25"/>
      <c r="CK58" s="25"/>
      <c r="CL58" s="25"/>
      <c r="CM58" s="110"/>
      <c r="CN58" s="110"/>
      <c r="CO58" s="25"/>
      <c r="CP58" s="25"/>
      <c r="CQ58" s="25"/>
      <c r="CR58" s="25"/>
      <c r="CS58" s="25"/>
      <c r="CT58" s="110"/>
      <c r="CU58" s="110"/>
      <c r="CV58" s="110"/>
      <c r="CW58" s="25"/>
      <c r="CX58" s="25"/>
      <c r="CY58" s="25"/>
      <c r="CZ58" s="25"/>
      <c r="DA58" s="110"/>
      <c r="DB58" s="110"/>
      <c r="DC58" s="25"/>
      <c r="DD58" s="25"/>
      <c r="DE58" s="25"/>
      <c r="DF58" s="25"/>
      <c r="DG58" s="25"/>
      <c r="DH58" s="110"/>
      <c r="DI58" s="110"/>
      <c r="DJ58" s="25"/>
      <c r="DK58" s="25"/>
      <c r="DL58" s="25"/>
      <c r="DM58" s="25"/>
      <c r="DN58" s="25"/>
      <c r="DO58" s="110"/>
      <c r="DP58" s="110"/>
      <c r="DQ58" s="25"/>
      <c r="DR58" s="25"/>
      <c r="DS58" s="25"/>
      <c r="DT58" s="25"/>
      <c r="DU58" s="110"/>
      <c r="DV58" s="110"/>
      <c r="DW58" s="110"/>
      <c r="DX58" s="25"/>
      <c r="DY58" s="25"/>
      <c r="DZ58" s="25"/>
      <c r="EA58" s="25"/>
      <c r="EB58" s="110" t="s">
        <v>445</v>
      </c>
      <c r="EC58" s="110"/>
      <c r="ED58" s="110"/>
      <c r="EE58" s="25"/>
      <c r="EF58" s="25"/>
      <c r="EG58" s="25"/>
      <c r="EH58" s="110" t="s">
        <v>445</v>
      </c>
      <c r="EI58" s="110" t="s">
        <v>445</v>
      </c>
      <c r="EJ58" s="110"/>
      <c r="EK58" s="110"/>
      <c r="EL58" s="25"/>
      <c r="EM58" s="25"/>
      <c r="EN58" s="25"/>
      <c r="EO58" s="25"/>
      <c r="EP58" s="25"/>
      <c r="EQ58" s="110"/>
      <c r="ER58" s="110"/>
      <c r="ES58" s="110" t="s">
        <v>445</v>
      </c>
      <c r="ET58" s="25"/>
      <c r="EU58" s="25"/>
      <c r="EV58" s="25"/>
      <c r="EW58" s="25"/>
      <c r="EX58" s="110"/>
      <c r="EY58" s="110"/>
      <c r="EZ58" s="25"/>
      <c r="FA58" s="25"/>
      <c r="FB58" s="25"/>
      <c r="FC58" s="25"/>
      <c r="FD58" s="25"/>
      <c r="FE58" s="110"/>
      <c r="FF58" s="110"/>
      <c r="FG58" s="25"/>
      <c r="FH58" s="25"/>
      <c r="FI58" s="25"/>
      <c r="FJ58" s="25"/>
      <c r="FK58" s="25"/>
      <c r="FL58" s="110"/>
      <c r="FM58" s="110"/>
      <c r="FN58" s="25"/>
      <c r="FO58" s="25"/>
      <c r="FP58" s="25"/>
      <c r="FQ58" s="25"/>
      <c r="FR58" s="25"/>
      <c r="FS58" s="110"/>
      <c r="FT58" s="110"/>
      <c r="FU58" s="25"/>
      <c r="FV58" s="25"/>
      <c r="FW58" s="25"/>
      <c r="FX58" s="25"/>
      <c r="FY58" s="25"/>
      <c r="FZ58" s="110"/>
      <c r="GA58" s="110"/>
      <c r="GB58" s="25"/>
      <c r="GC58" s="25"/>
      <c r="GD58" s="25"/>
      <c r="GE58" s="25"/>
      <c r="GF58" s="25"/>
      <c r="GG58" s="110"/>
      <c r="GH58" s="110"/>
      <c r="GI58" s="25"/>
      <c r="GJ58" s="25"/>
      <c r="GK58" s="25"/>
      <c r="GL58" s="25"/>
      <c r="GM58" s="25"/>
      <c r="GN58" s="110"/>
      <c r="GO58" s="110"/>
      <c r="GP58" s="110"/>
      <c r="GQ58" s="110" t="s">
        <v>445</v>
      </c>
      <c r="GR58" s="25"/>
      <c r="GS58" s="25"/>
      <c r="GT58" s="25"/>
      <c r="GU58" s="110"/>
      <c r="GV58" s="110"/>
      <c r="GW58" s="25"/>
      <c r="GX58" s="25"/>
      <c r="GY58" s="25"/>
      <c r="GZ58" s="25"/>
      <c r="HA58" s="25"/>
      <c r="HB58" s="110"/>
      <c r="HC58" s="110"/>
      <c r="HD58" s="25"/>
      <c r="HE58" s="25"/>
      <c r="HF58" s="25"/>
      <c r="HG58" s="25"/>
      <c r="HH58" s="25"/>
      <c r="HI58" s="110"/>
      <c r="HJ58" s="110"/>
      <c r="HK58" s="25"/>
      <c r="HL58" s="25"/>
      <c r="HM58" s="25"/>
      <c r="HN58" s="25"/>
      <c r="HO58" s="25"/>
      <c r="HP58" s="110"/>
      <c r="HQ58" s="110"/>
      <c r="HR58" s="25"/>
      <c r="HS58" s="25"/>
      <c r="HT58" s="25"/>
      <c r="HU58" s="25"/>
      <c r="HV58" s="25"/>
      <c r="HW58" s="110"/>
      <c r="HX58" s="110"/>
      <c r="HY58" s="25"/>
      <c r="HZ58" s="25"/>
      <c r="IA58" s="25"/>
      <c r="IB58" s="25"/>
      <c r="IC58" s="25"/>
      <c r="ID58" s="110"/>
      <c r="IE58" s="110"/>
      <c r="IF58" s="25"/>
      <c r="IG58" s="25"/>
      <c r="IH58" s="25"/>
      <c r="II58" s="25"/>
      <c r="IJ58" s="25"/>
      <c r="IK58" s="110"/>
      <c r="IL58" s="110"/>
      <c r="IM58" s="25"/>
      <c r="IN58" s="25"/>
      <c r="IO58" s="25"/>
      <c r="IP58" s="25"/>
      <c r="IQ58" s="25"/>
      <c r="IR58" s="110"/>
      <c r="IS58" s="110"/>
      <c r="IT58" s="25"/>
      <c r="IU58" s="25"/>
      <c r="IV58" s="25"/>
      <c r="IW58" s="25"/>
      <c r="IX58" s="25"/>
      <c r="IY58" s="110"/>
      <c r="IZ58" s="110"/>
      <c r="JA58" s="25"/>
      <c r="JB58" s="25"/>
      <c r="JC58" s="25"/>
      <c r="JD58" s="25"/>
      <c r="JE58" s="25"/>
      <c r="JF58" s="110"/>
      <c r="JG58" s="110"/>
      <c r="JH58" s="25"/>
      <c r="JI58" s="25"/>
      <c r="JJ58" s="25"/>
      <c r="JK58" s="25"/>
      <c r="JL58" s="25"/>
      <c r="JM58" s="110"/>
      <c r="JN58" s="110"/>
      <c r="JO58" s="25"/>
      <c r="JP58" s="25"/>
      <c r="JQ58" s="25"/>
      <c r="JR58" s="25"/>
      <c r="JS58" s="25"/>
      <c r="JT58" s="110"/>
      <c r="JU58" s="110"/>
      <c r="JV58" s="25"/>
      <c r="JW58" s="25"/>
      <c r="JX58" s="25"/>
      <c r="JY58" s="25"/>
      <c r="JZ58" s="25"/>
      <c r="KA58" s="110"/>
      <c r="KB58" s="110"/>
      <c r="KC58" s="25"/>
      <c r="KD58" s="25"/>
      <c r="KE58" s="25"/>
      <c r="KF58" s="25"/>
      <c r="KG58" s="25"/>
      <c r="KH58" s="110"/>
      <c r="KI58" s="110"/>
      <c r="KJ58" s="25"/>
      <c r="KK58" s="25"/>
      <c r="KL58" s="25"/>
      <c r="KM58" s="25"/>
      <c r="KN58" s="25"/>
      <c r="KO58" s="110"/>
      <c r="KP58" s="110"/>
      <c r="KQ58" s="25"/>
      <c r="KR58" s="25"/>
      <c r="KS58" s="25"/>
      <c r="KT58" s="25"/>
      <c r="KU58" s="25"/>
      <c r="KV58" s="110"/>
      <c r="KW58" s="110"/>
      <c r="KX58" s="25"/>
      <c r="KY58" s="25"/>
      <c r="KZ58" s="25"/>
      <c r="LA58" s="25"/>
      <c r="LB58" s="25"/>
      <c r="LC58" s="110"/>
      <c r="LD58" s="110"/>
      <c r="LE58" s="25"/>
      <c r="LF58" s="25"/>
      <c r="LG58" s="110" t="s">
        <v>445</v>
      </c>
      <c r="LH58" s="25"/>
      <c r="LI58" s="25"/>
      <c r="LJ58" s="110"/>
      <c r="LK58" s="110"/>
      <c r="LL58" s="25"/>
      <c r="LM58" s="25"/>
      <c r="LN58" s="25"/>
      <c r="LO58" s="25"/>
      <c r="LP58" s="25"/>
      <c r="LQ58" s="110"/>
      <c r="LR58" s="110"/>
      <c r="LS58" s="25"/>
      <c r="LT58" s="25"/>
      <c r="LU58" s="25"/>
      <c r="LV58" s="25"/>
      <c r="LW58" s="25"/>
      <c r="LX58" s="110"/>
      <c r="LY58" s="110"/>
      <c r="LZ58" s="25"/>
      <c r="MA58" s="25"/>
      <c r="MB58" s="25"/>
      <c r="MC58" s="25"/>
      <c r="MD58" s="25"/>
      <c r="ME58" s="110"/>
      <c r="MF58" s="110"/>
      <c r="MG58" s="25"/>
      <c r="MH58" s="25"/>
      <c r="MI58" s="25"/>
      <c r="MJ58" s="25"/>
      <c r="MK58" s="25"/>
      <c r="ML58" s="110"/>
      <c r="MM58" s="110"/>
      <c r="MN58" s="25"/>
      <c r="MO58" s="25"/>
      <c r="MP58" s="25"/>
      <c r="MQ58" s="25"/>
      <c r="MR58" s="25"/>
      <c r="MS58" s="110"/>
      <c r="MT58" s="110"/>
      <c r="MU58" s="25"/>
      <c r="MV58" s="25"/>
      <c r="MW58" s="25"/>
      <c r="MX58" s="25"/>
      <c r="MY58" s="25"/>
      <c r="MZ58" s="110"/>
      <c r="NA58" s="110"/>
      <c r="NB58" s="25"/>
      <c r="NC58" s="25"/>
      <c r="ND58" s="25"/>
      <c r="NE58" s="129"/>
      <c r="NF58" s="111"/>
      <c r="NG58" s="8">
        <f t="shared" si="27"/>
        <v>0</v>
      </c>
      <c r="NH58" s="32" cm="1">
        <f t="array" ref="NH58">NETWORKDAYS($I$2,$AI$2)- SUM(COUNTIF(I58:AI58,{"I";"F";"CP";"R";"P";"AC";"AM"}))</f>
        <v>20</v>
      </c>
      <c r="NI58" s="138">
        <f t="shared" si="28"/>
        <v>0</v>
      </c>
      <c r="NJ58" s="8">
        <f t="shared" si="29"/>
        <v>0</v>
      </c>
      <c r="NK58" s="32" cm="1">
        <f t="array" ref="NK58">NETWORKDAYS($AJ$2,$BK$2)- SUM(COUNTIF(AJ58:BK58,{"I";"F";"CP";"R";"P";"AC";"AM"}))</f>
        <v>20</v>
      </c>
      <c r="NL58" s="138">
        <f t="shared" si="30"/>
        <v>0</v>
      </c>
      <c r="NM58" s="8">
        <f t="shared" si="31"/>
        <v>0</v>
      </c>
      <c r="NN58" s="32" cm="1">
        <f t="array" ref="NN58">NETWORKDAYS($BL$2,$CP$2)- SUM(COUNTIF(BL58:CP58,{"I";"F";"CP";"R";"P";"AC";"AM"}))</f>
        <v>22</v>
      </c>
      <c r="NO58" s="138">
        <f t="shared" si="32"/>
        <v>0</v>
      </c>
      <c r="NP58" s="8">
        <f t="shared" si="26"/>
        <v>0</v>
      </c>
      <c r="NQ58" s="32" cm="1">
        <f t="array" ref="NQ58">NETWORKDAYS($CQ$2,$DT$2,$CV$2)- SUM(COUNTIF(CQ58:DT58,{"I";"F";"CP";"R";"P";"AC";"AM"}))</f>
        <v>21</v>
      </c>
      <c r="NR58" s="138">
        <f t="shared" si="33"/>
        <v>0</v>
      </c>
      <c r="NS58" s="8">
        <f t="shared" si="34"/>
        <v>0</v>
      </c>
      <c r="NT58" s="32" cm="1">
        <f t="array" ref="NT58">NETWORKDAYS($DV$2,$EY$2)-SUM(COUNTIF(DV58:EY58,{"I";"F";"CP";"R";"P";"AC";"AM"}))</f>
        <v>16</v>
      </c>
      <c r="NU58" s="138">
        <f t="shared" si="35"/>
        <v>0</v>
      </c>
      <c r="NV58" s="8">
        <f t="shared" si="36"/>
        <v>0</v>
      </c>
      <c r="NW58" s="32" cm="1">
        <f t="array" ref="NW58">NETWORKDAYS($EZ$2,$GC$2)-SUM(COUNTIF(EZ138:GC138,{"I";"F";"CP";"R";"P";"AC";"AM"}))</f>
        <v>22</v>
      </c>
      <c r="NX58" s="138">
        <f t="shared" si="37"/>
        <v>0</v>
      </c>
      <c r="NY58" s="8">
        <f t="shared" si="38"/>
        <v>0</v>
      </c>
      <c r="NZ58" s="32" cm="1">
        <f t="array" ref="NZ58">NETWORKDAYS($GD$2,$HH$2,$GQ$2)-SUM(COUNTIF(GD58:HH58,{"I";"F";"CP";"R";"P";"AC";"AM"}))</f>
        <v>21</v>
      </c>
      <c r="OA58" s="138">
        <f t="shared" si="39"/>
        <v>0</v>
      </c>
      <c r="OB58" s="8">
        <f t="shared" si="40"/>
        <v>0</v>
      </c>
      <c r="OC58" s="32" cm="1">
        <f t="array" ref="OC58">NETWORKDAYS($HI$2,$IM$2)-SUM(COUNTIF(HI58:IM58,{"I";"F";"CP";"R";"P";"AC";"AM"}))</f>
        <v>21</v>
      </c>
      <c r="OD58" s="138">
        <f t="shared" si="41"/>
        <v>0</v>
      </c>
      <c r="OE58" s="8">
        <f t="shared" si="42"/>
        <v>0</v>
      </c>
      <c r="OF58" s="32" cm="1">
        <f t="array" ref="OF58">NETWORKDAYS($IN$2,$JQ$2)-SUM(COUNTIF(IN58:JQ58,{"I";"F";"CP";"R";"P";"AC";"AM"}))</f>
        <v>22</v>
      </c>
      <c r="OG58" s="138">
        <f t="shared" si="43"/>
        <v>0</v>
      </c>
      <c r="OH58" s="8">
        <f t="shared" si="44"/>
        <v>0</v>
      </c>
      <c r="OI58" s="32" cm="1">
        <f t="array" ref="OI58">NETWORKDAYS($JR$2,$KV$2)-SUM(COUNTIF(JR58:KV58,{"I";"F";"CP";"R";"P";"AC";"AM"}))</f>
        <v>22</v>
      </c>
      <c r="OJ58" s="138">
        <f t="shared" si="45"/>
        <v>0</v>
      </c>
      <c r="OK58" s="8">
        <f t="shared" si="46"/>
        <v>0</v>
      </c>
      <c r="OL58" s="32" cm="1">
        <f t="array" ref="OL58">NETWORKDAYS($KW$2,$LZ$2,$LG$2)-SUM(COUNTIF(KW58:LZ58,{"I";"F";"CP";"R";"P";"AC";"AM"}))</f>
        <v>19</v>
      </c>
      <c r="OM58" s="138">
        <f t="shared" si="47"/>
        <v>0</v>
      </c>
      <c r="ON58" s="8">
        <f t="shared" si="48"/>
        <v>0</v>
      </c>
      <c r="OO58" s="32" cm="1">
        <f t="array" ref="OO58">NETWORKDAYS($MA$2,$MR$2)-SUM(COUNTIF(MA58:MR58,{"I";"F";"CP";"R";"P";"AC";"AM"}))</f>
        <v>14</v>
      </c>
      <c r="OP58" s="138">
        <f t="shared" si="49"/>
        <v>0</v>
      </c>
      <c r="OQ58" s="94">
        <f t="shared" si="50"/>
        <v>0</v>
      </c>
      <c r="OR58" s="94">
        <f t="shared" si="51"/>
        <v>240</v>
      </c>
      <c r="OS58" s="138">
        <f t="shared" si="52"/>
        <v>0</v>
      </c>
    </row>
    <row r="59" spans="1:409" ht="18" hidden="1" customHeight="1" x14ac:dyDescent="0.25">
      <c r="A59" s="95" t="s">
        <v>468</v>
      </c>
      <c r="B59" s="93" t="s">
        <v>34</v>
      </c>
      <c r="C59" s="89" t="s">
        <v>166</v>
      </c>
      <c r="D59" s="89" t="s">
        <v>239</v>
      </c>
      <c r="E59" s="128"/>
      <c r="F59" s="110"/>
      <c r="G59" s="110"/>
      <c r="H59" s="110"/>
      <c r="I59" s="25"/>
      <c r="J59" s="25"/>
      <c r="K59" s="25"/>
      <c r="L59" s="25"/>
      <c r="M59" s="25"/>
      <c r="N59" s="110"/>
      <c r="O59" s="110"/>
      <c r="P59" s="25"/>
      <c r="Q59" s="25"/>
      <c r="R59" s="25"/>
      <c r="S59" s="25"/>
      <c r="T59" s="25"/>
      <c r="U59" s="110"/>
      <c r="V59" s="110"/>
      <c r="W59" s="25"/>
      <c r="X59" s="25"/>
      <c r="Y59" s="25"/>
      <c r="Z59" s="25"/>
      <c r="AA59" s="25"/>
      <c r="AB59" s="110"/>
      <c r="AC59" s="110"/>
      <c r="AD59" s="25"/>
      <c r="AE59" s="25"/>
      <c r="AF59" s="25"/>
      <c r="AG59" s="25"/>
      <c r="AH59" s="25"/>
      <c r="AI59" s="110"/>
      <c r="AJ59" s="110"/>
      <c r="AK59" s="25"/>
      <c r="AL59" s="25"/>
      <c r="AM59" s="25"/>
      <c r="AN59" s="25"/>
      <c r="AO59" s="25"/>
      <c r="AP59" s="110"/>
      <c r="AQ59" s="110"/>
      <c r="AR59" s="25"/>
      <c r="AS59" s="25"/>
      <c r="AT59" s="25"/>
      <c r="AU59" s="25"/>
      <c r="AV59" s="25"/>
      <c r="AW59" s="110"/>
      <c r="AX59" s="110"/>
      <c r="AY59" s="25"/>
      <c r="AZ59" s="25"/>
      <c r="BA59" s="25"/>
      <c r="BB59" s="25"/>
      <c r="BC59" s="25"/>
      <c r="BD59" s="110"/>
      <c r="BE59" s="110"/>
      <c r="BF59" s="25"/>
      <c r="BG59" s="25"/>
      <c r="BH59" s="25"/>
      <c r="BI59" s="25"/>
      <c r="BJ59" s="25"/>
      <c r="BK59" s="110"/>
      <c r="BL59" s="110"/>
      <c r="BM59" s="25"/>
      <c r="BN59" s="25"/>
      <c r="BO59" s="25"/>
      <c r="BP59" s="25"/>
      <c r="BQ59" s="25"/>
      <c r="BR59" s="110"/>
      <c r="BS59" s="110"/>
      <c r="BT59" s="25"/>
      <c r="BU59" s="25"/>
      <c r="BV59" s="25"/>
      <c r="BW59" s="25"/>
      <c r="BX59" s="25"/>
      <c r="BY59" s="110"/>
      <c r="BZ59" s="110"/>
      <c r="CA59" s="25"/>
      <c r="CB59" s="25"/>
      <c r="CC59" s="25"/>
      <c r="CD59" s="25"/>
      <c r="CE59" s="25"/>
      <c r="CF59" s="110"/>
      <c r="CG59" s="110"/>
      <c r="CH59" s="25"/>
      <c r="CI59" s="25"/>
      <c r="CJ59" s="25"/>
      <c r="CK59" s="25"/>
      <c r="CL59" s="25"/>
      <c r="CM59" s="110"/>
      <c r="CN59" s="110"/>
      <c r="CO59" s="25"/>
      <c r="CP59" s="25"/>
      <c r="CQ59" s="25"/>
      <c r="CR59" s="25"/>
      <c r="CS59" s="25"/>
      <c r="CT59" s="110"/>
      <c r="CU59" s="110"/>
      <c r="CV59" s="110"/>
      <c r="CW59" s="25"/>
      <c r="CX59" s="25"/>
      <c r="CY59" s="25"/>
      <c r="CZ59" s="25"/>
      <c r="DA59" s="110"/>
      <c r="DB59" s="110"/>
      <c r="DC59" s="25"/>
      <c r="DD59" s="25"/>
      <c r="DE59" s="25"/>
      <c r="DF59" s="25"/>
      <c r="DG59" s="25"/>
      <c r="DH59" s="110"/>
      <c r="DI59" s="110"/>
      <c r="DJ59" s="25"/>
      <c r="DK59" s="25"/>
      <c r="DL59" s="25"/>
      <c r="DM59" s="25"/>
      <c r="DN59" s="25"/>
      <c r="DO59" s="110"/>
      <c r="DP59" s="110"/>
      <c r="DQ59" s="25"/>
      <c r="DR59" s="25"/>
      <c r="DS59" s="25"/>
      <c r="DT59" s="25"/>
      <c r="DU59" s="110"/>
      <c r="DV59" s="110"/>
      <c r="DW59" s="110"/>
      <c r="DX59" s="25"/>
      <c r="DY59" s="25"/>
      <c r="DZ59" s="25"/>
      <c r="EA59" s="25"/>
      <c r="EB59" s="110" t="s">
        <v>445</v>
      </c>
      <c r="EC59" s="110"/>
      <c r="ED59" s="110"/>
      <c r="EE59" s="25"/>
      <c r="EF59" s="25"/>
      <c r="EG59" s="25"/>
      <c r="EH59" s="110" t="s">
        <v>445</v>
      </c>
      <c r="EI59" s="110" t="s">
        <v>445</v>
      </c>
      <c r="EJ59" s="110"/>
      <c r="EK59" s="110"/>
      <c r="EL59" s="25"/>
      <c r="EM59" s="25"/>
      <c r="EN59" s="25"/>
      <c r="EO59" s="25"/>
      <c r="EP59" s="25"/>
      <c r="EQ59" s="110"/>
      <c r="ER59" s="110"/>
      <c r="ES59" s="110" t="s">
        <v>445</v>
      </c>
      <c r="ET59" s="25"/>
      <c r="EU59" s="25"/>
      <c r="EV59" s="25"/>
      <c r="EW59" s="25"/>
      <c r="EX59" s="110"/>
      <c r="EY59" s="110"/>
      <c r="EZ59" s="25"/>
      <c r="FA59" s="25"/>
      <c r="FB59" s="25"/>
      <c r="FC59" s="25"/>
      <c r="FD59" s="25"/>
      <c r="FE59" s="110"/>
      <c r="FF59" s="110"/>
      <c r="FG59" s="25"/>
      <c r="FH59" s="25"/>
      <c r="FI59" s="25"/>
      <c r="FJ59" s="25"/>
      <c r="FK59" s="25"/>
      <c r="FL59" s="110"/>
      <c r="FM59" s="110"/>
      <c r="FN59" s="25"/>
      <c r="FO59" s="25"/>
      <c r="FP59" s="25"/>
      <c r="FQ59" s="25"/>
      <c r="FR59" s="25"/>
      <c r="FS59" s="110"/>
      <c r="FT59" s="110"/>
      <c r="FU59" s="25"/>
      <c r="FV59" s="25"/>
      <c r="FW59" s="25"/>
      <c r="FX59" s="25"/>
      <c r="FY59" s="25"/>
      <c r="FZ59" s="110"/>
      <c r="GA59" s="110"/>
      <c r="GB59" s="25"/>
      <c r="GC59" s="25"/>
      <c r="GD59" s="25"/>
      <c r="GE59" s="25"/>
      <c r="GF59" s="25"/>
      <c r="GG59" s="110"/>
      <c r="GH59" s="110"/>
      <c r="GI59" s="25"/>
      <c r="GJ59" s="25"/>
      <c r="GK59" s="25"/>
      <c r="GL59" s="25"/>
      <c r="GM59" s="25"/>
      <c r="GN59" s="110"/>
      <c r="GO59" s="110"/>
      <c r="GP59" s="110"/>
      <c r="GQ59" s="110" t="s">
        <v>445</v>
      </c>
      <c r="GR59" s="25"/>
      <c r="GS59" s="25"/>
      <c r="GT59" s="25"/>
      <c r="GU59" s="110"/>
      <c r="GV59" s="110"/>
      <c r="GW59" s="25"/>
      <c r="GX59" s="25"/>
      <c r="GY59" s="25"/>
      <c r="GZ59" s="25"/>
      <c r="HA59" s="25"/>
      <c r="HB59" s="110"/>
      <c r="HC59" s="110"/>
      <c r="HD59" s="25"/>
      <c r="HE59" s="25"/>
      <c r="HF59" s="25"/>
      <c r="HG59" s="25"/>
      <c r="HH59" s="25"/>
      <c r="HI59" s="110"/>
      <c r="HJ59" s="110"/>
      <c r="HK59" s="25"/>
      <c r="HL59" s="25"/>
      <c r="HM59" s="25"/>
      <c r="HN59" s="25"/>
      <c r="HO59" s="25"/>
      <c r="HP59" s="110"/>
      <c r="HQ59" s="110"/>
      <c r="HR59" s="25"/>
      <c r="HS59" s="25"/>
      <c r="HT59" s="25"/>
      <c r="HU59" s="25"/>
      <c r="HV59" s="25"/>
      <c r="HW59" s="110"/>
      <c r="HX59" s="110"/>
      <c r="HY59" s="25"/>
      <c r="HZ59" s="25"/>
      <c r="IA59" s="25"/>
      <c r="IB59" s="25"/>
      <c r="IC59" s="25"/>
      <c r="ID59" s="110"/>
      <c r="IE59" s="110"/>
      <c r="IF59" s="25"/>
      <c r="IG59" s="25"/>
      <c r="IH59" s="25"/>
      <c r="II59" s="25"/>
      <c r="IJ59" s="25"/>
      <c r="IK59" s="110"/>
      <c r="IL59" s="110"/>
      <c r="IM59" s="25"/>
      <c r="IN59" s="25"/>
      <c r="IO59" s="25"/>
      <c r="IP59" s="25"/>
      <c r="IQ59" s="25"/>
      <c r="IR59" s="110"/>
      <c r="IS59" s="110"/>
      <c r="IT59" s="25"/>
      <c r="IU59" s="25"/>
      <c r="IV59" s="25"/>
      <c r="IW59" s="25"/>
      <c r="IX59" s="25"/>
      <c r="IY59" s="110"/>
      <c r="IZ59" s="110"/>
      <c r="JA59" s="25"/>
      <c r="JB59" s="25"/>
      <c r="JC59" s="25"/>
      <c r="JD59" s="25"/>
      <c r="JE59" s="25"/>
      <c r="JF59" s="110"/>
      <c r="JG59" s="110"/>
      <c r="JH59" s="25"/>
      <c r="JI59" s="25"/>
      <c r="JJ59" s="25"/>
      <c r="JK59" s="25"/>
      <c r="JL59" s="25"/>
      <c r="JM59" s="110"/>
      <c r="JN59" s="110"/>
      <c r="JO59" s="25"/>
      <c r="JP59" s="25"/>
      <c r="JQ59" s="25"/>
      <c r="JR59" s="25"/>
      <c r="JS59" s="25"/>
      <c r="JT59" s="110"/>
      <c r="JU59" s="110"/>
      <c r="JV59" s="25"/>
      <c r="JW59" s="25"/>
      <c r="JX59" s="25"/>
      <c r="JY59" s="25"/>
      <c r="JZ59" s="25"/>
      <c r="KA59" s="110"/>
      <c r="KB59" s="110"/>
      <c r="KC59" s="25"/>
      <c r="KD59" s="25"/>
      <c r="KE59" s="25"/>
      <c r="KF59" s="25"/>
      <c r="KG59" s="25"/>
      <c r="KH59" s="110"/>
      <c r="KI59" s="110"/>
      <c r="KJ59" s="25"/>
      <c r="KK59" s="25"/>
      <c r="KL59" s="25"/>
      <c r="KM59" s="25"/>
      <c r="KN59" s="25"/>
      <c r="KO59" s="110"/>
      <c r="KP59" s="110"/>
      <c r="KQ59" s="25"/>
      <c r="KR59" s="25"/>
      <c r="KS59" s="25"/>
      <c r="KT59" s="25"/>
      <c r="KU59" s="25"/>
      <c r="KV59" s="110"/>
      <c r="KW59" s="110"/>
      <c r="KX59" s="25"/>
      <c r="KY59" s="25"/>
      <c r="KZ59" s="25"/>
      <c r="LA59" s="25"/>
      <c r="LB59" s="25"/>
      <c r="LC59" s="110"/>
      <c r="LD59" s="110"/>
      <c r="LE59" s="25"/>
      <c r="LF59" s="25"/>
      <c r="LG59" s="110" t="s">
        <v>445</v>
      </c>
      <c r="LH59" s="25"/>
      <c r="LI59" s="25"/>
      <c r="LJ59" s="110"/>
      <c r="LK59" s="110"/>
      <c r="LL59" s="25"/>
      <c r="LM59" s="25"/>
      <c r="LN59" s="25"/>
      <c r="LO59" s="25"/>
      <c r="LP59" s="25"/>
      <c r="LQ59" s="110"/>
      <c r="LR59" s="110"/>
      <c r="LS59" s="25"/>
      <c r="LT59" s="25"/>
      <c r="LU59" s="25"/>
      <c r="LV59" s="25"/>
      <c r="LW59" s="25"/>
      <c r="LX59" s="110"/>
      <c r="LY59" s="110"/>
      <c r="LZ59" s="25"/>
      <c r="MA59" s="25"/>
      <c r="MB59" s="25"/>
      <c r="MC59" s="25"/>
      <c r="MD59" s="25"/>
      <c r="ME59" s="110"/>
      <c r="MF59" s="110"/>
      <c r="MG59" s="25"/>
      <c r="MH59" s="25"/>
      <c r="MI59" s="25"/>
      <c r="MJ59" s="25"/>
      <c r="MK59" s="25"/>
      <c r="ML59" s="110"/>
      <c r="MM59" s="110"/>
      <c r="MN59" s="25"/>
      <c r="MO59" s="25"/>
      <c r="MP59" s="25"/>
      <c r="MQ59" s="25"/>
      <c r="MR59" s="25"/>
      <c r="MS59" s="110"/>
      <c r="MT59" s="110"/>
      <c r="MU59" s="25"/>
      <c r="MV59" s="25"/>
      <c r="MW59" s="25"/>
      <c r="MX59" s="25"/>
      <c r="MY59" s="25"/>
      <c r="MZ59" s="110"/>
      <c r="NA59" s="110"/>
      <c r="NB59" s="25"/>
      <c r="NC59" s="25"/>
      <c r="ND59" s="25"/>
      <c r="NE59" s="129"/>
      <c r="NF59" s="111"/>
      <c r="NG59" s="8">
        <f t="shared" si="27"/>
        <v>0</v>
      </c>
      <c r="NH59" s="32" cm="1">
        <f t="array" ref="NH59">NETWORKDAYS($I$2,$AI$2)- SUM(COUNTIF(I59:AI59,{"I";"F";"CP";"R";"P";"AC";"AM"}))</f>
        <v>20</v>
      </c>
      <c r="NI59" s="138">
        <f t="shared" si="28"/>
        <v>0</v>
      </c>
      <c r="NJ59" s="8">
        <f t="shared" si="29"/>
        <v>0</v>
      </c>
      <c r="NK59" s="32" cm="1">
        <f t="array" ref="NK59">NETWORKDAYS($AJ$2,$BK$2)- SUM(COUNTIF(AJ59:BK59,{"I";"F";"CP";"R";"P";"AC";"AM"}))</f>
        <v>20</v>
      </c>
      <c r="NL59" s="138">
        <f t="shared" si="30"/>
        <v>0</v>
      </c>
      <c r="NM59" s="8">
        <f t="shared" si="31"/>
        <v>0</v>
      </c>
      <c r="NN59" s="32" cm="1">
        <f t="array" ref="NN59">NETWORKDAYS($BL$2,$CP$2)- SUM(COUNTIF(BL59:CP59,{"I";"F";"CP";"R";"P";"AC";"AM"}))</f>
        <v>22</v>
      </c>
      <c r="NO59" s="138">
        <f t="shared" si="32"/>
        <v>0</v>
      </c>
      <c r="NP59" s="32">
        <f t="shared" si="26"/>
        <v>0</v>
      </c>
      <c r="NQ59" s="32" cm="1">
        <f t="array" ref="NQ59">NETWORKDAYS($CQ$2,$DT$2,$CV$2)- SUM(COUNTIF(CQ59:DT59,{"I";"F";"CP";"R";"P";"AC";"AM"}))</f>
        <v>21</v>
      </c>
      <c r="NR59" s="138">
        <f t="shared" si="33"/>
        <v>0</v>
      </c>
      <c r="NS59" s="8">
        <f t="shared" si="34"/>
        <v>0</v>
      </c>
      <c r="NT59" s="32" cm="1">
        <f t="array" ref="NT59">NETWORKDAYS($DV$2,$EY$2)-SUM(COUNTIF(DV59:EY59,{"I";"F";"CP";"R";"P";"AC";"AM"}))</f>
        <v>16</v>
      </c>
      <c r="NU59" s="138">
        <f t="shared" si="35"/>
        <v>0</v>
      </c>
      <c r="NV59" s="8">
        <f t="shared" si="36"/>
        <v>0</v>
      </c>
      <c r="NW59" s="32" cm="1">
        <f t="array" ref="NW59">NETWORKDAYS($EZ$2,$GC$2)-SUM(COUNTIF(EZ139:GC139,{"I";"F";"CP";"R";"P";"AC";"AM"}))</f>
        <v>22</v>
      </c>
      <c r="NX59" s="138">
        <f t="shared" si="37"/>
        <v>0</v>
      </c>
      <c r="NY59" s="8">
        <f t="shared" si="38"/>
        <v>0</v>
      </c>
      <c r="NZ59" s="32" cm="1">
        <f t="array" ref="NZ59">NETWORKDAYS($GD$2,$HH$2,$GQ$2)-SUM(COUNTIF(GD59:HH59,{"I";"F";"CP";"R";"P";"AC";"AM"}))</f>
        <v>21</v>
      </c>
      <c r="OA59" s="138">
        <f t="shared" si="39"/>
        <v>0</v>
      </c>
      <c r="OB59" s="8">
        <f t="shared" si="40"/>
        <v>0</v>
      </c>
      <c r="OC59" s="32" cm="1">
        <f t="array" ref="OC59">NETWORKDAYS($HI$2,$IM$2)-SUM(COUNTIF(HI59:IM59,{"I";"F";"CP";"R";"P";"AC";"AM"}))</f>
        <v>21</v>
      </c>
      <c r="OD59" s="138">
        <f t="shared" si="41"/>
        <v>0</v>
      </c>
      <c r="OE59" s="8">
        <f t="shared" si="42"/>
        <v>0</v>
      </c>
      <c r="OF59" s="32" cm="1">
        <f t="array" ref="OF59">NETWORKDAYS($IN$2,$JQ$2)-SUM(COUNTIF(IN59:JQ59,{"I";"F";"CP";"R";"P";"AC";"AM"}))</f>
        <v>22</v>
      </c>
      <c r="OG59" s="138">
        <f t="shared" si="43"/>
        <v>0</v>
      </c>
      <c r="OH59" s="8">
        <f t="shared" si="44"/>
        <v>0</v>
      </c>
      <c r="OI59" s="32" cm="1">
        <f t="array" ref="OI59">NETWORKDAYS($JR$2,$KV$2)-SUM(COUNTIF(JR59:KV59,{"I";"F";"CP";"R";"P";"AC";"AM"}))</f>
        <v>22</v>
      </c>
      <c r="OJ59" s="138">
        <f t="shared" si="45"/>
        <v>0</v>
      </c>
      <c r="OK59" s="8">
        <f t="shared" si="46"/>
        <v>0</v>
      </c>
      <c r="OL59" s="32" cm="1">
        <f t="array" ref="OL59">NETWORKDAYS($KW$2,$LZ$2,$LG$2)-SUM(COUNTIF(KW59:LZ59,{"I";"F";"CP";"R";"P";"AC";"AM"}))</f>
        <v>19</v>
      </c>
      <c r="OM59" s="138">
        <f t="shared" si="47"/>
        <v>0</v>
      </c>
      <c r="ON59" s="8">
        <f t="shared" si="48"/>
        <v>0</v>
      </c>
      <c r="OO59" s="32" cm="1">
        <f t="array" ref="OO59">NETWORKDAYS($MA$2,$MR$2)-SUM(COUNTIF(MA59:MR59,{"I";"F";"CP";"R";"P";"AC";"AM"}))</f>
        <v>14</v>
      </c>
      <c r="OP59" s="138">
        <f t="shared" si="49"/>
        <v>0</v>
      </c>
      <c r="OQ59" s="94">
        <f t="shared" si="50"/>
        <v>0</v>
      </c>
      <c r="OR59" s="94">
        <f t="shared" si="51"/>
        <v>240</v>
      </c>
      <c r="OS59" s="138">
        <f t="shared" si="52"/>
        <v>0</v>
      </c>
    </row>
    <row r="60" spans="1:409" ht="18" customHeight="1" x14ac:dyDescent="0.25">
      <c r="A60" s="95" t="s">
        <v>178</v>
      </c>
      <c r="B60" s="95" t="s">
        <v>179</v>
      </c>
      <c r="C60" s="89" t="s">
        <v>240</v>
      </c>
      <c r="D60" s="89" t="s">
        <v>241</v>
      </c>
      <c r="E60" s="128"/>
      <c r="F60" s="110"/>
      <c r="G60" s="110"/>
      <c r="H60" s="110"/>
      <c r="I60" s="25" t="s">
        <v>248</v>
      </c>
      <c r="J60" s="25" t="s">
        <v>248</v>
      </c>
      <c r="K60" s="25" t="s">
        <v>248</v>
      </c>
      <c r="L60" s="25" t="s">
        <v>248</v>
      </c>
      <c r="M60" s="25" t="s">
        <v>248</v>
      </c>
      <c r="N60" s="110"/>
      <c r="O60" s="110"/>
      <c r="P60" s="25" t="s">
        <v>276</v>
      </c>
      <c r="Q60" s="25" t="s">
        <v>276</v>
      </c>
      <c r="R60" s="25" t="s">
        <v>276</v>
      </c>
      <c r="S60" s="25" t="s">
        <v>276</v>
      </c>
      <c r="T60" s="25" t="s">
        <v>276</v>
      </c>
      <c r="U60" s="110"/>
      <c r="V60" s="110"/>
      <c r="W60" s="25" t="s">
        <v>276</v>
      </c>
      <c r="X60" s="25" t="s">
        <v>276</v>
      </c>
      <c r="Y60" s="25" t="s">
        <v>276</v>
      </c>
      <c r="Z60" s="25" t="s">
        <v>276</v>
      </c>
      <c r="AA60" s="25" t="s">
        <v>276</v>
      </c>
      <c r="AB60" s="110"/>
      <c r="AC60" s="110"/>
      <c r="AD60" s="25" t="s">
        <v>276</v>
      </c>
      <c r="AE60" s="25" t="s">
        <v>276</v>
      </c>
      <c r="AF60" s="25" t="s">
        <v>276</v>
      </c>
      <c r="AG60" s="25" t="s">
        <v>276</v>
      </c>
      <c r="AH60" s="25" t="s">
        <v>276</v>
      </c>
      <c r="AI60" s="110"/>
      <c r="AJ60" s="110"/>
      <c r="AK60" s="25" t="s">
        <v>276</v>
      </c>
      <c r="AL60" s="25" t="s">
        <v>276</v>
      </c>
      <c r="AM60" s="25" t="s">
        <v>276</v>
      </c>
      <c r="AN60" s="25" t="s">
        <v>276</v>
      </c>
      <c r="AO60" s="25" t="s">
        <v>276</v>
      </c>
      <c r="AP60" s="110"/>
      <c r="AQ60" s="110"/>
      <c r="AR60" s="25" t="s">
        <v>276</v>
      </c>
      <c r="AS60" s="25" t="s">
        <v>276</v>
      </c>
      <c r="AT60" s="25" t="s">
        <v>276</v>
      </c>
      <c r="AU60" s="25" t="s">
        <v>276</v>
      </c>
      <c r="AV60" s="25" t="s">
        <v>276</v>
      </c>
      <c r="AW60" s="110"/>
      <c r="AX60" s="110"/>
      <c r="AY60" s="25"/>
      <c r="AZ60" s="25"/>
      <c r="BA60" s="25"/>
      <c r="BB60" s="25"/>
      <c r="BC60" s="25">
        <v>1</v>
      </c>
      <c r="BD60" s="110"/>
      <c r="BE60" s="110"/>
      <c r="BF60" s="25">
        <v>1</v>
      </c>
      <c r="BG60" s="25">
        <v>1</v>
      </c>
      <c r="BH60" s="25">
        <v>1</v>
      </c>
      <c r="BI60" s="25">
        <v>1</v>
      </c>
      <c r="BJ60" s="25">
        <v>1</v>
      </c>
      <c r="BK60" s="110"/>
      <c r="BL60" s="110"/>
      <c r="BM60" s="25">
        <v>1</v>
      </c>
      <c r="BN60" s="25">
        <v>1</v>
      </c>
      <c r="BO60" s="25">
        <v>1</v>
      </c>
      <c r="BP60" s="25">
        <v>1</v>
      </c>
      <c r="BQ60" s="25"/>
      <c r="BR60" s="110"/>
      <c r="BS60" s="110"/>
      <c r="BT60" s="25">
        <v>1</v>
      </c>
      <c r="BU60" s="25">
        <v>1</v>
      </c>
      <c r="BV60" s="25"/>
      <c r="BW60" s="25" t="s">
        <v>162</v>
      </c>
      <c r="BX60" s="25" t="s">
        <v>162</v>
      </c>
      <c r="BY60" s="110"/>
      <c r="BZ60" s="110"/>
      <c r="CA60" s="25" t="s">
        <v>162</v>
      </c>
      <c r="CB60" s="25" t="s">
        <v>162</v>
      </c>
      <c r="CC60" s="25" t="s">
        <v>162</v>
      </c>
      <c r="CD60" s="25" t="s">
        <v>162</v>
      </c>
      <c r="CE60" s="25" t="s">
        <v>162</v>
      </c>
      <c r="CF60" s="110"/>
      <c r="CG60" s="110"/>
      <c r="CH60" s="25" t="s">
        <v>162</v>
      </c>
      <c r="CI60" s="25" t="s">
        <v>162</v>
      </c>
      <c r="CJ60" s="25" t="s">
        <v>162</v>
      </c>
      <c r="CK60" s="25" t="s">
        <v>162</v>
      </c>
      <c r="CL60" s="25" t="s">
        <v>162</v>
      </c>
      <c r="CM60" s="110"/>
      <c r="CN60" s="110"/>
      <c r="CO60" s="25" t="s">
        <v>162</v>
      </c>
      <c r="CP60" s="25"/>
      <c r="CQ60" s="25" t="s">
        <v>162</v>
      </c>
      <c r="CR60" s="25" t="s">
        <v>162</v>
      </c>
      <c r="CS60" s="25" t="s">
        <v>162</v>
      </c>
      <c r="CT60" s="110"/>
      <c r="CU60" s="110"/>
      <c r="CV60" s="110"/>
      <c r="CW60" s="25" t="s">
        <v>162</v>
      </c>
      <c r="CX60" s="25" t="s">
        <v>162</v>
      </c>
      <c r="CY60" s="25" t="s">
        <v>162</v>
      </c>
      <c r="CZ60" s="25" t="s">
        <v>162</v>
      </c>
      <c r="DA60" s="110"/>
      <c r="DB60" s="110"/>
      <c r="DC60" s="25" t="s">
        <v>162</v>
      </c>
      <c r="DD60" s="25" t="s">
        <v>162</v>
      </c>
      <c r="DE60" s="25" t="s">
        <v>162</v>
      </c>
      <c r="DF60" s="25" t="s">
        <v>162</v>
      </c>
      <c r="DG60" s="25" t="s">
        <v>162</v>
      </c>
      <c r="DH60" s="110"/>
      <c r="DI60" s="110"/>
      <c r="DJ60" s="25" t="s">
        <v>162</v>
      </c>
      <c r="DK60" s="25" t="s">
        <v>162</v>
      </c>
      <c r="DL60" s="25" t="s">
        <v>162</v>
      </c>
      <c r="DM60" s="25" t="s">
        <v>162</v>
      </c>
      <c r="DN60" s="25" t="s">
        <v>162</v>
      </c>
      <c r="DO60" s="110"/>
      <c r="DP60" s="110"/>
      <c r="DQ60" s="25" t="s">
        <v>162</v>
      </c>
      <c r="DR60" s="25" t="s">
        <v>162</v>
      </c>
      <c r="DS60" s="25" t="s">
        <v>162</v>
      </c>
      <c r="DT60" s="25" t="s">
        <v>162</v>
      </c>
      <c r="DU60" s="110"/>
      <c r="DV60" s="110"/>
      <c r="DW60" s="110"/>
      <c r="DX60" s="25"/>
      <c r="DY60" s="25"/>
      <c r="DZ60" s="25"/>
      <c r="EA60" s="25"/>
      <c r="EB60" s="110" t="s">
        <v>445</v>
      </c>
      <c r="EC60" s="110"/>
      <c r="ED60" s="110"/>
      <c r="EE60" s="25"/>
      <c r="EF60" s="25"/>
      <c r="EG60" s="25"/>
      <c r="EH60" s="110" t="s">
        <v>445</v>
      </c>
      <c r="EI60" s="110" t="s">
        <v>445</v>
      </c>
      <c r="EJ60" s="110"/>
      <c r="EK60" s="110"/>
      <c r="EL60" s="25"/>
      <c r="EM60" s="25"/>
      <c r="EN60" s="25"/>
      <c r="EO60" s="25"/>
      <c r="EP60" s="25"/>
      <c r="EQ60" s="110"/>
      <c r="ER60" s="110"/>
      <c r="ES60" s="110" t="s">
        <v>445</v>
      </c>
      <c r="ET60" s="25"/>
      <c r="EU60" s="25"/>
      <c r="EV60" s="25"/>
      <c r="EW60" s="25"/>
      <c r="EX60" s="110"/>
      <c r="EY60" s="110"/>
      <c r="EZ60" s="25"/>
      <c r="FA60" s="25"/>
      <c r="FB60" s="25"/>
      <c r="FC60" s="25"/>
      <c r="FD60" s="25"/>
      <c r="FE60" s="110"/>
      <c r="FF60" s="110"/>
      <c r="FG60" s="25"/>
      <c r="FH60" s="25"/>
      <c r="FI60" s="25"/>
      <c r="FJ60" s="25"/>
      <c r="FK60" s="25"/>
      <c r="FL60" s="110"/>
      <c r="FM60" s="110"/>
      <c r="FN60" s="25"/>
      <c r="FO60" s="25"/>
      <c r="FP60" s="25"/>
      <c r="FQ60" s="25"/>
      <c r="FR60" s="25"/>
      <c r="FS60" s="110"/>
      <c r="FT60" s="110"/>
      <c r="FU60" s="25"/>
      <c r="FV60" s="25"/>
      <c r="FW60" s="25"/>
      <c r="FX60" s="25"/>
      <c r="FY60" s="25"/>
      <c r="FZ60" s="110"/>
      <c r="GA60" s="110"/>
      <c r="GB60" s="25"/>
      <c r="GC60" s="25"/>
      <c r="GD60" s="25"/>
      <c r="GE60" s="25"/>
      <c r="GF60" s="25"/>
      <c r="GG60" s="110"/>
      <c r="GH60" s="110"/>
      <c r="GI60" s="25"/>
      <c r="GJ60" s="25"/>
      <c r="GK60" s="25"/>
      <c r="GL60" s="25"/>
      <c r="GM60" s="25"/>
      <c r="GN60" s="110"/>
      <c r="GO60" s="110"/>
      <c r="GP60" s="110"/>
      <c r="GQ60" s="110" t="s">
        <v>445</v>
      </c>
      <c r="GR60" s="25"/>
      <c r="GS60" s="25"/>
      <c r="GT60" s="25"/>
      <c r="GU60" s="110"/>
      <c r="GV60" s="110"/>
      <c r="GW60" s="25"/>
      <c r="GX60" s="25"/>
      <c r="GY60" s="25"/>
      <c r="GZ60" s="25"/>
      <c r="HA60" s="25"/>
      <c r="HB60" s="110"/>
      <c r="HC60" s="110"/>
      <c r="HD60" s="25"/>
      <c r="HE60" s="25"/>
      <c r="HF60" s="25"/>
      <c r="HG60" s="25"/>
      <c r="HH60" s="25"/>
      <c r="HI60" s="110"/>
      <c r="HJ60" s="110"/>
      <c r="HK60" s="25"/>
      <c r="HL60" s="25"/>
      <c r="HM60" s="25"/>
      <c r="HN60" s="25"/>
      <c r="HO60" s="25"/>
      <c r="HP60" s="110"/>
      <c r="HQ60" s="110"/>
      <c r="HR60" s="25"/>
      <c r="HS60" s="25"/>
      <c r="HT60" s="25"/>
      <c r="HU60" s="25"/>
      <c r="HV60" s="25"/>
      <c r="HW60" s="110"/>
      <c r="HX60" s="110"/>
      <c r="HY60" s="25"/>
      <c r="HZ60" s="25"/>
      <c r="IA60" s="25"/>
      <c r="IB60" s="25"/>
      <c r="IC60" s="25"/>
      <c r="ID60" s="110"/>
      <c r="IE60" s="110"/>
      <c r="IF60" s="25"/>
      <c r="IG60" s="25"/>
      <c r="IH60" s="25"/>
      <c r="II60" s="25"/>
      <c r="IJ60" s="25"/>
      <c r="IK60" s="110"/>
      <c r="IL60" s="110"/>
      <c r="IM60" s="25"/>
      <c r="IN60" s="25"/>
      <c r="IO60" s="25"/>
      <c r="IP60" s="25"/>
      <c r="IQ60" s="25"/>
      <c r="IR60" s="110"/>
      <c r="IS60" s="110"/>
      <c r="IT60" s="25"/>
      <c r="IU60" s="25"/>
      <c r="IV60" s="25"/>
      <c r="IW60" s="25"/>
      <c r="IX60" s="25"/>
      <c r="IY60" s="110"/>
      <c r="IZ60" s="110"/>
      <c r="JA60" s="25"/>
      <c r="JB60" s="25"/>
      <c r="JC60" s="25"/>
      <c r="JD60" s="25"/>
      <c r="JE60" s="25"/>
      <c r="JF60" s="110"/>
      <c r="JG60" s="110"/>
      <c r="JH60" s="25"/>
      <c r="JI60" s="25"/>
      <c r="JJ60" s="25"/>
      <c r="JK60" s="25"/>
      <c r="JL60" s="25"/>
      <c r="JM60" s="110"/>
      <c r="JN60" s="110"/>
      <c r="JO60" s="25"/>
      <c r="JP60" s="25"/>
      <c r="JQ60" s="25"/>
      <c r="JR60" s="25"/>
      <c r="JS60" s="25"/>
      <c r="JT60" s="110"/>
      <c r="JU60" s="110"/>
      <c r="JV60" s="25"/>
      <c r="JW60" s="25"/>
      <c r="JX60" s="25"/>
      <c r="JY60" s="25"/>
      <c r="JZ60" s="25"/>
      <c r="KA60" s="110"/>
      <c r="KB60" s="110"/>
      <c r="KC60" s="25"/>
      <c r="KD60" s="25"/>
      <c r="KE60" s="25"/>
      <c r="KF60" s="25"/>
      <c r="KG60" s="25"/>
      <c r="KH60" s="110"/>
      <c r="KI60" s="110"/>
      <c r="KJ60" s="25"/>
      <c r="KK60" s="25"/>
      <c r="KL60" s="25"/>
      <c r="KM60" s="25"/>
      <c r="KN60" s="25"/>
      <c r="KO60" s="110"/>
      <c r="KP60" s="110"/>
      <c r="KQ60" s="25"/>
      <c r="KR60" s="25"/>
      <c r="KS60" s="25"/>
      <c r="KT60" s="25"/>
      <c r="KU60" s="25"/>
      <c r="KV60" s="110"/>
      <c r="KW60" s="110"/>
      <c r="KX60" s="25"/>
      <c r="KY60" s="25"/>
      <c r="KZ60" s="25"/>
      <c r="LA60" s="25"/>
      <c r="LB60" s="25"/>
      <c r="LC60" s="110"/>
      <c r="LD60" s="110"/>
      <c r="LE60" s="25"/>
      <c r="LF60" s="25"/>
      <c r="LG60" s="110" t="s">
        <v>445</v>
      </c>
      <c r="LH60" s="25"/>
      <c r="LI60" s="25"/>
      <c r="LJ60" s="110"/>
      <c r="LK60" s="110"/>
      <c r="LL60" s="25"/>
      <c r="LM60" s="25"/>
      <c r="LN60" s="25"/>
      <c r="LO60" s="25"/>
      <c r="LP60" s="25"/>
      <c r="LQ60" s="110"/>
      <c r="LR60" s="110"/>
      <c r="LS60" s="25"/>
      <c r="LT60" s="25"/>
      <c r="LU60" s="25"/>
      <c r="LV60" s="25"/>
      <c r="LW60" s="25"/>
      <c r="LX60" s="110"/>
      <c r="LY60" s="110"/>
      <c r="LZ60" s="25"/>
      <c r="MA60" s="25"/>
      <c r="MB60" s="25"/>
      <c r="MC60" s="25"/>
      <c r="MD60" s="25"/>
      <c r="ME60" s="110"/>
      <c r="MF60" s="110"/>
      <c r="MG60" s="25"/>
      <c r="MH60" s="25"/>
      <c r="MI60" s="25"/>
      <c r="MJ60" s="25"/>
      <c r="MK60" s="25"/>
      <c r="ML60" s="110"/>
      <c r="MM60" s="110"/>
      <c r="MN60" s="25"/>
      <c r="MO60" s="25"/>
      <c r="MP60" s="25"/>
      <c r="MQ60" s="25"/>
      <c r="MR60" s="25"/>
      <c r="MS60" s="110"/>
      <c r="MT60" s="110"/>
      <c r="MU60" s="25"/>
      <c r="MV60" s="25"/>
      <c r="MW60" s="25"/>
      <c r="MX60" s="25"/>
      <c r="MY60" s="25"/>
      <c r="MZ60" s="110"/>
      <c r="NA60" s="110"/>
      <c r="NB60" s="25"/>
      <c r="NC60" s="25"/>
      <c r="ND60" s="25"/>
      <c r="NE60" s="129"/>
      <c r="NF60" s="111"/>
      <c r="NG60" s="8">
        <f t="shared" si="27"/>
        <v>0</v>
      </c>
      <c r="NH60" s="32" cm="1">
        <f t="array" ref="NH60">NETWORKDAYS($I$2,$AI$2)- SUM(COUNTIF(I60:AI60,{"I";"F";"CP";"R";"P";"AC";"AM"}))</f>
        <v>5</v>
      </c>
      <c r="NI60" s="138">
        <f t="shared" si="28"/>
        <v>0</v>
      </c>
      <c r="NJ60" s="8">
        <f t="shared" si="29"/>
        <v>6</v>
      </c>
      <c r="NK60" s="32" cm="1">
        <f t="array" ref="NK60">NETWORKDAYS($AJ$2,$BK$2)- SUM(COUNTIF(AJ60:BK60,{"I";"F";"CP";"R";"P";"AC";"AM"}))</f>
        <v>10</v>
      </c>
      <c r="NL60" s="138">
        <f t="shared" si="30"/>
        <v>0.6</v>
      </c>
      <c r="NM60" s="8">
        <f t="shared" si="31"/>
        <v>6</v>
      </c>
      <c r="NN60" s="32" cm="1">
        <f t="array" ref="NN60">NETWORKDAYS($BL$2,$CP$2)- SUM(COUNTIF(BL60:CP60,{"I";"F";"CP";"R";"P";"AC";"AM"}))</f>
        <v>9</v>
      </c>
      <c r="NO60" s="138">
        <f t="shared" si="32"/>
        <v>0.66666666666666663</v>
      </c>
      <c r="NP60" s="8">
        <f t="shared" si="26"/>
        <v>0</v>
      </c>
      <c r="NQ60" s="32" cm="1">
        <f t="array" ref="NQ60">NETWORKDAYS($CQ$2,$DT$2,$CV$2)- SUM(COUNTIF(CQ60:DT60,{"I";"F";"CP";"R";"P";"AC";"AM"}))</f>
        <v>0</v>
      </c>
      <c r="NR60" s="138" t="e">
        <f t="shared" si="33"/>
        <v>#DIV/0!</v>
      </c>
      <c r="NS60" s="8">
        <f t="shared" si="34"/>
        <v>0</v>
      </c>
      <c r="NT60" s="32" cm="1">
        <f t="array" ref="NT60">NETWORKDAYS($DV$2,$EY$2)-SUM(COUNTIF(DV60:EY60,{"I";"F";"CP";"R";"P";"AC";"AM"}))</f>
        <v>16</v>
      </c>
      <c r="NU60" s="138">
        <f t="shared" si="35"/>
        <v>0</v>
      </c>
      <c r="NV60" s="8">
        <f t="shared" si="36"/>
        <v>0</v>
      </c>
      <c r="NW60" s="32" cm="1">
        <f t="array" ref="NW60">NETWORKDAYS($EZ$2,$GC$2)-SUM(COUNTIF(EZ140:GC140,{"I";"F";"CP";"R";"P";"AC";"AM"}))</f>
        <v>22</v>
      </c>
      <c r="NX60" s="138">
        <f t="shared" si="37"/>
        <v>0</v>
      </c>
      <c r="NY60" s="8">
        <f t="shared" si="38"/>
        <v>0</v>
      </c>
      <c r="NZ60" s="32" cm="1">
        <f t="array" ref="NZ60">NETWORKDAYS($GD$2,$HH$2,$GQ$2)-SUM(COUNTIF(GD60:HH60,{"I";"F";"CP";"R";"P";"AC";"AM"}))</f>
        <v>21</v>
      </c>
      <c r="OA60" s="138">
        <f t="shared" si="39"/>
        <v>0</v>
      </c>
      <c r="OB60" s="8">
        <f t="shared" si="40"/>
        <v>0</v>
      </c>
      <c r="OC60" s="32" cm="1">
        <f t="array" ref="OC60">NETWORKDAYS($HI$2,$IM$2)-SUM(COUNTIF(HI60:IM60,{"I";"F";"CP";"R";"P";"AC";"AM"}))</f>
        <v>21</v>
      </c>
      <c r="OD60" s="138">
        <f t="shared" si="41"/>
        <v>0</v>
      </c>
      <c r="OE60" s="8">
        <f t="shared" si="42"/>
        <v>0</v>
      </c>
      <c r="OF60" s="32" cm="1">
        <f t="array" ref="OF60">NETWORKDAYS($IN$2,$JQ$2)-SUM(COUNTIF(IN60:JQ60,{"I";"F";"CP";"R";"P";"AC";"AM"}))</f>
        <v>22</v>
      </c>
      <c r="OG60" s="138">
        <f t="shared" si="43"/>
        <v>0</v>
      </c>
      <c r="OH60" s="8">
        <f t="shared" si="44"/>
        <v>0</v>
      </c>
      <c r="OI60" s="32" cm="1">
        <f t="array" ref="OI60">NETWORKDAYS($JR$2,$KV$2)-SUM(COUNTIF(JR60:KV60,{"I";"F";"CP";"R";"P";"AC";"AM"}))</f>
        <v>22</v>
      </c>
      <c r="OJ60" s="138">
        <f t="shared" si="45"/>
        <v>0</v>
      </c>
      <c r="OK60" s="8">
        <f t="shared" si="46"/>
        <v>0</v>
      </c>
      <c r="OL60" s="32" cm="1">
        <f t="array" ref="OL60">NETWORKDAYS($KW$2,$LZ$2,$LG$2)-SUM(COUNTIF(KW60:LZ60,{"I";"F";"CP";"R";"P";"AC";"AM"}))</f>
        <v>19</v>
      </c>
      <c r="OM60" s="138">
        <f t="shared" si="47"/>
        <v>0</v>
      </c>
      <c r="ON60" s="8">
        <f t="shared" si="48"/>
        <v>0</v>
      </c>
      <c r="OO60" s="32" cm="1">
        <f t="array" ref="OO60">NETWORKDAYS($MA$2,$MR$2)-SUM(COUNTIF(MA60:MR60,{"I";"F";"CP";"R";"P";"AC";"AM"}))</f>
        <v>14</v>
      </c>
      <c r="OP60" s="138">
        <f t="shared" si="49"/>
        <v>0</v>
      </c>
      <c r="OQ60" s="94">
        <f t="shared" si="50"/>
        <v>12</v>
      </c>
      <c r="OR60" s="94">
        <f t="shared" si="51"/>
        <v>181</v>
      </c>
      <c r="OS60" s="138">
        <f t="shared" si="52"/>
        <v>6.6298342541436461E-2</v>
      </c>
    </row>
    <row r="61" spans="1:409" ht="18" customHeight="1" x14ac:dyDescent="0.25">
      <c r="A61" s="97" t="s">
        <v>178</v>
      </c>
      <c r="B61" s="95" t="s">
        <v>34</v>
      </c>
      <c r="C61" s="89" t="s">
        <v>188</v>
      </c>
      <c r="D61" s="108" t="s">
        <v>242</v>
      </c>
      <c r="E61" s="128"/>
      <c r="F61" s="110"/>
      <c r="G61" s="110"/>
      <c r="H61" s="110"/>
      <c r="I61" s="25" t="s">
        <v>248</v>
      </c>
      <c r="J61" s="25" t="s">
        <v>248</v>
      </c>
      <c r="K61" s="25" t="s">
        <v>248</v>
      </c>
      <c r="L61" s="25" t="s">
        <v>248</v>
      </c>
      <c r="M61" s="25" t="s">
        <v>248</v>
      </c>
      <c r="N61" s="110"/>
      <c r="O61" s="110"/>
      <c r="P61" s="25">
        <v>1</v>
      </c>
      <c r="Q61" s="25">
        <v>1</v>
      </c>
      <c r="R61" s="25">
        <v>1</v>
      </c>
      <c r="S61" s="25">
        <v>1</v>
      </c>
      <c r="T61" s="25"/>
      <c r="U61" s="110"/>
      <c r="V61" s="110"/>
      <c r="W61" s="25">
        <v>1</v>
      </c>
      <c r="X61" s="25">
        <v>1</v>
      </c>
      <c r="Y61" s="25">
        <v>1</v>
      </c>
      <c r="Z61" s="25"/>
      <c r="AA61" s="25"/>
      <c r="AB61" s="110"/>
      <c r="AC61" s="110"/>
      <c r="AD61" s="25">
        <v>1</v>
      </c>
      <c r="AE61" s="25">
        <v>1</v>
      </c>
      <c r="AF61" s="25"/>
      <c r="AG61" s="25"/>
      <c r="AH61" s="25"/>
      <c r="AI61" s="110"/>
      <c r="AJ61" s="110"/>
      <c r="AK61" s="25"/>
      <c r="AL61" s="25">
        <v>1</v>
      </c>
      <c r="AM61" s="25">
        <v>1</v>
      </c>
      <c r="AN61" s="25"/>
      <c r="AO61" s="25"/>
      <c r="AP61" s="110"/>
      <c r="AQ61" s="110"/>
      <c r="AR61" s="25"/>
      <c r="AS61" s="25"/>
      <c r="AT61" s="25">
        <v>1</v>
      </c>
      <c r="AU61" s="25">
        <v>1</v>
      </c>
      <c r="AV61" s="25">
        <v>1</v>
      </c>
      <c r="AW61" s="110"/>
      <c r="AX61" s="110"/>
      <c r="AY61" s="25">
        <v>1</v>
      </c>
      <c r="AZ61" s="25">
        <v>1</v>
      </c>
      <c r="BA61" s="25">
        <v>1</v>
      </c>
      <c r="BB61" s="25">
        <v>1</v>
      </c>
      <c r="BC61" s="25">
        <v>1</v>
      </c>
      <c r="BD61" s="110"/>
      <c r="BE61" s="110"/>
      <c r="BF61" s="25"/>
      <c r="BG61" s="25"/>
      <c r="BH61" s="25"/>
      <c r="BI61" s="25"/>
      <c r="BJ61" s="25"/>
      <c r="BK61" s="110"/>
      <c r="BL61" s="110"/>
      <c r="BM61" s="25"/>
      <c r="BN61" s="25"/>
      <c r="BO61" s="25"/>
      <c r="BP61" s="25"/>
      <c r="BQ61" s="25"/>
      <c r="BR61" s="110"/>
      <c r="BS61" s="110"/>
      <c r="BT61" s="25"/>
      <c r="BU61" s="25">
        <v>1</v>
      </c>
      <c r="BV61" s="25"/>
      <c r="BW61" s="25" t="s">
        <v>447</v>
      </c>
      <c r="BX61" s="25" t="s">
        <v>447</v>
      </c>
      <c r="BY61" s="110"/>
      <c r="BZ61" s="110"/>
      <c r="CA61" s="25">
        <v>1</v>
      </c>
      <c r="CB61" s="25"/>
      <c r="CC61" s="25">
        <v>1</v>
      </c>
      <c r="CD61" s="25"/>
      <c r="CE61" s="25"/>
      <c r="CF61" s="110"/>
      <c r="CG61" s="110"/>
      <c r="CH61" s="25"/>
      <c r="CI61" s="25"/>
      <c r="CJ61" s="25"/>
      <c r="CK61" s="25">
        <v>1</v>
      </c>
      <c r="CL61" s="25">
        <v>1</v>
      </c>
      <c r="CM61" s="110"/>
      <c r="CN61" s="110"/>
      <c r="CO61" s="25"/>
      <c r="CP61" s="25">
        <v>1</v>
      </c>
      <c r="CQ61" s="25">
        <v>1</v>
      </c>
      <c r="CR61" s="25">
        <v>1</v>
      </c>
      <c r="CS61" s="25"/>
      <c r="CT61" s="110"/>
      <c r="CU61" s="110"/>
      <c r="CV61" s="110"/>
      <c r="CW61" s="25"/>
      <c r="CX61" s="25"/>
      <c r="CY61" s="25"/>
      <c r="CZ61" s="25"/>
      <c r="DA61" s="110"/>
      <c r="DB61" s="110"/>
      <c r="DC61" s="25" t="s">
        <v>223</v>
      </c>
      <c r="DD61" s="25" t="s">
        <v>223</v>
      </c>
      <c r="DE61" s="25"/>
      <c r="DF61" s="25">
        <v>1</v>
      </c>
      <c r="DG61" s="25">
        <v>1</v>
      </c>
      <c r="DH61" s="110"/>
      <c r="DI61" s="110"/>
      <c r="DJ61" s="25"/>
      <c r="DK61" s="25"/>
      <c r="DL61" s="25"/>
      <c r="DM61" s="25">
        <v>1</v>
      </c>
      <c r="DN61" s="25">
        <v>1</v>
      </c>
      <c r="DO61" s="110"/>
      <c r="DP61" s="110"/>
      <c r="DQ61" s="25">
        <v>1</v>
      </c>
      <c r="DR61" s="25">
        <v>1</v>
      </c>
      <c r="DS61" s="25"/>
      <c r="DT61" s="25"/>
      <c r="DU61" s="110"/>
      <c r="DV61" s="110"/>
      <c r="DW61" s="110"/>
      <c r="DX61" s="25"/>
      <c r="DY61" s="25"/>
      <c r="DZ61" s="25"/>
      <c r="EA61" s="25"/>
      <c r="EB61" s="110" t="s">
        <v>445</v>
      </c>
      <c r="EC61" s="110"/>
      <c r="ED61" s="110"/>
      <c r="EE61" s="25"/>
      <c r="EF61" s="25"/>
      <c r="EG61" s="25"/>
      <c r="EH61" s="110" t="s">
        <v>445</v>
      </c>
      <c r="EI61" s="110" t="s">
        <v>445</v>
      </c>
      <c r="EJ61" s="110"/>
      <c r="EK61" s="110"/>
      <c r="EL61" s="25"/>
      <c r="EM61" s="25"/>
      <c r="EN61" s="25"/>
      <c r="EO61" s="25"/>
      <c r="EP61" s="25"/>
      <c r="EQ61" s="110"/>
      <c r="ER61" s="110"/>
      <c r="ES61" s="110" t="s">
        <v>445</v>
      </c>
      <c r="ET61" s="25"/>
      <c r="EU61" s="25"/>
      <c r="EV61" s="25"/>
      <c r="EW61" s="25"/>
      <c r="EX61" s="110"/>
      <c r="EY61" s="110"/>
      <c r="EZ61" s="25"/>
      <c r="FA61" s="25"/>
      <c r="FB61" s="25"/>
      <c r="FC61" s="25"/>
      <c r="FD61" s="25"/>
      <c r="FE61" s="110"/>
      <c r="FF61" s="110"/>
      <c r="FG61" s="25"/>
      <c r="FH61" s="25"/>
      <c r="FI61" s="25"/>
      <c r="FJ61" s="25"/>
      <c r="FK61" s="25"/>
      <c r="FL61" s="110"/>
      <c r="FM61" s="110"/>
      <c r="FN61" s="25"/>
      <c r="FO61" s="25"/>
      <c r="FP61" s="25"/>
      <c r="FQ61" s="25"/>
      <c r="FR61" s="25"/>
      <c r="FS61" s="110"/>
      <c r="FT61" s="110"/>
      <c r="FU61" s="25"/>
      <c r="FV61" s="25"/>
      <c r="FW61" s="25"/>
      <c r="FX61" s="25"/>
      <c r="FY61" s="25"/>
      <c r="FZ61" s="110"/>
      <c r="GA61" s="110"/>
      <c r="GB61" s="25"/>
      <c r="GC61" s="25"/>
      <c r="GD61" s="25"/>
      <c r="GE61" s="25"/>
      <c r="GF61" s="25"/>
      <c r="GG61" s="110"/>
      <c r="GH61" s="110"/>
      <c r="GI61" s="25"/>
      <c r="GJ61" s="25"/>
      <c r="GK61" s="25"/>
      <c r="GL61" s="25"/>
      <c r="GM61" s="25"/>
      <c r="GN61" s="110"/>
      <c r="GO61" s="110"/>
      <c r="GP61" s="110"/>
      <c r="GQ61" s="110" t="s">
        <v>445</v>
      </c>
      <c r="GR61" s="25"/>
      <c r="GS61" s="25"/>
      <c r="GT61" s="25"/>
      <c r="GU61" s="110"/>
      <c r="GV61" s="110"/>
      <c r="GW61" s="25"/>
      <c r="GX61" s="25"/>
      <c r="GY61" s="25"/>
      <c r="GZ61" s="25"/>
      <c r="HA61" s="25"/>
      <c r="HB61" s="110"/>
      <c r="HC61" s="110"/>
      <c r="HD61" s="25"/>
      <c r="HE61" s="25"/>
      <c r="HF61" s="25"/>
      <c r="HG61" s="25"/>
      <c r="HH61" s="25"/>
      <c r="HI61" s="110"/>
      <c r="HJ61" s="110"/>
      <c r="HK61" s="25"/>
      <c r="HL61" s="25"/>
      <c r="HM61" s="25"/>
      <c r="HN61" s="25"/>
      <c r="HO61" s="25"/>
      <c r="HP61" s="110"/>
      <c r="HQ61" s="110"/>
      <c r="HR61" s="25"/>
      <c r="HS61" s="25"/>
      <c r="HT61" s="25"/>
      <c r="HU61" s="25"/>
      <c r="HV61" s="25"/>
      <c r="HW61" s="110"/>
      <c r="HX61" s="110"/>
      <c r="HY61" s="25"/>
      <c r="HZ61" s="25"/>
      <c r="IA61" s="25"/>
      <c r="IB61" s="25"/>
      <c r="IC61" s="25"/>
      <c r="ID61" s="110"/>
      <c r="IE61" s="110"/>
      <c r="IF61" s="25"/>
      <c r="IG61" s="25"/>
      <c r="IH61" s="25"/>
      <c r="II61" s="25"/>
      <c r="IJ61" s="25"/>
      <c r="IK61" s="110"/>
      <c r="IL61" s="110"/>
      <c r="IM61" s="25"/>
      <c r="IN61" s="25"/>
      <c r="IO61" s="25"/>
      <c r="IP61" s="25"/>
      <c r="IQ61" s="25"/>
      <c r="IR61" s="110"/>
      <c r="IS61" s="110"/>
      <c r="IT61" s="25"/>
      <c r="IU61" s="25"/>
      <c r="IV61" s="25"/>
      <c r="IW61" s="25"/>
      <c r="IX61" s="25"/>
      <c r="IY61" s="110"/>
      <c r="IZ61" s="110"/>
      <c r="JA61" s="25"/>
      <c r="JB61" s="25"/>
      <c r="JC61" s="25"/>
      <c r="JD61" s="25"/>
      <c r="JE61" s="25"/>
      <c r="JF61" s="110"/>
      <c r="JG61" s="110"/>
      <c r="JH61" s="25"/>
      <c r="JI61" s="25"/>
      <c r="JJ61" s="25"/>
      <c r="JK61" s="25"/>
      <c r="JL61" s="25"/>
      <c r="JM61" s="110"/>
      <c r="JN61" s="110"/>
      <c r="JO61" s="25"/>
      <c r="JP61" s="25"/>
      <c r="JQ61" s="25"/>
      <c r="JR61" s="25"/>
      <c r="JS61" s="25"/>
      <c r="JT61" s="110"/>
      <c r="JU61" s="110"/>
      <c r="JV61" s="25"/>
      <c r="JW61" s="25"/>
      <c r="JX61" s="25"/>
      <c r="JY61" s="25"/>
      <c r="JZ61" s="25"/>
      <c r="KA61" s="110"/>
      <c r="KB61" s="110"/>
      <c r="KC61" s="25"/>
      <c r="KD61" s="25"/>
      <c r="KE61" s="25"/>
      <c r="KF61" s="25"/>
      <c r="KG61" s="25"/>
      <c r="KH61" s="110"/>
      <c r="KI61" s="110"/>
      <c r="KJ61" s="25"/>
      <c r="KK61" s="25"/>
      <c r="KL61" s="25"/>
      <c r="KM61" s="25"/>
      <c r="KN61" s="25"/>
      <c r="KO61" s="110"/>
      <c r="KP61" s="110"/>
      <c r="KQ61" s="25"/>
      <c r="KR61" s="25"/>
      <c r="KS61" s="25"/>
      <c r="KT61" s="25"/>
      <c r="KU61" s="25"/>
      <c r="KV61" s="110"/>
      <c r="KW61" s="110"/>
      <c r="KX61" s="25"/>
      <c r="KY61" s="25"/>
      <c r="KZ61" s="25"/>
      <c r="LA61" s="25"/>
      <c r="LB61" s="25"/>
      <c r="LC61" s="110"/>
      <c r="LD61" s="110"/>
      <c r="LE61" s="25"/>
      <c r="LF61" s="25"/>
      <c r="LG61" s="110" t="s">
        <v>445</v>
      </c>
      <c r="LH61" s="25"/>
      <c r="LI61" s="25"/>
      <c r="LJ61" s="110"/>
      <c r="LK61" s="110"/>
      <c r="LL61" s="25"/>
      <c r="LM61" s="25"/>
      <c r="LN61" s="25"/>
      <c r="LO61" s="25"/>
      <c r="LP61" s="25"/>
      <c r="LQ61" s="110"/>
      <c r="LR61" s="110"/>
      <c r="LS61" s="25"/>
      <c r="LT61" s="25"/>
      <c r="LU61" s="25"/>
      <c r="LV61" s="25"/>
      <c r="LW61" s="25"/>
      <c r="LX61" s="110"/>
      <c r="LY61" s="110"/>
      <c r="LZ61" s="25"/>
      <c r="MA61" s="25"/>
      <c r="MB61" s="25"/>
      <c r="MC61" s="25"/>
      <c r="MD61" s="25"/>
      <c r="ME61" s="110"/>
      <c r="MF61" s="110"/>
      <c r="MG61" s="25"/>
      <c r="MH61" s="25"/>
      <c r="MI61" s="25"/>
      <c r="MJ61" s="25"/>
      <c r="MK61" s="25"/>
      <c r="ML61" s="110"/>
      <c r="MM61" s="110"/>
      <c r="MN61" s="25"/>
      <c r="MO61" s="25"/>
      <c r="MP61" s="25"/>
      <c r="MQ61" s="25"/>
      <c r="MR61" s="25"/>
      <c r="MS61" s="110"/>
      <c r="MT61" s="110"/>
      <c r="MU61" s="25"/>
      <c r="MV61" s="25"/>
      <c r="MW61" s="25"/>
      <c r="MX61" s="25"/>
      <c r="MY61" s="25"/>
      <c r="MZ61" s="110"/>
      <c r="NA61" s="110"/>
      <c r="NB61" s="25"/>
      <c r="NC61" s="25"/>
      <c r="ND61" s="25"/>
      <c r="NE61" s="129"/>
      <c r="NF61" s="111"/>
      <c r="NG61" s="8">
        <f t="shared" si="27"/>
        <v>9</v>
      </c>
      <c r="NH61" s="32" cm="1">
        <f t="array" ref="NH61">NETWORKDAYS($I$2,$AI$2)- SUM(COUNTIF(I61:AI61,{"I";"F";"CP";"R";"P";"AC";"AM"}))</f>
        <v>20</v>
      </c>
      <c r="NI61" s="138">
        <f t="shared" si="28"/>
        <v>0.45</v>
      </c>
      <c r="NJ61" s="8">
        <f t="shared" si="29"/>
        <v>10</v>
      </c>
      <c r="NK61" s="32" cm="1">
        <f t="array" ref="NK61">NETWORKDAYS($AJ$2,$BK$2)- SUM(COUNTIF(AJ61:BK61,{"I";"F";"CP";"R";"P";"AC";"AM"}))</f>
        <v>20</v>
      </c>
      <c r="NL61" s="138">
        <f t="shared" si="30"/>
        <v>0.5</v>
      </c>
      <c r="NM61" s="8">
        <f t="shared" si="31"/>
        <v>6</v>
      </c>
      <c r="NN61" s="32" cm="1">
        <f t="array" ref="NN61">NETWORKDAYS($BL$2,$CP$2)- SUM(COUNTIF(BL61:CP61,{"I";"F";"CP";"R";"P";"AC";"AM"}))</f>
        <v>20</v>
      </c>
      <c r="NO61" s="138">
        <f t="shared" si="32"/>
        <v>0.3</v>
      </c>
      <c r="NP61" s="8">
        <f t="shared" si="26"/>
        <v>8</v>
      </c>
      <c r="NQ61" s="32" cm="1">
        <f t="array" ref="NQ61">NETWORKDAYS($CQ$2,$DT$2,$CV$2)- SUM(COUNTIF(CQ61:DT61,{"I";"F";"CP";"R";"P";"AC";"AM"}))</f>
        <v>19</v>
      </c>
      <c r="NR61" s="138">
        <f t="shared" si="33"/>
        <v>0.42105263157894735</v>
      </c>
      <c r="NS61" s="8">
        <f t="shared" si="34"/>
        <v>0</v>
      </c>
      <c r="NT61" s="32" cm="1">
        <f t="array" ref="NT61">NETWORKDAYS($DV$2,$EY$2)-SUM(COUNTIF(DV61:EY61,{"I";"F";"CP";"R";"P";"AC";"AM"}))</f>
        <v>16</v>
      </c>
      <c r="NU61" s="138">
        <f t="shared" si="35"/>
        <v>0</v>
      </c>
      <c r="NV61" s="8">
        <f t="shared" si="36"/>
        <v>0</v>
      </c>
      <c r="NW61" s="32" cm="1">
        <f t="array" ref="NW61">NETWORKDAYS($EZ$2,$GC$2)-SUM(COUNTIF(EZ141:GC141,{"I";"F";"CP";"R";"P";"AC";"AM"}))</f>
        <v>22</v>
      </c>
      <c r="NX61" s="138">
        <f t="shared" si="37"/>
        <v>0</v>
      </c>
      <c r="NY61" s="8">
        <f t="shared" si="38"/>
        <v>0</v>
      </c>
      <c r="NZ61" s="32" cm="1">
        <f t="array" ref="NZ61">NETWORKDAYS($GD$2,$HH$2,$GQ$2)-SUM(COUNTIF(GD61:HH61,{"I";"F";"CP";"R";"P";"AC";"AM"}))</f>
        <v>21</v>
      </c>
      <c r="OA61" s="138">
        <f t="shared" si="39"/>
        <v>0</v>
      </c>
      <c r="OB61" s="8">
        <f t="shared" si="40"/>
        <v>0</v>
      </c>
      <c r="OC61" s="32" cm="1">
        <f t="array" ref="OC61">NETWORKDAYS($HI$2,$IM$2)-SUM(COUNTIF(HI61:IM61,{"I";"F";"CP";"R";"P";"AC";"AM"}))</f>
        <v>21</v>
      </c>
      <c r="OD61" s="138">
        <f t="shared" si="41"/>
        <v>0</v>
      </c>
      <c r="OE61" s="8">
        <f t="shared" si="42"/>
        <v>0</v>
      </c>
      <c r="OF61" s="32" cm="1">
        <f t="array" ref="OF61">NETWORKDAYS($IN$2,$JQ$2)-SUM(COUNTIF(IN61:JQ61,{"I";"F";"CP";"R";"P";"AC";"AM"}))</f>
        <v>22</v>
      </c>
      <c r="OG61" s="138">
        <f t="shared" si="43"/>
        <v>0</v>
      </c>
      <c r="OH61" s="8">
        <f t="shared" si="44"/>
        <v>0</v>
      </c>
      <c r="OI61" s="32" cm="1">
        <f t="array" ref="OI61">NETWORKDAYS($JR$2,$KV$2)-SUM(COUNTIF(JR61:KV61,{"I";"F";"CP";"R";"P";"AC";"AM"}))</f>
        <v>22</v>
      </c>
      <c r="OJ61" s="138">
        <f t="shared" si="45"/>
        <v>0</v>
      </c>
      <c r="OK61" s="8">
        <f t="shared" si="46"/>
        <v>0</v>
      </c>
      <c r="OL61" s="32" cm="1">
        <f t="array" ref="OL61">NETWORKDAYS($KW$2,$LZ$2,$LG$2)-SUM(COUNTIF(KW61:LZ61,{"I";"F";"CP";"R";"P";"AC";"AM"}))</f>
        <v>19</v>
      </c>
      <c r="OM61" s="138">
        <f t="shared" si="47"/>
        <v>0</v>
      </c>
      <c r="ON61" s="8">
        <f t="shared" si="48"/>
        <v>0</v>
      </c>
      <c r="OO61" s="32" cm="1">
        <f t="array" ref="OO61">NETWORKDAYS($MA$2,$MR$2)-SUM(COUNTIF(MA61:MR61,{"I";"F";"CP";"R";"P";"AC";"AM"}))</f>
        <v>14</v>
      </c>
      <c r="OP61" s="138">
        <f t="shared" si="49"/>
        <v>0</v>
      </c>
      <c r="OQ61" s="94">
        <f t="shared" si="50"/>
        <v>33</v>
      </c>
      <c r="OR61" s="94">
        <f t="shared" si="51"/>
        <v>236</v>
      </c>
      <c r="OS61" s="138">
        <f t="shared" si="52"/>
        <v>0.13983050847457626</v>
      </c>
    </row>
    <row r="62" spans="1:409" ht="18" customHeight="1" x14ac:dyDescent="0.25">
      <c r="A62" s="95" t="s">
        <v>178</v>
      </c>
      <c r="B62" s="95" t="s">
        <v>34</v>
      </c>
      <c r="C62" s="89" t="s">
        <v>166</v>
      </c>
      <c r="D62" s="89" t="s">
        <v>243</v>
      </c>
      <c r="E62" s="128"/>
      <c r="F62" s="110"/>
      <c r="G62" s="110"/>
      <c r="H62" s="110"/>
      <c r="I62" s="25" t="s">
        <v>248</v>
      </c>
      <c r="J62" s="25" t="s">
        <v>248</v>
      </c>
      <c r="K62" s="25" t="s">
        <v>248</v>
      </c>
      <c r="L62" s="25" t="s">
        <v>248</v>
      </c>
      <c r="M62" s="25" t="s">
        <v>248</v>
      </c>
      <c r="N62" s="110"/>
      <c r="O62" s="110"/>
      <c r="P62" s="25"/>
      <c r="Q62" s="25"/>
      <c r="R62" s="25"/>
      <c r="S62" s="25"/>
      <c r="T62" s="25"/>
      <c r="U62" s="110"/>
      <c r="V62" s="110"/>
      <c r="W62" s="25"/>
      <c r="X62" s="25"/>
      <c r="Y62" s="25"/>
      <c r="Z62" s="25"/>
      <c r="AA62" s="25"/>
      <c r="AB62" s="110"/>
      <c r="AC62" s="110"/>
      <c r="AD62" s="25"/>
      <c r="AE62" s="25"/>
      <c r="AF62" s="25">
        <v>1</v>
      </c>
      <c r="AG62" s="25">
        <v>1</v>
      </c>
      <c r="AH62" s="25">
        <v>1</v>
      </c>
      <c r="AI62" s="110"/>
      <c r="AJ62" s="110"/>
      <c r="AK62" s="25">
        <v>1</v>
      </c>
      <c r="AL62" s="25">
        <v>1</v>
      </c>
      <c r="AM62" s="25">
        <v>1</v>
      </c>
      <c r="AN62" s="25">
        <v>1</v>
      </c>
      <c r="AO62" s="25">
        <v>1</v>
      </c>
      <c r="AP62" s="110"/>
      <c r="AQ62" s="110"/>
      <c r="AR62" s="25">
        <v>1</v>
      </c>
      <c r="AS62" s="25">
        <v>1</v>
      </c>
      <c r="AT62" s="25"/>
      <c r="AU62" s="25">
        <v>1</v>
      </c>
      <c r="AV62" s="25">
        <v>1</v>
      </c>
      <c r="AW62" s="110"/>
      <c r="AX62" s="110"/>
      <c r="AY62" s="25"/>
      <c r="AZ62" s="25"/>
      <c r="BA62" s="25"/>
      <c r="BB62" s="25"/>
      <c r="BC62" s="25"/>
      <c r="BD62" s="110"/>
      <c r="BE62" s="110"/>
      <c r="BF62" s="25"/>
      <c r="BG62" s="25"/>
      <c r="BH62" s="25"/>
      <c r="BI62" s="25"/>
      <c r="BJ62" s="25"/>
      <c r="BK62" s="110"/>
      <c r="BL62" s="110"/>
      <c r="BM62" s="25"/>
      <c r="BN62" s="25"/>
      <c r="BO62" s="25"/>
      <c r="BP62" s="25"/>
      <c r="BQ62" s="25"/>
      <c r="BR62" s="110"/>
      <c r="BS62" s="110"/>
      <c r="BT62" s="25"/>
      <c r="BU62" s="25"/>
      <c r="BV62" s="25"/>
      <c r="BW62" s="25"/>
      <c r="BX62" s="25"/>
      <c r="BY62" s="110"/>
      <c r="BZ62" s="110"/>
      <c r="CA62" s="25"/>
      <c r="CB62" s="25">
        <v>1</v>
      </c>
      <c r="CC62" s="25">
        <v>1</v>
      </c>
      <c r="CD62" s="25"/>
      <c r="CE62" s="25"/>
      <c r="CF62" s="110"/>
      <c r="CG62" s="110"/>
      <c r="CH62" s="25"/>
      <c r="CI62" s="25"/>
      <c r="CJ62" s="25">
        <v>1</v>
      </c>
      <c r="CK62" s="25">
        <v>1</v>
      </c>
      <c r="CL62" s="25">
        <v>1</v>
      </c>
      <c r="CM62" s="110"/>
      <c r="CN62" s="110"/>
      <c r="CO62" s="25">
        <v>1</v>
      </c>
      <c r="CP62" s="25">
        <v>1</v>
      </c>
      <c r="CQ62" s="25">
        <v>1</v>
      </c>
      <c r="CR62" s="25">
        <v>1</v>
      </c>
      <c r="CS62" s="25">
        <v>1</v>
      </c>
      <c r="CT62" s="110"/>
      <c r="CU62" s="110"/>
      <c r="CV62" s="110"/>
      <c r="CW62" s="25"/>
      <c r="CX62" s="25"/>
      <c r="CY62" s="25"/>
      <c r="CZ62" s="25"/>
      <c r="DA62" s="110"/>
      <c r="DB62" s="110"/>
      <c r="DC62" s="25"/>
      <c r="DD62" s="25"/>
      <c r="DE62" s="25"/>
      <c r="DF62" s="25"/>
      <c r="DG62" s="25"/>
      <c r="DH62" s="110"/>
      <c r="DI62" s="110"/>
      <c r="DJ62" s="25">
        <v>1</v>
      </c>
      <c r="DK62" s="25">
        <v>1</v>
      </c>
      <c r="DL62" s="25">
        <v>1</v>
      </c>
      <c r="DM62" s="25">
        <v>1</v>
      </c>
      <c r="DN62" s="25">
        <v>1</v>
      </c>
      <c r="DO62" s="110"/>
      <c r="DP62" s="110"/>
      <c r="DQ62" s="25"/>
      <c r="DR62" s="25"/>
      <c r="DS62" s="25"/>
      <c r="DT62" s="25"/>
      <c r="DU62" s="110"/>
      <c r="DV62" s="110"/>
      <c r="DW62" s="110"/>
      <c r="DX62" s="25">
        <v>1</v>
      </c>
      <c r="DY62" s="25"/>
      <c r="DZ62" s="25">
        <v>1</v>
      </c>
      <c r="EA62" s="25">
        <v>1</v>
      </c>
      <c r="EB62" s="110" t="s">
        <v>445</v>
      </c>
      <c r="EC62" s="110"/>
      <c r="ED62" s="110"/>
      <c r="EE62" s="25">
        <v>1</v>
      </c>
      <c r="EF62" s="25">
        <v>1</v>
      </c>
      <c r="EG62" s="25">
        <v>1</v>
      </c>
      <c r="EH62" s="110" t="s">
        <v>445</v>
      </c>
      <c r="EI62" s="110" t="s">
        <v>445</v>
      </c>
      <c r="EJ62" s="110"/>
      <c r="EK62" s="110"/>
      <c r="EL62" s="25">
        <v>1</v>
      </c>
      <c r="EM62" s="25"/>
      <c r="EN62" s="25"/>
      <c r="EO62" s="25"/>
      <c r="EP62" s="25"/>
      <c r="EQ62" s="110"/>
      <c r="ER62" s="110"/>
      <c r="ES62" s="110" t="s">
        <v>445</v>
      </c>
      <c r="ET62" s="25"/>
      <c r="EU62" s="25"/>
      <c r="EV62" s="25"/>
      <c r="EW62" s="25"/>
      <c r="EX62" s="110"/>
      <c r="EY62" s="110"/>
      <c r="EZ62" s="25"/>
      <c r="FA62" s="25"/>
      <c r="FB62" s="25"/>
      <c r="FC62" s="25"/>
      <c r="FD62" s="25"/>
      <c r="FE62" s="110"/>
      <c r="FF62" s="110"/>
      <c r="FG62" s="25"/>
      <c r="FH62" s="25"/>
      <c r="FI62" s="25"/>
      <c r="FJ62" s="25"/>
      <c r="FK62" s="25"/>
      <c r="FL62" s="110"/>
      <c r="FM62" s="110"/>
      <c r="FN62" s="25"/>
      <c r="FO62" s="25"/>
      <c r="FP62" s="25"/>
      <c r="FQ62" s="25"/>
      <c r="FR62" s="25"/>
      <c r="FS62" s="110"/>
      <c r="FT62" s="110"/>
      <c r="FU62" s="25"/>
      <c r="FV62" s="25"/>
      <c r="FW62" s="25"/>
      <c r="FX62" s="25"/>
      <c r="FY62" s="25"/>
      <c r="FZ62" s="110"/>
      <c r="GA62" s="110"/>
      <c r="GB62" s="25"/>
      <c r="GC62" s="25"/>
      <c r="GD62" s="25"/>
      <c r="GE62" s="25"/>
      <c r="GF62" s="25"/>
      <c r="GG62" s="110"/>
      <c r="GH62" s="110"/>
      <c r="GI62" s="25"/>
      <c r="GJ62" s="25"/>
      <c r="GK62" s="25"/>
      <c r="GL62" s="25"/>
      <c r="GM62" s="25"/>
      <c r="GN62" s="110"/>
      <c r="GO62" s="110"/>
      <c r="GP62" s="110"/>
      <c r="GQ62" s="110" t="s">
        <v>445</v>
      </c>
      <c r="GR62" s="25"/>
      <c r="GS62" s="25"/>
      <c r="GT62" s="25"/>
      <c r="GU62" s="110"/>
      <c r="GV62" s="110"/>
      <c r="GW62" s="25"/>
      <c r="GX62" s="25"/>
      <c r="GY62" s="25"/>
      <c r="GZ62" s="25"/>
      <c r="HA62" s="25"/>
      <c r="HB62" s="110"/>
      <c r="HC62" s="110"/>
      <c r="HD62" s="25"/>
      <c r="HE62" s="25"/>
      <c r="HF62" s="25"/>
      <c r="HG62" s="25"/>
      <c r="HH62" s="25"/>
      <c r="HI62" s="110"/>
      <c r="HJ62" s="110"/>
      <c r="HK62" s="25"/>
      <c r="HL62" s="25"/>
      <c r="HM62" s="25"/>
      <c r="HN62" s="25"/>
      <c r="HO62" s="25"/>
      <c r="HP62" s="110"/>
      <c r="HQ62" s="110"/>
      <c r="HR62" s="25"/>
      <c r="HS62" s="25"/>
      <c r="HT62" s="25"/>
      <c r="HU62" s="25"/>
      <c r="HV62" s="25"/>
      <c r="HW62" s="110"/>
      <c r="HX62" s="110"/>
      <c r="HY62" s="25"/>
      <c r="HZ62" s="25"/>
      <c r="IA62" s="25"/>
      <c r="IB62" s="25"/>
      <c r="IC62" s="25"/>
      <c r="ID62" s="110"/>
      <c r="IE62" s="110"/>
      <c r="IF62" s="25"/>
      <c r="IG62" s="25"/>
      <c r="IH62" s="25"/>
      <c r="II62" s="25"/>
      <c r="IJ62" s="25"/>
      <c r="IK62" s="110"/>
      <c r="IL62" s="110"/>
      <c r="IM62" s="25"/>
      <c r="IN62" s="25"/>
      <c r="IO62" s="25"/>
      <c r="IP62" s="25"/>
      <c r="IQ62" s="25"/>
      <c r="IR62" s="110"/>
      <c r="IS62" s="110"/>
      <c r="IT62" s="25"/>
      <c r="IU62" s="25"/>
      <c r="IV62" s="25"/>
      <c r="IW62" s="25"/>
      <c r="IX62" s="25"/>
      <c r="IY62" s="110"/>
      <c r="IZ62" s="110"/>
      <c r="JA62" s="25"/>
      <c r="JB62" s="25"/>
      <c r="JC62" s="25"/>
      <c r="JD62" s="25"/>
      <c r="JE62" s="25"/>
      <c r="JF62" s="110"/>
      <c r="JG62" s="110"/>
      <c r="JH62" s="25"/>
      <c r="JI62" s="25"/>
      <c r="JJ62" s="25"/>
      <c r="JK62" s="25"/>
      <c r="JL62" s="25"/>
      <c r="JM62" s="110"/>
      <c r="JN62" s="110"/>
      <c r="JO62" s="25"/>
      <c r="JP62" s="25"/>
      <c r="JQ62" s="25"/>
      <c r="JR62" s="25"/>
      <c r="JS62" s="25"/>
      <c r="JT62" s="110"/>
      <c r="JU62" s="110"/>
      <c r="JV62" s="25"/>
      <c r="JW62" s="25"/>
      <c r="JX62" s="25"/>
      <c r="JY62" s="25"/>
      <c r="JZ62" s="25"/>
      <c r="KA62" s="110"/>
      <c r="KB62" s="110"/>
      <c r="KC62" s="25"/>
      <c r="KD62" s="25"/>
      <c r="KE62" s="25"/>
      <c r="KF62" s="25"/>
      <c r="KG62" s="25"/>
      <c r="KH62" s="110"/>
      <c r="KI62" s="110"/>
      <c r="KJ62" s="25"/>
      <c r="KK62" s="25"/>
      <c r="KL62" s="25"/>
      <c r="KM62" s="25"/>
      <c r="KN62" s="25"/>
      <c r="KO62" s="110"/>
      <c r="KP62" s="110"/>
      <c r="KQ62" s="25"/>
      <c r="KR62" s="25"/>
      <c r="KS62" s="25"/>
      <c r="KT62" s="25"/>
      <c r="KU62" s="25"/>
      <c r="KV62" s="110"/>
      <c r="KW62" s="110"/>
      <c r="KX62" s="25"/>
      <c r="KY62" s="25"/>
      <c r="KZ62" s="25"/>
      <c r="LA62" s="25"/>
      <c r="LB62" s="25"/>
      <c r="LC62" s="110"/>
      <c r="LD62" s="110"/>
      <c r="LE62" s="25"/>
      <c r="LF62" s="25"/>
      <c r="LG62" s="110" t="s">
        <v>445</v>
      </c>
      <c r="LH62" s="25"/>
      <c r="LI62" s="25"/>
      <c r="LJ62" s="110"/>
      <c r="LK62" s="110"/>
      <c r="LL62" s="25"/>
      <c r="LM62" s="25"/>
      <c r="LN62" s="25"/>
      <c r="LO62" s="25"/>
      <c r="LP62" s="25"/>
      <c r="LQ62" s="110"/>
      <c r="LR62" s="110"/>
      <c r="LS62" s="25"/>
      <c r="LT62" s="25"/>
      <c r="LU62" s="25"/>
      <c r="LV62" s="25"/>
      <c r="LW62" s="25"/>
      <c r="LX62" s="110"/>
      <c r="LY62" s="110"/>
      <c r="LZ62" s="25"/>
      <c r="MA62" s="25"/>
      <c r="MB62" s="25"/>
      <c r="MC62" s="25"/>
      <c r="MD62" s="25"/>
      <c r="ME62" s="110"/>
      <c r="MF62" s="110"/>
      <c r="MG62" s="25"/>
      <c r="MH62" s="25"/>
      <c r="MI62" s="25"/>
      <c r="MJ62" s="25"/>
      <c r="MK62" s="25"/>
      <c r="ML62" s="110"/>
      <c r="MM62" s="110"/>
      <c r="MN62" s="25"/>
      <c r="MO62" s="25"/>
      <c r="MP62" s="25"/>
      <c r="MQ62" s="25"/>
      <c r="MR62" s="25"/>
      <c r="MS62" s="110"/>
      <c r="MT62" s="110"/>
      <c r="MU62" s="25"/>
      <c r="MV62" s="25"/>
      <c r="MW62" s="25"/>
      <c r="MX62" s="25"/>
      <c r="MY62" s="25"/>
      <c r="MZ62" s="110"/>
      <c r="NA62" s="110"/>
      <c r="NB62" s="25"/>
      <c r="NC62" s="25"/>
      <c r="ND62" s="25"/>
      <c r="NE62" s="129"/>
      <c r="NF62" s="111"/>
      <c r="NG62" s="8">
        <f t="shared" si="27"/>
        <v>3</v>
      </c>
      <c r="NH62" s="32" cm="1">
        <f t="array" ref="NH62">NETWORKDAYS($I$2,$AI$2)- SUM(COUNTIF(I62:AI62,{"I";"F";"CP";"R";"P";"AC";"AM"}))</f>
        <v>20</v>
      </c>
      <c r="NI62" s="138">
        <f t="shared" si="28"/>
        <v>0.15</v>
      </c>
      <c r="NJ62" s="8">
        <f t="shared" si="29"/>
        <v>9</v>
      </c>
      <c r="NK62" s="32" cm="1">
        <f t="array" ref="NK62">NETWORKDAYS($AJ$2,$BK$2)- SUM(COUNTIF(AJ62:BK62,{"I";"F";"CP";"R";"P";"AC";"AM"}))</f>
        <v>20</v>
      </c>
      <c r="NL62" s="138">
        <f t="shared" si="30"/>
        <v>0.45</v>
      </c>
      <c r="NM62" s="8">
        <f t="shared" si="31"/>
        <v>7</v>
      </c>
      <c r="NN62" s="32" cm="1">
        <f t="array" ref="NN62">NETWORKDAYS($BL$2,$CP$2)- SUM(COUNTIF(BL62:CP62,{"I";"F";"CP";"R";"P";"AC";"AM"}))</f>
        <v>22</v>
      </c>
      <c r="NO62" s="138">
        <f t="shared" si="32"/>
        <v>0.31818181818181818</v>
      </c>
      <c r="NP62" s="8">
        <f t="shared" si="26"/>
        <v>8</v>
      </c>
      <c r="NQ62" s="32" cm="1">
        <f t="array" ref="NQ62">NETWORKDAYS($CQ$2,$DT$2,$CV$2)- SUM(COUNTIF(CQ62:DT62,{"I";"F";"CP";"R";"P";"AC";"AM"}))</f>
        <v>21</v>
      </c>
      <c r="NR62" s="138">
        <f t="shared" si="33"/>
        <v>0.38095238095238093</v>
      </c>
      <c r="NS62" s="8">
        <f t="shared" si="34"/>
        <v>7</v>
      </c>
      <c r="NT62" s="32" cm="1">
        <f t="array" ref="NT62">NETWORKDAYS($DV$2,$EY$2)-SUM(COUNTIF(DV62:EY62,{"I";"F";"CP";"R";"P";"AC";"AM"}))</f>
        <v>16</v>
      </c>
      <c r="NU62" s="138">
        <f t="shared" si="35"/>
        <v>0.4375</v>
      </c>
      <c r="NV62" s="8">
        <f t="shared" si="36"/>
        <v>0</v>
      </c>
      <c r="NW62" s="32" cm="1">
        <f t="array" ref="NW62">NETWORKDAYS($EZ$2,$GC$2)-SUM(COUNTIF(EZ142:GC142,{"I";"F";"CP";"R";"P";"AC";"AM"}))</f>
        <v>22</v>
      </c>
      <c r="NX62" s="138">
        <f t="shared" si="37"/>
        <v>0</v>
      </c>
      <c r="NY62" s="8">
        <f t="shared" si="38"/>
        <v>0</v>
      </c>
      <c r="NZ62" s="32" cm="1">
        <f t="array" ref="NZ62">NETWORKDAYS($GD$2,$HH$2,$GQ$2)-SUM(COUNTIF(GD62:HH62,{"I";"F";"CP";"R";"P";"AC";"AM"}))</f>
        <v>21</v>
      </c>
      <c r="OA62" s="138">
        <f t="shared" si="39"/>
        <v>0</v>
      </c>
      <c r="OB62" s="8">
        <f t="shared" si="40"/>
        <v>0</v>
      </c>
      <c r="OC62" s="32" cm="1">
        <f t="array" ref="OC62">NETWORKDAYS($HI$2,$IM$2)-SUM(COUNTIF(HI62:IM62,{"I";"F";"CP";"R";"P";"AC";"AM"}))</f>
        <v>21</v>
      </c>
      <c r="OD62" s="138">
        <f t="shared" si="41"/>
        <v>0</v>
      </c>
      <c r="OE62" s="8">
        <f t="shared" si="42"/>
        <v>0</v>
      </c>
      <c r="OF62" s="32" cm="1">
        <f t="array" ref="OF62">NETWORKDAYS($IN$2,$JQ$2)-SUM(COUNTIF(IN62:JQ62,{"I";"F";"CP";"R";"P";"AC";"AM"}))</f>
        <v>22</v>
      </c>
      <c r="OG62" s="138">
        <f t="shared" si="43"/>
        <v>0</v>
      </c>
      <c r="OH62" s="8">
        <f t="shared" si="44"/>
        <v>0</v>
      </c>
      <c r="OI62" s="32" cm="1">
        <f t="array" ref="OI62">NETWORKDAYS($JR$2,$KV$2)-SUM(COUNTIF(JR62:KV62,{"I";"F";"CP";"R";"P";"AC";"AM"}))</f>
        <v>22</v>
      </c>
      <c r="OJ62" s="138">
        <f t="shared" si="45"/>
        <v>0</v>
      </c>
      <c r="OK62" s="8">
        <f t="shared" si="46"/>
        <v>0</v>
      </c>
      <c r="OL62" s="32" cm="1">
        <f t="array" ref="OL62">NETWORKDAYS($KW$2,$LZ$2,$LG$2)-SUM(COUNTIF(KW62:LZ62,{"I";"F";"CP";"R";"P";"AC";"AM"}))</f>
        <v>19</v>
      </c>
      <c r="OM62" s="138">
        <f t="shared" si="47"/>
        <v>0</v>
      </c>
      <c r="ON62" s="8">
        <f t="shared" si="48"/>
        <v>0</v>
      </c>
      <c r="OO62" s="32" cm="1">
        <f t="array" ref="OO62">NETWORKDAYS($MA$2,$MR$2)-SUM(COUNTIF(MA62:MR62,{"I";"F";"CP";"R";"P";"AC";"AM"}))</f>
        <v>14</v>
      </c>
      <c r="OP62" s="138">
        <f t="shared" si="49"/>
        <v>0</v>
      </c>
      <c r="OQ62" s="94">
        <f t="shared" si="50"/>
        <v>34</v>
      </c>
      <c r="OR62" s="94">
        <f t="shared" si="51"/>
        <v>240</v>
      </c>
      <c r="OS62" s="138">
        <f t="shared" si="52"/>
        <v>0.14166666666666666</v>
      </c>
    </row>
    <row r="63" spans="1:409" ht="18" hidden="1" customHeight="1" x14ac:dyDescent="0.25">
      <c r="A63" s="95" t="s">
        <v>468</v>
      </c>
      <c r="B63" s="95" t="s">
        <v>34</v>
      </c>
      <c r="C63" s="89" t="s">
        <v>166</v>
      </c>
      <c r="D63" s="89" t="s">
        <v>244</v>
      </c>
      <c r="E63" s="128"/>
      <c r="F63" s="110"/>
      <c r="G63" s="110"/>
      <c r="H63" s="110"/>
      <c r="I63" s="25"/>
      <c r="J63" s="25"/>
      <c r="K63" s="25"/>
      <c r="L63" s="25"/>
      <c r="M63" s="25"/>
      <c r="N63" s="110"/>
      <c r="O63" s="110"/>
      <c r="P63" s="25"/>
      <c r="Q63" s="25"/>
      <c r="R63" s="25"/>
      <c r="S63" s="25"/>
      <c r="T63" s="25"/>
      <c r="U63" s="110"/>
      <c r="V63" s="110"/>
      <c r="W63" s="25"/>
      <c r="X63" s="25"/>
      <c r="Y63" s="25"/>
      <c r="Z63" s="25"/>
      <c r="AA63" s="25"/>
      <c r="AB63" s="110"/>
      <c r="AC63" s="110"/>
      <c r="AD63" s="25"/>
      <c r="AE63" s="25"/>
      <c r="AF63" s="25"/>
      <c r="AG63" s="25"/>
      <c r="AH63" s="25"/>
      <c r="AI63" s="110"/>
      <c r="AJ63" s="110"/>
      <c r="AK63" s="25"/>
      <c r="AL63" s="25"/>
      <c r="AM63" s="25"/>
      <c r="AN63" s="25"/>
      <c r="AO63" s="25"/>
      <c r="AP63" s="110"/>
      <c r="AQ63" s="110"/>
      <c r="AR63" s="25"/>
      <c r="AS63" s="25"/>
      <c r="AT63" s="25"/>
      <c r="AU63" s="25"/>
      <c r="AV63" s="25"/>
      <c r="AW63" s="110"/>
      <c r="AX63" s="110"/>
      <c r="AY63" s="25"/>
      <c r="AZ63" s="25"/>
      <c r="BA63" s="25"/>
      <c r="BB63" s="25"/>
      <c r="BC63" s="25"/>
      <c r="BD63" s="110"/>
      <c r="BE63" s="110"/>
      <c r="BF63" s="25"/>
      <c r="BG63" s="25"/>
      <c r="BH63" s="25"/>
      <c r="BI63" s="25"/>
      <c r="BJ63" s="25"/>
      <c r="BK63" s="110"/>
      <c r="BL63" s="110"/>
      <c r="BM63" s="25"/>
      <c r="BN63" s="25"/>
      <c r="BO63" s="25"/>
      <c r="BP63" s="25"/>
      <c r="BQ63" s="25"/>
      <c r="BR63" s="110"/>
      <c r="BS63" s="110"/>
      <c r="BT63" s="25"/>
      <c r="BU63" s="25"/>
      <c r="BV63" s="25"/>
      <c r="BW63" s="25"/>
      <c r="BX63" s="25"/>
      <c r="BY63" s="110"/>
      <c r="BZ63" s="110"/>
      <c r="CA63" s="25"/>
      <c r="CB63" s="25"/>
      <c r="CC63" s="25"/>
      <c r="CD63" s="25"/>
      <c r="CE63" s="25"/>
      <c r="CF63" s="110"/>
      <c r="CG63" s="110"/>
      <c r="CH63" s="25"/>
      <c r="CI63" s="25"/>
      <c r="CJ63" s="25"/>
      <c r="CK63" s="25"/>
      <c r="CL63" s="25"/>
      <c r="CM63" s="110"/>
      <c r="CN63" s="110"/>
      <c r="CO63" s="25"/>
      <c r="CP63" s="25"/>
      <c r="CQ63" s="25"/>
      <c r="CR63" s="25"/>
      <c r="CS63" s="25"/>
      <c r="CT63" s="110"/>
      <c r="CU63" s="110"/>
      <c r="CV63" s="110"/>
      <c r="CW63" s="25"/>
      <c r="CX63" s="25"/>
      <c r="CY63" s="25"/>
      <c r="CZ63" s="25"/>
      <c r="DA63" s="110"/>
      <c r="DB63" s="110"/>
      <c r="DC63" s="25"/>
      <c r="DD63" s="25"/>
      <c r="DE63" s="25"/>
      <c r="DF63" s="25"/>
      <c r="DG63" s="25"/>
      <c r="DH63" s="110"/>
      <c r="DI63" s="110"/>
      <c r="DJ63" s="25"/>
      <c r="DK63" s="25"/>
      <c r="DL63" s="25"/>
      <c r="DM63" s="25"/>
      <c r="DN63" s="25"/>
      <c r="DO63" s="110"/>
      <c r="DP63" s="110"/>
      <c r="DQ63" s="25"/>
      <c r="DR63" s="25"/>
      <c r="DS63" s="25"/>
      <c r="DT63" s="25"/>
      <c r="DU63" s="110"/>
      <c r="DV63" s="110"/>
      <c r="DW63" s="110"/>
      <c r="DX63" s="25"/>
      <c r="DY63" s="25"/>
      <c r="DZ63" s="25"/>
      <c r="EA63" s="25"/>
      <c r="EB63" s="110" t="s">
        <v>445</v>
      </c>
      <c r="EC63" s="110"/>
      <c r="ED63" s="110"/>
      <c r="EE63" s="25"/>
      <c r="EF63" s="25"/>
      <c r="EG63" s="25"/>
      <c r="EH63" s="110" t="s">
        <v>445</v>
      </c>
      <c r="EI63" s="110" t="s">
        <v>445</v>
      </c>
      <c r="EJ63" s="110"/>
      <c r="EK63" s="110"/>
      <c r="EL63" s="25"/>
      <c r="EM63" s="25"/>
      <c r="EN63" s="25"/>
      <c r="EO63" s="25"/>
      <c r="EP63" s="25"/>
      <c r="EQ63" s="110"/>
      <c r="ER63" s="110"/>
      <c r="ES63" s="110" t="s">
        <v>445</v>
      </c>
      <c r="ET63" s="25"/>
      <c r="EU63" s="25"/>
      <c r="EV63" s="25"/>
      <c r="EW63" s="25"/>
      <c r="EX63" s="110"/>
      <c r="EY63" s="110"/>
      <c r="EZ63" s="25"/>
      <c r="FA63" s="25"/>
      <c r="FB63" s="25"/>
      <c r="FC63" s="25"/>
      <c r="FD63" s="25"/>
      <c r="FE63" s="110"/>
      <c r="FF63" s="110"/>
      <c r="FG63" s="25"/>
      <c r="FH63" s="25"/>
      <c r="FI63" s="25"/>
      <c r="FJ63" s="25"/>
      <c r="FK63" s="25"/>
      <c r="FL63" s="110"/>
      <c r="FM63" s="110"/>
      <c r="FN63" s="25"/>
      <c r="FO63" s="25"/>
      <c r="FP63" s="25"/>
      <c r="FQ63" s="25"/>
      <c r="FR63" s="25"/>
      <c r="FS63" s="110"/>
      <c r="FT63" s="110"/>
      <c r="FU63" s="25"/>
      <c r="FV63" s="25"/>
      <c r="FW63" s="25"/>
      <c r="FX63" s="25"/>
      <c r="FY63" s="25"/>
      <c r="FZ63" s="110"/>
      <c r="GA63" s="110"/>
      <c r="GB63" s="25"/>
      <c r="GC63" s="25"/>
      <c r="GD63" s="25"/>
      <c r="GE63" s="25"/>
      <c r="GF63" s="25"/>
      <c r="GG63" s="110"/>
      <c r="GH63" s="110"/>
      <c r="GI63" s="25"/>
      <c r="GJ63" s="25"/>
      <c r="GK63" s="25"/>
      <c r="GL63" s="25"/>
      <c r="GM63" s="25"/>
      <c r="GN63" s="110"/>
      <c r="GO63" s="110"/>
      <c r="GP63" s="110"/>
      <c r="GQ63" s="110" t="s">
        <v>445</v>
      </c>
      <c r="GR63" s="25"/>
      <c r="GS63" s="25"/>
      <c r="GT63" s="25"/>
      <c r="GU63" s="110"/>
      <c r="GV63" s="110"/>
      <c r="GW63" s="25"/>
      <c r="GX63" s="25"/>
      <c r="GY63" s="25"/>
      <c r="GZ63" s="25"/>
      <c r="HA63" s="25"/>
      <c r="HB63" s="110"/>
      <c r="HC63" s="110"/>
      <c r="HD63" s="25"/>
      <c r="HE63" s="25"/>
      <c r="HF63" s="25"/>
      <c r="HG63" s="25"/>
      <c r="HH63" s="25"/>
      <c r="HI63" s="110"/>
      <c r="HJ63" s="110"/>
      <c r="HK63" s="25"/>
      <c r="HL63" s="25"/>
      <c r="HM63" s="25"/>
      <c r="HN63" s="25"/>
      <c r="HO63" s="25"/>
      <c r="HP63" s="110"/>
      <c r="HQ63" s="110"/>
      <c r="HR63" s="25"/>
      <c r="HS63" s="25"/>
      <c r="HT63" s="25"/>
      <c r="HU63" s="25"/>
      <c r="HV63" s="25"/>
      <c r="HW63" s="110"/>
      <c r="HX63" s="110"/>
      <c r="HY63" s="25"/>
      <c r="HZ63" s="25"/>
      <c r="IA63" s="25"/>
      <c r="IB63" s="25"/>
      <c r="IC63" s="25"/>
      <c r="ID63" s="110"/>
      <c r="IE63" s="110"/>
      <c r="IF63" s="25"/>
      <c r="IG63" s="25"/>
      <c r="IH63" s="25"/>
      <c r="II63" s="25"/>
      <c r="IJ63" s="25"/>
      <c r="IK63" s="110"/>
      <c r="IL63" s="110"/>
      <c r="IM63" s="25"/>
      <c r="IN63" s="25"/>
      <c r="IO63" s="25"/>
      <c r="IP63" s="25"/>
      <c r="IQ63" s="25"/>
      <c r="IR63" s="110"/>
      <c r="IS63" s="110"/>
      <c r="IT63" s="25"/>
      <c r="IU63" s="25"/>
      <c r="IV63" s="25"/>
      <c r="IW63" s="25"/>
      <c r="IX63" s="25"/>
      <c r="IY63" s="110"/>
      <c r="IZ63" s="110"/>
      <c r="JA63" s="25"/>
      <c r="JB63" s="25"/>
      <c r="JC63" s="25"/>
      <c r="JD63" s="25"/>
      <c r="JE63" s="25"/>
      <c r="JF63" s="110"/>
      <c r="JG63" s="110"/>
      <c r="JH63" s="25"/>
      <c r="JI63" s="25"/>
      <c r="JJ63" s="25"/>
      <c r="JK63" s="25"/>
      <c r="JL63" s="25"/>
      <c r="JM63" s="110"/>
      <c r="JN63" s="110"/>
      <c r="JO63" s="25"/>
      <c r="JP63" s="25"/>
      <c r="JQ63" s="25"/>
      <c r="JR63" s="25"/>
      <c r="JS63" s="25"/>
      <c r="JT63" s="110"/>
      <c r="JU63" s="110"/>
      <c r="JV63" s="25"/>
      <c r="JW63" s="25"/>
      <c r="JX63" s="25"/>
      <c r="JY63" s="25"/>
      <c r="JZ63" s="25"/>
      <c r="KA63" s="110"/>
      <c r="KB63" s="110"/>
      <c r="KC63" s="25"/>
      <c r="KD63" s="25"/>
      <c r="KE63" s="25"/>
      <c r="KF63" s="25"/>
      <c r="KG63" s="25"/>
      <c r="KH63" s="110"/>
      <c r="KI63" s="110"/>
      <c r="KJ63" s="25"/>
      <c r="KK63" s="25"/>
      <c r="KL63" s="25"/>
      <c r="KM63" s="25"/>
      <c r="KN63" s="25"/>
      <c r="KO63" s="110"/>
      <c r="KP63" s="110"/>
      <c r="KQ63" s="25"/>
      <c r="KR63" s="25"/>
      <c r="KS63" s="25"/>
      <c r="KT63" s="25"/>
      <c r="KU63" s="25"/>
      <c r="KV63" s="110"/>
      <c r="KW63" s="110"/>
      <c r="KX63" s="25"/>
      <c r="KY63" s="25"/>
      <c r="KZ63" s="25"/>
      <c r="LA63" s="25"/>
      <c r="LB63" s="25"/>
      <c r="LC63" s="110"/>
      <c r="LD63" s="110"/>
      <c r="LE63" s="25"/>
      <c r="LF63" s="25"/>
      <c r="LG63" s="110" t="s">
        <v>445</v>
      </c>
      <c r="LH63" s="25"/>
      <c r="LI63" s="25"/>
      <c r="LJ63" s="110"/>
      <c r="LK63" s="110"/>
      <c r="LL63" s="25"/>
      <c r="LM63" s="25"/>
      <c r="LN63" s="25"/>
      <c r="LO63" s="25"/>
      <c r="LP63" s="25"/>
      <c r="LQ63" s="110"/>
      <c r="LR63" s="110"/>
      <c r="LS63" s="25"/>
      <c r="LT63" s="25"/>
      <c r="LU63" s="25"/>
      <c r="LV63" s="25"/>
      <c r="LW63" s="25"/>
      <c r="LX63" s="110"/>
      <c r="LY63" s="110"/>
      <c r="LZ63" s="25"/>
      <c r="MA63" s="25"/>
      <c r="MB63" s="25"/>
      <c r="MC63" s="25"/>
      <c r="MD63" s="25"/>
      <c r="ME63" s="110"/>
      <c r="MF63" s="110"/>
      <c r="MG63" s="25"/>
      <c r="MH63" s="25"/>
      <c r="MI63" s="25"/>
      <c r="MJ63" s="25"/>
      <c r="MK63" s="25"/>
      <c r="ML63" s="110"/>
      <c r="MM63" s="110"/>
      <c r="MN63" s="25"/>
      <c r="MO63" s="25"/>
      <c r="MP63" s="25"/>
      <c r="MQ63" s="25"/>
      <c r="MR63" s="25"/>
      <c r="MS63" s="110"/>
      <c r="MT63" s="110"/>
      <c r="MU63" s="25"/>
      <c r="MV63" s="25"/>
      <c r="MW63" s="25"/>
      <c r="MX63" s="25"/>
      <c r="MY63" s="25"/>
      <c r="MZ63" s="110"/>
      <c r="NA63" s="110"/>
      <c r="NB63" s="25"/>
      <c r="NC63" s="25"/>
      <c r="ND63" s="25"/>
      <c r="NE63" s="129"/>
      <c r="NF63" s="111"/>
      <c r="NG63" s="8">
        <f t="shared" si="27"/>
        <v>0</v>
      </c>
      <c r="NH63" s="32" cm="1">
        <f t="array" ref="NH63">NETWORKDAYS($I$2,$AI$2)- SUM(COUNTIF(I63:AI63,{"I";"F";"CP";"R";"P";"AC";"AM"}))</f>
        <v>20</v>
      </c>
      <c r="NI63" s="138">
        <f t="shared" si="28"/>
        <v>0</v>
      </c>
      <c r="NJ63" s="8">
        <f t="shared" si="29"/>
        <v>0</v>
      </c>
      <c r="NK63" s="32" cm="1">
        <f t="array" ref="NK63">NETWORKDAYS($AJ$2,$BK$2)- SUM(COUNTIF(AJ63:BK63,{"I";"F";"CP";"R";"P";"AC";"AM"}))</f>
        <v>20</v>
      </c>
      <c r="NL63" s="138">
        <f t="shared" si="30"/>
        <v>0</v>
      </c>
      <c r="NM63" s="8">
        <f t="shared" si="31"/>
        <v>0</v>
      </c>
      <c r="NN63" s="32" cm="1">
        <f t="array" ref="NN63">NETWORKDAYS($BL$2,$CP$2)- SUM(COUNTIF(BL63:CP63,{"I";"F";"CP";"R";"P";"AC";"AM"}))</f>
        <v>22</v>
      </c>
      <c r="NO63" s="138">
        <f t="shared" si="32"/>
        <v>0</v>
      </c>
      <c r="NP63" s="32">
        <f t="shared" si="26"/>
        <v>0</v>
      </c>
      <c r="NQ63" s="32" cm="1">
        <f t="array" ref="NQ63">NETWORKDAYS($CQ$2,$DT$2,$CV$2)- SUM(COUNTIF(CQ63:DT63,{"I";"F";"CP";"R";"P";"AC";"AM"}))</f>
        <v>21</v>
      </c>
      <c r="NR63" s="138">
        <f t="shared" si="33"/>
        <v>0</v>
      </c>
      <c r="NS63" s="8">
        <f t="shared" si="34"/>
        <v>0</v>
      </c>
      <c r="NT63" s="32" cm="1">
        <f t="array" ref="NT63">NETWORKDAYS($DV$2,$EY$2)-SUM(COUNTIF(DV63:EY63,{"I";"F";"CP";"R";"P";"AC";"AM"}))</f>
        <v>16</v>
      </c>
      <c r="NU63" s="138">
        <f t="shared" si="35"/>
        <v>0</v>
      </c>
      <c r="NV63" s="8">
        <f t="shared" si="36"/>
        <v>0</v>
      </c>
      <c r="NW63" s="32" cm="1">
        <f t="array" ref="NW63">NETWORKDAYS($EZ$2,$GC$2)-SUM(COUNTIF(EZ143:GC143,{"I";"F";"CP";"R";"P";"AC";"AM"}))</f>
        <v>22</v>
      </c>
      <c r="NX63" s="138">
        <f t="shared" si="37"/>
        <v>0</v>
      </c>
      <c r="NY63" s="8">
        <f t="shared" si="38"/>
        <v>0</v>
      </c>
      <c r="NZ63" s="32" cm="1">
        <f t="array" ref="NZ63">NETWORKDAYS($GD$2,$HH$2,$GQ$2)-SUM(COUNTIF(GD63:HH63,{"I";"F";"CP";"R";"P";"AC";"AM"}))</f>
        <v>21</v>
      </c>
      <c r="OA63" s="138">
        <f t="shared" si="39"/>
        <v>0</v>
      </c>
      <c r="OB63" s="8">
        <f t="shared" si="40"/>
        <v>0</v>
      </c>
      <c r="OC63" s="32" cm="1">
        <f t="array" ref="OC63">NETWORKDAYS($HI$2,$IM$2)-SUM(COUNTIF(HI63:IM63,{"I";"F";"CP";"R";"P";"AC";"AM"}))</f>
        <v>21</v>
      </c>
      <c r="OD63" s="138">
        <f t="shared" si="41"/>
        <v>0</v>
      </c>
      <c r="OE63" s="8">
        <f t="shared" si="42"/>
        <v>0</v>
      </c>
      <c r="OF63" s="32" cm="1">
        <f t="array" ref="OF63">NETWORKDAYS($IN$2,$JQ$2)-SUM(COUNTIF(IN63:JQ63,{"I";"F";"CP";"R";"P";"AC";"AM"}))</f>
        <v>22</v>
      </c>
      <c r="OG63" s="138">
        <f t="shared" si="43"/>
        <v>0</v>
      </c>
      <c r="OH63" s="8">
        <f t="shared" si="44"/>
        <v>0</v>
      </c>
      <c r="OI63" s="32" cm="1">
        <f t="array" ref="OI63">NETWORKDAYS($JR$2,$KV$2)-SUM(COUNTIF(JR63:KV63,{"I";"F";"CP";"R";"P";"AC";"AM"}))</f>
        <v>22</v>
      </c>
      <c r="OJ63" s="138">
        <f t="shared" si="45"/>
        <v>0</v>
      </c>
      <c r="OK63" s="8">
        <f t="shared" si="46"/>
        <v>0</v>
      </c>
      <c r="OL63" s="32" cm="1">
        <f t="array" ref="OL63">NETWORKDAYS($KW$2,$LZ$2,$LG$2)-SUM(COUNTIF(KW63:LZ63,{"I";"F";"CP";"R";"P";"AC";"AM"}))</f>
        <v>19</v>
      </c>
      <c r="OM63" s="138">
        <f t="shared" si="47"/>
        <v>0</v>
      </c>
      <c r="ON63" s="8">
        <f t="shared" si="48"/>
        <v>0</v>
      </c>
      <c r="OO63" s="32" cm="1">
        <f t="array" ref="OO63">NETWORKDAYS($MA$2,$MR$2)-SUM(COUNTIF(MA63:MR63,{"I";"F";"CP";"R";"P";"AC";"AM"}))</f>
        <v>14</v>
      </c>
      <c r="OP63" s="138">
        <f t="shared" si="49"/>
        <v>0</v>
      </c>
      <c r="OQ63" s="94">
        <f t="shared" si="50"/>
        <v>0</v>
      </c>
      <c r="OR63" s="94">
        <f t="shared" si="51"/>
        <v>240</v>
      </c>
      <c r="OS63" s="138">
        <f t="shared" si="52"/>
        <v>0</v>
      </c>
    </row>
    <row r="64" spans="1:409" ht="18" hidden="1" customHeight="1" x14ac:dyDescent="0.25">
      <c r="A64" s="95" t="s">
        <v>168</v>
      </c>
      <c r="B64" s="95" t="s">
        <v>168</v>
      </c>
      <c r="C64" s="89" t="s">
        <v>160</v>
      </c>
      <c r="D64" s="89" t="s">
        <v>245</v>
      </c>
      <c r="E64" s="128"/>
      <c r="F64" s="110"/>
      <c r="G64" s="110"/>
      <c r="H64" s="110"/>
      <c r="I64" s="25"/>
      <c r="J64" s="25"/>
      <c r="K64" s="25"/>
      <c r="L64" s="25"/>
      <c r="M64" s="25"/>
      <c r="N64" s="110"/>
      <c r="O64" s="110"/>
      <c r="P64" s="25"/>
      <c r="Q64" s="25"/>
      <c r="R64" s="25"/>
      <c r="S64" s="25"/>
      <c r="T64" s="25"/>
      <c r="U64" s="110"/>
      <c r="V64" s="110"/>
      <c r="W64" s="25"/>
      <c r="X64" s="25"/>
      <c r="Y64" s="25"/>
      <c r="Z64" s="25"/>
      <c r="AA64" s="25"/>
      <c r="AB64" s="110"/>
      <c r="AC64" s="110"/>
      <c r="AD64" s="25"/>
      <c r="AE64" s="25"/>
      <c r="AF64" s="25"/>
      <c r="AG64" s="25"/>
      <c r="AH64" s="25"/>
      <c r="AI64" s="110"/>
      <c r="AJ64" s="110"/>
      <c r="AK64" s="25"/>
      <c r="AL64" s="25"/>
      <c r="AM64" s="25"/>
      <c r="AN64" s="25"/>
      <c r="AO64" s="25"/>
      <c r="AP64" s="110"/>
      <c r="AQ64" s="110"/>
      <c r="AR64" s="25"/>
      <c r="AS64" s="25"/>
      <c r="AT64" s="25"/>
      <c r="AU64" s="25"/>
      <c r="AV64" s="25"/>
      <c r="AW64" s="110"/>
      <c r="AX64" s="110"/>
      <c r="AY64" s="25"/>
      <c r="AZ64" s="25"/>
      <c r="BA64" s="25"/>
      <c r="BB64" s="25"/>
      <c r="BC64" s="25"/>
      <c r="BD64" s="110"/>
      <c r="BE64" s="110"/>
      <c r="BF64" s="25"/>
      <c r="BG64" s="25"/>
      <c r="BH64" s="25"/>
      <c r="BI64" s="25"/>
      <c r="BJ64" s="25"/>
      <c r="BK64" s="110"/>
      <c r="BL64" s="110"/>
      <c r="BM64" s="25"/>
      <c r="BN64" s="25"/>
      <c r="BO64" s="25"/>
      <c r="BP64" s="25"/>
      <c r="BQ64" s="25"/>
      <c r="BR64" s="110"/>
      <c r="BS64" s="110"/>
      <c r="BT64" s="25"/>
      <c r="BU64" s="25"/>
      <c r="BV64" s="25"/>
      <c r="BW64" s="25"/>
      <c r="BX64" s="25"/>
      <c r="BY64" s="110"/>
      <c r="BZ64" s="110"/>
      <c r="CA64" s="25"/>
      <c r="CB64" s="25"/>
      <c r="CC64" s="25"/>
      <c r="CD64" s="25"/>
      <c r="CE64" s="25"/>
      <c r="CF64" s="110"/>
      <c r="CG64" s="110"/>
      <c r="CH64" s="25"/>
      <c r="CI64" s="25"/>
      <c r="CJ64" s="25"/>
      <c r="CK64" s="25"/>
      <c r="CL64" s="25"/>
      <c r="CM64" s="110"/>
      <c r="CN64" s="110"/>
      <c r="CO64" s="25"/>
      <c r="CP64" s="25"/>
      <c r="CQ64" s="25"/>
      <c r="CR64" s="25"/>
      <c r="CS64" s="25"/>
      <c r="CT64" s="110"/>
      <c r="CU64" s="110"/>
      <c r="CV64" s="110"/>
      <c r="CW64" s="25"/>
      <c r="CX64" s="25"/>
      <c r="CY64" s="25"/>
      <c r="CZ64" s="25"/>
      <c r="DA64" s="110"/>
      <c r="DB64" s="110"/>
      <c r="DC64" s="25"/>
      <c r="DD64" s="25"/>
      <c r="DE64" s="25"/>
      <c r="DF64" s="25"/>
      <c r="DG64" s="25"/>
      <c r="DH64" s="110"/>
      <c r="DI64" s="110"/>
      <c r="DJ64" s="25"/>
      <c r="DK64" s="25"/>
      <c r="DL64" s="25"/>
      <c r="DM64" s="25"/>
      <c r="DN64" s="25"/>
      <c r="DO64" s="110"/>
      <c r="DP64" s="110"/>
      <c r="DQ64" s="25"/>
      <c r="DR64" s="25"/>
      <c r="DS64" s="25"/>
      <c r="DT64" s="25"/>
      <c r="DU64" s="110"/>
      <c r="DV64" s="110"/>
      <c r="DW64" s="110"/>
      <c r="DX64" s="25"/>
      <c r="DY64" s="25"/>
      <c r="DZ64" s="25"/>
      <c r="EA64" s="25"/>
      <c r="EB64" s="110" t="s">
        <v>445</v>
      </c>
      <c r="EC64" s="110"/>
      <c r="ED64" s="110"/>
      <c r="EE64" s="25"/>
      <c r="EF64" s="25"/>
      <c r="EG64" s="25"/>
      <c r="EH64" s="110" t="s">
        <v>445</v>
      </c>
      <c r="EI64" s="110" t="s">
        <v>445</v>
      </c>
      <c r="EJ64" s="110"/>
      <c r="EK64" s="110"/>
      <c r="EL64" s="25"/>
      <c r="EM64" s="25"/>
      <c r="EN64" s="25"/>
      <c r="EO64" s="25"/>
      <c r="EP64" s="25"/>
      <c r="EQ64" s="110"/>
      <c r="ER64" s="110"/>
      <c r="ES64" s="110" t="s">
        <v>445</v>
      </c>
      <c r="ET64" s="25"/>
      <c r="EU64" s="25"/>
      <c r="EV64" s="25"/>
      <c r="EW64" s="25"/>
      <c r="EX64" s="110"/>
      <c r="EY64" s="110"/>
      <c r="EZ64" s="25"/>
      <c r="FA64" s="25"/>
      <c r="FB64" s="25"/>
      <c r="FC64" s="25"/>
      <c r="FD64" s="25"/>
      <c r="FE64" s="110"/>
      <c r="FF64" s="110"/>
      <c r="FG64" s="25"/>
      <c r="FH64" s="25"/>
      <c r="FI64" s="25"/>
      <c r="FJ64" s="25"/>
      <c r="FK64" s="25"/>
      <c r="FL64" s="110"/>
      <c r="FM64" s="110"/>
      <c r="FN64" s="25"/>
      <c r="FO64" s="25"/>
      <c r="FP64" s="25"/>
      <c r="FQ64" s="25"/>
      <c r="FR64" s="25"/>
      <c r="FS64" s="110"/>
      <c r="FT64" s="110"/>
      <c r="FU64" s="25"/>
      <c r="FV64" s="25"/>
      <c r="FW64" s="25"/>
      <c r="FX64" s="25"/>
      <c r="FY64" s="25"/>
      <c r="FZ64" s="110"/>
      <c r="GA64" s="110"/>
      <c r="GB64" s="25"/>
      <c r="GC64" s="25"/>
      <c r="GD64" s="25"/>
      <c r="GE64" s="25"/>
      <c r="GF64" s="25"/>
      <c r="GG64" s="110"/>
      <c r="GH64" s="110"/>
      <c r="GI64" s="25"/>
      <c r="GJ64" s="25"/>
      <c r="GK64" s="25"/>
      <c r="GL64" s="25"/>
      <c r="GM64" s="25"/>
      <c r="GN64" s="110"/>
      <c r="GO64" s="110"/>
      <c r="GP64" s="110"/>
      <c r="GQ64" s="110" t="s">
        <v>445</v>
      </c>
      <c r="GR64" s="25"/>
      <c r="GS64" s="25"/>
      <c r="GT64" s="25"/>
      <c r="GU64" s="110"/>
      <c r="GV64" s="110"/>
      <c r="GW64" s="25"/>
      <c r="GX64" s="25"/>
      <c r="GY64" s="25"/>
      <c r="GZ64" s="25"/>
      <c r="HA64" s="25"/>
      <c r="HB64" s="110"/>
      <c r="HC64" s="110"/>
      <c r="HD64" s="25"/>
      <c r="HE64" s="25"/>
      <c r="HF64" s="25"/>
      <c r="HG64" s="25"/>
      <c r="HH64" s="25"/>
      <c r="HI64" s="110"/>
      <c r="HJ64" s="110"/>
      <c r="HK64" s="25"/>
      <c r="HL64" s="25"/>
      <c r="HM64" s="25"/>
      <c r="HN64" s="25"/>
      <c r="HO64" s="25"/>
      <c r="HP64" s="110"/>
      <c r="HQ64" s="110"/>
      <c r="HR64" s="25"/>
      <c r="HS64" s="25"/>
      <c r="HT64" s="25"/>
      <c r="HU64" s="25"/>
      <c r="HV64" s="25"/>
      <c r="HW64" s="110"/>
      <c r="HX64" s="110"/>
      <c r="HY64" s="25"/>
      <c r="HZ64" s="25"/>
      <c r="IA64" s="25"/>
      <c r="IB64" s="25"/>
      <c r="IC64" s="25"/>
      <c r="ID64" s="110"/>
      <c r="IE64" s="110"/>
      <c r="IF64" s="25"/>
      <c r="IG64" s="25"/>
      <c r="IH64" s="25"/>
      <c r="II64" s="25"/>
      <c r="IJ64" s="25"/>
      <c r="IK64" s="110"/>
      <c r="IL64" s="110"/>
      <c r="IM64" s="25"/>
      <c r="IN64" s="25"/>
      <c r="IO64" s="25"/>
      <c r="IP64" s="25"/>
      <c r="IQ64" s="25"/>
      <c r="IR64" s="110"/>
      <c r="IS64" s="110"/>
      <c r="IT64" s="25"/>
      <c r="IU64" s="25"/>
      <c r="IV64" s="25"/>
      <c r="IW64" s="25"/>
      <c r="IX64" s="25"/>
      <c r="IY64" s="110"/>
      <c r="IZ64" s="110"/>
      <c r="JA64" s="25"/>
      <c r="JB64" s="25"/>
      <c r="JC64" s="25"/>
      <c r="JD64" s="25"/>
      <c r="JE64" s="25"/>
      <c r="JF64" s="110"/>
      <c r="JG64" s="110"/>
      <c r="JH64" s="25"/>
      <c r="JI64" s="25"/>
      <c r="JJ64" s="25"/>
      <c r="JK64" s="25"/>
      <c r="JL64" s="25"/>
      <c r="JM64" s="110"/>
      <c r="JN64" s="110"/>
      <c r="JO64" s="25"/>
      <c r="JP64" s="25"/>
      <c r="JQ64" s="25"/>
      <c r="JR64" s="25"/>
      <c r="JS64" s="25"/>
      <c r="JT64" s="110"/>
      <c r="JU64" s="110"/>
      <c r="JV64" s="25"/>
      <c r="JW64" s="25"/>
      <c r="JX64" s="25"/>
      <c r="JY64" s="25"/>
      <c r="JZ64" s="25"/>
      <c r="KA64" s="110"/>
      <c r="KB64" s="110"/>
      <c r="KC64" s="25"/>
      <c r="KD64" s="25"/>
      <c r="KE64" s="25"/>
      <c r="KF64" s="25"/>
      <c r="KG64" s="25"/>
      <c r="KH64" s="110"/>
      <c r="KI64" s="110"/>
      <c r="KJ64" s="25"/>
      <c r="KK64" s="25"/>
      <c r="KL64" s="25"/>
      <c r="KM64" s="25"/>
      <c r="KN64" s="25"/>
      <c r="KO64" s="110"/>
      <c r="KP64" s="110"/>
      <c r="KQ64" s="25"/>
      <c r="KR64" s="25"/>
      <c r="KS64" s="25"/>
      <c r="KT64" s="25"/>
      <c r="KU64" s="25"/>
      <c r="KV64" s="110"/>
      <c r="KW64" s="110"/>
      <c r="KX64" s="25"/>
      <c r="KY64" s="25"/>
      <c r="KZ64" s="25"/>
      <c r="LA64" s="25"/>
      <c r="LB64" s="25"/>
      <c r="LC64" s="110"/>
      <c r="LD64" s="110"/>
      <c r="LE64" s="25"/>
      <c r="LF64" s="25"/>
      <c r="LG64" s="110" t="s">
        <v>445</v>
      </c>
      <c r="LH64" s="25"/>
      <c r="LI64" s="25"/>
      <c r="LJ64" s="110"/>
      <c r="LK64" s="110"/>
      <c r="LL64" s="25"/>
      <c r="LM64" s="25"/>
      <c r="LN64" s="25"/>
      <c r="LO64" s="25"/>
      <c r="LP64" s="25"/>
      <c r="LQ64" s="110"/>
      <c r="LR64" s="110"/>
      <c r="LS64" s="25"/>
      <c r="LT64" s="25"/>
      <c r="LU64" s="25"/>
      <c r="LV64" s="25"/>
      <c r="LW64" s="25"/>
      <c r="LX64" s="110"/>
      <c r="LY64" s="110"/>
      <c r="LZ64" s="25"/>
      <c r="MA64" s="25"/>
      <c r="MB64" s="25"/>
      <c r="MC64" s="25"/>
      <c r="MD64" s="25"/>
      <c r="ME64" s="110"/>
      <c r="MF64" s="110"/>
      <c r="MG64" s="25"/>
      <c r="MH64" s="25"/>
      <c r="MI64" s="25"/>
      <c r="MJ64" s="25"/>
      <c r="MK64" s="25"/>
      <c r="ML64" s="110"/>
      <c r="MM64" s="110"/>
      <c r="MN64" s="25"/>
      <c r="MO64" s="25"/>
      <c r="MP64" s="25"/>
      <c r="MQ64" s="25"/>
      <c r="MR64" s="25"/>
      <c r="MS64" s="110"/>
      <c r="MT64" s="110"/>
      <c r="MU64" s="25"/>
      <c r="MV64" s="25"/>
      <c r="MW64" s="25"/>
      <c r="MX64" s="25"/>
      <c r="MY64" s="25"/>
      <c r="MZ64" s="110"/>
      <c r="NA64" s="110"/>
      <c r="NB64" s="25"/>
      <c r="NC64" s="25"/>
      <c r="ND64" s="25"/>
      <c r="NE64" s="129"/>
      <c r="NF64" s="111"/>
      <c r="NG64" s="8">
        <f t="shared" si="27"/>
        <v>0</v>
      </c>
      <c r="NH64" s="32" cm="1">
        <f t="array" ref="NH64">NETWORKDAYS($I$2,$AI$2)- SUM(COUNTIF(I64:AI64,{"I";"F";"CP";"R";"P";"AC";"AM"}))</f>
        <v>20</v>
      </c>
      <c r="NI64" s="138">
        <f t="shared" si="28"/>
        <v>0</v>
      </c>
      <c r="NJ64" s="8">
        <f t="shared" si="29"/>
        <v>0</v>
      </c>
      <c r="NK64" s="32" cm="1">
        <f t="array" ref="NK64">NETWORKDAYS($AJ$2,$BK$2)- SUM(COUNTIF(AJ64:BK64,{"I";"F";"CP";"R";"P";"AC";"AM"}))</f>
        <v>20</v>
      </c>
      <c r="NL64" s="138">
        <f t="shared" si="30"/>
        <v>0</v>
      </c>
      <c r="NM64" s="8">
        <f t="shared" si="31"/>
        <v>0</v>
      </c>
      <c r="NN64" s="32" cm="1">
        <f t="array" ref="NN64">NETWORKDAYS($BL$2,$CP$2)- SUM(COUNTIF(BL64:CP64,{"I";"F";"CP";"R";"P";"AC";"AM"}))</f>
        <v>22</v>
      </c>
      <c r="NO64" s="138">
        <f t="shared" si="32"/>
        <v>0</v>
      </c>
      <c r="NP64" s="8">
        <f t="shared" si="26"/>
        <v>0</v>
      </c>
      <c r="NQ64" s="32" cm="1">
        <f t="array" ref="NQ64">NETWORKDAYS($CQ$2,$DT$2,$CV$2)- SUM(COUNTIF(CQ64:DT64,{"I";"F";"CP";"R";"P";"AC";"AM"}))</f>
        <v>21</v>
      </c>
      <c r="NR64" s="138">
        <f t="shared" si="33"/>
        <v>0</v>
      </c>
      <c r="NS64" s="8">
        <f t="shared" si="34"/>
        <v>0</v>
      </c>
      <c r="NT64" s="32" cm="1">
        <f t="array" ref="NT64">NETWORKDAYS($DV$2,$EY$2)-SUM(COUNTIF(DV64:EY64,{"I";"F";"CP";"R";"P";"AC";"AM"}))</f>
        <v>16</v>
      </c>
      <c r="NU64" s="138">
        <f t="shared" si="35"/>
        <v>0</v>
      </c>
      <c r="NV64" s="8">
        <f t="shared" si="36"/>
        <v>0</v>
      </c>
      <c r="NW64" s="32" cm="1">
        <f t="array" ref="NW64">NETWORKDAYS($EZ$2,$GC$2)-SUM(COUNTIF(EZ144:GC144,{"I";"F";"CP";"R";"P";"AC";"AM"}))</f>
        <v>22</v>
      </c>
      <c r="NX64" s="138">
        <f t="shared" si="37"/>
        <v>0</v>
      </c>
      <c r="NY64" s="8">
        <f t="shared" si="38"/>
        <v>0</v>
      </c>
      <c r="NZ64" s="32" cm="1">
        <f t="array" ref="NZ64">NETWORKDAYS($GD$2,$HH$2,$GQ$2)-SUM(COUNTIF(GD64:HH64,{"I";"F";"CP";"R";"P";"AC";"AM"}))</f>
        <v>21</v>
      </c>
      <c r="OA64" s="138">
        <f t="shared" si="39"/>
        <v>0</v>
      </c>
      <c r="OB64" s="8">
        <f t="shared" si="40"/>
        <v>0</v>
      </c>
      <c r="OC64" s="32" cm="1">
        <f t="array" ref="OC64">NETWORKDAYS($HI$2,$IM$2)-SUM(COUNTIF(HI64:IM64,{"I";"F";"CP";"R";"P";"AC";"AM"}))</f>
        <v>21</v>
      </c>
      <c r="OD64" s="138">
        <f t="shared" si="41"/>
        <v>0</v>
      </c>
      <c r="OE64" s="8">
        <f t="shared" si="42"/>
        <v>0</v>
      </c>
      <c r="OF64" s="32" cm="1">
        <f t="array" ref="OF64">NETWORKDAYS($IN$2,$JQ$2)-SUM(COUNTIF(IN64:JQ64,{"I";"F";"CP";"R";"P";"AC";"AM"}))</f>
        <v>22</v>
      </c>
      <c r="OG64" s="138">
        <f t="shared" si="43"/>
        <v>0</v>
      </c>
      <c r="OH64" s="8">
        <f t="shared" si="44"/>
        <v>0</v>
      </c>
      <c r="OI64" s="32" cm="1">
        <f t="array" ref="OI64">NETWORKDAYS($JR$2,$KV$2)-SUM(COUNTIF(JR64:KV64,{"I";"F";"CP";"R";"P";"AC";"AM"}))</f>
        <v>22</v>
      </c>
      <c r="OJ64" s="138">
        <f t="shared" si="45"/>
        <v>0</v>
      </c>
      <c r="OK64" s="8">
        <f t="shared" si="46"/>
        <v>0</v>
      </c>
      <c r="OL64" s="32" cm="1">
        <f t="array" ref="OL64">NETWORKDAYS($KW$2,$LZ$2,$LG$2)-SUM(COUNTIF(KW64:LZ64,{"I";"F";"CP";"R";"P";"AC";"AM"}))</f>
        <v>19</v>
      </c>
      <c r="OM64" s="138">
        <f t="shared" si="47"/>
        <v>0</v>
      </c>
      <c r="ON64" s="8">
        <f t="shared" si="48"/>
        <v>0</v>
      </c>
      <c r="OO64" s="32" cm="1">
        <f t="array" ref="OO64">NETWORKDAYS($MA$2,$MR$2)-SUM(COUNTIF(MA64:MR64,{"I";"F";"CP";"R";"P";"AC";"AM"}))</f>
        <v>14</v>
      </c>
      <c r="OP64" s="138">
        <f t="shared" si="49"/>
        <v>0</v>
      </c>
      <c r="OQ64" s="94">
        <f t="shared" si="50"/>
        <v>0</v>
      </c>
      <c r="OR64" s="94">
        <f t="shared" si="51"/>
        <v>240</v>
      </c>
      <c r="OS64" s="138">
        <f t="shared" si="52"/>
        <v>0</v>
      </c>
    </row>
    <row r="65" spans="1:409" ht="18" hidden="1" customHeight="1" x14ac:dyDescent="0.25">
      <c r="A65" s="95" t="s">
        <v>468</v>
      </c>
      <c r="B65" s="95" t="s">
        <v>34</v>
      </c>
      <c r="C65" s="89" t="s">
        <v>166</v>
      </c>
      <c r="D65" s="89" t="s">
        <v>246</v>
      </c>
      <c r="E65" s="128"/>
      <c r="F65" s="110"/>
      <c r="G65" s="110"/>
      <c r="H65" s="110"/>
      <c r="I65" s="25"/>
      <c r="J65" s="25"/>
      <c r="K65" s="25"/>
      <c r="L65" s="25"/>
      <c r="M65" s="25"/>
      <c r="N65" s="110"/>
      <c r="O65" s="110"/>
      <c r="P65" s="25"/>
      <c r="Q65" s="25"/>
      <c r="R65" s="25"/>
      <c r="S65" s="25"/>
      <c r="T65" s="25"/>
      <c r="U65" s="110"/>
      <c r="V65" s="110"/>
      <c r="W65" s="25"/>
      <c r="X65" s="25"/>
      <c r="Y65" s="25"/>
      <c r="Z65" s="25"/>
      <c r="AA65" s="25"/>
      <c r="AB65" s="110"/>
      <c r="AC65" s="110"/>
      <c r="AD65" s="25"/>
      <c r="AE65" s="25"/>
      <c r="AF65" s="25"/>
      <c r="AG65" s="25"/>
      <c r="AH65" s="25"/>
      <c r="AI65" s="110"/>
      <c r="AJ65" s="110"/>
      <c r="AK65" s="25"/>
      <c r="AL65" s="25"/>
      <c r="AM65" s="25"/>
      <c r="AN65" s="25"/>
      <c r="AO65" s="25"/>
      <c r="AP65" s="110"/>
      <c r="AQ65" s="110"/>
      <c r="AR65" s="25"/>
      <c r="AS65" s="25"/>
      <c r="AT65" s="25"/>
      <c r="AU65" s="25"/>
      <c r="AV65" s="25"/>
      <c r="AW65" s="110"/>
      <c r="AX65" s="110"/>
      <c r="AY65" s="25"/>
      <c r="AZ65" s="25"/>
      <c r="BA65" s="25"/>
      <c r="BB65" s="25"/>
      <c r="BC65" s="25"/>
      <c r="BD65" s="110"/>
      <c r="BE65" s="110"/>
      <c r="BF65" s="25"/>
      <c r="BG65" s="25"/>
      <c r="BH65" s="25"/>
      <c r="BI65" s="25"/>
      <c r="BJ65" s="25"/>
      <c r="BK65" s="110"/>
      <c r="BL65" s="110"/>
      <c r="BM65" s="25"/>
      <c r="BN65" s="25"/>
      <c r="BO65" s="25"/>
      <c r="BP65" s="25"/>
      <c r="BQ65" s="25"/>
      <c r="BR65" s="110"/>
      <c r="BS65" s="110"/>
      <c r="BT65" s="25"/>
      <c r="BU65" s="25"/>
      <c r="BV65" s="25"/>
      <c r="BW65" s="25"/>
      <c r="BX65" s="25"/>
      <c r="BY65" s="110"/>
      <c r="BZ65" s="110"/>
      <c r="CA65" s="25"/>
      <c r="CB65" s="25"/>
      <c r="CC65" s="25"/>
      <c r="CD65" s="25"/>
      <c r="CE65" s="25"/>
      <c r="CF65" s="110"/>
      <c r="CG65" s="110"/>
      <c r="CH65" s="25"/>
      <c r="CI65" s="25"/>
      <c r="CJ65" s="25"/>
      <c r="CK65" s="25"/>
      <c r="CL65" s="25"/>
      <c r="CM65" s="110"/>
      <c r="CN65" s="110"/>
      <c r="CO65" s="25"/>
      <c r="CP65" s="25"/>
      <c r="CQ65" s="25"/>
      <c r="CR65" s="25"/>
      <c r="CS65" s="25"/>
      <c r="CT65" s="110"/>
      <c r="CU65" s="110"/>
      <c r="CV65" s="110"/>
      <c r="CW65" s="25"/>
      <c r="CX65" s="25"/>
      <c r="CY65" s="25"/>
      <c r="CZ65" s="25"/>
      <c r="DA65" s="110"/>
      <c r="DB65" s="110"/>
      <c r="DC65" s="25"/>
      <c r="DD65" s="25"/>
      <c r="DE65" s="25"/>
      <c r="DF65" s="25"/>
      <c r="DG65" s="25"/>
      <c r="DH65" s="110"/>
      <c r="DI65" s="110"/>
      <c r="DJ65" s="25"/>
      <c r="DK65" s="25"/>
      <c r="DL65" s="25"/>
      <c r="DM65" s="25"/>
      <c r="DN65" s="25"/>
      <c r="DO65" s="110"/>
      <c r="DP65" s="110"/>
      <c r="DQ65" s="25"/>
      <c r="DR65" s="25"/>
      <c r="DS65" s="25"/>
      <c r="DT65" s="25"/>
      <c r="DU65" s="110"/>
      <c r="DV65" s="110"/>
      <c r="DW65" s="110"/>
      <c r="DX65" s="25"/>
      <c r="DY65" s="25"/>
      <c r="DZ65" s="25"/>
      <c r="EA65" s="25"/>
      <c r="EB65" s="110" t="s">
        <v>445</v>
      </c>
      <c r="EC65" s="110"/>
      <c r="ED65" s="110"/>
      <c r="EE65" s="25"/>
      <c r="EF65" s="25"/>
      <c r="EG65" s="25"/>
      <c r="EH65" s="110" t="s">
        <v>445</v>
      </c>
      <c r="EI65" s="110" t="s">
        <v>445</v>
      </c>
      <c r="EJ65" s="110"/>
      <c r="EK65" s="110"/>
      <c r="EL65" s="25"/>
      <c r="EM65" s="25"/>
      <c r="EN65" s="25"/>
      <c r="EO65" s="25"/>
      <c r="EP65" s="25"/>
      <c r="EQ65" s="110"/>
      <c r="ER65" s="110"/>
      <c r="ES65" s="110" t="s">
        <v>445</v>
      </c>
      <c r="ET65" s="25"/>
      <c r="EU65" s="25"/>
      <c r="EV65" s="25"/>
      <c r="EW65" s="25"/>
      <c r="EX65" s="110"/>
      <c r="EY65" s="110"/>
      <c r="EZ65" s="25"/>
      <c r="FA65" s="25"/>
      <c r="FB65" s="25"/>
      <c r="FC65" s="25"/>
      <c r="FD65" s="25"/>
      <c r="FE65" s="110"/>
      <c r="FF65" s="110"/>
      <c r="FG65" s="25"/>
      <c r="FH65" s="25"/>
      <c r="FI65" s="25"/>
      <c r="FJ65" s="25"/>
      <c r="FK65" s="25"/>
      <c r="FL65" s="110"/>
      <c r="FM65" s="110"/>
      <c r="FN65" s="25"/>
      <c r="FO65" s="25"/>
      <c r="FP65" s="25"/>
      <c r="FQ65" s="25"/>
      <c r="FR65" s="25"/>
      <c r="FS65" s="110"/>
      <c r="FT65" s="110"/>
      <c r="FU65" s="25"/>
      <c r="FV65" s="25"/>
      <c r="FW65" s="25"/>
      <c r="FX65" s="25"/>
      <c r="FY65" s="25"/>
      <c r="FZ65" s="110"/>
      <c r="GA65" s="110"/>
      <c r="GB65" s="25"/>
      <c r="GC65" s="25"/>
      <c r="GD65" s="25"/>
      <c r="GE65" s="25"/>
      <c r="GF65" s="25"/>
      <c r="GG65" s="110"/>
      <c r="GH65" s="110"/>
      <c r="GI65" s="25"/>
      <c r="GJ65" s="25"/>
      <c r="GK65" s="25"/>
      <c r="GL65" s="25"/>
      <c r="GM65" s="25"/>
      <c r="GN65" s="110"/>
      <c r="GO65" s="110"/>
      <c r="GP65" s="110"/>
      <c r="GQ65" s="110" t="s">
        <v>445</v>
      </c>
      <c r="GR65" s="25"/>
      <c r="GS65" s="25"/>
      <c r="GT65" s="25"/>
      <c r="GU65" s="110"/>
      <c r="GV65" s="110"/>
      <c r="GW65" s="25"/>
      <c r="GX65" s="25"/>
      <c r="GY65" s="25"/>
      <c r="GZ65" s="25"/>
      <c r="HA65" s="25"/>
      <c r="HB65" s="110"/>
      <c r="HC65" s="110"/>
      <c r="HD65" s="25"/>
      <c r="HE65" s="25"/>
      <c r="HF65" s="25"/>
      <c r="HG65" s="25"/>
      <c r="HH65" s="25"/>
      <c r="HI65" s="110"/>
      <c r="HJ65" s="110"/>
      <c r="HK65" s="25"/>
      <c r="HL65" s="25"/>
      <c r="HM65" s="25"/>
      <c r="HN65" s="25"/>
      <c r="HO65" s="25"/>
      <c r="HP65" s="110"/>
      <c r="HQ65" s="110"/>
      <c r="HR65" s="25"/>
      <c r="HS65" s="25"/>
      <c r="HT65" s="25"/>
      <c r="HU65" s="25"/>
      <c r="HV65" s="25"/>
      <c r="HW65" s="110"/>
      <c r="HX65" s="110"/>
      <c r="HY65" s="25"/>
      <c r="HZ65" s="25"/>
      <c r="IA65" s="25"/>
      <c r="IB65" s="25"/>
      <c r="IC65" s="25"/>
      <c r="ID65" s="110"/>
      <c r="IE65" s="110"/>
      <c r="IF65" s="25"/>
      <c r="IG65" s="25"/>
      <c r="IH65" s="25"/>
      <c r="II65" s="25"/>
      <c r="IJ65" s="25"/>
      <c r="IK65" s="110"/>
      <c r="IL65" s="110"/>
      <c r="IM65" s="25"/>
      <c r="IN65" s="25"/>
      <c r="IO65" s="25"/>
      <c r="IP65" s="25"/>
      <c r="IQ65" s="25"/>
      <c r="IR65" s="110"/>
      <c r="IS65" s="110"/>
      <c r="IT65" s="25"/>
      <c r="IU65" s="25"/>
      <c r="IV65" s="25"/>
      <c r="IW65" s="25"/>
      <c r="IX65" s="25"/>
      <c r="IY65" s="110"/>
      <c r="IZ65" s="110"/>
      <c r="JA65" s="25"/>
      <c r="JB65" s="25"/>
      <c r="JC65" s="25"/>
      <c r="JD65" s="25"/>
      <c r="JE65" s="25"/>
      <c r="JF65" s="110"/>
      <c r="JG65" s="110"/>
      <c r="JH65" s="25"/>
      <c r="JI65" s="25"/>
      <c r="JJ65" s="25"/>
      <c r="JK65" s="25"/>
      <c r="JL65" s="25"/>
      <c r="JM65" s="110"/>
      <c r="JN65" s="110"/>
      <c r="JO65" s="25"/>
      <c r="JP65" s="25"/>
      <c r="JQ65" s="25"/>
      <c r="JR65" s="25"/>
      <c r="JS65" s="25"/>
      <c r="JT65" s="110"/>
      <c r="JU65" s="110"/>
      <c r="JV65" s="25"/>
      <c r="JW65" s="25"/>
      <c r="JX65" s="25"/>
      <c r="JY65" s="25"/>
      <c r="JZ65" s="25"/>
      <c r="KA65" s="110"/>
      <c r="KB65" s="110"/>
      <c r="KC65" s="25"/>
      <c r="KD65" s="25"/>
      <c r="KE65" s="25"/>
      <c r="KF65" s="25"/>
      <c r="KG65" s="25"/>
      <c r="KH65" s="110"/>
      <c r="KI65" s="110"/>
      <c r="KJ65" s="25"/>
      <c r="KK65" s="25"/>
      <c r="KL65" s="25"/>
      <c r="KM65" s="25"/>
      <c r="KN65" s="25"/>
      <c r="KO65" s="110"/>
      <c r="KP65" s="110"/>
      <c r="KQ65" s="25"/>
      <c r="KR65" s="25"/>
      <c r="KS65" s="25"/>
      <c r="KT65" s="25"/>
      <c r="KU65" s="25"/>
      <c r="KV65" s="110"/>
      <c r="KW65" s="110"/>
      <c r="KX65" s="25"/>
      <c r="KY65" s="25"/>
      <c r="KZ65" s="25"/>
      <c r="LA65" s="25"/>
      <c r="LB65" s="25"/>
      <c r="LC65" s="110"/>
      <c r="LD65" s="110"/>
      <c r="LE65" s="25"/>
      <c r="LF65" s="25"/>
      <c r="LG65" s="110" t="s">
        <v>445</v>
      </c>
      <c r="LH65" s="25"/>
      <c r="LI65" s="25"/>
      <c r="LJ65" s="110"/>
      <c r="LK65" s="110"/>
      <c r="LL65" s="25"/>
      <c r="LM65" s="25"/>
      <c r="LN65" s="25"/>
      <c r="LO65" s="25"/>
      <c r="LP65" s="25"/>
      <c r="LQ65" s="110"/>
      <c r="LR65" s="110"/>
      <c r="LS65" s="25"/>
      <c r="LT65" s="25"/>
      <c r="LU65" s="25"/>
      <c r="LV65" s="25"/>
      <c r="LW65" s="25"/>
      <c r="LX65" s="110"/>
      <c r="LY65" s="110"/>
      <c r="LZ65" s="25"/>
      <c r="MA65" s="25"/>
      <c r="MB65" s="25"/>
      <c r="MC65" s="25"/>
      <c r="MD65" s="25"/>
      <c r="ME65" s="110"/>
      <c r="MF65" s="110"/>
      <c r="MG65" s="25"/>
      <c r="MH65" s="25"/>
      <c r="MI65" s="25"/>
      <c r="MJ65" s="25"/>
      <c r="MK65" s="25"/>
      <c r="ML65" s="110"/>
      <c r="MM65" s="110"/>
      <c r="MN65" s="25"/>
      <c r="MO65" s="25"/>
      <c r="MP65" s="25"/>
      <c r="MQ65" s="25"/>
      <c r="MR65" s="25"/>
      <c r="MS65" s="110"/>
      <c r="MT65" s="110"/>
      <c r="MU65" s="25"/>
      <c r="MV65" s="25"/>
      <c r="MW65" s="25"/>
      <c r="MX65" s="25"/>
      <c r="MY65" s="25"/>
      <c r="MZ65" s="110"/>
      <c r="NA65" s="110"/>
      <c r="NB65" s="25"/>
      <c r="NC65" s="25"/>
      <c r="ND65" s="25"/>
      <c r="NE65" s="129"/>
      <c r="NF65" s="111"/>
      <c r="NG65" s="8">
        <f t="shared" si="27"/>
        <v>0</v>
      </c>
      <c r="NH65" s="32" cm="1">
        <f t="array" ref="NH65">NETWORKDAYS($I$2,$AI$2)- SUM(COUNTIF(I65:AI65,{"I";"F";"CP";"R";"P";"AC";"AM"}))</f>
        <v>20</v>
      </c>
      <c r="NI65" s="138">
        <f t="shared" si="28"/>
        <v>0</v>
      </c>
      <c r="NJ65" s="8">
        <f t="shared" si="29"/>
        <v>0</v>
      </c>
      <c r="NK65" s="32" cm="1">
        <f t="array" ref="NK65">NETWORKDAYS($AJ$2,$BK$2)- SUM(COUNTIF(AJ65:BK65,{"I";"F";"CP";"R";"P";"AC";"AM"}))</f>
        <v>20</v>
      </c>
      <c r="NL65" s="138">
        <f t="shared" si="30"/>
        <v>0</v>
      </c>
      <c r="NM65" s="8">
        <f t="shared" si="31"/>
        <v>0</v>
      </c>
      <c r="NN65" s="32" cm="1">
        <f t="array" ref="NN65">NETWORKDAYS($BL$2,$CP$2)- SUM(COUNTIF(BL65:CP65,{"I";"F";"CP";"R";"P";"AC";"AM"}))</f>
        <v>22</v>
      </c>
      <c r="NO65" s="138">
        <f t="shared" si="32"/>
        <v>0</v>
      </c>
      <c r="NP65" s="32">
        <f t="shared" si="26"/>
        <v>0</v>
      </c>
      <c r="NQ65" s="32" cm="1">
        <f t="array" ref="NQ65">NETWORKDAYS($CQ$2,$DT$2,$CV$2)- SUM(COUNTIF(CQ65:DT65,{"I";"F";"CP";"R";"P";"AC";"AM"}))</f>
        <v>21</v>
      </c>
      <c r="NR65" s="138">
        <f t="shared" si="33"/>
        <v>0</v>
      </c>
      <c r="NS65" s="8">
        <f t="shared" si="34"/>
        <v>0</v>
      </c>
      <c r="NT65" s="32" cm="1">
        <f t="array" ref="NT65">NETWORKDAYS($DV$2,$EY$2)-SUM(COUNTIF(DV65:EY65,{"I";"F";"CP";"R";"P";"AC";"AM"}))</f>
        <v>16</v>
      </c>
      <c r="NU65" s="138">
        <f t="shared" si="35"/>
        <v>0</v>
      </c>
      <c r="NV65" s="8">
        <f t="shared" si="36"/>
        <v>0</v>
      </c>
      <c r="NW65" s="32" cm="1">
        <f t="array" ref="NW65">NETWORKDAYS($EZ$2,$GC$2)-SUM(COUNTIF(EZ145:GC145,{"I";"F";"CP";"R";"P";"AC";"AM"}))</f>
        <v>22</v>
      </c>
      <c r="NX65" s="138">
        <f t="shared" si="37"/>
        <v>0</v>
      </c>
      <c r="NY65" s="8">
        <f t="shared" si="38"/>
        <v>0</v>
      </c>
      <c r="NZ65" s="32" cm="1">
        <f t="array" ref="NZ65">NETWORKDAYS($GD$2,$HH$2,$GQ$2)-SUM(COUNTIF(GD65:HH65,{"I";"F";"CP";"R";"P";"AC";"AM"}))</f>
        <v>21</v>
      </c>
      <c r="OA65" s="138">
        <f t="shared" si="39"/>
        <v>0</v>
      </c>
      <c r="OB65" s="8">
        <f t="shared" si="40"/>
        <v>0</v>
      </c>
      <c r="OC65" s="32" cm="1">
        <f t="array" ref="OC65">NETWORKDAYS($HI$2,$IM$2)-SUM(COUNTIF(HI65:IM65,{"I";"F";"CP";"R";"P";"AC";"AM"}))</f>
        <v>21</v>
      </c>
      <c r="OD65" s="138">
        <f t="shared" si="41"/>
        <v>0</v>
      </c>
      <c r="OE65" s="8">
        <f t="shared" si="42"/>
        <v>0</v>
      </c>
      <c r="OF65" s="32" cm="1">
        <f t="array" ref="OF65">NETWORKDAYS($IN$2,$JQ$2)-SUM(COUNTIF(IN65:JQ65,{"I";"F";"CP";"R";"P";"AC";"AM"}))</f>
        <v>22</v>
      </c>
      <c r="OG65" s="138">
        <f t="shared" si="43"/>
        <v>0</v>
      </c>
      <c r="OH65" s="8">
        <f t="shared" si="44"/>
        <v>0</v>
      </c>
      <c r="OI65" s="32" cm="1">
        <f t="array" ref="OI65">NETWORKDAYS($JR$2,$KV$2)-SUM(COUNTIF(JR65:KV65,{"I";"F";"CP";"R";"P";"AC";"AM"}))</f>
        <v>22</v>
      </c>
      <c r="OJ65" s="138">
        <f t="shared" si="45"/>
        <v>0</v>
      </c>
      <c r="OK65" s="8">
        <f t="shared" si="46"/>
        <v>0</v>
      </c>
      <c r="OL65" s="32" cm="1">
        <f t="array" ref="OL65">NETWORKDAYS($KW$2,$LZ$2,$LG$2)-SUM(COUNTIF(KW65:LZ65,{"I";"F";"CP";"R";"P";"AC";"AM"}))</f>
        <v>19</v>
      </c>
      <c r="OM65" s="138">
        <f t="shared" si="47"/>
        <v>0</v>
      </c>
      <c r="ON65" s="8">
        <f t="shared" si="48"/>
        <v>0</v>
      </c>
      <c r="OO65" s="32" cm="1">
        <f t="array" ref="OO65">NETWORKDAYS($MA$2,$MR$2)-SUM(COUNTIF(MA65:MR65,{"I";"F";"CP";"R";"P";"AC";"AM"}))</f>
        <v>14</v>
      </c>
      <c r="OP65" s="138">
        <f t="shared" si="49"/>
        <v>0</v>
      </c>
      <c r="OQ65" s="94">
        <f t="shared" si="50"/>
        <v>0</v>
      </c>
      <c r="OR65" s="94">
        <f t="shared" si="51"/>
        <v>240</v>
      </c>
      <c r="OS65" s="138">
        <f t="shared" si="52"/>
        <v>0</v>
      </c>
    </row>
    <row r="66" spans="1:409" ht="18" customHeight="1" x14ac:dyDescent="0.25">
      <c r="A66" s="95" t="s">
        <v>178</v>
      </c>
      <c r="B66" s="95" t="s">
        <v>71</v>
      </c>
      <c r="C66" s="89" t="s">
        <v>166</v>
      </c>
      <c r="D66" s="89" t="s">
        <v>247</v>
      </c>
      <c r="E66" s="128"/>
      <c r="F66" s="110"/>
      <c r="G66" s="110"/>
      <c r="H66" s="110"/>
      <c r="I66" s="25" t="s">
        <v>248</v>
      </c>
      <c r="J66" s="25" t="s">
        <v>248</v>
      </c>
      <c r="K66" s="25" t="s">
        <v>248</v>
      </c>
      <c r="L66" s="25" t="s">
        <v>248</v>
      </c>
      <c r="M66" s="25" t="s">
        <v>248</v>
      </c>
      <c r="N66" s="110"/>
      <c r="O66" s="110"/>
      <c r="P66" s="25"/>
      <c r="Q66" s="25"/>
      <c r="R66" s="25"/>
      <c r="S66" s="25"/>
      <c r="T66" s="25"/>
      <c r="U66" s="110"/>
      <c r="V66" s="110"/>
      <c r="W66" s="25"/>
      <c r="X66" s="25"/>
      <c r="Y66" s="25"/>
      <c r="Z66" s="25"/>
      <c r="AA66" s="25"/>
      <c r="AB66" s="110"/>
      <c r="AC66" s="110"/>
      <c r="AD66" s="25"/>
      <c r="AE66" s="25"/>
      <c r="AF66" s="25"/>
      <c r="AG66" s="25"/>
      <c r="AH66" s="25"/>
      <c r="AI66" s="110"/>
      <c r="AJ66" s="110"/>
      <c r="AK66" s="25" t="s">
        <v>223</v>
      </c>
      <c r="AL66" s="25" t="s">
        <v>223</v>
      </c>
      <c r="AM66" s="25" t="s">
        <v>223</v>
      </c>
      <c r="AN66" s="25" t="s">
        <v>223</v>
      </c>
      <c r="AO66" s="25" t="s">
        <v>223</v>
      </c>
      <c r="AP66" s="110"/>
      <c r="AQ66" s="110"/>
      <c r="AR66" s="25" t="s">
        <v>223</v>
      </c>
      <c r="AS66" s="25" t="s">
        <v>223</v>
      </c>
      <c r="AT66" s="25" t="s">
        <v>223</v>
      </c>
      <c r="AU66" s="25" t="s">
        <v>223</v>
      </c>
      <c r="AV66" s="25" t="s">
        <v>223</v>
      </c>
      <c r="AW66" s="110"/>
      <c r="AX66" s="110"/>
      <c r="AY66" s="25" t="s">
        <v>276</v>
      </c>
      <c r="AZ66" s="25" t="s">
        <v>276</v>
      </c>
      <c r="BA66" s="25" t="s">
        <v>276</v>
      </c>
      <c r="BB66" s="25" t="s">
        <v>276</v>
      </c>
      <c r="BC66" s="25" t="s">
        <v>276</v>
      </c>
      <c r="BD66" s="110"/>
      <c r="BE66" s="110"/>
      <c r="BF66" s="25">
        <v>1</v>
      </c>
      <c r="BG66" s="25">
        <v>1</v>
      </c>
      <c r="BH66" s="25">
        <v>1</v>
      </c>
      <c r="BI66" s="25"/>
      <c r="BJ66" s="25">
        <v>1</v>
      </c>
      <c r="BK66" s="110"/>
      <c r="BL66" s="110"/>
      <c r="BM66" s="25">
        <v>1</v>
      </c>
      <c r="BN66" s="25"/>
      <c r="BO66" s="25">
        <v>1</v>
      </c>
      <c r="BP66" s="25">
        <v>1</v>
      </c>
      <c r="BQ66" s="25"/>
      <c r="BR66" s="110"/>
      <c r="BS66" s="110"/>
      <c r="BT66" s="25">
        <v>1</v>
      </c>
      <c r="BU66" s="25">
        <v>1</v>
      </c>
      <c r="BV66" s="25">
        <v>1</v>
      </c>
      <c r="BW66" s="25">
        <v>1</v>
      </c>
      <c r="BX66" s="25">
        <v>1</v>
      </c>
      <c r="BY66" s="110"/>
      <c r="BZ66" s="110"/>
      <c r="CA66" s="25">
        <v>1</v>
      </c>
      <c r="CB66" s="25">
        <v>1</v>
      </c>
      <c r="CC66" s="25">
        <v>1</v>
      </c>
      <c r="CD66" s="25">
        <v>1</v>
      </c>
      <c r="CE66" s="25">
        <v>1</v>
      </c>
      <c r="CF66" s="110"/>
      <c r="CG66" s="110"/>
      <c r="CH66" s="25">
        <v>1</v>
      </c>
      <c r="CI66" s="25">
        <v>1</v>
      </c>
      <c r="CJ66" s="25">
        <v>1</v>
      </c>
      <c r="CK66" s="25">
        <v>1</v>
      </c>
      <c r="CL66" s="25">
        <v>1</v>
      </c>
      <c r="CM66" s="110"/>
      <c r="CN66" s="110"/>
      <c r="CO66" s="25">
        <v>1</v>
      </c>
      <c r="CP66" s="25">
        <v>1</v>
      </c>
      <c r="CQ66" s="25">
        <v>1</v>
      </c>
      <c r="CR66" s="25">
        <v>1</v>
      </c>
      <c r="CS66" s="25">
        <v>1</v>
      </c>
      <c r="CT66" s="110"/>
      <c r="CU66" s="110"/>
      <c r="CV66" s="110"/>
      <c r="CW66" s="25">
        <v>1</v>
      </c>
      <c r="CX66" s="25">
        <v>1</v>
      </c>
      <c r="CY66" s="25">
        <v>1</v>
      </c>
      <c r="CZ66" s="25">
        <v>1</v>
      </c>
      <c r="DA66" s="110"/>
      <c r="DB66" s="110"/>
      <c r="DC66" s="25">
        <v>1</v>
      </c>
      <c r="DD66" s="25">
        <v>1</v>
      </c>
      <c r="DE66" s="25">
        <v>1</v>
      </c>
      <c r="DF66" s="25">
        <v>1</v>
      </c>
      <c r="DG66" s="25">
        <v>1</v>
      </c>
      <c r="DH66" s="110"/>
      <c r="DI66" s="110"/>
      <c r="DJ66" s="25">
        <v>1</v>
      </c>
      <c r="DK66" s="25">
        <v>1</v>
      </c>
      <c r="DL66" s="25" t="s">
        <v>223</v>
      </c>
      <c r="DM66" s="25" t="s">
        <v>223</v>
      </c>
      <c r="DN66" s="25">
        <v>1</v>
      </c>
      <c r="DO66" s="110"/>
      <c r="DP66" s="110"/>
      <c r="DQ66" s="25">
        <v>1</v>
      </c>
      <c r="DR66" s="25">
        <v>1</v>
      </c>
      <c r="DS66" s="25">
        <v>1</v>
      </c>
      <c r="DT66" s="25"/>
      <c r="DU66" s="110"/>
      <c r="DV66" s="110"/>
      <c r="DW66" s="110"/>
      <c r="DX66" s="25">
        <v>1</v>
      </c>
      <c r="DY66" s="25">
        <v>1</v>
      </c>
      <c r="DZ66" s="25">
        <v>1</v>
      </c>
      <c r="EA66" s="25"/>
      <c r="EB66" s="110" t="s">
        <v>445</v>
      </c>
      <c r="EC66" s="110"/>
      <c r="ED66" s="110"/>
      <c r="EE66" s="25">
        <v>1</v>
      </c>
      <c r="EF66" s="25">
        <v>1</v>
      </c>
      <c r="EG66" s="25">
        <v>1</v>
      </c>
      <c r="EH66" s="110" t="s">
        <v>445</v>
      </c>
      <c r="EI66" s="110" t="s">
        <v>445</v>
      </c>
      <c r="EJ66" s="110"/>
      <c r="EK66" s="110"/>
      <c r="EL66" s="25"/>
      <c r="EM66" s="25"/>
      <c r="EN66" s="25"/>
      <c r="EO66" s="25"/>
      <c r="EP66" s="25"/>
      <c r="EQ66" s="110"/>
      <c r="ER66" s="110"/>
      <c r="ES66" s="110" t="s">
        <v>445</v>
      </c>
      <c r="ET66" s="25"/>
      <c r="EU66" s="25"/>
      <c r="EV66" s="25"/>
      <c r="EW66" s="25"/>
      <c r="EX66" s="110"/>
      <c r="EY66" s="110"/>
      <c r="EZ66" s="25"/>
      <c r="FA66" s="25"/>
      <c r="FB66" s="25"/>
      <c r="FC66" s="25"/>
      <c r="FD66" s="25"/>
      <c r="FE66" s="110"/>
      <c r="FF66" s="110"/>
      <c r="FG66" s="25"/>
      <c r="FH66" s="25"/>
      <c r="FI66" s="25"/>
      <c r="FJ66" s="25"/>
      <c r="FK66" s="25"/>
      <c r="FL66" s="110"/>
      <c r="FM66" s="110"/>
      <c r="FN66" s="25"/>
      <c r="FO66" s="25"/>
      <c r="FP66" s="25"/>
      <c r="FQ66" s="25"/>
      <c r="FR66" s="25"/>
      <c r="FS66" s="110"/>
      <c r="FT66" s="110"/>
      <c r="FU66" s="25"/>
      <c r="FV66" s="25"/>
      <c r="FW66" s="25"/>
      <c r="FX66" s="25"/>
      <c r="FY66" s="25"/>
      <c r="FZ66" s="110"/>
      <c r="GA66" s="110"/>
      <c r="GB66" s="25"/>
      <c r="GC66" s="25"/>
      <c r="GD66" s="25"/>
      <c r="GE66" s="25"/>
      <c r="GF66" s="25"/>
      <c r="GG66" s="110"/>
      <c r="GH66" s="110"/>
      <c r="GI66" s="25"/>
      <c r="GJ66" s="25"/>
      <c r="GK66" s="25"/>
      <c r="GL66" s="25"/>
      <c r="GM66" s="25"/>
      <c r="GN66" s="110"/>
      <c r="GO66" s="110"/>
      <c r="GP66" s="110"/>
      <c r="GQ66" s="110" t="s">
        <v>445</v>
      </c>
      <c r="GR66" s="25"/>
      <c r="GS66" s="25"/>
      <c r="GT66" s="25"/>
      <c r="GU66" s="110"/>
      <c r="GV66" s="110"/>
      <c r="GW66" s="25"/>
      <c r="GX66" s="25"/>
      <c r="GY66" s="25"/>
      <c r="GZ66" s="25"/>
      <c r="HA66" s="25"/>
      <c r="HB66" s="110"/>
      <c r="HC66" s="110"/>
      <c r="HD66" s="25"/>
      <c r="HE66" s="25"/>
      <c r="HF66" s="25"/>
      <c r="HG66" s="25"/>
      <c r="HH66" s="25"/>
      <c r="HI66" s="110"/>
      <c r="HJ66" s="110"/>
      <c r="HK66" s="25"/>
      <c r="HL66" s="25"/>
      <c r="HM66" s="25"/>
      <c r="HN66" s="25"/>
      <c r="HO66" s="25"/>
      <c r="HP66" s="110"/>
      <c r="HQ66" s="110"/>
      <c r="HR66" s="25"/>
      <c r="HS66" s="25"/>
      <c r="HT66" s="25"/>
      <c r="HU66" s="25"/>
      <c r="HV66" s="25"/>
      <c r="HW66" s="110"/>
      <c r="HX66" s="110"/>
      <c r="HY66" s="25"/>
      <c r="HZ66" s="25"/>
      <c r="IA66" s="25"/>
      <c r="IB66" s="25"/>
      <c r="IC66" s="25"/>
      <c r="ID66" s="110"/>
      <c r="IE66" s="110"/>
      <c r="IF66" s="25"/>
      <c r="IG66" s="25"/>
      <c r="IH66" s="25"/>
      <c r="II66" s="25"/>
      <c r="IJ66" s="25"/>
      <c r="IK66" s="110"/>
      <c r="IL66" s="110"/>
      <c r="IM66" s="25"/>
      <c r="IN66" s="25"/>
      <c r="IO66" s="25"/>
      <c r="IP66" s="25"/>
      <c r="IQ66" s="25"/>
      <c r="IR66" s="110"/>
      <c r="IS66" s="110"/>
      <c r="IT66" s="25"/>
      <c r="IU66" s="25"/>
      <c r="IV66" s="25"/>
      <c r="IW66" s="25"/>
      <c r="IX66" s="25"/>
      <c r="IY66" s="110"/>
      <c r="IZ66" s="110"/>
      <c r="JA66" s="25"/>
      <c r="JB66" s="25"/>
      <c r="JC66" s="25"/>
      <c r="JD66" s="25"/>
      <c r="JE66" s="25"/>
      <c r="JF66" s="110"/>
      <c r="JG66" s="110"/>
      <c r="JH66" s="25"/>
      <c r="JI66" s="25"/>
      <c r="JJ66" s="25"/>
      <c r="JK66" s="25"/>
      <c r="JL66" s="25"/>
      <c r="JM66" s="110"/>
      <c r="JN66" s="110"/>
      <c r="JO66" s="25"/>
      <c r="JP66" s="25"/>
      <c r="JQ66" s="25"/>
      <c r="JR66" s="25"/>
      <c r="JS66" s="25"/>
      <c r="JT66" s="110"/>
      <c r="JU66" s="110"/>
      <c r="JV66" s="25"/>
      <c r="JW66" s="25"/>
      <c r="JX66" s="25"/>
      <c r="JY66" s="25"/>
      <c r="JZ66" s="25"/>
      <c r="KA66" s="110"/>
      <c r="KB66" s="110"/>
      <c r="KC66" s="25"/>
      <c r="KD66" s="25"/>
      <c r="KE66" s="25"/>
      <c r="KF66" s="25"/>
      <c r="KG66" s="25"/>
      <c r="KH66" s="110"/>
      <c r="KI66" s="110"/>
      <c r="KJ66" s="25"/>
      <c r="KK66" s="25"/>
      <c r="KL66" s="25"/>
      <c r="KM66" s="25"/>
      <c r="KN66" s="25"/>
      <c r="KO66" s="110"/>
      <c r="KP66" s="110"/>
      <c r="KQ66" s="25"/>
      <c r="KR66" s="25"/>
      <c r="KS66" s="25"/>
      <c r="KT66" s="25"/>
      <c r="KU66" s="25"/>
      <c r="KV66" s="110"/>
      <c r="KW66" s="110"/>
      <c r="KX66" s="25"/>
      <c r="KY66" s="25"/>
      <c r="KZ66" s="25"/>
      <c r="LA66" s="25"/>
      <c r="LB66" s="25"/>
      <c r="LC66" s="110"/>
      <c r="LD66" s="110"/>
      <c r="LE66" s="25"/>
      <c r="LF66" s="25"/>
      <c r="LG66" s="110" t="s">
        <v>445</v>
      </c>
      <c r="LH66" s="25"/>
      <c r="LI66" s="25"/>
      <c r="LJ66" s="110"/>
      <c r="LK66" s="110"/>
      <c r="LL66" s="25"/>
      <c r="LM66" s="25"/>
      <c r="LN66" s="25"/>
      <c r="LO66" s="25"/>
      <c r="LP66" s="25"/>
      <c r="LQ66" s="110"/>
      <c r="LR66" s="110"/>
      <c r="LS66" s="25"/>
      <c r="LT66" s="25"/>
      <c r="LU66" s="25"/>
      <c r="LV66" s="25"/>
      <c r="LW66" s="25"/>
      <c r="LX66" s="110"/>
      <c r="LY66" s="110"/>
      <c r="LZ66" s="25"/>
      <c r="MA66" s="25"/>
      <c r="MB66" s="25"/>
      <c r="MC66" s="25"/>
      <c r="MD66" s="25"/>
      <c r="ME66" s="110"/>
      <c r="MF66" s="110"/>
      <c r="MG66" s="25"/>
      <c r="MH66" s="25"/>
      <c r="MI66" s="25"/>
      <c r="MJ66" s="25"/>
      <c r="MK66" s="25"/>
      <c r="ML66" s="110"/>
      <c r="MM66" s="110"/>
      <c r="MN66" s="25"/>
      <c r="MO66" s="25"/>
      <c r="MP66" s="25"/>
      <c r="MQ66" s="25"/>
      <c r="MR66" s="25"/>
      <c r="MS66" s="110"/>
      <c r="MT66" s="110"/>
      <c r="MU66" s="25"/>
      <c r="MV66" s="25"/>
      <c r="MW66" s="25"/>
      <c r="MX66" s="25"/>
      <c r="MY66" s="25"/>
      <c r="MZ66" s="110"/>
      <c r="NA66" s="110"/>
      <c r="NB66" s="25"/>
      <c r="NC66" s="25"/>
      <c r="ND66" s="25"/>
      <c r="NE66" s="129"/>
      <c r="NF66" s="111"/>
      <c r="NG66" s="8">
        <f t="shared" si="27"/>
        <v>0</v>
      </c>
      <c r="NH66" s="32" cm="1">
        <f t="array" ref="NH66">NETWORKDAYS($I$2,$AI$2)- SUM(COUNTIF(I66:AI66,{"I";"F";"CP";"R";"P";"AC";"AM"}))</f>
        <v>20</v>
      </c>
      <c r="NI66" s="138">
        <f t="shared" si="28"/>
        <v>0</v>
      </c>
      <c r="NJ66" s="8">
        <f t="shared" si="29"/>
        <v>4</v>
      </c>
      <c r="NK66" s="32" cm="1">
        <f t="array" ref="NK66">NETWORKDAYS($AJ$2,$BK$2)- SUM(COUNTIF(AJ66:BK66,{"I";"F";"CP";"R";"P";"AC";"AM"}))</f>
        <v>5</v>
      </c>
      <c r="NL66" s="138">
        <f t="shared" si="30"/>
        <v>0.8</v>
      </c>
      <c r="NM66" s="8">
        <f t="shared" si="31"/>
        <v>20</v>
      </c>
      <c r="NN66" s="32" cm="1">
        <f t="array" ref="NN66">NETWORKDAYS($BL$2,$CP$2)- SUM(COUNTIF(BL66:CP66,{"I";"F";"CP";"R";"P";"AC";"AM"}))</f>
        <v>22</v>
      </c>
      <c r="NO66" s="138">
        <f t="shared" si="32"/>
        <v>0.90909090909090906</v>
      </c>
      <c r="NP66" s="8">
        <f t="shared" si="26"/>
        <v>18</v>
      </c>
      <c r="NQ66" s="32" cm="1">
        <f t="array" ref="NQ66">NETWORKDAYS($CQ$2,$DT$2,$CV$2)- SUM(COUNTIF(CQ66:DT66,{"I";"F";"CP";"R";"P";"AC";"AM"}))</f>
        <v>19</v>
      </c>
      <c r="NR66" s="138">
        <f t="shared" si="33"/>
        <v>0.94736842105263153</v>
      </c>
      <c r="NS66" s="8">
        <f t="shared" si="34"/>
        <v>6</v>
      </c>
      <c r="NT66" s="32" cm="1">
        <f t="array" ref="NT66">NETWORKDAYS($DV$2,$EY$2)-SUM(COUNTIF(DV66:EY66,{"I";"F";"CP";"R";"P";"AC";"AM"}))</f>
        <v>16</v>
      </c>
      <c r="NU66" s="138">
        <f t="shared" si="35"/>
        <v>0.375</v>
      </c>
      <c r="NV66" s="8">
        <f t="shared" si="36"/>
        <v>0</v>
      </c>
      <c r="NW66" s="32" cm="1">
        <f t="array" ref="NW66">NETWORKDAYS($EZ$2,$GC$2)-SUM(COUNTIF(EZ146:GC146,{"I";"F";"CP";"R";"P";"AC";"AM"}))</f>
        <v>22</v>
      </c>
      <c r="NX66" s="138">
        <f t="shared" si="37"/>
        <v>0</v>
      </c>
      <c r="NY66" s="8">
        <f t="shared" si="38"/>
        <v>0</v>
      </c>
      <c r="NZ66" s="32" cm="1">
        <f t="array" ref="NZ66">NETWORKDAYS($GD$2,$HH$2,$GQ$2)-SUM(COUNTIF(GD66:HH66,{"I";"F";"CP";"R";"P";"AC";"AM"}))</f>
        <v>21</v>
      </c>
      <c r="OA66" s="138">
        <f t="shared" si="39"/>
        <v>0</v>
      </c>
      <c r="OB66" s="8">
        <f t="shared" si="40"/>
        <v>0</v>
      </c>
      <c r="OC66" s="32" cm="1">
        <f t="array" ref="OC66">NETWORKDAYS($HI$2,$IM$2)-SUM(COUNTIF(HI66:IM66,{"I";"F";"CP";"R";"P";"AC";"AM"}))</f>
        <v>21</v>
      </c>
      <c r="OD66" s="138">
        <f t="shared" si="41"/>
        <v>0</v>
      </c>
      <c r="OE66" s="8">
        <f t="shared" si="42"/>
        <v>0</v>
      </c>
      <c r="OF66" s="32" cm="1">
        <f t="array" ref="OF66">NETWORKDAYS($IN$2,$JQ$2)-SUM(COUNTIF(IN66:JQ66,{"I";"F";"CP";"R";"P";"AC";"AM"}))</f>
        <v>22</v>
      </c>
      <c r="OG66" s="138">
        <f t="shared" si="43"/>
        <v>0</v>
      </c>
      <c r="OH66" s="8">
        <f t="shared" si="44"/>
        <v>0</v>
      </c>
      <c r="OI66" s="32" cm="1">
        <f t="array" ref="OI66">NETWORKDAYS($JR$2,$KV$2)-SUM(COUNTIF(JR66:KV66,{"I";"F";"CP";"R";"P";"AC";"AM"}))</f>
        <v>22</v>
      </c>
      <c r="OJ66" s="138">
        <f t="shared" si="45"/>
        <v>0</v>
      </c>
      <c r="OK66" s="8">
        <f t="shared" si="46"/>
        <v>0</v>
      </c>
      <c r="OL66" s="32" cm="1">
        <f t="array" ref="OL66">NETWORKDAYS($KW$2,$LZ$2,$LG$2)-SUM(COUNTIF(KW66:LZ66,{"I";"F";"CP";"R";"P";"AC";"AM"}))</f>
        <v>19</v>
      </c>
      <c r="OM66" s="138">
        <f t="shared" si="47"/>
        <v>0</v>
      </c>
      <c r="ON66" s="8">
        <f t="shared" si="48"/>
        <v>0</v>
      </c>
      <c r="OO66" s="32" cm="1">
        <f t="array" ref="OO66">NETWORKDAYS($MA$2,$MR$2)-SUM(COUNTIF(MA66:MR66,{"I";"F";"CP";"R";"P";"AC";"AM"}))</f>
        <v>14</v>
      </c>
      <c r="OP66" s="138">
        <f t="shared" si="49"/>
        <v>0</v>
      </c>
      <c r="OQ66" s="94">
        <f t="shared" si="50"/>
        <v>48</v>
      </c>
      <c r="OR66" s="94">
        <f t="shared" si="51"/>
        <v>223</v>
      </c>
      <c r="OS66" s="138">
        <f t="shared" si="52"/>
        <v>0.21524663677130046</v>
      </c>
    </row>
    <row r="67" spans="1:409" ht="18" hidden="1" customHeight="1" x14ac:dyDescent="0.25">
      <c r="A67" s="95" t="s">
        <v>468</v>
      </c>
      <c r="B67" s="95" t="s">
        <v>34</v>
      </c>
      <c r="C67" s="89" t="s">
        <v>166</v>
      </c>
      <c r="D67" s="89" t="s">
        <v>249</v>
      </c>
      <c r="E67" s="128"/>
      <c r="F67" s="110"/>
      <c r="G67" s="110"/>
      <c r="H67" s="110"/>
      <c r="I67" s="25"/>
      <c r="J67" s="25"/>
      <c r="K67" s="25"/>
      <c r="L67" s="25"/>
      <c r="M67" s="25"/>
      <c r="N67" s="110"/>
      <c r="O67" s="110"/>
      <c r="P67" s="25"/>
      <c r="Q67" s="25"/>
      <c r="R67" s="25"/>
      <c r="S67" s="25"/>
      <c r="T67" s="25"/>
      <c r="U67" s="110"/>
      <c r="V67" s="110"/>
      <c r="W67" s="25"/>
      <c r="X67" s="25"/>
      <c r="Y67" s="25"/>
      <c r="Z67" s="25"/>
      <c r="AA67" s="25"/>
      <c r="AB67" s="110"/>
      <c r="AC67" s="110"/>
      <c r="AD67" s="25"/>
      <c r="AE67" s="25"/>
      <c r="AF67" s="25"/>
      <c r="AG67" s="25"/>
      <c r="AH67" s="25"/>
      <c r="AI67" s="110"/>
      <c r="AJ67" s="110"/>
      <c r="AK67" s="25"/>
      <c r="AL67" s="25"/>
      <c r="AM67" s="25"/>
      <c r="AN67" s="25"/>
      <c r="AO67" s="25"/>
      <c r="AP67" s="110"/>
      <c r="AQ67" s="110"/>
      <c r="AR67" s="25"/>
      <c r="AS67" s="25"/>
      <c r="AT67" s="25"/>
      <c r="AU67" s="25"/>
      <c r="AV67" s="25"/>
      <c r="AW67" s="110"/>
      <c r="AX67" s="110"/>
      <c r="AY67" s="25"/>
      <c r="AZ67" s="25"/>
      <c r="BA67" s="25"/>
      <c r="BB67" s="25"/>
      <c r="BC67" s="25"/>
      <c r="BD67" s="110"/>
      <c r="BE67" s="110"/>
      <c r="BF67" s="25"/>
      <c r="BG67" s="25"/>
      <c r="BH67" s="25"/>
      <c r="BI67" s="25"/>
      <c r="BJ67" s="25"/>
      <c r="BK67" s="110"/>
      <c r="BL67" s="110"/>
      <c r="BM67" s="25"/>
      <c r="BN67" s="25"/>
      <c r="BO67" s="25"/>
      <c r="BP67" s="25"/>
      <c r="BQ67" s="25"/>
      <c r="BR67" s="110"/>
      <c r="BS67" s="110"/>
      <c r="BT67" s="25"/>
      <c r="BU67" s="25"/>
      <c r="BV67" s="25"/>
      <c r="BW67" s="25"/>
      <c r="BX67" s="25"/>
      <c r="BY67" s="110"/>
      <c r="BZ67" s="110"/>
      <c r="CA67" s="25"/>
      <c r="CB67" s="25"/>
      <c r="CC67" s="25"/>
      <c r="CD67" s="25"/>
      <c r="CE67" s="25"/>
      <c r="CF67" s="110"/>
      <c r="CG67" s="110"/>
      <c r="CH67" s="25"/>
      <c r="CI67" s="25"/>
      <c r="CJ67" s="25"/>
      <c r="CK67" s="25"/>
      <c r="CL67" s="25"/>
      <c r="CM67" s="110"/>
      <c r="CN67" s="110"/>
      <c r="CO67" s="25"/>
      <c r="CP67" s="25"/>
      <c r="CQ67" s="25"/>
      <c r="CR67" s="25"/>
      <c r="CS67" s="25"/>
      <c r="CT67" s="110"/>
      <c r="CU67" s="110"/>
      <c r="CV67" s="110"/>
      <c r="CW67" s="25"/>
      <c r="CX67" s="25"/>
      <c r="CY67" s="25"/>
      <c r="CZ67" s="25"/>
      <c r="DA67" s="110"/>
      <c r="DB67" s="110"/>
      <c r="DC67" s="25"/>
      <c r="DD67" s="25"/>
      <c r="DE67" s="25"/>
      <c r="DF67" s="25"/>
      <c r="DG67" s="25"/>
      <c r="DH67" s="110"/>
      <c r="DI67" s="110"/>
      <c r="DJ67" s="25"/>
      <c r="DK67" s="25"/>
      <c r="DL67" s="25"/>
      <c r="DM67" s="25"/>
      <c r="DN67" s="25"/>
      <c r="DO67" s="110"/>
      <c r="DP67" s="110"/>
      <c r="DQ67" s="25"/>
      <c r="DR67" s="25"/>
      <c r="DS67" s="25"/>
      <c r="DT67" s="25"/>
      <c r="DU67" s="110"/>
      <c r="DV67" s="110"/>
      <c r="DW67" s="110"/>
      <c r="DX67" s="25"/>
      <c r="DY67" s="25"/>
      <c r="DZ67" s="25"/>
      <c r="EA67" s="25"/>
      <c r="EB67" s="110" t="s">
        <v>445</v>
      </c>
      <c r="EC67" s="110"/>
      <c r="ED67" s="110"/>
      <c r="EE67" s="25"/>
      <c r="EF67" s="25"/>
      <c r="EG67" s="25"/>
      <c r="EH67" s="110" t="s">
        <v>445</v>
      </c>
      <c r="EI67" s="110" t="s">
        <v>445</v>
      </c>
      <c r="EJ67" s="110"/>
      <c r="EK67" s="110"/>
      <c r="EL67" s="25"/>
      <c r="EM67" s="25"/>
      <c r="EN67" s="25"/>
      <c r="EO67" s="25"/>
      <c r="EP67" s="25"/>
      <c r="EQ67" s="110"/>
      <c r="ER67" s="110"/>
      <c r="ES67" s="110" t="s">
        <v>445</v>
      </c>
      <c r="ET67" s="25"/>
      <c r="EU67" s="25"/>
      <c r="EV67" s="25"/>
      <c r="EW67" s="25"/>
      <c r="EX67" s="110"/>
      <c r="EY67" s="110"/>
      <c r="EZ67" s="25"/>
      <c r="FA67" s="25"/>
      <c r="FB67" s="25"/>
      <c r="FC67" s="25"/>
      <c r="FD67" s="25"/>
      <c r="FE67" s="110"/>
      <c r="FF67" s="110"/>
      <c r="FG67" s="25"/>
      <c r="FH67" s="25"/>
      <c r="FI67" s="25"/>
      <c r="FJ67" s="25"/>
      <c r="FK67" s="25"/>
      <c r="FL67" s="110"/>
      <c r="FM67" s="110"/>
      <c r="FN67" s="25"/>
      <c r="FO67" s="25"/>
      <c r="FP67" s="25"/>
      <c r="FQ67" s="25"/>
      <c r="FR67" s="25"/>
      <c r="FS67" s="110"/>
      <c r="FT67" s="110"/>
      <c r="FU67" s="25"/>
      <c r="FV67" s="25"/>
      <c r="FW67" s="25"/>
      <c r="FX67" s="25"/>
      <c r="FY67" s="25"/>
      <c r="FZ67" s="110"/>
      <c r="GA67" s="110"/>
      <c r="GB67" s="25"/>
      <c r="GC67" s="25"/>
      <c r="GD67" s="25"/>
      <c r="GE67" s="25"/>
      <c r="GF67" s="25"/>
      <c r="GG67" s="110"/>
      <c r="GH67" s="110"/>
      <c r="GI67" s="25"/>
      <c r="GJ67" s="25"/>
      <c r="GK67" s="25"/>
      <c r="GL67" s="25"/>
      <c r="GM67" s="25"/>
      <c r="GN67" s="110"/>
      <c r="GO67" s="110"/>
      <c r="GP67" s="110"/>
      <c r="GQ67" s="110" t="s">
        <v>445</v>
      </c>
      <c r="GR67" s="25"/>
      <c r="GS67" s="25"/>
      <c r="GT67" s="25"/>
      <c r="GU67" s="110"/>
      <c r="GV67" s="110"/>
      <c r="GW67" s="25"/>
      <c r="GX67" s="25"/>
      <c r="GY67" s="25"/>
      <c r="GZ67" s="25"/>
      <c r="HA67" s="25"/>
      <c r="HB67" s="110"/>
      <c r="HC67" s="110"/>
      <c r="HD67" s="25"/>
      <c r="HE67" s="25"/>
      <c r="HF67" s="25"/>
      <c r="HG67" s="25"/>
      <c r="HH67" s="25"/>
      <c r="HI67" s="110"/>
      <c r="HJ67" s="110"/>
      <c r="HK67" s="25"/>
      <c r="HL67" s="25"/>
      <c r="HM67" s="25"/>
      <c r="HN67" s="25"/>
      <c r="HO67" s="25"/>
      <c r="HP67" s="110"/>
      <c r="HQ67" s="110"/>
      <c r="HR67" s="25"/>
      <c r="HS67" s="25"/>
      <c r="HT67" s="25"/>
      <c r="HU67" s="25"/>
      <c r="HV67" s="25"/>
      <c r="HW67" s="110"/>
      <c r="HX67" s="110"/>
      <c r="HY67" s="25"/>
      <c r="HZ67" s="25"/>
      <c r="IA67" s="25"/>
      <c r="IB67" s="25"/>
      <c r="IC67" s="25"/>
      <c r="ID67" s="110"/>
      <c r="IE67" s="110"/>
      <c r="IF67" s="25"/>
      <c r="IG67" s="25"/>
      <c r="IH67" s="25"/>
      <c r="II67" s="25"/>
      <c r="IJ67" s="25"/>
      <c r="IK67" s="110"/>
      <c r="IL67" s="110"/>
      <c r="IM67" s="25"/>
      <c r="IN67" s="25"/>
      <c r="IO67" s="25"/>
      <c r="IP67" s="25"/>
      <c r="IQ67" s="25"/>
      <c r="IR67" s="110"/>
      <c r="IS67" s="110"/>
      <c r="IT67" s="25"/>
      <c r="IU67" s="25"/>
      <c r="IV67" s="25"/>
      <c r="IW67" s="25"/>
      <c r="IX67" s="25"/>
      <c r="IY67" s="110"/>
      <c r="IZ67" s="110"/>
      <c r="JA67" s="25"/>
      <c r="JB67" s="25"/>
      <c r="JC67" s="25"/>
      <c r="JD67" s="25"/>
      <c r="JE67" s="25"/>
      <c r="JF67" s="110"/>
      <c r="JG67" s="110"/>
      <c r="JH67" s="25"/>
      <c r="JI67" s="25"/>
      <c r="JJ67" s="25"/>
      <c r="JK67" s="25"/>
      <c r="JL67" s="25"/>
      <c r="JM67" s="110"/>
      <c r="JN67" s="110"/>
      <c r="JO67" s="25"/>
      <c r="JP67" s="25"/>
      <c r="JQ67" s="25"/>
      <c r="JR67" s="25"/>
      <c r="JS67" s="25"/>
      <c r="JT67" s="110"/>
      <c r="JU67" s="110"/>
      <c r="JV67" s="25"/>
      <c r="JW67" s="25"/>
      <c r="JX67" s="25"/>
      <c r="JY67" s="25"/>
      <c r="JZ67" s="25"/>
      <c r="KA67" s="110"/>
      <c r="KB67" s="110"/>
      <c r="KC67" s="25"/>
      <c r="KD67" s="25"/>
      <c r="KE67" s="25"/>
      <c r="KF67" s="25"/>
      <c r="KG67" s="25"/>
      <c r="KH67" s="110"/>
      <c r="KI67" s="110"/>
      <c r="KJ67" s="25"/>
      <c r="KK67" s="25"/>
      <c r="KL67" s="25"/>
      <c r="KM67" s="25"/>
      <c r="KN67" s="25"/>
      <c r="KO67" s="110"/>
      <c r="KP67" s="110"/>
      <c r="KQ67" s="25"/>
      <c r="KR67" s="25"/>
      <c r="KS67" s="25"/>
      <c r="KT67" s="25"/>
      <c r="KU67" s="25"/>
      <c r="KV67" s="110"/>
      <c r="KW67" s="110"/>
      <c r="KX67" s="25"/>
      <c r="KY67" s="25"/>
      <c r="KZ67" s="25"/>
      <c r="LA67" s="25"/>
      <c r="LB67" s="25"/>
      <c r="LC67" s="110"/>
      <c r="LD67" s="110"/>
      <c r="LE67" s="25"/>
      <c r="LF67" s="25"/>
      <c r="LG67" s="110" t="s">
        <v>445</v>
      </c>
      <c r="LH67" s="25"/>
      <c r="LI67" s="25"/>
      <c r="LJ67" s="110"/>
      <c r="LK67" s="110"/>
      <c r="LL67" s="25"/>
      <c r="LM67" s="25"/>
      <c r="LN67" s="25"/>
      <c r="LO67" s="25"/>
      <c r="LP67" s="25"/>
      <c r="LQ67" s="110"/>
      <c r="LR67" s="110"/>
      <c r="LS67" s="25"/>
      <c r="LT67" s="25"/>
      <c r="LU67" s="25"/>
      <c r="LV67" s="25"/>
      <c r="LW67" s="25"/>
      <c r="LX67" s="110"/>
      <c r="LY67" s="110"/>
      <c r="LZ67" s="25"/>
      <c r="MA67" s="25"/>
      <c r="MB67" s="25"/>
      <c r="MC67" s="25"/>
      <c r="MD67" s="25"/>
      <c r="ME67" s="110"/>
      <c r="MF67" s="110"/>
      <c r="MG67" s="25"/>
      <c r="MH67" s="25"/>
      <c r="MI67" s="25"/>
      <c r="MJ67" s="25"/>
      <c r="MK67" s="25"/>
      <c r="ML67" s="110"/>
      <c r="MM67" s="110"/>
      <c r="MN67" s="25"/>
      <c r="MO67" s="25"/>
      <c r="MP67" s="25"/>
      <c r="MQ67" s="25"/>
      <c r="MR67" s="25"/>
      <c r="MS67" s="110"/>
      <c r="MT67" s="110"/>
      <c r="MU67" s="25"/>
      <c r="MV67" s="25"/>
      <c r="MW67" s="25"/>
      <c r="MX67" s="25"/>
      <c r="MY67" s="25"/>
      <c r="MZ67" s="110"/>
      <c r="NA67" s="110"/>
      <c r="NB67" s="25"/>
      <c r="NC67" s="25"/>
      <c r="ND67" s="25"/>
      <c r="NE67" s="129"/>
      <c r="NF67" s="111"/>
      <c r="NG67" s="8">
        <f t="shared" si="27"/>
        <v>0</v>
      </c>
      <c r="NH67" s="32" cm="1">
        <f t="array" ref="NH67">NETWORKDAYS($I$2,$AI$2)- SUM(COUNTIF(I67:AI67,{"I";"F";"CP";"R";"P";"AC";"AM"}))</f>
        <v>20</v>
      </c>
      <c r="NI67" s="138">
        <f t="shared" si="28"/>
        <v>0</v>
      </c>
      <c r="NJ67" s="8">
        <f t="shared" si="29"/>
        <v>0</v>
      </c>
      <c r="NK67" s="32" cm="1">
        <f t="array" ref="NK67">NETWORKDAYS($AJ$2,$BK$2)- SUM(COUNTIF(AJ67:BK67,{"I";"F";"CP";"R";"P";"AC";"AM"}))</f>
        <v>20</v>
      </c>
      <c r="NL67" s="138">
        <f t="shared" si="30"/>
        <v>0</v>
      </c>
      <c r="NM67" s="8">
        <f t="shared" si="31"/>
        <v>0</v>
      </c>
      <c r="NN67" s="32" cm="1">
        <f t="array" ref="NN67">NETWORKDAYS($BL$2,$CP$2)- SUM(COUNTIF(BL67:CP67,{"I";"F";"CP";"R";"P";"AC";"AM"}))</f>
        <v>22</v>
      </c>
      <c r="NO67" s="138">
        <f t="shared" si="32"/>
        <v>0</v>
      </c>
      <c r="NP67" s="32">
        <f t="shared" ref="NP67:NP105" si="53">SUM(CQ67:DT67)</f>
        <v>0</v>
      </c>
      <c r="NQ67" s="32" cm="1">
        <f t="array" ref="NQ67">NETWORKDAYS($CQ$2,$DT$2,$CV$2)- SUM(COUNTIF(CQ67:DT67,{"I";"F";"CP";"R";"P";"AC";"AM"}))</f>
        <v>21</v>
      </c>
      <c r="NR67" s="138">
        <f t="shared" si="33"/>
        <v>0</v>
      </c>
      <c r="NS67" s="8">
        <f t="shared" si="34"/>
        <v>0</v>
      </c>
      <c r="NT67" s="32" cm="1">
        <f t="array" ref="NT67">NETWORKDAYS($DV$2,$EY$2)-SUM(COUNTIF(DV67:EY67,{"I";"F";"CP";"R";"P";"AC";"AM"}))</f>
        <v>16</v>
      </c>
      <c r="NU67" s="138">
        <f t="shared" si="35"/>
        <v>0</v>
      </c>
      <c r="NV67" s="8">
        <f t="shared" si="36"/>
        <v>0</v>
      </c>
      <c r="NW67" s="32" cm="1">
        <f t="array" ref="NW67">NETWORKDAYS($EZ$2,$GC$2)-SUM(COUNTIF(EZ147:GC147,{"I";"F";"CP";"R";"P";"AC";"AM"}))</f>
        <v>22</v>
      </c>
      <c r="NX67" s="138">
        <f t="shared" si="37"/>
        <v>0</v>
      </c>
      <c r="NY67" s="8">
        <f t="shared" si="38"/>
        <v>0</v>
      </c>
      <c r="NZ67" s="32" cm="1">
        <f t="array" ref="NZ67">NETWORKDAYS($GD$2,$HH$2,$GQ$2)-SUM(COUNTIF(GD67:HH67,{"I";"F";"CP";"R";"P";"AC";"AM"}))</f>
        <v>21</v>
      </c>
      <c r="OA67" s="138">
        <f t="shared" si="39"/>
        <v>0</v>
      </c>
      <c r="OB67" s="8">
        <f t="shared" si="40"/>
        <v>0</v>
      </c>
      <c r="OC67" s="32" cm="1">
        <f t="array" ref="OC67">NETWORKDAYS($HI$2,$IM$2)-SUM(COUNTIF(HI67:IM67,{"I";"F";"CP";"R";"P";"AC";"AM"}))</f>
        <v>21</v>
      </c>
      <c r="OD67" s="138">
        <f t="shared" si="41"/>
        <v>0</v>
      </c>
      <c r="OE67" s="8">
        <f t="shared" si="42"/>
        <v>0</v>
      </c>
      <c r="OF67" s="32" cm="1">
        <f t="array" ref="OF67">NETWORKDAYS($IN$2,$JQ$2)-SUM(COUNTIF(IN67:JQ67,{"I";"F";"CP";"R";"P";"AC";"AM"}))</f>
        <v>22</v>
      </c>
      <c r="OG67" s="138">
        <f t="shared" si="43"/>
        <v>0</v>
      </c>
      <c r="OH67" s="8">
        <f t="shared" si="44"/>
        <v>0</v>
      </c>
      <c r="OI67" s="32" cm="1">
        <f t="array" ref="OI67">NETWORKDAYS($JR$2,$KV$2)-SUM(COUNTIF(JR67:KV67,{"I";"F";"CP";"R";"P";"AC";"AM"}))</f>
        <v>22</v>
      </c>
      <c r="OJ67" s="138">
        <f t="shared" si="45"/>
        <v>0</v>
      </c>
      <c r="OK67" s="8">
        <f t="shared" si="46"/>
        <v>0</v>
      </c>
      <c r="OL67" s="32" cm="1">
        <f t="array" ref="OL67">NETWORKDAYS($KW$2,$LZ$2,$LG$2)-SUM(COUNTIF(KW67:LZ67,{"I";"F";"CP";"R";"P";"AC";"AM"}))</f>
        <v>19</v>
      </c>
      <c r="OM67" s="138">
        <f t="shared" si="47"/>
        <v>0</v>
      </c>
      <c r="ON67" s="8">
        <f t="shared" si="48"/>
        <v>0</v>
      </c>
      <c r="OO67" s="32" cm="1">
        <f t="array" ref="OO67">NETWORKDAYS($MA$2,$MR$2)-SUM(COUNTIF(MA67:MR67,{"I";"F";"CP";"R";"P";"AC";"AM"}))</f>
        <v>14</v>
      </c>
      <c r="OP67" s="138">
        <f t="shared" si="49"/>
        <v>0</v>
      </c>
      <c r="OQ67" s="94">
        <f t="shared" si="50"/>
        <v>0</v>
      </c>
      <c r="OR67" s="94">
        <f t="shared" si="51"/>
        <v>240</v>
      </c>
      <c r="OS67" s="138">
        <f t="shared" si="52"/>
        <v>0</v>
      </c>
    </row>
    <row r="68" spans="1:409" ht="18" hidden="1" customHeight="1" x14ac:dyDescent="0.25">
      <c r="A68" s="95" t="s">
        <v>168</v>
      </c>
      <c r="B68" s="95" t="s">
        <v>168</v>
      </c>
      <c r="C68" s="89" t="s">
        <v>188</v>
      </c>
      <c r="D68" s="89" t="s">
        <v>250</v>
      </c>
      <c r="E68" s="128"/>
      <c r="F68" s="110"/>
      <c r="G68" s="110"/>
      <c r="H68" s="110"/>
      <c r="I68" s="25"/>
      <c r="J68" s="25"/>
      <c r="K68" s="25"/>
      <c r="L68" s="25"/>
      <c r="M68" s="25"/>
      <c r="N68" s="110"/>
      <c r="O68" s="110"/>
      <c r="P68" s="25"/>
      <c r="Q68" s="25"/>
      <c r="R68" s="25"/>
      <c r="S68" s="25"/>
      <c r="T68" s="25"/>
      <c r="U68" s="110"/>
      <c r="V68" s="110"/>
      <c r="W68" s="25"/>
      <c r="X68" s="25"/>
      <c r="Y68" s="25"/>
      <c r="Z68" s="25"/>
      <c r="AA68" s="25"/>
      <c r="AB68" s="110"/>
      <c r="AC68" s="110"/>
      <c r="AD68" s="25"/>
      <c r="AE68" s="25"/>
      <c r="AF68" s="25"/>
      <c r="AG68" s="25"/>
      <c r="AH68" s="25"/>
      <c r="AI68" s="110"/>
      <c r="AJ68" s="110"/>
      <c r="AK68" s="25"/>
      <c r="AL68" s="25"/>
      <c r="AM68" s="25"/>
      <c r="AN68" s="25"/>
      <c r="AO68" s="25"/>
      <c r="AP68" s="110"/>
      <c r="AQ68" s="110"/>
      <c r="AR68" s="25"/>
      <c r="AS68" s="25"/>
      <c r="AT68" s="25"/>
      <c r="AU68" s="25"/>
      <c r="AV68" s="25"/>
      <c r="AW68" s="110"/>
      <c r="AX68" s="110"/>
      <c r="AY68" s="25"/>
      <c r="AZ68" s="25"/>
      <c r="BA68" s="25"/>
      <c r="BB68" s="25"/>
      <c r="BC68" s="25"/>
      <c r="BD68" s="110"/>
      <c r="BE68" s="110"/>
      <c r="BF68" s="25"/>
      <c r="BG68" s="25"/>
      <c r="BH68" s="25"/>
      <c r="BI68" s="25"/>
      <c r="BJ68" s="25"/>
      <c r="BK68" s="110"/>
      <c r="BL68" s="110"/>
      <c r="BM68" s="25"/>
      <c r="BN68" s="25"/>
      <c r="BO68" s="25"/>
      <c r="BP68" s="25"/>
      <c r="BQ68" s="25"/>
      <c r="BR68" s="110"/>
      <c r="BS68" s="110"/>
      <c r="BT68" s="25"/>
      <c r="BU68" s="25"/>
      <c r="BV68" s="25"/>
      <c r="BW68" s="25"/>
      <c r="BX68" s="25"/>
      <c r="BY68" s="110"/>
      <c r="BZ68" s="110"/>
      <c r="CA68" s="25"/>
      <c r="CB68" s="25"/>
      <c r="CC68" s="25"/>
      <c r="CD68" s="25"/>
      <c r="CE68" s="25"/>
      <c r="CF68" s="110"/>
      <c r="CG68" s="110"/>
      <c r="CH68" s="25"/>
      <c r="CI68" s="25"/>
      <c r="CJ68" s="25"/>
      <c r="CK68" s="25"/>
      <c r="CL68" s="25"/>
      <c r="CM68" s="110"/>
      <c r="CN68" s="110"/>
      <c r="CO68" s="25"/>
      <c r="CP68" s="25"/>
      <c r="CQ68" s="25"/>
      <c r="CR68" s="25"/>
      <c r="CS68" s="25"/>
      <c r="CT68" s="110"/>
      <c r="CU68" s="110"/>
      <c r="CV68" s="110"/>
      <c r="CW68" s="25"/>
      <c r="CX68" s="25"/>
      <c r="CY68" s="25"/>
      <c r="CZ68" s="25"/>
      <c r="DA68" s="110"/>
      <c r="DB68" s="110"/>
      <c r="DC68" s="25"/>
      <c r="DD68" s="25"/>
      <c r="DE68" s="25"/>
      <c r="DF68" s="25"/>
      <c r="DG68" s="25"/>
      <c r="DH68" s="110"/>
      <c r="DI68" s="110"/>
      <c r="DJ68" s="25"/>
      <c r="DK68" s="25"/>
      <c r="DL68" s="25"/>
      <c r="DM68" s="25"/>
      <c r="DN68" s="25"/>
      <c r="DO68" s="110"/>
      <c r="DP68" s="110"/>
      <c r="DQ68" s="25"/>
      <c r="DR68" s="25"/>
      <c r="DS68" s="25"/>
      <c r="DT68" s="25"/>
      <c r="DU68" s="110"/>
      <c r="DV68" s="110"/>
      <c r="DW68" s="110"/>
      <c r="DX68" s="25"/>
      <c r="DY68" s="25"/>
      <c r="DZ68" s="25"/>
      <c r="EA68" s="25"/>
      <c r="EB68" s="110" t="s">
        <v>445</v>
      </c>
      <c r="EC68" s="110"/>
      <c r="ED68" s="110"/>
      <c r="EE68" s="25"/>
      <c r="EF68" s="25"/>
      <c r="EG68" s="25"/>
      <c r="EH68" s="110" t="s">
        <v>445</v>
      </c>
      <c r="EI68" s="110" t="s">
        <v>445</v>
      </c>
      <c r="EJ68" s="110"/>
      <c r="EK68" s="110"/>
      <c r="EL68" s="25"/>
      <c r="EM68" s="25"/>
      <c r="EN68" s="25"/>
      <c r="EO68" s="25"/>
      <c r="EP68" s="25"/>
      <c r="EQ68" s="110"/>
      <c r="ER68" s="110"/>
      <c r="ES68" s="110" t="s">
        <v>445</v>
      </c>
      <c r="ET68" s="25"/>
      <c r="EU68" s="25"/>
      <c r="EV68" s="25"/>
      <c r="EW68" s="25"/>
      <c r="EX68" s="110"/>
      <c r="EY68" s="110"/>
      <c r="EZ68" s="25"/>
      <c r="FA68" s="25"/>
      <c r="FB68" s="25"/>
      <c r="FC68" s="25"/>
      <c r="FD68" s="25"/>
      <c r="FE68" s="110"/>
      <c r="FF68" s="110"/>
      <c r="FG68" s="25"/>
      <c r="FH68" s="25"/>
      <c r="FI68" s="25"/>
      <c r="FJ68" s="25"/>
      <c r="FK68" s="25"/>
      <c r="FL68" s="110"/>
      <c r="FM68" s="110"/>
      <c r="FN68" s="25"/>
      <c r="FO68" s="25"/>
      <c r="FP68" s="25"/>
      <c r="FQ68" s="25"/>
      <c r="FR68" s="25"/>
      <c r="FS68" s="110"/>
      <c r="FT68" s="110"/>
      <c r="FU68" s="25"/>
      <c r="FV68" s="25"/>
      <c r="FW68" s="25"/>
      <c r="FX68" s="25"/>
      <c r="FY68" s="25"/>
      <c r="FZ68" s="110"/>
      <c r="GA68" s="110"/>
      <c r="GB68" s="25"/>
      <c r="GC68" s="25"/>
      <c r="GD68" s="25"/>
      <c r="GE68" s="25"/>
      <c r="GF68" s="25"/>
      <c r="GG68" s="110"/>
      <c r="GH68" s="110"/>
      <c r="GI68" s="25"/>
      <c r="GJ68" s="25"/>
      <c r="GK68" s="25"/>
      <c r="GL68" s="25"/>
      <c r="GM68" s="25"/>
      <c r="GN68" s="110"/>
      <c r="GO68" s="110"/>
      <c r="GP68" s="110"/>
      <c r="GQ68" s="110" t="s">
        <v>445</v>
      </c>
      <c r="GR68" s="25"/>
      <c r="GS68" s="25"/>
      <c r="GT68" s="25"/>
      <c r="GU68" s="110"/>
      <c r="GV68" s="110"/>
      <c r="GW68" s="25"/>
      <c r="GX68" s="25"/>
      <c r="GY68" s="25"/>
      <c r="GZ68" s="25"/>
      <c r="HA68" s="25"/>
      <c r="HB68" s="110"/>
      <c r="HC68" s="110"/>
      <c r="HD68" s="25"/>
      <c r="HE68" s="25"/>
      <c r="HF68" s="25"/>
      <c r="HG68" s="25"/>
      <c r="HH68" s="25"/>
      <c r="HI68" s="110"/>
      <c r="HJ68" s="110"/>
      <c r="HK68" s="25"/>
      <c r="HL68" s="25"/>
      <c r="HM68" s="25"/>
      <c r="HN68" s="25"/>
      <c r="HO68" s="25"/>
      <c r="HP68" s="110"/>
      <c r="HQ68" s="110"/>
      <c r="HR68" s="25"/>
      <c r="HS68" s="25"/>
      <c r="HT68" s="25"/>
      <c r="HU68" s="25"/>
      <c r="HV68" s="25"/>
      <c r="HW68" s="110"/>
      <c r="HX68" s="110"/>
      <c r="HY68" s="25"/>
      <c r="HZ68" s="25"/>
      <c r="IA68" s="25"/>
      <c r="IB68" s="25"/>
      <c r="IC68" s="25"/>
      <c r="ID68" s="110"/>
      <c r="IE68" s="110"/>
      <c r="IF68" s="25"/>
      <c r="IG68" s="25"/>
      <c r="IH68" s="25"/>
      <c r="II68" s="25"/>
      <c r="IJ68" s="25"/>
      <c r="IK68" s="110"/>
      <c r="IL68" s="110"/>
      <c r="IM68" s="25"/>
      <c r="IN68" s="25"/>
      <c r="IO68" s="25"/>
      <c r="IP68" s="25"/>
      <c r="IQ68" s="25"/>
      <c r="IR68" s="110"/>
      <c r="IS68" s="110"/>
      <c r="IT68" s="25"/>
      <c r="IU68" s="25"/>
      <c r="IV68" s="25"/>
      <c r="IW68" s="25"/>
      <c r="IX68" s="25"/>
      <c r="IY68" s="110"/>
      <c r="IZ68" s="110"/>
      <c r="JA68" s="25"/>
      <c r="JB68" s="25"/>
      <c r="JC68" s="25"/>
      <c r="JD68" s="25"/>
      <c r="JE68" s="25"/>
      <c r="JF68" s="110"/>
      <c r="JG68" s="110"/>
      <c r="JH68" s="25"/>
      <c r="JI68" s="25"/>
      <c r="JJ68" s="25"/>
      <c r="JK68" s="25"/>
      <c r="JL68" s="25"/>
      <c r="JM68" s="110"/>
      <c r="JN68" s="110"/>
      <c r="JO68" s="25"/>
      <c r="JP68" s="25"/>
      <c r="JQ68" s="25"/>
      <c r="JR68" s="25"/>
      <c r="JS68" s="25"/>
      <c r="JT68" s="110"/>
      <c r="JU68" s="110"/>
      <c r="JV68" s="25"/>
      <c r="JW68" s="25"/>
      <c r="JX68" s="25"/>
      <c r="JY68" s="25"/>
      <c r="JZ68" s="25"/>
      <c r="KA68" s="110"/>
      <c r="KB68" s="110"/>
      <c r="KC68" s="25"/>
      <c r="KD68" s="25"/>
      <c r="KE68" s="25"/>
      <c r="KF68" s="25"/>
      <c r="KG68" s="25"/>
      <c r="KH68" s="110"/>
      <c r="KI68" s="110"/>
      <c r="KJ68" s="25"/>
      <c r="KK68" s="25"/>
      <c r="KL68" s="25"/>
      <c r="KM68" s="25"/>
      <c r="KN68" s="25"/>
      <c r="KO68" s="110"/>
      <c r="KP68" s="110"/>
      <c r="KQ68" s="25"/>
      <c r="KR68" s="25"/>
      <c r="KS68" s="25"/>
      <c r="KT68" s="25"/>
      <c r="KU68" s="25"/>
      <c r="KV68" s="110"/>
      <c r="KW68" s="110"/>
      <c r="KX68" s="25"/>
      <c r="KY68" s="25"/>
      <c r="KZ68" s="25"/>
      <c r="LA68" s="25"/>
      <c r="LB68" s="25"/>
      <c r="LC68" s="110"/>
      <c r="LD68" s="110"/>
      <c r="LE68" s="25"/>
      <c r="LF68" s="25"/>
      <c r="LG68" s="110" t="s">
        <v>445</v>
      </c>
      <c r="LH68" s="25"/>
      <c r="LI68" s="25"/>
      <c r="LJ68" s="110"/>
      <c r="LK68" s="110"/>
      <c r="LL68" s="25"/>
      <c r="LM68" s="25"/>
      <c r="LN68" s="25"/>
      <c r="LO68" s="25"/>
      <c r="LP68" s="25"/>
      <c r="LQ68" s="110"/>
      <c r="LR68" s="110"/>
      <c r="LS68" s="25"/>
      <c r="LT68" s="25"/>
      <c r="LU68" s="25"/>
      <c r="LV68" s="25"/>
      <c r="LW68" s="25"/>
      <c r="LX68" s="110"/>
      <c r="LY68" s="110"/>
      <c r="LZ68" s="25"/>
      <c r="MA68" s="25"/>
      <c r="MB68" s="25"/>
      <c r="MC68" s="25"/>
      <c r="MD68" s="25"/>
      <c r="ME68" s="110"/>
      <c r="MF68" s="110"/>
      <c r="MG68" s="25"/>
      <c r="MH68" s="25"/>
      <c r="MI68" s="25"/>
      <c r="MJ68" s="25"/>
      <c r="MK68" s="25"/>
      <c r="ML68" s="110"/>
      <c r="MM68" s="110"/>
      <c r="MN68" s="25"/>
      <c r="MO68" s="25"/>
      <c r="MP68" s="25"/>
      <c r="MQ68" s="25"/>
      <c r="MR68" s="25"/>
      <c r="MS68" s="110"/>
      <c r="MT68" s="110"/>
      <c r="MU68" s="25"/>
      <c r="MV68" s="25"/>
      <c r="MW68" s="25"/>
      <c r="MX68" s="25"/>
      <c r="MY68" s="25"/>
      <c r="MZ68" s="110"/>
      <c r="NA68" s="110"/>
      <c r="NB68" s="25"/>
      <c r="NC68" s="25"/>
      <c r="ND68" s="25"/>
      <c r="NE68" s="129"/>
      <c r="NF68" s="111"/>
      <c r="NG68" s="8">
        <f t="shared" si="27"/>
        <v>0</v>
      </c>
      <c r="NH68" s="32" cm="1">
        <f t="array" ref="NH68">NETWORKDAYS($I$2,$AI$2)- SUM(COUNTIF(I68:AI68,{"I";"F";"CP";"R";"P";"AC";"AM"}))</f>
        <v>20</v>
      </c>
      <c r="NI68" s="138">
        <f t="shared" si="28"/>
        <v>0</v>
      </c>
      <c r="NJ68" s="8">
        <f t="shared" si="29"/>
        <v>0</v>
      </c>
      <c r="NK68" s="32" cm="1">
        <f t="array" ref="NK68">NETWORKDAYS($AJ$2,$BK$2)- SUM(COUNTIF(AJ68:BK68,{"I";"F";"CP";"R";"P";"AC";"AM"}))</f>
        <v>20</v>
      </c>
      <c r="NL68" s="138">
        <f t="shared" si="30"/>
        <v>0</v>
      </c>
      <c r="NM68" s="8">
        <f t="shared" si="31"/>
        <v>0</v>
      </c>
      <c r="NN68" s="32" cm="1">
        <f t="array" ref="NN68">NETWORKDAYS($BL$2,$CP$2)- SUM(COUNTIF(BL68:CP68,{"I";"F";"CP";"R";"P";"AC";"AM"}))</f>
        <v>22</v>
      </c>
      <c r="NO68" s="138">
        <f t="shared" si="32"/>
        <v>0</v>
      </c>
      <c r="NP68" s="8">
        <f t="shared" si="53"/>
        <v>0</v>
      </c>
      <c r="NQ68" s="32" cm="1">
        <f t="array" ref="NQ68">NETWORKDAYS($CQ$2,$DT$2,$CV$2)- SUM(COUNTIF(CQ68:DT68,{"I";"F";"CP";"R";"P";"AC";"AM"}))</f>
        <v>21</v>
      </c>
      <c r="NR68" s="138">
        <f t="shared" si="33"/>
        <v>0</v>
      </c>
      <c r="NS68" s="8">
        <f t="shared" si="34"/>
        <v>0</v>
      </c>
      <c r="NT68" s="32" cm="1">
        <f t="array" ref="NT68">NETWORKDAYS($DV$2,$EY$2)-SUM(COUNTIF(DV68:EY68,{"I";"F";"CP";"R";"P";"AC";"AM"}))</f>
        <v>16</v>
      </c>
      <c r="NU68" s="138">
        <f t="shared" si="35"/>
        <v>0</v>
      </c>
      <c r="NV68" s="8">
        <f t="shared" si="36"/>
        <v>0</v>
      </c>
      <c r="NW68" s="32" cm="1">
        <f t="array" ref="NW68">NETWORKDAYS($EZ$2,$GC$2)-SUM(COUNTIF(EZ148:GC148,{"I";"F";"CP";"R";"P";"AC";"AM"}))</f>
        <v>22</v>
      </c>
      <c r="NX68" s="138">
        <f t="shared" si="37"/>
        <v>0</v>
      </c>
      <c r="NY68" s="8">
        <f t="shared" si="38"/>
        <v>0</v>
      </c>
      <c r="NZ68" s="32" cm="1">
        <f t="array" ref="NZ68">NETWORKDAYS($GD$2,$HH$2,$GQ$2)-SUM(COUNTIF(GD68:HH68,{"I";"F";"CP";"R";"P";"AC";"AM"}))</f>
        <v>21</v>
      </c>
      <c r="OA68" s="138">
        <f t="shared" si="39"/>
        <v>0</v>
      </c>
      <c r="OB68" s="8">
        <f t="shared" si="40"/>
        <v>0</v>
      </c>
      <c r="OC68" s="32" cm="1">
        <f t="array" ref="OC68">NETWORKDAYS($HI$2,$IM$2)-SUM(COUNTIF(HI68:IM68,{"I";"F";"CP";"R";"P";"AC";"AM"}))</f>
        <v>21</v>
      </c>
      <c r="OD68" s="138">
        <f t="shared" si="41"/>
        <v>0</v>
      </c>
      <c r="OE68" s="8">
        <f t="shared" si="42"/>
        <v>0</v>
      </c>
      <c r="OF68" s="32" cm="1">
        <f t="array" ref="OF68">NETWORKDAYS($IN$2,$JQ$2)-SUM(COUNTIF(IN68:JQ68,{"I";"F";"CP";"R";"P";"AC";"AM"}))</f>
        <v>22</v>
      </c>
      <c r="OG68" s="138">
        <f t="shared" si="43"/>
        <v>0</v>
      </c>
      <c r="OH68" s="8">
        <f t="shared" si="44"/>
        <v>0</v>
      </c>
      <c r="OI68" s="32" cm="1">
        <f t="array" ref="OI68">NETWORKDAYS($JR$2,$KV$2)-SUM(COUNTIF(JR68:KV68,{"I";"F";"CP";"R";"P";"AC";"AM"}))</f>
        <v>22</v>
      </c>
      <c r="OJ68" s="138">
        <f t="shared" si="45"/>
        <v>0</v>
      </c>
      <c r="OK68" s="8">
        <f t="shared" si="46"/>
        <v>0</v>
      </c>
      <c r="OL68" s="32" cm="1">
        <f t="array" ref="OL68">NETWORKDAYS($KW$2,$LZ$2,$LG$2)-SUM(COUNTIF(KW68:LZ68,{"I";"F";"CP";"R";"P";"AC";"AM"}))</f>
        <v>19</v>
      </c>
      <c r="OM68" s="138">
        <f t="shared" si="47"/>
        <v>0</v>
      </c>
      <c r="ON68" s="8">
        <f t="shared" si="48"/>
        <v>0</v>
      </c>
      <c r="OO68" s="32" cm="1">
        <f t="array" ref="OO68">NETWORKDAYS($MA$2,$MR$2)-SUM(COUNTIF(MA68:MR68,{"I";"F";"CP";"R";"P";"AC";"AM"}))</f>
        <v>14</v>
      </c>
      <c r="OP68" s="138">
        <f t="shared" si="49"/>
        <v>0</v>
      </c>
      <c r="OQ68" s="94">
        <f t="shared" si="50"/>
        <v>0</v>
      </c>
      <c r="OR68" s="94">
        <f t="shared" si="51"/>
        <v>240</v>
      </c>
      <c r="OS68" s="138">
        <f t="shared" si="52"/>
        <v>0</v>
      </c>
    </row>
    <row r="69" spans="1:409" ht="18" hidden="1" customHeight="1" x14ac:dyDescent="0.25">
      <c r="A69" s="95" t="s">
        <v>202</v>
      </c>
      <c r="B69" s="95" t="s">
        <v>34</v>
      </c>
      <c r="C69" s="89" t="s">
        <v>160</v>
      </c>
      <c r="D69" s="89" t="s">
        <v>251</v>
      </c>
      <c r="E69" s="128"/>
      <c r="F69" s="110"/>
      <c r="G69" s="110"/>
      <c r="H69" s="110"/>
      <c r="I69" s="25"/>
      <c r="J69" s="25"/>
      <c r="K69" s="25"/>
      <c r="L69" s="25"/>
      <c r="M69" s="25"/>
      <c r="N69" s="110"/>
      <c r="O69" s="110"/>
      <c r="P69" s="25"/>
      <c r="Q69" s="25"/>
      <c r="R69" s="25"/>
      <c r="S69" s="25"/>
      <c r="T69" s="25"/>
      <c r="U69" s="110"/>
      <c r="V69" s="110"/>
      <c r="W69" s="25"/>
      <c r="X69" s="25"/>
      <c r="Y69" s="25"/>
      <c r="Z69" s="25"/>
      <c r="AA69" s="25"/>
      <c r="AB69" s="110"/>
      <c r="AC69" s="110"/>
      <c r="AD69" s="25"/>
      <c r="AE69" s="25"/>
      <c r="AF69" s="25"/>
      <c r="AG69" s="25"/>
      <c r="AH69" s="25"/>
      <c r="AI69" s="110"/>
      <c r="AJ69" s="110"/>
      <c r="AK69" s="25"/>
      <c r="AL69" s="25"/>
      <c r="AM69" s="25"/>
      <c r="AN69" s="25"/>
      <c r="AO69" s="25"/>
      <c r="AP69" s="110"/>
      <c r="AQ69" s="110"/>
      <c r="AR69" s="25"/>
      <c r="AS69" s="25"/>
      <c r="AT69" s="25"/>
      <c r="AU69" s="25"/>
      <c r="AV69" s="25"/>
      <c r="AW69" s="110"/>
      <c r="AX69" s="110"/>
      <c r="AY69" s="25"/>
      <c r="AZ69" s="25"/>
      <c r="BA69" s="25"/>
      <c r="BB69" s="25"/>
      <c r="BC69" s="25"/>
      <c r="BD69" s="110"/>
      <c r="BE69" s="110"/>
      <c r="BF69" s="25"/>
      <c r="BG69" s="25"/>
      <c r="BH69" s="25"/>
      <c r="BI69" s="25"/>
      <c r="BJ69" s="25"/>
      <c r="BK69" s="110"/>
      <c r="BL69" s="110"/>
      <c r="BM69" s="25"/>
      <c r="BN69" s="25"/>
      <c r="BO69" s="25"/>
      <c r="BP69" s="25"/>
      <c r="BQ69" s="25"/>
      <c r="BR69" s="110"/>
      <c r="BS69" s="110"/>
      <c r="BT69" s="25"/>
      <c r="BU69" s="25"/>
      <c r="BV69" s="25"/>
      <c r="BW69" s="25"/>
      <c r="BX69" s="25"/>
      <c r="BY69" s="110"/>
      <c r="BZ69" s="110"/>
      <c r="CA69" s="25"/>
      <c r="CB69" s="25"/>
      <c r="CC69" s="25"/>
      <c r="CD69" s="25"/>
      <c r="CE69" s="25"/>
      <c r="CF69" s="110"/>
      <c r="CG69" s="110"/>
      <c r="CH69" s="25"/>
      <c r="CI69" s="25"/>
      <c r="CJ69" s="25"/>
      <c r="CK69" s="25"/>
      <c r="CL69" s="25"/>
      <c r="CM69" s="110"/>
      <c r="CN69" s="110"/>
      <c r="CO69" s="25"/>
      <c r="CP69" s="25"/>
      <c r="CQ69" s="25"/>
      <c r="CR69" s="25"/>
      <c r="CS69" s="25"/>
      <c r="CT69" s="110"/>
      <c r="CU69" s="110"/>
      <c r="CV69" s="110"/>
      <c r="CW69" s="25"/>
      <c r="CX69" s="25"/>
      <c r="CY69" s="25"/>
      <c r="CZ69" s="25"/>
      <c r="DA69" s="110"/>
      <c r="DB69" s="110"/>
      <c r="DC69" s="25"/>
      <c r="DD69" s="25"/>
      <c r="DE69" s="25"/>
      <c r="DF69" s="25"/>
      <c r="DG69" s="25"/>
      <c r="DH69" s="110"/>
      <c r="DI69" s="110"/>
      <c r="DJ69" s="25"/>
      <c r="DK69" s="25"/>
      <c r="DL69" s="25"/>
      <c r="DM69" s="25"/>
      <c r="DN69" s="25"/>
      <c r="DO69" s="110"/>
      <c r="DP69" s="110"/>
      <c r="DQ69" s="25"/>
      <c r="DR69" s="25"/>
      <c r="DS69" s="25"/>
      <c r="DT69" s="25"/>
      <c r="DU69" s="110"/>
      <c r="DV69" s="110"/>
      <c r="DW69" s="110"/>
      <c r="DX69" s="25"/>
      <c r="DY69" s="25"/>
      <c r="DZ69" s="25"/>
      <c r="EA69" s="25"/>
      <c r="EB69" s="110" t="s">
        <v>445</v>
      </c>
      <c r="EC69" s="110"/>
      <c r="ED69" s="110"/>
      <c r="EE69" s="25"/>
      <c r="EF69" s="25"/>
      <c r="EG69" s="25"/>
      <c r="EH69" s="110" t="s">
        <v>445</v>
      </c>
      <c r="EI69" s="110" t="s">
        <v>445</v>
      </c>
      <c r="EJ69" s="110"/>
      <c r="EK69" s="110"/>
      <c r="EL69" s="25"/>
      <c r="EM69" s="25"/>
      <c r="EN69" s="25"/>
      <c r="EO69" s="25"/>
      <c r="EP69" s="25"/>
      <c r="EQ69" s="110"/>
      <c r="ER69" s="110"/>
      <c r="ES69" s="110" t="s">
        <v>445</v>
      </c>
      <c r="ET69" s="25"/>
      <c r="EU69" s="25"/>
      <c r="EV69" s="25"/>
      <c r="EW69" s="25"/>
      <c r="EX69" s="110"/>
      <c r="EY69" s="110"/>
      <c r="EZ69" s="25"/>
      <c r="FA69" s="25"/>
      <c r="FB69" s="25"/>
      <c r="FC69" s="25"/>
      <c r="FD69" s="25"/>
      <c r="FE69" s="110"/>
      <c r="FF69" s="110"/>
      <c r="FG69" s="25"/>
      <c r="FH69" s="25"/>
      <c r="FI69" s="25"/>
      <c r="FJ69" s="25"/>
      <c r="FK69" s="25"/>
      <c r="FL69" s="110"/>
      <c r="FM69" s="110"/>
      <c r="FN69" s="25"/>
      <c r="FO69" s="25"/>
      <c r="FP69" s="25"/>
      <c r="FQ69" s="25"/>
      <c r="FR69" s="25"/>
      <c r="FS69" s="110"/>
      <c r="FT69" s="110"/>
      <c r="FU69" s="25"/>
      <c r="FV69" s="25"/>
      <c r="FW69" s="25"/>
      <c r="FX69" s="25"/>
      <c r="FY69" s="25"/>
      <c r="FZ69" s="110"/>
      <c r="GA69" s="110"/>
      <c r="GB69" s="25"/>
      <c r="GC69" s="25"/>
      <c r="GD69" s="25"/>
      <c r="GE69" s="25"/>
      <c r="GF69" s="25"/>
      <c r="GG69" s="110"/>
      <c r="GH69" s="110"/>
      <c r="GI69" s="25"/>
      <c r="GJ69" s="25"/>
      <c r="GK69" s="25"/>
      <c r="GL69" s="25"/>
      <c r="GM69" s="25"/>
      <c r="GN69" s="110"/>
      <c r="GO69" s="110"/>
      <c r="GP69" s="110"/>
      <c r="GQ69" s="110" t="s">
        <v>445</v>
      </c>
      <c r="GR69" s="25"/>
      <c r="GS69" s="25"/>
      <c r="GT69" s="25"/>
      <c r="GU69" s="110"/>
      <c r="GV69" s="110"/>
      <c r="GW69" s="25"/>
      <c r="GX69" s="25"/>
      <c r="GY69" s="25"/>
      <c r="GZ69" s="25"/>
      <c r="HA69" s="25"/>
      <c r="HB69" s="110"/>
      <c r="HC69" s="110"/>
      <c r="HD69" s="25"/>
      <c r="HE69" s="25"/>
      <c r="HF69" s="25"/>
      <c r="HG69" s="25"/>
      <c r="HH69" s="25"/>
      <c r="HI69" s="110"/>
      <c r="HJ69" s="110"/>
      <c r="HK69" s="25"/>
      <c r="HL69" s="25"/>
      <c r="HM69" s="25"/>
      <c r="HN69" s="25"/>
      <c r="HO69" s="25"/>
      <c r="HP69" s="110"/>
      <c r="HQ69" s="110"/>
      <c r="HR69" s="25"/>
      <c r="HS69" s="25"/>
      <c r="HT69" s="25"/>
      <c r="HU69" s="25"/>
      <c r="HV69" s="25"/>
      <c r="HW69" s="110"/>
      <c r="HX69" s="110"/>
      <c r="HY69" s="25"/>
      <c r="HZ69" s="25"/>
      <c r="IA69" s="25"/>
      <c r="IB69" s="25"/>
      <c r="IC69" s="25"/>
      <c r="ID69" s="110"/>
      <c r="IE69" s="110"/>
      <c r="IF69" s="25"/>
      <c r="IG69" s="25"/>
      <c r="IH69" s="25"/>
      <c r="II69" s="25"/>
      <c r="IJ69" s="25"/>
      <c r="IK69" s="110"/>
      <c r="IL69" s="110"/>
      <c r="IM69" s="25"/>
      <c r="IN69" s="25"/>
      <c r="IO69" s="25"/>
      <c r="IP69" s="25"/>
      <c r="IQ69" s="25"/>
      <c r="IR69" s="110"/>
      <c r="IS69" s="110"/>
      <c r="IT69" s="25"/>
      <c r="IU69" s="25"/>
      <c r="IV69" s="25"/>
      <c r="IW69" s="25"/>
      <c r="IX69" s="25"/>
      <c r="IY69" s="110"/>
      <c r="IZ69" s="110"/>
      <c r="JA69" s="25"/>
      <c r="JB69" s="25"/>
      <c r="JC69" s="25"/>
      <c r="JD69" s="25"/>
      <c r="JE69" s="25"/>
      <c r="JF69" s="110"/>
      <c r="JG69" s="110"/>
      <c r="JH69" s="25"/>
      <c r="JI69" s="25"/>
      <c r="JJ69" s="25"/>
      <c r="JK69" s="25"/>
      <c r="JL69" s="25"/>
      <c r="JM69" s="110"/>
      <c r="JN69" s="110"/>
      <c r="JO69" s="25"/>
      <c r="JP69" s="25"/>
      <c r="JQ69" s="25"/>
      <c r="JR69" s="25"/>
      <c r="JS69" s="25"/>
      <c r="JT69" s="110"/>
      <c r="JU69" s="110"/>
      <c r="JV69" s="25"/>
      <c r="JW69" s="25"/>
      <c r="JX69" s="25"/>
      <c r="JY69" s="25"/>
      <c r="JZ69" s="25"/>
      <c r="KA69" s="110"/>
      <c r="KB69" s="110"/>
      <c r="KC69" s="25"/>
      <c r="KD69" s="25"/>
      <c r="KE69" s="25"/>
      <c r="KF69" s="25"/>
      <c r="KG69" s="25"/>
      <c r="KH69" s="110"/>
      <c r="KI69" s="110"/>
      <c r="KJ69" s="25"/>
      <c r="KK69" s="25"/>
      <c r="KL69" s="25"/>
      <c r="KM69" s="25"/>
      <c r="KN69" s="25"/>
      <c r="KO69" s="110"/>
      <c r="KP69" s="110"/>
      <c r="KQ69" s="25"/>
      <c r="KR69" s="25"/>
      <c r="KS69" s="25"/>
      <c r="KT69" s="25"/>
      <c r="KU69" s="25"/>
      <c r="KV69" s="110"/>
      <c r="KW69" s="110"/>
      <c r="KX69" s="25"/>
      <c r="KY69" s="25"/>
      <c r="KZ69" s="25"/>
      <c r="LA69" s="25"/>
      <c r="LB69" s="25"/>
      <c r="LC69" s="110"/>
      <c r="LD69" s="110"/>
      <c r="LE69" s="25"/>
      <c r="LF69" s="25"/>
      <c r="LG69" s="110" t="s">
        <v>445</v>
      </c>
      <c r="LH69" s="25"/>
      <c r="LI69" s="25"/>
      <c r="LJ69" s="110"/>
      <c r="LK69" s="110"/>
      <c r="LL69" s="25"/>
      <c r="LM69" s="25"/>
      <c r="LN69" s="25"/>
      <c r="LO69" s="25"/>
      <c r="LP69" s="25"/>
      <c r="LQ69" s="110"/>
      <c r="LR69" s="110"/>
      <c r="LS69" s="25"/>
      <c r="LT69" s="25"/>
      <c r="LU69" s="25"/>
      <c r="LV69" s="25"/>
      <c r="LW69" s="25"/>
      <c r="LX69" s="110"/>
      <c r="LY69" s="110"/>
      <c r="LZ69" s="25"/>
      <c r="MA69" s="25"/>
      <c r="MB69" s="25"/>
      <c r="MC69" s="25"/>
      <c r="MD69" s="25"/>
      <c r="ME69" s="110"/>
      <c r="MF69" s="110"/>
      <c r="MG69" s="25"/>
      <c r="MH69" s="25"/>
      <c r="MI69" s="25"/>
      <c r="MJ69" s="25"/>
      <c r="MK69" s="25"/>
      <c r="ML69" s="110"/>
      <c r="MM69" s="110"/>
      <c r="MN69" s="25"/>
      <c r="MO69" s="25"/>
      <c r="MP69" s="25"/>
      <c r="MQ69" s="25"/>
      <c r="MR69" s="25"/>
      <c r="MS69" s="110"/>
      <c r="MT69" s="110"/>
      <c r="MU69" s="25"/>
      <c r="MV69" s="25"/>
      <c r="MW69" s="25"/>
      <c r="MX69" s="25"/>
      <c r="MY69" s="25"/>
      <c r="MZ69" s="110"/>
      <c r="NA69" s="110"/>
      <c r="NB69" s="25"/>
      <c r="NC69" s="25"/>
      <c r="ND69" s="25"/>
      <c r="NE69" s="129"/>
      <c r="NF69" s="111"/>
      <c r="NG69" s="8">
        <f t="shared" si="27"/>
        <v>0</v>
      </c>
      <c r="NH69" s="32" cm="1">
        <f t="array" ref="NH69">NETWORKDAYS($I$2,$AI$2)- SUM(COUNTIF(I69:AI69,{"I";"F";"CP";"R";"P";"AC";"AM"}))</f>
        <v>20</v>
      </c>
      <c r="NI69" s="138">
        <f t="shared" si="28"/>
        <v>0</v>
      </c>
      <c r="NJ69" s="8">
        <f t="shared" si="29"/>
        <v>0</v>
      </c>
      <c r="NK69" s="32" cm="1">
        <f t="array" ref="NK69">NETWORKDAYS($AJ$2,$BK$2)- SUM(COUNTIF(AJ69:BK69,{"I";"F";"CP";"R";"P";"AC";"AM"}))</f>
        <v>20</v>
      </c>
      <c r="NL69" s="138">
        <f t="shared" si="30"/>
        <v>0</v>
      </c>
      <c r="NM69" s="8">
        <f t="shared" si="31"/>
        <v>0</v>
      </c>
      <c r="NN69" s="32" cm="1">
        <f t="array" ref="NN69">NETWORKDAYS($BL$2,$CP$2)- SUM(COUNTIF(BL69:CP69,{"I";"F";"CP";"R";"P";"AC";"AM"}))</f>
        <v>22</v>
      </c>
      <c r="NO69" s="138">
        <f t="shared" si="32"/>
        <v>0</v>
      </c>
      <c r="NP69" s="32">
        <f t="shared" si="53"/>
        <v>0</v>
      </c>
      <c r="NQ69" s="32" cm="1">
        <f t="array" ref="NQ69">NETWORKDAYS($CQ$2,$DT$2,$CV$2)- SUM(COUNTIF(CQ69:DT69,{"I";"F";"CP";"R";"P";"AC";"AM"}))</f>
        <v>21</v>
      </c>
      <c r="NR69" s="138">
        <f t="shared" si="33"/>
        <v>0</v>
      </c>
      <c r="NS69" s="8">
        <f t="shared" si="34"/>
        <v>0</v>
      </c>
      <c r="NT69" s="32" cm="1">
        <f t="array" ref="NT69">NETWORKDAYS($DV$2,$EY$2)-SUM(COUNTIF(DV69:EY69,{"I";"F";"CP";"R";"P";"AC";"AM"}))</f>
        <v>16</v>
      </c>
      <c r="NU69" s="138">
        <f t="shared" si="35"/>
        <v>0</v>
      </c>
      <c r="NV69" s="8">
        <f t="shared" si="36"/>
        <v>0</v>
      </c>
      <c r="NW69" s="32" cm="1">
        <f t="array" ref="NW69">NETWORKDAYS($EZ$2,$GC$2)-SUM(COUNTIF(EZ149:GC149,{"I";"F";"CP";"R";"P";"AC";"AM"}))</f>
        <v>22</v>
      </c>
      <c r="NX69" s="138">
        <f t="shared" si="37"/>
        <v>0</v>
      </c>
      <c r="NY69" s="8">
        <f t="shared" si="38"/>
        <v>0</v>
      </c>
      <c r="NZ69" s="32" cm="1">
        <f t="array" ref="NZ69">NETWORKDAYS($GD$2,$HH$2,$GQ$2)-SUM(COUNTIF(GD69:HH69,{"I";"F";"CP";"R";"P";"AC";"AM"}))</f>
        <v>21</v>
      </c>
      <c r="OA69" s="138">
        <f t="shared" si="39"/>
        <v>0</v>
      </c>
      <c r="OB69" s="8">
        <f t="shared" si="40"/>
        <v>0</v>
      </c>
      <c r="OC69" s="32" cm="1">
        <f t="array" ref="OC69">NETWORKDAYS($HI$2,$IM$2)-SUM(COUNTIF(HI69:IM69,{"I";"F";"CP";"R";"P";"AC";"AM"}))</f>
        <v>21</v>
      </c>
      <c r="OD69" s="138">
        <f t="shared" si="41"/>
        <v>0</v>
      </c>
      <c r="OE69" s="8">
        <f t="shared" si="42"/>
        <v>0</v>
      </c>
      <c r="OF69" s="32" cm="1">
        <f t="array" ref="OF69">NETWORKDAYS($IN$2,$JQ$2)-SUM(COUNTIF(IN69:JQ69,{"I";"F";"CP";"R";"P";"AC";"AM"}))</f>
        <v>22</v>
      </c>
      <c r="OG69" s="138">
        <f t="shared" si="43"/>
        <v>0</v>
      </c>
      <c r="OH69" s="8">
        <f t="shared" si="44"/>
        <v>0</v>
      </c>
      <c r="OI69" s="32" cm="1">
        <f t="array" ref="OI69">NETWORKDAYS($JR$2,$KV$2)-SUM(COUNTIF(JR69:KV69,{"I";"F";"CP";"R";"P";"AC";"AM"}))</f>
        <v>22</v>
      </c>
      <c r="OJ69" s="138">
        <f t="shared" si="45"/>
        <v>0</v>
      </c>
      <c r="OK69" s="8">
        <f t="shared" si="46"/>
        <v>0</v>
      </c>
      <c r="OL69" s="32" cm="1">
        <f t="array" ref="OL69">NETWORKDAYS($KW$2,$LZ$2,$LG$2)-SUM(COUNTIF(KW69:LZ69,{"I";"F";"CP";"R";"P";"AC";"AM"}))</f>
        <v>19</v>
      </c>
      <c r="OM69" s="138">
        <f t="shared" si="47"/>
        <v>0</v>
      </c>
      <c r="ON69" s="8">
        <f t="shared" si="48"/>
        <v>0</v>
      </c>
      <c r="OO69" s="32" cm="1">
        <f t="array" ref="OO69">NETWORKDAYS($MA$2,$MR$2)-SUM(COUNTIF(MA69:MR69,{"I";"F";"CP";"R";"P";"AC";"AM"}))</f>
        <v>14</v>
      </c>
      <c r="OP69" s="138">
        <f t="shared" si="49"/>
        <v>0</v>
      </c>
      <c r="OQ69" s="94">
        <f t="shared" si="50"/>
        <v>0</v>
      </c>
      <c r="OR69" s="94">
        <f t="shared" si="51"/>
        <v>240</v>
      </c>
      <c r="OS69" s="138">
        <f t="shared" si="52"/>
        <v>0</v>
      </c>
    </row>
    <row r="70" spans="1:409" ht="18" hidden="1" customHeight="1" x14ac:dyDescent="0.25">
      <c r="A70" s="95" t="s">
        <v>159</v>
      </c>
      <c r="B70" s="95" t="s">
        <v>45</v>
      </c>
      <c r="C70" s="89" t="s">
        <v>166</v>
      </c>
      <c r="D70" s="89" t="s">
        <v>252</v>
      </c>
      <c r="E70" s="128"/>
      <c r="F70" s="110"/>
      <c r="G70" s="110"/>
      <c r="H70" s="110"/>
      <c r="I70" s="25"/>
      <c r="J70" s="25"/>
      <c r="K70" s="25"/>
      <c r="L70" s="25"/>
      <c r="M70" s="25"/>
      <c r="N70" s="110"/>
      <c r="O70" s="110"/>
      <c r="P70" s="25"/>
      <c r="Q70" s="25"/>
      <c r="R70" s="25"/>
      <c r="S70" s="25"/>
      <c r="T70" s="25"/>
      <c r="U70" s="110"/>
      <c r="V70" s="110"/>
      <c r="W70" s="25"/>
      <c r="X70" s="25"/>
      <c r="Y70" s="25"/>
      <c r="Z70" s="25"/>
      <c r="AA70" s="25"/>
      <c r="AB70" s="110"/>
      <c r="AC70" s="110"/>
      <c r="AD70" s="25"/>
      <c r="AE70" s="25"/>
      <c r="AF70" s="25"/>
      <c r="AG70" s="25"/>
      <c r="AH70" s="25"/>
      <c r="AI70" s="110"/>
      <c r="AJ70" s="110"/>
      <c r="AK70" s="25"/>
      <c r="AL70" s="25"/>
      <c r="AM70" s="25"/>
      <c r="AN70" s="25"/>
      <c r="AO70" s="25"/>
      <c r="AP70" s="110"/>
      <c r="AQ70" s="110"/>
      <c r="AR70" s="25"/>
      <c r="AS70" s="25"/>
      <c r="AT70" s="25"/>
      <c r="AU70" s="25"/>
      <c r="AV70" s="25"/>
      <c r="AW70" s="110"/>
      <c r="AX70" s="110"/>
      <c r="AY70" s="25"/>
      <c r="AZ70" s="25"/>
      <c r="BA70" s="25"/>
      <c r="BB70" s="25"/>
      <c r="BC70" s="25"/>
      <c r="BD70" s="110"/>
      <c r="BE70" s="110"/>
      <c r="BF70" s="25"/>
      <c r="BG70" s="25"/>
      <c r="BH70" s="25"/>
      <c r="BI70" s="25"/>
      <c r="BJ70" s="25"/>
      <c r="BK70" s="110"/>
      <c r="BL70" s="110"/>
      <c r="BM70" s="25"/>
      <c r="BN70" s="25"/>
      <c r="BO70" s="25"/>
      <c r="BP70" s="25"/>
      <c r="BQ70" s="25"/>
      <c r="BR70" s="110"/>
      <c r="BS70" s="110"/>
      <c r="BT70" s="25"/>
      <c r="BU70" s="25"/>
      <c r="BV70" s="25"/>
      <c r="BW70" s="25"/>
      <c r="BX70" s="25"/>
      <c r="BY70" s="110"/>
      <c r="BZ70" s="110"/>
      <c r="CA70" s="25"/>
      <c r="CB70" s="25"/>
      <c r="CC70" s="25"/>
      <c r="CD70" s="25"/>
      <c r="CE70" s="25"/>
      <c r="CF70" s="110"/>
      <c r="CG70" s="110"/>
      <c r="CH70" s="25"/>
      <c r="CI70" s="25"/>
      <c r="CJ70" s="25"/>
      <c r="CK70" s="25"/>
      <c r="CL70" s="25"/>
      <c r="CM70" s="110"/>
      <c r="CN70" s="110"/>
      <c r="CO70" s="25"/>
      <c r="CP70" s="25"/>
      <c r="CQ70" s="25"/>
      <c r="CR70" s="25"/>
      <c r="CS70" s="25"/>
      <c r="CT70" s="110"/>
      <c r="CU70" s="110"/>
      <c r="CV70" s="110"/>
      <c r="CW70" s="25"/>
      <c r="CX70" s="25"/>
      <c r="CY70" s="25"/>
      <c r="CZ70" s="25"/>
      <c r="DA70" s="110"/>
      <c r="DB70" s="110"/>
      <c r="DC70" s="25"/>
      <c r="DD70" s="25"/>
      <c r="DE70" s="25"/>
      <c r="DF70" s="25"/>
      <c r="DG70" s="25"/>
      <c r="DH70" s="110"/>
      <c r="DI70" s="110"/>
      <c r="DJ70" s="25"/>
      <c r="DK70" s="25"/>
      <c r="DL70" s="25"/>
      <c r="DM70" s="25"/>
      <c r="DN70" s="25"/>
      <c r="DO70" s="110"/>
      <c r="DP70" s="110"/>
      <c r="DQ70" s="25"/>
      <c r="DR70" s="25"/>
      <c r="DS70" s="25"/>
      <c r="DT70" s="25"/>
      <c r="DU70" s="110"/>
      <c r="DV70" s="110"/>
      <c r="DW70" s="110"/>
      <c r="DX70" s="25"/>
      <c r="DY70" s="25"/>
      <c r="DZ70" s="25"/>
      <c r="EA70" s="25"/>
      <c r="EB70" s="110" t="s">
        <v>445</v>
      </c>
      <c r="EC70" s="110"/>
      <c r="ED70" s="110"/>
      <c r="EE70" s="25"/>
      <c r="EF70" s="25"/>
      <c r="EG70" s="25"/>
      <c r="EH70" s="110" t="s">
        <v>445</v>
      </c>
      <c r="EI70" s="110" t="s">
        <v>445</v>
      </c>
      <c r="EJ70" s="110"/>
      <c r="EK70" s="110"/>
      <c r="EL70" s="25"/>
      <c r="EM70" s="25"/>
      <c r="EN70" s="25"/>
      <c r="EO70" s="25"/>
      <c r="EP70" s="25"/>
      <c r="EQ70" s="110"/>
      <c r="ER70" s="110"/>
      <c r="ES70" s="110" t="s">
        <v>445</v>
      </c>
      <c r="ET70" s="25"/>
      <c r="EU70" s="25"/>
      <c r="EV70" s="25"/>
      <c r="EW70" s="25"/>
      <c r="EX70" s="110"/>
      <c r="EY70" s="110"/>
      <c r="EZ70" s="25"/>
      <c r="FA70" s="25"/>
      <c r="FB70" s="25"/>
      <c r="FC70" s="25"/>
      <c r="FD70" s="25"/>
      <c r="FE70" s="110"/>
      <c r="FF70" s="110"/>
      <c r="FG70" s="25"/>
      <c r="FH70" s="25"/>
      <c r="FI70" s="25"/>
      <c r="FJ70" s="25"/>
      <c r="FK70" s="25"/>
      <c r="FL70" s="110"/>
      <c r="FM70" s="110"/>
      <c r="FN70" s="25"/>
      <c r="FO70" s="25"/>
      <c r="FP70" s="25"/>
      <c r="FQ70" s="25"/>
      <c r="FR70" s="25"/>
      <c r="FS70" s="110"/>
      <c r="FT70" s="110"/>
      <c r="FU70" s="25"/>
      <c r="FV70" s="25"/>
      <c r="FW70" s="25"/>
      <c r="FX70" s="25"/>
      <c r="FY70" s="25"/>
      <c r="FZ70" s="110"/>
      <c r="GA70" s="110"/>
      <c r="GB70" s="25"/>
      <c r="GC70" s="25"/>
      <c r="GD70" s="25"/>
      <c r="GE70" s="25"/>
      <c r="GF70" s="25"/>
      <c r="GG70" s="110"/>
      <c r="GH70" s="110"/>
      <c r="GI70" s="25"/>
      <c r="GJ70" s="25"/>
      <c r="GK70" s="25"/>
      <c r="GL70" s="25"/>
      <c r="GM70" s="25"/>
      <c r="GN70" s="110"/>
      <c r="GO70" s="110"/>
      <c r="GP70" s="110"/>
      <c r="GQ70" s="110" t="s">
        <v>445</v>
      </c>
      <c r="GR70" s="25"/>
      <c r="GS70" s="25"/>
      <c r="GT70" s="25"/>
      <c r="GU70" s="110"/>
      <c r="GV70" s="110"/>
      <c r="GW70" s="25"/>
      <c r="GX70" s="25"/>
      <c r="GY70" s="25"/>
      <c r="GZ70" s="25"/>
      <c r="HA70" s="25"/>
      <c r="HB70" s="110"/>
      <c r="HC70" s="110"/>
      <c r="HD70" s="25"/>
      <c r="HE70" s="25"/>
      <c r="HF70" s="25"/>
      <c r="HG70" s="25"/>
      <c r="HH70" s="25"/>
      <c r="HI70" s="110"/>
      <c r="HJ70" s="110"/>
      <c r="HK70" s="25"/>
      <c r="HL70" s="25"/>
      <c r="HM70" s="25"/>
      <c r="HN70" s="25"/>
      <c r="HO70" s="25"/>
      <c r="HP70" s="110"/>
      <c r="HQ70" s="110"/>
      <c r="HR70" s="25"/>
      <c r="HS70" s="25"/>
      <c r="HT70" s="25"/>
      <c r="HU70" s="25"/>
      <c r="HV70" s="25"/>
      <c r="HW70" s="110"/>
      <c r="HX70" s="110"/>
      <c r="HY70" s="25"/>
      <c r="HZ70" s="25"/>
      <c r="IA70" s="25"/>
      <c r="IB70" s="25"/>
      <c r="IC70" s="25"/>
      <c r="ID70" s="110"/>
      <c r="IE70" s="110"/>
      <c r="IF70" s="25"/>
      <c r="IG70" s="25"/>
      <c r="IH70" s="25"/>
      <c r="II70" s="25"/>
      <c r="IJ70" s="25"/>
      <c r="IK70" s="110"/>
      <c r="IL70" s="110"/>
      <c r="IM70" s="25"/>
      <c r="IN70" s="25"/>
      <c r="IO70" s="25"/>
      <c r="IP70" s="25"/>
      <c r="IQ70" s="25"/>
      <c r="IR70" s="110"/>
      <c r="IS70" s="110"/>
      <c r="IT70" s="25"/>
      <c r="IU70" s="25"/>
      <c r="IV70" s="25"/>
      <c r="IW70" s="25"/>
      <c r="IX70" s="25"/>
      <c r="IY70" s="110"/>
      <c r="IZ70" s="110"/>
      <c r="JA70" s="25"/>
      <c r="JB70" s="25"/>
      <c r="JC70" s="25"/>
      <c r="JD70" s="25"/>
      <c r="JE70" s="25"/>
      <c r="JF70" s="110"/>
      <c r="JG70" s="110"/>
      <c r="JH70" s="25"/>
      <c r="JI70" s="25"/>
      <c r="JJ70" s="25"/>
      <c r="JK70" s="25"/>
      <c r="JL70" s="25"/>
      <c r="JM70" s="110"/>
      <c r="JN70" s="110"/>
      <c r="JO70" s="25"/>
      <c r="JP70" s="25"/>
      <c r="JQ70" s="25"/>
      <c r="JR70" s="25"/>
      <c r="JS70" s="25"/>
      <c r="JT70" s="110"/>
      <c r="JU70" s="110"/>
      <c r="JV70" s="25"/>
      <c r="JW70" s="25"/>
      <c r="JX70" s="25"/>
      <c r="JY70" s="25"/>
      <c r="JZ70" s="25"/>
      <c r="KA70" s="110"/>
      <c r="KB70" s="110"/>
      <c r="KC70" s="25"/>
      <c r="KD70" s="25"/>
      <c r="KE70" s="25"/>
      <c r="KF70" s="25"/>
      <c r="KG70" s="25"/>
      <c r="KH70" s="110"/>
      <c r="KI70" s="110"/>
      <c r="KJ70" s="25"/>
      <c r="KK70" s="25"/>
      <c r="KL70" s="25"/>
      <c r="KM70" s="25"/>
      <c r="KN70" s="25"/>
      <c r="KO70" s="110"/>
      <c r="KP70" s="110"/>
      <c r="KQ70" s="25"/>
      <c r="KR70" s="25"/>
      <c r="KS70" s="25"/>
      <c r="KT70" s="25"/>
      <c r="KU70" s="25"/>
      <c r="KV70" s="110"/>
      <c r="KW70" s="110"/>
      <c r="KX70" s="25"/>
      <c r="KY70" s="25"/>
      <c r="KZ70" s="25"/>
      <c r="LA70" s="25"/>
      <c r="LB70" s="25"/>
      <c r="LC70" s="110"/>
      <c r="LD70" s="110"/>
      <c r="LE70" s="25"/>
      <c r="LF70" s="25"/>
      <c r="LG70" s="110" t="s">
        <v>445</v>
      </c>
      <c r="LH70" s="25"/>
      <c r="LI70" s="25"/>
      <c r="LJ70" s="110"/>
      <c r="LK70" s="110"/>
      <c r="LL70" s="25"/>
      <c r="LM70" s="25"/>
      <c r="LN70" s="25"/>
      <c r="LO70" s="25"/>
      <c r="LP70" s="25"/>
      <c r="LQ70" s="110"/>
      <c r="LR70" s="110"/>
      <c r="LS70" s="25"/>
      <c r="LT70" s="25"/>
      <c r="LU70" s="25"/>
      <c r="LV70" s="25"/>
      <c r="LW70" s="25"/>
      <c r="LX70" s="110"/>
      <c r="LY70" s="110"/>
      <c r="LZ70" s="25"/>
      <c r="MA70" s="25"/>
      <c r="MB70" s="25"/>
      <c r="MC70" s="25"/>
      <c r="MD70" s="25"/>
      <c r="ME70" s="110"/>
      <c r="MF70" s="110"/>
      <c r="MG70" s="25"/>
      <c r="MH70" s="25"/>
      <c r="MI70" s="25"/>
      <c r="MJ70" s="25"/>
      <c r="MK70" s="25"/>
      <c r="ML70" s="110"/>
      <c r="MM70" s="110"/>
      <c r="MN70" s="25"/>
      <c r="MO70" s="25"/>
      <c r="MP70" s="25"/>
      <c r="MQ70" s="25"/>
      <c r="MR70" s="25"/>
      <c r="MS70" s="110"/>
      <c r="MT70" s="110"/>
      <c r="MU70" s="25"/>
      <c r="MV70" s="25"/>
      <c r="MW70" s="25"/>
      <c r="MX70" s="25"/>
      <c r="MY70" s="25"/>
      <c r="MZ70" s="110"/>
      <c r="NA70" s="110"/>
      <c r="NB70" s="25"/>
      <c r="NC70" s="25"/>
      <c r="ND70" s="25"/>
      <c r="NE70" s="129"/>
      <c r="NF70" s="111"/>
      <c r="NG70" s="8">
        <f t="shared" si="27"/>
        <v>0</v>
      </c>
      <c r="NH70" s="32" cm="1">
        <f t="array" ref="NH70">NETWORKDAYS($I$2,$AI$2)- SUM(COUNTIF(I70:AI70,{"I";"F";"CP";"R";"P";"AC";"AM"}))</f>
        <v>20</v>
      </c>
      <c r="NI70" s="138">
        <f t="shared" si="28"/>
        <v>0</v>
      </c>
      <c r="NJ70" s="8">
        <f t="shared" si="29"/>
        <v>0</v>
      </c>
      <c r="NK70" s="32" cm="1">
        <f t="array" ref="NK70">NETWORKDAYS($AJ$2,$BK$2)- SUM(COUNTIF(AJ70:BK70,{"I";"F";"CP";"R";"P";"AC";"AM"}))</f>
        <v>20</v>
      </c>
      <c r="NL70" s="138">
        <f t="shared" si="30"/>
        <v>0</v>
      </c>
      <c r="NM70" s="8">
        <f t="shared" si="31"/>
        <v>0</v>
      </c>
      <c r="NN70" s="32" cm="1">
        <f t="array" ref="NN70">NETWORKDAYS($BL$2,$CP$2)- SUM(COUNTIF(BL70:CP70,{"I";"F";"CP";"R";"P";"AC";"AM"}))</f>
        <v>22</v>
      </c>
      <c r="NO70" s="138">
        <f t="shared" si="32"/>
        <v>0</v>
      </c>
      <c r="NP70" s="8">
        <f t="shared" si="53"/>
        <v>0</v>
      </c>
      <c r="NQ70" s="32" cm="1">
        <f t="array" ref="NQ70">NETWORKDAYS($CQ$2,$DT$2,$CV$2)- SUM(COUNTIF(CQ70:DT70,{"I";"F";"CP";"R";"P";"AC";"AM"}))</f>
        <v>21</v>
      </c>
      <c r="NR70" s="138">
        <f t="shared" si="33"/>
        <v>0</v>
      </c>
      <c r="NS70" s="8">
        <f t="shared" si="34"/>
        <v>0</v>
      </c>
      <c r="NT70" s="32" cm="1">
        <f t="array" ref="NT70">NETWORKDAYS($DV$2,$EY$2)-SUM(COUNTIF(DV70:EY70,{"I";"F";"CP";"R";"P";"AC";"AM"}))</f>
        <v>16</v>
      </c>
      <c r="NU70" s="138">
        <f t="shared" si="35"/>
        <v>0</v>
      </c>
      <c r="NV70" s="8">
        <f t="shared" si="36"/>
        <v>0</v>
      </c>
      <c r="NW70" s="32" cm="1">
        <f t="array" ref="NW70">NETWORKDAYS($EZ$2,$GC$2)-SUM(COUNTIF(EZ150:GC150,{"I";"F";"CP";"R";"P";"AC";"AM"}))</f>
        <v>22</v>
      </c>
      <c r="NX70" s="138">
        <f t="shared" si="37"/>
        <v>0</v>
      </c>
      <c r="NY70" s="8">
        <f t="shared" si="38"/>
        <v>0</v>
      </c>
      <c r="NZ70" s="32" cm="1">
        <f t="array" ref="NZ70">NETWORKDAYS($GD$2,$HH$2,$GQ$2)-SUM(COUNTIF(GD70:HH70,{"I";"F";"CP";"R";"P";"AC";"AM"}))</f>
        <v>21</v>
      </c>
      <c r="OA70" s="138">
        <f t="shared" si="39"/>
        <v>0</v>
      </c>
      <c r="OB70" s="8">
        <f t="shared" si="40"/>
        <v>0</v>
      </c>
      <c r="OC70" s="32" cm="1">
        <f t="array" ref="OC70">NETWORKDAYS($HI$2,$IM$2)-SUM(COUNTIF(HI70:IM70,{"I";"F";"CP";"R";"P";"AC";"AM"}))</f>
        <v>21</v>
      </c>
      <c r="OD70" s="138">
        <f t="shared" si="41"/>
        <v>0</v>
      </c>
      <c r="OE70" s="8">
        <f t="shared" si="42"/>
        <v>0</v>
      </c>
      <c r="OF70" s="32" cm="1">
        <f t="array" ref="OF70">NETWORKDAYS($IN$2,$JQ$2)-SUM(COUNTIF(IN70:JQ70,{"I";"F";"CP";"R";"P";"AC";"AM"}))</f>
        <v>22</v>
      </c>
      <c r="OG70" s="138">
        <f t="shared" si="43"/>
        <v>0</v>
      </c>
      <c r="OH70" s="8">
        <f t="shared" si="44"/>
        <v>0</v>
      </c>
      <c r="OI70" s="32" cm="1">
        <f t="array" ref="OI70">NETWORKDAYS($JR$2,$KV$2)-SUM(COUNTIF(JR70:KV70,{"I";"F";"CP";"R";"P";"AC";"AM"}))</f>
        <v>22</v>
      </c>
      <c r="OJ70" s="138">
        <f t="shared" si="45"/>
        <v>0</v>
      </c>
      <c r="OK70" s="8">
        <f t="shared" si="46"/>
        <v>0</v>
      </c>
      <c r="OL70" s="32" cm="1">
        <f t="array" ref="OL70">NETWORKDAYS($KW$2,$LZ$2,$LG$2)-SUM(COUNTIF(KW70:LZ70,{"I";"F";"CP";"R";"P";"AC";"AM"}))</f>
        <v>19</v>
      </c>
      <c r="OM70" s="138">
        <f t="shared" si="47"/>
        <v>0</v>
      </c>
      <c r="ON70" s="8">
        <f t="shared" si="48"/>
        <v>0</v>
      </c>
      <c r="OO70" s="32" cm="1">
        <f t="array" ref="OO70">NETWORKDAYS($MA$2,$MR$2)-SUM(COUNTIF(MA70:MR70,{"I";"F";"CP";"R";"P";"AC";"AM"}))</f>
        <v>14</v>
      </c>
      <c r="OP70" s="138">
        <f t="shared" si="49"/>
        <v>0</v>
      </c>
      <c r="OQ70" s="94">
        <f t="shared" si="50"/>
        <v>0</v>
      </c>
      <c r="OR70" s="94">
        <f t="shared" si="51"/>
        <v>240</v>
      </c>
      <c r="OS70" s="138">
        <f t="shared" si="52"/>
        <v>0</v>
      </c>
    </row>
    <row r="71" spans="1:409" ht="18" hidden="1" customHeight="1" x14ac:dyDescent="0.25">
      <c r="A71" s="95" t="s">
        <v>253</v>
      </c>
      <c r="B71" s="95" t="s">
        <v>45</v>
      </c>
      <c r="C71" s="89" t="s">
        <v>160</v>
      </c>
      <c r="D71" s="89" t="s">
        <v>254</v>
      </c>
      <c r="E71" s="128"/>
      <c r="F71" s="110"/>
      <c r="G71" s="110"/>
      <c r="H71" s="110"/>
      <c r="I71" s="25"/>
      <c r="J71" s="25"/>
      <c r="K71" s="25"/>
      <c r="L71" s="25"/>
      <c r="M71" s="25"/>
      <c r="N71" s="110"/>
      <c r="O71" s="110"/>
      <c r="P71" s="25"/>
      <c r="Q71" s="25"/>
      <c r="R71" s="25"/>
      <c r="S71" s="25"/>
      <c r="T71" s="25"/>
      <c r="U71" s="110"/>
      <c r="V71" s="110"/>
      <c r="W71" s="25"/>
      <c r="X71" s="25"/>
      <c r="Y71" s="25"/>
      <c r="Z71" s="25"/>
      <c r="AA71" s="25"/>
      <c r="AB71" s="110"/>
      <c r="AC71" s="110"/>
      <c r="AD71" s="25"/>
      <c r="AE71" s="25"/>
      <c r="AF71" s="25"/>
      <c r="AG71" s="25"/>
      <c r="AH71" s="25"/>
      <c r="AI71" s="110"/>
      <c r="AJ71" s="110"/>
      <c r="AK71" s="25"/>
      <c r="AL71" s="25"/>
      <c r="AM71" s="25"/>
      <c r="AN71" s="25"/>
      <c r="AO71" s="25"/>
      <c r="AP71" s="110"/>
      <c r="AQ71" s="110"/>
      <c r="AR71" s="25"/>
      <c r="AS71" s="25"/>
      <c r="AT71" s="25"/>
      <c r="AU71" s="25"/>
      <c r="AV71" s="25"/>
      <c r="AW71" s="110"/>
      <c r="AX71" s="110"/>
      <c r="AY71" s="25"/>
      <c r="AZ71" s="25"/>
      <c r="BA71" s="25"/>
      <c r="BB71" s="25"/>
      <c r="BC71" s="25"/>
      <c r="BD71" s="110"/>
      <c r="BE71" s="110"/>
      <c r="BF71" s="25"/>
      <c r="BG71" s="25"/>
      <c r="BH71" s="25"/>
      <c r="BI71" s="25"/>
      <c r="BJ71" s="25"/>
      <c r="BK71" s="110"/>
      <c r="BL71" s="110"/>
      <c r="BM71" s="25"/>
      <c r="BN71" s="25"/>
      <c r="BO71" s="25"/>
      <c r="BP71" s="25"/>
      <c r="BQ71" s="25"/>
      <c r="BR71" s="110"/>
      <c r="BS71" s="110"/>
      <c r="BT71" s="25"/>
      <c r="BU71" s="25"/>
      <c r="BV71" s="25"/>
      <c r="BW71" s="25"/>
      <c r="BX71" s="25"/>
      <c r="BY71" s="110"/>
      <c r="BZ71" s="110"/>
      <c r="CA71" s="25"/>
      <c r="CB71" s="25"/>
      <c r="CC71" s="25"/>
      <c r="CD71" s="25"/>
      <c r="CE71" s="25"/>
      <c r="CF71" s="110"/>
      <c r="CG71" s="110"/>
      <c r="CH71" s="25"/>
      <c r="CI71" s="25"/>
      <c r="CJ71" s="25"/>
      <c r="CK71" s="25"/>
      <c r="CL71" s="25"/>
      <c r="CM71" s="110"/>
      <c r="CN71" s="110"/>
      <c r="CO71" s="25"/>
      <c r="CP71" s="25"/>
      <c r="CQ71" s="25"/>
      <c r="CR71" s="25"/>
      <c r="CS71" s="25"/>
      <c r="CT71" s="110"/>
      <c r="CU71" s="110"/>
      <c r="CV71" s="110"/>
      <c r="CW71" s="25"/>
      <c r="CX71" s="25"/>
      <c r="CY71" s="25"/>
      <c r="CZ71" s="25"/>
      <c r="DA71" s="110"/>
      <c r="DB71" s="110"/>
      <c r="DC71" s="25"/>
      <c r="DD71" s="25"/>
      <c r="DE71" s="25"/>
      <c r="DF71" s="25"/>
      <c r="DG71" s="25"/>
      <c r="DH71" s="110"/>
      <c r="DI71" s="110"/>
      <c r="DJ71" s="25"/>
      <c r="DK71" s="25"/>
      <c r="DL71" s="25"/>
      <c r="DM71" s="25"/>
      <c r="DN71" s="25"/>
      <c r="DO71" s="110"/>
      <c r="DP71" s="110"/>
      <c r="DQ71" s="25"/>
      <c r="DR71" s="25"/>
      <c r="DS71" s="25"/>
      <c r="DT71" s="25"/>
      <c r="DU71" s="110"/>
      <c r="DV71" s="110"/>
      <c r="DW71" s="110"/>
      <c r="DX71" s="25"/>
      <c r="DY71" s="25"/>
      <c r="DZ71" s="25"/>
      <c r="EA71" s="25"/>
      <c r="EB71" s="110" t="s">
        <v>445</v>
      </c>
      <c r="EC71" s="110"/>
      <c r="ED71" s="110"/>
      <c r="EE71" s="25"/>
      <c r="EF71" s="25"/>
      <c r="EG71" s="25"/>
      <c r="EH71" s="110" t="s">
        <v>445</v>
      </c>
      <c r="EI71" s="110" t="s">
        <v>445</v>
      </c>
      <c r="EJ71" s="110"/>
      <c r="EK71" s="110"/>
      <c r="EL71" s="25"/>
      <c r="EM71" s="25"/>
      <c r="EN71" s="25"/>
      <c r="EO71" s="25"/>
      <c r="EP71" s="25"/>
      <c r="EQ71" s="110"/>
      <c r="ER71" s="110"/>
      <c r="ES71" s="110" t="s">
        <v>445</v>
      </c>
      <c r="ET71" s="25"/>
      <c r="EU71" s="25"/>
      <c r="EV71" s="25"/>
      <c r="EW71" s="25"/>
      <c r="EX71" s="110"/>
      <c r="EY71" s="110"/>
      <c r="EZ71" s="25"/>
      <c r="FA71" s="25"/>
      <c r="FB71" s="25"/>
      <c r="FC71" s="25"/>
      <c r="FD71" s="25"/>
      <c r="FE71" s="110"/>
      <c r="FF71" s="110"/>
      <c r="FG71" s="25"/>
      <c r="FH71" s="25"/>
      <c r="FI71" s="25"/>
      <c r="FJ71" s="25"/>
      <c r="FK71" s="25"/>
      <c r="FL71" s="110"/>
      <c r="FM71" s="110"/>
      <c r="FN71" s="25"/>
      <c r="FO71" s="25"/>
      <c r="FP71" s="25"/>
      <c r="FQ71" s="25"/>
      <c r="FR71" s="25"/>
      <c r="FS71" s="110"/>
      <c r="FT71" s="110"/>
      <c r="FU71" s="25"/>
      <c r="FV71" s="25"/>
      <c r="FW71" s="25"/>
      <c r="FX71" s="25"/>
      <c r="FY71" s="25"/>
      <c r="FZ71" s="110"/>
      <c r="GA71" s="110"/>
      <c r="GB71" s="25"/>
      <c r="GC71" s="25"/>
      <c r="GD71" s="25"/>
      <c r="GE71" s="25"/>
      <c r="GF71" s="25"/>
      <c r="GG71" s="110"/>
      <c r="GH71" s="110"/>
      <c r="GI71" s="25"/>
      <c r="GJ71" s="25"/>
      <c r="GK71" s="25"/>
      <c r="GL71" s="25"/>
      <c r="GM71" s="25"/>
      <c r="GN71" s="110"/>
      <c r="GO71" s="110"/>
      <c r="GP71" s="110"/>
      <c r="GQ71" s="110" t="s">
        <v>445</v>
      </c>
      <c r="GR71" s="25"/>
      <c r="GS71" s="25"/>
      <c r="GT71" s="25"/>
      <c r="GU71" s="110"/>
      <c r="GV71" s="110"/>
      <c r="GW71" s="25"/>
      <c r="GX71" s="25"/>
      <c r="GY71" s="25"/>
      <c r="GZ71" s="25"/>
      <c r="HA71" s="25"/>
      <c r="HB71" s="110"/>
      <c r="HC71" s="110"/>
      <c r="HD71" s="25"/>
      <c r="HE71" s="25"/>
      <c r="HF71" s="25"/>
      <c r="HG71" s="25"/>
      <c r="HH71" s="25"/>
      <c r="HI71" s="110"/>
      <c r="HJ71" s="110"/>
      <c r="HK71" s="25"/>
      <c r="HL71" s="25"/>
      <c r="HM71" s="25"/>
      <c r="HN71" s="25"/>
      <c r="HO71" s="25"/>
      <c r="HP71" s="110"/>
      <c r="HQ71" s="110"/>
      <c r="HR71" s="25"/>
      <c r="HS71" s="25"/>
      <c r="HT71" s="25"/>
      <c r="HU71" s="25"/>
      <c r="HV71" s="25"/>
      <c r="HW71" s="110"/>
      <c r="HX71" s="110"/>
      <c r="HY71" s="25"/>
      <c r="HZ71" s="25"/>
      <c r="IA71" s="25"/>
      <c r="IB71" s="25"/>
      <c r="IC71" s="25"/>
      <c r="ID71" s="110"/>
      <c r="IE71" s="110"/>
      <c r="IF71" s="25"/>
      <c r="IG71" s="25"/>
      <c r="IH71" s="25"/>
      <c r="II71" s="25"/>
      <c r="IJ71" s="25"/>
      <c r="IK71" s="110"/>
      <c r="IL71" s="110"/>
      <c r="IM71" s="25"/>
      <c r="IN71" s="25"/>
      <c r="IO71" s="25"/>
      <c r="IP71" s="25"/>
      <c r="IQ71" s="25"/>
      <c r="IR71" s="110"/>
      <c r="IS71" s="110"/>
      <c r="IT71" s="25"/>
      <c r="IU71" s="25"/>
      <c r="IV71" s="25"/>
      <c r="IW71" s="25"/>
      <c r="IX71" s="25"/>
      <c r="IY71" s="110"/>
      <c r="IZ71" s="110"/>
      <c r="JA71" s="25"/>
      <c r="JB71" s="25"/>
      <c r="JC71" s="25"/>
      <c r="JD71" s="25"/>
      <c r="JE71" s="25"/>
      <c r="JF71" s="110"/>
      <c r="JG71" s="110"/>
      <c r="JH71" s="25"/>
      <c r="JI71" s="25"/>
      <c r="JJ71" s="25"/>
      <c r="JK71" s="25"/>
      <c r="JL71" s="25"/>
      <c r="JM71" s="110"/>
      <c r="JN71" s="110"/>
      <c r="JO71" s="25"/>
      <c r="JP71" s="25"/>
      <c r="JQ71" s="25"/>
      <c r="JR71" s="25"/>
      <c r="JS71" s="25"/>
      <c r="JT71" s="110"/>
      <c r="JU71" s="110"/>
      <c r="JV71" s="25"/>
      <c r="JW71" s="25"/>
      <c r="JX71" s="25"/>
      <c r="JY71" s="25"/>
      <c r="JZ71" s="25"/>
      <c r="KA71" s="110"/>
      <c r="KB71" s="110"/>
      <c r="KC71" s="25"/>
      <c r="KD71" s="25"/>
      <c r="KE71" s="25"/>
      <c r="KF71" s="25"/>
      <c r="KG71" s="25"/>
      <c r="KH71" s="110"/>
      <c r="KI71" s="110"/>
      <c r="KJ71" s="25"/>
      <c r="KK71" s="25"/>
      <c r="KL71" s="25"/>
      <c r="KM71" s="25"/>
      <c r="KN71" s="25"/>
      <c r="KO71" s="110"/>
      <c r="KP71" s="110"/>
      <c r="KQ71" s="25"/>
      <c r="KR71" s="25"/>
      <c r="KS71" s="25"/>
      <c r="KT71" s="25"/>
      <c r="KU71" s="25"/>
      <c r="KV71" s="110"/>
      <c r="KW71" s="110"/>
      <c r="KX71" s="25"/>
      <c r="KY71" s="25"/>
      <c r="KZ71" s="25"/>
      <c r="LA71" s="25"/>
      <c r="LB71" s="25"/>
      <c r="LC71" s="110"/>
      <c r="LD71" s="110"/>
      <c r="LE71" s="25"/>
      <c r="LF71" s="25"/>
      <c r="LG71" s="110" t="s">
        <v>445</v>
      </c>
      <c r="LH71" s="25"/>
      <c r="LI71" s="25"/>
      <c r="LJ71" s="110"/>
      <c r="LK71" s="110"/>
      <c r="LL71" s="25"/>
      <c r="LM71" s="25"/>
      <c r="LN71" s="25"/>
      <c r="LO71" s="25"/>
      <c r="LP71" s="25"/>
      <c r="LQ71" s="110"/>
      <c r="LR71" s="110"/>
      <c r="LS71" s="25"/>
      <c r="LT71" s="25"/>
      <c r="LU71" s="25"/>
      <c r="LV71" s="25"/>
      <c r="LW71" s="25"/>
      <c r="LX71" s="110"/>
      <c r="LY71" s="110"/>
      <c r="LZ71" s="25"/>
      <c r="MA71" s="25"/>
      <c r="MB71" s="25"/>
      <c r="MC71" s="25"/>
      <c r="MD71" s="25"/>
      <c r="ME71" s="110"/>
      <c r="MF71" s="110"/>
      <c r="MG71" s="25"/>
      <c r="MH71" s="25"/>
      <c r="MI71" s="25"/>
      <c r="MJ71" s="25"/>
      <c r="MK71" s="25"/>
      <c r="ML71" s="110"/>
      <c r="MM71" s="110"/>
      <c r="MN71" s="25"/>
      <c r="MO71" s="25"/>
      <c r="MP71" s="25"/>
      <c r="MQ71" s="25"/>
      <c r="MR71" s="25"/>
      <c r="MS71" s="110"/>
      <c r="MT71" s="110"/>
      <c r="MU71" s="25"/>
      <c r="MV71" s="25"/>
      <c r="MW71" s="25"/>
      <c r="MX71" s="25"/>
      <c r="MY71" s="25"/>
      <c r="MZ71" s="110"/>
      <c r="NA71" s="110"/>
      <c r="NB71" s="25"/>
      <c r="NC71" s="25"/>
      <c r="ND71" s="25"/>
      <c r="NE71" s="129"/>
      <c r="NF71" s="111"/>
      <c r="NG71" s="8">
        <f t="shared" si="27"/>
        <v>0</v>
      </c>
      <c r="NH71" s="32" cm="1">
        <f t="array" ref="NH71">NETWORKDAYS($I$2,$AI$2)- SUM(COUNTIF(I71:AI71,{"I";"F";"CP";"R";"P";"AC";"AM"}))</f>
        <v>20</v>
      </c>
      <c r="NI71" s="138">
        <f t="shared" si="28"/>
        <v>0</v>
      </c>
      <c r="NJ71" s="8">
        <f t="shared" si="29"/>
        <v>0</v>
      </c>
      <c r="NK71" s="32" cm="1">
        <f t="array" ref="NK71">NETWORKDAYS($AJ$2,$BK$2)- SUM(COUNTIF(AJ71:BK71,{"I";"F";"CP";"R";"P";"AC";"AM"}))</f>
        <v>20</v>
      </c>
      <c r="NL71" s="138">
        <f t="shared" si="30"/>
        <v>0</v>
      </c>
      <c r="NM71" s="8">
        <f t="shared" si="31"/>
        <v>0</v>
      </c>
      <c r="NN71" s="32" cm="1">
        <f t="array" ref="NN71">NETWORKDAYS($BL$2,$CP$2)- SUM(COUNTIF(BL71:CP71,{"I";"F";"CP";"R";"P";"AC";"AM"}))</f>
        <v>22</v>
      </c>
      <c r="NO71" s="138">
        <f t="shared" si="32"/>
        <v>0</v>
      </c>
      <c r="NP71" s="32">
        <f t="shared" si="53"/>
        <v>0</v>
      </c>
      <c r="NQ71" s="32" cm="1">
        <f t="array" ref="NQ71">NETWORKDAYS($CQ$2,$DT$2,$CV$2)- SUM(COUNTIF(CQ71:DT71,{"I";"F";"CP";"R";"P";"AC";"AM"}))</f>
        <v>21</v>
      </c>
      <c r="NR71" s="138">
        <f t="shared" si="33"/>
        <v>0</v>
      </c>
      <c r="NS71" s="8">
        <f t="shared" si="34"/>
        <v>0</v>
      </c>
      <c r="NT71" s="32" cm="1">
        <f t="array" ref="NT71">NETWORKDAYS($DV$2,$EY$2)-SUM(COUNTIF(DV71:EY71,{"I";"F";"CP";"R";"P";"AC";"AM"}))</f>
        <v>16</v>
      </c>
      <c r="NU71" s="138">
        <f t="shared" si="35"/>
        <v>0</v>
      </c>
      <c r="NV71" s="8">
        <f t="shared" si="36"/>
        <v>0</v>
      </c>
      <c r="NW71" s="32" cm="1">
        <f t="array" ref="NW71">NETWORKDAYS($EZ$2,$GC$2)-SUM(COUNTIF(EZ151:GC151,{"I";"F";"CP";"R";"P";"AC";"AM"}))</f>
        <v>22</v>
      </c>
      <c r="NX71" s="138">
        <f t="shared" si="37"/>
        <v>0</v>
      </c>
      <c r="NY71" s="8">
        <f t="shared" si="38"/>
        <v>0</v>
      </c>
      <c r="NZ71" s="32" cm="1">
        <f t="array" ref="NZ71">NETWORKDAYS($GD$2,$HH$2,$GQ$2)-SUM(COUNTIF(GD71:HH71,{"I";"F";"CP";"R";"P";"AC";"AM"}))</f>
        <v>21</v>
      </c>
      <c r="OA71" s="138">
        <f t="shared" si="39"/>
        <v>0</v>
      </c>
      <c r="OB71" s="8">
        <f t="shared" si="40"/>
        <v>0</v>
      </c>
      <c r="OC71" s="32" cm="1">
        <f t="array" ref="OC71">NETWORKDAYS($HI$2,$IM$2)-SUM(COUNTIF(HI71:IM71,{"I";"F";"CP";"R";"P";"AC";"AM"}))</f>
        <v>21</v>
      </c>
      <c r="OD71" s="138">
        <f t="shared" si="41"/>
        <v>0</v>
      </c>
      <c r="OE71" s="8">
        <f t="shared" si="42"/>
        <v>0</v>
      </c>
      <c r="OF71" s="32" cm="1">
        <f t="array" ref="OF71">NETWORKDAYS($IN$2,$JQ$2)-SUM(COUNTIF(IN71:JQ71,{"I";"F";"CP";"R";"P";"AC";"AM"}))</f>
        <v>22</v>
      </c>
      <c r="OG71" s="138">
        <f t="shared" si="43"/>
        <v>0</v>
      </c>
      <c r="OH71" s="8">
        <f t="shared" si="44"/>
        <v>0</v>
      </c>
      <c r="OI71" s="32" cm="1">
        <f t="array" ref="OI71">NETWORKDAYS($JR$2,$KV$2)-SUM(COUNTIF(JR71:KV71,{"I";"F";"CP";"R";"P";"AC";"AM"}))</f>
        <v>22</v>
      </c>
      <c r="OJ71" s="138">
        <f t="shared" si="45"/>
        <v>0</v>
      </c>
      <c r="OK71" s="8">
        <f t="shared" si="46"/>
        <v>0</v>
      </c>
      <c r="OL71" s="32" cm="1">
        <f t="array" ref="OL71">NETWORKDAYS($KW$2,$LZ$2,$LG$2)-SUM(COUNTIF(KW71:LZ71,{"I";"F";"CP";"R";"P";"AC";"AM"}))</f>
        <v>19</v>
      </c>
      <c r="OM71" s="138">
        <f t="shared" si="47"/>
        <v>0</v>
      </c>
      <c r="ON71" s="8">
        <f t="shared" si="48"/>
        <v>0</v>
      </c>
      <c r="OO71" s="32" cm="1">
        <f t="array" ref="OO71">NETWORKDAYS($MA$2,$MR$2)-SUM(COUNTIF(MA71:MR71,{"I";"F";"CP";"R";"P";"AC";"AM"}))</f>
        <v>14</v>
      </c>
      <c r="OP71" s="138">
        <f t="shared" si="49"/>
        <v>0</v>
      </c>
      <c r="OQ71" s="94">
        <f t="shared" si="50"/>
        <v>0</v>
      </c>
      <c r="OR71" s="94">
        <f t="shared" si="51"/>
        <v>240</v>
      </c>
      <c r="OS71" s="138">
        <f t="shared" si="52"/>
        <v>0</v>
      </c>
    </row>
    <row r="72" spans="1:409" ht="18" hidden="1" customHeight="1" x14ac:dyDescent="0.25">
      <c r="A72" s="95" t="s">
        <v>468</v>
      </c>
      <c r="B72" s="93" t="s">
        <v>34</v>
      </c>
      <c r="C72" s="89" t="s">
        <v>166</v>
      </c>
      <c r="D72" s="89" t="s">
        <v>255</v>
      </c>
      <c r="E72" s="128"/>
      <c r="F72" s="110"/>
      <c r="G72" s="110"/>
      <c r="H72" s="110"/>
      <c r="I72" s="25"/>
      <c r="J72" s="25"/>
      <c r="K72" s="25"/>
      <c r="L72" s="25"/>
      <c r="M72" s="25"/>
      <c r="N72" s="110"/>
      <c r="O72" s="110"/>
      <c r="P72" s="25"/>
      <c r="Q72" s="25"/>
      <c r="R72" s="25"/>
      <c r="S72" s="25"/>
      <c r="T72" s="25"/>
      <c r="U72" s="110"/>
      <c r="V72" s="110"/>
      <c r="W72" s="25"/>
      <c r="X72" s="25"/>
      <c r="Y72" s="25"/>
      <c r="Z72" s="25"/>
      <c r="AA72" s="25"/>
      <c r="AB72" s="110"/>
      <c r="AC72" s="110"/>
      <c r="AD72" s="25"/>
      <c r="AE72" s="25"/>
      <c r="AF72" s="25"/>
      <c r="AG72" s="25"/>
      <c r="AH72" s="25"/>
      <c r="AI72" s="110"/>
      <c r="AJ72" s="110"/>
      <c r="AK72" s="25"/>
      <c r="AL72" s="25"/>
      <c r="AM72" s="25"/>
      <c r="AN72" s="25"/>
      <c r="AO72" s="25"/>
      <c r="AP72" s="110"/>
      <c r="AQ72" s="110"/>
      <c r="AR72" s="25"/>
      <c r="AS72" s="25"/>
      <c r="AT72" s="25"/>
      <c r="AU72" s="25"/>
      <c r="AV72" s="25"/>
      <c r="AW72" s="110"/>
      <c r="AX72" s="110"/>
      <c r="AY72" s="25"/>
      <c r="AZ72" s="25"/>
      <c r="BA72" s="25"/>
      <c r="BB72" s="25"/>
      <c r="BC72" s="25"/>
      <c r="BD72" s="110"/>
      <c r="BE72" s="110"/>
      <c r="BF72" s="25"/>
      <c r="BG72" s="25"/>
      <c r="BH72" s="25"/>
      <c r="BI72" s="25"/>
      <c r="BJ72" s="25"/>
      <c r="BK72" s="110"/>
      <c r="BL72" s="110"/>
      <c r="BM72" s="25"/>
      <c r="BN72" s="25"/>
      <c r="BO72" s="25"/>
      <c r="BP72" s="25"/>
      <c r="BQ72" s="25"/>
      <c r="BR72" s="110"/>
      <c r="BS72" s="110"/>
      <c r="BT72" s="25"/>
      <c r="BU72" s="25"/>
      <c r="BV72" s="25"/>
      <c r="BW72" s="25"/>
      <c r="BX72" s="25"/>
      <c r="BY72" s="110"/>
      <c r="BZ72" s="110"/>
      <c r="CA72" s="25"/>
      <c r="CB72" s="25"/>
      <c r="CC72" s="25"/>
      <c r="CD72" s="25"/>
      <c r="CE72" s="25"/>
      <c r="CF72" s="110"/>
      <c r="CG72" s="110"/>
      <c r="CH72" s="25"/>
      <c r="CI72" s="25"/>
      <c r="CJ72" s="25"/>
      <c r="CK72" s="25"/>
      <c r="CL72" s="25"/>
      <c r="CM72" s="110"/>
      <c r="CN72" s="110"/>
      <c r="CO72" s="25"/>
      <c r="CP72" s="25"/>
      <c r="CQ72" s="25"/>
      <c r="CR72" s="25"/>
      <c r="CS72" s="25"/>
      <c r="CT72" s="110"/>
      <c r="CU72" s="110"/>
      <c r="CV72" s="110"/>
      <c r="CW72" s="25"/>
      <c r="CX72" s="25"/>
      <c r="CY72" s="25"/>
      <c r="CZ72" s="25"/>
      <c r="DA72" s="110"/>
      <c r="DB72" s="110"/>
      <c r="DC72" s="25"/>
      <c r="DD72" s="25"/>
      <c r="DE72" s="25"/>
      <c r="DF72" s="25"/>
      <c r="DG72" s="25"/>
      <c r="DH72" s="110"/>
      <c r="DI72" s="110"/>
      <c r="DJ72" s="25"/>
      <c r="DK72" s="25"/>
      <c r="DL72" s="25"/>
      <c r="DM72" s="25"/>
      <c r="DN72" s="25"/>
      <c r="DO72" s="110"/>
      <c r="DP72" s="110"/>
      <c r="DQ72" s="25"/>
      <c r="DR72" s="25"/>
      <c r="DS72" s="25"/>
      <c r="DT72" s="25"/>
      <c r="DU72" s="110"/>
      <c r="DV72" s="110"/>
      <c r="DW72" s="110"/>
      <c r="DX72" s="25"/>
      <c r="DY72" s="25"/>
      <c r="DZ72" s="25"/>
      <c r="EA72" s="25"/>
      <c r="EB72" s="110" t="s">
        <v>445</v>
      </c>
      <c r="EC72" s="110"/>
      <c r="ED72" s="110"/>
      <c r="EE72" s="25"/>
      <c r="EF72" s="25"/>
      <c r="EG72" s="25"/>
      <c r="EH72" s="110" t="s">
        <v>445</v>
      </c>
      <c r="EI72" s="110" t="s">
        <v>445</v>
      </c>
      <c r="EJ72" s="110"/>
      <c r="EK72" s="110"/>
      <c r="EL72" s="25"/>
      <c r="EM72" s="25"/>
      <c r="EN72" s="25"/>
      <c r="EO72" s="25"/>
      <c r="EP72" s="25"/>
      <c r="EQ72" s="110"/>
      <c r="ER72" s="110"/>
      <c r="ES72" s="110" t="s">
        <v>445</v>
      </c>
      <c r="ET72" s="25"/>
      <c r="EU72" s="25"/>
      <c r="EV72" s="25"/>
      <c r="EW72" s="25"/>
      <c r="EX72" s="110"/>
      <c r="EY72" s="110"/>
      <c r="EZ72" s="25"/>
      <c r="FA72" s="25"/>
      <c r="FB72" s="25"/>
      <c r="FC72" s="25"/>
      <c r="FD72" s="25"/>
      <c r="FE72" s="110"/>
      <c r="FF72" s="110"/>
      <c r="FG72" s="25"/>
      <c r="FH72" s="25"/>
      <c r="FI72" s="25"/>
      <c r="FJ72" s="25"/>
      <c r="FK72" s="25"/>
      <c r="FL72" s="110"/>
      <c r="FM72" s="110"/>
      <c r="FN72" s="25"/>
      <c r="FO72" s="25"/>
      <c r="FP72" s="25"/>
      <c r="FQ72" s="25"/>
      <c r="FR72" s="25"/>
      <c r="FS72" s="110"/>
      <c r="FT72" s="110"/>
      <c r="FU72" s="25"/>
      <c r="FV72" s="25"/>
      <c r="FW72" s="25"/>
      <c r="FX72" s="25"/>
      <c r="FY72" s="25"/>
      <c r="FZ72" s="110"/>
      <c r="GA72" s="110"/>
      <c r="GB72" s="25"/>
      <c r="GC72" s="25"/>
      <c r="GD72" s="25"/>
      <c r="GE72" s="25"/>
      <c r="GF72" s="25"/>
      <c r="GG72" s="110"/>
      <c r="GH72" s="110"/>
      <c r="GI72" s="25"/>
      <c r="GJ72" s="25"/>
      <c r="GK72" s="25"/>
      <c r="GL72" s="25"/>
      <c r="GM72" s="25"/>
      <c r="GN72" s="110"/>
      <c r="GO72" s="110"/>
      <c r="GP72" s="110"/>
      <c r="GQ72" s="110" t="s">
        <v>445</v>
      </c>
      <c r="GR72" s="25"/>
      <c r="GS72" s="25"/>
      <c r="GT72" s="25"/>
      <c r="GU72" s="110"/>
      <c r="GV72" s="110"/>
      <c r="GW72" s="25"/>
      <c r="GX72" s="25"/>
      <c r="GY72" s="25"/>
      <c r="GZ72" s="25"/>
      <c r="HA72" s="25"/>
      <c r="HB72" s="110"/>
      <c r="HC72" s="110"/>
      <c r="HD72" s="25"/>
      <c r="HE72" s="25"/>
      <c r="HF72" s="25"/>
      <c r="HG72" s="25"/>
      <c r="HH72" s="25"/>
      <c r="HI72" s="110"/>
      <c r="HJ72" s="110"/>
      <c r="HK72" s="25"/>
      <c r="HL72" s="25"/>
      <c r="HM72" s="25"/>
      <c r="HN72" s="25"/>
      <c r="HO72" s="25"/>
      <c r="HP72" s="110"/>
      <c r="HQ72" s="110"/>
      <c r="HR72" s="25"/>
      <c r="HS72" s="25"/>
      <c r="HT72" s="25"/>
      <c r="HU72" s="25"/>
      <c r="HV72" s="25"/>
      <c r="HW72" s="110"/>
      <c r="HX72" s="110"/>
      <c r="HY72" s="25"/>
      <c r="HZ72" s="25"/>
      <c r="IA72" s="25"/>
      <c r="IB72" s="25"/>
      <c r="IC72" s="25"/>
      <c r="ID72" s="110"/>
      <c r="IE72" s="110"/>
      <c r="IF72" s="25"/>
      <c r="IG72" s="25"/>
      <c r="IH72" s="25"/>
      <c r="II72" s="25"/>
      <c r="IJ72" s="25"/>
      <c r="IK72" s="110"/>
      <c r="IL72" s="110"/>
      <c r="IM72" s="25"/>
      <c r="IN72" s="25"/>
      <c r="IO72" s="25"/>
      <c r="IP72" s="25"/>
      <c r="IQ72" s="25"/>
      <c r="IR72" s="110"/>
      <c r="IS72" s="110"/>
      <c r="IT72" s="25"/>
      <c r="IU72" s="25"/>
      <c r="IV72" s="25"/>
      <c r="IW72" s="25"/>
      <c r="IX72" s="25"/>
      <c r="IY72" s="110"/>
      <c r="IZ72" s="110"/>
      <c r="JA72" s="25"/>
      <c r="JB72" s="25"/>
      <c r="JC72" s="25"/>
      <c r="JD72" s="25"/>
      <c r="JE72" s="25"/>
      <c r="JF72" s="110"/>
      <c r="JG72" s="110"/>
      <c r="JH72" s="25"/>
      <c r="JI72" s="25"/>
      <c r="JJ72" s="25"/>
      <c r="JK72" s="25"/>
      <c r="JL72" s="25"/>
      <c r="JM72" s="110"/>
      <c r="JN72" s="110"/>
      <c r="JO72" s="25"/>
      <c r="JP72" s="25"/>
      <c r="JQ72" s="25"/>
      <c r="JR72" s="25"/>
      <c r="JS72" s="25"/>
      <c r="JT72" s="110"/>
      <c r="JU72" s="110"/>
      <c r="JV72" s="25"/>
      <c r="JW72" s="25"/>
      <c r="JX72" s="25"/>
      <c r="JY72" s="25"/>
      <c r="JZ72" s="25"/>
      <c r="KA72" s="110"/>
      <c r="KB72" s="110"/>
      <c r="KC72" s="25"/>
      <c r="KD72" s="25"/>
      <c r="KE72" s="25"/>
      <c r="KF72" s="25"/>
      <c r="KG72" s="25"/>
      <c r="KH72" s="110"/>
      <c r="KI72" s="110"/>
      <c r="KJ72" s="25"/>
      <c r="KK72" s="25"/>
      <c r="KL72" s="25"/>
      <c r="KM72" s="25"/>
      <c r="KN72" s="25"/>
      <c r="KO72" s="110"/>
      <c r="KP72" s="110"/>
      <c r="KQ72" s="25"/>
      <c r="KR72" s="25"/>
      <c r="KS72" s="25"/>
      <c r="KT72" s="25"/>
      <c r="KU72" s="25"/>
      <c r="KV72" s="110"/>
      <c r="KW72" s="110"/>
      <c r="KX72" s="25"/>
      <c r="KY72" s="25"/>
      <c r="KZ72" s="25"/>
      <c r="LA72" s="25"/>
      <c r="LB72" s="25"/>
      <c r="LC72" s="110"/>
      <c r="LD72" s="110"/>
      <c r="LE72" s="25"/>
      <c r="LF72" s="25"/>
      <c r="LG72" s="110" t="s">
        <v>445</v>
      </c>
      <c r="LH72" s="25"/>
      <c r="LI72" s="25"/>
      <c r="LJ72" s="110"/>
      <c r="LK72" s="110"/>
      <c r="LL72" s="25"/>
      <c r="LM72" s="25"/>
      <c r="LN72" s="25"/>
      <c r="LO72" s="25"/>
      <c r="LP72" s="25"/>
      <c r="LQ72" s="110"/>
      <c r="LR72" s="110"/>
      <c r="LS72" s="25"/>
      <c r="LT72" s="25"/>
      <c r="LU72" s="25"/>
      <c r="LV72" s="25"/>
      <c r="LW72" s="25"/>
      <c r="LX72" s="110"/>
      <c r="LY72" s="110"/>
      <c r="LZ72" s="25"/>
      <c r="MA72" s="25"/>
      <c r="MB72" s="25"/>
      <c r="MC72" s="25"/>
      <c r="MD72" s="25"/>
      <c r="ME72" s="110"/>
      <c r="MF72" s="110"/>
      <c r="MG72" s="25"/>
      <c r="MH72" s="25"/>
      <c r="MI72" s="25"/>
      <c r="MJ72" s="25"/>
      <c r="MK72" s="25"/>
      <c r="ML72" s="110"/>
      <c r="MM72" s="110"/>
      <c r="MN72" s="25"/>
      <c r="MO72" s="25"/>
      <c r="MP72" s="25"/>
      <c r="MQ72" s="25"/>
      <c r="MR72" s="25"/>
      <c r="MS72" s="110"/>
      <c r="MT72" s="110"/>
      <c r="MU72" s="25"/>
      <c r="MV72" s="25"/>
      <c r="MW72" s="25"/>
      <c r="MX72" s="25"/>
      <c r="MY72" s="25"/>
      <c r="MZ72" s="110"/>
      <c r="NA72" s="110"/>
      <c r="NB72" s="25"/>
      <c r="NC72" s="25"/>
      <c r="ND72" s="25"/>
      <c r="NE72" s="129"/>
      <c r="NF72" s="111"/>
      <c r="NG72" s="8">
        <f t="shared" si="27"/>
        <v>0</v>
      </c>
      <c r="NH72" s="32" cm="1">
        <f t="array" ref="NH72">NETWORKDAYS($I$2,$AI$2)- SUM(COUNTIF(I72:AI72,{"I";"F";"CP";"R";"P";"AC";"AM"}))</f>
        <v>20</v>
      </c>
      <c r="NI72" s="138">
        <f t="shared" si="28"/>
        <v>0</v>
      </c>
      <c r="NJ72" s="8">
        <f t="shared" si="29"/>
        <v>0</v>
      </c>
      <c r="NK72" s="32" cm="1">
        <f t="array" ref="NK72">NETWORKDAYS($AJ$2,$BK$2)- SUM(COUNTIF(AJ72:BK72,{"I";"F";"CP";"R";"P";"AC";"AM"}))</f>
        <v>20</v>
      </c>
      <c r="NL72" s="138">
        <f t="shared" si="30"/>
        <v>0</v>
      </c>
      <c r="NM72" s="8">
        <f t="shared" si="31"/>
        <v>0</v>
      </c>
      <c r="NN72" s="32" cm="1">
        <f t="array" ref="NN72">NETWORKDAYS($BL$2,$CP$2)- SUM(COUNTIF(BL72:CP72,{"I";"F";"CP";"R";"P";"AC";"AM"}))</f>
        <v>22</v>
      </c>
      <c r="NO72" s="138">
        <f t="shared" si="32"/>
        <v>0</v>
      </c>
      <c r="NP72" s="8">
        <f t="shared" si="53"/>
        <v>0</v>
      </c>
      <c r="NQ72" s="32" cm="1">
        <f t="array" ref="NQ72">NETWORKDAYS($CQ$2,$DT$2,$CV$2)- SUM(COUNTIF(CQ72:DT72,{"I";"F";"CP";"R";"P";"AC";"AM"}))</f>
        <v>21</v>
      </c>
      <c r="NR72" s="138">
        <f t="shared" si="33"/>
        <v>0</v>
      </c>
      <c r="NS72" s="8">
        <f t="shared" si="34"/>
        <v>0</v>
      </c>
      <c r="NT72" s="32" cm="1">
        <f t="array" ref="NT72">NETWORKDAYS($DV$2,$EY$2)-SUM(COUNTIF(DV72:EY72,{"I";"F";"CP";"R";"P";"AC";"AM"}))</f>
        <v>16</v>
      </c>
      <c r="NU72" s="138">
        <f t="shared" si="35"/>
        <v>0</v>
      </c>
      <c r="NV72" s="8">
        <f t="shared" si="36"/>
        <v>0</v>
      </c>
      <c r="NW72" s="32" cm="1">
        <f t="array" ref="NW72">NETWORKDAYS($EZ$2,$GC$2)-SUM(COUNTIF(EZ152:GC152,{"I";"F";"CP";"R";"P";"AC";"AM"}))</f>
        <v>22</v>
      </c>
      <c r="NX72" s="138">
        <f t="shared" si="37"/>
        <v>0</v>
      </c>
      <c r="NY72" s="8">
        <f t="shared" si="38"/>
        <v>0</v>
      </c>
      <c r="NZ72" s="32" cm="1">
        <f t="array" ref="NZ72">NETWORKDAYS($GD$2,$HH$2,$GQ$2)-SUM(COUNTIF(GD72:HH72,{"I";"F";"CP";"R";"P";"AC";"AM"}))</f>
        <v>21</v>
      </c>
      <c r="OA72" s="138">
        <f t="shared" si="39"/>
        <v>0</v>
      </c>
      <c r="OB72" s="8">
        <f t="shared" si="40"/>
        <v>0</v>
      </c>
      <c r="OC72" s="32" cm="1">
        <f t="array" ref="OC72">NETWORKDAYS($HI$2,$IM$2)-SUM(COUNTIF(HI72:IM72,{"I";"F";"CP";"R";"P";"AC";"AM"}))</f>
        <v>21</v>
      </c>
      <c r="OD72" s="138">
        <f t="shared" si="41"/>
        <v>0</v>
      </c>
      <c r="OE72" s="8">
        <f t="shared" si="42"/>
        <v>0</v>
      </c>
      <c r="OF72" s="32" cm="1">
        <f t="array" ref="OF72">NETWORKDAYS($IN$2,$JQ$2)-SUM(COUNTIF(IN72:JQ72,{"I";"F";"CP";"R";"P";"AC";"AM"}))</f>
        <v>22</v>
      </c>
      <c r="OG72" s="138">
        <f t="shared" si="43"/>
        <v>0</v>
      </c>
      <c r="OH72" s="8">
        <f t="shared" si="44"/>
        <v>0</v>
      </c>
      <c r="OI72" s="32" cm="1">
        <f t="array" ref="OI72">NETWORKDAYS($JR$2,$KV$2)-SUM(COUNTIF(JR72:KV72,{"I";"F";"CP";"R";"P";"AC";"AM"}))</f>
        <v>22</v>
      </c>
      <c r="OJ72" s="138">
        <f t="shared" si="45"/>
        <v>0</v>
      </c>
      <c r="OK72" s="8">
        <f t="shared" si="46"/>
        <v>0</v>
      </c>
      <c r="OL72" s="32" cm="1">
        <f t="array" ref="OL72">NETWORKDAYS($KW$2,$LZ$2,$LG$2)-SUM(COUNTIF(KW72:LZ72,{"I";"F";"CP";"R";"P";"AC";"AM"}))</f>
        <v>19</v>
      </c>
      <c r="OM72" s="138">
        <f t="shared" si="47"/>
        <v>0</v>
      </c>
      <c r="ON72" s="8">
        <f t="shared" si="48"/>
        <v>0</v>
      </c>
      <c r="OO72" s="32" cm="1">
        <f t="array" ref="OO72">NETWORKDAYS($MA$2,$MR$2)-SUM(COUNTIF(MA72:MR72,{"I";"F";"CP";"R";"P";"AC";"AM"}))</f>
        <v>14</v>
      </c>
      <c r="OP72" s="138">
        <f t="shared" si="49"/>
        <v>0</v>
      </c>
      <c r="OQ72" s="94">
        <f t="shared" si="50"/>
        <v>0</v>
      </c>
      <c r="OR72" s="94">
        <f t="shared" si="51"/>
        <v>240</v>
      </c>
      <c r="OS72" s="138">
        <f t="shared" si="52"/>
        <v>0</v>
      </c>
    </row>
    <row r="73" spans="1:409" ht="18" hidden="1" customHeight="1" x14ac:dyDescent="0.25">
      <c r="A73" s="95" t="s">
        <v>168</v>
      </c>
      <c r="B73" s="93" t="s">
        <v>168</v>
      </c>
      <c r="C73" s="89" t="s">
        <v>166</v>
      </c>
      <c r="D73" s="89" t="s">
        <v>256</v>
      </c>
      <c r="E73" s="128"/>
      <c r="F73" s="110"/>
      <c r="G73" s="110"/>
      <c r="H73" s="110"/>
      <c r="I73" s="25"/>
      <c r="J73" s="25"/>
      <c r="K73" s="25"/>
      <c r="L73" s="25"/>
      <c r="M73" s="25"/>
      <c r="N73" s="110"/>
      <c r="O73" s="110"/>
      <c r="P73" s="25"/>
      <c r="Q73" s="25"/>
      <c r="R73" s="25"/>
      <c r="S73" s="25"/>
      <c r="T73" s="25"/>
      <c r="U73" s="110"/>
      <c r="V73" s="110"/>
      <c r="W73" s="25"/>
      <c r="X73" s="25"/>
      <c r="Y73" s="25"/>
      <c r="Z73" s="25"/>
      <c r="AA73" s="25"/>
      <c r="AB73" s="110"/>
      <c r="AC73" s="110"/>
      <c r="AD73" s="25"/>
      <c r="AE73" s="25"/>
      <c r="AF73" s="25"/>
      <c r="AG73" s="25"/>
      <c r="AH73" s="25"/>
      <c r="AI73" s="110"/>
      <c r="AJ73" s="110"/>
      <c r="AK73" s="25"/>
      <c r="AL73" s="25"/>
      <c r="AM73" s="25"/>
      <c r="AN73" s="25"/>
      <c r="AO73" s="25"/>
      <c r="AP73" s="110"/>
      <c r="AQ73" s="110"/>
      <c r="AR73" s="25"/>
      <c r="AS73" s="25"/>
      <c r="AT73" s="25"/>
      <c r="AU73" s="25"/>
      <c r="AV73" s="25"/>
      <c r="AW73" s="110"/>
      <c r="AX73" s="110"/>
      <c r="AY73" s="25"/>
      <c r="AZ73" s="25"/>
      <c r="BA73" s="25"/>
      <c r="BB73" s="25"/>
      <c r="BC73" s="25"/>
      <c r="BD73" s="110"/>
      <c r="BE73" s="110"/>
      <c r="BF73" s="25"/>
      <c r="BG73" s="25"/>
      <c r="BH73" s="25"/>
      <c r="BI73" s="25"/>
      <c r="BJ73" s="25"/>
      <c r="BK73" s="110"/>
      <c r="BL73" s="110"/>
      <c r="BM73" s="25"/>
      <c r="BN73" s="25"/>
      <c r="BO73" s="25"/>
      <c r="BP73" s="25"/>
      <c r="BQ73" s="25"/>
      <c r="BR73" s="110"/>
      <c r="BS73" s="110"/>
      <c r="BT73" s="25"/>
      <c r="BU73" s="25"/>
      <c r="BV73" s="25"/>
      <c r="BW73" s="25"/>
      <c r="BX73" s="25"/>
      <c r="BY73" s="110"/>
      <c r="BZ73" s="110"/>
      <c r="CA73" s="25"/>
      <c r="CB73" s="25"/>
      <c r="CC73" s="25"/>
      <c r="CD73" s="25"/>
      <c r="CE73" s="25"/>
      <c r="CF73" s="110"/>
      <c r="CG73" s="110"/>
      <c r="CH73" s="25"/>
      <c r="CI73" s="25"/>
      <c r="CJ73" s="25"/>
      <c r="CK73" s="25"/>
      <c r="CL73" s="25"/>
      <c r="CM73" s="110"/>
      <c r="CN73" s="110"/>
      <c r="CO73" s="25"/>
      <c r="CP73" s="25"/>
      <c r="CQ73" s="25"/>
      <c r="CR73" s="25"/>
      <c r="CS73" s="25"/>
      <c r="CT73" s="110"/>
      <c r="CU73" s="110"/>
      <c r="CV73" s="110"/>
      <c r="CW73" s="25"/>
      <c r="CX73" s="25"/>
      <c r="CY73" s="25"/>
      <c r="CZ73" s="25"/>
      <c r="DA73" s="110"/>
      <c r="DB73" s="110"/>
      <c r="DC73" s="25"/>
      <c r="DD73" s="25"/>
      <c r="DE73" s="25"/>
      <c r="DF73" s="25"/>
      <c r="DG73" s="25"/>
      <c r="DH73" s="110"/>
      <c r="DI73" s="110"/>
      <c r="DJ73" s="25"/>
      <c r="DK73" s="25"/>
      <c r="DL73" s="25"/>
      <c r="DM73" s="25"/>
      <c r="DN73" s="25"/>
      <c r="DO73" s="110"/>
      <c r="DP73" s="110"/>
      <c r="DQ73" s="25"/>
      <c r="DR73" s="25"/>
      <c r="DS73" s="25"/>
      <c r="DT73" s="25"/>
      <c r="DU73" s="110"/>
      <c r="DV73" s="110"/>
      <c r="DW73" s="110"/>
      <c r="DX73" s="25"/>
      <c r="DY73" s="25"/>
      <c r="DZ73" s="25"/>
      <c r="EA73" s="25"/>
      <c r="EB73" s="110" t="s">
        <v>445</v>
      </c>
      <c r="EC73" s="110"/>
      <c r="ED73" s="110"/>
      <c r="EE73" s="25"/>
      <c r="EF73" s="25"/>
      <c r="EG73" s="25"/>
      <c r="EH73" s="110" t="s">
        <v>445</v>
      </c>
      <c r="EI73" s="110" t="s">
        <v>445</v>
      </c>
      <c r="EJ73" s="110"/>
      <c r="EK73" s="110"/>
      <c r="EL73" s="25"/>
      <c r="EM73" s="25"/>
      <c r="EN73" s="25"/>
      <c r="EO73" s="25"/>
      <c r="EP73" s="25"/>
      <c r="EQ73" s="110"/>
      <c r="ER73" s="110"/>
      <c r="ES73" s="110" t="s">
        <v>445</v>
      </c>
      <c r="ET73" s="25"/>
      <c r="EU73" s="25"/>
      <c r="EV73" s="25"/>
      <c r="EW73" s="25"/>
      <c r="EX73" s="110"/>
      <c r="EY73" s="110"/>
      <c r="EZ73" s="25"/>
      <c r="FA73" s="25"/>
      <c r="FB73" s="25"/>
      <c r="FC73" s="25"/>
      <c r="FD73" s="25"/>
      <c r="FE73" s="110"/>
      <c r="FF73" s="110"/>
      <c r="FG73" s="25"/>
      <c r="FH73" s="25"/>
      <c r="FI73" s="25"/>
      <c r="FJ73" s="25"/>
      <c r="FK73" s="25"/>
      <c r="FL73" s="110"/>
      <c r="FM73" s="110"/>
      <c r="FN73" s="25"/>
      <c r="FO73" s="25"/>
      <c r="FP73" s="25"/>
      <c r="FQ73" s="25"/>
      <c r="FR73" s="25"/>
      <c r="FS73" s="110"/>
      <c r="FT73" s="110"/>
      <c r="FU73" s="25"/>
      <c r="FV73" s="25"/>
      <c r="FW73" s="25"/>
      <c r="FX73" s="25"/>
      <c r="FY73" s="25"/>
      <c r="FZ73" s="110"/>
      <c r="GA73" s="110"/>
      <c r="GB73" s="25"/>
      <c r="GC73" s="25"/>
      <c r="GD73" s="25"/>
      <c r="GE73" s="25"/>
      <c r="GF73" s="25"/>
      <c r="GG73" s="110"/>
      <c r="GH73" s="110"/>
      <c r="GI73" s="25"/>
      <c r="GJ73" s="25"/>
      <c r="GK73" s="25"/>
      <c r="GL73" s="25"/>
      <c r="GM73" s="25"/>
      <c r="GN73" s="110"/>
      <c r="GO73" s="110"/>
      <c r="GP73" s="110"/>
      <c r="GQ73" s="110" t="s">
        <v>445</v>
      </c>
      <c r="GR73" s="25"/>
      <c r="GS73" s="25"/>
      <c r="GT73" s="25"/>
      <c r="GU73" s="110"/>
      <c r="GV73" s="110"/>
      <c r="GW73" s="25"/>
      <c r="GX73" s="25"/>
      <c r="GY73" s="25"/>
      <c r="GZ73" s="25"/>
      <c r="HA73" s="25"/>
      <c r="HB73" s="110"/>
      <c r="HC73" s="110"/>
      <c r="HD73" s="25"/>
      <c r="HE73" s="25"/>
      <c r="HF73" s="25"/>
      <c r="HG73" s="25"/>
      <c r="HH73" s="25"/>
      <c r="HI73" s="110"/>
      <c r="HJ73" s="110"/>
      <c r="HK73" s="25"/>
      <c r="HL73" s="25"/>
      <c r="HM73" s="25"/>
      <c r="HN73" s="25"/>
      <c r="HO73" s="25"/>
      <c r="HP73" s="110"/>
      <c r="HQ73" s="110"/>
      <c r="HR73" s="25"/>
      <c r="HS73" s="25"/>
      <c r="HT73" s="25"/>
      <c r="HU73" s="25"/>
      <c r="HV73" s="25"/>
      <c r="HW73" s="110"/>
      <c r="HX73" s="110"/>
      <c r="HY73" s="25"/>
      <c r="HZ73" s="25"/>
      <c r="IA73" s="25"/>
      <c r="IB73" s="25"/>
      <c r="IC73" s="25"/>
      <c r="ID73" s="110"/>
      <c r="IE73" s="110"/>
      <c r="IF73" s="25"/>
      <c r="IG73" s="25"/>
      <c r="IH73" s="25"/>
      <c r="II73" s="25"/>
      <c r="IJ73" s="25"/>
      <c r="IK73" s="110"/>
      <c r="IL73" s="110"/>
      <c r="IM73" s="25"/>
      <c r="IN73" s="25"/>
      <c r="IO73" s="25"/>
      <c r="IP73" s="25"/>
      <c r="IQ73" s="25"/>
      <c r="IR73" s="110"/>
      <c r="IS73" s="110"/>
      <c r="IT73" s="25"/>
      <c r="IU73" s="25"/>
      <c r="IV73" s="25"/>
      <c r="IW73" s="25"/>
      <c r="IX73" s="25"/>
      <c r="IY73" s="110"/>
      <c r="IZ73" s="110"/>
      <c r="JA73" s="25"/>
      <c r="JB73" s="25"/>
      <c r="JC73" s="25"/>
      <c r="JD73" s="25"/>
      <c r="JE73" s="25"/>
      <c r="JF73" s="110"/>
      <c r="JG73" s="110"/>
      <c r="JH73" s="25"/>
      <c r="JI73" s="25"/>
      <c r="JJ73" s="25"/>
      <c r="JK73" s="25"/>
      <c r="JL73" s="25"/>
      <c r="JM73" s="110"/>
      <c r="JN73" s="110"/>
      <c r="JO73" s="25"/>
      <c r="JP73" s="25"/>
      <c r="JQ73" s="25"/>
      <c r="JR73" s="25"/>
      <c r="JS73" s="25"/>
      <c r="JT73" s="110"/>
      <c r="JU73" s="110"/>
      <c r="JV73" s="25"/>
      <c r="JW73" s="25"/>
      <c r="JX73" s="25"/>
      <c r="JY73" s="25"/>
      <c r="JZ73" s="25"/>
      <c r="KA73" s="110"/>
      <c r="KB73" s="110"/>
      <c r="KC73" s="25"/>
      <c r="KD73" s="25"/>
      <c r="KE73" s="25"/>
      <c r="KF73" s="25"/>
      <c r="KG73" s="25"/>
      <c r="KH73" s="110"/>
      <c r="KI73" s="110"/>
      <c r="KJ73" s="25"/>
      <c r="KK73" s="25"/>
      <c r="KL73" s="25"/>
      <c r="KM73" s="25"/>
      <c r="KN73" s="25"/>
      <c r="KO73" s="110"/>
      <c r="KP73" s="110"/>
      <c r="KQ73" s="25"/>
      <c r="KR73" s="25"/>
      <c r="KS73" s="25"/>
      <c r="KT73" s="25"/>
      <c r="KU73" s="25"/>
      <c r="KV73" s="110"/>
      <c r="KW73" s="110"/>
      <c r="KX73" s="25"/>
      <c r="KY73" s="25"/>
      <c r="KZ73" s="25"/>
      <c r="LA73" s="25"/>
      <c r="LB73" s="25"/>
      <c r="LC73" s="110"/>
      <c r="LD73" s="110"/>
      <c r="LE73" s="25"/>
      <c r="LF73" s="25"/>
      <c r="LG73" s="110" t="s">
        <v>445</v>
      </c>
      <c r="LH73" s="25"/>
      <c r="LI73" s="25"/>
      <c r="LJ73" s="110"/>
      <c r="LK73" s="110"/>
      <c r="LL73" s="25"/>
      <c r="LM73" s="25"/>
      <c r="LN73" s="25"/>
      <c r="LO73" s="25"/>
      <c r="LP73" s="25"/>
      <c r="LQ73" s="110"/>
      <c r="LR73" s="110"/>
      <c r="LS73" s="25"/>
      <c r="LT73" s="25"/>
      <c r="LU73" s="25"/>
      <c r="LV73" s="25"/>
      <c r="LW73" s="25"/>
      <c r="LX73" s="110"/>
      <c r="LY73" s="110"/>
      <c r="LZ73" s="25"/>
      <c r="MA73" s="25"/>
      <c r="MB73" s="25"/>
      <c r="MC73" s="25"/>
      <c r="MD73" s="25"/>
      <c r="ME73" s="110"/>
      <c r="MF73" s="110"/>
      <c r="MG73" s="25"/>
      <c r="MH73" s="25"/>
      <c r="MI73" s="25"/>
      <c r="MJ73" s="25"/>
      <c r="MK73" s="25"/>
      <c r="ML73" s="110"/>
      <c r="MM73" s="110"/>
      <c r="MN73" s="25"/>
      <c r="MO73" s="25"/>
      <c r="MP73" s="25"/>
      <c r="MQ73" s="25"/>
      <c r="MR73" s="25"/>
      <c r="MS73" s="110"/>
      <c r="MT73" s="110"/>
      <c r="MU73" s="25"/>
      <c r="MV73" s="25"/>
      <c r="MW73" s="25"/>
      <c r="MX73" s="25"/>
      <c r="MY73" s="25"/>
      <c r="MZ73" s="110"/>
      <c r="NA73" s="110"/>
      <c r="NB73" s="25"/>
      <c r="NC73" s="25"/>
      <c r="ND73" s="25"/>
      <c r="NE73" s="129"/>
      <c r="NF73" s="111"/>
      <c r="NG73" s="8">
        <f t="shared" si="27"/>
        <v>0</v>
      </c>
      <c r="NH73" s="32" cm="1">
        <f t="array" ref="NH73">NETWORKDAYS($I$2,$AI$2)- SUM(COUNTIF(I73:AI73,{"I";"F";"CP";"R";"P";"AC";"AM"}))</f>
        <v>20</v>
      </c>
      <c r="NI73" s="138">
        <f t="shared" si="28"/>
        <v>0</v>
      </c>
      <c r="NJ73" s="8">
        <f t="shared" si="29"/>
        <v>0</v>
      </c>
      <c r="NK73" s="32" cm="1">
        <f t="array" ref="NK73">NETWORKDAYS($AJ$2,$BK$2)- SUM(COUNTIF(AJ73:BK73,{"I";"F";"CP";"R";"P";"AC";"AM"}))</f>
        <v>20</v>
      </c>
      <c r="NL73" s="138">
        <f t="shared" si="30"/>
        <v>0</v>
      </c>
      <c r="NM73" s="8">
        <f t="shared" si="31"/>
        <v>0</v>
      </c>
      <c r="NN73" s="32" cm="1">
        <f t="array" ref="NN73">NETWORKDAYS($BL$2,$CP$2)- SUM(COUNTIF(BL73:CP73,{"I";"F";"CP";"R";"P";"AC";"AM"}))</f>
        <v>22</v>
      </c>
      <c r="NO73" s="138">
        <f t="shared" si="32"/>
        <v>0</v>
      </c>
      <c r="NP73" s="32">
        <f t="shared" si="53"/>
        <v>0</v>
      </c>
      <c r="NQ73" s="32" cm="1">
        <f t="array" ref="NQ73">NETWORKDAYS($CQ$2,$DT$2,$CV$2)- SUM(COUNTIF(CQ73:DT73,{"I";"F";"CP";"R";"P";"AC";"AM"}))</f>
        <v>21</v>
      </c>
      <c r="NR73" s="138">
        <f t="shared" si="33"/>
        <v>0</v>
      </c>
      <c r="NS73" s="8">
        <f t="shared" si="34"/>
        <v>0</v>
      </c>
      <c r="NT73" s="32" cm="1">
        <f t="array" ref="NT73">NETWORKDAYS($DV$2,$EY$2)-SUM(COUNTIF(DV73:EY73,{"I";"F";"CP";"R";"P";"AC";"AM"}))</f>
        <v>16</v>
      </c>
      <c r="NU73" s="138">
        <f t="shared" si="35"/>
        <v>0</v>
      </c>
      <c r="NV73" s="8">
        <f t="shared" si="36"/>
        <v>0</v>
      </c>
      <c r="NW73" s="32" cm="1">
        <f t="array" ref="NW73">NETWORKDAYS($EZ$2,$GC$2)-SUM(COUNTIF(EZ153:GC153,{"I";"F";"CP";"R";"P";"AC";"AM"}))</f>
        <v>22</v>
      </c>
      <c r="NX73" s="138">
        <f t="shared" si="37"/>
        <v>0</v>
      </c>
      <c r="NY73" s="8">
        <f t="shared" si="38"/>
        <v>0</v>
      </c>
      <c r="NZ73" s="32" cm="1">
        <f t="array" ref="NZ73">NETWORKDAYS($GD$2,$HH$2,$GQ$2)-SUM(COUNTIF(GD73:HH73,{"I";"F";"CP";"R";"P";"AC";"AM"}))</f>
        <v>21</v>
      </c>
      <c r="OA73" s="138">
        <f t="shared" si="39"/>
        <v>0</v>
      </c>
      <c r="OB73" s="8">
        <f t="shared" si="40"/>
        <v>0</v>
      </c>
      <c r="OC73" s="32" cm="1">
        <f t="array" ref="OC73">NETWORKDAYS($HI$2,$IM$2)-SUM(COUNTIF(HI73:IM73,{"I";"F";"CP";"R";"P";"AC";"AM"}))</f>
        <v>21</v>
      </c>
      <c r="OD73" s="138">
        <f t="shared" si="41"/>
        <v>0</v>
      </c>
      <c r="OE73" s="8">
        <f t="shared" si="42"/>
        <v>0</v>
      </c>
      <c r="OF73" s="32" cm="1">
        <f t="array" ref="OF73">NETWORKDAYS($IN$2,$JQ$2)-SUM(COUNTIF(IN73:JQ73,{"I";"F";"CP";"R";"P";"AC";"AM"}))</f>
        <v>22</v>
      </c>
      <c r="OG73" s="138">
        <f t="shared" si="43"/>
        <v>0</v>
      </c>
      <c r="OH73" s="8">
        <f t="shared" si="44"/>
        <v>0</v>
      </c>
      <c r="OI73" s="32" cm="1">
        <f t="array" ref="OI73">NETWORKDAYS($JR$2,$KV$2)-SUM(COUNTIF(JR73:KV73,{"I";"F";"CP";"R";"P";"AC";"AM"}))</f>
        <v>22</v>
      </c>
      <c r="OJ73" s="138">
        <f t="shared" si="45"/>
        <v>0</v>
      </c>
      <c r="OK73" s="8">
        <f t="shared" si="46"/>
        <v>0</v>
      </c>
      <c r="OL73" s="32" cm="1">
        <f t="array" ref="OL73">NETWORKDAYS($KW$2,$LZ$2,$LG$2)-SUM(COUNTIF(KW73:LZ73,{"I";"F";"CP";"R";"P";"AC";"AM"}))</f>
        <v>19</v>
      </c>
      <c r="OM73" s="138">
        <f t="shared" si="47"/>
        <v>0</v>
      </c>
      <c r="ON73" s="8">
        <f t="shared" si="48"/>
        <v>0</v>
      </c>
      <c r="OO73" s="32" cm="1">
        <f t="array" ref="OO73">NETWORKDAYS($MA$2,$MR$2)-SUM(COUNTIF(MA73:MR73,{"I";"F";"CP";"R";"P";"AC";"AM"}))</f>
        <v>14</v>
      </c>
      <c r="OP73" s="138">
        <f t="shared" si="49"/>
        <v>0</v>
      </c>
      <c r="OQ73" s="94">
        <f t="shared" si="50"/>
        <v>0</v>
      </c>
      <c r="OR73" s="94">
        <f t="shared" si="51"/>
        <v>240</v>
      </c>
      <c r="OS73" s="138">
        <f t="shared" si="52"/>
        <v>0</v>
      </c>
    </row>
    <row r="74" spans="1:409" ht="18" hidden="1" customHeight="1" x14ac:dyDescent="0.25">
      <c r="A74" s="95" t="s">
        <v>159</v>
      </c>
      <c r="B74" s="95" t="s">
        <v>45</v>
      </c>
      <c r="C74" s="89" t="s">
        <v>166</v>
      </c>
      <c r="D74" s="89" t="s">
        <v>257</v>
      </c>
      <c r="E74" s="128"/>
      <c r="F74" s="110"/>
      <c r="G74" s="110"/>
      <c r="H74" s="110"/>
      <c r="I74" s="25"/>
      <c r="J74" s="25"/>
      <c r="K74" s="25"/>
      <c r="L74" s="25"/>
      <c r="M74" s="25"/>
      <c r="N74" s="110"/>
      <c r="O74" s="110"/>
      <c r="P74" s="25"/>
      <c r="Q74" s="25"/>
      <c r="R74" s="25"/>
      <c r="S74" s="25"/>
      <c r="T74" s="25"/>
      <c r="U74" s="110"/>
      <c r="V74" s="110"/>
      <c r="W74" s="25"/>
      <c r="X74" s="25"/>
      <c r="Y74" s="25"/>
      <c r="Z74" s="25"/>
      <c r="AA74" s="25"/>
      <c r="AB74" s="110"/>
      <c r="AC74" s="110"/>
      <c r="AD74" s="25"/>
      <c r="AE74" s="25"/>
      <c r="AF74" s="25"/>
      <c r="AG74" s="25"/>
      <c r="AH74" s="25"/>
      <c r="AI74" s="110"/>
      <c r="AJ74" s="110"/>
      <c r="AK74" s="25"/>
      <c r="AL74" s="25"/>
      <c r="AM74" s="25"/>
      <c r="AN74" s="25"/>
      <c r="AO74" s="25"/>
      <c r="AP74" s="110"/>
      <c r="AQ74" s="110"/>
      <c r="AR74" s="25"/>
      <c r="AS74" s="25"/>
      <c r="AT74" s="25"/>
      <c r="AU74" s="25"/>
      <c r="AV74" s="25"/>
      <c r="AW74" s="110"/>
      <c r="AX74" s="110"/>
      <c r="AY74" s="25"/>
      <c r="AZ74" s="25"/>
      <c r="BA74" s="25"/>
      <c r="BB74" s="25"/>
      <c r="BC74" s="25"/>
      <c r="BD74" s="110"/>
      <c r="BE74" s="110"/>
      <c r="BF74" s="25"/>
      <c r="BG74" s="25"/>
      <c r="BH74" s="25"/>
      <c r="BI74" s="25"/>
      <c r="BJ74" s="25"/>
      <c r="BK74" s="110"/>
      <c r="BL74" s="110"/>
      <c r="BM74" s="25"/>
      <c r="BN74" s="25"/>
      <c r="BO74" s="25"/>
      <c r="BP74" s="25"/>
      <c r="BQ74" s="25"/>
      <c r="BR74" s="110"/>
      <c r="BS74" s="110"/>
      <c r="BT74" s="25"/>
      <c r="BU74" s="25"/>
      <c r="BV74" s="25"/>
      <c r="BW74" s="25"/>
      <c r="BX74" s="25"/>
      <c r="BY74" s="110"/>
      <c r="BZ74" s="110"/>
      <c r="CA74" s="25"/>
      <c r="CB74" s="25"/>
      <c r="CC74" s="25"/>
      <c r="CD74" s="25"/>
      <c r="CE74" s="25"/>
      <c r="CF74" s="110"/>
      <c r="CG74" s="110"/>
      <c r="CH74" s="25"/>
      <c r="CI74" s="25"/>
      <c r="CJ74" s="25"/>
      <c r="CK74" s="25"/>
      <c r="CL74" s="25"/>
      <c r="CM74" s="110"/>
      <c r="CN74" s="110"/>
      <c r="CO74" s="25"/>
      <c r="CP74" s="25"/>
      <c r="CQ74" s="25"/>
      <c r="CR74" s="25"/>
      <c r="CS74" s="25"/>
      <c r="CT74" s="110"/>
      <c r="CU74" s="110"/>
      <c r="CV74" s="110"/>
      <c r="CW74" s="25"/>
      <c r="CX74" s="25"/>
      <c r="CY74" s="25"/>
      <c r="CZ74" s="25"/>
      <c r="DA74" s="110"/>
      <c r="DB74" s="110"/>
      <c r="DC74" s="25"/>
      <c r="DD74" s="25"/>
      <c r="DE74" s="25"/>
      <c r="DF74" s="25"/>
      <c r="DG74" s="25"/>
      <c r="DH74" s="110"/>
      <c r="DI74" s="110"/>
      <c r="DJ74" s="25"/>
      <c r="DK74" s="25"/>
      <c r="DL74" s="25"/>
      <c r="DM74" s="25"/>
      <c r="DN74" s="25"/>
      <c r="DO74" s="110"/>
      <c r="DP74" s="110"/>
      <c r="DQ74" s="25"/>
      <c r="DR74" s="25"/>
      <c r="DS74" s="25"/>
      <c r="DT74" s="25"/>
      <c r="DU74" s="110"/>
      <c r="DV74" s="110"/>
      <c r="DW74" s="110"/>
      <c r="DX74" s="25"/>
      <c r="DY74" s="25"/>
      <c r="DZ74" s="25"/>
      <c r="EA74" s="25"/>
      <c r="EB74" s="110" t="s">
        <v>445</v>
      </c>
      <c r="EC74" s="110"/>
      <c r="ED74" s="110"/>
      <c r="EE74" s="25"/>
      <c r="EF74" s="25"/>
      <c r="EG74" s="25"/>
      <c r="EH74" s="110" t="s">
        <v>445</v>
      </c>
      <c r="EI74" s="110" t="s">
        <v>445</v>
      </c>
      <c r="EJ74" s="110"/>
      <c r="EK74" s="110"/>
      <c r="EL74" s="25"/>
      <c r="EM74" s="25"/>
      <c r="EN74" s="25"/>
      <c r="EO74" s="25"/>
      <c r="EP74" s="25"/>
      <c r="EQ74" s="110"/>
      <c r="ER74" s="110"/>
      <c r="ES74" s="110" t="s">
        <v>445</v>
      </c>
      <c r="ET74" s="25"/>
      <c r="EU74" s="25"/>
      <c r="EV74" s="25"/>
      <c r="EW74" s="25"/>
      <c r="EX74" s="110"/>
      <c r="EY74" s="110"/>
      <c r="EZ74" s="25"/>
      <c r="FA74" s="25"/>
      <c r="FB74" s="25"/>
      <c r="FC74" s="25"/>
      <c r="FD74" s="25"/>
      <c r="FE74" s="110"/>
      <c r="FF74" s="110"/>
      <c r="FG74" s="25"/>
      <c r="FH74" s="25"/>
      <c r="FI74" s="25"/>
      <c r="FJ74" s="25"/>
      <c r="FK74" s="25"/>
      <c r="FL74" s="110"/>
      <c r="FM74" s="110"/>
      <c r="FN74" s="25"/>
      <c r="FO74" s="25"/>
      <c r="FP74" s="25"/>
      <c r="FQ74" s="25"/>
      <c r="FR74" s="25"/>
      <c r="FS74" s="110"/>
      <c r="FT74" s="110"/>
      <c r="FU74" s="25"/>
      <c r="FV74" s="25"/>
      <c r="FW74" s="25"/>
      <c r="FX74" s="25"/>
      <c r="FY74" s="25"/>
      <c r="FZ74" s="110"/>
      <c r="GA74" s="110"/>
      <c r="GB74" s="25"/>
      <c r="GC74" s="25"/>
      <c r="GD74" s="25"/>
      <c r="GE74" s="25"/>
      <c r="GF74" s="25"/>
      <c r="GG74" s="110"/>
      <c r="GH74" s="110"/>
      <c r="GI74" s="25"/>
      <c r="GJ74" s="25"/>
      <c r="GK74" s="25"/>
      <c r="GL74" s="25"/>
      <c r="GM74" s="25"/>
      <c r="GN74" s="110"/>
      <c r="GO74" s="110"/>
      <c r="GP74" s="110"/>
      <c r="GQ74" s="110" t="s">
        <v>445</v>
      </c>
      <c r="GR74" s="25"/>
      <c r="GS74" s="25"/>
      <c r="GT74" s="25"/>
      <c r="GU74" s="110"/>
      <c r="GV74" s="110"/>
      <c r="GW74" s="25"/>
      <c r="GX74" s="25"/>
      <c r="GY74" s="25"/>
      <c r="GZ74" s="25"/>
      <c r="HA74" s="25"/>
      <c r="HB74" s="110"/>
      <c r="HC74" s="110"/>
      <c r="HD74" s="25"/>
      <c r="HE74" s="25"/>
      <c r="HF74" s="25"/>
      <c r="HG74" s="25"/>
      <c r="HH74" s="25"/>
      <c r="HI74" s="110"/>
      <c r="HJ74" s="110"/>
      <c r="HK74" s="25"/>
      <c r="HL74" s="25"/>
      <c r="HM74" s="25"/>
      <c r="HN74" s="25"/>
      <c r="HO74" s="25"/>
      <c r="HP74" s="110"/>
      <c r="HQ74" s="110"/>
      <c r="HR74" s="25"/>
      <c r="HS74" s="25"/>
      <c r="HT74" s="25"/>
      <c r="HU74" s="25"/>
      <c r="HV74" s="25"/>
      <c r="HW74" s="110"/>
      <c r="HX74" s="110"/>
      <c r="HY74" s="25"/>
      <c r="HZ74" s="25"/>
      <c r="IA74" s="25"/>
      <c r="IB74" s="25"/>
      <c r="IC74" s="25"/>
      <c r="ID74" s="110"/>
      <c r="IE74" s="110"/>
      <c r="IF74" s="25"/>
      <c r="IG74" s="25"/>
      <c r="IH74" s="25"/>
      <c r="II74" s="25"/>
      <c r="IJ74" s="25"/>
      <c r="IK74" s="110"/>
      <c r="IL74" s="110"/>
      <c r="IM74" s="25"/>
      <c r="IN74" s="25"/>
      <c r="IO74" s="25"/>
      <c r="IP74" s="25"/>
      <c r="IQ74" s="25"/>
      <c r="IR74" s="110"/>
      <c r="IS74" s="110"/>
      <c r="IT74" s="25"/>
      <c r="IU74" s="25"/>
      <c r="IV74" s="25"/>
      <c r="IW74" s="25"/>
      <c r="IX74" s="25"/>
      <c r="IY74" s="110"/>
      <c r="IZ74" s="110"/>
      <c r="JA74" s="25"/>
      <c r="JB74" s="25"/>
      <c r="JC74" s="25"/>
      <c r="JD74" s="25"/>
      <c r="JE74" s="25"/>
      <c r="JF74" s="110"/>
      <c r="JG74" s="110"/>
      <c r="JH74" s="25"/>
      <c r="JI74" s="25"/>
      <c r="JJ74" s="25"/>
      <c r="JK74" s="25"/>
      <c r="JL74" s="25"/>
      <c r="JM74" s="110"/>
      <c r="JN74" s="110"/>
      <c r="JO74" s="25"/>
      <c r="JP74" s="25"/>
      <c r="JQ74" s="25"/>
      <c r="JR74" s="25"/>
      <c r="JS74" s="25"/>
      <c r="JT74" s="110"/>
      <c r="JU74" s="110"/>
      <c r="JV74" s="25"/>
      <c r="JW74" s="25"/>
      <c r="JX74" s="25"/>
      <c r="JY74" s="25"/>
      <c r="JZ74" s="25"/>
      <c r="KA74" s="110"/>
      <c r="KB74" s="110"/>
      <c r="KC74" s="25"/>
      <c r="KD74" s="25"/>
      <c r="KE74" s="25"/>
      <c r="KF74" s="25"/>
      <c r="KG74" s="25"/>
      <c r="KH74" s="110"/>
      <c r="KI74" s="110"/>
      <c r="KJ74" s="25"/>
      <c r="KK74" s="25"/>
      <c r="KL74" s="25"/>
      <c r="KM74" s="25"/>
      <c r="KN74" s="25"/>
      <c r="KO74" s="110"/>
      <c r="KP74" s="110"/>
      <c r="KQ74" s="25"/>
      <c r="KR74" s="25"/>
      <c r="KS74" s="25"/>
      <c r="KT74" s="25"/>
      <c r="KU74" s="25"/>
      <c r="KV74" s="110"/>
      <c r="KW74" s="110"/>
      <c r="KX74" s="25"/>
      <c r="KY74" s="25"/>
      <c r="KZ74" s="25"/>
      <c r="LA74" s="25"/>
      <c r="LB74" s="25"/>
      <c r="LC74" s="110"/>
      <c r="LD74" s="110"/>
      <c r="LE74" s="25"/>
      <c r="LF74" s="25"/>
      <c r="LG74" s="110" t="s">
        <v>445</v>
      </c>
      <c r="LH74" s="25"/>
      <c r="LI74" s="25"/>
      <c r="LJ74" s="110"/>
      <c r="LK74" s="110"/>
      <c r="LL74" s="25"/>
      <c r="LM74" s="25"/>
      <c r="LN74" s="25"/>
      <c r="LO74" s="25"/>
      <c r="LP74" s="25"/>
      <c r="LQ74" s="110"/>
      <c r="LR74" s="110"/>
      <c r="LS74" s="25"/>
      <c r="LT74" s="25"/>
      <c r="LU74" s="25"/>
      <c r="LV74" s="25"/>
      <c r="LW74" s="25"/>
      <c r="LX74" s="110"/>
      <c r="LY74" s="110"/>
      <c r="LZ74" s="25"/>
      <c r="MA74" s="25"/>
      <c r="MB74" s="25"/>
      <c r="MC74" s="25"/>
      <c r="MD74" s="25"/>
      <c r="ME74" s="110"/>
      <c r="MF74" s="110"/>
      <c r="MG74" s="25"/>
      <c r="MH74" s="25"/>
      <c r="MI74" s="25"/>
      <c r="MJ74" s="25"/>
      <c r="MK74" s="25"/>
      <c r="ML74" s="110"/>
      <c r="MM74" s="110"/>
      <c r="MN74" s="25"/>
      <c r="MO74" s="25"/>
      <c r="MP74" s="25"/>
      <c r="MQ74" s="25"/>
      <c r="MR74" s="25"/>
      <c r="MS74" s="110"/>
      <c r="MT74" s="110"/>
      <c r="MU74" s="25"/>
      <c r="MV74" s="25"/>
      <c r="MW74" s="25"/>
      <c r="MX74" s="25"/>
      <c r="MY74" s="25"/>
      <c r="MZ74" s="110"/>
      <c r="NA74" s="110"/>
      <c r="NB74" s="25"/>
      <c r="NC74" s="25"/>
      <c r="ND74" s="25"/>
      <c r="NE74" s="129"/>
      <c r="NF74" s="111"/>
      <c r="NG74" s="8">
        <f t="shared" si="27"/>
        <v>0</v>
      </c>
      <c r="NH74" s="32" cm="1">
        <f t="array" ref="NH74">NETWORKDAYS($I$2,$AI$2)- SUM(COUNTIF(I74:AI74,{"I";"F";"CP";"R";"P";"AC";"AM"}))</f>
        <v>20</v>
      </c>
      <c r="NI74" s="138">
        <f t="shared" si="28"/>
        <v>0</v>
      </c>
      <c r="NJ74" s="8">
        <f t="shared" si="29"/>
        <v>0</v>
      </c>
      <c r="NK74" s="32" cm="1">
        <f t="array" ref="NK74">NETWORKDAYS($AJ$2,$BK$2)- SUM(COUNTIF(AJ74:BK74,{"I";"F";"CP";"R";"P";"AC";"AM"}))</f>
        <v>20</v>
      </c>
      <c r="NL74" s="138">
        <f t="shared" si="30"/>
        <v>0</v>
      </c>
      <c r="NM74" s="8">
        <f t="shared" si="31"/>
        <v>0</v>
      </c>
      <c r="NN74" s="32" cm="1">
        <f t="array" ref="NN74">NETWORKDAYS($BL$2,$CP$2)- SUM(COUNTIF(BL74:CP74,{"I";"F";"CP";"R";"P";"AC";"AM"}))</f>
        <v>22</v>
      </c>
      <c r="NO74" s="138">
        <f t="shared" si="32"/>
        <v>0</v>
      </c>
      <c r="NP74" s="8">
        <f t="shared" si="53"/>
        <v>0</v>
      </c>
      <c r="NQ74" s="32" cm="1">
        <f t="array" ref="NQ74">NETWORKDAYS($CQ$2,$DT$2,$CV$2)- SUM(COUNTIF(CQ74:DT74,{"I";"F";"CP";"R";"P";"AC";"AM"}))</f>
        <v>21</v>
      </c>
      <c r="NR74" s="138">
        <f t="shared" si="33"/>
        <v>0</v>
      </c>
      <c r="NS74" s="8">
        <f t="shared" si="34"/>
        <v>0</v>
      </c>
      <c r="NT74" s="32" cm="1">
        <f t="array" ref="NT74">NETWORKDAYS($DV$2,$EY$2)-SUM(COUNTIF(DV74:EY74,{"I";"F";"CP";"R";"P";"AC";"AM"}))</f>
        <v>16</v>
      </c>
      <c r="NU74" s="138">
        <f t="shared" si="35"/>
        <v>0</v>
      </c>
      <c r="NV74" s="8">
        <f t="shared" si="36"/>
        <v>0</v>
      </c>
      <c r="NW74" s="32" cm="1">
        <f t="array" ref="NW74">NETWORKDAYS($EZ$2,$GC$2)-SUM(COUNTIF(EZ154:GC154,{"I";"F";"CP";"R";"P";"AC";"AM"}))</f>
        <v>22</v>
      </c>
      <c r="NX74" s="138">
        <f t="shared" si="37"/>
        <v>0</v>
      </c>
      <c r="NY74" s="8">
        <f t="shared" si="38"/>
        <v>0</v>
      </c>
      <c r="NZ74" s="32" cm="1">
        <f t="array" ref="NZ74">NETWORKDAYS($GD$2,$HH$2,$GQ$2)-SUM(COUNTIF(GD74:HH74,{"I";"F";"CP";"R";"P";"AC";"AM"}))</f>
        <v>21</v>
      </c>
      <c r="OA74" s="138">
        <f t="shared" si="39"/>
        <v>0</v>
      </c>
      <c r="OB74" s="8">
        <f t="shared" si="40"/>
        <v>0</v>
      </c>
      <c r="OC74" s="32" cm="1">
        <f t="array" ref="OC74">NETWORKDAYS($HI$2,$IM$2)-SUM(COUNTIF(HI74:IM74,{"I";"F";"CP";"R";"P";"AC";"AM"}))</f>
        <v>21</v>
      </c>
      <c r="OD74" s="138">
        <f t="shared" si="41"/>
        <v>0</v>
      </c>
      <c r="OE74" s="8">
        <f t="shared" si="42"/>
        <v>0</v>
      </c>
      <c r="OF74" s="32" cm="1">
        <f t="array" ref="OF74">NETWORKDAYS($IN$2,$JQ$2)-SUM(COUNTIF(IN74:JQ74,{"I";"F";"CP";"R";"P";"AC";"AM"}))</f>
        <v>22</v>
      </c>
      <c r="OG74" s="138">
        <f t="shared" si="43"/>
        <v>0</v>
      </c>
      <c r="OH74" s="8">
        <f t="shared" si="44"/>
        <v>0</v>
      </c>
      <c r="OI74" s="32" cm="1">
        <f t="array" ref="OI74">NETWORKDAYS($JR$2,$KV$2)-SUM(COUNTIF(JR74:KV74,{"I";"F";"CP";"R";"P";"AC";"AM"}))</f>
        <v>22</v>
      </c>
      <c r="OJ74" s="138">
        <f t="shared" si="45"/>
        <v>0</v>
      </c>
      <c r="OK74" s="8">
        <f t="shared" si="46"/>
        <v>0</v>
      </c>
      <c r="OL74" s="32" cm="1">
        <f t="array" ref="OL74">NETWORKDAYS($KW$2,$LZ$2,$LG$2)-SUM(COUNTIF(KW74:LZ74,{"I";"F";"CP";"R";"P";"AC";"AM"}))</f>
        <v>19</v>
      </c>
      <c r="OM74" s="138">
        <f t="shared" si="47"/>
        <v>0</v>
      </c>
      <c r="ON74" s="8">
        <f t="shared" si="48"/>
        <v>0</v>
      </c>
      <c r="OO74" s="32" cm="1">
        <f t="array" ref="OO74">NETWORKDAYS($MA$2,$MR$2)-SUM(COUNTIF(MA74:MR74,{"I";"F";"CP";"R";"P";"AC";"AM"}))</f>
        <v>14</v>
      </c>
      <c r="OP74" s="138">
        <f t="shared" si="49"/>
        <v>0</v>
      </c>
      <c r="OQ74" s="94">
        <f t="shared" si="50"/>
        <v>0</v>
      </c>
      <c r="OR74" s="94">
        <f t="shared" si="51"/>
        <v>240</v>
      </c>
      <c r="OS74" s="138">
        <f t="shared" si="52"/>
        <v>0</v>
      </c>
    </row>
    <row r="75" spans="1:409" ht="18" customHeight="1" x14ac:dyDescent="0.25">
      <c r="A75" s="97" t="s">
        <v>178</v>
      </c>
      <c r="B75" s="97" t="s">
        <v>69</v>
      </c>
      <c r="C75" s="89" t="s">
        <v>166</v>
      </c>
      <c r="D75" s="89" t="s">
        <v>469</v>
      </c>
      <c r="E75" s="128"/>
      <c r="F75" s="110"/>
      <c r="G75" s="110"/>
      <c r="H75" s="110"/>
      <c r="I75" s="25" t="s">
        <v>248</v>
      </c>
      <c r="J75" s="25" t="s">
        <v>248</v>
      </c>
      <c r="K75" s="25" t="s">
        <v>248</v>
      </c>
      <c r="L75" s="25" t="s">
        <v>248</v>
      </c>
      <c r="M75" s="25" t="s">
        <v>248</v>
      </c>
      <c r="N75" s="110"/>
      <c r="O75" s="110"/>
      <c r="P75" s="25"/>
      <c r="Q75" s="25"/>
      <c r="R75" s="25"/>
      <c r="S75" s="25"/>
      <c r="T75" s="25"/>
      <c r="U75" s="110"/>
      <c r="V75" s="110"/>
      <c r="W75" s="25"/>
      <c r="X75" s="25"/>
      <c r="Y75" s="25"/>
      <c r="Z75" s="25"/>
      <c r="AA75" s="25"/>
      <c r="AB75" s="110"/>
      <c r="AC75" s="110"/>
      <c r="AD75" s="25"/>
      <c r="AE75" s="25"/>
      <c r="AF75" s="25">
        <v>1</v>
      </c>
      <c r="AG75" s="25"/>
      <c r="AH75" s="25"/>
      <c r="AI75" s="110"/>
      <c r="AJ75" s="110"/>
      <c r="AK75" s="25"/>
      <c r="AL75" s="25"/>
      <c r="AM75" s="25"/>
      <c r="AN75" s="25"/>
      <c r="AO75" s="25"/>
      <c r="AP75" s="110"/>
      <c r="AQ75" s="110"/>
      <c r="AR75" s="25"/>
      <c r="AS75" s="25"/>
      <c r="AT75" s="25"/>
      <c r="AU75" s="25"/>
      <c r="AV75" s="25"/>
      <c r="AW75" s="110"/>
      <c r="AX75" s="110"/>
      <c r="AY75" s="25"/>
      <c r="AZ75" s="25"/>
      <c r="BA75" s="25"/>
      <c r="BB75" s="25"/>
      <c r="BC75" s="25"/>
      <c r="BD75" s="110"/>
      <c r="BE75" s="110"/>
      <c r="BF75" s="25"/>
      <c r="BG75" s="25"/>
      <c r="BH75" s="25"/>
      <c r="BI75" s="25"/>
      <c r="BJ75" s="25"/>
      <c r="BK75" s="110"/>
      <c r="BL75" s="110"/>
      <c r="BM75" s="25"/>
      <c r="BN75" s="25"/>
      <c r="BO75" s="25"/>
      <c r="BP75" s="25"/>
      <c r="BQ75" s="25"/>
      <c r="BR75" s="110"/>
      <c r="BS75" s="110"/>
      <c r="BT75" s="25"/>
      <c r="BU75" s="25"/>
      <c r="BV75" s="25"/>
      <c r="BW75" s="25"/>
      <c r="BX75" s="25"/>
      <c r="BY75" s="110"/>
      <c r="BZ75" s="110"/>
      <c r="CA75" s="25"/>
      <c r="CB75" s="25"/>
      <c r="CC75" s="25">
        <v>1</v>
      </c>
      <c r="CD75" s="25">
        <v>1</v>
      </c>
      <c r="CE75" s="25"/>
      <c r="CF75" s="110"/>
      <c r="CG75" s="110"/>
      <c r="CH75" s="25">
        <v>1</v>
      </c>
      <c r="CI75" s="25">
        <v>1</v>
      </c>
      <c r="CJ75" s="25">
        <v>1</v>
      </c>
      <c r="CK75" s="25">
        <v>1</v>
      </c>
      <c r="CL75" s="25">
        <v>1</v>
      </c>
      <c r="CM75" s="110"/>
      <c r="CN75" s="110"/>
      <c r="CO75" s="25">
        <v>1</v>
      </c>
      <c r="CP75" s="25">
        <v>1</v>
      </c>
      <c r="CQ75" s="25">
        <v>1</v>
      </c>
      <c r="CR75" s="25">
        <v>1</v>
      </c>
      <c r="CS75" s="25">
        <v>1</v>
      </c>
      <c r="CT75" s="110"/>
      <c r="CU75" s="110"/>
      <c r="CV75" s="110"/>
      <c r="CW75" s="25"/>
      <c r="CX75" s="25">
        <v>1</v>
      </c>
      <c r="CY75" s="25"/>
      <c r="CZ75" s="25"/>
      <c r="DA75" s="110"/>
      <c r="DB75" s="110"/>
      <c r="DC75" s="25" t="s">
        <v>223</v>
      </c>
      <c r="DD75" s="25" t="s">
        <v>223</v>
      </c>
      <c r="DE75" s="25" t="s">
        <v>223</v>
      </c>
      <c r="DF75" s="25" t="s">
        <v>223</v>
      </c>
      <c r="DG75" s="25" t="s">
        <v>223</v>
      </c>
      <c r="DH75" s="110"/>
      <c r="DI75" s="110"/>
      <c r="DJ75" s="25"/>
      <c r="DK75" s="25">
        <v>1</v>
      </c>
      <c r="DL75" s="25">
        <v>1</v>
      </c>
      <c r="DM75" s="25">
        <v>1</v>
      </c>
      <c r="DN75" s="25">
        <v>1</v>
      </c>
      <c r="DO75" s="110"/>
      <c r="DP75" s="110"/>
      <c r="DQ75" s="25"/>
      <c r="DR75" s="25"/>
      <c r="DS75" s="25"/>
      <c r="DT75" s="25"/>
      <c r="DU75" s="110"/>
      <c r="DV75" s="110"/>
      <c r="DW75" s="110"/>
      <c r="DX75" s="25"/>
      <c r="DY75" s="25"/>
      <c r="DZ75" s="25"/>
      <c r="EA75" s="25"/>
      <c r="EB75" s="110" t="s">
        <v>445</v>
      </c>
      <c r="EC75" s="110"/>
      <c r="ED75" s="110"/>
      <c r="EE75" s="25">
        <v>1</v>
      </c>
      <c r="EF75" s="25"/>
      <c r="EG75" s="25"/>
      <c r="EH75" s="110" t="s">
        <v>445</v>
      </c>
      <c r="EI75" s="110" t="s">
        <v>445</v>
      </c>
      <c r="EJ75" s="110"/>
      <c r="EK75" s="110"/>
      <c r="EL75" s="25"/>
      <c r="EM75" s="25"/>
      <c r="EN75" s="25"/>
      <c r="EO75" s="25"/>
      <c r="EP75" s="25"/>
      <c r="EQ75" s="110"/>
      <c r="ER75" s="110"/>
      <c r="ES75" s="110" t="s">
        <v>445</v>
      </c>
      <c r="ET75" s="25"/>
      <c r="EU75" s="25"/>
      <c r="EV75" s="25"/>
      <c r="EW75" s="25"/>
      <c r="EX75" s="110"/>
      <c r="EY75" s="110"/>
      <c r="EZ75" s="25"/>
      <c r="FA75" s="25"/>
      <c r="FB75" s="25"/>
      <c r="FC75" s="25"/>
      <c r="FD75" s="25"/>
      <c r="FE75" s="110"/>
      <c r="FF75" s="110"/>
      <c r="FG75" s="25"/>
      <c r="FH75" s="25"/>
      <c r="FI75" s="25"/>
      <c r="FJ75" s="25"/>
      <c r="FK75" s="25"/>
      <c r="FL75" s="110"/>
      <c r="FM75" s="110"/>
      <c r="FN75" s="25"/>
      <c r="FO75" s="25"/>
      <c r="FP75" s="25"/>
      <c r="FQ75" s="25"/>
      <c r="FR75" s="25"/>
      <c r="FS75" s="110"/>
      <c r="FT75" s="110"/>
      <c r="FU75" s="25"/>
      <c r="FV75" s="25"/>
      <c r="FW75" s="25"/>
      <c r="FX75" s="25"/>
      <c r="FY75" s="25"/>
      <c r="FZ75" s="110"/>
      <c r="GA75" s="110"/>
      <c r="GB75" s="25"/>
      <c r="GC75" s="25"/>
      <c r="GD75" s="25"/>
      <c r="GE75" s="25"/>
      <c r="GF75" s="25"/>
      <c r="GG75" s="110"/>
      <c r="GH75" s="110"/>
      <c r="GI75" s="25"/>
      <c r="GJ75" s="25"/>
      <c r="GK75" s="25"/>
      <c r="GL75" s="25"/>
      <c r="GM75" s="25"/>
      <c r="GN75" s="110"/>
      <c r="GO75" s="110"/>
      <c r="GP75" s="110"/>
      <c r="GQ75" s="110" t="s">
        <v>445</v>
      </c>
      <c r="GR75" s="25"/>
      <c r="GS75" s="25"/>
      <c r="GT75" s="25"/>
      <c r="GU75" s="110"/>
      <c r="GV75" s="110"/>
      <c r="GW75" s="25"/>
      <c r="GX75" s="25"/>
      <c r="GY75" s="25"/>
      <c r="GZ75" s="25"/>
      <c r="HA75" s="25"/>
      <c r="HB75" s="110"/>
      <c r="HC75" s="110"/>
      <c r="HD75" s="25"/>
      <c r="HE75" s="25"/>
      <c r="HF75" s="25"/>
      <c r="HG75" s="25"/>
      <c r="HH75" s="25"/>
      <c r="HI75" s="110"/>
      <c r="HJ75" s="110"/>
      <c r="HK75" s="25"/>
      <c r="HL75" s="25"/>
      <c r="HM75" s="25"/>
      <c r="HN75" s="25"/>
      <c r="HO75" s="25"/>
      <c r="HP75" s="110"/>
      <c r="HQ75" s="110"/>
      <c r="HR75" s="25"/>
      <c r="HS75" s="25"/>
      <c r="HT75" s="25"/>
      <c r="HU75" s="25"/>
      <c r="HV75" s="25"/>
      <c r="HW75" s="110"/>
      <c r="HX75" s="110"/>
      <c r="HY75" s="25"/>
      <c r="HZ75" s="25"/>
      <c r="IA75" s="25"/>
      <c r="IB75" s="25"/>
      <c r="IC75" s="25"/>
      <c r="ID75" s="110"/>
      <c r="IE75" s="110"/>
      <c r="IF75" s="25"/>
      <c r="IG75" s="25"/>
      <c r="IH75" s="25"/>
      <c r="II75" s="25"/>
      <c r="IJ75" s="25"/>
      <c r="IK75" s="110"/>
      <c r="IL75" s="110"/>
      <c r="IM75" s="25"/>
      <c r="IN75" s="25"/>
      <c r="IO75" s="25"/>
      <c r="IP75" s="25"/>
      <c r="IQ75" s="25"/>
      <c r="IR75" s="110"/>
      <c r="IS75" s="110"/>
      <c r="IT75" s="25"/>
      <c r="IU75" s="25"/>
      <c r="IV75" s="25"/>
      <c r="IW75" s="25"/>
      <c r="IX75" s="25"/>
      <c r="IY75" s="110"/>
      <c r="IZ75" s="110"/>
      <c r="JA75" s="25"/>
      <c r="JB75" s="25"/>
      <c r="JC75" s="25"/>
      <c r="JD75" s="25"/>
      <c r="JE75" s="25"/>
      <c r="JF75" s="110"/>
      <c r="JG75" s="110"/>
      <c r="JH75" s="25"/>
      <c r="JI75" s="25"/>
      <c r="JJ75" s="25"/>
      <c r="JK75" s="25"/>
      <c r="JL75" s="25"/>
      <c r="JM75" s="110"/>
      <c r="JN75" s="110"/>
      <c r="JO75" s="25"/>
      <c r="JP75" s="25"/>
      <c r="JQ75" s="25"/>
      <c r="JR75" s="25"/>
      <c r="JS75" s="25"/>
      <c r="JT75" s="110"/>
      <c r="JU75" s="110"/>
      <c r="JV75" s="25"/>
      <c r="JW75" s="25"/>
      <c r="JX75" s="25"/>
      <c r="JY75" s="25"/>
      <c r="JZ75" s="25"/>
      <c r="KA75" s="110"/>
      <c r="KB75" s="110"/>
      <c r="KC75" s="25"/>
      <c r="KD75" s="25"/>
      <c r="KE75" s="25"/>
      <c r="KF75" s="25"/>
      <c r="KG75" s="25"/>
      <c r="KH75" s="110"/>
      <c r="KI75" s="110"/>
      <c r="KJ75" s="25"/>
      <c r="KK75" s="25"/>
      <c r="KL75" s="25"/>
      <c r="KM75" s="25"/>
      <c r="KN75" s="25"/>
      <c r="KO75" s="110"/>
      <c r="KP75" s="110"/>
      <c r="KQ75" s="25"/>
      <c r="KR75" s="25"/>
      <c r="KS75" s="25"/>
      <c r="KT75" s="25"/>
      <c r="KU75" s="25"/>
      <c r="KV75" s="110"/>
      <c r="KW75" s="110"/>
      <c r="KX75" s="25"/>
      <c r="KY75" s="25"/>
      <c r="KZ75" s="25"/>
      <c r="LA75" s="25"/>
      <c r="LB75" s="25"/>
      <c r="LC75" s="110"/>
      <c r="LD75" s="110"/>
      <c r="LE75" s="25"/>
      <c r="LF75" s="25"/>
      <c r="LG75" s="110" t="s">
        <v>445</v>
      </c>
      <c r="LH75" s="25"/>
      <c r="LI75" s="25"/>
      <c r="LJ75" s="110"/>
      <c r="LK75" s="110"/>
      <c r="LL75" s="25"/>
      <c r="LM75" s="25"/>
      <c r="LN75" s="25"/>
      <c r="LO75" s="25"/>
      <c r="LP75" s="25"/>
      <c r="LQ75" s="110"/>
      <c r="LR75" s="110"/>
      <c r="LS75" s="25"/>
      <c r="LT75" s="25"/>
      <c r="LU75" s="25"/>
      <c r="LV75" s="25"/>
      <c r="LW75" s="25"/>
      <c r="LX75" s="110"/>
      <c r="LY75" s="110"/>
      <c r="LZ75" s="25"/>
      <c r="MA75" s="25"/>
      <c r="MB75" s="25"/>
      <c r="MC75" s="25"/>
      <c r="MD75" s="25"/>
      <c r="ME75" s="110"/>
      <c r="MF75" s="110"/>
      <c r="MG75" s="25"/>
      <c r="MH75" s="25"/>
      <c r="MI75" s="25"/>
      <c r="MJ75" s="25"/>
      <c r="MK75" s="25"/>
      <c r="ML75" s="110"/>
      <c r="MM75" s="110"/>
      <c r="MN75" s="25"/>
      <c r="MO75" s="25"/>
      <c r="MP75" s="25"/>
      <c r="MQ75" s="25"/>
      <c r="MR75" s="25"/>
      <c r="MS75" s="110"/>
      <c r="MT75" s="110"/>
      <c r="MU75" s="25"/>
      <c r="MV75" s="25"/>
      <c r="MW75" s="25"/>
      <c r="MX75" s="25"/>
      <c r="MY75" s="25"/>
      <c r="MZ75" s="110"/>
      <c r="NA75" s="110"/>
      <c r="NB75" s="25"/>
      <c r="NC75" s="25"/>
      <c r="ND75" s="25"/>
      <c r="NE75" s="129"/>
      <c r="NF75" s="111"/>
      <c r="NG75" s="8">
        <f t="shared" si="27"/>
        <v>1</v>
      </c>
      <c r="NH75" s="32" cm="1">
        <f t="array" ref="NH75">NETWORKDAYS($I$2,$AI$2)- SUM(COUNTIF(I75:AI75,{"I";"F";"CP";"R";"P";"AC";"AM"}))</f>
        <v>20</v>
      </c>
      <c r="NI75" s="138">
        <f t="shared" si="28"/>
        <v>0.05</v>
      </c>
      <c r="NJ75" s="8">
        <f t="shared" si="29"/>
        <v>0</v>
      </c>
      <c r="NK75" s="32" cm="1">
        <f t="array" ref="NK75">NETWORKDAYS($AJ$2,$BK$2)- SUM(COUNTIF(AJ75:BK75,{"I";"F";"CP";"R";"P";"AC";"AM"}))</f>
        <v>20</v>
      </c>
      <c r="NL75" s="138">
        <f t="shared" si="30"/>
        <v>0</v>
      </c>
      <c r="NM75" s="8">
        <f t="shared" si="31"/>
        <v>9</v>
      </c>
      <c r="NN75" s="32" cm="1">
        <f t="array" ref="NN75">NETWORKDAYS($BL$2,$CP$2)- SUM(COUNTIF(BL75:CP75,{"I";"F";"CP";"R";"P";"AC";"AM"}))</f>
        <v>22</v>
      </c>
      <c r="NO75" s="138">
        <f t="shared" si="32"/>
        <v>0.40909090909090912</v>
      </c>
      <c r="NP75" s="32">
        <f t="shared" si="53"/>
        <v>8</v>
      </c>
      <c r="NQ75" s="32" cm="1">
        <f t="array" ref="NQ75">NETWORKDAYS($CQ$2,$DT$2,$CV$2)- SUM(COUNTIF(CQ75:DT75,{"I";"F";"CP";"R";"P";"AC";"AM"}))</f>
        <v>16</v>
      </c>
      <c r="NR75" s="138">
        <f t="shared" si="33"/>
        <v>0.5</v>
      </c>
      <c r="NS75" s="8">
        <f t="shared" si="34"/>
        <v>1</v>
      </c>
      <c r="NT75" s="32" cm="1">
        <f t="array" ref="NT75">NETWORKDAYS($DV$2,$EY$2)-SUM(COUNTIF(DV75:EY75,{"I";"F";"CP";"R";"P";"AC";"AM"}))</f>
        <v>16</v>
      </c>
      <c r="NU75" s="138">
        <f t="shared" si="35"/>
        <v>6.25E-2</v>
      </c>
      <c r="NV75" s="8">
        <f t="shared" si="36"/>
        <v>0</v>
      </c>
      <c r="NW75" s="32" cm="1">
        <f t="array" ref="NW75">NETWORKDAYS($EZ$2,$GC$2)-SUM(COUNTIF(EZ155:GC155,{"I";"F";"CP";"R";"P";"AC";"AM"}))</f>
        <v>22</v>
      </c>
      <c r="NX75" s="138">
        <f t="shared" si="37"/>
        <v>0</v>
      </c>
      <c r="NY75" s="8">
        <f t="shared" si="38"/>
        <v>0</v>
      </c>
      <c r="NZ75" s="32" cm="1">
        <f t="array" ref="NZ75">NETWORKDAYS($GD$2,$HH$2,$GQ$2)-SUM(COUNTIF(GD75:HH75,{"I";"F";"CP";"R";"P";"AC";"AM"}))</f>
        <v>21</v>
      </c>
      <c r="OA75" s="138">
        <f t="shared" si="39"/>
        <v>0</v>
      </c>
      <c r="OB75" s="8">
        <f t="shared" si="40"/>
        <v>0</v>
      </c>
      <c r="OC75" s="32" cm="1">
        <f t="array" ref="OC75">NETWORKDAYS($HI$2,$IM$2)-SUM(COUNTIF(HI75:IM75,{"I";"F";"CP";"R";"P";"AC";"AM"}))</f>
        <v>21</v>
      </c>
      <c r="OD75" s="138">
        <f t="shared" si="41"/>
        <v>0</v>
      </c>
      <c r="OE75" s="8">
        <f t="shared" si="42"/>
        <v>0</v>
      </c>
      <c r="OF75" s="32" cm="1">
        <f t="array" ref="OF75">NETWORKDAYS($IN$2,$JQ$2)-SUM(COUNTIF(IN75:JQ75,{"I";"F";"CP";"R";"P";"AC";"AM"}))</f>
        <v>22</v>
      </c>
      <c r="OG75" s="138">
        <f t="shared" si="43"/>
        <v>0</v>
      </c>
      <c r="OH75" s="8">
        <f t="shared" si="44"/>
        <v>0</v>
      </c>
      <c r="OI75" s="32" cm="1">
        <f t="array" ref="OI75">NETWORKDAYS($JR$2,$KV$2)-SUM(COUNTIF(JR75:KV75,{"I";"F";"CP";"R";"P";"AC";"AM"}))</f>
        <v>22</v>
      </c>
      <c r="OJ75" s="138">
        <f t="shared" si="45"/>
        <v>0</v>
      </c>
      <c r="OK75" s="8">
        <f t="shared" si="46"/>
        <v>0</v>
      </c>
      <c r="OL75" s="32" cm="1">
        <f t="array" ref="OL75">NETWORKDAYS($KW$2,$LZ$2,$LG$2)-SUM(COUNTIF(KW75:LZ75,{"I";"F";"CP";"R";"P";"AC";"AM"}))</f>
        <v>19</v>
      </c>
      <c r="OM75" s="138">
        <f t="shared" si="47"/>
        <v>0</v>
      </c>
      <c r="ON75" s="8">
        <f t="shared" si="48"/>
        <v>0</v>
      </c>
      <c r="OO75" s="32" cm="1">
        <f t="array" ref="OO75">NETWORKDAYS($MA$2,$MR$2)-SUM(COUNTIF(MA75:MR75,{"I";"F";"CP";"R";"P";"AC";"AM"}))</f>
        <v>14</v>
      </c>
      <c r="OP75" s="138">
        <f t="shared" si="49"/>
        <v>0</v>
      </c>
      <c r="OQ75" s="94">
        <f t="shared" si="50"/>
        <v>19</v>
      </c>
      <c r="OR75" s="94">
        <f t="shared" si="51"/>
        <v>235</v>
      </c>
      <c r="OS75" s="138">
        <f t="shared" si="52"/>
        <v>8.085106382978724E-2</v>
      </c>
    </row>
    <row r="76" spans="1:409" ht="18" customHeight="1" x14ac:dyDescent="0.25">
      <c r="A76" s="95" t="s">
        <v>181</v>
      </c>
      <c r="B76" s="93" t="s">
        <v>230</v>
      </c>
      <c r="C76" s="89" t="s">
        <v>166</v>
      </c>
      <c r="D76" s="89" t="s">
        <v>259</v>
      </c>
      <c r="E76" s="128"/>
      <c r="F76" s="110"/>
      <c r="G76" s="110"/>
      <c r="H76" s="110"/>
      <c r="I76" s="25"/>
      <c r="J76" s="25"/>
      <c r="K76" s="25"/>
      <c r="L76" s="25"/>
      <c r="M76" s="25"/>
      <c r="N76" s="110"/>
      <c r="O76" s="110"/>
      <c r="P76" s="25"/>
      <c r="Q76" s="25"/>
      <c r="R76" s="25"/>
      <c r="S76" s="25"/>
      <c r="T76" s="25"/>
      <c r="U76" s="110"/>
      <c r="V76" s="110"/>
      <c r="W76" s="25"/>
      <c r="X76" s="25"/>
      <c r="Y76" s="25"/>
      <c r="Z76" s="25"/>
      <c r="AA76" s="25"/>
      <c r="AB76" s="110"/>
      <c r="AC76" s="110"/>
      <c r="AD76" s="25"/>
      <c r="AE76" s="25"/>
      <c r="AF76" s="25"/>
      <c r="AG76" s="25"/>
      <c r="AH76" s="25"/>
      <c r="AI76" s="110"/>
      <c r="AJ76" s="110"/>
      <c r="AK76" s="25"/>
      <c r="AL76" s="25"/>
      <c r="AM76" s="25"/>
      <c r="AN76" s="25"/>
      <c r="AO76" s="25"/>
      <c r="AP76" s="110"/>
      <c r="AQ76" s="110"/>
      <c r="AR76" s="25"/>
      <c r="AS76" s="25"/>
      <c r="AT76" s="25"/>
      <c r="AU76" s="25"/>
      <c r="AV76" s="25"/>
      <c r="AW76" s="110"/>
      <c r="AX76" s="110"/>
      <c r="AY76" s="25"/>
      <c r="AZ76" s="25"/>
      <c r="BA76" s="25"/>
      <c r="BB76" s="25"/>
      <c r="BC76" s="25"/>
      <c r="BD76" s="110"/>
      <c r="BE76" s="110"/>
      <c r="BF76" s="25"/>
      <c r="BG76" s="25"/>
      <c r="BH76" s="25"/>
      <c r="BI76" s="25"/>
      <c r="BJ76" s="25"/>
      <c r="BK76" s="110"/>
      <c r="BL76" s="110"/>
      <c r="BM76" s="25"/>
      <c r="BN76" s="25"/>
      <c r="BO76" s="25"/>
      <c r="BP76" s="25"/>
      <c r="BQ76" s="25"/>
      <c r="BR76" s="110"/>
      <c r="BS76" s="110"/>
      <c r="BT76" s="25"/>
      <c r="BU76" s="25"/>
      <c r="BV76" s="25"/>
      <c r="BW76" s="25"/>
      <c r="BX76" s="25"/>
      <c r="BY76" s="110"/>
      <c r="BZ76" s="110"/>
      <c r="CA76" s="25"/>
      <c r="CB76" s="25"/>
      <c r="CC76" s="25"/>
      <c r="CD76" s="25"/>
      <c r="CE76" s="25"/>
      <c r="CF76" s="110"/>
      <c r="CG76" s="110"/>
      <c r="CH76" s="25"/>
      <c r="CI76" s="25"/>
      <c r="CJ76" s="25"/>
      <c r="CK76" s="25"/>
      <c r="CL76" s="25"/>
      <c r="CM76" s="110"/>
      <c r="CN76" s="110"/>
      <c r="CO76" s="25"/>
      <c r="CP76" s="25">
        <v>1</v>
      </c>
      <c r="CQ76" s="25">
        <v>1</v>
      </c>
      <c r="CR76" s="25">
        <v>1</v>
      </c>
      <c r="CS76" s="25">
        <v>1</v>
      </c>
      <c r="CT76" s="110"/>
      <c r="CU76" s="110"/>
      <c r="CV76" s="110"/>
      <c r="CW76" s="25">
        <v>1</v>
      </c>
      <c r="CX76" s="25">
        <v>1</v>
      </c>
      <c r="CY76" s="25">
        <v>1</v>
      </c>
      <c r="CZ76" s="25">
        <v>1</v>
      </c>
      <c r="DA76" s="110"/>
      <c r="DB76" s="110"/>
      <c r="DC76" s="25" t="s">
        <v>223</v>
      </c>
      <c r="DD76" s="25" t="s">
        <v>223</v>
      </c>
      <c r="DE76" s="25" t="s">
        <v>223</v>
      </c>
      <c r="DF76" s="25" t="s">
        <v>223</v>
      </c>
      <c r="DG76" s="25" t="s">
        <v>223</v>
      </c>
      <c r="DH76" s="110"/>
      <c r="DI76" s="110"/>
      <c r="DJ76" s="25"/>
      <c r="DK76" s="25"/>
      <c r="DL76" s="25"/>
      <c r="DM76" s="25"/>
      <c r="DN76" s="25"/>
      <c r="DO76" s="110"/>
      <c r="DP76" s="110"/>
      <c r="DQ76" s="25">
        <v>1</v>
      </c>
      <c r="DR76" s="25">
        <v>1</v>
      </c>
      <c r="DS76" s="25">
        <v>1</v>
      </c>
      <c r="DT76" s="25">
        <v>1</v>
      </c>
      <c r="DU76" s="110"/>
      <c r="DV76" s="110"/>
      <c r="DW76" s="110"/>
      <c r="DX76" s="25">
        <v>1</v>
      </c>
      <c r="DY76" s="25" t="s">
        <v>447</v>
      </c>
      <c r="DZ76" s="25" t="s">
        <v>447</v>
      </c>
      <c r="EA76" s="25" t="s">
        <v>445</v>
      </c>
      <c r="EB76" s="110" t="s">
        <v>445</v>
      </c>
      <c r="EC76" s="110"/>
      <c r="ED76" s="110"/>
      <c r="EE76" s="25">
        <v>1</v>
      </c>
      <c r="EF76" s="25"/>
      <c r="EG76" s="25">
        <v>1</v>
      </c>
      <c r="EH76" s="110" t="s">
        <v>445</v>
      </c>
      <c r="EI76" s="110" t="s">
        <v>445</v>
      </c>
      <c r="EJ76" s="110"/>
      <c r="EK76" s="110"/>
      <c r="EL76" s="25">
        <v>1</v>
      </c>
      <c r="EM76" s="25"/>
      <c r="EN76" s="25"/>
      <c r="EO76" s="25"/>
      <c r="EP76" s="25"/>
      <c r="EQ76" s="110"/>
      <c r="ER76" s="110"/>
      <c r="ES76" s="110" t="s">
        <v>445</v>
      </c>
      <c r="ET76" s="25"/>
      <c r="EU76" s="25"/>
      <c r="EV76" s="25"/>
      <c r="EW76" s="25"/>
      <c r="EX76" s="110"/>
      <c r="EY76" s="110"/>
      <c r="EZ76" s="25"/>
      <c r="FA76" s="25"/>
      <c r="FB76" s="25"/>
      <c r="FC76" s="25"/>
      <c r="FD76" s="25"/>
      <c r="FE76" s="110"/>
      <c r="FF76" s="110"/>
      <c r="FG76" s="25"/>
      <c r="FH76" s="25"/>
      <c r="FI76" s="25"/>
      <c r="FJ76" s="25"/>
      <c r="FK76" s="25"/>
      <c r="FL76" s="110"/>
      <c r="FM76" s="110"/>
      <c r="FN76" s="25"/>
      <c r="FO76" s="25"/>
      <c r="FP76" s="25"/>
      <c r="FQ76" s="25"/>
      <c r="FR76" s="25"/>
      <c r="FS76" s="110"/>
      <c r="FT76" s="110"/>
      <c r="FU76" s="25"/>
      <c r="FV76" s="25"/>
      <c r="FW76" s="25"/>
      <c r="FX76" s="25"/>
      <c r="FY76" s="25"/>
      <c r="FZ76" s="110"/>
      <c r="GA76" s="110"/>
      <c r="GB76" s="25"/>
      <c r="GC76" s="25"/>
      <c r="GD76" s="25"/>
      <c r="GE76" s="25"/>
      <c r="GF76" s="25"/>
      <c r="GG76" s="110"/>
      <c r="GH76" s="110"/>
      <c r="GI76" s="25"/>
      <c r="GJ76" s="25"/>
      <c r="GK76" s="25"/>
      <c r="GL76" s="25"/>
      <c r="GM76" s="25"/>
      <c r="GN76" s="110"/>
      <c r="GO76" s="110"/>
      <c r="GP76" s="110"/>
      <c r="GQ76" s="110" t="s">
        <v>445</v>
      </c>
      <c r="GR76" s="25"/>
      <c r="GS76" s="25"/>
      <c r="GT76" s="25"/>
      <c r="GU76" s="110"/>
      <c r="GV76" s="110"/>
      <c r="GW76" s="25"/>
      <c r="GX76" s="25"/>
      <c r="GY76" s="25"/>
      <c r="GZ76" s="25"/>
      <c r="HA76" s="25"/>
      <c r="HB76" s="110"/>
      <c r="HC76" s="110"/>
      <c r="HD76" s="25"/>
      <c r="HE76" s="25"/>
      <c r="HF76" s="25"/>
      <c r="HG76" s="25"/>
      <c r="HH76" s="25"/>
      <c r="HI76" s="110"/>
      <c r="HJ76" s="110"/>
      <c r="HK76" s="25"/>
      <c r="HL76" s="25"/>
      <c r="HM76" s="25"/>
      <c r="HN76" s="25"/>
      <c r="HO76" s="25"/>
      <c r="HP76" s="110"/>
      <c r="HQ76" s="110"/>
      <c r="HR76" s="25"/>
      <c r="HS76" s="25"/>
      <c r="HT76" s="25"/>
      <c r="HU76" s="25"/>
      <c r="HV76" s="25"/>
      <c r="HW76" s="110"/>
      <c r="HX76" s="110"/>
      <c r="HY76" s="25"/>
      <c r="HZ76" s="25"/>
      <c r="IA76" s="25"/>
      <c r="IB76" s="25"/>
      <c r="IC76" s="25"/>
      <c r="ID76" s="110"/>
      <c r="IE76" s="110"/>
      <c r="IF76" s="25"/>
      <c r="IG76" s="25"/>
      <c r="IH76" s="25"/>
      <c r="II76" s="25"/>
      <c r="IJ76" s="25"/>
      <c r="IK76" s="110"/>
      <c r="IL76" s="110"/>
      <c r="IM76" s="25"/>
      <c r="IN76" s="25"/>
      <c r="IO76" s="25"/>
      <c r="IP76" s="25"/>
      <c r="IQ76" s="25"/>
      <c r="IR76" s="110"/>
      <c r="IS76" s="110"/>
      <c r="IT76" s="25"/>
      <c r="IU76" s="25"/>
      <c r="IV76" s="25"/>
      <c r="IW76" s="25"/>
      <c r="IX76" s="25"/>
      <c r="IY76" s="110"/>
      <c r="IZ76" s="110"/>
      <c r="JA76" s="25"/>
      <c r="JB76" s="25"/>
      <c r="JC76" s="25"/>
      <c r="JD76" s="25"/>
      <c r="JE76" s="25"/>
      <c r="JF76" s="110"/>
      <c r="JG76" s="110"/>
      <c r="JH76" s="25"/>
      <c r="JI76" s="25"/>
      <c r="JJ76" s="25"/>
      <c r="JK76" s="25"/>
      <c r="JL76" s="25"/>
      <c r="JM76" s="110"/>
      <c r="JN76" s="110"/>
      <c r="JO76" s="25"/>
      <c r="JP76" s="25"/>
      <c r="JQ76" s="25"/>
      <c r="JR76" s="25"/>
      <c r="JS76" s="25"/>
      <c r="JT76" s="110"/>
      <c r="JU76" s="110"/>
      <c r="JV76" s="25"/>
      <c r="JW76" s="25"/>
      <c r="JX76" s="25"/>
      <c r="JY76" s="25"/>
      <c r="JZ76" s="25"/>
      <c r="KA76" s="110"/>
      <c r="KB76" s="110"/>
      <c r="KC76" s="25"/>
      <c r="KD76" s="25"/>
      <c r="KE76" s="25"/>
      <c r="KF76" s="25"/>
      <c r="KG76" s="25"/>
      <c r="KH76" s="110"/>
      <c r="KI76" s="110"/>
      <c r="KJ76" s="25"/>
      <c r="KK76" s="25"/>
      <c r="KL76" s="25"/>
      <c r="KM76" s="25"/>
      <c r="KN76" s="25"/>
      <c r="KO76" s="110"/>
      <c r="KP76" s="110"/>
      <c r="KQ76" s="25"/>
      <c r="KR76" s="25"/>
      <c r="KS76" s="25"/>
      <c r="KT76" s="25"/>
      <c r="KU76" s="25"/>
      <c r="KV76" s="110"/>
      <c r="KW76" s="110"/>
      <c r="KX76" s="25"/>
      <c r="KY76" s="25"/>
      <c r="KZ76" s="25"/>
      <c r="LA76" s="25"/>
      <c r="LB76" s="25"/>
      <c r="LC76" s="110"/>
      <c r="LD76" s="110"/>
      <c r="LE76" s="25"/>
      <c r="LF76" s="25"/>
      <c r="LG76" s="110" t="s">
        <v>445</v>
      </c>
      <c r="LH76" s="25"/>
      <c r="LI76" s="25"/>
      <c r="LJ76" s="110"/>
      <c r="LK76" s="110"/>
      <c r="LL76" s="25"/>
      <c r="LM76" s="25"/>
      <c r="LN76" s="25"/>
      <c r="LO76" s="25"/>
      <c r="LP76" s="25"/>
      <c r="LQ76" s="110"/>
      <c r="LR76" s="110"/>
      <c r="LS76" s="25"/>
      <c r="LT76" s="25"/>
      <c r="LU76" s="25"/>
      <c r="LV76" s="25"/>
      <c r="LW76" s="25"/>
      <c r="LX76" s="110"/>
      <c r="LY76" s="110"/>
      <c r="LZ76" s="25"/>
      <c r="MA76" s="25"/>
      <c r="MB76" s="25"/>
      <c r="MC76" s="25"/>
      <c r="MD76" s="25"/>
      <c r="ME76" s="110"/>
      <c r="MF76" s="110"/>
      <c r="MG76" s="25"/>
      <c r="MH76" s="25"/>
      <c r="MI76" s="25"/>
      <c r="MJ76" s="25"/>
      <c r="MK76" s="25"/>
      <c r="ML76" s="110"/>
      <c r="MM76" s="110"/>
      <c r="MN76" s="25"/>
      <c r="MO76" s="25"/>
      <c r="MP76" s="25"/>
      <c r="MQ76" s="25"/>
      <c r="MR76" s="25"/>
      <c r="MS76" s="110"/>
      <c r="MT76" s="110"/>
      <c r="MU76" s="25"/>
      <c r="MV76" s="25"/>
      <c r="MW76" s="25"/>
      <c r="MX76" s="25"/>
      <c r="MY76" s="25"/>
      <c r="MZ76" s="110"/>
      <c r="NA76" s="110"/>
      <c r="NB76" s="25"/>
      <c r="NC76" s="25"/>
      <c r="ND76" s="25"/>
      <c r="NE76" s="129"/>
      <c r="NF76" s="111"/>
      <c r="NG76" s="8">
        <f t="shared" si="27"/>
        <v>0</v>
      </c>
      <c r="NH76" s="32" cm="1">
        <f t="array" ref="NH76">NETWORKDAYS($I$2,$AI$2)- SUM(COUNTIF(I76:AI76,{"I";"F";"CP";"R";"P";"AC";"AM"}))</f>
        <v>20</v>
      </c>
      <c r="NI76" s="138">
        <f t="shared" si="28"/>
        <v>0</v>
      </c>
      <c r="NJ76" s="8">
        <f t="shared" si="29"/>
        <v>0</v>
      </c>
      <c r="NK76" s="32" cm="1">
        <f t="array" ref="NK76">NETWORKDAYS($AJ$2,$BK$2)- SUM(COUNTIF(AJ76:BK76,{"I";"F";"CP";"R";"P";"AC";"AM"}))</f>
        <v>20</v>
      </c>
      <c r="NL76" s="138">
        <f t="shared" si="30"/>
        <v>0</v>
      </c>
      <c r="NM76" s="8">
        <f t="shared" si="31"/>
        <v>1</v>
      </c>
      <c r="NN76" s="32" cm="1">
        <f t="array" ref="NN76">NETWORKDAYS($BL$2,$CP$2)- SUM(COUNTIF(BL76:CP76,{"I";"F";"CP";"R";"P";"AC";"AM"}))</f>
        <v>22</v>
      </c>
      <c r="NO76" s="138">
        <f t="shared" si="32"/>
        <v>4.5454545454545456E-2</v>
      </c>
      <c r="NP76" s="8">
        <f t="shared" si="53"/>
        <v>11</v>
      </c>
      <c r="NQ76" s="32" cm="1">
        <f t="array" ref="NQ76">NETWORKDAYS($CQ$2,$DT$2,$CV$2)- SUM(COUNTIF(CQ76:DT76,{"I";"F";"CP";"R";"P";"AC";"AM"}))</f>
        <v>16</v>
      </c>
      <c r="NR76" s="138">
        <f t="shared" si="33"/>
        <v>0.6875</v>
      </c>
      <c r="NS76" s="8">
        <f t="shared" si="34"/>
        <v>4</v>
      </c>
      <c r="NT76" s="32" cm="1">
        <f t="array" ref="NT76">NETWORKDAYS($DV$2,$EY$2)-SUM(COUNTIF(DV76:EY76,{"I";"F";"CP";"R";"P";"AC";"AM"}))</f>
        <v>13</v>
      </c>
      <c r="NU76" s="138">
        <f t="shared" si="35"/>
        <v>0.30769230769230771</v>
      </c>
      <c r="NV76" s="8">
        <f t="shared" si="36"/>
        <v>0</v>
      </c>
      <c r="NW76" s="32" cm="1">
        <f t="array" ref="NW76">NETWORKDAYS($EZ$2,$GC$2)-SUM(COUNTIF(EZ156:GC156,{"I";"F";"CP";"R";"P";"AC";"AM"}))</f>
        <v>22</v>
      </c>
      <c r="NX76" s="138">
        <f t="shared" si="37"/>
        <v>0</v>
      </c>
      <c r="NY76" s="8">
        <f t="shared" si="38"/>
        <v>0</v>
      </c>
      <c r="NZ76" s="32" cm="1">
        <f t="array" ref="NZ76">NETWORKDAYS($GD$2,$HH$2,$GQ$2)-SUM(COUNTIF(GD76:HH76,{"I";"F";"CP";"R";"P";"AC";"AM"}))</f>
        <v>21</v>
      </c>
      <c r="OA76" s="138">
        <f t="shared" si="39"/>
        <v>0</v>
      </c>
      <c r="OB76" s="8">
        <f t="shared" si="40"/>
        <v>0</v>
      </c>
      <c r="OC76" s="32" cm="1">
        <f t="array" ref="OC76">NETWORKDAYS($HI$2,$IM$2)-SUM(COUNTIF(HI76:IM76,{"I";"F";"CP";"R";"P";"AC";"AM"}))</f>
        <v>21</v>
      </c>
      <c r="OD76" s="138">
        <f t="shared" si="41"/>
        <v>0</v>
      </c>
      <c r="OE76" s="8">
        <f t="shared" si="42"/>
        <v>0</v>
      </c>
      <c r="OF76" s="32" cm="1">
        <f t="array" ref="OF76">NETWORKDAYS($IN$2,$JQ$2)-SUM(COUNTIF(IN76:JQ76,{"I";"F";"CP";"R";"P";"AC";"AM"}))</f>
        <v>22</v>
      </c>
      <c r="OG76" s="138">
        <f t="shared" si="43"/>
        <v>0</v>
      </c>
      <c r="OH76" s="8">
        <f t="shared" si="44"/>
        <v>0</v>
      </c>
      <c r="OI76" s="32" cm="1">
        <f t="array" ref="OI76">NETWORKDAYS($JR$2,$KV$2)-SUM(COUNTIF(JR76:KV76,{"I";"F";"CP";"R";"P";"AC";"AM"}))</f>
        <v>22</v>
      </c>
      <c r="OJ76" s="138">
        <f t="shared" si="45"/>
        <v>0</v>
      </c>
      <c r="OK76" s="8">
        <f t="shared" si="46"/>
        <v>0</v>
      </c>
      <c r="OL76" s="32" cm="1">
        <f t="array" ref="OL76">NETWORKDAYS($KW$2,$LZ$2,$LG$2)-SUM(COUNTIF(KW76:LZ76,{"I";"F";"CP";"R";"P";"AC";"AM"}))</f>
        <v>19</v>
      </c>
      <c r="OM76" s="138">
        <f t="shared" si="47"/>
        <v>0</v>
      </c>
      <c r="ON76" s="8">
        <f t="shared" si="48"/>
        <v>0</v>
      </c>
      <c r="OO76" s="32" cm="1">
        <f t="array" ref="OO76">NETWORKDAYS($MA$2,$MR$2)-SUM(COUNTIF(MA76:MR76,{"I";"F";"CP";"R";"P";"AC";"AM"}))</f>
        <v>14</v>
      </c>
      <c r="OP76" s="138">
        <f t="shared" si="49"/>
        <v>0</v>
      </c>
      <c r="OQ76" s="94">
        <f t="shared" si="50"/>
        <v>16</v>
      </c>
      <c r="OR76" s="94">
        <f t="shared" si="51"/>
        <v>232</v>
      </c>
      <c r="OS76" s="138">
        <f t="shared" si="52"/>
        <v>6.8965517241379309E-2</v>
      </c>
    </row>
    <row r="77" spans="1:409" ht="18" hidden="1" customHeight="1" x14ac:dyDescent="0.25">
      <c r="A77" s="95" t="s">
        <v>192</v>
      </c>
      <c r="B77" s="95" t="s">
        <v>192</v>
      </c>
      <c r="C77" s="89" t="s">
        <v>160</v>
      </c>
      <c r="D77" s="89" t="s">
        <v>260</v>
      </c>
      <c r="E77" s="128"/>
      <c r="F77" s="110"/>
      <c r="G77" s="110"/>
      <c r="H77" s="110"/>
      <c r="I77" s="25"/>
      <c r="J77" s="25"/>
      <c r="K77" s="25"/>
      <c r="L77" s="25"/>
      <c r="M77" s="25"/>
      <c r="N77" s="110"/>
      <c r="O77" s="110"/>
      <c r="P77" s="25"/>
      <c r="Q77" s="25"/>
      <c r="R77" s="25"/>
      <c r="S77" s="25"/>
      <c r="T77" s="25"/>
      <c r="U77" s="110"/>
      <c r="V77" s="110"/>
      <c r="W77" s="25"/>
      <c r="X77" s="25"/>
      <c r="Y77" s="25"/>
      <c r="Z77" s="25"/>
      <c r="AA77" s="25"/>
      <c r="AB77" s="110"/>
      <c r="AC77" s="110"/>
      <c r="AD77" s="25"/>
      <c r="AE77" s="25"/>
      <c r="AF77" s="25"/>
      <c r="AG77" s="25"/>
      <c r="AH77" s="25"/>
      <c r="AI77" s="110"/>
      <c r="AJ77" s="110"/>
      <c r="AK77" s="25"/>
      <c r="AL77" s="25"/>
      <c r="AM77" s="25"/>
      <c r="AN77" s="25"/>
      <c r="AO77" s="25"/>
      <c r="AP77" s="110"/>
      <c r="AQ77" s="110"/>
      <c r="AR77" s="25"/>
      <c r="AS77" s="25"/>
      <c r="AT77" s="25"/>
      <c r="AU77" s="25"/>
      <c r="AV77" s="25"/>
      <c r="AW77" s="110"/>
      <c r="AX77" s="110"/>
      <c r="AY77" s="25"/>
      <c r="AZ77" s="25"/>
      <c r="BA77" s="25"/>
      <c r="BB77" s="25"/>
      <c r="BC77" s="25"/>
      <c r="BD77" s="110"/>
      <c r="BE77" s="110"/>
      <c r="BF77" s="25"/>
      <c r="BG77" s="25"/>
      <c r="BH77" s="25"/>
      <c r="BI77" s="25"/>
      <c r="BJ77" s="25"/>
      <c r="BK77" s="110"/>
      <c r="BL77" s="110"/>
      <c r="BM77" s="25"/>
      <c r="BN77" s="25"/>
      <c r="BO77" s="25"/>
      <c r="BP77" s="25"/>
      <c r="BQ77" s="25"/>
      <c r="BR77" s="110"/>
      <c r="BS77" s="110"/>
      <c r="BT77" s="25"/>
      <c r="BU77" s="25"/>
      <c r="BV77" s="25"/>
      <c r="BW77" s="25"/>
      <c r="BX77" s="25"/>
      <c r="BY77" s="110"/>
      <c r="BZ77" s="110"/>
      <c r="CA77" s="25"/>
      <c r="CB77" s="25"/>
      <c r="CC77" s="25"/>
      <c r="CD77" s="25"/>
      <c r="CE77" s="25"/>
      <c r="CF77" s="110"/>
      <c r="CG77" s="110"/>
      <c r="CH77" s="25"/>
      <c r="CI77" s="25"/>
      <c r="CJ77" s="25"/>
      <c r="CK77" s="25"/>
      <c r="CL77" s="25"/>
      <c r="CM77" s="110"/>
      <c r="CN77" s="110"/>
      <c r="CO77" s="25"/>
      <c r="CP77" s="25"/>
      <c r="CQ77" s="25"/>
      <c r="CR77" s="25"/>
      <c r="CS77" s="25"/>
      <c r="CT77" s="110"/>
      <c r="CU77" s="110"/>
      <c r="CV77" s="110"/>
      <c r="CW77" s="25"/>
      <c r="CX77" s="25"/>
      <c r="CY77" s="25"/>
      <c r="CZ77" s="25"/>
      <c r="DA77" s="110"/>
      <c r="DB77" s="110"/>
      <c r="DC77" s="25"/>
      <c r="DD77" s="25"/>
      <c r="DE77" s="25"/>
      <c r="DF77" s="25"/>
      <c r="DG77" s="25"/>
      <c r="DH77" s="110"/>
      <c r="DI77" s="110"/>
      <c r="DJ77" s="25"/>
      <c r="DK77" s="25"/>
      <c r="DL77" s="25"/>
      <c r="DM77" s="25"/>
      <c r="DN77" s="25"/>
      <c r="DO77" s="110"/>
      <c r="DP77" s="110"/>
      <c r="DQ77" s="25"/>
      <c r="DR77" s="25"/>
      <c r="DS77" s="25"/>
      <c r="DT77" s="25"/>
      <c r="DU77" s="110"/>
      <c r="DV77" s="110"/>
      <c r="DW77" s="110"/>
      <c r="DX77" s="25"/>
      <c r="DY77" s="25"/>
      <c r="DZ77" s="25"/>
      <c r="EA77" s="25"/>
      <c r="EB77" s="110" t="s">
        <v>445</v>
      </c>
      <c r="EC77" s="110"/>
      <c r="ED77" s="110"/>
      <c r="EE77" s="25"/>
      <c r="EF77" s="25"/>
      <c r="EG77" s="25"/>
      <c r="EH77" s="110" t="s">
        <v>445</v>
      </c>
      <c r="EI77" s="110" t="s">
        <v>445</v>
      </c>
      <c r="EJ77" s="110"/>
      <c r="EK77" s="110"/>
      <c r="EL77" s="25"/>
      <c r="EM77" s="25"/>
      <c r="EN77" s="25"/>
      <c r="EO77" s="25"/>
      <c r="EP77" s="25"/>
      <c r="EQ77" s="110"/>
      <c r="ER77" s="110"/>
      <c r="ES77" s="110" t="s">
        <v>445</v>
      </c>
      <c r="ET77" s="25"/>
      <c r="EU77" s="25"/>
      <c r="EV77" s="25"/>
      <c r="EW77" s="25"/>
      <c r="EX77" s="110"/>
      <c r="EY77" s="110"/>
      <c r="EZ77" s="25"/>
      <c r="FA77" s="25"/>
      <c r="FB77" s="25"/>
      <c r="FC77" s="25"/>
      <c r="FD77" s="25"/>
      <c r="FE77" s="110"/>
      <c r="FF77" s="110"/>
      <c r="FG77" s="25"/>
      <c r="FH77" s="25"/>
      <c r="FI77" s="25"/>
      <c r="FJ77" s="25"/>
      <c r="FK77" s="25"/>
      <c r="FL77" s="110"/>
      <c r="FM77" s="110"/>
      <c r="FN77" s="25"/>
      <c r="FO77" s="25"/>
      <c r="FP77" s="25"/>
      <c r="FQ77" s="25"/>
      <c r="FR77" s="25"/>
      <c r="FS77" s="110"/>
      <c r="FT77" s="110"/>
      <c r="FU77" s="25"/>
      <c r="FV77" s="25"/>
      <c r="FW77" s="25"/>
      <c r="FX77" s="25"/>
      <c r="FY77" s="25"/>
      <c r="FZ77" s="110"/>
      <c r="GA77" s="110"/>
      <c r="GB77" s="25"/>
      <c r="GC77" s="25"/>
      <c r="GD77" s="25"/>
      <c r="GE77" s="25"/>
      <c r="GF77" s="25"/>
      <c r="GG77" s="110"/>
      <c r="GH77" s="110"/>
      <c r="GI77" s="25"/>
      <c r="GJ77" s="25"/>
      <c r="GK77" s="25"/>
      <c r="GL77" s="25"/>
      <c r="GM77" s="25"/>
      <c r="GN77" s="110"/>
      <c r="GO77" s="110"/>
      <c r="GP77" s="110"/>
      <c r="GQ77" s="110" t="s">
        <v>445</v>
      </c>
      <c r="GR77" s="25"/>
      <c r="GS77" s="25"/>
      <c r="GT77" s="25"/>
      <c r="GU77" s="110"/>
      <c r="GV77" s="110"/>
      <c r="GW77" s="25"/>
      <c r="GX77" s="25"/>
      <c r="GY77" s="25"/>
      <c r="GZ77" s="25"/>
      <c r="HA77" s="25"/>
      <c r="HB77" s="110"/>
      <c r="HC77" s="110"/>
      <c r="HD77" s="25"/>
      <c r="HE77" s="25"/>
      <c r="HF77" s="25"/>
      <c r="HG77" s="25"/>
      <c r="HH77" s="25"/>
      <c r="HI77" s="110"/>
      <c r="HJ77" s="110"/>
      <c r="HK77" s="25"/>
      <c r="HL77" s="25"/>
      <c r="HM77" s="25"/>
      <c r="HN77" s="25"/>
      <c r="HO77" s="25"/>
      <c r="HP77" s="110"/>
      <c r="HQ77" s="110"/>
      <c r="HR77" s="25"/>
      <c r="HS77" s="25"/>
      <c r="HT77" s="25"/>
      <c r="HU77" s="25"/>
      <c r="HV77" s="25"/>
      <c r="HW77" s="110"/>
      <c r="HX77" s="110"/>
      <c r="HY77" s="25"/>
      <c r="HZ77" s="25"/>
      <c r="IA77" s="25"/>
      <c r="IB77" s="25"/>
      <c r="IC77" s="25"/>
      <c r="ID77" s="110"/>
      <c r="IE77" s="110"/>
      <c r="IF77" s="25"/>
      <c r="IG77" s="25"/>
      <c r="IH77" s="25"/>
      <c r="II77" s="25"/>
      <c r="IJ77" s="25"/>
      <c r="IK77" s="110"/>
      <c r="IL77" s="110"/>
      <c r="IM77" s="25"/>
      <c r="IN77" s="25"/>
      <c r="IO77" s="25"/>
      <c r="IP77" s="25"/>
      <c r="IQ77" s="25"/>
      <c r="IR77" s="110"/>
      <c r="IS77" s="110"/>
      <c r="IT77" s="25"/>
      <c r="IU77" s="25"/>
      <c r="IV77" s="25"/>
      <c r="IW77" s="25"/>
      <c r="IX77" s="25"/>
      <c r="IY77" s="110"/>
      <c r="IZ77" s="110"/>
      <c r="JA77" s="25"/>
      <c r="JB77" s="25"/>
      <c r="JC77" s="25"/>
      <c r="JD77" s="25"/>
      <c r="JE77" s="25"/>
      <c r="JF77" s="110"/>
      <c r="JG77" s="110"/>
      <c r="JH77" s="25"/>
      <c r="JI77" s="25"/>
      <c r="JJ77" s="25"/>
      <c r="JK77" s="25"/>
      <c r="JL77" s="25"/>
      <c r="JM77" s="110"/>
      <c r="JN77" s="110"/>
      <c r="JO77" s="25"/>
      <c r="JP77" s="25"/>
      <c r="JQ77" s="25"/>
      <c r="JR77" s="25"/>
      <c r="JS77" s="25"/>
      <c r="JT77" s="110"/>
      <c r="JU77" s="110"/>
      <c r="JV77" s="25"/>
      <c r="JW77" s="25"/>
      <c r="JX77" s="25"/>
      <c r="JY77" s="25"/>
      <c r="JZ77" s="25"/>
      <c r="KA77" s="110"/>
      <c r="KB77" s="110"/>
      <c r="KC77" s="25"/>
      <c r="KD77" s="25"/>
      <c r="KE77" s="25"/>
      <c r="KF77" s="25"/>
      <c r="KG77" s="25"/>
      <c r="KH77" s="110"/>
      <c r="KI77" s="110"/>
      <c r="KJ77" s="25"/>
      <c r="KK77" s="25"/>
      <c r="KL77" s="25"/>
      <c r="KM77" s="25"/>
      <c r="KN77" s="25"/>
      <c r="KO77" s="110"/>
      <c r="KP77" s="110"/>
      <c r="KQ77" s="25"/>
      <c r="KR77" s="25"/>
      <c r="KS77" s="25"/>
      <c r="KT77" s="25"/>
      <c r="KU77" s="25"/>
      <c r="KV77" s="110"/>
      <c r="KW77" s="110"/>
      <c r="KX77" s="25"/>
      <c r="KY77" s="25"/>
      <c r="KZ77" s="25"/>
      <c r="LA77" s="25"/>
      <c r="LB77" s="25"/>
      <c r="LC77" s="110"/>
      <c r="LD77" s="110"/>
      <c r="LE77" s="25"/>
      <c r="LF77" s="25"/>
      <c r="LG77" s="110" t="s">
        <v>445</v>
      </c>
      <c r="LH77" s="25"/>
      <c r="LI77" s="25"/>
      <c r="LJ77" s="110"/>
      <c r="LK77" s="110"/>
      <c r="LL77" s="25"/>
      <c r="LM77" s="25"/>
      <c r="LN77" s="25"/>
      <c r="LO77" s="25"/>
      <c r="LP77" s="25"/>
      <c r="LQ77" s="110"/>
      <c r="LR77" s="110"/>
      <c r="LS77" s="25"/>
      <c r="LT77" s="25"/>
      <c r="LU77" s="25"/>
      <c r="LV77" s="25"/>
      <c r="LW77" s="25"/>
      <c r="LX77" s="110"/>
      <c r="LY77" s="110"/>
      <c r="LZ77" s="25"/>
      <c r="MA77" s="25"/>
      <c r="MB77" s="25"/>
      <c r="MC77" s="25"/>
      <c r="MD77" s="25"/>
      <c r="ME77" s="110"/>
      <c r="MF77" s="110"/>
      <c r="MG77" s="25"/>
      <c r="MH77" s="25"/>
      <c r="MI77" s="25"/>
      <c r="MJ77" s="25"/>
      <c r="MK77" s="25"/>
      <c r="ML77" s="110"/>
      <c r="MM77" s="110"/>
      <c r="MN77" s="25"/>
      <c r="MO77" s="25"/>
      <c r="MP77" s="25"/>
      <c r="MQ77" s="25"/>
      <c r="MR77" s="25"/>
      <c r="MS77" s="110"/>
      <c r="MT77" s="110"/>
      <c r="MU77" s="25"/>
      <c r="MV77" s="25"/>
      <c r="MW77" s="25"/>
      <c r="MX77" s="25"/>
      <c r="MY77" s="25"/>
      <c r="MZ77" s="110"/>
      <c r="NA77" s="110"/>
      <c r="NB77" s="25"/>
      <c r="NC77" s="25"/>
      <c r="ND77" s="25"/>
      <c r="NE77" s="129"/>
      <c r="NF77" s="111"/>
      <c r="NG77" s="8">
        <f t="shared" si="27"/>
        <v>0</v>
      </c>
      <c r="NH77" s="32" cm="1">
        <f t="array" ref="NH77">NETWORKDAYS($I$2,$AI$2)- SUM(COUNTIF(I77:AI77,{"I";"F";"CP";"R";"P";"AC";"AM"}))</f>
        <v>20</v>
      </c>
      <c r="NI77" s="138">
        <f t="shared" si="28"/>
        <v>0</v>
      </c>
      <c r="NJ77" s="8">
        <f t="shared" si="29"/>
        <v>0</v>
      </c>
      <c r="NK77" s="32" cm="1">
        <f t="array" ref="NK77">NETWORKDAYS($AJ$2,$BK$2)- SUM(COUNTIF(AJ77:BK77,{"I";"F";"CP";"R";"P";"AC";"AM"}))</f>
        <v>20</v>
      </c>
      <c r="NL77" s="138">
        <f t="shared" si="30"/>
        <v>0</v>
      </c>
      <c r="NM77" s="8">
        <f t="shared" si="31"/>
        <v>0</v>
      </c>
      <c r="NN77" s="32" cm="1">
        <f t="array" ref="NN77">NETWORKDAYS($BL$2,$CP$2)- SUM(COUNTIF(BL77:CP77,{"I";"F";"CP";"R";"P";"AC";"AM"}))</f>
        <v>22</v>
      </c>
      <c r="NO77" s="138">
        <f t="shared" si="32"/>
        <v>0</v>
      </c>
      <c r="NP77" s="32">
        <f t="shared" si="53"/>
        <v>0</v>
      </c>
      <c r="NQ77" s="32" cm="1">
        <f t="array" ref="NQ77">NETWORKDAYS($CQ$2,$DT$2,$CV$2)- SUM(COUNTIF(CQ77:DT77,{"I";"F";"CP";"R";"P";"AC";"AM"}))</f>
        <v>21</v>
      </c>
      <c r="NR77" s="138">
        <f t="shared" si="33"/>
        <v>0</v>
      </c>
      <c r="NS77" s="8">
        <f t="shared" si="34"/>
        <v>0</v>
      </c>
      <c r="NT77" s="32" cm="1">
        <f t="array" ref="NT77">NETWORKDAYS($DV$2,$EY$2)-SUM(COUNTIF(DV77:EY77,{"I";"F";"CP";"R";"P";"AC";"AM"}))</f>
        <v>16</v>
      </c>
      <c r="NU77" s="138">
        <f t="shared" si="35"/>
        <v>0</v>
      </c>
      <c r="NV77" s="8">
        <f t="shared" si="36"/>
        <v>0</v>
      </c>
      <c r="NW77" s="32" cm="1">
        <f t="array" ref="NW77">NETWORKDAYS($EZ$2,$GC$2)-SUM(COUNTIF(EZ157:GC157,{"I";"F";"CP";"R";"P";"AC";"AM"}))</f>
        <v>22</v>
      </c>
      <c r="NX77" s="138">
        <f t="shared" si="37"/>
        <v>0</v>
      </c>
      <c r="NY77" s="8">
        <f t="shared" si="38"/>
        <v>0</v>
      </c>
      <c r="NZ77" s="32" cm="1">
        <f t="array" ref="NZ77">NETWORKDAYS($GD$2,$HH$2,$GQ$2)-SUM(COUNTIF(GD77:HH77,{"I";"F";"CP";"R";"P";"AC";"AM"}))</f>
        <v>21</v>
      </c>
      <c r="OA77" s="138">
        <f t="shared" si="39"/>
        <v>0</v>
      </c>
      <c r="OB77" s="8">
        <f t="shared" si="40"/>
        <v>0</v>
      </c>
      <c r="OC77" s="32" cm="1">
        <f t="array" ref="OC77">NETWORKDAYS($HI$2,$IM$2)-SUM(COUNTIF(HI77:IM77,{"I";"F";"CP";"R";"P";"AC";"AM"}))</f>
        <v>21</v>
      </c>
      <c r="OD77" s="138">
        <f t="shared" si="41"/>
        <v>0</v>
      </c>
      <c r="OE77" s="8">
        <f t="shared" si="42"/>
        <v>0</v>
      </c>
      <c r="OF77" s="32" cm="1">
        <f t="array" ref="OF77">NETWORKDAYS($IN$2,$JQ$2)-SUM(COUNTIF(IN77:JQ77,{"I";"F";"CP";"R";"P";"AC";"AM"}))</f>
        <v>22</v>
      </c>
      <c r="OG77" s="138">
        <f t="shared" si="43"/>
        <v>0</v>
      </c>
      <c r="OH77" s="8">
        <f t="shared" si="44"/>
        <v>0</v>
      </c>
      <c r="OI77" s="32" cm="1">
        <f t="array" ref="OI77">NETWORKDAYS($JR$2,$KV$2)-SUM(COUNTIF(JR77:KV77,{"I";"F";"CP";"R";"P";"AC";"AM"}))</f>
        <v>22</v>
      </c>
      <c r="OJ77" s="138">
        <f t="shared" si="45"/>
        <v>0</v>
      </c>
      <c r="OK77" s="8">
        <f t="shared" si="46"/>
        <v>0</v>
      </c>
      <c r="OL77" s="32" cm="1">
        <f t="array" ref="OL77">NETWORKDAYS($KW$2,$LZ$2,$LG$2)-SUM(COUNTIF(KW77:LZ77,{"I";"F";"CP";"R";"P";"AC";"AM"}))</f>
        <v>19</v>
      </c>
      <c r="OM77" s="138">
        <f t="shared" si="47"/>
        <v>0</v>
      </c>
      <c r="ON77" s="8">
        <f t="shared" si="48"/>
        <v>0</v>
      </c>
      <c r="OO77" s="32" cm="1">
        <f t="array" ref="OO77">NETWORKDAYS($MA$2,$MR$2)-SUM(COUNTIF(MA77:MR77,{"I";"F";"CP";"R";"P";"AC";"AM"}))</f>
        <v>14</v>
      </c>
      <c r="OP77" s="138">
        <f t="shared" si="49"/>
        <v>0</v>
      </c>
      <c r="OQ77" s="94">
        <f t="shared" si="50"/>
        <v>0</v>
      </c>
      <c r="OR77" s="94">
        <f t="shared" si="51"/>
        <v>240</v>
      </c>
      <c r="OS77" s="138">
        <f t="shared" si="52"/>
        <v>0</v>
      </c>
    </row>
    <row r="78" spans="1:409" ht="18" hidden="1" customHeight="1" x14ac:dyDescent="0.25">
      <c r="A78" s="95" t="s">
        <v>468</v>
      </c>
      <c r="B78" s="95" t="s">
        <v>34</v>
      </c>
      <c r="C78" s="89" t="s">
        <v>160</v>
      </c>
      <c r="D78" s="89" t="s">
        <v>261</v>
      </c>
      <c r="E78" s="128"/>
      <c r="F78" s="110"/>
      <c r="G78" s="110"/>
      <c r="H78" s="110"/>
      <c r="I78" s="25"/>
      <c r="J78" s="25"/>
      <c r="K78" s="25"/>
      <c r="L78" s="25"/>
      <c r="M78" s="25"/>
      <c r="N78" s="110"/>
      <c r="O78" s="110"/>
      <c r="P78" s="25"/>
      <c r="Q78" s="25"/>
      <c r="R78" s="25"/>
      <c r="S78" s="25"/>
      <c r="T78" s="25"/>
      <c r="U78" s="110"/>
      <c r="V78" s="110"/>
      <c r="W78" s="25"/>
      <c r="X78" s="25"/>
      <c r="Y78" s="25"/>
      <c r="Z78" s="25"/>
      <c r="AA78" s="25"/>
      <c r="AB78" s="110"/>
      <c r="AC78" s="110"/>
      <c r="AD78" s="25"/>
      <c r="AE78" s="25"/>
      <c r="AF78" s="25"/>
      <c r="AG78" s="25"/>
      <c r="AH78" s="25"/>
      <c r="AI78" s="110"/>
      <c r="AJ78" s="110"/>
      <c r="AK78" s="25"/>
      <c r="AL78" s="25"/>
      <c r="AM78" s="25"/>
      <c r="AN78" s="25"/>
      <c r="AO78" s="25"/>
      <c r="AP78" s="110"/>
      <c r="AQ78" s="110"/>
      <c r="AR78" s="25"/>
      <c r="AS78" s="25"/>
      <c r="AT78" s="25"/>
      <c r="AU78" s="25"/>
      <c r="AV78" s="25"/>
      <c r="AW78" s="110"/>
      <c r="AX78" s="110"/>
      <c r="AY78" s="25"/>
      <c r="AZ78" s="25"/>
      <c r="BA78" s="25"/>
      <c r="BB78" s="25"/>
      <c r="BC78" s="25"/>
      <c r="BD78" s="110"/>
      <c r="BE78" s="110"/>
      <c r="BF78" s="25"/>
      <c r="BG78" s="25"/>
      <c r="BH78" s="25"/>
      <c r="BI78" s="25"/>
      <c r="BJ78" s="25"/>
      <c r="BK78" s="110"/>
      <c r="BL78" s="110"/>
      <c r="BM78" s="25"/>
      <c r="BN78" s="25"/>
      <c r="BO78" s="25"/>
      <c r="BP78" s="25"/>
      <c r="BQ78" s="25"/>
      <c r="BR78" s="110"/>
      <c r="BS78" s="110"/>
      <c r="BT78" s="25"/>
      <c r="BU78" s="25"/>
      <c r="BV78" s="25"/>
      <c r="BW78" s="25"/>
      <c r="BX78" s="25"/>
      <c r="BY78" s="110"/>
      <c r="BZ78" s="110"/>
      <c r="CA78" s="25"/>
      <c r="CB78" s="25"/>
      <c r="CC78" s="25"/>
      <c r="CD78" s="25"/>
      <c r="CE78" s="25"/>
      <c r="CF78" s="110"/>
      <c r="CG78" s="110"/>
      <c r="CH78" s="25"/>
      <c r="CI78" s="25"/>
      <c r="CJ78" s="25"/>
      <c r="CK78" s="25"/>
      <c r="CL78" s="25"/>
      <c r="CM78" s="110"/>
      <c r="CN78" s="110"/>
      <c r="CO78" s="25"/>
      <c r="CP78" s="25"/>
      <c r="CQ78" s="25"/>
      <c r="CR78" s="25"/>
      <c r="CS78" s="25"/>
      <c r="CT78" s="110"/>
      <c r="CU78" s="110"/>
      <c r="CV78" s="110"/>
      <c r="CW78" s="25"/>
      <c r="CX78" s="25"/>
      <c r="CY78" s="25"/>
      <c r="CZ78" s="25"/>
      <c r="DA78" s="110"/>
      <c r="DB78" s="110"/>
      <c r="DC78" s="25"/>
      <c r="DD78" s="25"/>
      <c r="DE78" s="25"/>
      <c r="DF78" s="25"/>
      <c r="DG78" s="25"/>
      <c r="DH78" s="110"/>
      <c r="DI78" s="110"/>
      <c r="DJ78" s="25"/>
      <c r="DK78" s="25"/>
      <c r="DL78" s="25"/>
      <c r="DM78" s="25"/>
      <c r="DN78" s="25"/>
      <c r="DO78" s="110"/>
      <c r="DP78" s="110"/>
      <c r="DQ78" s="25"/>
      <c r="DR78" s="25"/>
      <c r="DS78" s="25"/>
      <c r="DT78" s="25"/>
      <c r="DU78" s="110"/>
      <c r="DV78" s="110"/>
      <c r="DW78" s="110"/>
      <c r="DX78" s="25"/>
      <c r="DY78" s="25"/>
      <c r="DZ78" s="25"/>
      <c r="EA78" s="25"/>
      <c r="EB78" s="110" t="s">
        <v>445</v>
      </c>
      <c r="EC78" s="110"/>
      <c r="ED78" s="110"/>
      <c r="EE78" s="25"/>
      <c r="EF78" s="25"/>
      <c r="EG78" s="25"/>
      <c r="EH78" s="110" t="s">
        <v>445</v>
      </c>
      <c r="EI78" s="110" t="s">
        <v>445</v>
      </c>
      <c r="EJ78" s="110"/>
      <c r="EK78" s="110"/>
      <c r="EL78" s="25"/>
      <c r="EM78" s="25"/>
      <c r="EN78" s="25"/>
      <c r="EO78" s="25"/>
      <c r="EP78" s="25"/>
      <c r="EQ78" s="110"/>
      <c r="ER78" s="110"/>
      <c r="ES78" s="110" t="s">
        <v>445</v>
      </c>
      <c r="ET78" s="25"/>
      <c r="EU78" s="25"/>
      <c r="EV78" s="25"/>
      <c r="EW78" s="25"/>
      <c r="EX78" s="110"/>
      <c r="EY78" s="110"/>
      <c r="EZ78" s="25"/>
      <c r="FA78" s="25"/>
      <c r="FB78" s="25"/>
      <c r="FC78" s="25"/>
      <c r="FD78" s="25"/>
      <c r="FE78" s="110"/>
      <c r="FF78" s="110"/>
      <c r="FG78" s="25"/>
      <c r="FH78" s="25"/>
      <c r="FI78" s="25"/>
      <c r="FJ78" s="25"/>
      <c r="FK78" s="25"/>
      <c r="FL78" s="110"/>
      <c r="FM78" s="110"/>
      <c r="FN78" s="25"/>
      <c r="FO78" s="25"/>
      <c r="FP78" s="25"/>
      <c r="FQ78" s="25"/>
      <c r="FR78" s="25"/>
      <c r="FS78" s="110"/>
      <c r="FT78" s="110"/>
      <c r="FU78" s="25"/>
      <c r="FV78" s="25"/>
      <c r="FW78" s="25"/>
      <c r="FX78" s="25"/>
      <c r="FY78" s="25"/>
      <c r="FZ78" s="110"/>
      <c r="GA78" s="110"/>
      <c r="GB78" s="25"/>
      <c r="GC78" s="25"/>
      <c r="GD78" s="25"/>
      <c r="GE78" s="25"/>
      <c r="GF78" s="25"/>
      <c r="GG78" s="110"/>
      <c r="GH78" s="110"/>
      <c r="GI78" s="25"/>
      <c r="GJ78" s="25"/>
      <c r="GK78" s="25"/>
      <c r="GL78" s="25"/>
      <c r="GM78" s="25"/>
      <c r="GN78" s="110"/>
      <c r="GO78" s="110"/>
      <c r="GP78" s="110"/>
      <c r="GQ78" s="110" t="s">
        <v>445</v>
      </c>
      <c r="GR78" s="25"/>
      <c r="GS78" s="25"/>
      <c r="GT78" s="25"/>
      <c r="GU78" s="110"/>
      <c r="GV78" s="110"/>
      <c r="GW78" s="25"/>
      <c r="GX78" s="25"/>
      <c r="GY78" s="25"/>
      <c r="GZ78" s="25"/>
      <c r="HA78" s="25"/>
      <c r="HB78" s="110"/>
      <c r="HC78" s="110"/>
      <c r="HD78" s="25"/>
      <c r="HE78" s="25"/>
      <c r="HF78" s="25"/>
      <c r="HG78" s="25"/>
      <c r="HH78" s="25"/>
      <c r="HI78" s="110"/>
      <c r="HJ78" s="110"/>
      <c r="HK78" s="25"/>
      <c r="HL78" s="25"/>
      <c r="HM78" s="25"/>
      <c r="HN78" s="25"/>
      <c r="HO78" s="25"/>
      <c r="HP78" s="110"/>
      <c r="HQ78" s="110"/>
      <c r="HR78" s="25"/>
      <c r="HS78" s="25"/>
      <c r="HT78" s="25"/>
      <c r="HU78" s="25"/>
      <c r="HV78" s="25"/>
      <c r="HW78" s="110"/>
      <c r="HX78" s="110"/>
      <c r="HY78" s="25"/>
      <c r="HZ78" s="25"/>
      <c r="IA78" s="25"/>
      <c r="IB78" s="25"/>
      <c r="IC78" s="25"/>
      <c r="ID78" s="110"/>
      <c r="IE78" s="110"/>
      <c r="IF78" s="25"/>
      <c r="IG78" s="25"/>
      <c r="IH78" s="25"/>
      <c r="II78" s="25"/>
      <c r="IJ78" s="25"/>
      <c r="IK78" s="110"/>
      <c r="IL78" s="110"/>
      <c r="IM78" s="25"/>
      <c r="IN78" s="25"/>
      <c r="IO78" s="25"/>
      <c r="IP78" s="25"/>
      <c r="IQ78" s="25"/>
      <c r="IR78" s="110"/>
      <c r="IS78" s="110"/>
      <c r="IT78" s="25"/>
      <c r="IU78" s="25"/>
      <c r="IV78" s="25"/>
      <c r="IW78" s="25"/>
      <c r="IX78" s="25"/>
      <c r="IY78" s="110"/>
      <c r="IZ78" s="110"/>
      <c r="JA78" s="25"/>
      <c r="JB78" s="25"/>
      <c r="JC78" s="25"/>
      <c r="JD78" s="25"/>
      <c r="JE78" s="25"/>
      <c r="JF78" s="110"/>
      <c r="JG78" s="110"/>
      <c r="JH78" s="25"/>
      <c r="JI78" s="25"/>
      <c r="JJ78" s="25"/>
      <c r="JK78" s="25"/>
      <c r="JL78" s="25"/>
      <c r="JM78" s="110"/>
      <c r="JN78" s="110"/>
      <c r="JO78" s="25"/>
      <c r="JP78" s="25"/>
      <c r="JQ78" s="25"/>
      <c r="JR78" s="25"/>
      <c r="JS78" s="25"/>
      <c r="JT78" s="110"/>
      <c r="JU78" s="110"/>
      <c r="JV78" s="25"/>
      <c r="JW78" s="25"/>
      <c r="JX78" s="25"/>
      <c r="JY78" s="25"/>
      <c r="JZ78" s="25"/>
      <c r="KA78" s="110"/>
      <c r="KB78" s="110"/>
      <c r="KC78" s="25"/>
      <c r="KD78" s="25"/>
      <c r="KE78" s="25"/>
      <c r="KF78" s="25"/>
      <c r="KG78" s="25"/>
      <c r="KH78" s="110"/>
      <c r="KI78" s="110"/>
      <c r="KJ78" s="25"/>
      <c r="KK78" s="25"/>
      <c r="KL78" s="25"/>
      <c r="KM78" s="25"/>
      <c r="KN78" s="25"/>
      <c r="KO78" s="110"/>
      <c r="KP78" s="110"/>
      <c r="KQ78" s="25"/>
      <c r="KR78" s="25"/>
      <c r="KS78" s="25"/>
      <c r="KT78" s="25"/>
      <c r="KU78" s="25"/>
      <c r="KV78" s="110"/>
      <c r="KW78" s="110"/>
      <c r="KX78" s="25"/>
      <c r="KY78" s="25"/>
      <c r="KZ78" s="25"/>
      <c r="LA78" s="25"/>
      <c r="LB78" s="25"/>
      <c r="LC78" s="110"/>
      <c r="LD78" s="110"/>
      <c r="LE78" s="25"/>
      <c r="LF78" s="25"/>
      <c r="LG78" s="110" t="s">
        <v>445</v>
      </c>
      <c r="LH78" s="25"/>
      <c r="LI78" s="25"/>
      <c r="LJ78" s="110"/>
      <c r="LK78" s="110"/>
      <c r="LL78" s="25"/>
      <c r="LM78" s="25"/>
      <c r="LN78" s="25"/>
      <c r="LO78" s="25"/>
      <c r="LP78" s="25"/>
      <c r="LQ78" s="110"/>
      <c r="LR78" s="110"/>
      <c r="LS78" s="25"/>
      <c r="LT78" s="25"/>
      <c r="LU78" s="25"/>
      <c r="LV78" s="25"/>
      <c r="LW78" s="25"/>
      <c r="LX78" s="110"/>
      <c r="LY78" s="110"/>
      <c r="LZ78" s="25"/>
      <c r="MA78" s="25"/>
      <c r="MB78" s="25"/>
      <c r="MC78" s="25"/>
      <c r="MD78" s="25"/>
      <c r="ME78" s="110"/>
      <c r="MF78" s="110"/>
      <c r="MG78" s="25"/>
      <c r="MH78" s="25"/>
      <c r="MI78" s="25"/>
      <c r="MJ78" s="25"/>
      <c r="MK78" s="25"/>
      <c r="ML78" s="110"/>
      <c r="MM78" s="110"/>
      <c r="MN78" s="25"/>
      <c r="MO78" s="25"/>
      <c r="MP78" s="25"/>
      <c r="MQ78" s="25"/>
      <c r="MR78" s="25"/>
      <c r="MS78" s="110"/>
      <c r="MT78" s="110"/>
      <c r="MU78" s="25"/>
      <c r="MV78" s="25"/>
      <c r="MW78" s="25"/>
      <c r="MX78" s="25"/>
      <c r="MY78" s="25"/>
      <c r="MZ78" s="110"/>
      <c r="NA78" s="110"/>
      <c r="NB78" s="25"/>
      <c r="NC78" s="25"/>
      <c r="ND78" s="25"/>
      <c r="NE78" s="129"/>
      <c r="NF78" s="111"/>
      <c r="NG78" s="8">
        <f t="shared" si="27"/>
        <v>0</v>
      </c>
      <c r="NH78" s="32" cm="1">
        <f t="array" ref="NH78">NETWORKDAYS($I$2,$AI$2)- SUM(COUNTIF(I78:AI78,{"I";"F";"CP";"R";"P";"AC";"AM"}))</f>
        <v>20</v>
      </c>
      <c r="NI78" s="138">
        <f t="shared" si="28"/>
        <v>0</v>
      </c>
      <c r="NJ78" s="8">
        <f t="shared" si="29"/>
        <v>0</v>
      </c>
      <c r="NK78" s="32" cm="1">
        <f t="array" ref="NK78">NETWORKDAYS($AJ$2,$BK$2)- SUM(COUNTIF(AJ78:BK78,{"I";"F";"CP";"R";"P";"AC";"AM"}))</f>
        <v>20</v>
      </c>
      <c r="NL78" s="138">
        <f t="shared" si="30"/>
        <v>0</v>
      </c>
      <c r="NM78" s="8">
        <f t="shared" si="31"/>
        <v>0</v>
      </c>
      <c r="NN78" s="32" cm="1">
        <f t="array" ref="NN78">NETWORKDAYS($BL$2,$CP$2)- SUM(COUNTIF(BL78:CP78,{"I";"F";"CP";"R";"P";"AC";"AM"}))</f>
        <v>22</v>
      </c>
      <c r="NO78" s="138">
        <f t="shared" si="32"/>
        <v>0</v>
      </c>
      <c r="NP78" s="8">
        <f t="shared" si="53"/>
        <v>0</v>
      </c>
      <c r="NQ78" s="32" cm="1">
        <f t="array" ref="NQ78">NETWORKDAYS($CQ$2,$DT$2,$CV$2)- SUM(COUNTIF(CQ78:DT78,{"I";"F";"CP";"R";"P";"AC";"AM"}))</f>
        <v>21</v>
      </c>
      <c r="NR78" s="138">
        <f t="shared" si="33"/>
        <v>0</v>
      </c>
      <c r="NS78" s="8">
        <f t="shared" si="34"/>
        <v>0</v>
      </c>
      <c r="NT78" s="32" cm="1">
        <f t="array" ref="NT78">NETWORKDAYS($DV$2,$EY$2)-SUM(COUNTIF(DV78:EY78,{"I";"F";"CP";"R";"P";"AC";"AM"}))</f>
        <v>16</v>
      </c>
      <c r="NU78" s="138">
        <f t="shared" si="35"/>
        <v>0</v>
      </c>
      <c r="NV78" s="8">
        <f t="shared" si="36"/>
        <v>0</v>
      </c>
      <c r="NW78" s="32" cm="1">
        <f t="array" ref="NW78">NETWORKDAYS($EZ$2,$GC$2)-SUM(COUNTIF(EZ158:GC158,{"I";"F";"CP";"R";"P";"AC";"AM"}))</f>
        <v>22</v>
      </c>
      <c r="NX78" s="138">
        <f t="shared" si="37"/>
        <v>0</v>
      </c>
      <c r="NY78" s="8">
        <f t="shared" si="38"/>
        <v>0</v>
      </c>
      <c r="NZ78" s="32" cm="1">
        <f t="array" ref="NZ78">NETWORKDAYS($GD$2,$HH$2,$GQ$2)-SUM(COUNTIF(GD78:HH78,{"I";"F";"CP";"R";"P";"AC";"AM"}))</f>
        <v>21</v>
      </c>
      <c r="OA78" s="138">
        <f t="shared" si="39"/>
        <v>0</v>
      </c>
      <c r="OB78" s="8">
        <f t="shared" si="40"/>
        <v>0</v>
      </c>
      <c r="OC78" s="32" cm="1">
        <f t="array" ref="OC78">NETWORKDAYS($HI$2,$IM$2)-SUM(COUNTIF(HI78:IM78,{"I";"F";"CP";"R";"P";"AC";"AM"}))</f>
        <v>21</v>
      </c>
      <c r="OD78" s="138">
        <f t="shared" si="41"/>
        <v>0</v>
      </c>
      <c r="OE78" s="8">
        <f t="shared" si="42"/>
        <v>0</v>
      </c>
      <c r="OF78" s="32" cm="1">
        <f t="array" ref="OF78">NETWORKDAYS($IN$2,$JQ$2)-SUM(COUNTIF(IN78:JQ78,{"I";"F";"CP";"R";"P";"AC";"AM"}))</f>
        <v>22</v>
      </c>
      <c r="OG78" s="138">
        <f t="shared" si="43"/>
        <v>0</v>
      </c>
      <c r="OH78" s="8">
        <f t="shared" si="44"/>
        <v>0</v>
      </c>
      <c r="OI78" s="32" cm="1">
        <f t="array" ref="OI78">NETWORKDAYS($JR$2,$KV$2)-SUM(COUNTIF(JR78:KV78,{"I";"F";"CP";"R";"P";"AC";"AM"}))</f>
        <v>22</v>
      </c>
      <c r="OJ78" s="138">
        <f t="shared" si="45"/>
        <v>0</v>
      </c>
      <c r="OK78" s="8">
        <f t="shared" si="46"/>
        <v>0</v>
      </c>
      <c r="OL78" s="32" cm="1">
        <f t="array" ref="OL78">NETWORKDAYS($KW$2,$LZ$2,$LG$2)-SUM(COUNTIF(KW78:LZ78,{"I";"F";"CP";"R";"P";"AC";"AM"}))</f>
        <v>19</v>
      </c>
      <c r="OM78" s="138">
        <f t="shared" si="47"/>
        <v>0</v>
      </c>
      <c r="ON78" s="8">
        <f t="shared" si="48"/>
        <v>0</v>
      </c>
      <c r="OO78" s="32" cm="1">
        <f t="array" ref="OO78">NETWORKDAYS($MA$2,$MR$2)-SUM(COUNTIF(MA78:MR78,{"I";"F";"CP";"R";"P";"AC";"AM"}))</f>
        <v>14</v>
      </c>
      <c r="OP78" s="138">
        <f t="shared" si="49"/>
        <v>0</v>
      </c>
      <c r="OQ78" s="94">
        <f t="shared" si="50"/>
        <v>0</v>
      </c>
      <c r="OR78" s="94">
        <f t="shared" si="51"/>
        <v>240</v>
      </c>
      <c r="OS78" s="138">
        <f t="shared" si="52"/>
        <v>0</v>
      </c>
    </row>
    <row r="79" spans="1:409" ht="18" hidden="1" customHeight="1" x14ac:dyDescent="0.25">
      <c r="A79" s="95" t="s">
        <v>192</v>
      </c>
      <c r="B79" s="95" t="s">
        <v>192</v>
      </c>
      <c r="C79" s="89" t="s">
        <v>166</v>
      </c>
      <c r="D79" s="89" t="s">
        <v>262</v>
      </c>
      <c r="E79" s="128"/>
      <c r="F79" s="110"/>
      <c r="G79" s="110"/>
      <c r="H79" s="110"/>
      <c r="I79" s="25"/>
      <c r="J79" s="25"/>
      <c r="K79" s="25"/>
      <c r="L79" s="25"/>
      <c r="M79" s="25"/>
      <c r="N79" s="110"/>
      <c r="O79" s="110"/>
      <c r="P79" s="25"/>
      <c r="Q79" s="25"/>
      <c r="R79" s="25"/>
      <c r="S79" s="25"/>
      <c r="T79" s="25"/>
      <c r="U79" s="110"/>
      <c r="V79" s="110"/>
      <c r="W79" s="25"/>
      <c r="X79" s="25"/>
      <c r="Y79" s="25"/>
      <c r="Z79" s="25"/>
      <c r="AA79" s="25"/>
      <c r="AB79" s="110"/>
      <c r="AC79" s="110"/>
      <c r="AD79" s="25"/>
      <c r="AE79" s="25"/>
      <c r="AF79" s="25"/>
      <c r="AG79" s="25"/>
      <c r="AH79" s="25"/>
      <c r="AI79" s="110"/>
      <c r="AJ79" s="110"/>
      <c r="AK79" s="25"/>
      <c r="AL79" s="25"/>
      <c r="AM79" s="25"/>
      <c r="AN79" s="25"/>
      <c r="AO79" s="25"/>
      <c r="AP79" s="110"/>
      <c r="AQ79" s="110"/>
      <c r="AR79" s="25"/>
      <c r="AS79" s="25"/>
      <c r="AT79" s="25"/>
      <c r="AU79" s="25"/>
      <c r="AV79" s="25"/>
      <c r="AW79" s="110"/>
      <c r="AX79" s="110"/>
      <c r="AY79" s="25"/>
      <c r="AZ79" s="25"/>
      <c r="BA79" s="25"/>
      <c r="BB79" s="25"/>
      <c r="BC79" s="25"/>
      <c r="BD79" s="110"/>
      <c r="BE79" s="110"/>
      <c r="BF79" s="25"/>
      <c r="BG79" s="25"/>
      <c r="BH79" s="25"/>
      <c r="BI79" s="25"/>
      <c r="BJ79" s="25"/>
      <c r="BK79" s="110"/>
      <c r="BL79" s="110"/>
      <c r="BM79" s="25"/>
      <c r="BN79" s="25"/>
      <c r="BO79" s="25"/>
      <c r="BP79" s="25"/>
      <c r="BQ79" s="25"/>
      <c r="BR79" s="110"/>
      <c r="BS79" s="110"/>
      <c r="BT79" s="25"/>
      <c r="BU79" s="25"/>
      <c r="BV79" s="25"/>
      <c r="BW79" s="25"/>
      <c r="BX79" s="25"/>
      <c r="BY79" s="110"/>
      <c r="BZ79" s="110"/>
      <c r="CA79" s="25"/>
      <c r="CB79" s="25"/>
      <c r="CC79" s="25"/>
      <c r="CD79" s="25"/>
      <c r="CE79" s="25"/>
      <c r="CF79" s="110"/>
      <c r="CG79" s="110"/>
      <c r="CH79" s="25"/>
      <c r="CI79" s="25"/>
      <c r="CJ79" s="25"/>
      <c r="CK79" s="25"/>
      <c r="CL79" s="25"/>
      <c r="CM79" s="110"/>
      <c r="CN79" s="110"/>
      <c r="CO79" s="25"/>
      <c r="CP79" s="25"/>
      <c r="CQ79" s="25"/>
      <c r="CR79" s="25"/>
      <c r="CS79" s="25"/>
      <c r="CT79" s="110"/>
      <c r="CU79" s="110"/>
      <c r="CV79" s="110"/>
      <c r="CW79" s="25"/>
      <c r="CX79" s="25"/>
      <c r="CY79" s="25"/>
      <c r="CZ79" s="25"/>
      <c r="DA79" s="110"/>
      <c r="DB79" s="110"/>
      <c r="DC79" s="25"/>
      <c r="DD79" s="25"/>
      <c r="DE79" s="25"/>
      <c r="DF79" s="25"/>
      <c r="DG79" s="25"/>
      <c r="DH79" s="110"/>
      <c r="DI79" s="110"/>
      <c r="DJ79" s="25"/>
      <c r="DK79" s="25"/>
      <c r="DL79" s="25"/>
      <c r="DM79" s="25"/>
      <c r="DN79" s="25"/>
      <c r="DO79" s="110"/>
      <c r="DP79" s="110"/>
      <c r="DQ79" s="25"/>
      <c r="DR79" s="25"/>
      <c r="DS79" s="25"/>
      <c r="DT79" s="25"/>
      <c r="DU79" s="110"/>
      <c r="DV79" s="110"/>
      <c r="DW79" s="110"/>
      <c r="DX79" s="25"/>
      <c r="DY79" s="25"/>
      <c r="DZ79" s="25"/>
      <c r="EA79" s="25"/>
      <c r="EB79" s="110" t="s">
        <v>445</v>
      </c>
      <c r="EC79" s="110"/>
      <c r="ED79" s="110"/>
      <c r="EE79" s="25"/>
      <c r="EF79" s="25"/>
      <c r="EG79" s="25"/>
      <c r="EH79" s="110" t="s">
        <v>445</v>
      </c>
      <c r="EI79" s="110" t="s">
        <v>445</v>
      </c>
      <c r="EJ79" s="110"/>
      <c r="EK79" s="110"/>
      <c r="EL79" s="25"/>
      <c r="EM79" s="25"/>
      <c r="EN79" s="25"/>
      <c r="EO79" s="25"/>
      <c r="EP79" s="25"/>
      <c r="EQ79" s="110"/>
      <c r="ER79" s="110"/>
      <c r="ES79" s="110" t="s">
        <v>445</v>
      </c>
      <c r="ET79" s="25"/>
      <c r="EU79" s="25"/>
      <c r="EV79" s="25"/>
      <c r="EW79" s="25"/>
      <c r="EX79" s="110"/>
      <c r="EY79" s="110"/>
      <c r="EZ79" s="25"/>
      <c r="FA79" s="25"/>
      <c r="FB79" s="25"/>
      <c r="FC79" s="25"/>
      <c r="FD79" s="25"/>
      <c r="FE79" s="110"/>
      <c r="FF79" s="110"/>
      <c r="FG79" s="25"/>
      <c r="FH79" s="25"/>
      <c r="FI79" s="25"/>
      <c r="FJ79" s="25"/>
      <c r="FK79" s="25"/>
      <c r="FL79" s="110"/>
      <c r="FM79" s="110"/>
      <c r="FN79" s="25"/>
      <c r="FO79" s="25"/>
      <c r="FP79" s="25"/>
      <c r="FQ79" s="25"/>
      <c r="FR79" s="25"/>
      <c r="FS79" s="110"/>
      <c r="FT79" s="110"/>
      <c r="FU79" s="25"/>
      <c r="FV79" s="25"/>
      <c r="FW79" s="25"/>
      <c r="FX79" s="25"/>
      <c r="FY79" s="25"/>
      <c r="FZ79" s="110"/>
      <c r="GA79" s="110"/>
      <c r="GB79" s="25"/>
      <c r="GC79" s="25"/>
      <c r="GD79" s="25"/>
      <c r="GE79" s="25"/>
      <c r="GF79" s="25"/>
      <c r="GG79" s="110"/>
      <c r="GH79" s="110"/>
      <c r="GI79" s="25"/>
      <c r="GJ79" s="25"/>
      <c r="GK79" s="25"/>
      <c r="GL79" s="25"/>
      <c r="GM79" s="25"/>
      <c r="GN79" s="110"/>
      <c r="GO79" s="110"/>
      <c r="GP79" s="110"/>
      <c r="GQ79" s="110" t="s">
        <v>445</v>
      </c>
      <c r="GR79" s="25"/>
      <c r="GS79" s="25"/>
      <c r="GT79" s="25"/>
      <c r="GU79" s="110"/>
      <c r="GV79" s="110"/>
      <c r="GW79" s="25"/>
      <c r="GX79" s="25"/>
      <c r="GY79" s="25"/>
      <c r="GZ79" s="25"/>
      <c r="HA79" s="25"/>
      <c r="HB79" s="110"/>
      <c r="HC79" s="110"/>
      <c r="HD79" s="25"/>
      <c r="HE79" s="25"/>
      <c r="HF79" s="25"/>
      <c r="HG79" s="25"/>
      <c r="HH79" s="25"/>
      <c r="HI79" s="110"/>
      <c r="HJ79" s="110"/>
      <c r="HK79" s="25"/>
      <c r="HL79" s="25"/>
      <c r="HM79" s="25"/>
      <c r="HN79" s="25"/>
      <c r="HO79" s="25"/>
      <c r="HP79" s="110"/>
      <c r="HQ79" s="110"/>
      <c r="HR79" s="25"/>
      <c r="HS79" s="25"/>
      <c r="HT79" s="25"/>
      <c r="HU79" s="25"/>
      <c r="HV79" s="25"/>
      <c r="HW79" s="110"/>
      <c r="HX79" s="110"/>
      <c r="HY79" s="25"/>
      <c r="HZ79" s="25"/>
      <c r="IA79" s="25"/>
      <c r="IB79" s="25"/>
      <c r="IC79" s="25"/>
      <c r="ID79" s="110"/>
      <c r="IE79" s="110"/>
      <c r="IF79" s="25"/>
      <c r="IG79" s="25"/>
      <c r="IH79" s="25"/>
      <c r="II79" s="25"/>
      <c r="IJ79" s="25"/>
      <c r="IK79" s="110"/>
      <c r="IL79" s="110"/>
      <c r="IM79" s="25"/>
      <c r="IN79" s="25"/>
      <c r="IO79" s="25"/>
      <c r="IP79" s="25"/>
      <c r="IQ79" s="25"/>
      <c r="IR79" s="110"/>
      <c r="IS79" s="110"/>
      <c r="IT79" s="25"/>
      <c r="IU79" s="25"/>
      <c r="IV79" s="25"/>
      <c r="IW79" s="25"/>
      <c r="IX79" s="25"/>
      <c r="IY79" s="110"/>
      <c r="IZ79" s="110"/>
      <c r="JA79" s="25"/>
      <c r="JB79" s="25"/>
      <c r="JC79" s="25"/>
      <c r="JD79" s="25"/>
      <c r="JE79" s="25"/>
      <c r="JF79" s="110"/>
      <c r="JG79" s="110"/>
      <c r="JH79" s="25"/>
      <c r="JI79" s="25"/>
      <c r="JJ79" s="25"/>
      <c r="JK79" s="25"/>
      <c r="JL79" s="25"/>
      <c r="JM79" s="110"/>
      <c r="JN79" s="110"/>
      <c r="JO79" s="25"/>
      <c r="JP79" s="25"/>
      <c r="JQ79" s="25"/>
      <c r="JR79" s="25"/>
      <c r="JS79" s="25"/>
      <c r="JT79" s="110"/>
      <c r="JU79" s="110"/>
      <c r="JV79" s="25"/>
      <c r="JW79" s="25"/>
      <c r="JX79" s="25"/>
      <c r="JY79" s="25"/>
      <c r="JZ79" s="25"/>
      <c r="KA79" s="110"/>
      <c r="KB79" s="110"/>
      <c r="KC79" s="25"/>
      <c r="KD79" s="25"/>
      <c r="KE79" s="25"/>
      <c r="KF79" s="25"/>
      <c r="KG79" s="25"/>
      <c r="KH79" s="110"/>
      <c r="KI79" s="110"/>
      <c r="KJ79" s="25"/>
      <c r="KK79" s="25"/>
      <c r="KL79" s="25"/>
      <c r="KM79" s="25"/>
      <c r="KN79" s="25"/>
      <c r="KO79" s="110"/>
      <c r="KP79" s="110"/>
      <c r="KQ79" s="25"/>
      <c r="KR79" s="25"/>
      <c r="KS79" s="25"/>
      <c r="KT79" s="25"/>
      <c r="KU79" s="25"/>
      <c r="KV79" s="110"/>
      <c r="KW79" s="110"/>
      <c r="KX79" s="25"/>
      <c r="KY79" s="25"/>
      <c r="KZ79" s="25"/>
      <c r="LA79" s="25"/>
      <c r="LB79" s="25"/>
      <c r="LC79" s="110"/>
      <c r="LD79" s="110"/>
      <c r="LE79" s="25"/>
      <c r="LF79" s="25"/>
      <c r="LG79" s="110" t="s">
        <v>445</v>
      </c>
      <c r="LH79" s="25"/>
      <c r="LI79" s="25"/>
      <c r="LJ79" s="110"/>
      <c r="LK79" s="110"/>
      <c r="LL79" s="25"/>
      <c r="LM79" s="25"/>
      <c r="LN79" s="25"/>
      <c r="LO79" s="25"/>
      <c r="LP79" s="25"/>
      <c r="LQ79" s="110"/>
      <c r="LR79" s="110"/>
      <c r="LS79" s="25"/>
      <c r="LT79" s="25"/>
      <c r="LU79" s="25"/>
      <c r="LV79" s="25"/>
      <c r="LW79" s="25"/>
      <c r="LX79" s="110"/>
      <c r="LY79" s="110"/>
      <c r="LZ79" s="25"/>
      <c r="MA79" s="25"/>
      <c r="MB79" s="25"/>
      <c r="MC79" s="25"/>
      <c r="MD79" s="25"/>
      <c r="ME79" s="110"/>
      <c r="MF79" s="110"/>
      <c r="MG79" s="25"/>
      <c r="MH79" s="25"/>
      <c r="MI79" s="25"/>
      <c r="MJ79" s="25"/>
      <c r="MK79" s="25"/>
      <c r="ML79" s="110"/>
      <c r="MM79" s="110"/>
      <c r="MN79" s="25"/>
      <c r="MO79" s="25"/>
      <c r="MP79" s="25"/>
      <c r="MQ79" s="25"/>
      <c r="MR79" s="25"/>
      <c r="MS79" s="110"/>
      <c r="MT79" s="110"/>
      <c r="MU79" s="25"/>
      <c r="MV79" s="25"/>
      <c r="MW79" s="25"/>
      <c r="MX79" s="25"/>
      <c r="MY79" s="25"/>
      <c r="MZ79" s="110"/>
      <c r="NA79" s="110"/>
      <c r="NB79" s="25"/>
      <c r="NC79" s="25"/>
      <c r="ND79" s="25"/>
      <c r="NE79" s="129"/>
      <c r="NF79" s="111"/>
      <c r="NG79" s="8">
        <f t="shared" si="27"/>
        <v>0</v>
      </c>
      <c r="NH79" s="32" cm="1">
        <f t="array" ref="NH79">NETWORKDAYS($I$2,$AI$2)- SUM(COUNTIF(I79:AI79,{"I";"F";"CP";"R";"P";"AC";"AM"}))</f>
        <v>20</v>
      </c>
      <c r="NI79" s="138">
        <f t="shared" si="28"/>
        <v>0</v>
      </c>
      <c r="NJ79" s="8">
        <f t="shared" si="29"/>
        <v>0</v>
      </c>
      <c r="NK79" s="32" cm="1">
        <f t="array" ref="NK79">NETWORKDAYS($AJ$2,$BK$2)- SUM(COUNTIF(AJ79:BK79,{"I";"F";"CP";"R";"P";"AC";"AM"}))</f>
        <v>20</v>
      </c>
      <c r="NL79" s="138">
        <f t="shared" si="30"/>
        <v>0</v>
      </c>
      <c r="NM79" s="8">
        <f t="shared" si="31"/>
        <v>0</v>
      </c>
      <c r="NN79" s="32" cm="1">
        <f t="array" ref="NN79">NETWORKDAYS($BL$2,$CP$2)- SUM(COUNTIF(BL79:CP79,{"I";"F";"CP";"R";"P";"AC";"AM"}))</f>
        <v>22</v>
      </c>
      <c r="NO79" s="138">
        <f t="shared" si="32"/>
        <v>0</v>
      </c>
      <c r="NP79" s="32">
        <f t="shared" si="53"/>
        <v>0</v>
      </c>
      <c r="NQ79" s="32" cm="1">
        <f t="array" ref="NQ79">NETWORKDAYS($CQ$2,$DT$2,$CV$2)- SUM(COUNTIF(CQ79:DT79,{"I";"F";"CP";"R";"P";"AC";"AM"}))</f>
        <v>21</v>
      </c>
      <c r="NR79" s="138">
        <f t="shared" si="33"/>
        <v>0</v>
      </c>
      <c r="NS79" s="8">
        <f t="shared" si="34"/>
        <v>0</v>
      </c>
      <c r="NT79" s="32" cm="1">
        <f t="array" ref="NT79">NETWORKDAYS($DV$2,$EY$2)-SUM(COUNTIF(DV79:EY79,{"I";"F";"CP";"R";"P";"AC";"AM"}))</f>
        <v>16</v>
      </c>
      <c r="NU79" s="138">
        <f t="shared" si="35"/>
        <v>0</v>
      </c>
      <c r="NV79" s="8">
        <f t="shared" si="36"/>
        <v>0</v>
      </c>
      <c r="NW79" s="32" cm="1">
        <f t="array" ref="NW79">NETWORKDAYS($EZ$2,$GC$2)-SUM(COUNTIF(EZ159:GC159,{"I";"F";"CP";"R";"P";"AC";"AM"}))</f>
        <v>22</v>
      </c>
      <c r="NX79" s="138">
        <f t="shared" si="37"/>
        <v>0</v>
      </c>
      <c r="NY79" s="8">
        <f t="shared" si="38"/>
        <v>0</v>
      </c>
      <c r="NZ79" s="32" cm="1">
        <f t="array" ref="NZ79">NETWORKDAYS($GD$2,$HH$2,$GQ$2)-SUM(COUNTIF(GD79:HH79,{"I";"F";"CP";"R";"P";"AC";"AM"}))</f>
        <v>21</v>
      </c>
      <c r="OA79" s="138">
        <f t="shared" si="39"/>
        <v>0</v>
      </c>
      <c r="OB79" s="8">
        <f t="shared" si="40"/>
        <v>0</v>
      </c>
      <c r="OC79" s="32" cm="1">
        <f t="array" ref="OC79">NETWORKDAYS($HI$2,$IM$2)-SUM(COUNTIF(HI79:IM79,{"I";"F";"CP";"R";"P";"AC";"AM"}))</f>
        <v>21</v>
      </c>
      <c r="OD79" s="138">
        <f t="shared" si="41"/>
        <v>0</v>
      </c>
      <c r="OE79" s="8">
        <f t="shared" si="42"/>
        <v>0</v>
      </c>
      <c r="OF79" s="32" cm="1">
        <f t="array" ref="OF79">NETWORKDAYS($IN$2,$JQ$2)-SUM(COUNTIF(IN79:JQ79,{"I";"F";"CP";"R";"P";"AC";"AM"}))</f>
        <v>22</v>
      </c>
      <c r="OG79" s="138">
        <f t="shared" si="43"/>
        <v>0</v>
      </c>
      <c r="OH79" s="8">
        <f t="shared" si="44"/>
        <v>0</v>
      </c>
      <c r="OI79" s="32" cm="1">
        <f t="array" ref="OI79">NETWORKDAYS($JR$2,$KV$2)-SUM(COUNTIF(JR79:KV79,{"I";"F";"CP";"R";"P";"AC";"AM"}))</f>
        <v>22</v>
      </c>
      <c r="OJ79" s="138">
        <f t="shared" si="45"/>
        <v>0</v>
      </c>
      <c r="OK79" s="8">
        <f t="shared" si="46"/>
        <v>0</v>
      </c>
      <c r="OL79" s="32" cm="1">
        <f t="array" ref="OL79">NETWORKDAYS($KW$2,$LZ$2,$LG$2)-SUM(COUNTIF(KW79:LZ79,{"I";"F";"CP";"R";"P";"AC";"AM"}))</f>
        <v>19</v>
      </c>
      <c r="OM79" s="138">
        <f t="shared" si="47"/>
        <v>0</v>
      </c>
      <c r="ON79" s="8">
        <f t="shared" si="48"/>
        <v>0</v>
      </c>
      <c r="OO79" s="32" cm="1">
        <f t="array" ref="OO79">NETWORKDAYS($MA$2,$MR$2)-SUM(COUNTIF(MA79:MR79,{"I";"F";"CP";"R";"P";"AC";"AM"}))</f>
        <v>14</v>
      </c>
      <c r="OP79" s="138">
        <f t="shared" si="49"/>
        <v>0</v>
      </c>
      <c r="OQ79" s="94">
        <f t="shared" si="50"/>
        <v>0</v>
      </c>
      <c r="OR79" s="94">
        <f t="shared" si="51"/>
        <v>240</v>
      </c>
      <c r="OS79" s="138">
        <f t="shared" si="52"/>
        <v>0</v>
      </c>
    </row>
    <row r="80" spans="1:409" ht="18" hidden="1" customHeight="1" x14ac:dyDescent="0.25">
      <c r="A80" s="95" t="s">
        <v>94</v>
      </c>
      <c r="B80" s="95" t="s">
        <v>94</v>
      </c>
      <c r="C80" s="89" t="s">
        <v>166</v>
      </c>
      <c r="D80" s="89" t="s">
        <v>263</v>
      </c>
      <c r="E80" s="128"/>
      <c r="F80" s="110"/>
      <c r="G80" s="110"/>
      <c r="H80" s="110"/>
      <c r="I80" s="25"/>
      <c r="J80" s="25"/>
      <c r="K80" s="25"/>
      <c r="L80" s="25"/>
      <c r="M80" s="25"/>
      <c r="N80" s="110"/>
      <c r="O80" s="110"/>
      <c r="P80" s="25"/>
      <c r="Q80" s="25"/>
      <c r="R80" s="25"/>
      <c r="S80" s="25"/>
      <c r="T80" s="25"/>
      <c r="U80" s="110"/>
      <c r="V80" s="110"/>
      <c r="W80" s="25"/>
      <c r="X80" s="25"/>
      <c r="Y80" s="25"/>
      <c r="Z80" s="25"/>
      <c r="AA80" s="25"/>
      <c r="AB80" s="110"/>
      <c r="AC80" s="110"/>
      <c r="AD80" s="25"/>
      <c r="AE80" s="25"/>
      <c r="AF80" s="25"/>
      <c r="AG80" s="25"/>
      <c r="AH80" s="25"/>
      <c r="AI80" s="110"/>
      <c r="AJ80" s="110"/>
      <c r="AK80" s="25"/>
      <c r="AL80" s="25"/>
      <c r="AM80" s="25"/>
      <c r="AN80" s="25"/>
      <c r="AO80" s="25"/>
      <c r="AP80" s="110"/>
      <c r="AQ80" s="110"/>
      <c r="AR80" s="25"/>
      <c r="AS80" s="25"/>
      <c r="AT80" s="25"/>
      <c r="AU80" s="25"/>
      <c r="AV80" s="25"/>
      <c r="AW80" s="110"/>
      <c r="AX80" s="110"/>
      <c r="AY80" s="25"/>
      <c r="AZ80" s="25"/>
      <c r="BA80" s="25"/>
      <c r="BB80" s="25"/>
      <c r="BC80" s="25"/>
      <c r="BD80" s="110"/>
      <c r="BE80" s="110"/>
      <c r="BF80" s="25"/>
      <c r="BG80" s="25"/>
      <c r="BH80" s="25"/>
      <c r="BI80" s="25"/>
      <c r="BJ80" s="25"/>
      <c r="BK80" s="110"/>
      <c r="BL80" s="110"/>
      <c r="BM80" s="25"/>
      <c r="BN80" s="25"/>
      <c r="BO80" s="25"/>
      <c r="BP80" s="25"/>
      <c r="BQ80" s="25"/>
      <c r="BR80" s="110"/>
      <c r="BS80" s="110"/>
      <c r="BT80" s="25"/>
      <c r="BU80" s="25"/>
      <c r="BV80" s="25"/>
      <c r="BW80" s="25"/>
      <c r="BX80" s="25"/>
      <c r="BY80" s="110"/>
      <c r="BZ80" s="110"/>
      <c r="CA80" s="25"/>
      <c r="CB80" s="25"/>
      <c r="CC80" s="25"/>
      <c r="CD80" s="25"/>
      <c r="CE80" s="25"/>
      <c r="CF80" s="110"/>
      <c r="CG80" s="110"/>
      <c r="CH80" s="25"/>
      <c r="CI80" s="25"/>
      <c r="CJ80" s="25"/>
      <c r="CK80" s="25"/>
      <c r="CL80" s="25"/>
      <c r="CM80" s="110"/>
      <c r="CN80" s="110"/>
      <c r="CO80" s="25"/>
      <c r="CP80" s="25"/>
      <c r="CQ80" s="25"/>
      <c r="CR80" s="25"/>
      <c r="CS80" s="25"/>
      <c r="CT80" s="110"/>
      <c r="CU80" s="110"/>
      <c r="CV80" s="110"/>
      <c r="CW80" s="25"/>
      <c r="CX80" s="25"/>
      <c r="CY80" s="25"/>
      <c r="CZ80" s="25"/>
      <c r="DA80" s="110"/>
      <c r="DB80" s="110"/>
      <c r="DC80" s="25"/>
      <c r="DD80" s="25"/>
      <c r="DE80" s="25"/>
      <c r="DF80" s="25"/>
      <c r="DG80" s="25"/>
      <c r="DH80" s="110"/>
      <c r="DI80" s="110"/>
      <c r="DJ80" s="25"/>
      <c r="DK80" s="25"/>
      <c r="DL80" s="25"/>
      <c r="DM80" s="25"/>
      <c r="DN80" s="25"/>
      <c r="DO80" s="110"/>
      <c r="DP80" s="110"/>
      <c r="DQ80" s="25"/>
      <c r="DR80" s="25"/>
      <c r="DS80" s="25"/>
      <c r="DT80" s="25"/>
      <c r="DU80" s="110"/>
      <c r="DV80" s="110"/>
      <c r="DW80" s="110"/>
      <c r="DX80" s="25"/>
      <c r="DY80" s="25"/>
      <c r="DZ80" s="25"/>
      <c r="EA80" s="25"/>
      <c r="EB80" s="110" t="s">
        <v>445</v>
      </c>
      <c r="EC80" s="110"/>
      <c r="ED80" s="110"/>
      <c r="EE80" s="25"/>
      <c r="EF80" s="25"/>
      <c r="EG80" s="25"/>
      <c r="EH80" s="110" t="s">
        <v>445</v>
      </c>
      <c r="EI80" s="110" t="s">
        <v>445</v>
      </c>
      <c r="EJ80" s="110"/>
      <c r="EK80" s="110"/>
      <c r="EL80" s="25"/>
      <c r="EM80" s="25"/>
      <c r="EN80" s="25"/>
      <c r="EO80" s="25"/>
      <c r="EP80" s="25"/>
      <c r="EQ80" s="110"/>
      <c r="ER80" s="110"/>
      <c r="ES80" s="110" t="s">
        <v>445</v>
      </c>
      <c r="ET80" s="25"/>
      <c r="EU80" s="25"/>
      <c r="EV80" s="25"/>
      <c r="EW80" s="25"/>
      <c r="EX80" s="110"/>
      <c r="EY80" s="110"/>
      <c r="EZ80" s="25"/>
      <c r="FA80" s="25"/>
      <c r="FB80" s="25"/>
      <c r="FC80" s="25"/>
      <c r="FD80" s="25"/>
      <c r="FE80" s="110"/>
      <c r="FF80" s="110"/>
      <c r="FG80" s="25"/>
      <c r="FH80" s="25"/>
      <c r="FI80" s="25"/>
      <c r="FJ80" s="25"/>
      <c r="FK80" s="25"/>
      <c r="FL80" s="110"/>
      <c r="FM80" s="110"/>
      <c r="FN80" s="25"/>
      <c r="FO80" s="25"/>
      <c r="FP80" s="25"/>
      <c r="FQ80" s="25"/>
      <c r="FR80" s="25"/>
      <c r="FS80" s="110"/>
      <c r="FT80" s="110"/>
      <c r="FU80" s="25"/>
      <c r="FV80" s="25"/>
      <c r="FW80" s="25"/>
      <c r="FX80" s="25"/>
      <c r="FY80" s="25"/>
      <c r="FZ80" s="110"/>
      <c r="GA80" s="110"/>
      <c r="GB80" s="25"/>
      <c r="GC80" s="25"/>
      <c r="GD80" s="25"/>
      <c r="GE80" s="25"/>
      <c r="GF80" s="25"/>
      <c r="GG80" s="110"/>
      <c r="GH80" s="110"/>
      <c r="GI80" s="25"/>
      <c r="GJ80" s="25"/>
      <c r="GK80" s="25"/>
      <c r="GL80" s="25"/>
      <c r="GM80" s="25"/>
      <c r="GN80" s="110"/>
      <c r="GO80" s="110"/>
      <c r="GP80" s="110"/>
      <c r="GQ80" s="110" t="s">
        <v>445</v>
      </c>
      <c r="GR80" s="25"/>
      <c r="GS80" s="25"/>
      <c r="GT80" s="25"/>
      <c r="GU80" s="110"/>
      <c r="GV80" s="110"/>
      <c r="GW80" s="25"/>
      <c r="GX80" s="25"/>
      <c r="GY80" s="25"/>
      <c r="GZ80" s="25"/>
      <c r="HA80" s="25"/>
      <c r="HB80" s="110"/>
      <c r="HC80" s="110"/>
      <c r="HD80" s="25"/>
      <c r="HE80" s="25"/>
      <c r="HF80" s="25"/>
      <c r="HG80" s="25"/>
      <c r="HH80" s="25"/>
      <c r="HI80" s="110"/>
      <c r="HJ80" s="110"/>
      <c r="HK80" s="25"/>
      <c r="HL80" s="25"/>
      <c r="HM80" s="25"/>
      <c r="HN80" s="25"/>
      <c r="HO80" s="25"/>
      <c r="HP80" s="110"/>
      <c r="HQ80" s="110"/>
      <c r="HR80" s="25"/>
      <c r="HS80" s="25"/>
      <c r="HT80" s="25"/>
      <c r="HU80" s="25"/>
      <c r="HV80" s="25"/>
      <c r="HW80" s="110"/>
      <c r="HX80" s="110"/>
      <c r="HY80" s="25"/>
      <c r="HZ80" s="25"/>
      <c r="IA80" s="25"/>
      <c r="IB80" s="25"/>
      <c r="IC80" s="25"/>
      <c r="ID80" s="110"/>
      <c r="IE80" s="110"/>
      <c r="IF80" s="25"/>
      <c r="IG80" s="25"/>
      <c r="IH80" s="25"/>
      <c r="II80" s="25"/>
      <c r="IJ80" s="25"/>
      <c r="IK80" s="110"/>
      <c r="IL80" s="110"/>
      <c r="IM80" s="25"/>
      <c r="IN80" s="25"/>
      <c r="IO80" s="25"/>
      <c r="IP80" s="25"/>
      <c r="IQ80" s="25"/>
      <c r="IR80" s="110"/>
      <c r="IS80" s="110"/>
      <c r="IT80" s="25"/>
      <c r="IU80" s="25"/>
      <c r="IV80" s="25"/>
      <c r="IW80" s="25"/>
      <c r="IX80" s="25"/>
      <c r="IY80" s="110"/>
      <c r="IZ80" s="110"/>
      <c r="JA80" s="25"/>
      <c r="JB80" s="25"/>
      <c r="JC80" s="25"/>
      <c r="JD80" s="25"/>
      <c r="JE80" s="25"/>
      <c r="JF80" s="110"/>
      <c r="JG80" s="110"/>
      <c r="JH80" s="25"/>
      <c r="JI80" s="25"/>
      <c r="JJ80" s="25"/>
      <c r="JK80" s="25"/>
      <c r="JL80" s="25"/>
      <c r="JM80" s="110"/>
      <c r="JN80" s="110"/>
      <c r="JO80" s="25"/>
      <c r="JP80" s="25"/>
      <c r="JQ80" s="25"/>
      <c r="JR80" s="25"/>
      <c r="JS80" s="25"/>
      <c r="JT80" s="110"/>
      <c r="JU80" s="110"/>
      <c r="JV80" s="25"/>
      <c r="JW80" s="25"/>
      <c r="JX80" s="25"/>
      <c r="JY80" s="25"/>
      <c r="JZ80" s="25"/>
      <c r="KA80" s="110"/>
      <c r="KB80" s="110"/>
      <c r="KC80" s="25"/>
      <c r="KD80" s="25"/>
      <c r="KE80" s="25"/>
      <c r="KF80" s="25"/>
      <c r="KG80" s="25"/>
      <c r="KH80" s="110"/>
      <c r="KI80" s="110"/>
      <c r="KJ80" s="25"/>
      <c r="KK80" s="25"/>
      <c r="KL80" s="25"/>
      <c r="KM80" s="25"/>
      <c r="KN80" s="25"/>
      <c r="KO80" s="110"/>
      <c r="KP80" s="110"/>
      <c r="KQ80" s="25"/>
      <c r="KR80" s="25"/>
      <c r="KS80" s="25"/>
      <c r="KT80" s="25"/>
      <c r="KU80" s="25"/>
      <c r="KV80" s="110"/>
      <c r="KW80" s="110"/>
      <c r="KX80" s="25"/>
      <c r="KY80" s="25"/>
      <c r="KZ80" s="25"/>
      <c r="LA80" s="25"/>
      <c r="LB80" s="25"/>
      <c r="LC80" s="110"/>
      <c r="LD80" s="110"/>
      <c r="LE80" s="25"/>
      <c r="LF80" s="25"/>
      <c r="LG80" s="110" t="s">
        <v>445</v>
      </c>
      <c r="LH80" s="25"/>
      <c r="LI80" s="25"/>
      <c r="LJ80" s="110"/>
      <c r="LK80" s="110"/>
      <c r="LL80" s="25"/>
      <c r="LM80" s="25"/>
      <c r="LN80" s="25"/>
      <c r="LO80" s="25"/>
      <c r="LP80" s="25"/>
      <c r="LQ80" s="110"/>
      <c r="LR80" s="110"/>
      <c r="LS80" s="25"/>
      <c r="LT80" s="25"/>
      <c r="LU80" s="25"/>
      <c r="LV80" s="25"/>
      <c r="LW80" s="25"/>
      <c r="LX80" s="110"/>
      <c r="LY80" s="110"/>
      <c r="LZ80" s="25"/>
      <c r="MA80" s="25"/>
      <c r="MB80" s="25"/>
      <c r="MC80" s="25"/>
      <c r="MD80" s="25"/>
      <c r="ME80" s="110"/>
      <c r="MF80" s="110"/>
      <c r="MG80" s="25"/>
      <c r="MH80" s="25"/>
      <c r="MI80" s="25"/>
      <c r="MJ80" s="25"/>
      <c r="MK80" s="25"/>
      <c r="ML80" s="110"/>
      <c r="MM80" s="110"/>
      <c r="MN80" s="25"/>
      <c r="MO80" s="25"/>
      <c r="MP80" s="25"/>
      <c r="MQ80" s="25"/>
      <c r="MR80" s="25"/>
      <c r="MS80" s="110"/>
      <c r="MT80" s="110"/>
      <c r="MU80" s="25"/>
      <c r="MV80" s="25"/>
      <c r="MW80" s="25"/>
      <c r="MX80" s="25"/>
      <c r="MY80" s="25"/>
      <c r="MZ80" s="110"/>
      <c r="NA80" s="110"/>
      <c r="NB80" s="25"/>
      <c r="NC80" s="25"/>
      <c r="ND80" s="25"/>
      <c r="NE80" s="129"/>
      <c r="NF80" s="111"/>
      <c r="NG80" s="8">
        <f t="shared" si="27"/>
        <v>0</v>
      </c>
      <c r="NH80" s="32" cm="1">
        <f t="array" ref="NH80">NETWORKDAYS($I$2,$AI$2)- SUM(COUNTIF(I80:AI80,{"I";"F";"CP";"R";"P";"AC";"AM"}))</f>
        <v>20</v>
      </c>
      <c r="NI80" s="138">
        <f t="shared" si="28"/>
        <v>0</v>
      </c>
      <c r="NJ80" s="8">
        <f t="shared" si="29"/>
        <v>0</v>
      </c>
      <c r="NK80" s="32" cm="1">
        <f t="array" ref="NK80">NETWORKDAYS($AJ$2,$BK$2)- SUM(COUNTIF(AJ80:BK80,{"I";"F";"CP";"R";"P";"AC";"AM"}))</f>
        <v>20</v>
      </c>
      <c r="NL80" s="138">
        <f t="shared" si="30"/>
        <v>0</v>
      </c>
      <c r="NM80" s="8">
        <f t="shared" si="31"/>
        <v>0</v>
      </c>
      <c r="NN80" s="32" cm="1">
        <f t="array" ref="NN80">NETWORKDAYS($BL$2,$CP$2)- SUM(COUNTIF(BL80:CP80,{"I";"F";"CP";"R";"P";"AC";"AM"}))</f>
        <v>22</v>
      </c>
      <c r="NO80" s="138">
        <f t="shared" si="32"/>
        <v>0</v>
      </c>
      <c r="NP80" s="8">
        <f t="shared" si="53"/>
        <v>0</v>
      </c>
      <c r="NQ80" s="32" cm="1">
        <f t="array" ref="NQ80">NETWORKDAYS($CQ$2,$DT$2,$CV$2)- SUM(COUNTIF(CQ80:DT80,{"I";"F";"CP";"R";"P";"AC";"AM"}))</f>
        <v>21</v>
      </c>
      <c r="NR80" s="138">
        <f t="shared" si="33"/>
        <v>0</v>
      </c>
      <c r="NS80" s="8">
        <f t="shared" si="34"/>
        <v>0</v>
      </c>
      <c r="NT80" s="32" cm="1">
        <f t="array" ref="NT80">NETWORKDAYS($DV$2,$EY$2)-SUM(COUNTIF(DV80:EY80,{"I";"F";"CP";"R";"P";"AC";"AM"}))</f>
        <v>16</v>
      </c>
      <c r="NU80" s="138">
        <f t="shared" si="35"/>
        <v>0</v>
      </c>
      <c r="NV80" s="8">
        <f t="shared" si="36"/>
        <v>0</v>
      </c>
      <c r="NW80" s="32" cm="1">
        <f t="array" ref="NW80">NETWORKDAYS($EZ$2,$GC$2)-SUM(COUNTIF(EZ160:GC160,{"I";"F";"CP";"R";"P";"AC";"AM"}))</f>
        <v>22</v>
      </c>
      <c r="NX80" s="138">
        <f t="shared" si="37"/>
        <v>0</v>
      </c>
      <c r="NY80" s="8">
        <f t="shared" si="38"/>
        <v>0</v>
      </c>
      <c r="NZ80" s="32" cm="1">
        <f t="array" ref="NZ80">NETWORKDAYS($GD$2,$HH$2,$GQ$2)-SUM(COUNTIF(GD80:HH80,{"I";"F";"CP";"R";"P";"AC";"AM"}))</f>
        <v>21</v>
      </c>
      <c r="OA80" s="138">
        <f t="shared" si="39"/>
        <v>0</v>
      </c>
      <c r="OB80" s="8">
        <f t="shared" si="40"/>
        <v>0</v>
      </c>
      <c r="OC80" s="32" cm="1">
        <f t="array" ref="OC80">NETWORKDAYS($HI$2,$IM$2)-SUM(COUNTIF(HI80:IM80,{"I";"F";"CP";"R";"P";"AC";"AM"}))</f>
        <v>21</v>
      </c>
      <c r="OD80" s="138">
        <f t="shared" si="41"/>
        <v>0</v>
      </c>
      <c r="OE80" s="8">
        <f t="shared" si="42"/>
        <v>0</v>
      </c>
      <c r="OF80" s="32" cm="1">
        <f t="array" ref="OF80">NETWORKDAYS($IN$2,$JQ$2)-SUM(COUNTIF(IN80:JQ80,{"I";"F";"CP";"R";"P";"AC";"AM"}))</f>
        <v>22</v>
      </c>
      <c r="OG80" s="138">
        <f t="shared" si="43"/>
        <v>0</v>
      </c>
      <c r="OH80" s="8">
        <f t="shared" si="44"/>
        <v>0</v>
      </c>
      <c r="OI80" s="32" cm="1">
        <f t="array" ref="OI80">NETWORKDAYS($JR$2,$KV$2)-SUM(COUNTIF(JR80:KV80,{"I";"F";"CP";"R";"P";"AC";"AM"}))</f>
        <v>22</v>
      </c>
      <c r="OJ80" s="138">
        <f t="shared" si="45"/>
        <v>0</v>
      </c>
      <c r="OK80" s="8">
        <f t="shared" si="46"/>
        <v>0</v>
      </c>
      <c r="OL80" s="32" cm="1">
        <f t="array" ref="OL80">NETWORKDAYS($KW$2,$LZ$2,$LG$2)-SUM(COUNTIF(KW80:LZ80,{"I";"F";"CP";"R";"P";"AC";"AM"}))</f>
        <v>19</v>
      </c>
      <c r="OM80" s="138">
        <f t="shared" si="47"/>
        <v>0</v>
      </c>
      <c r="ON80" s="8">
        <f t="shared" si="48"/>
        <v>0</v>
      </c>
      <c r="OO80" s="32" cm="1">
        <f t="array" ref="OO80">NETWORKDAYS($MA$2,$MR$2)-SUM(COUNTIF(MA80:MR80,{"I";"F";"CP";"R";"P";"AC";"AM"}))</f>
        <v>14</v>
      </c>
      <c r="OP80" s="138">
        <f t="shared" si="49"/>
        <v>0</v>
      </c>
      <c r="OQ80" s="94">
        <f t="shared" si="50"/>
        <v>0</v>
      </c>
      <c r="OR80" s="94">
        <f t="shared" si="51"/>
        <v>240</v>
      </c>
      <c r="OS80" s="138">
        <f t="shared" si="52"/>
        <v>0</v>
      </c>
    </row>
    <row r="81" spans="1:409" ht="18" hidden="1" customHeight="1" x14ac:dyDescent="0.25">
      <c r="A81" s="95" t="s">
        <v>468</v>
      </c>
      <c r="B81" s="95" t="s">
        <v>34</v>
      </c>
      <c r="C81" s="89" t="s">
        <v>166</v>
      </c>
      <c r="D81" s="89" t="s">
        <v>265</v>
      </c>
      <c r="E81" s="128"/>
      <c r="F81" s="110"/>
      <c r="G81" s="110"/>
      <c r="H81" s="110"/>
      <c r="I81" s="25"/>
      <c r="J81" s="25"/>
      <c r="K81" s="25"/>
      <c r="L81" s="25"/>
      <c r="M81" s="25"/>
      <c r="N81" s="110"/>
      <c r="O81" s="110"/>
      <c r="P81" s="25"/>
      <c r="Q81" s="25"/>
      <c r="R81" s="25"/>
      <c r="S81" s="25"/>
      <c r="T81" s="25"/>
      <c r="U81" s="110"/>
      <c r="V81" s="110"/>
      <c r="W81" s="25"/>
      <c r="X81" s="25"/>
      <c r="Y81" s="25"/>
      <c r="Z81" s="25"/>
      <c r="AA81" s="25"/>
      <c r="AB81" s="110"/>
      <c r="AC81" s="110"/>
      <c r="AD81" s="25"/>
      <c r="AE81" s="25"/>
      <c r="AF81" s="25"/>
      <c r="AG81" s="25"/>
      <c r="AH81" s="25"/>
      <c r="AI81" s="110"/>
      <c r="AJ81" s="110"/>
      <c r="AK81" s="25"/>
      <c r="AL81" s="25"/>
      <c r="AM81" s="25"/>
      <c r="AN81" s="25"/>
      <c r="AO81" s="25"/>
      <c r="AP81" s="110"/>
      <c r="AQ81" s="110"/>
      <c r="AR81" s="25"/>
      <c r="AS81" s="25"/>
      <c r="AT81" s="25"/>
      <c r="AU81" s="25"/>
      <c r="AV81" s="25"/>
      <c r="AW81" s="110"/>
      <c r="AX81" s="110"/>
      <c r="AY81" s="25"/>
      <c r="AZ81" s="25"/>
      <c r="BA81" s="25"/>
      <c r="BB81" s="25"/>
      <c r="BC81" s="25"/>
      <c r="BD81" s="110"/>
      <c r="BE81" s="110"/>
      <c r="BF81" s="25"/>
      <c r="BG81" s="25"/>
      <c r="BH81" s="25"/>
      <c r="BI81" s="25"/>
      <c r="BJ81" s="25"/>
      <c r="BK81" s="110"/>
      <c r="BL81" s="110"/>
      <c r="BM81" s="25"/>
      <c r="BN81" s="25"/>
      <c r="BO81" s="25"/>
      <c r="BP81" s="25"/>
      <c r="BQ81" s="25"/>
      <c r="BR81" s="110"/>
      <c r="BS81" s="110"/>
      <c r="BT81" s="25"/>
      <c r="BU81" s="25"/>
      <c r="BV81" s="25"/>
      <c r="BW81" s="25"/>
      <c r="BX81" s="25"/>
      <c r="BY81" s="110"/>
      <c r="BZ81" s="110"/>
      <c r="CA81" s="25"/>
      <c r="CB81" s="25"/>
      <c r="CC81" s="25"/>
      <c r="CD81" s="25"/>
      <c r="CE81" s="25"/>
      <c r="CF81" s="110"/>
      <c r="CG81" s="110"/>
      <c r="CH81" s="25"/>
      <c r="CI81" s="25"/>
      <c r="CJ81" s="25"/>
      <c r="CK81" s="25"/>
      <c r="CL81" s="25"/>
      <c r="CM81" s="110"/>
      <c r="CN81" s="110"/>
      <c r="CO81" s="25"/>
      <c r="CP81" s="25"/>
      <c r="CQ81" s="25"/>
      <c r="CR81" s="25"/>
      <c r="CS81" s="25"/>
      <c r="CT81" s="110"/>
      <c r="CU81" s="110"/>
      <c r="CV81" s="110"/>
      <c r="CW81" s="25"/>
      <c r="CX81" s="25"/>
      <c r="CY81" s="25"/>
      <c r="CZ81" s="25"/>
      <c r="DA81" s="110"/>
      <c r="DB81" s="110"/>
      <c r="DC81" s="25"/>
      <c r="DD81" s="25"/>
      <c r="DE81" s="25"/>
      <c r="DF81" s="25"/>
      <c r="DG81" s="25"/>
      <c r="DH81" s="110"/>
      <c r="DI81" s="110"/>
      <c r="DJ81" s="25"/>
      <c r="DK81" s="25"/>
      <c r="DL81" s="25"/>
      <c r="DM81" s="25"/>
      <c r="DN81" s="25"/>
      <c r="DO81" s="110"/>
      <c r="DP81" s="110"/>
      <c r="DQ81" s="25"/>
      <c r="DR81" s="25"/>
      <c r="DS81" s="25"/>
      <c r="DT81" s="25"/>
      <c r="DU81" s="110"/>
      <c r="DV81" s="110"/>
      <c r="DW81" s="110"/>
      <c r="DX81" s="25"/>
      <c r="DY81" s="25"/>
      <c r="DZ81" s="25"/>
      <c r="EA81" s="25"/>
      <c r="EB81" s="110" t="s">
        <v>445</v>
      </c>
      <c r="EC81" s="110"/>
      <c r="ED81" s="110"/>
      <c r="EE81" s="25"/>
      <c r="EF81" s="25"/>
      <c r="EG81" s="25"/>
      <c r="EH81" s="110" t="s">
        <v>445</v>
      </c>
      <c r="EI81" s="110" t="s">
        <v>445</v>
      </c>
      <c r="EJ81" s="110"/>
      <c r="EK81" s="110"/>
      <c r="EL81" s="25"/>
      <c r="EM81" s="25"/>
      <c r="EN81" s="25"/>
      <c r="EO81" s="25"/>
      <c r="EP81" s="25"/>
      <c r="EQ81" s="110"/>
      <c r="ER81" s="110"/>
      <c r="ES81" s="110" t="s">
        <v>445</v>
      </c>
      <c r="ET81" s="25"/>
      <c r="EU81" s="25"/>
      <c r="EV81" s="25"/>
      <c r="EW81" s="25"/>
      <c r="EX81" s="110"/>
      <c r="EY81" s="110"/>
      <c r="EZ81" s="25"/>
      <c r="FA81" s="25"/>
      <c r="FB81" s="25"/>
      <c r="FC81" s="25"/>
      <c r="FD81" s="25"/>
      <c r="FE81" s="110"/>
      <c r="FF81" s="110"/>
      <c r="FG81" s="25"/>
      <c r="FH81" s="25"/>
      <c r="FI81" s="25"/>
      <c r="FJ81" s="25"/>
      <c r="FK81" s="25"/>
      <c r="FL81" s="110"/>
      <c r="FM81" s="110"/>
      <c r="FN81" s="25"/>
      <c r="FO81" s="25"/>
      <c r="FP81" s="25"/>
      <c r="FQ81" s="25"/>
      <c r="FR81" s="25"/>
      <c r="FS81" s="110"/>
      <c r="FT81" s="110"/>
      <c r="FU81" s="25"/>
      <c r="FV81" s="25"/>
      <c r="FW81" s="25"/>
      <c r="FX81" s="25"/>
      <c r="FY81" s="25"/>
      <c r="FZ81" s="110"/>
      <c r="GA81" s="110"/>
      <c r="GB81" s="25"/>
      <c r="GC81" s="25"/>
      <c r="GD81" s="25"/>
      <c r="GE81" s="25"/>
      <c r="GF81" s="25"/>
      <c r="GG81" s="110"/>
      <c r="GH81" s="110"/>
      <c r="GI81" s="25"/>
      <c r="GJ81" s="25"/>
      <c r="GK81" s="25"/>
      <c r="GL81" s="25"/>
      <c r="GM81" s="25"/>
      <c r="GN81" s="110"/>
      <c r="GO81" s="110"/>
      <c r="GP81" s="110"/>
      <c r="GQ81" s="110" t="s">
        <v>445</v>
      </c>
      <c r="GR81" s="25"/>
      <c r="GS81" s="25"/>
      <c r="GT81" s="25"/>
      <c r="GU81" s="110"/>
      <c r="GV81" s="110"/>
      <c r="GW81" s="25"/>
      <c r="GX81" s="25"/>
      <c r="GY81" s="25"/>
      <c r="GZ81" s="25"/>
      <c r="HA81" s="25"/>
      <c r="HB81" s="110"/>
      <c r="HC81" s="110"/>
      <c r="HD81" s="25"/>
      <c r="HE81" s="25"/>
      <c r="HF81" s="25"/>
      <c r="HG81" s="25"/>
      <c r="HH81" s="25"/>
      <c r="HI81" s="110"/>
      <c r="HJ81" s="110"/>
      <c r="HK81" s="25"/>
      <c r="HL81" s="25"/>
      <c r="HM81" s="25"/>
      <c r="HN81" s="25"/>
      <c r="HO81" s="25"/>
      <c r="HP81" s="110"/>
      <c r="HQ81" s="110"/>
      <c r="HR81" s="25"/>
      <c r="HS81" s="25"/>
      <c r="HT81" s="25"/>
      <c r="HU81" s="25"/>
      <c r="HV81" s="25"/>
      <c r="HW81" s="110"/>
      <c r="HX81" s="110"/>
      <c r="HY81" s="25"/>
      <c r="HZ81" s="25"/>
      <c r="IA81" s="25"/>
      <c r="IB81" s="25"/>
      <c r="IC81" s="25"/>
      <c r="ID81" s="110"/>
      <c r="IE81" s="110"/>
      <c r="IF81" s="25"/>
      <c r="IG81" s="25"/>
      <c r="IH81" s="25"/>
      <c r="II81" s="25"/>
      <c r="IJ81" s="25"/>
      <c r="IK81" s="110"/>
      <c r="IL81" s="110"/>
      <c r="IM81" s="25"/>
      <c r="IN81" s="25"/>
      <c r="IO81" s="25"/>
      <c r="IP81" s="25"/>
      <c r="IQ81" s="25"/>
      <c r="IR81" s="110"/>
      <c r="IS81" s="110"/>
      <c r="IT81" s="25"/>
      <c r="IU81" s="25"/>
      <c r="IV81" s="25"/>
      <c r="IW81" s="25"/>
      <c r="IX81" s="25"/>
      <c r="IY81" s="110"/>
      <c r="IZ81" s="110"/>
      <c r="JA81" s="25"/>
      <c r="JB81" s="25"/>
      <c r="JC81" s="25"/>
      <c r="JD81" s="25"/>
      <c r="JE81" s="25"/>
      <c r="JF81" s="110"/>
      <c r="JG81" s="110"/>
      <c r="JH81" s="25"/>
      <c r="JI81" s="25"/>
      <c r="JJ81" s="25"/>
      <c r="JK81" s="25"/>
      <c r="JL81" s="25"/>
      <c r="JM81" s="110"/>
      <c r="JN81" s="110"/>
      <c r="JO81" s="25"/>
      <c r="JP81" s="25"/>
      <c r="JQ81" s="25"/>
      <c r="JR81" s="25"/>
      <c r="JS81" s="25"/>
      <c r="JT81" s="110"/>
      <c r="JU81" s="110"/>
      <c r="JV81" s="25"/>
      <c r="JW81" s="25"/>
      <c r="JX81" s="25"/>
      <c r="JY81" s="25"/>
      <c r="JZ81" s="25"/>
      <c r="KA81" s="110"/>
      <c r="KB81" s="110"/>
      <c r="KC81" s="25"/>
      <c r="KD81" s="25"/>
      <c r="KE81" s="25"/>
      <c r="KF81" s="25"/>
      <c r="KG81" s="25"/>
      <c r="KH81" s="110"/>
      <c r="KI81" s="110"/>
      <c r="KJ81" s="25"/>
      <c r="KK81" s="25"/>
      <c r="KL81" s="25"/>
      <c r="KM81" s="25"/>
      <c r="KN81" s="25"/>
      <c r="KO81" s="110"/>
      <c r="KP81" s="110"/>
      <c r="KQ81" s="25"/>
      <c r="KR81" s="25"/>
      <c r="KS81" s="25"/>
      <c r="KT81" s="25"/>
      <c r="KU81" s="25"/>
      <c r="KV81" s="110"/>
      <c r="KW81" s="110"/>
      <c r="KX81" s="25"/>
      <c r="KY81" s="25"/>
      <c r="KZ81" s="25"/>
      <c r="LA81" s="25"/>
      <c r="LB81" s="25"/>
      <c r="LC81" s="110"/>
      <c r="LD81" s="110"/>
      <c r="LE81" s="25"/>
      <c r="LF81" s="25"/>
      <c r="LG81" s="110" t="s">
        <v>445</v>
      </c>
      <c r="LH81" s="25"/>
      <c r="LI81" s="25"/>
      <c r="LJ81" s="110"/>
      <c r="LK81" s="110"/>
      <c r="LL81" s="25"/>
      <c r="LM81" s="25"/>
      <c r="LN81" s="25"/>
      <c r="LO81" s="25"/>
      <c r="LP81" s="25"/>
      <c r="LQ81" s="110"/>
      <c r="LR81" s="110"/>
      <c r="LS81" s="25"/>
      <c r="LT81" s="25"/>
      <c r="LU81" s="25"/>
      <c r="LV81" s="25"/>
      <c r="LW81" s="25"/>
      <c r="LX81" s="110"/>
      <c r="LY81" s="110"/>
      <c r="LZ81" s="25"/>
      <c r="MA81" s="25"/>
      <c r="MB81" s="25"/>
      <c r="MC81" s="25"/>
      <c r="MD81" s="25"/>
      <c r="ME81" s="110"/>
      <c r="MF81" s="110"/>
      <c r="MG81" s="25"/>
      <c r="MH81" s="25"/>
      <c r="MI81" s="25"/>
      <c r="MJ81" s="25"/>
      <c r="MK81" s="25"/>
      <c r="ML81" s="110"/>
      <c r="MM81" s="110"/>
      <c r="MN81" s="25"/>
      <c r="MO81" s="25"/>
      <c r="MP81" s="25"/>
      <c r="MQ81" s="25"/>
      <c r="MR81" s="25"/>
      <c r="MS81" s="110"/>
      <c r="MT81" s="110"/>
      <c r="MU81" s="25"/>
      <c r="MV81" s="25"/>
      <c r="MW81" s="25"/>
      <c r="MX81" s="25"/>
      <c r="MY81" s="25"/>
      <c r="MZ81" s="110"/>
      <c r="NA81" s="110"/>
      <c r="NB81" s="25"/>
      <c r="NC81" s="25"/>
      <c r="ND81" s="25"/>
      <c r="NE81" s="129"/>
      <c r="NF81" s="111"/>
      <c r="NG81" s="8">
        <f t="shared" ref="NG81:NG105" si="54">SUM(E81:AI81)</f>
        <v>0</v>
      </c>
      <c r="NH81" s="32" cm="1">
        <f t="array" ref="NH81">NETWORKDAYS($I$2,$AI$2)- SUM(COUNTIF(I81:AI81,{"I";"F";"CP";"R";"P";"AC";"AM"}))</f>
        <v>20</v>
      </c>
      <c r="NI81" s="138">
        <f t="shared" ref="NI81:NI105" si="55">NG81/NH81</f>
        <v>0</v>
      </c>
      <c r="NJ81" s="8">
        <f t="shared" ref="NJ81:NJ105" si="56">SUM(AJ81:BK81)</f>
        <v>0</v>
      </c>
      <c r="NK81" s="32" cm="1">
        <f t="array" ref="NK81">NETWORKDAYS($AJ$2,$BK$2)- SUM(COUNTIF(AJ81:BK81,{"I";"F";"CP";"R";"P";"AC";"AM"}))</f>
        <v>20</v>
      </c>
      <c r="NL81" s="138">
        <f t="shared" ref="NL81:NL105" si="57">NJ81/NK81</f>
        <v>0</v>
      </c>
      <c r="NM81" s="8">
        <f t="shared" ref="NM81:NM105" si="58">SUM(BM81:CP81)</f>
        <v>0</v>
      </c>
      <c r="NN81" s="32" cm="1">
        <f t="array" ref="NN81">NETWORKDAYS($BL$2,$CP$2)- SUM(COUNTIF(BL81:CP81,{"I";"F";"CP";"R";"P";"AC";"AM"}))</f>
        <v>22</v>
      </c>
      <c r="NO81" s="138">
        <f t="shared" ref="NO81:NO105" si="59">NM81/NN81</f>
        <v>0</v>
      </c>
      <c r="NP81" s="32">
        <f t="shared" si="53"/>
        <v>0</v>
      </c>
      <c r="NQ81" s="32" cm="1">
        <f t="array" ref="NQ81">NETWORKDAYS($CQ$2,$DT$2,$CV$2)- SUM(COUNTIF(CQ81:DT81,{"I";"F";"CP";"R";"P";"AC";"AM"}))</f>
        <v>21</v>
      </c>
      <c r="NR81" s="138">
        <f t="shared" ref="NR81:NR105" si="60">NP81/NQ81</f>
        <v>0</v>
      </c>
      <c r="NS81" s="8">
        <f t="shared" ref="NS81:NS105" si="61">SUM(DU81:EY81)</f>
        <v>0</v>
      </c>
      <c r="NT81" s="32" cm="1">
        <f t="array" ref="NT81">NETWORKDAYS($DV$2,$EY$2)-SUM(COUNTIF(DV81:EY81,{"I";"F";"CP";"R";"P";"AC";"AM"}))</f>
        <v>16</v>
      </c>
      <c r="NU81" s="138">
        <f t="shared" ref="NU81:NU105" si="62">NS81/NT81</f>
        <v>0</v>
      </c>
      <c r="NV81" s="8">
        <f t="shared" ref="NV81:NV105" si="63">SUM(EZ81:GC81)</f>
        <v>0</v>
      </c>
      <c r="NW81" s="32" cm="1">
        <f t="array" ref="NW81">NETWORKDAYS($EZ$2,$GC$2)-SUM(COUNTIF(EZ161:GC161,{"I";"F";"CP";"R";"P";"AC";"AM"}))</f>
        <v>22</v>
      </c>
      <c r="NX81" s="138">
        <f t="shared" ref="NX81:NX105" si="64">NV81/NW81</f>
        <v>0</v>
      </c>
      <c r="NY81" s="8">
        <f t="shared" ref="NY81:NY105" si="65">SUM(GD81:HH81)</f>
        <v>0</v>
      </c>
      <c r="NZ81" s="32" cm="1">
        <f t="array" ref="NZ81">NETWORKDAYS($GD$2,$HH$2,$GQ$2)-SUM(COUNTIF(GD81:HH81,{"I";"F";"CP";"R";"P";"AC";"AM"}))</f>
        <v>21</v>
      </c>
      <c r="OA81" s="138">
        <f t="shared" ref="OA81:OA105" si="66">NY81/NZ81</f>
        <v>0</v>
      </c>
      <c r="OB81" s="8">
        <f t="shared" ref="OB81:OB105" si="67">SUM(HI81:IM81)</f>
        <v>0</v>
      </c>
      <c r="OC81" s="32" cm="1">
        <f t="array" ref="OC81">NETWORKDAYS($HI$2,$IM$2)-SUM(COUNTIF(HI81:IM81,{"I";"F";"CP";"R";"P";"AC";"AM"}))</f>
        <v>21</v>
      </c>
      <c r="OD81" s="138">
        <f t="shared" ref="OD81:OD105" si="68">OB81/OC81</f>
        <v>0</v>
      </c>
      <c r="OE81" s="8">
        <f t="shared" ref="OE81:OE105" si="69">SUM(IN81:JQ81)</f>
        <v>0</v>
      </c>
      <c r="OF81" s="32" cm="1">
        <f t="array" ref="OF81">NETWORKDAYS($IN$2,$JQ$2)-SUM(COUNTIF(IN81:JQ81,{"I";"F";"CP";"R";"P";"AC";"AM"}))</f>
        <v>22</v>
      </c>
      <c r="OG81" s="138">
        <f t="shared" ref="OG81:OG105" si="70">OE81/OF81</f>
        <v>0</v>
      </c>
      <c r="OH81" s="8">
        <f t="shared" ref="OH81:OH105" si="71">SUM(JR81:KV81)</f>
        <v>0</v>
      </c>
      <c r="OI81" s="32" cm="1">
        <f t="array" ref="OI81">NETWORKDAYS($JR$2,$KV$2)-SUM(COUNTIF(JR81:KV81,{"I";"F";"CP";"R";"P";"AC";"AM"}))</f>
        <v>22</v>
      </c>
      <c r="OJ81" s="138">
        <f t="shared" ref="OJ81:OJ105" si="72">OH81/OI81</f>
        <v>0</v>
      </c>
      <c r="OK81" s="8">
        <f t="shared" ref="OK81:OK105" si="73">SUM(KW81:LZ81)</f>
        <v>0</v>
      </c>
      <c r="OL81" s="32" cm="1">
        <f t="array" ref="OL81">NETWORKDAYS($KW$2,$LZ$2,$LG$2)-SUM(COUNTIF(KW81:LZ81,{"I";"F";"CP";"R";"P";"AC";"AM"}))</f>
        <v>19</v>
      </c>
      <c r="OM81" s="138">
        <f t="shared" ref="OM81:OM105" si="74">OK81/OL81</f>
        <v>0</v>
      </c>
      <c r="ON81" s="8">
        <f t="shared" ref="ON81:ON105" si="75">SUM(MA81:NE81)</f>
        <v>0</v>
      </c>
      <c r="OO81" s="32" cm="1">
        <f t="array" ref="OO81">NETWORKDAYS($MA$2,$MR$2)-SUM(COUNTIF(MA81:MR81,{"I";"F";"CP";"R";"P";"AC";"AM"}))</f>
        <v>14</v>
      </c>
      <c r="OP81" s="138">
        <f t="shared" ref="OP81:OP105" si="76">ON81/OO81</f>
        <v>0</v>
      </c>
      <c r="OQ81" s="94">
        <f t="shared" ref="OQ81:OQ105" si="77">NG81+NJ81+NM81+NP81+NS81+NV81+NY81+OB81+OE81+OH81+OK81+ON81</f>
        <v>0</v>
      </c>
      <c r="OR81" s="94">
        <f t="shared" ref="OR81:OR105" si="78">NH81+NK81+NN81+NQ81+NT81+NW81+NZ81+OC81+OF81+OI81+OL81+OO81</f>
        <v>240</v>
      </c>
      <c r="OS81" s="138">
        <f t="shared" ref="OS81:OS105" si="79">OQ81/OR81</f>
        <v>0</v>
      </c>
    </row>
    <row r="82" spans="1:409" ht="18" customHeight="1" x14ac:dyDescent="0.25">
      <c r="A82" s="95" t="s">
        <v>181</v>
      </c>
      <c r="B82" s="95" t="s">
        <v>34</v>
      </c>
      <c r="C82" s="89" t="s">
        <v>188</v>
      </c>
      <c r="D82" s="89" t="s">
        <v>266</v>
      </c>
      <c r="E82" s="128"/>
      <c r="F82" s="110"/>
      <c r="G82" s="110"/>
      <c r="H82" s="110"/>
      <c r="I82" s="25" t="s">
        <v>248</v>
      </c>
      <c r="J82" s="25" t="s">
        <v>248</v>
      </c>
      <c r="K82" s="25" t="s">
        <v>248</v>
      </c>
      <c r="L82" s="25" t="s">
        <v>248</v>
      </c>
      <c r="M82" s="25" t="s">
        <v>248</v>
      </c>
      <c r="N82" s="110"/>
      <c r="O82" s="110"/>
      <c r="P82" s="25">
        <v>1</v>
      </c>
      <c r="Q82" s="25">
        <v>1</v>
      </c>
      <c r="R82" s="25">
        <v>1</v>
      </c>
      <c r="S82" s="25" t="s">
        <v>447</v>
      </c>
      <c r="T82" s="25">
        <v>1</v>
      </c>
      <c r="U82" s="110"/>
      <c r="V82" s="110"/>
      <c r="W82" s="25"/>
      <c r="X82" s="25">
        <v>1</v>
      </c>
      <c r="Y82" s="25">
        <v>1</v>
      </c>
      <c r="Z82" s="25">
        <v>1</v>
      </c>
      <c r="AA82" s="25" t="s">
        <v>447</v>
      </c>
      <c r="AB82" s="110"/>
      <c r="AC82" s="110"/>
      <c r="AD82" s="25"/>
      <c r="AE82" s="25">
        <v>1</v>
      </c>
      <c r="AF82" s="25">
        <v>1</v>
      </c>
      <c r="AG82" s="25">
        <v>1</v>
      </c>
      <c r="AH82" s="25">
        <v>1</v>
      </c>
      <c r="AI82" s="110"/>
      <c r="AJ82" s="110"/>
      <c r="AK82" s="25">
        <v>1</v>
      </c>
      <c r="AL82" s="25">
        <v>1</v>
      </c>
      <c r="AM82" s="25">
        <v>1</v>
      </c>
      <c r="AN82" s="25">
        <v>1</v>
      </c>
      <c r="AO82" s="25">
        <v>1</v>
      </c>
      <c r="AP82" s="110"/>
      <c r="AQ82" s="110"/>
      <c r="AR82" s="25">
        <v>1</v>
      </c>
      <c r="AS82" s="25">
        <v>1</v>
      </c>
      <c r="AT82" s="25">
        <v>1</v>
      </c>
      <c r="AU82" s="25">
        <v>1</v>
      </c>
      <c r="AV82" s="25">
        <v>1</v>
      </c>
      <c r="AW82" s="110"/>
      <c r="AX82" s="110"/>
      <c r="AY82" s="25"/>
      <c r="AZ82" s="25">
        <v>1</v>
      </c>
      <c r="BA82" s="25">
        <v>1</v>
      </c>
      <c r="BB82" s="25">
        <v>1</v>
      </c>
      <c r="BC82" s="25"/>
      <c r="BD82" s="110"/>
      <c r="BE82" s="110"/>
      <c r="BF82" s="25"/>
      <c r="BG82" s="25"/>
      <c r="BH82" s="25">
        <v>1</v>
      </c>
      <c r="BI82" s="25">
        <v>1</v>
      </c>
      <c r="BJ82" s="25">
        <v>1</v>
      </c>
      <c r="BK82" s="110"/>
      <c r="BL82" s="110"/>
      <c r="BM82" s="25">
        <v>1</v>
      </c>
      <c r="BN82" s="25">
        <v>1</v>
      </c>
      <c r="BO82" s="25">
        <v>1</v>
      </c>
      <c r="BP82" s="25">
        <v>1</v>
      </c>
      <c r="BQ82" s="25"/>
      <c r="BR82" s="110"/>
      <c r="BS82" s="110"/>
      <c r="BT82" s="25">
        <v>1</v>
      </c>
      <c r="BU82" s="25">
        <v>1</v>
      </c>
      <c r="BV82" s="25">
        <v>1</v>
      </c>
      <c r="BW82" s="25">
        <v>1</v>
      </c>
      <c r="BX82" s="25"/>
      <c r="BY82" s="110"/>
      <c r="BZ82" s="110"/>
      <c r="CA82" s="25">
        <v>1</v>
      </c>
      <c r="CB82" s="25">
        <v>1</v>
      </c>
      <c r="CC82" s="25"/>
      <c r="CD82" s="25">
        <v>1</v>
      </c>
      <c r="CE82" s="25">
        <v>1</v>
      </c>
      <c r="CF82" s="110"/>
      <c r="CG82" s="110"/>
      <c r="CH82" s="25"/>
      <c r="CI82" s="25">
        <v>1</v>
      </c>
      <c r="CJ82" s="25"/>
      <c r="CK82" s="25">
        <v>1</v>
      </c>
      <c r="CL82" s="25"/>
      <c r="CM82" s="110"/>
      <c r="CN82" s="110"/>
      <c r="CO82" s="25"/>
      <c r="CP82" s="25"/>
      <c r="CQ82" s="25"/>
      <c r="CR82" s="25"/>
      <c r="CS82" s="25"/>
      <c r="CT82" s="110"/>
      <c r="CU82" s="110"/>
      <c r="CV82" s="110"/>
      <c r="CW82" s="25"/>
      <c r="CX82" s="25" t="s">
        <v>223</v>
      </c>
      <c r="CY82" s="25" t="s">
        <v>223</v>
      </c>
      <c r="CZ82" s="25" t="s">
        <v>223</v>
      </c>
      <c r="DA82" s="110"/>
      <c r="DB82" s="110"/>
      <c r="DC82" s="25"/>
      <c r="DD82" s="25">
        <v>1</v>
      </c>
      <c r="DE82" s="25">
        <v>1</v>
      </c>
      <c r="DF82" s="25">
        <v>1</v>
      </c>
      <c r="DG82" s="25">
        <v>1</v>
      </c>
      <c r="DH82" s="110"/>
      <c r="DI82" s="110"/>
      <c r="DJ82" s="25" t="s">
        <v>223</v>
      </c>
      <c r="DK82" s="25" t="s">
        <v>223</v>
      </c>
      <c r="DL82" s="25" t="s">
        <v>223</v>
      </c>
      <c r="DM82" s="25" t="s">
        <v>223</v>
      </c>
      <c r="DN82" s="25" t="s">
        <v>223</v>
      </c>
      <c r="DO82" s="110"/>
      <c r="DP82" s="110"/>
      <c r="DQ82" s="25"/>
      <c r="DR82" s="25"/>
      <c r="DS82" s="25"/>
      <c r="DT82" s="25"/>
      <c r="DU82" s="110"/>
      <c r="DV82" s="110"/>
      <c r="DW82" s="110"/>
      <c r="DX82" s="25"/>
      <c r="DY82" s="25"/>
      <c r="DZ82" s="25">
        <v>1</v>
      </c>
      <c r="EA82" s="25"/>
      <c r="EB82" s="110" t="s">
        <v>445</v>
      </c>
      <c r="EC82" s="110"/>
      <c r="ED82" s="110"/>
      <c r="EE82" s="25"/>
      <c r="EF82" s="25"/>
      <c r="EG82" s="25"/>
      <c r="EH82" s="110" t="s">
        <v>445</v>
      </c>
      <c r="EI82" s="110" t="s">
        <v>445</v>
      </c>
      <c r="EJ82" s="110"/>
      <c r="EK82" s="110"/>
      <c r="EL82" s="25">
        <v>1</v>
      </c>
      <c r="EM82" s="25"/>
      <c r="EN82" s="25"/>
      <c r="EO82" s="25"/>
      <c r="EP82" s="25"/>
      <c r="EQ82" s="110"/>
      <c r="ER82" s="110"/>
      <c r="ES82" s="110" t="s">
        <v>445</v>
      </c>
      <c r="ET82" s="25"/>
      <c r="EU82" s="25"/>
      <c r="EV82" s="25"/>
      <c r="EW82" s="25"/>
      <c r="EX82" s="110"/>
      <c r="EY82" s="110"/>
      <c r="EZ82" s="25"/>
      <c r="FA82" s="25"/>
      <c r="FB82" s="25"/>
      <c r="FC82" s="25"/>
      <c r="FD82" s="25"/>
      <c r="FE82" s="110"/>
      <c r="FF82" s="110"/>
      <c r="FG82" s="25"/>
      <c r="FH82" s="25"/>
      <c r="FI82" s="25"/>
      <c r="FJ82" s="25"/>
      <c r="FK82" s="25"/>
      <c r="FL82" s="110"/>
      <c r="FM82" s="110"/>
      <c r="FN82" s="25"/>
      <c r="FO82" s="25"/>
      <c r="FP82" s="25"/>
      <c r="FQ82" s="25"/>
      <c r="FR82" s="25"/>
      <c r="FS82" s="110"/>
      <c r="FT82" s="110"/>
      <c r="FU82" s="25"/>
      <c r="FV82" s="25"/>
      <c r="FW82" s="25"/>
      <c r="FX82" s="25"/>
      <c r="FY82" s="25"/>
      <c r="FZ82" s="110"/>
      <c r="GA82" s="110"/>
      <c r="GB82" s="25"/>
      <c r="GC82" s="25"/>
      <c r="GD82" s="25"/>
      <c r="GE82" s="25"/>
      <c r="GF82" s="25"/>
      <c r="GG82" s="110"/>
      <c r="GH82" s="110"/>
      <c r="GI82" s="25"/>
      <c r="GJ82" s="25"/>
      <c r="GK82" s="25"/>
      <c r="GL82" s="25"/>
      <c r="GM82" s="25"/>
      <c r="GN82" s="110"/>
      <c r="GO82" s="110"/>
      <c r="GP82" s="110"/>
      <c r="GQ82" s="110" t="s">
        <v>445</v>
      </c>
      <c r="GR82" s="25"/>
      <c r="GS82" s="25"/>
      <c r="GT82" s="25"/>
      <c r="GU82" s="110"/>
      <c r="GV82" s="110"/>
      <c r="GW82" s="25"/>
      <c r="GX82" s="25"/>
      <c r="GY82" s="25"/>
      <c r="GZ82" s="25"/>
      <c r="HA82" s="25"/>
      <c r="HB82" s="110"/>
      <c r="HC82" s="110"/>
      <c r="HD82" s="25"/>
      <c r="HE82" s="25"/>
      <c r="HF82" s="25"/>
      <c r="HG82" s="25"/>
      <c r="HH82" s="25"/>
      <c r="HI82" s="110"/>
      <c r="HJ82" s="110"/>
      <c r="HK82" s="25"/>
      <c r="HL82" s="25"/>
      <c r="HM82" s="25"/>
      <c r="HN82" s="25"/>
      <c r="HO82" s="25"/>
      <c r="HP82" s="110"/>
      <c r="HQ82" s="110"/>
      <c r="HR82" s="25"/>
      <c r="HS82" s="25"/>
      <c r="HT82" s="25"/>
      <c r="HU82" s="25"/>
      <c r="HV82" s="25"/>
      <c r="HW82" s="110"/>
      <c r="HX82" s="110"/>
      <c r="HY82" s="25"/>
      <c r="HZ82" s="25"/>
      <c r="IA82" s="25"/>
      <c r="IB82" s="25"/>
      <c r="IC82" s="25"/>
      <c r="ID82" s="110"/>
      <c r="IE82" s="110"/>
      <c r="IF82" s="25"/>
      <c r="IG82" s="25"/>
      <c r="IH82" s="25"/>
      <c r="II82" s="25"/>
      <c r="IJ82" s="25"/>
      <c r="IK82" s="110"/>
      <c r="IL82" s="110"/>
      <c r="IM82" s="25"/>
      <c r="IN82" s="25"/>
      <c r="IO82" s="25"/>
      <c r="IP82" s="25"/>
      <c r="IQ82" s="25"/>
      <c r="IR82" s="110"/>
      <c r="IS82" s="110"/>
      <c r="IT82" s="25"/>
      <c r="IU82" s="25"/>
      <c r="IV82" s="25"/>
      <c r="IW82" s="25"/>
      <c r="IX82" s="25"/>
      <c r="IY82" s="110"/>
      <c r="IZ82" s="110"/>
      <c r="JA82" s="25"/>
      <c r="JB82" s="25"/>
      <c r="JC82" s="25"/>
      <c r="JD82" s="25"/>
      <c r="JE82" s="25"/>
      <c r="JF82" s="110"/>
      <c r="JG82" s="110"/>
      <c r="JH82" s="25"/>
      <c r="JI82" s="25"/>
      <c r="JJ82" s="25"/>
      <c r="JK82" s="25"/>
      <c r="JL82" s="25"/>
      <c r="JM82" s="110"/>
      <c r="JN82" s="110"/>
      <c r="JO82" s="25"/>
      <c r="JP82" s="25"/>
      <c r="JQ82" s="25"/>
      <c r="JR82" s="25"/>
      <c r="JS82" s="25"/>
      <c r="JT82" s="110"/>
      <c r="JU82" s="110"/>
      <c r="JV82" s="25"/>
      <c r="JW82" s="25"/>
      <c r="JX82" s="25"/>
      <c r="JY82" s="25"/>
      <c r="JZ82" s="25"/>
      <c r="KA82" s="110"/>
      <c r="KB82" s="110"/>
      <c r="KC82" s="25"/>
      <c r="KD82" s="25"/>
      <c r="KE82" s="25"/>
      <c r="KF82" s="25"/>
      <c r="KG82" s="25"/>
      <c r="KH82" s="110"/>
      <c r="KI82" s="110"/>
      <c r="KJ82" s="25"/>
      <c r="KK82" s="25"/>
      <c r="KL82" s="25"/>
      <c r="KM82" s="25"/>
      <c r="KN82" s="25"/>
      <c r="KO82" s="110"/>
      <c r="KP82" s="110"/>
      <c r="KQ82" s="25"/>
      <c r="KR82" s="25"/>
      <c r="KS82" s="25"/>
      <c r="KT82" s="25"/>
      <c r="KU82" s="25"/>
      <c r="KV82" s="110"/>
      <c r="KW82" s="110"/>
      <c r="KX82" s="25"/>
      <c r="KY82" s="25"/>
      <c r="KZ82" s="25"/>
      <c r="LA82" s="25"/>
      <c r="LB82" s="25"/>
      <c r="LC82" s="110"/>
      <c r="LD82" s="110"/>
      <c r="LE82" s="25"/>
      <c r="LF82" s="25"/>
      <c r="LG82" s="110" t="s">
        <v>445</v>
      </c>
      <c r="LH82" s="25"/>
      <c r="LI82" s="25"/>
      <c r="LJ82" s="110"/>
      <c r="LK82" s="110"/>
      <c r="LL82" s="25"/>
      <c r="LM82" s="25"/>
      <c r="LN82" s="25"/>
      <c r="LO82" s="25"/>
      <c r="LP82" s="25"/>
      <c r="LQ82" s="110"/>
      <c r="LR82" s="110"/>
      <c r="LS82" s="25"/>
      <c r="LT82" s="25"/>
      <c r="LU82" s="25"/>
      <c r="LV82" s="25"/>
      <c r="LW82" s="25"/>
      <c r="LX82" s="110"/>
      <c r="LY82" s="110"/>
      <c r="LZ82" s="25"/>
      <c r="MA82" s="25"/>
      <c r="MB82" s="25"/>
      <c r="MC82" s="25"/>
      <c r="MD82" s="25"/>
      <c r="ME82" s="110"/>
      <c r="MF82" s="110"/>
      <c r="MG82" s="25"/>
      <c r="MH82" s="25"/>
      <c r="MI82" s="25"/>
      <c r="MJ82" s="25"/>
      <c r="MK82" s="25"/>
      <c r="ML82" s="110"/>
      <c r="MM82" s="110"/>
      <c r="MN82" s="25"/>
      <c r="MO82" s="25"/>
      <c r="MP82" s="25"/>
      <c r="MQ82" s="25"/>
      <c r="MR82" s="25"/>
      <c r="MS82" s="110"/>
      <c r="MT82" s="110"/>
      <c r="MU82" s="25"/>
      <c r="MV82" s="25"/>
      <c r="MW82" s="25"/>
      <c r="MX82" s="25"/>
      <c r="MY82" s="25"/>
      <c r="MZ82" s="110"/>
      <c r="NA82" s="110"/>
      <c r="NB82" s="25"/>
      <c r="NC82" s="25"/>
      <c r="ND82" s="25"/>
      <c r="NE82" s="129"/>
      <c r="NF82" s="111"/>
      <c r="NG82" s="8">
        <f t="shared" si="54"/>
        <v>11</v>
      </c>
      <c r="NH82" s="32" cm="1">
        <f t="array" ref="NH82">NETWORKDAYS($I$2,$AI$2)- SUM(COUNTIF(I82:AI82,{"I";"F";"CP";"R";"P";"AC";"AM"}))</f>
        <v>18</v>
      </c>
      <c r="NI82" s="138">
        <f t="shared" si="55"/>
        <v>0.61111111111111116</v>
      </c>
      <c r="NJ82" s="8">
        <f t="shared" si="56"/>
        <v>16</v>
      </c>
      <c r="NK82" s="32" cm="1">
        <f t="array" ref="NK82">NETWORKDAYS($AJ$2,$BK$2)- SUM(COUNTIF(AJ82:BK82,{"I";"F";"CP";"R";"P";"AC";"AM"}))</f>
        <v>20</v>
      </c>
      <c r="NL82" s="138">
        <f t="shared" si="57"/>
        <v>0.8</v>
      </c>
      <c r="NM82" s="8">
        <f t="shared" si="58"/>
        <v>14</v>
      </c>
      <c r="NN82" s="32" cm="1">
        <f t="array" ref="NN82">NETWORKDAYS($BL$2,$CP$2)- SUM(COUNTIF(BL82:CP82,{"I";"F";"CP";"R";"P";"AC";"AM"}))</f>
        <v>22</v>
      </c>
      <c r="NO82" s="138">
        <f t="shared" si="59"/>
        <v>0.63636363636363635</v>
      </c>
      <c r="NP82" s="8">
        <f t="shared" si="53"/>
        <v>4</v>
      </c>
      <c r="NQ82" s="32" cm="1">
        <f t="array" ref="NQ82">NETWORKDAYS($CQ$2,$DT$2,$CV$2)- SUM(COUNTIF(CQ82:DT82,{"I";"F";"CP";"R";"P";"AC";"AM"}))</f>
        <v>13</v>
      </c>
      <c r="NR82" s="138">
        <f t="shared" si="60"/>
        <v>0.30769230769230771</v>
      </c>
      <c r="NS82" s="8">
        <f t="shared" si="61"/>
        <v>2</v>
      </c>
      <c r="NT82" s="32" cm="1">
        <f t="array" ref="NT82">NETWORKDAYS($DV$2,$EY$2)-SUM(COUNTIF(DV82:EY82,{"I";"F";"CP";"R";"P";"AC";"AM"}))</f>
        <v>16</v>
      </c>
      <c r="NU82" s="138">
        <f t="shared" si="62"/>
        <v>0.125</v>
      </c>
      <c r="NV82" s="8">
        <f t="shared" si="63"/>
        <v>0</v>
      </c>
      <c r="NW82" s="32" cm="1">
        <f t="array" ref="NW82">NETWORKDAYS($EZ$2,$GC$2)-SUM(COUNTIF(EZ162:GC162,{"I";"F";"CP";"R";"P";"AC";"AM"}))</f>
        <v>22</v>
      </c>
      <c r="NX82" s="138">
        <f t="shared" si="64"/>
        <v>0</v>
      </c>
      <c r="NY82" s="8">
        <f t="shared" si="65"/>
        <v>0</v>
      </c>
      <c r="NZ82" s="32" cm="1">
        <f t="array" ref="NZ82">NETWORKDAYS($GD$2,$HH$2,$GQ$2)-SUM(COUNTIF(GD82:HH82,{"I";"F";"CP";"R";"P";"AC";"AM"}))</f>
        <v>21</v>
      </c>
      <c r="OA82" s="138">
        <f t="shared" si="66"/>
        <v>0</v>
      </c>
      <c r="OB82" s="8">
        <f t="shared" si="67"/>
        <v>0</v>
      </c>
      <c r="OC82" s="32" cm="1">
        <f t="array" ref="OC82">NETWORKDAYS($HI$2,$IM$2)-SUM(COUNTIF(HI82:IM82,{"I";"F";"CP";"R";"P";"AC";"AM"}))</f>
        <v>21</v>
      </c>
      <c r="OD82" s="138">
        <f t="shared" si="68"/>
        <v>0</v>
      </c>
      <c r="OE82" s="8">
        <f t="shared" si="69"/>
        <v>0</v>
      </c>
      <c r="OF82" s="32" cm="1">
        <f t="array" ref="OF82">NETWORKDAYS($IN$2,$JQ$2)-SUM(COUNTIF(IN82:JQ82,{"I";"F";"CP";"R";"P";"AC";"AM"}))</f>
        <v>22</v>
      </c>
      <c r="OG82" s="138">
        <f t="shared" si="70"/>
        <v>0</v>
      </c>
      <c r="OH82" s="8">
        <f t="shared" si="71"/>
        <v>0</v>
      </c>
      <c r="OI82" s="32" cm="1">
        <f t="array" ref="OI82">NETWORKDAYS($JR$2,$KV$2)-SUM(COUNTIF(JR82:KV82,{"I";"F";"CP";"R";"P";"AC";"AM"}))</f>
        <v>22</v>
      </c>
      <c r="OJ82" s="138">
        <f t="shared" si="72"/>
        <v>0</v>
      </c>
      <c r="OK82" s="8">
        <f t="shared" si="73"/>
        <v>0</v>
      </c>
      <c r="OL82" s="32" cm="1">
        <f t="array" ref="OL82">NETWORKDAYS($KW$2,$LZ$2,$LG$2)-SUM(COUNTIF(KW82:LZ82,{"I";"F";"CP";"R";"P";"AC";"AM"}))</f>
        <v>19</v>
      </c>
      <c r="OM82" s="138">
        <f t="shared" si="74"/>
        <v>0</v>
      </c>
      <c r="ON82" s="8">
        <f t="shared" si="75"/>
        <v>0</v>
      </c>
      <c r="OO82" s="32" cm="1">
        <f t="array" ref="OO82">NETWORKDAYS($MA$2,$MR$2)-SUM(COUNTIF(MA82:MR82,{"I";"F";"CP";"R";"P";"AC";"AM"}))</f>
        <v>14</v>
      </c>
      <c r="OP82" s="138">
        <f t="shared" si="76"/>
        <v>0</v>
      </c>
      <c r="OQ82" s="94">
        <f t="shared" si="77"/>
        <v>47</v>
      </c>
      <c r="OR82" s="94">
        <f t="shared" si="78"/>
        <v>230</v>
      </c>
      <c r="OS82" s="138">
        <f t="shared" si="79"/>
        <v>0.20434782608695654</v>
      </c>
    </row>
    <row r="83" spans="1:409" ht="18" hidden="1" customHeight="1" x14ac:dyDescent="0.25">
      <c r="A83" s="95" t="s">
        <v>168</v>
      </c>
      <c r="B83" s="95" t="s">
        <v>168</v>
      </c>
      <c r="C83" s="89" t="s">
        <v>166</v>
      </c>
      <c r="D83" s="89" t="s">
        <v>266</v>
      </c>
      <c r="E83" s="128"/>
      <c r="F83" s="110"/>
      <c r="G83" s="110"/>
      <c r="H83" s="110"/>
      <c r="I83" s="25"/>
      <c r="J83" s="25"/>
      <c r="K83" s="25"/>
      <c r="L83" s="25"/>
      <c r="M83" s="25"/>
      <c r="N83" s="110"/>
      <c r="O83" s="110"/>
      <c r="P83" s="25"/>
      <c r="Q83" s="25"/>
      <c r="R83" s="25"/>
      <c r="S83" s="25"/>
      <c r="T83" s="25"/>
      <c r="U83" s="110"/>
      <c r="V83" s="110"/>
      <c r="W83" s="25"/>
      <c r="X83" s="25"/>
      <c r="Y83" s="25"/>
      <c r="Z83" s="25"/>
      <c r="AA83" s="25"/>
      <c r="AB83" s="110"/>
      <c r="AC83" s="110"/>
      <c r="AD83" s="25"/>
      <c r="AE83" s="25"/>
      <c r="AF83" s="25"/>
      <c r="AG83" s="25"/>
      <c r="AH83" s="25"/>
      <c r="AI83" s="110"/>
      <c r="AJ83" s="110"/>
      <c r="AK83" s="25"/>
      <c r="AL83" s="25"/>
      <c r="AM83" s="25"/>
      <c r="AN83" s="25"/>
      <c r="AO83" s="25"/>
      <c r="AP83" s="110"/>
      <c r="AQ83" s="110"/>
      <c r="AR83" s="25"/>
      <c r="AS83" s="25"/>
      <c r="AT83" s="25"/>
      <c r="AU83" s="25"/>
      <c r="AV83" s="25"/>
      <c r="AW83" s="110"/>
      <c r="AX83" s="110"/>
      <c r="AY83" s="25"/>
      <c r="AZ83" s="25"/>
      <c r="BA83" s="25"/>
      <c r="BB83" s="25"/>
      <c r="BC83" s="25"/>
      <c r="BD83" s="110"/>
      <c r="BE83" s="110"/>
      <c r="BF83" s="25"/>
      <c r="BG83" s="25"/>
      <c r="BH83" s="25"/>
      <c r="BI83" s="25"/>
      <c r="BJ83" s="25"/>
      <c r="BK83" s="110"/>
      <c r="BL83" s="110"/>
      <c r="BM83" s="25"/>
      <c r="BN83" s="25"/>
      <c r="BO83" s="25"/>
      <c r="BP83" s="25"/>
      <c r="BQ83" s="25"/>
      <c r="BR83" s="110"/>
      <c r="BS83" s="110"/>
      <c r="BT83" s="25"/>
      <c r="BU83" s="25"/>
      <c r="BV83" s="25"/>
      <c r="BW83" s="25"/>
      <c r="BX83" s="25"/>
      <c r="BY83" s="110"/>
      <c r="BZ83" s="110"/>
      <c r="CA83" s="25"/>
      <c r="CB83" s="25"/>
      <c r="CC83" s="25"/>
      <c r="CD83" s="25"/>
      <c r="CE83" s="25"/>
      <c r="CF83" s="110"/>
      <c r="CG83" s="110"/>
      <c r="CH83" s="25"/>
      <c r="CI83" s="25"/>
      <c r="CJ83" s="25"/>
      <c r="CK83" s="25"/>
      <c r="CL83" s="25"/>
      <c r="CM83" s="110"/>
      <c r="CN83" s="110"/>
      <c r="CO83" s="25"/>
      <c r="CP83" s="25"/>
      <c r="CQ83" s="25"/>
      <c r="CR83" s="25"/>
      <c r="CS83" s="25"/>
      <c r="CT83" s="110"/>
      <c r="CU83" s="110"/>
      <c r="CV83" s="110"/>
      <c r="CW83" s="25"/>
      <c r="CX83" s="25"/>
      <c r="CY83" s="25"/>
      <c r="CZ83" s="25"/>
      <c r="DA83" s="110"/>
      <c r="DB83" s="110"/>
      <c r="DC83" s="25"/>
      <c r="DD83" s="25"/>
      <c r="DE83" s="25"/>
      <c r="DF83" s="25"/>
      <c r="DG83" s="25"/>
      <c r="DH83" s="110"/>
      <c r="DI83" s="110"/>
      <c r="DJ83" s="25"/>
      <c r="DK83" s="25"/>
      <c r="DL83" s="25"/>
      <c r="DM83" s="25"/>
      <c r="DN83" s="25"/>
      <c r="DO83" s="110"/>
      <c r="DP83" s="110"/>
      <c r="DQ83" s="25"/>
      <c r="DR83" s="25"/>
      <c r="DS83" s="25"/>
      <c r="DT83" s="25"/>
      <c r="DU83" s="110"/>
      <c r="DV83" s="110"/>
      <c r="DW83" s="110"/>
      <c r="DX83" s="25"/>
      <c r="DY83" s="25"/>
      <c r="DZ83" s="25"/>
      <c r="EA83" s="25"/>
      <c r="EB83" s="110" t="s">
        <v>445</v>
      </c>
      <c r="EC83" s="110"/>
      <c r="ED83" s="110"/>
      <c r="EE83" s="25"/>
      <c r="EF83" s="25"/>
      <c r="EG83" s="25"/>
      <c r="EH83" s="110" t="s">
        <v>445</v>
      </c>
      <c r="EI83" s="110" t="s">
        <v>445</v>
      </c>
      <c r="EJ83" s="110"/>
      <c r="EK83" s="110"/>
      <c r="EL83" s="25"/>
      <c r="EM83" s="25"/>
      <c r="EN83" s="25"/>
      <c r="EO83" s="25"/>
      <c r="EP83" s="25"/>
      <c r="EQ83" s="110"/>
      <c r="ER83" s="110"/>
      <c r="ES83" s="110" t="s">
        <v>445</v>
      </c>
      <c r="ET83" s="25"/>
      <c r="EU83" s="25"/>
      <c r="EV83" s="25"/>
      <c r="EW83" s="25"/>
      <c r="EX83" s="110"/>
      <c r="EY83" s="110"/>
      <c r="EZ83" s="25"/>
      <c r="FA83" s="25"/>
      <c r="FB83" s="25"/>
      <c r="FC83" s="25"/>
      <c r="FD83" s="25"/>
      <c r="FE83" s="110"/>
      <c r="FF83" s="110"/>
      <c r="FG83" s="25"/>
      <c r="FH83" s="25"/>
      <c r="FI83" s="25"/>
      <c r="FJ83" s="25"/>
      <c r="FK83" s="25"/>
      <c r="FL83" s="110"/>
      <c r="FM83" s="110"/>
      <c r="FN83" s="25"/>
      <c r="FO83" s="25"/>
      <c r="FP83" s="25"/>
      <c r="FQ83" s="25"/>
      <c r="FR83" s="25"/>
      <c r="FS83" s="110"/>
      <c r="FT83" s="110"/>
      <c r="FU83" s="25"/>
      <c r="FV83" s="25"/>
      <c r="FW83" s="25"/>
      <c r="FX83" s="25"/>
      <c r="FY83" s="25"/>
      <c r="FZ83" s="110"/>
      <c r="GA83" s="110"/>
      <c r="GB83" s="25"/>
      <c r="GC83" s="25"/>
      <c r="GD83" s="25"/>
      <c r="GE83" s="25"/>
      <c r="GF83" s="25"/>
      <c r="GG83" s="110"/>
      <c r="GH83" s="110"/>
      <c r="GI83" s="25"/>
      <c r="GJ83" s="25"/>
      <c r="GK83" s="25"/>
      <c r="GL83" s="25"/>
      <c r="GM83" s="25"/>
      <c r="GN83" s="110"/>
      <c r="GO83" s="110"/>
      <c r="GP83" s="110"/>
      <c r="GQ83" s="110" t="s">
        <v>445</v>
      </c>
      <c r="GR83" s="25"/>
      <c r="GS83" s="25"/>
      <c r="GT83" s="25"/>
      <c r="GU83" s="110"/>
      <c r="GV83" s="110"/>
      <c r="GW83" s="25"/>
      <c r="GX83" s="25"/>
      <c r="GY83" s="25"/>
      <c r="GZ83" s="25"/>
      <c r="HA83" s="25"/>
      <c r="HB83" s="110"/>
      <c r="HC83" s="110"/>
      <c r="HD83" s="25"/>
      <c r="HE83" s="25"/>
      <c r="HF83" s="25"/>
      <c r="HG83" s="25"/>
      <c r="HH83" s="25"/>
      <c r="HI83" s="110"/>
      <c r="HJ83" s="110"/>
      <c r="HK83" s="25"/>
      <c r="HL83" s="25"/>
      <c r="HM83" s="25"/>
      <c r="HN83" s="25"/>
      <c r="HO83" s="25"/>
      <c r="HP83" s="110"/>
      <c r="HQ83" s="110"/>
      <c r="HR83" s="25"/>
      <c r="HS83" s="25"/>
      <c r="HT83" s="25"/>
      <c r="HU83" s="25"/>
      <c r="HV83" s="25"/>
      <c r="HW83" s="110"/>
      <c r="HX83" s="110"/>
      <c r="HY83" s="25"/>
      <c r="HZ83" s="25"/>
      <c r="IA83" s="25"/>
      <c r="IB83" s="25"/>
      <c r="IC83" s="25"/>
      <c r="ID83" s="110"/>
      <c r="IE83" s="110"/>
      <c r="IF83" s="25"/>
      <c r="IG83" s="25"/>
      <c r="IH83" s="25"/>
      <c r="II83" s="25"/>
      <c r="IJ83" s="25"/>
      <c r="IK83" s="110"/>
      <c r="IL83" s="110"/>
      <c r="IM83" s="25"/>
      <c r="IN83" s="25"/>
      <c r="IO83" s="25"/>
      <c r="IP83" s="25"/>
      <c r="IQ83" s="25"/>
      <c r="IR83" s="110"/>
      <c r="IS83" s="110"/>
      <c r="IT83" s="25"/>
      <c r="IU83" s="25"/>
      <c r="IV83" s="25"/>
      <c r="IW83" s="25"/>
      <c r="IX83" s="25"/>
      <c r="IY83" s="110"/>
      <c r="IZ83" s="110"/>
      <c r="JA83" s="25"/>
      <c r="JB83" s="25"/>
      <c r="JC83" s="25"/>
      <c r="JD83" s="25"/>
      <c r="JE83" s="25"/>
      <c r="JF83" s="110"/>
      <c r="JG83" s="110"/>
      <c r="JH83" s="25"/>
      <c r="JI83" s="25"/>
      <c r="JJ83" s="25"/>
      <c r="JK83" s="25"/>
      <c r="JL83" s="25"/>
      <c r="JM83" s="110"/>
      <c r="JN83" s="110"/>
      <c r="JO83" s="25"/>
      <c r="JP83" s="25"/>
      <c r="JQ83" s="25"/>
      <c r="JR83" s="25"/>
      <c r="JS83" s="25"/>
      <c r="JT83" s="110"/>
      <c r="JU83" s="110"/>
      <c r="JV83" s="25"/>
      <c r="JW83" s="25"/>
      <c r="JX83" s="25"/>
      <c r="JY83" s="25"/>
      <c r="JZ83" s="25"/>
      <c r="KA83" s="110"/>
      <c r="KB83" s="110"/>
      <c r="KC83" s="25"/>
      <c r="KD83" s="25"/>
      <c r="KE83" s="25"/>
      <c r="KF83" s="25"/>
      <c r="KG83" s="25"/>
      <c r="KH83" s="110"/>
      <c r="KI83" s="110"/>
      <c r="KJ83" s="25"/>
      <c r="KK83" s="25"/>
      <c r="KL83" s="25"/>
      <c r="KM83" s="25"/>
      <c r="KN83" s="25"/>
      <c r="KO83" s="110"/>
      <c r="KP83" s="110"/>
      <c r="KQ83" s="25"/>
      <c r="KR83" s="25"/>
      <c r="KS83" s="25"/>
      <c r="KT83" s="25"/>
      <c r="KU83" s="25"/>
      <c r="KV83" s="110"/>
      <c r="KW83" s="110"/>
      <c r="KX83" s="25"/>
      <c r="KY83" s="25"/>
      <c r="KZ83" s="25"/>
      <c r="LA83" s="25"/>
      <c r="LB83" s="25"/>
      <c r="LC83" s="110"/>
      <c r="LD83" s="110"/>
      <c r="LE83" s="25"/>
      <c r="LF83" s="25"/>
      <c r="LG83" s="110" t="s">
        <v>445</v>
      </c>
      <c r="LH83" s="25"/>
      <c r="LI83" s="25"/>
      <c r="LJ83" s="110"/>
      <c r="LK83" s="110"/>
      <c r="LL83" s="25"/>
      <c r="LM83" s="25"/>
      <c r="LN83" s="25"/>
      <c r="LO83" s="25"/>
      <c r="LP83" s="25"/>
      <c r="LQ83" s="110"/>
      <c r="LR83" s="110"/>
      <c r="LS83" s="25"/>
      <c r="LT83" s="25"/>
      <c r="LU83" s="25"/>
      <c r="LV83" s="25"/>
      <c r="LW83" s="25"/>
      <c r="LX83" s="110"/>
      <c r="LY83" s="110"/>
      <c r="LZ83" s="25"/>
      <c r="MA83" s="25"/>
      <c r="MB83" s="25"/>
      <c r="MC83" s="25"/>
      <c r="MD83" s="25"/>
      <c r="ME83" s="110"/>
      <c r="MF83" s="110"/>
      <c r="MG83" s="25"/>
      <c r="MH83" s="25"/>
      <c r="MI83" s="25"/>
      <c r="MJ83" s="25"/>
      <c r="MK83" s="25"/>
      <c r="ML83" s="110"/>
      <c r="MM83" s="110"/>
      <c r="MN83" s="25"/>
      <c r="MO83" s="25"/>
      <c r="MP83" s="25"/>
      <c r="MQ83" s="25"/>
      <c r="MR83" s="25"/>
      <c r="MS83" s="110"/>
      <c r="MT83" s="110"/>
      <c r="MU83" s="25"/>
      <c r="MV83" s="25"/>
      <c r="MW83" s="25"/>
      <c r="MX83" s="25"/>
      <c r="MY83" s="25"/>
      <c r="MZ83" s="110"/>
      <c r="NA83" s="110"/>
      <c r="NB83" s="25"/>
      <c r="NC83" s="25"/>
      <c r="ND83" s="25"/>
      <c r="NE83" s="129"/>
      <c r="NF83" s="111"/>
      <c r="NG83" s="8">
        <f t="shared" si="54"/>
        <v>0</v>
      </c>
      <c r="NH83" s="32" cm="1">
        <f t="array" ref="NH83">NETWORKDAYS($I$2,$AI$2)- SUM(COUNTIF(I83:AI83,{"I";"F";"CP";"R";"P";"AC";"AM"}))</f>
        <v>20</v>
      </c>
      <c r="NI83" s="138">
        <f t="shared" si="55"/>
        <v>0</v>
      </c>
      <c r="NJ83" s="8">
        <f t="shared" si="56"/>
        <v>0</v>
      </c>
      <c r="NK83" s="32" cm="1">
        <f t="array" ref="NK83">NETWORKDAYS($AJ$2,$BK$2)- SUM(COUNTIF(AJ83:BK83,{"I";"F";"CP";"R";"P";"AC";"AM"}))</f>
        <v>20</v>
      </c>
      <c r="NL83" s="138">
        <f t="shared" si="57"/>
        <v>0</v>
      </c>
      <c r="NM83" s="8">
        <f t="shared" si="58"/>
        <v>0</v>
      </c>
      <c r="NN83" s="32" cm="1">
        <f t="array" ref="NN83">NETWORKDAYS($BL$2,$CP$2)- SUM(COUNTIF(BL83:CP83,{"I";"F";"CP";"R";"P";"AC";"AM"}))</f>
        <v>22</v>
      </c>
      <c r="NO83" s="138">
        <f t="shared" si="59"/>
        <v>0</v>
      </c>
      <c r="NP83" s="32">
        <f t="shared" si="53"/>
        <v>0</v>
      </c>
      <c r="NQ83" s="32" cm="1">
        <f t="array" ref="NQ83">NETWORKDAYS($CQ$2,$DT$2,$CV$2)- SUM(COUNTIF(CQ83:DT83,{"I";"F";"CP";"R";"P";"AC";"AM"}))</f>
        <v>21</v>
      </c>
      <c r="NR83" s="138">
        <f t="shared" si="60"/>
        <v>0</v>
      </c>
      <c r="NS83" s="8">
        <f t="shared" si="61"/>
        <v>0</v>
      </c>
      <c r="NT83" s="32" cm="1">
        <f t="array" ref="NT83">NETWORKDAYS($DV$2,$EY$2)-SUM(COUNTIF(DV83:EY83,{"I";"F";"CP";"R";"P";"AC";"AM"}))</f>
        <v>16</v>
      </c>
      <c r="NU83" s="138">
        <f t="shared" si="62"/>
        <v>0</v>
      </c>
      <c r="NV83" s="8">
        <f t="shared" si="63"/>
        <v>0</v>
      </c>
      <c r="NW83" s="32" cm="1">
        <f t="array" ref="NW83">NETWORKDAYS($EZ$2,$GC$2)-SUM(COUNTIF(EZ163:GC163,{"I";"F";"CP";"R";"P";"AC";"AM"}))</f>
        <v>22</v>
      </c>
      <c r="NX83" s="138">
        <f t="shared" si="64"/>
        <v>0</v>
      </c>
      <c r="NY83" s="8">
        <f t="shared" si="65"/>
        <v>0</v>
      </c>
      <c r="NZ83" s="32" cm="1">
        <f t="array" ref="NZ83">NETWORKDAYS($GD$2,$HH$2,$GQ$2)-SUM(COUNTIF(GD83:HH83,{"I";"F";"CP";"R";"P";"AC";"AM"}))</f>
        <v>21</v>
      </c>
      <c r="OA83" s="138">
        <f t="shared" si="66"/>
        <v>0</v>
      </c>
      <c r="OB83" s="8">
        <f t="shared" si="67"/>
        <v>0</v>
      </c>
      <c r="OC83" s="32" cm="1">
        <f t="array" ref="OC83">NETWORKDAYS($HI$2,$IM$2)-SUM(COUNTIF(HI83:IM83,{"I";"F";"CP";"R";"P";"AC";"AM"}))</f>
        <v>21</v>
      </c>
      <c r="OD83" s="138">
        <f t="shared" si="68"/>
        <v>0</v>
      </c>
      <c r="OE83" s="8">
        <f t="shared" si="69"/>
        <v>0</v>
      </c>
      <c r="OF83" s="32" cm="1">
        <f t="array" ref="OF83">NETWORKDAYS($IN$2,$JQ$2)-SUM(COUNTIF(IN83:JQ83,{"I";"F";"CP";"R";"P";"AC";"AM"}))</f>
        <v>22</v>
      </c>
      <c r="OG83" s="138">
        <f t="shared" si="70"/>
        <v>0</v>
      </c>
      <c r="OH83" s="8">
        <f t="shared" si="71"/>
        <v>0</v>
      </c>
      <c r="OI83" s="32" cm="1">
        <f t="array" ref="OI83">NETWORKDAYS($JR$2,$KV$2)-SUM(COUNTIF(JR83:KV83,{"I";"F";"CP";"R";"P";"AC";"AM"}))</f>
        <v>22</v>
      </c>
      <c r="OJ83" s="138">
        <f t="shared" si="72"/>
        <v>0</v>
      </c>
      <c r="OK83" s="8">
        <f t="shared" si="73"/>
        <v>0</v>
      </c>
      <c r="OL83" s="32" cm="1">
        <f t="array" ref="OL83">NETWORKDAYS($KW$2,$LZ$2,$LG$2)-SUM(COUNTIF(KW83:LZ83,{"I";"F";"CP";"R";"P";"AC";"AM"}))</f>
        <v>19</v>
      </c>
      <c r="OM83" s="138">
        <f t="shared" si="74"/>
        <v>0</v>
      </c>
      <c r="ON83" s="8">
        <f t="shared" si="75"/>
        <v>0</v>
      </c>
      <c r="OO83" s="32" cm="1">
        <f t="array" ref="OO83">NETWORKDAYS($MA$2,$MR$2)-SUM(COUNTIF(MA83:MR83,{"I";"F";"CP";"R";"P";"AC";"AM"}))</f>
        <v>14</v>
      </c>
      <c r="OP83" s="138">
        <f t="shared" si="76"/>
        <v>0</v>
      </c>
      <c r="OQ83" s="94">
        <f t="shared" si="77"/>
        <v>0</v>
      </c>
      <c r="OR83" s="94">
        <f t="shared" si="78"/>
        <v>240</v>
      </c>
      <c r="OS83" s="138">
        <f t="shared" si="79"/>
        <v>0</v>
      </c>
    </row>
    <row r="84" spans="1:409" ht="18" customHeight="1" x14ac:dyDescent="0.25">
      <c r="A84" s="97" t="s">
        <v>178</v>
      </c>
      <c r="B84" s="95" t="s">
        <v>71</v>
      </c>
      <c r="C84" s="89" t="s">
        <v>166</v>
      </c>
      <c r="D84" s="108" t="s">
        <v>267</v>
      </c>
      <c r="E84" s="128"/>
      <c r="F84" s="110"/>
      <c r="G84" s="110"/>
      <c r="H84" s="110"/>
      <c r="I84" s="25" t="s">
        <v>248</v>
      </c>
      <c r="J84" s="25" t="s">
        <v>248</v>
      </c>
      <c r="K84" s="25" t="s">
        <v>248</v>
      </c>
      <c r="L84" s="25" t="s">
        <v>248</v>
      </c>
      <c r="M84" s="25" t="s">
        <v>248</v>
      </c>
      <c r="N84" s="110"/>
      <c r="O84" s="110"/>
      <c r="P84" s="25"/>
      <c r="Q84" s="25"/>
      <c r="R84" s="25"/>
      <c r="S84" s="25"/>
      <c r="T84" s="25"/>
      <c r="U84" s="110"/>
      <c r="V84" s="110"/>
      <c r="W84" s="25"/>
      <c r="X84" s="25"/>
      <c r="Y84" s="25"/>
      <c r="Z84" s="25"/>
      <c r="AA84" s="25"/>
      <c r="AB84" s="110"/>
      <c r="AC84" s="110"/>
      <c r="AD84" s="25"/>
      <c r="AE84" s="25"/>
      <c r="AF84" s="25"/>
      <c r="AG84" s="25"/>
      <c r="AH84" s="25"/>
      <c r="AI84" s="110"/>
      <c r="AJ84" s="110"/>
      <c r="AK84" s="25"/>
      <c r="AL84" s="25"/>
      <c r="AM84" s="25"/>
      <c r="AN84" s="25"/>
      <c r="AO84" s="25"/>
      <c r="AP84" s="110"/>
      <c r="AQ84" s="110"/>
      <c r="AR84" s="25"/>
      <c r="AS84" s="25"/>
      <c r="AT84" s="25"/>
      <c r="AU84" s="25"/>
      <c r="AV84" s="25"/>
      <c r="AW84" s="110"/>
      <c r="AX84" s="110"/>
      <c r="AY84" s="25"/>
      <c r="AZ84" s="25"/>
      <c r="BA84" s="25"/>
      <c r="BB84" s="25"/>
      <c r="BC84" s="25"/>
      <c r="BD84" s="110"/>
      <c r="BE84" s="110"/>
      <c r="BF84" s="25"/>
      <c r="BG84" s="25"/>
      <c r="BH84" s="25"/>
      <c r="BI84" s="25"/>
      <c r="BJ84" s="25"/>
      <c r="BK84" s="110"/>
      <c r="BL84" s="110"/>
      <c r="BM84" s="25"/>
      <c r="BN84" s="25"/>
      <c r="BO84" s="25"/>
      <c r="BP84" s="25"/>
      <c r="BQ84" s="25"/>
      <c r="BR84" s="110"/>
      <c r="BS84" s="110"/>
      <c r="BT84" s="25"/>
      <c r="BU84" s="25"/>
      <c r="BV84" s="25"/>
      <c r="BW84" s="25"/>
      <c r="BX84" s="25"/>
      <c r="BY84" s="110"/>
      <c r="BZ84" s="110"/>
      <c r="CA84" s="25"/>
      <c r="CB84" s="25"/>
      <c r="CC84" s="25"/>
      <c r="CD84" s="25"/>
      <c r="CE84" s="25"/>
      <c r="CF84" s="110"/>
      <c r="CG84" s="110"/>
      <c r="CH84" s="25"/>
      <c r="CI84" s="25"/>
      <c r="CJ84" s="25"/>
      <c r="CK84" s="25"/>
      <c r="CL84" s="25"/>
      <c r="CM84" s="110"/>
      <c r="CN84" s="110"/>
      <c r="CO84" s="25"/>
      <c r="CP84" s="25"/>
      <c r="CQ84" s="25"/>
      <c r="CR84" s="25"/>
      <c r="CS84" s="25"/>
      <c r="CT84" s="110"/>
      <c r="CU84" s="110"/>
      <c r="CV84" s="110"/>
      <c r="CW84" s="25"/>
      <c r="CX84" s="25"/>
      <c r="CY84" s="25"/>
      <c r="CZ84" s="25"/>
      <c r="DA84" s="110"/>
      <c r="DB84" s="110"/>
      <c r="DC84" s="25" t="s">
        <v>223</v>
      </c>
      <c r="DD84" s="25" t="s">
        <v>223</v>
      </c>
      <c r="DE84" s="25" t="s">
        <v>223</v>
      </c>
      <c r="DF84" s="25" t="s">
        <v>223</v>
      </c>
      <c r="DG84" s="25" t="s">
        <v>223</v>
      </c>
      <c r="DH84" s="110"/>
      <c r="DI84" s="110"/>
      <c r="DJ84" s="25"/>
      <c r="DK84" s="25"/>
      <c r="DL84" s="25"/>
      <c r="DM84" s="25"/>
      <c r="DN84" s="25"/>
      <c r="DO84" s="110"/>
      <c r="DP84" s="110"/>
      <c r="DQ84" s="25"/>
      <c r="DR84" s="25"/>
      <c r="DS84" s="25"/>
      <c r="DT84" s="25"/>
      <c r="DU84" s="110"/>
      <c r="DV84" s="110"/>
      <c r="DW84" s="110"/>
      <c r="DX84" s="25"/>
      <c r="DY84" s="25"/>
      <c r="DZ84" s="25"/>
      <c r="EA84" s="25"/>
      <c r="EB84" s="110" t="s">
        <v>445</v>
      </c>
      <c r="EC84" s="110"/>
      <c r="ED84" s="110"/>
      <c r="EE84" s="25"/>
      <c r="EF84" s="25"/>
      <c r="EG84" s="25"/>
      <c r="EH84" s="110" t="s">
        <v>445</v>
      </c>
      <c r="EI84" s="110" t="s">
        <v>445</v>
      </c>
      <c r="EJ84" s="110"/>
      <c r="EK84" s="110"/>
      <c r="EL84" s="25"/>
      <c r="EM84" s="25"/>
      <c r="EN84" s="25"/>
      <c r="EO84" s="25"/>
      <c r="EP84" s="25"/>
      <c r="EQ84" s="110"/>
      <c r="ER84" s="110"/>
      <c r="ES84" s="110" t="s">
        <v>445</v>
      </c>
      <c r="ET84" s="25"/>
      <c r="EU84" s="25"/>
      <c r="EV84" s="25"/>
      <c r="EW84" s="25"/>
      <c r="EX84" s="110"/>
      <c r="EY84" s="110"/>
      <c r="EZ84" s="25"/>
      <c r="FA84" s="25"/>
      <c r="FB84" s="25"/>
      <c r="FC84" s="25"/>
      <c r="FD84" s="25"/>
      <c r="FE84" s="110"/>
      <c r="FF84" s="110"/>
      <c r="FG84" s="25"/>
      <c r="FH84" s="25"/>
      <c r="FI84" s="25"/>
      <c r="FJ84" s="25"/>
      <c r="FK84" s="25"/>
      <c r="FL84" s="110"/>
      <c r="FM84" s="110"/>
      <c r="FN84" s="25"/>
      <c r="FO84" s="25"/>
      <c r="FP84" s="25"/>
      <c r="FQ84" s="25"/>
      <c r="FR84" s="25"/>
      <c r="FS84" s="110"/>
      <c r="FT84" s="110"/>
      <c r="FU84" s="25"/>
      <c r="FV84" s="25"/>
      <c r="FW84" s="25"/>
      <c r="FX84" s="25"/>
      <c r="FY84" s="25"/>
      <c r="FZ84" s="110"/>
      <c r="GA84" s="110"/>
      <c r="GB84" s="25"/>
      <c r="GC84" s="25"/>
      <c r="GD84" s="25"/>
      <c r="GE84" s="25"/>
      <c r="GF84" s="25"/>
      <c r="GG84" s="110"/>
      <c r="GH84" s="110"/>
      <c r="GI84" s="25"/>
      <c r="GJ84" s="25"/>
      <c r="GK84" s="25"/>
      <c r="GL84" s="25"/>
      <c r="GM84" s="25"/>
      <c r="GN84" s="110"/>
      <c r="GO84" s="110"/>
      <c r="GP84" s="110"/>
      <c r="GQ84" s="110" t="s">
        <v>445</v>
      </c>
      <c r="GR84" s="25"/>
      <c r="GS84" s="25"/>
      <c r="GT84" s="25"/>
      <c r="GU84" s="110"/>
      <c r="GV84" s="110"/>
      <c r="GW84" s="25"/>
      <c r="GX84" s="25"/>
      <c r="GY84" s="25"/>
      <c r="GZ84" s="25"/>
      <c r="HA84" s="25"/>
      <c r="HB84" s="110"/>
      <c r="HC84" s="110"/>
      <c r="HD84" s="25"/>
      <c r="HE84" s="25"/>
      <c r="HF84" s="25"/>
      <c r="HG84" s="25"/>
      <c r="HH84" s="25"/>
      <c r="HI84" s="110"/>
      <c r="HJ84" s="110"/>
      <c r="HK84" s="25"/>
      <c r="HL84" s="25"/>
      <c r="HM84" s="25"/>
      <c r="HN84" s="25"/>
      <c r="HO84" s="25"/>
      <c r="HP84" s="110"/>
      <c r="HQ84" s="110"/>
      <c r="HR84" s="25"/>
      <c r="HS84" s="25"/>
      <c r="HT84" s="25"/>
      <c r="HU84" s="25"/>
      <c r="HV84" s="25"/>
      <c r="HW84" s="110"/>
      <c r="HX84" s="110"/>
      <c r="HY84" s="25"/>
      <c r="HZ84" s="25"/>
      <c r="IA84" s="25"/>
      <c r="IB84" s="25"/>
      <c r="IC84" s="25"/>
      <c r="ID84" s="110"/>
      <c r="IE84" s="110"/>
      <c r="IF84" s="25"/>
      <c r="IG84" s="25"/>
      <c r="IH84" s="25"/>
      <c r="II84" s="25"/>
      <c r="IJ84" s="25"/>
      <c r="IK84" s="110"/>
      <c r="IL84" s="110"/>
      <c r="IM84" s="25"/>
      <c r="IN84" s="25"/>
      <c r="IO84" s="25"/>
      <c r="IP84" s="25"/>
      <c r="IQ84" s="25"/>
      <c r="IR84" s="110"/>
      <c r="IS84" s="110"/>
      <c r="IT84" s="25"/>
      <c r="IU84" s="25"/>
      <c r="IV84" s="25"/>
      <c r="IW84" s="25"/>
      <c r="IX84" s="25"/>
      <c r="IY84" s="110"/>
      <c r="IZ84" s="110"/>
      <c r="JA84" s="25"/>
      <c r="JB84" s="25"/>
      <c r="JC84" s="25"/>
      <c r="JD84" s="25"/>
      <c r="JE84" s="25"/>
      <c r="JF84" s="110"/>
      <c r="JG84" s="110"/>
      <c r="JH84" s="25"/>
      <c r="JI84" s="25"/>
      <c r="JJ84" s="25"/>
      <c r="JK84" s="25"/>
      <c r="JL84" s="25"/>
      <c r="JM84" s="110"/>
      <c r="JN84" s="110"/>
      <c r="JO84" s="25"/>
      <c r="JP84" s="25"/>
      <c r="JQ84" s="25"/>
      <c r="JR84" s="25"/>
      <c r="JS84" s="25"/>
      <c r="JT84" s="110"/>
      <c r="JU84" s="110"/>
      <c r="JV84" s="25"/>
      <c r="JW84" s="25"/>
      <c r="JX84" s="25"/>
      <c r="JY84" s="25"/>
      <c r="JZ84" s="25"/>
      <c r="KA84" s="110"/>
      <c r="KB84" s="110"/>
      <c r="KC84" s="25"/>
      <c r="KD84" s="25"/>
      <c r="KE84" s="25"/>
      <c r="KF84" s="25"/>
      <c r="KG84" s="25"/>
      <c r="KH84" s="110"/>
      <c r="KI84" s="110"/>
      <c r="KJ84" s="25"/>
      <c r="KK84" s="25"/>
      <c r="KL84" s="25"/>
      <c r="KM84" s="25"/>
      <c r="KN84" s="25"/>
      <c r="KO84" s="110"/>
      <c r="KP84" s="110"/>
      <c r="KQ84" s="25"/>
      <c r="KR84" s="25"/>
      <c r="KS84" s="25"/>
      <c r="KT84" s="25"/>
      <c r="KU84" s="25"/>
      <c r="KV84" s="110"/>
      <c r="KW84" s="110"/>
      <c r="KX84" s="25"/>
      <c r="KY84" s="25"/>
      <c r="KZ84" s="25"/>
      <c r="LA84" s="25"/>
      <c r="LB84" s="25"/>
      <c r="LC84" s="110"/>
      <c r="LD84" s="110"/>
      <c r="LE84" s="25"/>
      <c r="LF84" s="25"/>
      <c r="LG84" s="110" t="s">
        <v>445</v>
      </c>
      <c r="LH84" s="25"/>
      <c r="LI84" s="25"/>
      <c r="LJ84" s="110"/>
      <c r="LK84" s="110"/>
      <c r="LL84" s="25"/>
      <c r="LM84" s="25"/>
      <c r="LN84" s="25"/>
      <c r="LO84" s="25"/>
      <c r="LP84" s="25"/>
      <c r="LQ84" s="110"/>
      <c r="LR84" s="110"/>
      <c r="LS84" s="25"/>
      <c r="LT84" s="25"/>
      <c r="LU84" s="25"/>
      <c r="LV84" s="25"/>
      <c r="LW84" s="25"/>
      <c r="LX84" s="110"/>
      <c r="LY84" s="110"/>
      <c r="LZ84" s="25"/>
      <c r="MA84" s="25"/>
      <c r="MB84" s="25"/>
      <c r="MC84" s="25"/>
      <c r="MD84" s="25"/>
      <c r="ME84" s="110"/>
      <c r="MF84" s="110"/>
      <c r="MG84" s="25"/>
      <c r="MH84" s="25"/>
      <c r="MI84" s="25"/>
      <c r="MJ84" s="25"/>
      <c r="MK84" s="25"/>
      <c r="ML84" s="110"/>
      <c r="MM84" s="110"/>
      <c r="MN84" s="25"/>
      <c r="MO84" s="25"/>
      <c r="MP84" s="25"/>
      <c r="MQ84" s="25"/>
      <c r="MR84" s="25"/>
      <c r="MS84" s="110"/>
      <c r="MT84" s="110"/>
      <c r="MU84" s="25"/>
      <c r="MV84" s="25"/>
      <c r="MW84" s="25"/>
      <c r="MX84" s="25"/>
      <c r="MY84" s="25"/>
      <c r="MZ84" s="110"/>
      <c r="NA84" s="110"/>
      <c r="NB84" s="25"/>
      <c r="NC84" s="25"/>
      <c r="ND84" s="25"/>
      <c r="NE84" s="129"/>
      <c r="NF84" s="111"/>
      <c r="NG84" s="8">
        <f t="shared" si="54"/>
        <v>0</v>
      </c>
      <c r="NH84" s="32" cm="1">
        <f t="array" ref="NH84">NETWORKDAYS($I$2,$AI$2)- SUM(COUNTIF(I84:AI84,{"I";"F";"CP";"R";"P";"AC";"AM"}))</f>
        <v>20</v>
      </c>
      <c r="NI84" s="138">
        <f t="shared" si="55"/>
        <v>0</v>
      </c>
      <c r="NJ84" s="8">
        <f t="shared" si="56"/>
        <v>0</v>
      </c>
      <c r="NK84" s="32" cm="1">
        <f t="array" ref="NK84">NETWORKDAYS($AJ$2,$BK$2)- SUM(COUNTIF(AJ84:BK84,{"I";"F";"CP";"R";"P";"AC";"AM"}))</f>
        <v>20</v>
      </c>
      <c r="NL84" s="138">
        <f t="shared" si="57"/>
        <v>0</v>
      </c>
      <c r="NM84" s="8">
        <f t="shared" si="58"/>
        <v>0</v>
      </c>
      <c r="NN84" s="32" cm="1">
        <f t="array" ref="NN84">NETWORKDAYS($BL$2,$CP$2)- SUM(COUNTIF(BL84:CP84,{"I";"F";"CP";"R";"P";"AC";"AM"}))</f>
        <v>22</v>
      </c>
      <c r="NO84" s="138">
        <f t="shared" si="59"/>
        <v>0</v>
      </c>
      <c r="NP84" s="8">
        <f t="shared" si="53"/>
        <v>0</v>
      </c>
      <c r="NQ84" s="32" cm="1">
        <f t="array" ref="NQ84">NETWORKDAYS($CQ$2,$DT$2,$CV$2)- SUM(COUNTIF(CQ84:DT84,{"I";"F";"CP";"R";"P";"AC";"AM"}))</f>
        <v>16</v>
      </c>
      <c r="NR84" s="138">
        <f t="shared" si="60"/>
        <v>0</v>
      </c>
      <c r="NS84" s="8">
        <f t="shared" si="61"/>
        <v>0</v>
      </c>
      <c r="NT84" s="32" cm="1">
        <f t="array" ref="NT84">NETWORKDAYS($DV$2,$EY$2)-SUM(COUNTIF(DV84:EY84,{"I";"F";"CP";"R";"P";"AC";"AM"}))</f>
        <v>16</v>
      </c>
      <c r="NU84" s="138">
        <f t="shared" si="62"/>
        <v>0</v>
      </c>
      <c r="NV84" s="8">
        <f t="shared" si="63"/>
        <v>0</v>
      </c>
      <c r="NW84" s="32" cm="1">
        <f t="array" ref="NW84">NETWORKDAYS($EZ$2,$GC$2)-SUM(COUNTIF(EZ164:GC164,{"I";"F";"CP";"R";"P";"AC";"AM"}))</f>
        <v>22</v>
      </c>
      <c r="NX84" s="138">
        <f t="shared" si="64"/>
        <v>0</v>
      </c>
      <c r="NY84" s="8">
        <f t="shared" si="65"/>
        <v>0</v>
      </c>
      <c r="NZ84" s="32" cm="1">
        <f t="array" ref="NZ84">NETWORKDAYS($GD$2,$HH$2,$GQ$2)-SUM(COUNTIF(GD84:HH84,{"I";"F";"CP";"R";"P";"AC";"AM"}))</f>
        <v>21</v>
      </c>
      <c r="OA84" s="138">
        <f t="shared" si="66"/>
        <v>0</v>
      </c>
      <c r="OB84" s="8">
        <f t="shared" si="67"/>
        <v>0</v>
      </c>
      <c r="OC84" s="32" cm="1">
        <f t="array" ref="OC84">NETWORKDAYS($HI$2,$IM$2)-SUM(COUNTIF(HI84:IM84,{"I";"F";"CP";"R";"P";"AC";"AM"}))</f>
        <v>21</v>
      </c>
      <c r="OD84" s="138">
        <f t="shared" si="68"/>
        <v>0</v>
      </c>
      <c r="OE84" s="8">
        <f t="shared" si="69"/>
        <v>0</v>
      </c>
      <c r="OF84" s="32" cm="1">
        <f t="array" ref="OF84">NETWORKDAYS($IN$2,$JQ$2)-SUM(COUNTIF(IN84:JQ84,{"I";"F";"CP";"R";"P";"AC";"AM"}))</f>
        <v>22</v>
      </c>
      <c r="OG84" s="138">
        <f t="shared" si="70"/>
        <v>0</v>
      </c>
      <c r="OH84" s="8">
        <f t="shared" si="71"/>
        <v>0</v>
      </c>
      <c r="OI84" s="32" cm="1">
        <f t="array" ref="OI84">NETWORKDAYS($JR$2,$KV$2)-SUM(COUNTIF(JR84:KV84,{"I";"F";"CP";"R";"P";"AC";"AM"}))</f>
        <v>22</v>
      </c>
      <c r="OJ84" s="138">
        <f t="shared" si="72"/>
        <v>0</v>
      </c>
      <c r="OK84" s="8">
        <f t="shared" si="73"/>
        <v>0</v>
      </c>
      <c r="OL84" s="32" cm="1">
        <f t="array" ref="OL84">NETWORKDAYS($KW$2,$LZ$2,$LG$2)-SUM(COUNTIF(KW84:LZ84,{"I";"F";"CP";"R";"P";"AC";"AM"}))</f>
        <v>19</v>
      </c>
      <c r="OM84" s="138">
        <f t="shared" si="74"/>
        <v>0</v>
      </c>
      <c r="ON84" s="8">
        <f t="shared" si="75"/>
        <v>0</v>
      </c>
      <c r="OO84" s="32" cm="1">
        <f t="array" ref="OO84">NETWORKDAYS($MA$2,$MR$2)-SUM(COUNTIF(MA84:MR84,{"I";"F";"CP";"R";"P";"AC";"AM"}))</f>
        <v>14</v>
      </c>
      <c r="OP84" s="138">
        <f t="shared" si="76"/>
        <v>0</v>
      </c>
      <c r="OQ84" s="94">
        <f t="shared" si="77"/>
        <v>0</v>
      </c>
      <c r="OR84" s="94">
        <f t="shared" si="78"/>
        <v>235</v>
      </c>
      <c r="OS84" s="138">
        <f t="shared" si="79"/>
        <v>0</v>
      </c>
    </row>
    <row r="85" spans="1:409" ht="18" hidden="1" customHeight="1" x14ac:dyDescent="0.25">
      <c r="A85" s="95" t="s">
        <v>168</v>
      </c>
      <c r="B85" s="95" t="s">
        <v>168</v>
      </c>
      <c r="C85" s="89" t="s">
        <v>160</v>
      </c>
      <c r="D85" s="89" t="s">
        <v>268</v>
      </c>
      <c r="E85" s="128"/>
      <c r="F85" s="110"/>
      <c r="G85" s="110"/>
      <c r="H85" s="110"/>
      <c r="I85" s="25"/>
      <c r="J85" s="25"/>
      <c r="K85" s="25"/>
      <c r="L85" s="25"/>
      <c r="M85" s="25"/>
      <c r="N85" s="110"/>
      <c r="O85" s="110"/>
      <c r="P85" s="25"/>
      <c r="Q85" s="25"/>
      <c r="R85" s="25"/>
      <c r="S85" s="25"/>
      <c r="T85" s="25"/>
      <c r="U85" s="110"/>
      <c r="V85" s="110"/>
      <c r="W85" s="25"/>
      <c r="X85" s="25"/>
      <c r="Y85" s="25"/>
      <c r="Z85" s="25"/>
      <c r="AA85" s="25"/>
      <c r="AB85" s="110"/>
      <c r="AC85" s="110"/>
      <c r="AD85" s="25"/>
      <c r="AE85" s="25"/>
      <c r="AF85" s="25"/>
      <c r="AG85" s="25"/>
      <c r="AH85" s="25"/>
      <c r="AI85" s="110"/>
      <c r="AJ85" s="110"/>
      <c r="AK85" s="25">
        <v>1</v>
      </c>
      <c r="AL85" s="25">
        <v>1</v>
      </c>
      <c r="AM85" s="25">
        <v>1</v>
      </c>
      <c r="AN85" s="25"/>
      <c r="AO85" s="25">
        <v>1</v>
      </c>
      <c r="AP85" s="110"/>
      <c r="AQ85" s="110"/>
      <c r="AR85" s="25">
        <v>1</v>
      </c>
      <c r="AS85" s="25">
        <v>1</v>
      </c>
      <c r="AT85" s="25">
        <v>1</v>
      </c>
      <c r="AU85" s="25">
        <v>1</v>
      </c>
      <c r="AV85" s="25">
        <v>1</v>
      </c>
      <c r="AW85" s="110"/>
      <c r="AX85" s="110"/>
      <c r="AY85" s="25">
        <v>1</v>
      </c>
      <c r="AZ85" s="25">
        <v>1</v>
      </c>
      <c r="BA85" s="25">
        <v>1</v>
      </c>
      <c r="BB85" s="25">
        <v>1</v>
      </c>
      <c r="BC85" s="25"/>
      <c r="BD85" s="110"/>
      <c r="BE85" s="110"/>
      <c r="BF85" s="25"/>
      <c r="BG85" s="25"/>
      <c r="BH85" s="25"/>
      <c r="BI85" s="25"/>
      <c r="BJ85" s="25"/>
      <c r="BK85" s="110"/>
      <c r="BL85" s="110"/>
      <c r="BM85" s="25"/>
      <c r="BN85" s="25"/>
      <c r="BO85" s="25"/>
      <c r="BP85" s="25"/>
      <c r="BQ85" s="25"/>
      <c r="BR85" s="110"/>
      <c r="BS85" s="110"/>
      <c r="BT85" s="25"/>
      <c r="BU85" s="25"/>
      <c r="BV85" s="25"/>
      <c r="BW85" s="25"/>
      <c r="BX85" s="25"/>
      <c r="BY85" s="110"/>
      <c r="BZ85" s="110"/>
      <c r="CA85" s="25"/>
      <c r="CB85" s="25"/>
      <c r="CC85" s="25"/>
      <c r="CD85" s="25"/>
      <c r="CE85" s="25"/>
      <c r="CF85" s="110"/>
      <c r="CG85" s="110"/>
      <c r="CH85" s="25"/>
      <c r="CI85" s="25"/>
      <c r="CJ85" s="25"/>
      <c r="CK85" s="25"/>
      <c r="CL85" s="25"/>
      <c r="CM85" s="110"/>
      <c r="CN85" s="110"/>
      <c r="CO85" s="25"/>
      <c r="CP85" s="25"/>
      <c r="CQ85" s="25"/>
      <c r="CR85" s="25"/>
      <c r="CS85" s="25"/>
      <c r="CT85" s="110"/>
      <c r="CU85" s="110"/>
      <c r="CV85" s="110"/>
      <c r="CW85" s="25"/>
      <c r="CX85" s="25"/>
      <c r="CY85" s="25"/>
      <c r="CZ85" s="25"/>
      <c r="DA85" s="110"/>
      <c r="DB85" s="110"/>
      <c r="DC85" s="25"/>
      <c r="DD85" s="25"/>
      <c r="DE85" s="25"/>
      <c r="DF85" s="25"/>
      <c r="DG85" s="25"/>
      <c r="DH85" s="110"/>
      <c r="DI85" s="110"/>
      <c r="DJ85" s="25"/>
      <c r="DK85" s="25"/>
      <c r="DL85" s="25"/>
      <c r="DM85" s="25"/>
      <c r="DN85" s="25"/>
      <c r="DO85" s="110"/>
      <c r="DP85" s="110"/>
      <c r="DQ85" s="25"/>
      <c r="DR85" s="25"/>
      <c r="DS85" s="25"/>
      <c r="DT85" s="25"/>
      <c r="DU85" s="110"/>
      <c r="DV85" s="110"/>
      <c r="DW85" s="110"/>
      <c r="DX85" s="25"/>
      <c r="DY85" s="25"/>
      <c r="DZ85" s="25"/>
      <c r="EA85" s="25"/>
      <c r="EB85" s="110" t="s">
        <v>445</v>
      </c>
      <c r="EC85" s="110"/>
      <c r="ED85" s="110"/>
      <c r="EE85" s="25"/>
      <c r="EF85" s="25"/>
      <c r="EG85" s="25"/>
      <c r="EH85" s="110" t="s">
        <v>445</v>
      </c>
      <c r="EI85" s="110" t="s">
        <v>445</v>
      </c>
      <c r="EJ85" s="110"/>
      <c r="EK85" s="110"/>
      <c r="EL85" s="25"/>
      <c r="EM85" s="25"/>
      <c r="EN85" s="25"/>
      <c r="EO85" s="25"/>
      <c r="EP85" s="25"/>
      <c r="EQ85" s="110"/>
      <c r="ER85" s="110"/>
      <c r="ES85" s="110" t="s">
        <v>445</v>
      </c>
      <c r="ET85" s="25"/>
      <c r="EU85" s="25"/>
      <c r="EV85" s="25"/>
      <c r="EW85" s="25"/>
      <c r="EX85" s="110"/>
      <c r="EY85" s="110"/>
      <c r="EZ85" s="25"/>
      <c r="FA85" s="25"/>
      <c r="FB85" s="25"/>
      <c r="FC85" s="25"/>
      <c r="FD85" s="25"/>
      <c r="FE85" s="110"/>
      <c r="FF85" s="110"/>
      <c r="FG85" s="25"/>
      <c r="FH85" s="25"/>
      <c r="FI85" s="25"/>
      <c r="FJ85" s="25"/>
      <c r="FK85" s="25"/>
      <c r="FL85" s="110"/>
      <c r="FM85" s="110"/>
      <c r="FN85" s="25"/>
      <c r="FO85" s="25"/>
      <c r="FP85" s="25"/>
      <c r="FQ85" s="25"/>
      <c r="FR85" s="25"/>
      <c r="FS85" s="110"/>
      <c r="FT85" s="110"/>
      <c r="FU85" s="25"/>
      <c r="FV85" s="25"/>
      <c r="FW85" s="25"/>
      <c r="FX85" s="25"/>
      <c r="FY85" s="25"/>
      <c r="FZ85" s="110"/>
      <c r="GA85" s="110"/>
      <c r="GB85" s="25"/>
      <c r="GC85" s="25"/>
      <c r="GD85" s="25"/>
      <c r="GE85" s="25"/>
      <c r="GF85" s="25"/>
      <c r="GG85" s="110"/>
      <c r="GH85" s="110"/>
      <c r="GI85" s="25"/>
      <c r="GJ85" s="25"/>
      <c r="GK85" s="25"/>
      <c r="GL85" s="25"/>
      <c r="GM85" s="25"/>
      <c r="GN85" s="110"/>
      <c r="GO85" s="110"/>
      <c r="GP85" s="110"/>
      <c r="GQ85" s="110" t="s">
        <v>445</v>
      </c>
      <c r="GR85" s="25"/>
      <c r="GS85" s="25"/>
      <c r="GT85" s="25"/>
      <c r="GU85" s="110"/>
      <c r="GV85" s="110"/>
      <c r="GW85" s="25"/>
      <c r="GX85" s="25"/>
      <c r="GY85" s="25"/>
      <c r="GZ85" s="25"/>
      <c r="HA85" s="25"/>
      <c r="HB85" s="110"/>
      <c r="HC85" s="110"/>
      <c r="HD85" s="25"/>
      <c r="HE85" s="25"/>
      <c r="HF85" s="25"/>
      <c r="HG85" s="25"/>
      <c r="HH85" s="25"/>
      <c r="HI85" s="110"/>
      <c r="HJ85" s="110"/>
      <c r="HK85" s="25"/>
      <c r="HL85" s="25"/>
      <c r="HM85" s="25"/>
      <c r="HN85" s="25"/>
      <c r="HO85" s="25"/>
      <c r="HP85" s="110"/>
      <c r="HQ85" s="110"/>
      <c r="HR85" s="25"/>
      <c r="HS85" s="25"/>
      <c r="HT85" s="25"/>
      <c r="HU85" s="25"/>
      <c r="HV85" s="25"/>
      <c r="HW85" s="110"/>
      <c r="HX85" s="110"/>
      <c r="HY85" s="25"/>
      <c r="HZ85" s="25"/>
      <c r="IA85" s="25"/>
      <c r="IB85" s="25"/>
      <c r="IC85" s="25"/>
      <c r="ID85" s="110"/>
      <c r="IE85" s="110"/>
      <c r="IF85" s="25"/>
      <c r="IG85" s="25"/>
      <c r="IH85" s="25"/>
      <c r="II85" s="25"/>
      <c r="IJ85" s="25"/>
      <c r="IK85" s="110"/>
      <c r="IL85" s="110"/>
      <c r="IM85" s="25"/>
      <c r="IN85" s="25"/>
      <c r="IO85" s="25"/>
      <c r="IP85" s="25"/>
      <c r="IQ85" s="25"/>
      <c r="IR85" s="110"/>
      <c r="IS85" s="110"/>
      <c r="IT85" s="25"/>
      <c r="IU85" s="25"/>
      <c r="IV85" s="25"/>
      <c r="IW85" s="25"/>
      <c r="IX85" s="25"/>
      <c r="IY85" s="110"/>
      <c r="IZ85" s="110"/>
      <c r="JA85" s="25"/>
      <c r="JB85" s="25"/>
      <c r="JC85" s="25"/>
      <c r="JD85" s="25"/>
      <c r="JE85" s="25"/>
      <c r="JF85" s="110"/>
      <c r="JG85" s="110"/>
      <c r="JH85" s="25"/>
      <c r="JI85" s="25"/>
      <c r="JJ85" s="25"/>
      <c r="JK85" s="25"/>
      <c r="JL85" s="25"/>
      <c r="JM85" s="110"/>
      <c r="JN85" s="110"/>
      <c r="JO85" s="25"/>
      <c r="JP85" s="25"/>
      <c r="JQ85" s="25"/>
      <c r="JR85" s="25"/>
      <c r="JS85" s="25"/>
      <c r="JT85" s="110"/>
      <c r="JU85" s="110"/>
      <c r="JV85" s="25"/>
      <c r="JW85" s="25"/>
      <c r="JX85" s="25"/>
      <c r="JY85" s="25"/>
      <c r="JZ85" s="25"/>
      <c r="KA85" s="110"/>
      <c r="KB85" s="110"/>
      <c r="KC85" s="25"/>
      <c r="KD85" s="25"/>
      <c r="KE85" s="25"/>
      <c r="KF85" s="25"/>
      <c r="KG85" s="25"/>
      <c r="KH85" s="110"/>
      <c r="KI85" s="110"/>
      <c r="KJ85" s="25"/>
      <c r="KK85" s="25"/>
      <c r="KL85" s="25"/>
      <c r="KM85" s="25"/>
      <c r="KN85" s="25"/>
      <c r="KO85" s="110"/>
      <c r="KP85" s="110"/>
      <c r="KQ85" s="25"/>
      <c r="KR85" s="25"/>
      <c r="KS85" s="25"/>
      <c r="KT85" s="25"/>
      <c r="KU85" s="25"/>
      <c r="KV85" s="110"/>
      <c r="KW85" s="110"/>
      <c r="KX85" s="25"/>
      <c r="KY85" s="25"/>
      <c r="KZ85" s="25"/>
      <c r="LA85" s="25"/>
      <c r="LB85" s="25"/>
      <c r="LC85" s="110"/>
      <c r="LD85" s="110"/>
      <c r="LE85" s="25"/>
      <c r="LF85" s="25"/>
      <c r="LG85" s="110" t="s">
        <v>445</v>
      </c>
      <c r="LH85" s="25"/>
      <c r="LI85" s="25"/>
      <c r="LJ85" s="110"/>
      <c r="LK85" s="110"/>
      <c r="LL85" s="25"/>
      <c r="LM85" s="25"/>
      <c r="LN85" s="25"/>
      <c r="LO85" s="25"/>
      <c r="LP85" s="25"/>
      <c r="LQ85" s="110"/>
      <c r="LR85" s="110"/>
      <c r="LS85" s="25"/>
      <c r="LT85" s="25"/>
      <c r="LU85" s="25"/>
      <c r="LV85" s="25"/>
      <c r="LW85" s="25"/>
      <c r="LX85" s="110"/>
      <c r="LY85" s="110"/>
      <c r="LZ85" s="25"/>
      <c r="MA85" s="25"/>
      <c r="MB85" s="25"/>
      <c r="MC85" s="25"/>
      <c r="MD85" s="25"/>
      <c r="ME85" s="110"/>
      <c r="MF85" s="110"/>
      <c r="MG85" s="25"/>
      <c r="MH85" s="25"/>
      <c r="MI85" s="25"/>
      <c r="MJ85" s="25"/>
      <c r="MK85" s="25"/>
      <c r="ML85" s="110"/>
      <c r="MM85" s="110"/>
      <c r="MN85" s="25"/>
      <c r="MO85" s="25"/>
      <c r="MP85" s="25"/>
      <c r="MQ85" s="25"/>
      <c r="MR85" s="25"/>
      <c r="MS85" s="110"/>
      <c r="MT85" s="110"/>
      <c r="MU85" s="25"/>
      <c r="MV85" s="25"/>
      <c r="MW85" s="25"/>
      <c r="MX85" s="25"/>
      <c r="MY85" s="25"/>
      <c r="MZ85" s="110"/>
      <c r="NA85" s="110"/>
      <c r="NB85" s="25"/>
      <c r="NC85" s="25"/>
      <c r="ND85" s="25"/>
      <c r="NE85" s="129"/>
      <c r="NF85" s="111"/>
      <c r="NG85" s="8">
        <f t="shared" si="54"/>
        <v>0</v>
      </c>
      <c r="NH85" s="32" cm="1">
        <f t="array" ref="NH85">NETWORKDAYS($I$2,$AI$2)- SUM(COUNTIF(I85:AI85,{"I";"F";"CP";"R";"P";"AC";"AM"}))</f>
        <v>20</v>
      </c>
      <c r="NI85" s="138">
        <f t="shared" si="55"/>
        <v>0</v>
      </c>
      <c r="NJ85" s="8">
        <f t="shared" si="56"/>
        <v>13</v>
      </c>
      <c r="NK85" s="32" cm="1">
        <f t="array" ref="NK85">NETWORKDAYS($AJ$2,$BK$2)- SUM(COUNTIF(AJ85:BK85,{"I";"F";"CP";"R";"P";"AC";"AM"}))</f>
        <v>20</v>
      </c>
      <c r="NL85" s="138">
        <f t="shared" si="57"/>
        <v>0.65</v>
      </c>
      <c r="NM85" s="8">
        <f t="shared" si="58"/>
        <v>0</v>
      </c>
      <c r="NN85" s="32" cm="1">
        <f t="array" ref="NN85">NETWORKDAYS($BL$2,$CP$2)- SUM(COUNTIF(BL85:CP85,{"I";"F";"CP";"R";"P";"AC";"AM"}))</f>
        <v>22</v>
      </c>
      <c r="NO85" s="138">
        <f t="shared" si="59"/>
        <v>0</v>
      </c>
      <c r="NP85" s="32">
        <f t="shared" si="53"/>
        <v>0</v>
      </c>
      <c r="NQ85" s="32" cm="1">
        <f t="array" ref="NQ85">NETWORKDAYS($CQ$2,$DT$2,$CV$2)- SUM(COUNTIF(CQ85:DT85,{"I";"F";"CP";"R";"P";"AC";"AM"}))</f>
        <v>21</v>
      </c>
      <c r="NR85" s="138">
        <f t="shared" si="60"/>
        <v>0</v>
      </c>
      <c r="NS85" s="8">
        <f t="shared" si="61"/>
        <v>0</v>
      </c>
      <c r="NT85" s="32" cm="1">
        <f t="array" ref="NT85">NETWORKDAYS($DV$2,$EY$2)-SUM(COUNTIF(DV85:EY85,{"I";"F";"CP";"R";"P";"AC";"AM"}))</f>
        <v>16</v>
      </c>
      <c r="NU85" s="138">
        <f t="shared" si="62"/>
        <v>0</v>
      </c>
      <c r="NV85" s="8">
        <f t="shared" si="63"/>
        <v>0</v>
      </c>
      <c r="NW85" s="32" cm="1">
        <f t="array" ref="NW85">NETWORKDAYS($EZ$2,$GC$2)-SUM(COUNTIF(EZ165:GC165,{"I";"F";"CP";"R";"P";"AC";"AM"}))</f>
        <v>22</v>
      </c>
      <c r="NX85" s="138">
        <f t="shared" si="64"/>
        <v>0</v>
      </c>
      <c r="NY85" s="8">
        <f t="shared" si="65"/>
        <v>0</v>
      </c>
      <c r="NZ85" s="32" cm="1">
        <f t="array" ref="NZ85">NETWORKDAYS($GD$2,$HH$2,$GQ$2)-SUM(COUNTIF(GD85:HH85,{"I";"F";"CP";"R";"P";"AC";"AM"}))</f>
        <v>21</v>
      </c>
      <c r="OA85" s="138">
        <f t="shared" si="66"/>
        <v>0</v>
      </c>
      <c r="OB85" s="8">
        <f t="shared" si="67"/>
        <v>0</v>
      </c>
      <c r="OC85" s="32" cm="1">
        <f t="array" ref="OC85">NETWORKDAYS($HI$2,$IM$2)-SUM(COUNTIF(HI85:IM85,{"I";"F";"CP";"R";"P";"AC";"AM"}))</f>
        <v>21</v>
      </c>
      <c r="OD85" s="138">
        <f t="shared" si="68"/>
        <v>0</v>
      </c>
      <c r="OE85" s="8">
        <f t="shared" si="69"/>
        <v>0</v>
      </c>
      <c r="OF85" s="32" cm="1">
        <f t="array" ref="OF85">NETWORKDAYS($IN$2,$JQ$2)-SUM(COUNTIF(IN85:JQ85,{"I";"F";"CP";"R";"P";"AC";"AM"}))</f>
        <v>22</v>
      </c>
      <c r="OG85" s="138">
        <f t="shared" si="70"/>
        <v>0</v>
      </c>
      <c r="OH85" s="8">
        <f t="shared" si="71"/>
        <v>0</v>
      </c>
      <c r="OI85" s="32" cm="1">
        <f t="array" ref="OI85">NETWORKDAYS($JR$2,$KV$2)-SUM(COUNTIF(JR85:KV85,{"I";"F";"CP";"R";"P";"AC";"AM"}))</f>
        <v>22</v>
      </c>
      <c r="OJ85" s="138">
        <f t="shared" si="72"/>
        <v>0</v>
      </c>
      <c r="OK85" s="8">
        <f t="shared" si="73"/>
        <v>0</v>
      </c>
      <c r="OL85" s="32" cm="1">
        <f t="array" ref="OL85">NETWORKDAYS($KW$2,$LZ$2,$LG$2)-SUM(COUNTIF(KW85:LZ85,{"I";"F";"CP";"R";"P";"AC";"AM"}))</f>
        <v>19</v>
      </c>
      <c r="OM85" s="138">
        <f t="shared" si="74"/>
        <v>0</v>
      </c>
      <c r="ON85" s="8">
        <f t="shared" si="75"/>
        <v>0</v>
      </c>
      <c r="OO85" s="32" cm="1">
        <f t="array" ref="OO85">NETWORKDAYS($MA$2,$MR$2)-SUM(COUNTIF(MA85:MR85,{"I";"F";"CP";"R";"P";"AC";"AM"}))</f>
        <v>14</v>
      </c>
      <c r="OP85" s="138">
        <f t="shared" si="76"/>
        <v>0</v>
      </c>
      <c r="OQ85" s="94">
        <f t="shared" si="77"/>
        <v>13</v>
      </c>
      <c r="OR85" s="94">
        <f t="shared" si="78"/>
        <v>240</v>
      </c>
      <c r="OS85" s="138">
        <f t="shared" si="79"/>
        <v>5.4166666666666669E-2</v>
      </c>
    </row>
    <row r="86" spans="1:409" ht="18" hidden="1" customHeight="1" x14ac:dyDescent="0.25">
      <c r="A86" s="95" t="s">
        <v>269</v>
      </c>
      <c r="B86" s="95" t="s">
        <v>34</v>
      </c>
      <c r="C86" s="89" t="s">
        <v>166</v>
      </c>
      <c r="D86" s="89" t="s">
        <v>270</v>
      </c>
      <c r="E86" s="128"/>
      <c r="F86" s="110"/>
      <c r="G86" s="110"/>
      <c r="H86" s="110"/>
      <c r="I86" s="25"/>
      <c r="J86" s="25"/>
      <c r="K86" s="25"/>
      <c r="L86" s="25"/>
      <c r="M86" s="25"/>
      <c r="N86" s="110"/>
      <c r="O86" s="110"/>
      <c r="P86" s="25"/>
      <c r="Q86" s="25"/>
      <c r="R86" s="25"/>
      <c r="S86" s="25"/>
      <c r="T86" s="25"/>
      <c r="U86" s="110"/>
      <c r="V86" s="110"/>
      <c r="W86" s="25"/>
      <c r="X86" s="25"/>
      <c r="Y86" s="25"/>
      <c r="Z86" s="25"/>
      <c r="AA86" s="25"/>
      <c r="AB86" s="110"/>
      <c r="AC86" s="110"/>
      <c r="AD86" s="25"/>
      <c r="AE86" s="25"/>
      <c r="AF86" s="25"/>
      <c r="AG86" s="25"/>
      <c r="AH86" s="25"/>
      <c r="AI86" s="110"/>
      <c r="AJ86" s="110"/>
      <c r="AK86" s="25"/>
      <c r="AL86" s="25"/>
      <c r="AM86" s="25"/>
      <c r="AN86" s="25"/>
      <c r="AO86" s="25"/>
      <c r="AP86" s="110"/>
      <c r="AQ86" s="110"/>
      <c r="AR86" s="25"/>
      <c r="AS86" s="25"/>
      <c r="AT86" s="25"/>
      <c r="AU86" s="25"/>
      <c r="AV86" s="25"/>
      <c r="AW86" s="110"/>
      <c r="AX86" s="110"/>
      <c r="AY86" s="25"/>
      <c r="AZ86" s="25"/>
      <c r="BA86" s="25"/>
      <c r="BB86" s="25"/>
      <c r="BC86" s="25"/>
      <c r="BD86" s="110"/>
      <c r="BE86" s="110"/>
      <c r="BF86" s="25"/>
      <c r="BG86" s="25"/>
      <c r="BH86" s="25"/>
      <c r="BI86" s="25"/>
      <c r="BJ86" s="25"/>
      <c r="BK86" s="110"/>
      <c r="BL86" s="110"/>
      <c r="BM86" s="25"/>
      <c r="BN86" s="25"/>
      <c r="BO86" s="25"/>
      <c r="BP86" s="25"/>
      <c r="BQ86" s="25"/>
      <c r="BR86" s="110"/>
      <c r="BS86" s="110"/>
      <c r="BT86" s="25"/>
      <c r="BU86" s="25"/>
      <c r="BV86" s="25"/>
      <c r="BW86" s="25"/>
      <c r="BX86" s="25"/>
      <c r="BY86" s="110"/>
      <c r="BZ86" s="110"/>
      <c r="CA86" s="25"/>
      <c r="CB86" s="25"/>
      <c r="CC86" s="25"/>
      <c r="CD86" s="25"/>
      <c r="CE86" s="25"/>
      <c r="CF86" s="110"/>
      <c r="CG86" s="110"/>
      <c r="CH86" s="25"/>
      <c r="CI86" s="25"/>
      <c r="CJ86" s="25"/>
      <c r="CK86" s="25"/>
      <c r="CL86" s="25"/>
      <c r="CM86" s="110"/>
      <c r="CN86" s="110"/>
      <c r="CO86" s="25"/>
      <c r="CP86" s="25"/>
      <c r="CQ86" s="25"/>
      <c r="CR86" s="25"/>
      <c r="CS86" s="25"/>
      <c r="CT86" s="110"/>
      <c r="CU86" s="110"/>
      <c r="CV86" s="110"/>
      <c r="CW86" s="25"/>
      <c r="CX86" s="25"/>
      <c r="CY86" s="25"/>
      <c r="CZ86" s="25"/>
      <c r="DA86" s="110"/>
      <c r="DB86" s="110"/>
      <c r="DC86" s="25"/>
      <c r="DD86" s="25"/>
      <c r="DE86" s="25"/>
      <c r="DF86" s="25"/>
      <c r="DG86" s="25"/>
      <c r="DH86" s="110"/>
      <c r="DI86" s="110"/>
      <c r="DJ86" s="25"/>
      <c r="DK86" s="25"/>
      <c r="DL86" s="25"/>
      <c r="DM86" s="25"/>
      <c r="DN86" s="25"/>
      <c r="DO86" s="110"/>
      <c r="DP86" s="110"/>
      <c r="DQ86" s="25"/>
      <c r="DR86" s="25"/>
      <c r="DS86" s="25"/>
      <c r="DT86" s="25"/>
      <c r="DU86" s="110"/>
      <c r="DV86" s="110"/>
      <c r="DW86" s="110"/>
      <c r="DX86" s="25"/>
      <c r="DY86" s="25"/>
      <c r="DZ86" s="25"/>
      <c r="EA86" s="25"/>
      <c r="EB86" s="110" t="s">
        <v>445</v>
      </c>
      <c r="EC86" s="110"/>
      <c r="ED86" s="110"/>
      <c r="EE86" s="25"/>
      <c r="EF86" s="25"/>
      <c r="EG86" s="25"/>
      <c r="EH86" s="110" t="s">
        <v>445</v>
      </c>
      <c r="EI86" s="110" t="s">
        <v>445</v>
      </c>
      <c r="EJ86" s="110"/>
      <c r="EK86" s="110"/>
      <c r="EL86" s="25"/>
      <c r="EM86" s="25"/>
      <c r="EN86" s="25"/>
      <c r="EO86" s="25"/>
      <c r="EP86" s="25"/>
      <c r="EQ86" s="110"/>
      <c r="ER86" s="110"/>
      <c r="ES86" s="110" t="s">
        <v>445</v>
      </c>
      <c r="ET86" s="25"/>
      <c r="EU86" s="25"/>
      <c r="EV86" s="25"/>
      <c r="EW86" s="25"/>
      <c r="EX86" s="110"/>
      <c r="EY86" s="110"/>
      <c r="EZ86" s="25"/>
      <c r="FA86" s="25"/>
      <c r="FB86" s="25"/>
      <c r="FC86" s="25"/>
      <c r="FD86" s="25"/>
      <c r="FE86" s="110"/>
      <c r="FF86" s="110"/>
      <c r="FG86" s="25"/>
      <c r="FH86" s="25"/>
      <c r="FI86" s="25"/>
      <c r="FJ86" s="25"/>
      <c r="FK86" s="25"/>
      <c r="FL86" s="110"/>
      <c r="FM86" s="110"/>
      <c r="FN86" s="25"/>
      <c r="FO86" s="25"/>
      <c r="FP86" s="25"/>
      <c r="FQ86" s="25"/>
      <c r="FR86" s="25"/>
      <c r="FS86" s="110"/>
      <c r="FT86" s="110"/>
      <c r="FU86" s="25"/>
      <c r="FV86" s="25"/>
      <c r="FW86" s="25"/>
      <c r="FX86" s="25"/>
      <c r="FY86" s="25"/>
      <c r="FZ86" s="110"/>
      <c r="GA86" s="110"/>
      <c r="GB86" s="25"/>
      <c r="GC86" s="25"/>
      <c r="GD86" s="25"/>
      <c r="GE86" s="25"/>
      <c r="GF86" s="25"/>
      <c r="GG86" s="110"/>
      <c r="GH86" s="110"/>
      <c r="GI86" s="25"/>
      <c r="GJ86" s="25"/>
      <c r="GK86" s="25"/>
      <c r="GL86" s="25"/>
      <c r="GM86" s="25"/>
      <c r="GN86" s="110"/>
      <c r="GO86" s="110"/>
      <c r="GP86" s="110"/>
      <c r="GQ86" s="110" t="s">
        <v>445</v>
      </c>
      <c r="GR86" s="25"/>
      <c r="GS86" s="25"/>
      <c r="GT86" s="25"/>
      <c r="GU86" s="110"/>
      <c r="GV86" s="110"/>
      <c r="GW86" s="25"/>
      <c r="GX86" s="25"/>
      <c r="GY86" s="25"/>
      <c r="GZ86" s="25"/>
      <c r="HA86" s="25"/>
      <c r="HB86" s="110"/>
      <c r="HC86" s="110"/>
      <c r="HD86" s="25"/>
      <c r="HE86" s="25"/>
      <c r="HF86" s="25"/>
      <c r="HG86" s="25"/>
      <c r="HH86" s="25"/>
      <c r="HI86" s="110"/>
      <c r="HJ86" s="110"/>
      <c r="HK86" s="25"/>
      <c r="HL86" s="25"/>
      <c r="HM86" s="25"/>
      <c r="HN86" s="25"/>
      <c r="HO86" s="25"/>
      <c r="HP86" s="110"/>
      <c r="HQ86" s="110"/>
      <c r="HR86" s="25"/>
      <c r="HS86" s="25"/>
      <c r="HT86" s="25"/>
      <c r="HU86" s="25"/>
      <c r="HV86" s="25"/>
      <c r="HW86" s="110"/>
      <c r="HX86" s="110"/>
      <c r="HY86" s="25"/>
      <c r="HZ86" s="25"/>
      <c r="IA86" s="25"/>
      <c r="IB86" s="25"/>
      <c r="IC86" s="25"/>
      <c r="ID86" s="110"/>
      <c r="IE86" s="110"/>
      <c r="IF86" s="25"/>
      <c r="IG86" s="25"/>
      <c r="IH86" s="25"/>
      <c r="II86" s="25"/>
      <c r="IJ86" s="25"/>
      <c r="IK86" s="110"/>
      <c r="IL86" s="110"/>
      <c r="IM86" s="25"/>
      <c r="IN86" s="25"/>
      <c r="IO86" s="25"/>
      <c r="IP86" s="25"/>
      <c r="IQ86" s="25"/>
      <c r="IR86" s="110"/>
      <c r="IS86" s="110"/>
      <c r="IT86" s="25"/>
      <c r="IU86" s="25"/>
      <c r="IV86" s="25"/>
      <c r="IW86" s="25"/>
      <c r="IX86" s="25"/>
      <c r="IY86" s="110"/>
      <c r="IZ86" s="110"/>
      <c r="JA86" s="25"/>
      <c r="JB86" s="25"/>
      <c r="JC86" s="25"/>
      <c r="JD86" s="25"/>
      <c r="JE86" s="25"/>
      <c r="JF86" s="110"/>
      <c r="JG86" s="110"/>
      <c r="JH86" s="25"/>
      <c r="JI86" s="25"/>
      <c r="JJ86" s="25"/>
      <c r="JK86" s="25"/>
      <c r="JL86" s="25"/>
      <c r="JM86" s="110"/>
      <c r="JN86" s="110"/>
      <c r="JO86" s="25"/>
      <c r="JP86" s="25"/>
      <c r="JQ86" s="25"/>
      <c r="JR86" s="25"/>
      <c r="JS86" s="25"/>
      <c r="JT86" s="110"/>
      <c r="JU86" s="110"/>
      <c r="JV86" s="25"/>
      <c r="JW86" s="25"/>
      <c r="JX86" s="25"/>
      <c r="JY86" s="25"/>
      <c r="JZ86" s="25"/>
      <c r="KA86" s="110"/>
      <c r="KB86" s="110"/>
      <c r="KC86" s="25"/>
      <c r="KD86" s="25"/>
      <c r="KE86" s="25"/>
      <c r="KF86" s="25"/>
      <c r="KG86" s="25"/>
      <c r="KH86" s="110"/>
      <c r="KI86" s="110"/>
      <c r="KJ86" s="25"/>
      <c r="KK86" s="25"/>
      <c r="KL86" s="25"/>
      <c r="KM86" s="25"/>
      <c r="KN86" s="25"/>
      <c r="KO86" s="110"/>
      <c r="KP86" s="110"/>
      <c r="KQ86" s="25"/>
      <c r="KR86" s="25"/>
      <c r="KS86" s="25"/>
      <c r="KT86" s="25"/>
      <c r="KU86" s="25"/>
      <c r="KV86" s="110"/>
      <c r="KW86" s="110"/>
      <c r="KX86" s="25"/>
      <c r="KY86" s="25"/>
      <c r="KZ86" s="25"/>
      <c r="LA86" s="25"/>
      <c r="LB86" s="25"/>
      <c r="LC86" s="110"/>
      <c r="LD86" s="110"/>
      <c r="LE86" s="25"/>
      <c r="LF86" s="25"/>
      <c r="LG86" s="110" t="s">
        <v>445</v>
      </c>
      <c r="LH86" s="25"/>
      <c r="LI86" s="25"/>
      <c r="LJ86" s="110"/>
      <c r="LK86" s="110"/>
      <c r="LL86" s="25"/>
      <c r="LM86" s="25"/>
      <c r="LN86" s="25"/>
      <c r="LO86" s="25"/>
      <c r="LP86" s="25"/>
      <c r="LQ86" s="110"/>
      <c r="LR86" s="110"/>
      <c r="LS86" s="25"/>
      <c r="LT86" s="25"/>
      <c r="LU86" s="25"/>
      <c r="LV86" s="25"/>
      <c r="LW86" s="25"/>
      <c r="LX86" s="110"/>
      <c r="LY86" s="110"/>
      <c r="LZ86" s="25"/>
      <c r="MA86" s="25"/>
      <c r="MB86" s="25"/>
      <c r="MC86" s="25"/>
      <c r="MD86" s="25"/>
      <c r="ME86" s="110"/>
      <c r="MF86" s="110"/>
      <c r="MG86" s="25"/>
      <c r="MH86" s="25"/>
      <c r="MI86" s="25"/>
      <c r="MJ86" s="25"/>
      <c r="MK86" s="25"/>
      <c r="ML86" s="110"/>
      <c r="MM86" s="110"/>
      <c r="MN86" s="25"/>
      <c r="MO86" s="25"/>
      <c r="MP86" s="25"/>
      <c r="MQ86" s="25"/>
      <c r="MR86" s="25"/>
      <c r="MS86" s="110"/>
      <c r="MT86" s="110"/>
      <c r="MU86" s="25"/>
      <c r="MV86" s="25"/>
      <c r="MW86" s="25"/>
      <c r="MX86" s="25"/>
      <c r="MY86" s="25"/>
      <c r="MZ86" s="110"/>
      <c r="NA86" s="110"/>
      <c r="NB86" s="25"/>
      <c r="NC86" s="25"/>
      <c r="ND86" s="25"/>
      <c r="NE86" s="129"/>
      <c r="NF86" s="111"/>
      <c r="NG86" s="8">
        <f t="shared" si="54"/>
        <v>0</v>
      </c>
      <c r="NH86" s="32" cm="1">
        <f t="array" ref="NH86">NETWORKDAYS($I$2,$AI$2)- SUM(COUNTIF(I86:AI86,{"I";"F";"CP";"R";"P";"AC";"AM"}))</f>
        <v>20</v>
      </c>
      <c r="NI86" s="138">
        <f t="shared" si="55"/>
        <v>0</v>
      </c>
      <c r="NJ86" s="8">
        <f t="shared" si="56"/>
        <v>0</v>
      </c>
      <c r="NK86" s="32" cm="1">
        <f t="array" ref="NK86">NETWORKDAYS($AJ$2,$BK$2)- SUM(COUNTIF(AJ86:BK86,{"I";"F";"CP";"R";"P";"AC";"AM"}))</f>
        <v>20</v>
      </c>
      <c r="NL86" s="138">
        <f t="shared" si="57"/>
        <v>0</v>
      </c>
      <c r="NM86" s="8">
        <f t="shared" si="58"/>
        <v>0</v>
      </c>
      <c r="NN86" s="32" cm="1">
        <f t="array" ref="NN86">NETWORKDAYS($BL$2,$CP$2)- SUM(COUNTIF(BL86:CP86,{"I";"F";"CP";"R";"P";"AC";"AM"}))</f>
        <v>22</v>
      </c>
      <c r="NO86" s="138">
        <f t="shared" si="59"/>
        <v>0</v>
      </c>
      <c r="NP86" s="8">
        <f t="shared" si="53"/>
        <v>0</v>
      </c>
      <c r="NQ86" s="32" cm="1">
        <f t="array" ref="NQ86">NETWORKDAYS($CQ$2,$DT$2,$CV$2)- SUM(COUNTIF(CQ86:DT86,{"I";"F";"CP";"R";"P";"AC";"AM"}))</f>
        <v>21</v>
      </c>
      <c r="NR86" s="138">
        <f t="shared" si="60"/>
        <v>0</v>
      </c>
      <c r="NS86" s="8">
        <f t="shared" si="61"/>
        <v>0</v>
      </c>
      <c r="NT86" s="32" cm="1">
        <f t="array" ref="NT86">NETWORKDAYS($DV$2,$EY$2)-SUM(COUNTIF(DV86:EY86,{"I";"F";"CP";"R";"P";"AC";"AM"}))</f>
        <v>16</v>
      </c>
      <c r="NU86" s="138">
        <f t="shared" si="62"/>
        <v>0</v>
      </c>
      <c r="NV86" s="8">
        <f t="shared" si="63"/>
        <v>0</v>
      </c>
      <c r="NW86" s="32" cm="1">
        <f t="array" ref="NW86">NETWORKDAYS($EZ$2,$GC$2)-SUM(COUNTIF(EZ166:GC166,{"I";"F";"CP";"R";"P";"AC";"AM"}))</f>
        <v>22</v>
      </c>
      <c r="NX86" s="138">
        <f t="shared" si="64"/>
        <v>0</v>
      </c>
      <c r="NY86" s="8">
        <f t="shared" si="65"/>
        <v>0</v>
      </c>
      <c r="NZ86" s="32" cm="1">
        <f t="array" ref="NZ86">NETWORKDAYS($GD$2,$HH$2,$GQ$2)-SUM(COUNTIF(GD86:HH86,{"I";"F";"CP";"R";"P";"AC";"AM"}))</f>
        <v>21</v>
      </c>
      <c r="OA86" s="138">
        <f t="shared" si="66"/>
        <v>0</v>
      </c>
      <c r="OB86" s="8">
        <f t="shared" si="67"/>
        <v>0</v>
      </c>
      <c r="OC86" s="32" cm="1">
        <f t="array" ref="OC86">NETWORKDAYS($HI$2,$IM$2)-SUM(COUNTIF(HI86:IM86,{"I";"F";"CP";"R";"P";"AC";"AM"}))</f>
        <v>21</v>
      </c>
      <c r="OD86" s="138">
        <f t="shared" si="68"/>
        <v>0</v>
      </c>
      <c r="OE86" s="8">
        <f t="shared" si="69"/>
        <v>0</v>
      </c>
      <c r="OF86" s="32" cm="1">
        <f t="array" ref="OF86">NETWORKDAYS($IN$2,$JQ$2)-SUM(COUNTIF(IN86:JQ86,{"I";"F";"CP";"R";"P";"AC";"AM"}))</f>
        <v>22</v>
      </c>
      <c r="OG86" s="138">
        <f t="shared" si="70"/>
        <v>0</v>
      </c>
      <c r="OH86" s="8">
        <f t="shared" si="71"/>
        <v>0</v>
      </c>
      <c r="OI86" s="32" cm="1">
        <f t="array" ref="OI86">NETWORKDAYS($JR$2,$KV$2)-SUM(COUNTIF(JR86:KV86,{"I";"F";"CP";"R";"P";"AC";"AM"}))</f>
        <v>22</v>
      </c>
      <c r="OJ86" s="138">
        <f t="shared" si="72"/>
        <v>0</v>
      </c>
      <c r="OK86" s="8">
        <f t="shared" si="73"/>
        <v>0</v>
      </c>
      <c r="OL86" s="32" cm="1">
        <f t="array" ref="OL86">NETWORKDAYS($KW$2,$LZ$2,$LG$2)-SUM(COUNTIF(KW86:LZ86,{"I";"F";"CP";"R";"P";"AC";"AM"}))</f>
        <v>19</v>
      </c>
      <c r="OM86" s="138">
        <f t="shared" si="74"/>
        <v>0</v>
      </c>
      <c r="ON86" s="8">
        <f t="shared" si="75"/>
        <v>0</v>
      </c>
      <c r="OO86" s="32" cm="1">
        <f t="array" ref="OO86">NETWORKDAYS($MA$2,$MR$2)-SUM(COUNTIF(MA86:MR86,{"I";"F";"CP";"R";"P";"AC";"AM"}))</f>
        <v>14</v>
      </c>
      <c r="OP86" s="138">
        <f t="shared" si="76"/>
        <v>0</v>
      </c>
      <c r="OQ86" s="94">
        <f t="shared" si="77"/>
        <v>0</v>
      </c>
      <c r="OR86" s="94">
        <f t="shared" si="78"/>
        <v>240</v>
      </c>
      <c r="OS86" s="138">
        <f t="shared" si="79"/>
        <v>0</v>
      </c>
    </row>
    <row r="87" spans="1:409" ht="18" hidden="1" customHeight="1" x14ac:dyDescent="0.25">
      <c r="A87" s="95" t="s">
        <v>468</v>
      </c>
      <c r="B87" s="95" t="s">
        <v>34</v>
      </c>
      <c r="C87" s="89" t="s">
        <v>166</v>
      </c>
      <c r="D87" s="89" t="s">
        <v>271</v>
      </c>
      <c r="E87" s="128"/>
      <c r="F87" s="110"/>
      <c r="G87" s="110"/>
      <c r="H87" s="110"/>
      <c r="I87" s="25"/>
      <c r="J87" s="25"/>
      <c r="K87" s="25"/>
      <c r="L87" s="25"/>
      <c r="M87" s="25"/>
      <c r="N87" s="110"/>
      <c r="O87" s="110"/>
      <c r="P87" s="25"/>
      <c r="Q87" s="25"/>
      <c r="R87" s="25"/>
      <c r="S87" s="25"/>
      <c r="T87" s="25"/>
      <c r="U87" s="110"/>
      <c r="V87" s="110"/>
      <c r="W87" s="25"/>
      <c r="X87" s="25"/>
      <c r="Y87" s="25"/>
      <c r="Z87" s="25"/>
      <c r="AA87" s="25"/>
      <c r="AB87" s="110"/>
      <c r="AC87" s="110"/>
      <c r="AD87" s="25"/>
      <c r="AE87" s="25"/>
      <c r="AF87" s="25"/>
      <c r="AG87" s="25"/>
      <c r="AH87" s="25"/>
      <c r="AI87" s="110"/>
      <c r="AJ87" s="110"/>
      <c r="AK87" s="25"/>
      <c r="AL87" s="25"/>
      <c r="AM87" s="25"/>
      <c r="AN87" s="25"/>
      <c r="AO87" s="25"/>
      <c r="AP87" s="110"/>
      <c r="AQ87" s="110"/>
      <c r="AR87" s="25"/>
      <c r="AS87" s="25"/>
      <c r="AT87" s="25"/>
      <c r="AU87" s="25"/>
      <c r="AV87" s="25"/>
      <c r="AW87" s="110"/>
      <c r="AX87" s="110"/>
      <c r="AY87" s="25"/>
      <c r="AZ87" s="25"/>
      <c r="BA87" s="25"/>
      <c r="BB87" s="25"/>
      <c r="BC87" s="25"/>
      <c r="BD87" s="110"/>
      <c r="BE87" s="110"/>
      <c r="BF87" s="25"/>
      <c r="BG87" s="25"/>
      <c r="BH87" s="25"/>
      <c r="BI87" s="25"/>
      <c r="BJ87" s="25"/>
      <c r="BK87" s="110"/>
      <c r="BL87" s="110"/>
      <c r="BM87" s="25"/>
      <c r="BN87" s="25"/>
      <c r="BO87" s="25"/>
      <c r="BP87" s="25"/>
      <c r="BQ87" s="25"/>
      <c r="BR87" s="110"/>
      <c r="BS87" s="110"/>
      <c r="BT87" s="25"/>
      <c r="BU87" s="25"/>
      <c r="BV87" s="25"/>
      <c r="BW87" s="25"/>
      <c r="BX87" s="25"/>
      <c r="BY87" s="110"/>
      <c r="BZ87" s="110"/>
      <c r="CA87" s="25"/>
      <c r="CB87" s="25"/>
      <c r="CC87" s="25"/>
      <c r="CD87" s="25"/>
      <c r="CE87" s="25"/>
      <c r="CF87" s="110"/>
      <c r="CG87" s="110"/>
      <c r="CH87" s="25"/>
      <c r="CI87" s="25"/>
      <c r="CJ87" s="25"/>
      <c r="CK87" s="25"/>
      <c r="CL87" s="25"/>
      <c r="CM87" s="110"/>
      <c r="CN87" s="110"/>
      <c r="CO87" s="25"/>
      <c r="CP87" s="25"/>
      <c r="CQ87" s="25"/>
      <c r="CR87" s="25"/>
      <c r="CS87" s="25"/>
      <c r="CT87" s="110"/>
      <c r="CU87" s="110"/>
      <c r="CV87" s="110"/>
      <c r="CW87" s="25"/>
      <c r="CX87" s="25"/>
      <c r="CY87" s="25"/>
      <c r="CZ87" s="25"/>
      <c r="DA87" s="110"/>
      <c r="DB87" s="110"/>
      <c r="DC87" s="25"/>
      <c r="DD87" s="25"/>
      <c r="DE87" s="25"/>
      <c r="DF87" s="25"/>
      <c r="DG87" s="25"/>
      <c r="DH87" s="110"/>
      <c r="DI87" s="110"/>
      <c r="DJ87" s="25"/>
      <c r="DK87" s="25"/>
      <c r="DL87" s="25"/>
      <c r="DM87" s="25"/>
      <c r="DN87" s="25"/>
      <c r="DO87" s="110"/>
      <c r="DP87" s="110"/>
      <c r="DQ87" s="25"/>
      <c r="DR87" s="25"/>
      <c r="DS87" s="25"/>
      <c r="DT87" s="25"/>
      <c r="DU87" s="110"/>
      <c r="DV87" s="110"/>
      <c r="DW87" s="110"/>
      <c r="DX87" s="25"/>
      <c r="DY87" s="25"/>
      <c r="DZ87" s="25"/>
      <c r="EA87" s="25"/>
      <c r="EB87" s="110" t="s">
        <v>445</v>
      </c>
      <c r="EC87" s="110"/>
      <c r="ED87" s="110"/>
      <c r="EE87" s="25"/>
      <c r="EF87" s="25"/>
      <c r="EG87" s="25"/>
      <c r="EH87" s="110" t="s">
        <v>445</v>
      </c>
      <c r="EI87" s="110" t="s">
        <v>445</v>
      </c>
      <c r="EJ87" s="110"/>
      <c r="EK87" s="110"/>
      <c r="EL87" s="25"/>
      <c r="EM87" s="25"/>
      <c r="EN87" s="25"/>
      <c r="EO87" s="25"/>
      <c r="EP87" s="25"/>
      <c r="EQ87" s="110"/>
      <c r="ER87" s="110"/>
      <c r="ES87" s="110" t="s">
        <v>445</v>
      </c>
      <c r="ET87" s="25"/>
      <c r="EU87" s="25"/>
      <c r="EV87" s="25"/>
      <c r="EW87" s="25"/>
      <c r="EX87" s="110"/>
      <c r="EY87" s="110"/>
      <c r="EZ87" s="25"/>
      <c r="FA87" s="25"/>
      <c r="FB87" s="25"/>
      <c r="FC87" s="25"/>
      <c r="FD87" s="25"/>
      <c r="FE87" s="110"/>
      <c r="FF87" s="110"/>
      <c r="FG87" s="25"/>
      <c r="FH87" s="25"/>
      <c r="FI87" s="25"/>
      <c r="FJ87" s="25"/>
      <c r="FK87" s="25"/>
      <c r="FL87" s="110"/>
      <c r="FM87" s="110"/>
      <c r="FN87" s="25"/>
      <c r="FO87" s="25"/>
      <c r="FP87" s="25"/>
      <c r="FQ87" s="25"/>
      <c r="FR87" s="25"/>
      <c r="FS87" s="110"/>
      <c r="FT87" s="110"/>
      <c r="FU87" s="25"/>
      <c r="FV87" s="25"/>
      <c r="FW87" s="25"/>
      <c r="FX87" s="25"/>
      <c r="FY87" s="25"/>
      <c r="FZ87" s="110"/>
      <c r="GA87" s="110"/>
      <c r="GB87" s="25"/>
      <c r="GC87" s="25"/>
      <c r="GD87" s="25"/>
      <c r="GE87" s="25"/>
      <c r="GF87" s="25"/>
      <c r="GG87" s="110"/>
      <c r="GH87" s="110"/>
      <c r="GI87" s="25"/>
      <c r="GJ87" s="25"/>
      <c r="GK87" s="25"/>
      <c r="GL87" s="25"/>
      <c r="GM87" s="25"/>
      <c r="GN87" s="110"/>
      <c r="GO87" s="110"/>
      <c r="GP87" s="110"/>
      <c r="GQ87" s="110" t="s">
        <v>445</v>
      </c>
      <c r="GR87" s="25"/>
      <c r="GS87" s="25"/>
      <c r="GT87" s="25"/>
      <c r="GU87" s="110"/>
      <c r="GV87" s="110"/>
      <c r="GW87" s="25"/>
      <c r="GX87" s="25"/>
      <c r="GY87" s="25"/>
      <c r="GZ87" s="25"/>
      <c r="HA87" s="25"/>
      <c r="HB87" s="110"/>
      <c r="HC87" s="110"/>
      <c r="HD87" s="25"/>
      <c r="HE87" s="25"/>
      <c r="HF87" s="25"/>
      <c r="HG87" s="25"/>
      <c r="HH87" s="25"/>
      <c r="HI87" s="110"/>
      <c r="HJ87" s="110"/>
      <c r="HK87" s="25"/>
      <c r="HL87" s="25"/>
      <c r="HM87" s="25"/>
      <c r="HN87" s="25"/>
      <c r="HO87" s="25"/>
      <c r="HP87" s="110"/>
      <c r="HQ87" s="110"/>
      <c r="HR87" s="25"/>
      <c r="HS87" s="25"/>
      <c r="HT87" s="25"/>
      <c r="HU87" s="25"/>
      <c r="HV87" s="25"/>
      <c r="HW87" s="110"/>
      <c r="HX87" s="110"/>
      <c r="HY87" s="25"/>
      <c r="HZ87" s="25"/>
      <c r="IA87" s="25"/>
      <c r="IB87" s="25"/>
      <c r="IC87" s="25"/>
      <c r="ID87" s="110"/>
      <c r="IE87" s="110"/>
      <c r="IF87" s="25"/>
      <c r="IG87" s="25"/>
      <c r="IH87" s="25"/>
      <c r="II87" s="25"/>
      <c r="IJ87" s="25"/>
      <c r="IK87" s="110"/>
      <c r="IL87" s="110"/>
      <c r="IM87" s="25"/>
      <c r="IN87" s="25"/>
      <c r="IO87" s="25"/>
      <c r="IP87" s="25"/>
      <c r="IQ87" s="25"/>
      <c r="IR87" s="110"/>
      <c r="IS87" s="110"/>
      <c r="IT87" s="25"/>
      <c r="IU87" s="25"/>
      <c r="IV87" s="25"/>
      <c r="IW87" s="25"/>
      <c r="IX87" s="25"/>
      <c r="IY87" s="110"/>
      <c r="IZ87" s="110"/>
      <c r="JA87" s="25"/>
      <c r="JB87" s="25"/>
      <c r="JC87" s="25"/>
      <c r="JD87" s="25"/>
      <c r="JE87" s="25"/>
      <c r="JF87" s="110"/>
      <c r="JG87" s="110"/>
      <c r="JH87" s="25"/>
      <c r="JI87" s="25"/>
      <c r="JJ87" s="25"/>
      <c r="JK87" s="25"/>
      <c r="JL87" s="25"/>
      <c r="JM87" s="110"/>
      <c r="JN87" s="110"/>
      <c r="JO87" s="25"/>
      <c r="JP87" s="25"/>
      <c r="JQ87" s="25"/>
      <c r="JR87" s="25"/>
      <c r="JS87" s="25"/>
      <c r="JT87" s="110"/>
      <c r="JU87" s="110"/>
      <c r="JV87" s="25"/>
      <c r="JW87" s="25"/>
      <c r="JX87" s="25"/>
      <c r="JY87" s="25"/>
      <c r="JZ87" s="25"/>
      <c r="KA87" s="110"/>
      <c r="KB87" s="110"/>
      <c r="KC87" s="25"/>
      <c r="KD87" s="25"/>
      <c r="KE87" s="25"/>
      <c r="KF87" s="25"/>
      <c r="KG87" s="25"/>
      <c r="KH87" s="110"/>
      <c r="KI87" s="110"/>
      <c r="KJ87" s="25"/>
      <c r="KK87" s="25"/>
      <c r="KL87" s="25"/>
      <c r="KM87" s="25"/>
      <c r="KN87" s="25"/>
      <c r="KO87" s="110"/>
      <c r="KP87" s="110"/>
      <c r="KQ87" s="25"/>
      <c r="KR87" s="25"/>
      <c r="KS87" s="25"/>
      <c r="KT87" s="25"/>
      <c r="KU87" s="25"/>
      <c r="KV87" s="110"/>
      <c r="KW87" s="110"/>
      <c r="KX87" s="25"/>
      <c r="KY87" s="25"/>
      <c r="KZ87" s="25"/>
      <c r="LA87" s="25"/>
      <c r="LB87" s="25"/>
      <c r="LC87" s="110"/>
      <c r="LD87" s="110"/>
      <c r="LE87" s="25"/>
      <c r="LF87" s="25"/>
      <c r="LG87" s="110" t="s">
        <v>445</v>
      </c>
      <c r="LH87" s="25"/>
      <c r="LI87" s="25"/>
      <c r="LJ87" s="110"/>
      <c r="LK87" s="110"/>
      <c r="LL87" s="25"/>
      <c r="LM87" s="25"/>
      <c r="LN87" s="25"/>
      <c r="LO87" s="25"/>
      <c r="LP87" s="25"/>
      <c r="LQ87" s="110"/>
      <c r="LR87" s="110"/>
      <c r="LS87" s="25"/>
      <c r="LT87" s="25"/>
      <c r="LU87" s="25"/>
      <c r="LV87" s="25"/>
      <c r="LW87" s="25"/>
      <c r="LX87" s="110"/>
      <c r="LY87" s="110"/>
      <c r="LZ87" s="25"/>
      <c r="MA87" s="25"/>
      <c r="MB87" s="25"/>
      <c r="MC87" s="25"/>
      <c r="MD87" s="25"/>
      <c r="ME87" s="110"/>
      <c r="MF87" s="110"/>
      <c r="MG87" s="25"/>
      <c r="MH87" s="25"/>
      <c r="MI87" s="25"/>
      <c r="MJ87" s="25"/>
      <c r="MK87" s="25"/>
      <c r="ML87" s="110"/>
      <c r="MM87" s="110"/>
      <c r="MN87" s="25"/>
      <c r="MO87" s="25"/>
      <c r="MP87" s="25"/>
      <c r="MQ87" s="25"/>
      <c r="MR87" s="25"/>
      <c r="MS87" s="110"/>
      <c r="MT87" s="110"/>
      <c r="MU87" s="25"/>
      <c r="MV87" s="25"/>
      <c r="MW87" s="25"/>
      <c r="MX87" s="25"/>
      <c r="MY87" s="25"/>
      <c r="MZ87" s="110"/>
      <c r="NA87" s="110"/>
      <c r="NB87" s="25"/>
      <c r="NC87" s="25"/>
      <c r="ND87" s="25"/>
      <c r="NE87" s="129"/>
      <c r="NF87" s="111"/>
      <c r="NG87" s="8">
        <f t="shared" si="54"/>
        <v>0</v>
      </c>
      <c r="NH87" s="32" cm="1">
        <f t="array" ref="NH87">NETWORKDAYS($I$2,$AI$2)- SUM(COUNTIF(I87:AI87,{"I";"F";"CP";"R";"P";"AC";"AM"}))</f>
        <v>20</v>
      </c>
      <c r="NI87" s="138">
        <f t="shared" si="55"/>
        <v>0</v>
      </c>
      <c r="NJ87" s="8">
        <f t="shared" si="56"/>
        <v>0</v>
      </c>
      <c r="NK87" s="32" cm="1">
        <f t="array" ref="NK87">NETWORKDAYS($AJ$2,$BK$2)- SUM(COUNTIF(AJ87:BK87,{"I";"F";"CP";"R";"P";"AC";"AM"}))</f>
        <v>20</v>
      </c>
      <c r="NL87" s="138">
        <f t="shared" si="57"/>
        <v>0</v>
      </c>
      <c r="NM87" s="8">
        <f t="shared" si="58"/>
        <v>0</v>
      </c>
      <c r="NN87" s="32" cm="1">
        <f t="array" ref="NN87">NETWORKDAYS($BL$2,$CP$2)- SUM(COUNTIF(BL87:CP87,{"I";"F";"CP";"R";"P";"AC";"AM"}))</f>
        <v>22</v>
      </c>
      <c r="NO87" s="138">
        <f t="shared" si="59"/>
        <v>0</v>
      </c>
      <c r="NP87" s="32">
        <f t="shared" si="53"/>
        <v>0</v>
      </c>
      <c r="NQ87" s="32" cm="1">
        <f t="array" ref="NQ87">NETWORKDAYS($CQ$2,$DT$2,$CV$2)- SUM(COUNTIF(CQ87:DT87,{"I";"F";"CP";"R";"P";"AC";"AM"}))</f>
        <v>21</v>
      </c>
      <c r="NR87" s="138">
        <f t="shared" si="60"/>
        <v>0</v>
      </c>
      <c r="NS87" s="8">
        <f t="shared" si="61"/>
        <v>0</v>
      </c>
      <c r="NT87" s="32" cm="1">
        <f t="array" ref="NT87">NETWORKDAYS($DV$2,$EY$2)-SUM(COUNTIF(DV87:EY87,{"I";"F";"CP";"R";"P";"AC";"AM"}))</f>
        <v>16</v>
      </c>
      <c r="NU87" s="138">
        <f t="shared" si="62"/>
        <v>0</v>
      </c>
      <c r="NV87" s="8">
        <f t="shared" si="63"/>
        <v>0</v>
      </c>
      <c r="NW87" s="32" cm="1">
        <f t="array" ref="NW87">NETWORKDAYS($EZ$2,$GC$2)-SUM(COUNTIF(EZ167:GC167,{"I";"F";"CP";"R";"P";"AC";"AM"}))</f>
        <v>22</v>
      </c>
      <c r="NX87" s="138">
        <f t="shared" si="64"/>
        <v>0</v>
      </c>
      <c r="NY87" s="8">
        <f t="shared" si="65"/>
        <v>0</v>
      </c>
      <c r="NZ87" s="32" cm="1">
        <f t="array" ref="NZ87">NETWORKDAYS($GD$2,$HH$2,$GQ$2)-SUM(COUNTIF(GD87:HH87,{"I";"F";"CP";"R";"P";"AC";"AM"}))</f>
        <v>21</v>
      </c>
      <c r="OA87" s="138">
        <f t="shared" si="66"/>
        <v>0</v>
      </c>
      <c r="OB87" s="8">
        <f t="shared" si="67"/>
        <v>0</v>
      </c>
      <c r="OC87" s="32" cm="1">
        <f t="array" ref="OC87">NETWORKDAYS($HI$2,$IM$2)-SUM(COUNTIF(HI87:IM87,{"I";"F";"CP";"R";"P";"AC";"AM"}))</f>
        <v>21</v>
      </c>
      <c r="OD87" s="138">
        <f t="shared" si="68"/>
        <v>0</v>
      </c>
      <c r="OE87" s="8">
        <f t="shared" si="69"/>
        <v>0</v>
      </c>
      <c r="OF87" s="32" cm="1">
        <f t="array" ref="OF87">NETWORKDAYS($IN$2,$JQ$2)-SUM(COUNTIF(IN87:JQ87,{"I";"F";"CP";"R";"P";"AC";"AM"}))</f>
        <v>22</v>
      </c>
      <c r="OG87" s="138">
        <f t="shared" si="70"/>
        <v>0</v>
      </c>
      <c r="OH87" s="8">
        <f t="shared" si="71"/>
        <v>0</v>
      </c>
      <c r="OI87" s="32" cm="1">
        <f t="array" ref="OI87">NETWORKDAYS($JR$2,$KV$2)-SUM(COUNTIF(JR87:KV87,{"I";"F";"CP";"R";"P";"AC";"AM"}))</f>
        <v>22</v>
      </c>
      <c r="OJ87" s="138">
        <f t="shared" si="72"/>
        <v>0</v>
      </c>
      <c r="OK87" s="8">
        <f t="shared" si="73"/>
        <v>0</v>
      </c>
      <c r="OL87" s="32" cm="1">
        <f t="array" ref="OL87">NETWORKDAYS($KW$2,$LZ$2,$LG$2)-SUM(COUNTIF(KW87:LZ87,{"I";"F";"CP";"R";"P";"AC";"AM"}))</f>
        <v>19</v>
      </c>
      <c r="OM87" s="138">
        <f t="shared" si="74"/>
        <v>0</v>
      </c>
      <c r="ON87" s="8">
        <f t="shared" si="75"/>
        <v>0</v>
      </c>
      <c r="OO87" s="32" cm="1">
        <f t="array" ref="OO87">NETWORKDAYS($MA$2,$MR$2)-SUM(COUNTIF(MA87:MR87,{"I";"F";"CP";"R";"P";"AC";"AM"}))</f>
        <v>14</v>
      </c>
      <c r="OP87" s="138">
        <f t="shared" si="76"/>
        <v>0</v>
      </c>
      <c r="OQ87" s="94">
        <f t="shared" si="77"/>
        <v>0</v>
      </c>
      <c r="OR87" s="94">
        <f t="shared" si="78"/>
        <v>240</v>
      </c>
      <c r="OS87" s="138">
        <f t="shared" si="79"/>
        <v>0</v>
      </c>
    </row>
    <row r="88" spans="1:409" ht="18" customHeight="1" x14ac:dyDescent="0.25">
      <c r="A88" s="95" t="s">
        <v>178</v>
      </c>
      <c r="B88" s="95" t="s">
        <v>34</v>
      </c>
      <c r="C88" s="89" t="s">
        <v>166</v>
      </c>
      <c r="D88" s="89" t="s">
        <v>272</v>
      </c>
      <c r="E88" s="128"/>
      <c r="F88" s="110"/>
      <c r="G88" s="110"/>
      <c r="H88" s="110"/>
      <c r="I88" s="25" t="s">
        <v>248</v>
      </c>
      <c r="J88" s="25" t="s">
        <v>248</v>
      </c>
      <c r="K88" s="25" t="s">
        <v>248</v>
      </c>
      <c r="L88" s="25" t="s">
        <v>248</v>
      </c>
      <c r="M88" s="25" t="s">
        <v>248</v>
      </c>
      <c r="N88" s="110"/>
      <c r="O88" s="110"/>
      <c r="P88" s="25"/>
      <c r="Q88" s="25"/>
      <c r="R88" s="25">
        <v>1</v>
      </c>
      <c r="S88" s="25">
        <v>1</v>
      </c>
      <c r="T88" s="25">
        <v>1</v>
      </c>
      <c r="U88" s="110"/>
      <c r="V88" s="110"/>
      <c r="W88" s="25">
        <v>1</v>
      </c>
      <c r="X88" s="25">
        <v>1</v>
      </c>
      <c r="Y88" s="25">
        <v>1</v>
      </c>
      <c r="Z88" s="25">
        <v>1</v>
      </c>
      <c r="AA88" s="25">
        <v>1</v>
      </c>
      <c r="AB88" s="110"/>
      <c r="AC88" s="110"/>
      <c r="AD88" s="25"/>
      <c r="AE88" s="25"/>
      <c r="AF88" s="25"/>
      <c r="AG88" s="25"/>
      <c r="AH88" s="25">
        <v>1</v>
      </c>
      <c r="AI88" s="110"/>
      <c r="AJ88" s="110"/>
      <c r="AK88" s="25">
        <v>1</v>
      </c>
      <c r="AL88" s="25">
        <v>1</v>
      </c>
      <c r="AM88" s="25">
        <v>1</v>
      </c>
      <c r="AN88" s="25">
        <v>1</v>
      </c>
      <c r="AO88" s="25">
        <v>1</v>
      </c>
      <c r="AP88" s="110"/>
      <c r="AQ88" s="110"/>
      <c r="AR88" s="25" t="s">
        <v>223</v>
      </c>
      <c r="AS88" s="25" t="s">
        <v>223</v>
      </c>
      <c r="AT88" s="25" t="s">
        <v>223</v>
      </c>
      <c r="AU88" s="25" t="s">
        <v>223</v>
      </c>
      <c r="AV88" s="25" t="s">
        <v>223</v>
      </c>
      <c r="AW88" s="110"/>
      <c r="AX88" s="110"/>
      <c r="AY88" s="25"/>
      <c r="AZ88" s="25"/>
      <c r="BA88" s="25" t="s">
        <v>162</v>
      </c>
      <c r="BB88" s="25"/>
      <c r="BC88" s="25"/>
      <c r="BD88" s="110"/>
      <c r="BE88" s="110"/>
      <c r="BF88" s="25"/>
      <c r="BG88" s="25" t="s">
        <v>447</v>
      </c>
      <c r="BH88" s="25" t="s">
        <v>447</v>
      </c>
      <c r="BI88" s="25"/>
      <c r="BJ88" s="25">
        <v>1</v>
      </c>
      <c r="BK88" s="110"/>
      <c r="BL88" s="110"/>
      <c r="BM88" s="25"/>
      <c r="BN88" s="25">
        <v>1</v>
      </c>
      <c r="BO88" s="25"/>
      <c r="BP88" s="25">
        <v>1</v>
      </c>
      <c r="BQ88" s="25">
        <v>1</v>
      </c>
      <c r="BR88" s="110"/>
      <c r="BS88" s="110"/>
      <c r="BT88" s="25" t="s">
        <v>162</v>
      </c>
      <c r="BU88" s="25" t="s">
        <v>162</v>
      </c>
      <c r="BV88" s="25" t="s">
        <v>162</v>
      </c>
      <c r="BW88" s="25" t="s">
        <v>162</v>
      </c>
      <c r="BX88" s="25" t="s">
        <v>162</v>
      </c>
      <c r="BY88" s="110"/>
      <c r="BZ88" s="110"/>
      <c r="CA88" s="25" t="s">
        <v>162</v>
      </c>
      <c r="CB88" s="25" t="s">
        <v>162</v>
      </c>
      <c r="CC88" s="25" t="s">
        <v>162</v>
      </c>
      <c r="CD88" s="25" t="s">
        <v>162</v>
      </c>
      <c r="CE88" s="25" t="s">
        <v>162</v>
      </c>
      <c r="CF88" s="110"/>
      <c r="CG88" s="110"/>
      <c r="CH88" s="25" t="s">
        <v>162</v>
      </c>
      <c r="CI88" s="25" t="s">
        <v>162</v>
      </c>
      <c r="CJ88" s="25" t="s">
        <v>162</v>
      </c>
      <c r="CK88" s="25" t="s">
        <v>162</v>
      </c>
      <c r="CL88" s="25" t="s">
        <v>162</v>
      </c>
      <c r="CM88" s="110"/>
      <c r="CN88" s="110"/>
      <c r="CO88" s="25" t="s">
        <v>162</v>
      </c>
      <c r="CP88" s="25" t="s">
        <v>162</v>
      </c>
      <c r="CQ88" s="25"/>
      <c r="CR88" s="25"/>
      <c r="CS88" s="25"/>
      <c r="CT88" s="110"/>
      <c r="CU88" s="110"/>
      <c r="CV88" s="110"/>
      <c r="CW88" s="25"/>
      <c r="CX88" s="25"/>
      <c r="CY88" s="25"/>
      <c r="CZ88" s="25"/>
      <c r="DA88" s="110"/>
      <c r="DB88" s="110"/>
      <c r="DC88" s="25"/>
      <c r="DD88" s="25"/>
      <c r="DE88" s="25"/>
      <c r="DF88" s="25"/>
      <c r="DG88" s="25"/>
      <c r="DH88" s="110"/>
      <c r="DI88" s="110"/>
      <c r="DJ88" s="25"/>
      <c r="DK88" s="25"/>
      <c r="DL88" s="25"/>
      <c r="DM88" s="25"/>
      <c r="DN88" s="25"/>
      <c r="DO88" s="110"/>
      <c r="DP88" s="110"/>
      <c r="DQ88" s="25"/>
      <c r="DR88" s="25"/>
      <c r="DS88" s="25"/>
      <c r="DT88" s="25"/>
      <c r="DU88" s="110"/>
      <c r="DV88" s="110"/>
      <c r="DW88" s="110"/>
      <c r="DX88" s="25" t="s">
        <v>162</v>
      </c>
      <c r="DY88" s="25" t="s">
        <v>162</v>
      </c>
      <c r="DZ88" s="25" t="s">
        <v>162</v>
      </c>
      <c r="EA88" s="25" t="s">
        <v>162</v>
      </c>
      <c r="EB88" s="110" t="s">
        <v>445</v>
      </c>
      <c r="EC88" s="110"/>
      <c r="ED88" s="110"/>
      <c r="EE88" s="25" t="s">
        <v>162</v>
      </c>
      <c r="EF88" s="25" t="s">
        <v>162</v>
      </c>
      <c r="EG88" s="25" t="s">
        <v>162</v>
      </c>
      <c r="EH88" s="110" t="s">
        <v>445</v>
      </c>
      <c r="EI88" s="110" t="s">
        <v>445</v>
      </c>
      <c r="EJ88" s="110"/>
      <c r="EK88" s="110"/>
      <c r="EL88" s="25" t="s">
        <v>162</v>
      </c>
      <c r="EM88" s="25" t="s">
        <v>162</v>
      </c>
      <c r="EN88" s="25" t="s">
        <v>162</v>
      </c>
      <c r="EO88" s="25" t="s">
        <v>162</v>
      </c>
      <c r="EP88" s="25" t="s">
        <v>162</v>
      </c>
      <c r="EQ88" s="110"/>
      <c r="ER88" s="110"/>
      <c r="ES88" s="110" t="s">
        <v>445</v>
      </c>
      <c r="ET88" s="25" t="s">
        <v>162</v>
      </c>
      <c r="EU88" s="25" t="s">
        <v>162</v>
      </c>
      <c r="EV88" s="25" t="s">
        <v>162</v>
      </c>
      <c r="EW88" s="25" t="s">
        <v>162</v>
      </c>
      <c r="EX88" s="110"/>
      <c r="EY88" s="110"/>
      <c r="EZ88" s="25"/>
      <c r="FA88" s="25"/>
      <c r="FB88" s="25"/>
      <c r="FC88" s="25"/>
      <c r="FD88" s="25"/>
      <c r="FE88" s="110"/>
      <c r="FF88" s="110"/>
      <c r="FG88" s="25"/>
      <c r="FH88" s="25"/>
      <c r="FI88" s="25"/>
      <c r="FJ88" s="25"/>
      <c r="FK88" s="25"/>
      <c r="FL88" s="110"/>
      <c r="FM88" s="110"/>
      <c r="FN88" s="25"/>
      <c r="FO88" s="25"/>
      <c r="FP88" s="25"/>
      <c r="FQ88" s="25"/>
      <c r="FR88" s="25"/>
      <c r="FS88" s="110"/>
      <c r="FT88" s="110"/>
      <c r="FU88" s="25"/>
      <c r="FV88" s="25"/>
      <c r="FW88" s="25"/>
      <c r="FX88" s="25"/>
      <c r="FY88" s="25"/>
      <c r="FZ88" s="110"/>
      <c r="GA88" s="110"/>
      <c r="GB88" s="25"/>
      <c r="GC88" s="25"/>
      <c r="GD88" s="25"/>
      <c r="GE88" s="25"/>
      <c r="GF88" s="25"/>
      <c r="GG88" s="110"/>
      <c r="GH88" s="110"/>
      <c r="GI88" s="25"/>
      <c r="GJ88" s="25"/>
      <c r="GK88" s="25"/>
      <c r="GL88" s="25"/>
      <c r="GM88" s="25"/>
      <c r="GN88" s="110"/>
      <c r="GO88" s="110"/>
      <c r="GP88" s="110"/>
      <c r="GQ88" s="110" t="s">
        <v>445</v>
      </c>
      <c r="GR88" s="25"/>
      <c r="GS88" s="25"/>
      <c r="GT88" s="25"/>
      <c r="GU88" s="110"/>
      <c r="GV88" s="110"/>
      <c r="GW88" s="25"/>
      <c r="GX88" s="25"/>
      <c r="GY88" s="25"/>
      <c r="GZ88" s="25"/>
      <c r="HA88" s="25"/>
      <c r="HB88" s="110"/>
      <c r="HC88" s="110"/>
      <c r="HD88" s="25"/>
      <c r="HE88" s="25"/>
      <c r="HF88" s="25"/>
      <c r="HG88" s="25"/>
      <c r="HH88" s="25"/>
      <c r="HI88" s="110"/>
      <c r="HJ88" s="110"/>
      <c r="HK88" s="25"/>
      <c r="HL88" s="25"/>
      <c r="HM88" s="25"/>
      <c r="HN88" s="25"/>
      <c r="HO88" s="25"/>
      <c r="HP88" s="110"/>
      <c r="HQ88" s="110"/>
      <c r="HR88" s="25"/>
      <c r="HS88" s="25"/>
      <c r="HT88" s="25"/>
      <c r="HU88" s="25"/>
      <c r="HV88" s="25"/>
      <c r="HW88" s="110"/>
      <c r="HX88" s="110"/>
      <c r="HY88" s="25"/>
      <c r="HZ88" s="25"/>
      <c r="IA88" s="25"/>
      <c r="IB88" s="25"/>
      <c r="IC88" s="25"/>
      <c r="ID88" s="110"/>
      <c r="IE88" s="110"/>
      <c r="IF88" s="25"/>
      <c r="IG88" s="25"/>
      <c r="IH88" s="25"/>
      <c r="II88" s="25"/>
      <c r="IJ88" s="25"/>
      <c r="IK88" s="110"/>
      <c r="IL88" s="110"/>
      <c r="IM88" s="25"/>
      <c r="IN88" s="25"/>
      <c r="IO88" s="25"/>
      <c r="IP88" s="25"/>
      <c r="IQ88" s="25"/>
      <c r="IR88" s="110"/>
      <c r="IS88" s="110"/>
      <c r="IT88" s="25"/>
      <c r="IU88" s="25"/>
      <c r="IV88" s="25"/>
      <c r="IW88" s="25"/>
      <c r="IX88" s="25"/>
      <c r="IY88" s="110"/>
      <c r="IZ88" s="110"/>
      <c r="JA88" s="25"/>
      <c r="JB88" s="25"/>
      <c r="JC88" s="25"/>
      <c r="JD88" s="25"/>
      <c r="JE88" s="25"/>
      <c r="JF88" s="110"/>
      <c r="JG88" s="110"/>
      <c r="JH88" s="25"/>
      <c r="JI88" s="25"/>
      <c r="JJ88" s="25"/>
      <c r="JK88" s="25"/>
      <c r="JL88" s="25"/>
      <c r="JM88" s="110"/>
      <c r="JN88" s="110"/>
      <c r="JO88" s="25"/>
      <c r="JP88" s="25"/>
      <c r="JQ88" s="25"/>
      <c r="JR88" s="25"/>
      <c r="JS88" s="25"/>
      <c r="JT88" s="110"/>
      <c r="JU88" s="110"/>
      <c r="JV88" s="25"/>
      <c r="JW88" s="25"/>
      <c r="JX88" s="25"/>
      <c r="JY88" s="25"/>
      <c r="JZ88" s="25"/>
      <c r="KA88" s="110"/>
      <c r="KB88" s="110"/>
      <c r="KC88" s="25"/>
      <c r="KD88" s="25"/>
      <c r="KE88" s="25"/>
      <c r="KF88" s="25"/>
      <c r="KG88" s="25"/>
      <c r="KH88" s="110"/>
      <c r="KI88" s="110"/>
      <c r="KJ88" s="25"/>
      <c r="KK88" s="25"/>
      <c r="KL88" s="25"/>
      <c r="KM88" s="25"/>
      <c r="KN88" s="25"/>
      <c r="KO88" s="110"/>
      <c r="KP88" s="110"/>
      <c r="KQ88" s="25"/>
      <c r="KR88" s="25"/>
      <c r="KS88" s="25"/>
      <c r="KT88" s="25"/>
      <c r="KU88" s="25"/>
      <c r="KV88" s="110"/>
      <c r="KW88" s="110"/>
      <c r="KX88" s="25"/>
      <c r="KY88" s="25"/>
      <c r="KZ88" s="25"/>
      <c r="LA88" s="25"/>
      <c r="LB88" s="25"/>
      <c r="LC88" s="110"/>
      <c r="LD88" s="110"/>
      <c r="LE88" s="25"/>
      <c r="LF88" s="25"/>
      <c r="LG88" s="110" t="s">
        <v>445</v>
      </c>
      <c r="LH88" s="25"/>
      <c r="LI88" s="25"/>
      <c r="LJ88" s="110"/>
      <c r="LK88" s="110"/>
      <c r="LL88" s="25"/>
      <c r="LM88" s="25"/>
      <c r="LN88" s="25"/>
      <c r="LO88" s="25"/>
      <c r="LP88" s="25"/>
      <c r="LQ88" s="110"/>
      <c r="LR88" s="110"/>
      <c r="LS88" s="25"/>
      <c r="LT88" s="25"/>
      <c r="LU88" s="25"/>
      <c r="LV88" s="25"/>
      <c r="LW88" s="25"/>
      <c r="LX88" s="110"/>
      <c r="LY88" s="110"/>
      <c r="LZ88" s="25"/>
      <c r="MA88" s="25"/>
      <c r="MB88" s="25"/>
      <c r="MC88" s="25"/>
      <c r="MD88" s="25"/>
      <c r="ME88" s="110"/>
      <c r="MF88" s="110"/>
      <c r="MG88" s="25"/>
      <c r="MH88" s="25"/>
      <c r="MI88" s="25"/>
      <c r="MJ88" s="25"/>
      <c r="MK88" s="25"/>
      <c r="ML88" s="110"/>
      <c r="MM88" s="110"/>
      <c r="MN88" s="25"/>
      <c r="MO88" s="25"/>
      <c r="MP88" s="25"/>
      <c r="MQ88" s="25"/>
      <c r="MR88" s="25"/>
      <c r="MS88" s="110"/>
      <c r="MT88" s="110"/>
      <c r="MU88" s="25"/>
      <c r="MV88" s="25"/>
      <c r="MW88" s="25"/>
      <c r="MX88" s="25"/>
      <c r="MY88" s="25"/>
      <c r="MZ88" s="110"/>
      <c r="NA88" s="110"/>
      <c r="NB88" s="25"/>
      <c r="NC88" s="25"/>
      <c r="ND88" s="25"/>
      <c r="NE88" s="129"/>
      <c r="NF88" s="111"/>
      <c r="NG88" s="8">
        <f t="shared" si="54"/>
        <v>9</v>
      </c>
      <c r="NH88" s="32" cm="1">
        <f t="array" ref="NH88">NETWORKDAYS($I$2,$AI$2)- SUM(COUNTIF(I88:AI88,{"I";"F";"CP";"R";"P";"AC";"AM"}))</f>
        <v>20</v>
      </c>
      <c r="NI88" s="138">
        <f t="shared" si="55"/>
        <v>0.45</v>
      </c>
      <c r="NJ88" s="8">
        <f t="shared" si="56"/>
        <v>6</v>
      </c>
      <c r="NK88" s="32" cm="1">
        <f t="array" ref="NK88">NETWORKDAYS($AJ$2,$BK$2)- SUM(COUNTIF(AJ88:BK88,{"I";"F";"CP";"R";"P";"AC";"AM"}))</f>
        <v>12</v>
      </c>
      <c r="NL88" s="138">
        <f t="shared" si="57"/>
        <v>0.5</v>
      </c>
      <c r="NM88" s="8">
        <f t="shared" si="58"/>
        <v>3</v>
      </c>
      <c r="NN88" s="32" cm="1">
        <f t="array" ref="NN88">NETWORKDAYS($BL$2,$CP$2)- SUM(COUNTIF(BL88:CP88,{"I";"F";"CP";"R";"P";"AC";"AM"}))</f>
        <v>5</v>
      </c>
      <c r="NO88" s="138">
        <f t="shared" si="59"/>
        <v>0.6</v>
      </c>
      <c r="NP88" s="8">
        <f t="shared" si="53"/>
        <v>0</v>
      </c>
      <c r="NQ88" s="32" cm="1">
        <f t="array" ref="NQ88">NETWORKDAYS($CQ$2,$DT$2,$CV$2)- SUM(COUNTIF(CQ88:DT88,{"I";"F";"CP";"R";"P";"AC";"AM"}))</f>
        <v>21</v>
      </c>
      <c r="NR88" s="138">
        <f t="shared" si="60"/>
        <v>0</v>
      </c>
      <c r="NS88" s="8">
        <f t="shared" si="61"/>
        <v>0</v>
      </c>
      <c r="NT88" s="32" cm="1">
        <f t="array" ref="NT88">NETWORKDAYS($DV$2,$EY$2)-SUM(COUNTIF(DV88:EY88,{"I";"F";"CP";"R";"P";"AC";"AM"}))</f>
        <v>0</v>
      </c>
      <c r="NU88" s="138" t="e">
        <f t="shared" si="62"/>
        <v>#DIV/0!</v>
      </c>
      <c r="NV88" s="8">
        <f t="shared" si="63"/>
        <v>0</v>
      </c>
      <c r="NW88" s="32" cm="1">
        <f t="array" ref="NW88">NETWORKDAYS($EZ$2,$GC$2)-SUM(COUNTIF(EZ168:GC168,{"I";"F";"CP";"R";"P";"AC";"AM"}))</f>
        <v>22</v>
      </c>
      <c r="NX88" s="138">
        <f t="shared" si="64"/>
        <v>0</v>
      </c>
      <c r="NY88" s="8">
        <f t="shared" si="65"/>
        <v>0</v>
      </c>
      <c r="NZ88" s="32" cm="1">
        <f t="array" ref="NZ88">NETWORKDAYS($GD$2,$HH$2,$GQ$2)-SUM(COUNTIF(GD88:HH88,{"I";"F";"CP";"R";"P";"AC";"AM"}))</f>
        <v>21</v>
      </c>
      <c r="OA88" s="138">
        <f t="shared" si="66"/>
        <v>0</v>
      </c>
      <c r="OB88" s="8">
        <f t="shared" si="67"/>
        <v>0</v>
      </c>
      <c r="OC88" s="32" cm="1">
        <f t="array" ref="OC88">NETWORKDAYS($HI$2,$IM$2)-SUM(COUNTIF(HI88:IM88,{"I";"F";"CP";"R";"P";"AC";"AM"}))</f>
        <v>21</v>
      </c>
      <c r="OD88" s="138">
        <f t="shared" si="68"/>
        <v>0</v>
      </c>
      <c r="OE88" s="8">
        <f t="shared" si="69"/>
        <v>0</v>
      </c>
      <c r="OF88" s="32" cm="1">
        <f t="array" ref="OF88">NETWORKDAYS($IN$2,$JQ$2)-SUM(COUNTIF(IN88:JQ88,{"I";"F";"CP";"R";"P";"AC";"AM"}))</f>
        <v>22</v>
      </c>
      <c r="OG88" s="138">
        <f t="shared" si="70"/>
        <v>0</v>
      </c>
      <c r="OH88" s="8">
        <f t="shared" si="71"/>
        <v>0</v>
      </c>
      <c r="OI88" s="32" cm="1">
        <f t="array" ref="OI88">NETWORKDAYS($JR$2,$KV$2)-SUM(COUNTIF(JR88:KV88,{"I";"F";"CP";"R";"P";"AC";"AM"}))</f>
        <v>22</v>
      </c>
      <c r="OJ88" s="138">
        <f t="shared" si="72"/>
        <v>0</v>
      </c>
      <c r="OK88" s="8">
        <f t="shared" si="73"/>
        <v>0</v>
      </c>
      <c r="OL88" s="32" cm="1">
        <f t="array" ref="OL88">NETWORKDAYS($KW$2,$LZ$2,$LG$2)-SUM(COUNTIF(KW88:LZ88,{"I";"F";"CP";"R";"P";"AC";"AM"}))</f>
        <v>19</v>
      </c>
      <c r="OM88" s="138">
        <f t="shared" si="74"/>
        <v>0</v>
      </c>
      <c r="ON88" s="8">
        <f t="shared" si="75"/>
        <v>0</v>
      </c>
      <c r="OO88" s="32" cm="1">
        <f t="array" ref="OO88">NETWORKDAYS($MA$2,$MR$2)-SUM(COUNTIF(MA88:MR88,{"I";"F";"CP";"R";"P";"AC";"AM"}))</f>
        <v>14</v>
      </c>
      <c r="OP88" s="138">
        <f t="shared" si="76"/>
        <v>0</v>
      </c>
      <c r="OQ88" s="94">
        <f t="shared" si="77"/>
        <v>18</v>
      </c>
      <c r="OR88" s="94">
        <f t="shared" si="78"/>
        <v>199</v>
      </c>
      <c r="OS88" s="138">
        <f t="shared" si="79"/>
        <v>9.0452261306532666E-2</v>
      </c>
    </row>
    <row r="89" spans="1:409" ht="18" customHeight="1" x14ac:dyDescent="0.25">
      <c r="A89" s="95" t="s">
        <v>181</v>
      </c>
      <c r="B89" s="95" t="s">
        <v>34</v>
      </c>
      <c r="C89" s="89" t="s">
        <v>160</v>
      </c>
      <c r="D89" s="89" t="s">
        <v>273</v>
      </c>
      <c r="E89" s="128"/>
      <c r="F89" s="110"/>
      <c r="G89" s="110"/>
      <c r="H89" s="110"/>
      <c r="I89" s="25" t="s">
        <v>248</v>
      </c>
      <c r="J89" s="25" t="s">
        <v>248</v>
      </c>
      <c r="K89" s="25" t="s">
        <v>248</v>
      </c>
      <c r="L89" s="25" t="s">
        <v>248</v>
      </c>
      <c r="M89" s="25" t="s">
        <v>248</v>
      </c>
      <c r="N89" s="110"/>
      <c r="O89" s="110"/>
      <c r="P89" s="25"/>
      <c r="Q89" s="25">
        <v>1</v>
      </c>
      <c r="R89" s="25">
        <v>1</v>
      </c>
      <c r="S89" s="25" t="s">
        <v>447</v>
      </c>
      <c r="T89" s="25">
        <v>1</v>
      </c>
      <c r="U89" s="110"/>
      <c r="V89" s="110"/>
      <c r="W89" s="25">
        <v>1</v>
      </c>
      <c r="X89" s="25"/>
      <c r="Y89" s="25">
        <v>1</v>
      </c>
      <c r="Z89" s="25">
        <v>1</v>
      </c>
      <c r="AA89" s="25">
        <v>1</v>
      </c>
      <c r="AB89" s="110"/>
      <c r="AC89" s="110"/>
      <c r="AD89" s="25">
        <v>1</v>
      </c>
      <c r="AE89" s="25">
        <v>1</v>
      </c>
      <c r="AF89" s="25">
        <v>1</v>
      </c>
      <c r="AG89" s="25"/>
      <c r="AH89" s="25">
        <v>1</v>
      </c>
      <c r="AI89" s="110"/>
      <c r="AJ89" s="110"/>
      <c r="AK89" s="25">
        <v>1</v>
      </c>
      <c r="AL89" s="25">
        <v>1</v>
      </c>
      <c r="AM89" s="25">
        <v>1</v>
      </c>
      <c r="AN89" s="25">
        <v>1</v>
      </c>
      <c r="AO89" s="25"/>
      <c r="AP89" s="110"/>
      <c r="AQ89" s="110"/>
      <c r="AR89" s="25">
        <v>1</v>
      </c>
      <c r="AS89" s="25" t="s">
        <v>447</v>
      </c>
      <c r="AT89" s="25" t="s">
        <v>447</v>
      </c>
      <c r="AU89" s="25">
        <v>0</v>
      </c>
      <c r="AV89" s="25"/>
      <c r="AW89" s="110"/>
      <c r="AX89" s="110"/>
      <c r="AY89" s="25">
        <v>1</v>
      </c>
      <c r="AZ89" s="25"/>
      <c r="BA89" s="25">
        <v>1</v>
      </c>
      <c r="BB89" s="25">
        <v>1</v>
      </c>
      <c r="BC89" s="25"/>
      <c r="BD89" s="110"/>
      <c r="BE89" s="110"/>
      <c r="BF89" s="25">
        <v>1</v>
      </c>
      <c r="BG89" s="25">
        <v>1</v>
      </c>
      <c r="BH89" s="25">
        <v>1</v>
      </c>
      <c r="BI89" s="25">
        <v>1</v>
      </c>
      <c r="BJ89" s="25"/>
      <c r="BK89" s="110"/>
      <c r="BL89" s="110"/>
      <c r="BM89" s="25">
        <v>1</v>
      </c>
      <c r="BN89" s="25">
        <v>1</v>
      </c>
      <c r="BO89" s="25">
        <v>1</v>
      </c>
      <c r="BP89" s="25">
        <v>1</v>
      </c>
      <c r="BQ89" s="25"/>
      <c r="BR89" s="110"/>
      <c r="BS89" s="110"/>
      <c r="BT89" s="25"/>
      <c r="BU89" s="25"/>
      <c r="BV89" s="25">
        <v>1</v>
      </c>
      <c r="BW89" s="25">
        <v>1</v>
      </c>
      <c r="BX89" s="25">
        <v>1</v>
      </c>
      <c r="BY89" s="110"/>
      <c r="BZ89" s="110"/>
      <c r="CA89" s="25">
        <v>1</v>
      </c>
      <c r="CB89" s="25">
        <v>1</v>
      </c>
      <c r="CC89" s="25">
        <v>1</v>
      </c>
      <c r="CD89" s="25">
        <v>1</v>
      </c>
      <c r="CE89" s="25">
        <v>1</v>
      </c>
      <c r="CF89" s="110"/>
      <c r="CG89" s="110"/>
      <c r="CH89" s="25">
        <v>1</v>
      </c>
      <c r="CI89" s="25">
        <v>1</v>
      </c>
      <c r="CJ89" s="25"/>
      <c r="CK89" s="25">
        <v>1</v>
      </c>
      <c r="CL89" s="25" t="s">
        <v>445</v>
      </c>
      <c r="CM89" s="110"/>
      <c r="CN89" s="110"/>
      <c r="CO89" s="25"/>
      <c r="CP89" s="25">
        <v>1</v>
      </c>
      <c r="CQ89" s="25">
        <v>1</v>
      </c>
      <c r="CR89" s="25">
        <v>1</v>
      </c>
      <c r="CS89" s="25"/>
      <c r="CT89" s="110"/>
      <c r="CU89" s="110"/>
      <c r="CV89" s="110"/>
      <c r="CW89" s="25">
        <v>1</v>
      </c>
      <c r="CX89" s="25">
        <v>1</v>
      </c>
      <c r="CY89" s="25">
        <v>1</v>
      </c>
      <c r="CZ89" s="25">
        <v>1</v>
      </c>
      <c r="DA89" s="110"/>
      <c r="DB89" s="110"/>
      <c r="DC89" s="25"/>
      <c r="DD89" s="25">
        <v>1</v>
      </c>
      <c r="DE89" s="25">
        <v>1</v>
      </c>
      <c r="DF89" s="25">
        <v>1</v>
      </c>
      <c r="DG89" s="25">
        <v>1</v>
      </c>
      <c r="DH89" s="110"/>
      <c r="DI89" s="110"/>
      <c r="DJ89" s="25">
        <v>1</v>
      </c>
      <c r="DK89" s="25">
        <v>1</v>
      </c>
      <c r="DL89" s="25">
        <v>1</v>
      </c>
      <c r="DM89" s="25">
        <v>1</v>
      </c>
      <c r="DN89" s="25"/>
      <c r="DO89" s="110"/>
      <c r="DP89" s="110"/>
      <c r="DQ89" s="25">
        <v>1</v>
      </c>
      <c r="DR89" s="25">
        <v>1</v>
      </c>
      <c r="DS89" s="25">
        <v>1</v>
      </c>
      <c r="DT89" s="25"/>
      <c r="DU89" s="110"/>
      <c r="DV89" s="110"/>
      <c r="DW89" s="110"/>
      <c r="DX89" s="25"/>
      <c r="DY89" s="25"/>
      <c r="DZ89" s="25">
        <v>1</v>
      </c>
      <c r="EA89" s="25">
        <v>1</v>
      </c>
      <c r="EB89" s="110" t="s">
        <v>445</v>
      </c>
      <c r="EC89" s="110"/>
      <c r="ED89" s="110"/>
      <c r="EE89" s="25" t="s">
        <v>223</v>
      </c>
      <c r="EF89" s="25" t="s">
        <v>223</v>
      </c>
      <c r="EG89" s="25" t="s">
        <v>223</v>
      </c>
      <c r="EH89" s="110" t="s">
        <v>445</v>
      </c>
      <c r="EI89" s="110" t="s">
        <v>445</v>
      </c>
      <c r="EJ89" s="110"/>
      <c r="EK89" s="110"/>
      <c r="EL89" s="25">
        <v>1</v>
      </c>
      <c r="EM89" s="25"/>
      <c r="EN89" s="25"/>
      <c r="EO89" s="25"/>
      <c r="EP89" s="25"/>
      <c r="EQ89" s="110"/>
      <c r="ER89" s="110"/>
      <c r="ES89" s="110" t="s">
        <v>445</v>
      </c>
      <c r="ET89" s="25"/>
      <c r="EU89" s="25"/>
      <c r="EV89" s="25"/>
      <c r="EW89" s="25"/>
      <c r="EX89" s="110"/>
      <c r="EY89" s="110"/>
      <c r="EZ89" s="25"/>
      <c r="FA89" s="25"/>
      <c r="FB89" s="25"/>
      <c r="FC89" s="25"/>
      <c r="FD89" s="25"/>
      <c r="FE89" s="110"/>
      <c r="FF89" s="110"/>
      <c r="FG89" s="25"/>
      <c r="FH89" s="25"/>
      <c r="FI89" s="25"/>
      <c r="FJ89" s="25"/>
      <c r="FK89" s="25"/>
      <c r="FL89" s="110"/>
      <c r="FM89" s="110"/>
      <c r="FN89" s="25"/>
      <c r="FO89" s="25"/>
      <c r="FP89" s="25"/>
      <c r="FQ89" s="25"/>
      <c r="FR89" s="25"/>
      <c r="FS89" s="110"/>
      <c r="FT89" s="110"/>
      <c r="FU89" s="25"/>
      <c r="FV89" s="25"/>
      <c r="FW89" s="25"/>
      <c r="FX89" s="25"/>
      <c r="FY89" s="25"/>
      <c r="FZ89" s="110"/>
      <c r="GA89" s="110"/>
      <c r="GB89" s="25"/>
      <c r="GC89" s="25"/>
      <c r="GD89" s="25"/>
      <c r="GE89" s="25"/>
      <c r="GF89" s="25"/>
      <c r="GG89" s="110"/>
      <c r="GH89" s="110"/>
      <c r="GI89" s="25"/>
      <c r="GJ89" s="25"/>
      <c r="GK89" s="25"/>
      <c r="GL89" s="25"/>
      <c r="GM89" s="25"/>
      <c r="GN89" s="110"/>
      <c r="GO89" s="110"/>
      <c r="GP89" s="110"/>
      <c r="GQ89" s="110" t="s">
        <v>445</v>
      </c>
      <c r="GR89" s="25"/>
      <c r="GS89" s="25"/>
      <c r="GT89" s="25"/>
      <c r="GU89" s="110"/>
      <c r="GV89" s="110"/>
      <c r="GW89" s="25"/>
      <c r="GX89" s="25"/>
      <c r="GY89" s="25"/>
      <c r="GZ89" s="25"/>
      <c r="HA89" s="25"/>
      <c r="HB89" s="110"/>
      <c r="HC89" s="110"/>
      <c r="HD89" s="25"/>
      <c r="HE89" s="25"/>
      <c r="HF89" s="25"/>
      <c r="HG89" s="25"/>
      <c r="HH89" s="25"/>
      <c r="HI89" s="110"/>
      <c r="HJ89" s="110"/>
      <c r="HK89" s="25"/>
      <c r="HL89" s="25"/>
      <c r="HM89" s="25"/>
      <c r="HN89" s="25"/>
      <c r="HO89" s="25"/>
      <c r="HP89" s="110"/>
      <c r="HQ89" s="110"/>
      <c r="HR89" s="25"/>
      <c r="HS89" s="25"/>
      <c r="HT89" s="25"/>
      <c r="HU89" s="25"/>
      <c r="HV89" s="25"/>
      <c r="HW89" s="110"/>
      <c r="HX89" s="110"/>
      <c r="HY89" s="25"/>
      <c r="HZ89" s="25"/>
      <c r="IA89" s="25"/>
      <c r="IB89" s="25"/>
      <c r="IC89" s="25"/>
      <c r="ID89" s="110"/>
      <c r="IE89" s="110"/>
      <c r="IF89" s="25"/>
      <c r="IG89" s="25"/>
      <c r="IH89" s="25"/>
      <c r="II89" s="25"/>
      <c r="IJ89" s="25"/>
      <c r="IK89" s="110"/>
      <c r="IL89" s="110"/>
      <c r="IM89" s="25"/>
      <c r="IN89" s="25"/>
      <c r="IO89" s="25"/>
      <c r="IP89" s="25"/>
      <c r="IQ89" s="25"/>
      <c r="IR89" s="110"/>
      <c r="IS89" s="110"/>
      <c r="IT89" s="25"/>
      <c r="IU89" s="25"/>
      <c r="IV89" s="25"/>
      <c r="IW89" s="25"/>
      <c r="IX89" s="25"/>
      <c r="IY89" s="110"/>
      <c r="IZ89" s="110"/>
      <c r="JA89" s="25"/>
      <c r="JB89" s="25"/>
      <c r="JC89" s="25"/>
      <c r="JD89" s="25"/>
      <c r="JE89" s="25"/>
      <c r="JF89" s="110"/>
      <c r="JG89" s="110"/>
      <c r="JH89" s="25"/>
      <c r="JI89" s="25"/>
      <c r="JJ89" s="25"/>
      <c r="JK89" s="25"/>
      <c r="JL89" s="25"/>
      <c r="JM89" s="110"/>
      <c r="JN89" s="110"/>
      <c r="JO89" s="25"/>
      <c r="JP89" s="25"/>
      <c r="JQ89" s="25"/>
      <c r="JR89" s="25"/>
      <c r="JS89" s="25"/>
      <c r="JT89" s="110"/>
      <c r="JU89" s="110"/>
      <c r="JV89" s="25"/>
      <c r="JW89" s="25"/>
      <c r="JX89" s="25"/>
      <c r="JY89" s="25"/>
      <c r="JZ89" s="25"/>
      <c r="KA89" s="110"/>
      <c r="KB89" s="110"/>
      <c r="KC89" s="25"/>
      <c r="KD89" s="25"/>
      <c r="KE89" s="25"/>
      <c r="KF89" s="25"/>
      <c r="KG89" s="25"/>
      <c r="KH89" s="110"/>
      <c r="KI89" s="110"/>
      <c r="KJ89" s="25"/>
      <c r="KK89" s="25"/>
      <c r="KL89" s="25"/>
      <c r="KM89" s="25"/>
      <c r="KN89" s="25"/>
      <c r="KO89" s="110"/>
      <c r="KP89" s="110"/>
      <c r="KQ89" s="25"/>
      <c r="KR89" s="25"/>
      <c r="KS89" s="25"/>
      <c r="KT89" s="25"/>
      <c r="KU89" s="25"/>
      <c r="KV89" s="110"/>
      <c r="KW89" s="110"/>
      <c r="KX89" s="25"/>
      <c r="KY89" s="25"/>
      <c r="KZ89" s="25"/>
      <c r="LA89" s="25"/>
      <c r="LB89" s="25"/>
      <c r="LC89" s="110"/>
      <c r="LD89" s="110"/>
      <c r="LE89" s="25"/>
      <c r="LF89" s="25"/>
      <c r="LG89" s="110" t="s">
        <v>445</v>
      </c>
      <c r="LH89" s="25"/>
      <c r="LI89" s="25"/>
      <c r="LJ89" s="110"/>
      <c r="LK89" s="110"/>
      <c r="LL89" s="25"/>
      <c r="LM89" s="25"/>
      <c r="LN89" s="25"/>
      <c r="LO89" s="25"/>
      <c r="LP89" s="25"/>
      <c r="LQ89" s="110"/>
      <c r="LR89" s="110"/>
      <c r="LS89" s="25"/>
      <c r="LT89" s="25"/>
      <c r="LU89" s="25"/>
      <c r="LV89" s="25"/>
      <c r="LW89" s="25"/>
      <c r="LX89" s="110"/>
      <c r="LY89" s="110"/>
      <c r="LZ89" s="25"/>
      <c r="MA89" s="25"/>
      <c r="MB89" s="25"/>
      <c r="MC89" s="25"/>
      <c r="MD89" s="25"/>
      <c r="ME89" s="110"/>
      <c r="MF89" s="110"/>
      <c r="MG89" s="25"/>
      <c r="MH89" s="25"/>
      <c r="MI89" s="25"/>
      <c r="MJ89" s="25"/>
      <c r="MK89" s="25"/>
      <c r="ML89" s="110"/>
      <c r="MM89" s="110"/>
      <c r="MN89" s="25"/>
      <c r="MO89" s="25"/>
      <c r="MP89" s="25"/>
      <c r="MQ89" s="25"/>
      <c r="MR89" s="25"/>
      <c r="MS89" s="110"/>
      <c r="MT89" s="110"/>
      <c r="MU89" s="25"/>
      <c r="MV89" s="25"/>
      <c r="MW89" s="25"/>
      <c r="MX89" s="25"/>
      <c r="MY89" s="25"/>
      <c r="MZ89" s="110"/>
      <c r="NA89" s="110"/>
      <c r="NB89" s="25"/>
      <c r="NC89" s="25"/>
      <c r="ND89" s="25"/>
      <c r="NE89" s="129"/>
      <c r="NF89" s="111"/>
      <c r="NG89" s="8">
        <f t="shared" si="54"/>
        <v>11</v>
      </c>
      <c r="NH89" s="32" cm="1">
        <f t="array" ref="NH89">NETWORKDAYS($I$2,$AI$2)- SUM(COUNTIF(I89:AI89,{"I";"F";"CP";"R";"P";"AC";"AM"}))</f>
        <v>19</v>
      </c>
      <c r="NI89" s="138">
        <f t="shared" si="55"/>
        <v>0.57894736842105265</v>
      </c>
      <c r="NJ89" s="8">
        <f t="shared" si="56"/>
        <v>12</v>
      </c>
      <c r="NK89" s="32" cm="1">
        <f t="array" ref="NK89">NETWORKDAYS($AJ$2,$BK$2)- SUM(COUNTIF(AJ89:BK89,{"I";"F";"CP";"R";"P";"AC";"AM"}))</f>
        <v>18</v>
      </c>
      <c r="NL89" s="138">
        <f t="shared" si="57"/>
        <v>0.66666666666666663</v>
      </c>
      <c r="NM89" s="8">
        <f t="shared" si="58"/>
        <v>16</v>
      </c>
      <c r="NN89" s="32" cm="1">
        <f t="array" ref="NN89">NETWORKDAYS($BL$2,$CP$2)- SUM(COUNTIF(BL89:CP89,{"I";"F";"CP";"R";"P";"AC";"AM"}))</f>
        <v>21</v>
      </c>
      <c r="NO89" s="138">
        <f t="shared" si="59"/>
        <v>0.76190476190476186</v>
      </c>
      <c r="NP89" s="8">
        <f t="shared" si="53"/>
        <v>17</v>
      </c>
      <c r="NQ89" s="32" cm="1">
        <f t="array" ref="NQ89">NETWORKDAYS($CQ$2,$DT$2,$CV$2)- SUM(COUNTIF(CQ89:DT89,{"I";"F";"CP";"R";"P";"AC";"AM"}))</f>
        <v>21</v>
      </c>
      <c r="NR89" s="138">
        <f t="shared" si="60"/>
        <v>0.80952380952380953</v>
      </c>
      <c r="NS89" s="8">
        <f t="shared" si="61"/>
        <v>3</v>
      </c>
      <c r="NT89" s="32" cm="1">
        <f t="array" ref="NT89">NETWORKDAYS($DV$2,$EY$2)-SUM(COUNTIF(DV89:EY89,{"I";"F";"CP";"R";"P";"AC";"AM"}))</f>
        <v>13</v>
      </c>
      <c r="NU89" s="138">
        <f t="shared" si="62"/>
        <v>0.23076923076923078</v>
      </c>
      <c r="NV89" s="8">
        <f t="shared" si="63"/>
        <v>0</v>
      </c>
      <c r="NW89" s="32" cm="1">
        <f t="array" ref="NW89">NETWORKDAYS($EZ$2,$GC$2)-SUM(COUNTIF(EZ169:GC169,{"I";"F";"CP";"R";"P";"AC";"AM"}))</f>
        <v>22</v>
      </c>
      <c r="NX89" s="138">
        <f t="shared" si="64"/>
        <v>0</v>
      </c>
      <c r="NY89" s="8">
        <f t="shared" si="65"/>
        <v>0</v>
      </c>
      <c r="NZ89" s="32" cm="1">
        <f t="array" ref="NZ89">NETWORKDAYS($GD$2,$HH$2,$GQ$2)-SUM(COUNTIF(GD89:HH89,{"I";"F";"CP";"R";"P";"AC";"AM"}))</f>
        <v>21</v>
      </c>
      <c r="OA89" s="138">
        <f t="shared" si="66"/>
        <v>0</v>
      </c>
      <c r="OB89" s="8">
        <f t="shared" si="67"/>
        <v>0</v>
      </c>
      <c r="OC89" s="32" cm="1">
        <f t="array" ref="OC89">NETWORKDAYS($HI$2,$IM$2)-SUM(COUNTIF(HI89:IM89,{"I";"F";"CP";"R";"P";"AC";"AM"}))</f>
        <v>21</v>
      </c>
      <c r="OD89" s="138">
        <f t="shared" si="68"/>
        <v>0</v>
      </c>
      <c r="OE89" s="8">
        <f t="shared" si="69"/>
        <v>0</v>
      </c>
      <c r="OF89" s="32" cm="1">
        <f t="array" ref="OF89">NETWORKDAYS($IN$2,$JQ$2)-SUM(COUNTIF(IN89:JQ89,{"I";"F";"CP";"R";"P";"AC";"AM"}))</f>
        <v>22</v>
      </c>
      <c r="OG89" s="138">
        <f t="shared" si="70"/>
        <v>0</v>
      </c>
      <c r="OH89" s="8">
        <f t="shared" si="71"/>
        <v>0</v>
      </c>
      <c r="OI89" s="32" cm="1">
        <f t="array" ref="OI89">NETWORKDAYS($JR$2,$KV$2)-SUM(COUNTIF(JR89:KV89,{"I";"F";"CP";"R";"P";"AC";"AM"}))</f>
        <v>22</v>
      </c>
      <c r="OJ89" s="138">
        <f t="shared" si="72"/>
        <v>0</v>
      </c>
      <c r="OK89" s="8">
        <f t="shared" si="73"/>
        <v>0</v>
      </c>
      <c r="OL89" s="32" cm="1">
        <f t="array" ref="OL89">NETWORKDAYS($KW$2,$LZ$2,$LG$2)-SUM(COUNTIF(KW89:LZ89,{"I";"F";"CP";"R";"P";"AC";"AM"}))</f>
        <v>19</v>
      </c>
      <c r="OM89" s="138">
        <f t="shared" si="74"/>
        <v>0</v>
      </c>
      <c r="ON89" s="8">
        <f t="shared" si="75"/>
        <v>0</v>
      </c>
      <c r="OO89" s="32" cm="1">
        <f t="array" ref="OO89">NETWORKDAYS($MA$2,$MR$2)-SUM(COUNTIF(MA89:MR89,{"I";"F";"CP";"R";"P";"AC";"AM"}))</f>
        <v>14</v>
      </c>
      <c r="OP89" s="138">
        <f t="shared" si="76"/>
        <v>0</v>
      </c>
      <c r="OQ89" s="94">
        <f t="shared" si="77"/>
        <v>59</v>
      </c>
      <c r="OR89" s="94">
        <f t="shared" si="78"/>
        <v>233</v>
      </c>
      <c r="OS89" s="138">
        <f t="shared" si="79"/>
        <v>0.25321888412017168</v>
      </c>
    </row>
    <row r="90" spans="1:409" ht="18" hidden="1" customHeight="1" x14ac:dyDescent="0.25">
      <c r="A90" s="95" t="s">
        <v>192</v>
      </c>
      <c r="B90" s="95" t="s">
        <v>192</v>
      </c>
      <c r="C90" s="89" t="s">
        <v>160</v>
      </c>
      <c r="D90" s="89" t="s">
        <v>274</v>
      </c>
      <c r="E90" s="128"/>
      <c r="F90" s="110"/>
      <c r="G90" s="110"/>
      <c r="H90" s="110"/>
      <c r="I90" s="25"/>
      <c r="J90" s="25"/>
      <c r="K90" s="25"/>
      <c r="L90" s="25"/>
      <c r="M90" s="25"/>
      <c r="N90" s="110"/>
      <c r="O90" s="110"/>
      <c r="P90" s="25"/>
      <c r="Q90" s="25"/>
      <c r="R90" s="25"/>
      <c r="S90" s="25"/>
      <c r="T90" s="25"/>
      <c r="U90" s="110"/>
      <c r="V90" s="110"/>
      <c r="W90" s="25"/>
      <c r="X90" s="25"/>
      <c r="Y90" s="25"/>
      <c r="Z90" s="25"/>
      <c r="AA90" s="25"/>
      <c r="AB90" s="110"/>
      <c r="AC90" s="110"/>
      <c r="AD90" s="25"/>
      <c r="AE90" s="25"/>
      <c r="AF90" s="25"/>
      <c r="AG90" s="25"/>
      <c r="AH90" s="25"/>
      <c r="AI90" s="110"/>
      <c r="AJ90" s="110"/>
      <c r="AK90" s="25"/>
      <c r="AL90" s="25"/>
      <c r="AM90" s="25"/>
      <c r="AN90" s="25"/>
      <c r="AO90" s="25"/>
      <c r="AP90" s="110"/>
      <c r="AQ90" s="110"/>
      <c r="AR90" s="25"/>
      <c r="AS90" s="25"/>
      <c r="AT90" s="25"/>
      <c r="AU90" s="25"/>
      <c r="AV90" s="25"/>
      <c r="AW90" s="110"/>
      <c r="AX90" s="110"/>
      <c r="AY90" s="25"/>
      <c r="AZ90" s="25"/>
      <c r="BA90" s="25"/>
      <c r="BB90" s="25"/>
      <c r="BC90" s="25"/>
      <c r="BD90" s="110"/>
      <c r="BE90" s="110"/>
      <c r="BF90" s="25"/>
      <c r="BG90" s="25"/>
      <c r="BH90" s="25"/>
      <c r="BI90" s="25"/>
      <c r="BJ90" s="25"/>
      <c r="BK90" s="110"/>
      <c r="BL90" s="110"/>
      <c r="BM90" s="25"/>
      <c r="BN90" s="25"/>
      <c r="BO90" s="25"/>
      <c r="BP90" s="25"/>
      <c r="BQ90" s="25"/>
      <c r="BR90" s="110"/>
      <c r="BS90" s="110"/>
      <c r="BT90" s="25"/>
      <c r="BU90" s="25"/>
      <c r="BV90" s="25"/>
      <c r="BW90" s="25"/>
      <c r="BX90" s="25"/>
      <c r="BY90" s="110"/>
      <c r="BZ90" s="110"/>
      <c r="CA90" s="25"/>
      <c r="CB90" s="25"/>
      <c r="CC90" s="25"/>
      <c r="CD90" s="25"/>
      <c r="CE90" s="25"/>
      <c r="CF90" s="110"/>
      <c r="CG90" s="110"/>
      <c r="CH90" s="25"/>
      <c r="CI90" s="25"/>
      <c r="CJ90" s="25"/>
      <c r="CK90" s="25"/>
      <c r="CL90" s="25"/>
      <c r="CM90" s="110"/>
      <c r="CN90" s="110"/>
      <c r="CO90" s="25"/>
      <c r="CP90" s="25"/>
      <c r="CQ90" s="25"/>
      <c r="CR90" s="25"/>
      <c r="CS90" s="25"/>
      <c r="CT90" s="110"/>
      <c r="CU90" s="110"/>
      <c r="CV90" s="110"/>
      <c r="CW90" s="25"/>
      <c r="CX90" s="25"/>
      <c r="CY90" s="25"/>
      <c r="CZ90" s="25"/>
      <c r="DA90" s="110"/>
      <c r="DB90" s="110"/>
      <c r="DC90" s="25"/>
      <c r="DD90" s="25"/>
      <c r="DE90" s="25"/>
      <c r="DF90" s="25"/>
      <c r="DG90" s="25"/>
      <c r="DH90" s="110"/>
      <c r="DI90" s="110"/>
      <c r="DJ90" s="25"/>
      <c r="DK90" s="25"/>
      <c r="DL90" s="25"/>
      <c r="DM90" s="25"/>
      <c r="DN90" s="25"/>
      <c r="DO90" s="110"/>
      <c r="DP90" s="110"/>
      <c r="DQ90" s="25"/>
      <c r="DR90" s="25"/>
      <c r="DS90" s="25"/>
      <c r="DT90" s="25"/>
      <c r="DU90" s="110"/>
      <c r="DV90" s="110"/>
      <c r="DW90" s="110"/>
      <c r="DX90" s="25"/>
      <c r="DY90" s="25"/>
      <c r="DZ90" s="25"/>
      <c r="EA90" s="25"/>
      <c r="EB90" s="110" t="s">
        <v>445</v>
      </c>
      <c r="EC90" s="110"/>
      <c r="ED90" s="110"/>
      <c r="EE90" s="25"/>
      <c r="EF90" s="25"/>
      <c r="EG90" s="25"/>
      <c r="EH90" s="110" t="s">
        <v>445</v>
      </c>
      <c r="EI90" s="110" t="s">
        <v>445</v>
      </c>
      <c r="EJ90" s="110"/>
      <c r="EK90" s="110"/>
      <c r="EL90" s="25"/>
      <c r="EM90" s="25"/>
      <c r="EN90" s="25"/>
      <c r="EO90" s="25"/>
      <c r="EP90" s="25"/>
      <c r="EQ90" s="110"/>
      <c r="ER90" s="110"/>
      <c r="ES90" s="110" t="s">
        <v>445</v>
      </c>
      <c r="ET90" s="25"/>
      <c r="EU90" s="25"/>
      <c r="EV90" s="25"/>
      <c r="EW90" s="25"/>
      <c r="EX90" s="110"/>
      <c r="EY90" s="110"/>
      <c r="EZ90" s="25"/>
      <c r="FA90" s="25"/>
      <c r="FB90" s="25"/>
      <c r="FC90" s="25"/>
      <c r="FD90" s="25"/>
      <c r="FE90" s="110"/>
      <c r="FF90" s="110"/>
      <c r="FG90" s="25"/>
      <c r="FH90" s="25"/>
      <c r="FI90" s="25"/>
      <c r="FJ90" s="25"/>
      <c r="FK90" s="25"/>
      <c r="FL90" s="110"/>
      <c r="FM90" s="110"/>
      <c r="FN90" s="25"/>
      <c r="FO90" s="25"/>
      <c r="FP90" s="25"/>
      <c r="FQ90" s="25"/>
      <c r="FR90" s="25"/>
      <c r="FS90" s="110"/>
      <c r="FT90" s="110"/>
      <c r="FU90" s="25"/>
      <c r="FV90" s="25"/>
      <c r="FW90" s="25"/>
      <c r="FX90" s="25"/>
      <c r="FY90" s="25"/>
      <c r="FZ90" s="110"/>
      <c r="GA90" s="110"/>
      <c r="GB90" s="25"/>
      <c r="GC90" s="25"/>
      <c r="GD90" s="25"/>
      <c r="GE90" s="25"/>
      <c r="GF90" s="25"/>
      <c r="GG90" s="110"/>
      <c r="GH90" s="110"/>
      <c r="GI90" s="25"/>
      <c r="GJ90" s="25"/>
      <c r="GK90" s="25"/>
      <c r="GL90" s="25"/>
      <c r="GM90" s="25"/>
      <c r="GN90" s="110"/>
      <c r="GO90" s="110"/>
      <c r="GP90" s="110"/>
      <c r="GQ90" s="110" t="s">
        <v>445</v>
      </c>
      <c r="GR90" s="25"/>
      <c r="GS90" s="25"/>
      <c r="GT90" s="25"/>
      <c r="GU90" s="110"/>
      <c r="GV90" s="110"/>
      <c r="GW90" s="25"/>
      <c r="GX90" s="25"/>
      <c r="GY90" s="25"/>
      <c r="GZ90" s="25"/>
      <c r="HA90" s="25"/>
      <c r="HB90" s="110"/>
      <c r="HC90" s="110"/>
      <c r="HD90" s="25"/>
      <c r="HE90" s="25"/>
      <c r="HF90" s="25"/>
      <c r="HG90" s="25"/>
      <c r="HH90" s="25"/>
      <c r="HI90" s="110"/>
      <c r="HJ90" s="110"/>
      <c r="HK90" s="25"/>
      <c r="HL90" s="25"/>
      <c r="HM90" s="25"/>
      <c r="HN90" s="25"/>
      <c r="HO90" s="25"/>
      <c r="HP90" s="110"/>
      <c r="HQ90" s="110"/>
      <c r="HR90" s="25"/>
      <c r="HS90" s="25"/>
      <c r="HT90" s="25"/>
      <c r="HU90" s="25"/>
      <c r="HV90" s="25"/>
      <c r="HW90" s="110"/>
      <c r="HX90" s="110"/>
      <c r="HY90" s="25"/>
      <c r="HZ90" s="25"/>
      <c r="IA90" s="25"/>
      <c r="IB90" s="25"/>
      <c r="IC90" s="25"/>
      <c r="ID90" s="110"/>
      <c r="IE90" s="110"/>
      <c r="IF90" s="25"/>
      <c r="IG90" s="25"/>
      <c r="IH90" s="25"/>
      <c r="II90" s="25"/>
      <c r="IJ90" s="25"/>
      <c r="IK90" s="110"/>
      <c r="IL90" s="110"/>
      <c r="IM90" s="25"/>
      <c r="IN90" s="25"/>
      <c r="IO90" s="25"/>
      <c r="IP90" s="25"/>
      <c r="IQ90" s="25"/>
      <c r="IR90" s="110"/>
      <c r="IS90" s="110"/>
      <c r="IT90" s="25"/>
      <c r="IU90" s="25"/>
      <c r="IV90" s="25"/>
      <c r="IW90" s="25"/>
      <c r="IX90" s="25"/>
      <c r="IY90" s="110"/>
      <c r="IZ90" s="110"/>
      <c r="JA90" s="25"/>
      <c r="JB90" s="25"/>
      <c r="JC90" s="25"/>
      <c r="JD90" s="25"/>
      <c r="JE90" s="25"/>
      <c r="JF90" s="110"/>
      <c r="JG90" s="110"/>
      <c r="JH90" s="25"/>
      <c r="JI90" s="25"/>
      <c r="JJ90" s="25"/>
      <c r="JK90" s="25"/>
      <c r="JL90" s="25"/>
      <c r="JM90" s="110"/>
      <c r="JN90" s="110"/>
      <c r="JO90" s="25"/>
      <c r="JP90" s="25"/>
      <c r="JQ90" s="25"/>
      <c r="JR90" s="25"/>
      <c r="JS90" s="25"/>
      <c r="JT90" s="110"/>
      <c r="JU90" s="110"/>
      <c r="JV90" s="25"/>
      <c r="JW90" s="25"/>
      <c r="JX90" s="25"/>
      <c r="JY90" s="25"/>
      <c r="JZ90" s="25"/>
      <c r="KA90" s="110"/>
      <c r="KB90" s="110"/>
      <c r="KC90" s="25"/>
      <c r="KD90" s="25"/>
      <c r="KE90" s="25"/>
      <c r="KF90" s="25"/>
      <c r="KG90" s="25"/>
      <c r="KH90" s="110"/>
      <c r="KI90" s="110"/>
      <c r="KJ90" s="25"/>
      <c r="KK90" s="25"/>
      <c r="KL90" s="25"/>
      <c r="KM90" s="25"/>
      <c r="KN90" s="25"/>
      <c r="KO90" s="110"/>
      <c r="KP90" s="110"/>
      <c r="KQ90" s="25"/>
      <c r="KR90" s="25"/>
      <c r="KS90" s="25"/>
      <c r="KT90" s="25"/>
      <c r="KU90" s="25"/>
      <c r="KV90" s="110"/>
      <c r="KW90" s="110"/>
      <c r="KX90" s="25"/>
      <c r="KY90" s="25"/>
      <c r="KZ90" s="25"/>
      <c r="LA90" s="25"/>
      <c r="LB90" s="25"/>
      <c r="LC90" s="110"/>
      <c r="LD90" s="110"/>
      <c r="LE90" s="25"/>
      <c r="LF90" s="25"/>
      <c r="LG90" s="110" t="s">
        <v>445</v>
      </c>
      <c r="LH90" s="25"/>
      <c r="LI90" s="25"/>
      <c r="LJ90" s="110"/>
      <c r="LK90" s="110"/>
      <c r="LL90" s="25"/>
      <c r="LM90" s="25"/>
      <c r="LN90" s="25"/>
      <c r="LO90" s="25"/>
      <c r="LP90" s="25"/>
      <c r="LQ90" s="110"/>
      <c r="LR90" s="110"/>
      <c r="LS90" s="25"/>
      <c r="LT90" s="25"/>
      <c r="LU90" s="25"/>
      <c r="LV90" s="25"/>
      <c r="LW90" s="25"/>
      <c r="LX90" s="110"/>
      <c r="LY90" s="110"/>
      <c r="LZ90" s="25"/>
      <c r="MA90" s="25"/>
      <c r="MB90" s="25"/>
      <c r="MC90" s="25"/>
      <c r="MD90" s="25"/>
      <c r="ME90" s="110"/>
      <c r="MF90" s="110"/>
      <c r="MG90" s="25"/>
      <c r="MH90" s="25"/>
      <c r="MI90" s="25"/>
      <c r="MJ90" s="25"/>
      <c r="MK90" s="25"/>
      <c r="ML90" s="110"/>
      <c r="MM90" s="110"/>
      <c r="MN90" s="25"/>
      <c r="MO90" s="25"/>
      <c r="MP90" s="25"/>
      <c r="MQ90" s="25"/>
      <c r="MR90" s="25"/>
      <c r="MS90" s="110"/>
      <c r="MT90" s="110"/>
      <c r="MU90" s="25"/>
      <c r="MV90" s="25"/>
      <c r="MW90" s="25"/>
      <c r="MX90" s="25"/>
      <c r="MY90" s="25"/>
      <c r="MZ90" s="110"/>
      <c r="NA90" s="110"/>
      <c r="NB90" s="25"/>
      <c r="NC90" s="25"/>
      <c r="ND90" s="25"/>
      <c r="NE90" s="129"/>
      <c r="NF90" s="111"/>
      <c r="NG90" s="8">
        <f t="shared" si="54"/>
        <v>0</v>
      </c>
      <c r="NH90" s="32" cm="1">
        <f t="array" ref="NH90">NETWORKDAYS($I$2,$AI$2)- SUM(COUNTIF(I90:AI90,{"I";"F";"CP";"R";"P";"AC";"AM"}))</f>
        <v>20</v>
      </c>
      <c r="NI90" s="138">
        <f t="shared" si="55"/>
        <v>0</v>
      </c>
      <c r="NJ90" s="8">
        <f t="shared" si="56"/>
        <v>0</v>
      </c>
      <c r="NK90" s="32" cm="1">
        <f t="array" ref="NK90">NETWORKDAYS($AJ$2,$BK$2)- SUM(COUNTIF(AJ90:BK90,{"I";"F";"CP";"R";"P";"AC";"AM"}))</f>
        <v>20</v>
      </c>
      <c r="NL90" s="138">
        <f t="shared" si="57"/>
        <v>0</v>
      </c>
      <c r="NM90" s="8">
        <f t="shared" si="58"/>
        <v>0</v>
      </c>
      <c r="NN90" s="32" cm="1">
        <f t="array" ref="NN90">NETWORKDAYS($BL$2,$CP$2)- SUM(COUNTIF(BL90:CP90,{"I";"F";"CP";"R";"P";"AC";"AM"}))</f>
        <v>22</v>
      </c>
      <c r="NO90" s="138">
        <f t="shared" si="59"/>
        <v>0</v>
      </c>
      <c r="NP90" s="8">
        <f t="shared" si="53"/>
        <v>0</v>
      </c>
      <c r="NQ90" s="32" cm="1">
        <f t="array" ref="NQ90">NETWORKDAYS($CQ$2,$DT$2,$CV$2)- SUM(COUNTIF(CQ90:DT90,{"I";"F";"CP";"R";"P";"AC";"AM"}))</f>
        <v>21</v>
      </c>
      <c r="NR90" s="138">
        <f t="shared" si="60"/>
        <v>0</v>
      </c>
      <c r="NS90" s="8">
        <f t="shared" si="61"/>
        <v>0</v>
      </c>
      <c r="NT90" s="32" cm="1">
        <f t="array" ref="NT90">NETWORKDAYS($DV$2,$EY$2)-SUM(COUNTIF(DV90:EY90,{"I";"F";"CP";"R";"P";"AC";"AM"}))</f>
        <v>16</v>
      </c>
      <c r="NU90" s="138">
        <f t="shared" si="62"/>
        <v>0</v>
      </c>
      <c r="NV90" s="8">
        <f t="shared" si="63"/>
        <v>0</v>
      </c>
      <c r="NW90" s="32" cm="1">
        <f t="array" ref="NW90">NETWORKDAYS($EZ$2,$GC$2)-SUM(COUNTIF(EZ170:GC170,{"I";"F";"CP";"R";"P";"AC";"AM"}))</f>
        <v>22</v>
      </c>
      <c r="NX90" s="138">
        <f t="shared" si="64"/>
        <v>0</v>
      </c>
      <c r="NY90" s="8">
        <f t="shared" si="65"/>
        <v>0</v>
      </c>
      <c r="NZ90" s="32" cm="1">
        <f t="array" ref="NZ90">NETWORKDAYS($GD$2,$HH$2,$GQ$2)-SUM(COUNTIF(GD90:HH90,{"I";"F";"CP";"R";"P";"AC";"AM"}))</f>
        <v>21</v>
      </c>
      <c r="OA90" s="138">
        <f t="shared" si="66"/>
        <v>0</v>
      </c>
      <c r="OB90" s="8">
        <f t="shared" si="67"/>
        <v>0</v>
      </c>
      <c r="OC90" s="32" cm="1">
        <f t="array" ref="OC90">NETWORKDAYS($HI$2,$IM$2)-SUM(COUNTIF(HI90:IM90,{"I";"F";"CP";"R";"P";"AC";"AM"}))</f>
        <v>21</v>
      </c>
      <c r="OD90" s="138">
        <f t="shared" si="68"/>
        <v>0</v>
      </c>
      <c r="OE90" s="8">
        <f t="shared" si="69"/>
        <v>0</v>
      </c>
      <c r="OF90" s="32" cm="1">
        <f t="array" ref="OF90">NETWORKDAYS($IN$2,$JQ$2)-SUM(COUNTIF(IN90:JQ90,{"I";"F";"CP";"R";"P";"AC";"AM"}))</f>
        <v>22</v>
      </c>
      <c r="OG90" s="138">
        <f t="shared" si="70"/>
        <v>0</v>
      </c>
      <c r="OH90" s="8">
        <f t="shared" si="71"/>
        <v>0</v>
      </c>
      <c r="OI90" s="32" cm="1">
        <f t="array" ref="OI90">NETWORKDAYS($JR$2,$KV$2)-SUM(COUNTIF(JR90:KV90,{"I";"F";"CP";"R";"P";"AC";"AM"}))</f>
        <v>22</v>
      </c>
      <c r="OJ90" s="138">
        <f t="shared" si="72"/>
        <v>0</v>
      </c>
      <c r="OK90" s="8">
        <f t="shared" si="73"/>
        <v>0</v>
      </c>
      <c r="OL90" s="32" cm="1">
        <f t="array" ref="OL90">NETWORKDAYS($KW$2,$LZ$2,$LG$2)-SUM(COUNTIF(KW90:LZ90,{"I";"F";"CP";"R";"P";"AC";"AM"}))</f>
        <v>19</v>
      </c>
      <c r="OM90" s="138">
        <f t="shared" si="74"/>
        <v>0</v>
      </c>
      <c r="ON90" s="8">
        <f t="shared" si="75"/>
        <v>0</v>
      </c>
      <c r="OO90" s="32" cm="1">
        <f t="array" ref="OO90">NETWORKDAYS($MA$2,$MR$2)-SUM(COUNTIF(MA90:MR90,{"I";"F";"CP";"R";"P";"AC";"AM"}))</f>
        <v>14</v>
      </c>
      <c r="OP90" s="138">
        <f t="shared" si="76"/>
        <v>0</v>
      </c>
      <c r="OQ90" s="94">
        <f t="shared" si="77"/>
        <v>0</v>
      </c>
      <c r="OR90" s="94">
        <f t="shared" si="78"/>
        <v>240</v>
      </c>
      <c r="OS90" s="138">
        <f t="shared" si="79"/>
        <v>0</v>
      </c>
    </row>
    <row r="91" spans="1:409" ht="18" customHeight="1" x14ac:dyDescent="0.25">
      <c r="A91" s="95" t="s">
        <v>181</v>
      </c>
      <c r="B91" s="95" t="s">
        <v>34</v>
      </c>
      <c r="C91" s="89" t="s">
        <v>188</v>
      </c>
      <c r="D91" s="89" t="s">
        <v>275</v>
      </c>
      <c r="E91" s="128"/>
      <c r="F91" s="110"/>
      <c r="G91" s="110"/>
      <c r="H91" s="110"/>
      <c r="I91" s="25" t="s">
        <v>248</v>
      </c>
      <c r="J91" s="25"/>
      <c r="K91" s="25"/>
      <c r="L91" s="25"/>
      <c r="M91" s="25" t="s">
        <v>248</v>
      </c>
      <c r="N91" s="110"/>
      <c r="O91" s="110"/>
      <c r="P91" s="25" t="s">
        <v>248</v>
      </c>
      <c r="Q91" s="25" t="s">
        <v>248</v>
      </c>
      <c r="R91" s="25"/>
      <c r="S91" s="25"/>
      <c r="T91" s="25" t="s">
        <v>447</v>
      </c>
      <c r="U91" s="110"/>
      <c r="V91" s="110"/>
      <c r="W91" s="25" t="s">
        <v>248</v>
      </c>
      <c r="X91" s="25" t="s">
        <v>248</v>
      </c>
      <c r="Y91" s="25" t="s">
        <v>248</v>
      </c>
      <c r="Z91" s="25"/>
      <c r="AA91" s="25"/>
      <c r="AB91" s="110"/>
      <c r="AC91" s="110"/>
      <c r="AD91" s="25" t="s">
        <v>447</v>
      </c>
      <c r="AE91" s="25" t="s">
        <v>447</v>
      </c>
      <c r="AF91" s="25" t="s">
        <v>447</v>
      </c>
      <c r="AG91" s="25" t="s">
        <v>248</v>
      </c>
      <c r="AH91" s="25" t="s">
        <v>248</v>
      </c>
      <c r="AI91" s="110"/>
      <c r="AJ91" s="110"/>
      <c r="AK91" s="25" t="s">
        <v>223</v>
      </c>
      <c r="AL91" s="25" t="s">
        <v>223</v>
      </c>
      <c r="AM91" s="25" t="s">
        <v>223</v>
      </c>
      <c r="AN91" s="25" t="s">
        <v>223</v>
      </c>
      <c r="AO91" s="25" t="s">
        <v>223</v>
      </c>
      <c r="AP91" s="110"/>
      <c r="AQ91" s="110"/>
      <c r="AR91" s="25" t="s">
        <v>223</v>
      </c>
      <c r="AS91" s="25" t="s">
        <v>223</v>
      </c>
      <c r="AT91" s="25" t="s">
        <v>223</v>
      </c>
      <c r="AU91" s="25" t="s">
        <v>223</v>
      </c>
      <c r="AV91" s="25" t="s">
        <v>223</v>
      </c>
      <c r="AW91" s="110"/>
      <c r="AX91" s="110"/>
      <c r="AY91" s="25"/>
      <c r="AZ91" s="25"/>
      <c r="BA91" s="25"/>
      <c r="BB91" s="25">
        <v>1</v>
      </c>
      <c r="BC91" s="25">
        <v>1</v>
      </c>
      <c r="BD91" s="110"/>
      <c r="BE91" s="110"/>
      <c r="BF91" s="25">
        <v>1</v>
      </c>
      <c r="BG91" s="25">
        <v>1</v>
      </c>
      <c r="BH91" s="25">
        <v>1</v>
      </c>
      <c r="BI91" s="25">
        <v>1</v>
      </c>
      <c r="BJ91" s="25">
        <v>1</v>
      </c>
      <c r="BK91" s="110"/>
      <c r="BL91" s="110"/>
      <c r="BM91" s="25">
        <v>1</v>
      </c>
      <c r="BN91" s="25">
        <v>1</v>
      </c>
      <c r="BO91" s="25">
        <v>1</v>
      </c>
      <c r="BP91" s="25">
        <v>1</v>
      </c>
      <c r="BQ91" s="25">
        <v>1</v>
      </c>
      <c r="BR91" s="110"/>
      <c r="BS91" s="110"/>
      <c r="BT91" s="25">
        <v>1</v>
      </c>
      <c r="BU91" s="25">
        <v>1</v>
      </c>
      <c r="BV91" s="25">
        <v>1</v>
      </c>
      <c r="BW91" s="25">
        <v>1</v>
      </c>
      <c r="BX91" s="25">
        <v>1</v>
      </c>
      <c r="BY91" s="110"/>
      <c r="BZ91" s="110"/>
      <c r="CA91" s="25">
        <v>1</v>
      </c>
      <c r="CB91" s="25">
        <v>1</v>
      </c>
      <c r="CC91" s="25">
        <v>1</v>
      </c>
      <c r="CD91" s="25">
        <v>1</v>
      </c>
      <c r="CE91" s="25" t="s">
        <v>445</v>
      </c>
      <c r="CF91" s="110"/>
      <c r="CG91" s="110"/>
      <c r="CH91" s="25"/>
      <c r="CI91" s="25"/>
      <c r="CJ91" s="25"/>
      <c r="CK91" s="25"/>
      <c r="CL91" s="25"/>
      <c r="CM91" s="110"/>
      <c r="CN91" s="110"/>
      <c r="CO91" s="25">
        <v>1</v>
      </c>
      <c r="CP91" s="25">
        <v>1</v>
      </c>
      <c r="CQ91" s="25">
        <v>1</v>
      </c>
      <c r="CR91" s="25">
        <v>1</v>
      </c>
      <c r="CS91" s="25"/>
      <c r="CT91" s="110"/>
      <c r="CU91" s="110"/>
      <c r="CV91" s="110"/>
      <c r="CW91" s="25"/>
      <c r="CX91" s="25"/>
      <c r="CY91" s="25"/>
      <c r="CZ91" s="25"/>
      <c r="DA91" s="110"/>
      <c r="DB91" s="110"/>
      <c r="DC91" s="25">
        <v>1</v>
      </c>
      <c r="DD91" s="25">
        <v>1</v>
      </c>
      <c r="DE91" s="25">
        <v>1</v>
      </c>
      <c r="DF91" s="25">
        <v>1</v>
      </c>
      <c r="DG91" s="25"/>
      <c r="DH91" s="110"/>
      <c r="DI91" s="110"/>
      <c r="DJ91" s="25"/>
      <c r="DK91" s="25"/>
      <c r="DL91" s="25"/>
      <c r="DM91" s="25"/>
      <c r="DN91" s="25"/>
      <c r="DO91" s="110"/>
      <c r="DP91" s="110"/>
      <c r="DQ91" s="25">
        <v>1</v>
      </c>
      <c r="DR91" s="25">
        <v>1</v>
      </c>
      <c r="DS91" s="25">
        <v>1</v>
      </c>
      <c r="DT91" s="25"/>
      <c r="DU91" s="110"/>
      <c r="DV91" s="110"/>
      <c r="DW91" s="110"/>
      <c r="DX91" s="25"/>
      <c r="DY91" s="25">
        <v>1</v>
      </c>
      <c r="DZ91" s="25">
        <v>1</v>
      </c>
      <c r="EA91" s="25"/>
      <c r="EB91" s="110" t="s">
        <v>445</v>
      </c>
      <c r="EC91" s="110"/>
      <c r="ED91" s="110"/>
      <c r="EE91" s="25">
        <v>1</v>
      </c>
      <c r="EF91" s="25">
        <v>1</v>
      </c>
      <c r="EG91" s="25"/>
      <c r="EH91" s="110" t="s">
        <v>445</v>
      </c>
      <c r="EI91" s="110" t="s">
        <v>445</v>
      </c>
      <c r="EJ91" s="110"/>
      <c r="EK91" s="110"/>
      <c r="EL91" s="25">
        <v>1</v>
      </c>
      <c r="EM91" s="25"/>
      <c r="EN91" s="25"/>
      <c r="EO91" s="25"/>
      <c r="EP91" s="25"/>
      <c r="EQ91" s="110"/>
      <c r="ER91" s="110"/>
      <c r="ES91" s="110" t="s">
        <v>445</v>
      </c>
      <c r="ET91" s="25"/>
      <c r="EU91" s="25"/>
      <c r="EV91" s="25"/>
      <c r="EW91" s="25"/>
      <c r="EX91" s="110"/>
      <c r="EY91" s="110"/>
      <c r="EZ91" s="25"/>
      <c r="FA91" s="25"/>
      <c r="FB91" s="25"/>
      <c r="FC91" s="25"/>
      <c r="FD91" s="25"/>
      <c r="FE91" s="110"/>
      <c r="FF91" s="110"/>
      <c r="FG91" s="25"/>
      <c r="FH91" s="25"/>
      <c r="FI91" s="25"/>
      <c r="FJ91" s="25"/>
      <c r="FK91" s="25"/>
      <c r="FL91" s="110"/>
      <c r="FM91" s="110"/>
      <c r="FN91" s="25"/>
      <c r="FO91" s="25"/>
      <c r="FP91" s="25"/>
      <c r="FQ91" s="25"/>
      <c r="FR91" s="25"/>
      <c r="FS91" s="110"/>
      <c r="FT91" s="110"/>
      <c r="FU91" s="25"/>
      <c r="FV91" s="25"/>
      <c r="FW91" s="25"/>
      <c r="FX91" s="25"/>
      <c r="FY91" s="25"/>
      <c r="FZ91" s="110"/>
      <c r="GA91" s="110"/>
      <c r="GB91" s="25"/>
      <c r="GC91" s="25"/>
      <c r="GD91" s="25"/>
      <c r="GE91" s="25"/>
      <c r="GF91" s="25"/>
      <c r="GG91" s="110"/>
      <c r="GH91" s="110"/>
      <c r="GI91" s="25"/>
      <c r="GJ91" s="25"/>
      <c r="GK91" s="25"/>
      <c r="GL91" s="25"/>
      <c r="GM91" s="25"/>
      <c r="GN91" s="110"/>
      <c r="GO91" s="110"/>
      <c r="GP91" s="110"/>
      <c r="GQ91" s="110" t="s">
        <v>445</v>
      </c>
      <c r="GR91" s="25"/>
      <c r="GS91" s="25"/>
      <c r="GT91" s="25"/>
      <c r="GU91" s="110"/>
      <c r="GV91" s="110"/>
      <c r="GW91" s="25"/>
      <c r="GX91" s="25"/>
      <c r="GY91" s="25"/>
      <c r="GZ91" s="25"/>
      <c r="HA91" s="25"/>
      <c r="HB91" s="110"/>
      <c r="HC91" s="110"/>
      <c r="HD91" s="25"/>
      <c r="HE91" s="25"/>
      <c r="HF91" s="25"/>
      <c r="HG91" s="25"/>
      <c r="HH91" s="25"/>
      <c r="HI91" s="110"/>
      <c r="HJ91" s="110"/>
      <c r="HK91" s="25"/>
      <c r="HL91" s="25"/>
      <c r="HM91" s="25"/>
      <c r="HN91" s="25"/>
      <c r="HO91" s="25"/>
      <c r="HP91" s="110"/>
      <c r="HQ91" s="110"/>
      <c r="HR91" s="25"/>
      <c r="HS91" s="25"/>
      <c r="HT91" s="25"/>
      <c r="HU91" s="25"/>
      <c r="HV91" s="25"/>
      <c r="HW91" s="110"/>
      <c r="HX91" s="110"/>
      <c r="HY91" s="25"/>
      <c r="HZ91" s="25"/>
      <c r="IA91" s="25"/>
      <c r="IB91" s="25"/>
      <c r="IC91" s="25"/>
      <c r="ID91" s="110"/>
      <c r="IE91" s="110"/>
      <c r="IF91" s="25"/>
      <c r="IG91" s="25"/>
      <c r="IH91" s="25"/>
      <c r="II91" s="25"/>
      <c r="IJ91" s="25"/>
      <c r="IK91" s="110"/>
      <c r="IL91" s="110"/>
      <c r="IM91" s="25"/>
      <c r="IN91" s="25"/>
      <c r="IO91" s="25"/>
      <c r="IP91" s="25"/>
      <c r="IQ91" s="25"/>
      <c r="IR91" s="110"/>
      <c r="IS91" s="110"/>
      <c r="IT91" s="25"/>
      <c r="IU91" s="25"/>
      <c r="IV91" s="25"/>
      <c r="IW91" s="25"/>
      <c r="IX91" s="25"/>
      <c r="IY91" s="110"/>
      <c r="IZ91" s="110"/>
      <c r="JA91" s="25"/>
      <c r="JB91" s="25"/>
      <c r="JC91" s="25"/>
      <c r="JD91" s="25"/>
      <c r="JE91" s="25"/>
      <c r="JF91" s="110"/>
      <c r="JG91" s="110"/>
      <c r="JH91" s="25"/>
      <c r="JI91" s="25"/>
      <c r="JJ91" s="25"/>
      <c r="JK91" s="25"/>
      <c r="JL91" s="25"/>
      <c r="JM91" s="110"/>
      <c r="JN91" s="110"/>
      <c r="JO91" s="25"/>
      <c r="JP91" s="25"/>
      <c r="JQ91" s="25"/>
      <c r="JR91" s="25"/>
      <c r="JS91" s="25"/>
      <c r="JT91" s="110"/>
      <c r="JU91" s="110"/>
      <c r="JV91" s="25"/>
      <c r="JW91" s="25"/>
      <c r="JX91" s="25"/>
      <c r="JY91" s="25"/>
      <c r="JZ91" s="25"/>
      <c r="KA91" s="110"/>
      <c r="KB91" s="110"/>
      <c r="KC91" s="25"/>
      <c r="KD91" s="25"/>
      <c r="KE91" s="25"/>
      <c r="KF91" s="25"/>
      <c r="KG91" s="25"/>
      <c r="KH91" s="110"/>
      <c r="KI91" s="110"/>
      <c r="KJ91" s="25"/>
      <c r="KK91" s="25"/>
      <c r="KL91" s="25"/>
      <c r="KM91" s="25"/>
      <c r="KN91" s="25"/>
      <c r="KO91" s="110"/>
      <c r="KP91" s="110"/>
      <c r="KQ91" s="25"/>
      <c r="KR91" s="25"/>
      <c r="KS91" s="25"/>
      <c r="KT91" s="25"/>
      <c r="KU91" s="25"/>
      <c r="KV91" s="110"/>
      <c r="KW91" s="110"/>
      <c r="KX91" s="25"/>
      <c r="KY91" s="25"/>
      <c r="KZ91" s="25"/>
      <c r="LA91" s="25"/>
      <c r="LB91" s="25"/>
      <c r="LC91" s="110"/>
      <c r="LD91" s="110"/>
      <c r="LE91" s="25"/>
      <c r="LF91" s="25"/>
      <c r="LG91" s="110" t="s">
        <v>445</v>
      </c>
      <c r="LH91" s="25"/>
      <c r="LI91" s="25"/>
      <c r="LJ91" s="110"/>
      <c r="LK91" s="110"/>
      <c r="LL91" s="25"/>
      <c r="LM91" s="25"/>
      <c r="LN91" s="25"/>
      <c r="LO91" s="25"/>
      <c r="LP91" s="25"/>
      <c r="LQ91" s="110"/>
      <c r="LR91" s="110"/>
      <c r="LS91" s="25"/>
      <c r="LT91" s="25"/>
      <c r="LU91" s="25"/>
      <c r="LV91" s="25"/>
      <c r="LW91" s="25"/>
      <c r="LX91" s="110"/>
      <c r="LY91" s="110"/>
      <c r="LZ91" s="25"/>
      <c r="MA91" s="25"/>
      <c r="MB91" s="25"/>
      <c r="MC91" s="25"/>
      <c r="MD91" s="25"/>
      <c r="ME91" s="110"/>
      <c r="MF91" s="110"/>
      <c r="MG91" s="25"/>
      <c r="MH91" s="25"/>
      <c r="MI91" s="25"/>
      <c r="MJ91" s="25"/>
      <c r="MK91" s="25"/>
      <c r="ML91" s="110"/>
      <c r="MM91" s="110"/>
      <c r="MN91" s="25"/>
      <c r="MO91" s="25"/>
      <c r="MP91" s="25"/>
      <c r="MQ91" s="25"/>
      <c r="MR91" s="25"/>
      <c r="MS91" s="110"/>
      <c r="MT91" s="110"/>
      <c r="MU91" s="25"/>
      <c r="MV91" s="25"/>
      <c r="MW91" s="25"/>
      <c r="MX91" s="25"/>
      <c r="MY91" s="25"/>
      <c r="MZ91" s="110"/>
      <c r="NA91" s="110"/>
      <c r="NB91" s="25"/>
      <c r="NC91" s="25"/>
      <c r="ND91" s="25"/>
      <c r="NE91" s="129"/>
      <c r="NF91" s="111"/>
      <c r="NG91" s="8">
        <f t="shared" si="54"/>
        <v>0</v>
      </c>
      <c r="NH91" s="32" cm="1">
        <f t="array" ref="NH91">NETWORKDAYS($I$2,$AI$2)- SUM(COUNTIF(I91:AI91,{"I";"F";"CP";"R";"P";"AC";"AM"}))</f>
        <v>16</v>
      </c>
      <c r="NI91" s="138">
        <f t="shared" si="55"/>
        <v>0</v>
      </c>
      <c r="NJ91" s="8">
        <f t="shared" si="56"/>
        <v>7</v>
      </c>
      <c r="NK91" s="32" cm="1">
        <f t="array" ref="NK91">NETWORKDAYS($AJ$2,$BK$2)- SUM(COUNTIF(AJ91:BK91,{"I";"F";"CP";"R";"P";"AC";"AM"}))</f>
        <v>10</v>
      </c>
      <c r="NL91" s="138">
        <f t="shared" si="57"/>
        <v>0.7</v>
      </c>
      <c r="NM91" s="8">
        <f t="shared" si="58"/>
        <v>16</v>
      </c>
      <c r="NN91" s="32" cm="1">
        <f t="array" ref="NN91">NETWORKDAYS($BL$2,$CP$2)- SUM(COUNTIF(BL91:CP91,{"I";"F";"CP";"R";"P";"AC";"AM"}))</f>
        <v>21</v>
      </c>
      <c r="NO91" s="138">
        <f t="shared" si="59"/>
        <v>0.76190476190476186</v>
      </c>
      <c r="NP91" s="8">
        <f t="shared" si="53"/>
        <v>9</v>
      </c>
      <c r="NQ91" s="32" cm="1">
        <f t="array" ref="NQ91">NETWORKDAYS($CQ$2,$DT$2,$CV$2)- SUM(COUNTIF(CQ91:DT91,{"I";"F";"CP";"R";"P";"AC";"AM"}))</f>
        <v>21</v>
      </c>
      <c r="NR91" s="138">
        <f t="shared" si="60"/>
        <v>0.42857142857142855</v>
      </c>
      <c r="NS91" s="8">
        <f t="shared" si="61"/>
        <v>5</v>
      </c>
      <c r="NT91" s="32" cm="1">
        <f t="array" ref="NT91">NETWORKDAYS($DV$2,$EY$2)-SUM(COUNTIF(DV91:EY91,{"I";"F";"CP";"R";"P";"AC";"AM"}))</f>
        <v>16</v>
      </c>
      <c r="NU91" s="138">
        <f t="shared" si="62"/>
        <v>0.3125</v>
      </c>
      <c r="NV91" s="8">
        <f t="shared" si="63"/>
        <v>0</v>
      </c>
      <c r="NW91" s="32" cm="1">
        <f t="array" ref="NW91">NETWORKDAYS($EZ$2,$GC$2)-SUM(COUNTIF(EZ171:GC171,{"I";"F";"CP";"R";"P";"AC";"AM"}))</f>
        <v>22</v>
      </c>
      <c r="NX91" s="138">
        <f t="shared" si="64"/>
        <v>0</v>
      </c>
      <c r="NY91" s="8">
        <f t="shared" si="65"/>
        <v>0</v>
      </c>
      <c r="NZ91" s="32" cm="1">
        <f t="array" ref="NZ91">NETWORKDAYS($GD$2,$HH$2,$GQ$2)-SUM(COUNTIF(GD91:HH91,{"I";"F";"CP";"R";"P";"AC";"AM"}))</f>
        <v>21</v>
      </c>
      <c r="OA91" s="138">
        <f t="shared" si="66"/>
        <v>0</v>
      </c>
      <c r="OB91" s="8">
        <f t="shared" si="67"/>
        <v>0</v>
      </c>
      <c r="OC91" s="32" cm="1">
        <f t="array" ref="OC91">NETWORKDAYS($HI$2,$IM$2)-SUM(COUNTIF(HI91:IM91,{"I";"F";"CP";"R";"P";"AC";"AM"}))</f>
        <v>21</v>
      </c>
      <c r="OD91" s="138">
        <f t="shared" si="68"/>
        <v>0</v>
      </c>
      <c r="OE91" s="8">
        <f t="shared" si="69"/>
        <v>0</v>
      </c>
      <c r="OF91" s="32" cm="1">
        <f t="array" ref="OF91">NETWORKDAYS($IN$2,$JQ$2)-SUM(COUNTIF(IN91:JQ91,{"I";"F";"CP";"R";"P";"AC";"AM"}))</f>
        <v>22</v>
      </c>
      <c r="OG91" s="138">
        <f t="shared" si="70"/>
        <v>0</v>
      </c>
      <c r="OH91" s="8">
        <f t="shared" si="71"/>
        <v>0</v>
      </c>
      <c r="OI91" s="32" cm="1">
        <f t="array" ref="OI91">NETWORKDAYS($JR$2,$KV$2)-SUM(COUNTIF(JR91:KV91,{"I";"F";"CP";"R";"P";"AC";"AM"}))</f>
        <v>22</v>
      </c>
      <c r="OJ91" s="138">
        <f t="shared" si="72"/>
        <v>0</v>
      </c>
      <c r="OK91" s="8">
        <f t="shared" si="73"/>
        <v>0</v>
      </c>
      <c r="OL91" s="32" cm="1">
        <f t="array" ref="OL91">NETWORKDAYS($KW$2,$LZ$2,$LG$2)-SUM(COUNTIF(KW91:LZ91,{"I";"F";"CP";"R";"P";"AC";"AM"}))</f>
        <v>19</v>
      </c>
      <c r="OM91" s="138">
        <f t="shared" si="74"/>
        <v>0</v>
      </c>
      <c r="ON91" s="8">
        <f t="shared" si="75"/>
        <v>0</v>
      </c>
      <c r="OO91" s="32" cm="1">
        <f t="array" ref="OO91">NETWORKDAYS($MA$2,$MR$2)-SUM(COUNTIF(MA91:MR91,{"I";"F";"CP";"R";"P";"AC";"AM"}))</f>
        <v>14</v>
      </c>
      <c r="OP91" s="138">
        <f t="shared" si="76"/>
        <v>0</v>
      </c>
      <c r="OQ91" s="94">
        <f t="shared" si="77"/>
        <v>37</v>
      </c>
      <c r="OR91" s="94">
        <f t="shared" si="78"/>
        <v>225</v>
      </c>
      <c r="OS91" s="138">
        <f t="shared" si="79"/>
        <v>0.16444444444444445</v>
      </c>
    </row>
    <row r="92" spans="1:409" ht="18" hidden="1" customHeight="1" x14ac:dyDescent="0.25">
      <c r="A92" s="95" t="s">
        <v>159</v>
      </c>
      <c r="B92" s="95" t="s">
        <v>34</v>
      </c>
      <c r="C92" s="89" t="s">
        <v>188</v>
      </c>
      <c r="D92" s="89" t="s">
        <v>277</v>
      </c>
      <c r="E92" s="128"/>
      <c r="F92" s="110"/>
      <c r="G92" s="110"/>
      <c r="H92" s="110"/>
      <c r="I92" s="25"/>
      <c r="J92" s="25"/>
      <c r="K92" s="25"/>
      <c r="L92" s="25"/>
      <c r="M92" s="25"/>
      <c r="N92" s="110"/>
      <c r="O92" s="110"/>
      <c r="P92" s="25"/>
      <c r="Q92" s="25"/>
      <c r="R92" s="25"/>
      <c r="S92" s="25"/>
      <c r="T92" s="25"/>
      <c r="U92" s="110"/>
      <c r="V92" s="110"/>
      <c r="W92" s="25"/>
      <c r="X92" s="25"/>
      <c r="Y92" s="25"/>
      <c r="Z92" s="25"/>
      <c r="AA92" s="25"/>
      <c r="AB92" s="110"/>
      <c r="AC92" s="110"/>
      <c r="AD92" s="25"/>
      <c r="AE92" s="25"/>
      <c r="AF92" s="25"/>
      <c r="AG92" s="25"/>
      <c r="AH92" s="25"/>
      <c r="AI92" s="110"/>
      <c r="AJ92" s="110"/>
      <c r="AK92" s="25"/>
      <c r="AL92" s="25"/>
      <c r="AM92" s="25"/>
      <c r="AN92" s="25"/>
      <c r="AO92" s="25"/>
      <c r="AP92" s="110"/>
      <c r="AQ92" s="110"/>
      <c r="AR92" s="25"/>
      <c r="AS92" s="25"/>
      <c r="AT92" s="25"/>
      <c r="AU92" s="25"/>
      <c r="AV92" s="25"/>
      <c r="AW92" s="110"/>
      <c r="AX92" s="110"/>
      <c r="AY92" s="25"/>
      <c r="AZ92" s="25"/>
      <c r="BA92" s="25"/>
      <c r="BB92" s="25"/>
      <c r="BC92" s="25"/>
      <c r="BD92" s="110"/>
      <c r="BE92" s="110"/>
      <c r="BF92" s="25"/>
      <c r="BG92" s="25"/>
      <c r="BH92" s="25"/>
      <c r="BI92" s="25"/>
      <c r="BJ92" s="25"/>
      <c r="BK92" s="110"/>
      <c r="BL92" s="110"/>
      <c r="BM92" s="25"/>
      <c r="BN92" s="25"/>
      <c r="BO92" s="25"/>
      <c r="BP92" s="25"/>
      <c r="BQ92" s="25"/>
      <c r="BR92" s="110"/>
      <c r="BS92" s="110"/>
      <c r="BT92" s="25"/>
      <c r="BU92" s="25"/>
      <c r="BV92" s="25"/>
      <c r="BW92" s="25"/>
      <c r="BX92" s="25"/>
      <c r="BY92" s="110"/>
      <c r="BZ92" s="110"/>
      <c r="CA92" s="25"/>
      <c r="CB92" s="25"/>
      <c r="CC92" s="25"/>
      <c r="CD92" s="25"/>
      <c r="CE92" s="25"/>
      <c r="CF92" s="110"/>
      <c r="CG92" s="110"/>
      <c r="CH92" s="25"/>
      <c r="CI92" s="25"/>
      <c r="CJ92" s="25"/>
      <c r="CK92" s="25"/>
      <c r="CL92" s="25"/>
      <c r="CM92" s="110"/>
      <c r="CN92" s="110"/>
      <c r="CO92" s="25"/>
      <c r="CP92" s="25"/>
      <c r="CQ92" s="25"/>
      <c r="CR92" s="25"/>
      <c r="CS92" s="25"/>
      <c r="CT92" s="110"/>
      <c r="CU92" s="110"/>
      <c r="CV92" s="110"/>
      <c r="CW92" s="25"/>
      <c r="CX92" s="25"/>
      <c r="CY92" s="25"/>
      <c r="CZ92" s="25"/>
      <c r="DA92" s="110"/>
      <c r="DB92" s="110"/>
      <c r="DC92" s="25"/>
      <c r="DD92" s="25"/>
      <c r="DE92" s="25"/>
      <c r="DF92" s="25"/>
      <c r="DG92" s="25"/>
      <c r="DH92" s="110"/>
      <c r="DI92" s="110"/>
      <c r="DJ92" s="25"/>
      <c r="DK92" s="25"/>
      <c r="DL92" s="25"/>
      <c r="DM92" s="25"/>
      <c r="DN92" s="25"/>
      <c r="DO92" s="110"/>
      <c r="DP92" s="110"/>
      <c r="DQ92" s="25"/>
      <c r="DR92" s="25"/>
      <c r="DS92" s="25"/>
      <c r="DT92" s="25"/>
      <c r="DU92" s="110"/>
      <c r="DV92" s="110"/>
      <c r="DW92" s="110"/>
      <c r="DX92" s="25"/>
      <c r="DY92" s="25"/>
      <c r="DZ92" s="25"/>
      <c r="EA92" s="25"/>
      <c r="EB92" s="110" t="s">
        <v>445</v>
      </c>
      <c r="EC92" s="110"/>
      <c r="ED92" s="110"/>
      <c r="EE92" s="25"/>
      <c r="EF92" s="25"/>
      <c r="EG92" s="25"/>
      <c r="EH92" s="110" t="s">
        <v>445</v>
      </c>
      <c r="EI92" s="110" t="s">
        <v>445</v>
      </c>
      <c r="EJ92" s="110"/>
      <c r="EK92" s="110"/>
      <c r="EL92" s="25"/>
      <c r="EM92" s="25"/>
      <c r="EN92" s="25"/>
      <c r="EO92" s="25"/>
      <c r="EP92" s="25"/>
      <c r="EQ92" s="110"/>
      <c r="ER92" s="110"/>
      <c r="ES92" s="110" t="s">
        <v>445</v>
      </c>
      <c r="ET92" s="25"/>
      <c r="EU92" s="25"/>
      <c r="EV92" s="25"/>
      <c r="EW92" s="25"/>
      <c r="EX92" s="110"/>
      <c r="EY92" s="110"/>
      <c r="EZ92" s="25"/>
      <c r="FA92" s="25"/>
      <c r="FB92" s="25"/>
      <c r="FC92" s="25"/>
      <c r="FD92" s="25"/>
      <c r="FE92" s="110"/>
      <c r="FF92" s="110"/>
      <c r="FG92" s="25"/>
      <c r="FH92" s="25"/>
      <c r="FI92" s="25"/>
      <c r="FJ92" s="25"/>
      <c r="FK92" s="25"/>
      <c r="FL92" s="110"/>
      <c r="FM92" s="110"/>
      <c r="FN92" s="25"/>
      <c r="FO92" s="25"/>
      <c r="FP92" s="25"/>
      <c r="FQ92" s="25"/>
      <c r="FR92" s="25"/>
      <c r="FS92" s="110"/>
      <c r="FT92" s="110"/>
      <c r="FU92" s="25"/>
      <c r="FV92" s="25"/>
      <c r="FW92" s="25"/>
      <c r="FX92" s="25"/>
      <c r="FY92" s="25"/>
      <c r="FZ92" s="110"/>
      <c r="GA92" s="110"/>
      <c r="GB92" s="25"/>
      <c r="GC92" s="25"/>
      <c r="GD92" s="25"/>
      <c r="GE92" s="25"/>
      <c r="GF92" s="25"/>
      <c r="GG92" s="110"/>
      <c r="GH92" s="110"/>
      <c r="GI92" s="25"/>
      <c r="GJ92" s="25"/>
      <c r="GK92" s="25"/>
      <c r="GL92" s="25"/>
      <c r="GM92" s="25"/>
      <c r="GN92" s="110"/>
      <c r="GO92" s="110"/>
      <c r="GP92" s="110"/>
      <c r="GQ92" s="110" t="s">
        <v>445</v>
      </c>
      <c r="GR92" s="25"/>
      <c r="GS92" s="25"/>
      <c r="GT92" s="25"/>
      <c r="GU92" s="110"/>
      <c r="GV92" s="110"/>
      <c r="GW92" s="25"/>
      <c r="GX92" s="25"/>
      <c r="GY92" s="25"/>
      <c r="GZ92" s="25"/>
      <c r="HA92" s="25"/>
      <c r="HB92" s="110"/>
      <c r="HC92" s="110"/>
      <c r="HD92" s="25"/>
      <c r="HE92" s="25"/>
      <c r="HF92" s="25"/>
      <c r="HG92" s="25"/>
      <c r="HH92" s="25"/>
      <c r="HI92" s="110"/>
      <c r="HJ92" s="110"/>
      <c r="HK92" s="25"/>
      <c r="HL92" s="25"/>
      <c r="HM92" s="25"/>
      <c r="HN92" s="25"/>
      <c r="HO92" s="25"/>
      <c r="HP92" s="110"/>
      <c r="HQ92" s="110"/>
      <c r="HR92" s="25"/>
      <c r="HS92" s="25"/>
      <c r="HT92" s="25"/>
      <c r="HU92" s="25"/>
      <c r="HV92" s="25"/>
      <c r="HW92" s="110"/>
      <c r="HX92" s="110"/>
      <c r="HY92" s="25"/>
      <c r="HZ92" s="25"/>
      <c r="IA92" s="25"/>
      <c r="IB92" s="25"/>
      <c r="IC92" s="25"/>
      <c r="ID92" s="110"/>
      <c r="IE92" s="110"/>
      <c r="IF92" s="25"/>
      <c r="IG92" s="25"/>
      <c r="IH92" s="25"/>
      <c r="II92" s="25"/>
      <c r="IJ92" s="25"/>
      <c r="IK92" s="110"/>
      <c r="IL92" s="110"/>
      <c r="IM92" s="25"/>
      <c r="IN92" s="25"/>
      <c r="IO92" s="25"/>
      <c r="IP92" s="25"/>
      <c r="IQ92" s="25"/>
      <c r="IR92" s="110"/>
      <c r="IS92" s="110"/>
      <c r="IT92" s="25"/>
      <c r="IU92" s="25"/>
      <c r="IV92" s="25"/>
      <c r="IW92" s="25"/>
      <c r="IX92" s="25"/>
      <c r="IY92" s="110"/>
      <c r="IZ92" s="110"/>
      <c r="JA92" s="25"/>
      <c r="JB92" s="25"/>
      <c r="JC92" s="25"/>
      <c r="JD92" s="25"/>
      <c r="JE92" s="25"/>
      <c r="JF92" s="110"/>
      <c r="JG92" s="110"/>
      <c r="JH92" s="25"/>
      <c r="JI92" s="25"/>
      <c r="JJ92" s="25"/>
      <c r="JK92" s="25"/>
      <c r="JL92" s="25"/>
      <c r="JM92" s="110"/>
      <c r="JN92" s="110"/>
      <c r="JO92" s="25"/>
      <c r="JP92" s="25"/>
      <c r="JQ92" s="25"/>
      <c r="JR92" s="25"/>
      <c r="JS92" s="25"/>
      <c r="JT92" s="110"/>
      <c r="JU92" s="110"/>
      <c r="JV92" s="25"/>
      <c r="JW92" s="25"/>
      <c r="JX92" s="25"/>
      <c r="JY92" s="25"/>
      <c r="JZ92" s="25"/>
      <c r="KA92" s="110"/>
      <c r="KB92" s="110"/>
      <c r="KC92" s="25"/>
      <c r="KD92" s="25"/>
      <c r="KE92" s="25"/>
      <c r="KF92" s="25"/>
      <c r="KG92" s="25"/>
      <c r="KH92" s="110"/>
      <c r="KI92" s="110"/>
      <c r="KJ92" s="25"/>
      <c r="KK92" s="25"/>
      <c r="KL92" s="25"/>
      <c r="KM92" s="25"/>
      <c r="KN92" s="25"/>
      <c r="KO92" s="110"/>
      <c r="KP92" s="110"/>
      <c r="KQ92" s="25"/>
      <c r="KR92" s="25"/>
      <c r="KS92" s="25"/>
      <c r="KT92" s="25"/>
      <c r="KU92" s="25"/>
      <c r="KV92" s="110"/>
      <c r="KW92" s="110"/>
      <c r="KX92" s="25"/>
      <c r="KY92" s="25"/>
      <c r="KZ92" s="25"/>
      <c r="LA92" s="25"/>
      <c r="LB92" s="25"/>
      <c r="LC92" s="110"/>
      <c r="LD92" s="110"/>
      <c r="LE92" s="25"/>
      <c r="LF92" s="25"/>
      <c r="LG92" s="110" t="s">
        <v>445</v>
      </c>
      <c r="LH92" s="25"/>
      <c r="LI92" s="25"/>
      <c r="LJ92" s="110"/>
      <c r="LK92" s="110"/>
      <c r="LL92" s="25"/>
      <c r="LM92" s="25"/>
      <c r="LN92" s="25"/>
      <c r="LO92" s="25"/>
      <c r="LP92" s="25"/>
      <c r="LQ92" s="110"/>
      <c r="LR92" s="110"/>
      <c r="LS92" s="25"/>
      <c r="LT92" s="25"/>
      <c r="LU92" s="25"/>
      <c r="LV92" s="25"/>
      <c r="LW92" s="25"/>
      <c r="LX92" s="110"/>
      <c r="LY92" s="110"/>
      <c r="LZ92" s="25"/>
      <c r="MA92" s="25"/>
      <c r="MB92" s="25"/>
      <c r="MC92" s="25"/>
      <c r="MD92" s="25"/>
      <c r="ME92" s="110"/>
      <c r="MF92" s="110"/>
      <c r="MG92" s="25"/>
      <c r="MH92" s="25"/>
      <c r="MI92" s="25"/>
      <c r="MJ92" s="25"/>
      <c r="MK92" s="25"/>
      <c r="ML92" s="110"/>
      <c r="MM92" s="110"/>
      <c r="MN92" s="25"/>
      <c r="MO92" s="25"/>
      <c r="MP92" s="25"/>
      <c r="MQ92" s="25"/>
      <c r="MR92" s="25"/>
      <c r="MS92" s="110"/>
      <c r="MT92" s="110"/>
      <c r="MU92" s="25"/>
      <c r="MV92" s="25"/>
      <c r="MW92" s="25"/>
      <c r="MX92" s="25"/>
      <c r="MY92" s="25"/>
      <c r="MZ92" s="110"/>
      <c r="NA92" s="110"/>
      <c r="NB92" s="25"/>
      <c r="NC92" s="25"/>
      <c r="ND92" s="25"/>
      <c r="NE92" s="129"/>
      <c r="NF92" s="111"/>
      <c r="NG92" s="8">
        <f t="shared" si="54"/>
        <v>0</v>
      </c>
      <c r="NH92" s="32" cm="1">
        <f t="array" ref="NH92">NETWORKDAYS($I$2,$AI$2)- SUM(COUNTIF(I92:AI92,{"I";"F";"CP";"R";"P";"AC";"AM"}))</f>
        <v>20</v>
      </c>
      <c r="NI92" s="138">
        <f t="shared" si="55"/>
        <v>0</v>
      </c>
      <c r="NJ92" s="8">
        <f t="shared" si="56"/>
        <v>0</v>
      </c>
      <c r="NK92" s="32" cm="1">
        <f t="array" ref="NK92">NETWORKDAYS($AJ$2,$BK$2)- SUM(COUNTIF(AJ92:BK92,{"I";"F";"CP";"R";"P";"AC";"AM"}))</f>
        <v>20</v>
      </c>
      <c r="NL92" s="138">
        <f t="shared" si="57"/>
        <v>0</v>
      </c>
      <c r="NM92" s="8">
        <f t="shared" si="58"/>
        <v>0</v>
      </c>
      <c r="NN92" s="32" cm="1">
        <f t="array" ref="NN92">NETWORKDAYS($BL$2,$CP$2)- SUM(COUNTIF(BL92:CP92,{"I";"F";"CP";"R";"P";"AC";"AM"}))</f>
        <v>22</v>
      </c>
      <c r="NO92" s="138">
        <f t="shared" si="59"/>
        <v>0</v>
      </c>
      <c r="NP92" s="8">
        <f t="shared" si="53"/>
        <v>0</v>
      </c>
      <c r="NQ92" s="32" cm="1">
        <f t="array" ref="NQ92">NETWORKDAYS($CQ$2,$DT$2,$CV$2)- SUM(COUNTIF(CQ92:DT92,{"I";"F";"CP";"R";"P";"AC";"AM"}))</f>
        <v>21</v>
      </c>
      <c r="NR92" s="138">
        <f t="shared" si="60"/>
        <v>0</v>
      </c>
      <c r="NS92" s="8">
        <f t="shared" si="61"/>
        <v>0</v>
      </c>
      <c r="NT92" s="32" cm="1">
        <f t="array" ref="NT92">NETWORKDAYS($DV$2,$EY$2)-SUM(COUNTIF(DV92:EY92,{"I";"F";"CP";"R";"P";"AC";"AM"}))</f>
        <v>16</v>
      </c>
      <c r="NU92" s="138">
        <f t="shared" si="62"/>
        <v>0</v>
      </c>
      <c r="NV92" s="8">
        <f t="shared" si="63"/>
        <v>0</v>
      </c>
      <c r="NW92" s="32" cm="1">
        <f t="array" ref="NW92">NETWORKDAYS($EZ$2,$GC$2)-SUM(COUNTIF(EZ172:GC172,{"I";"F";"CP";"R";"P";"AC";"AM"}))</f>
        <v>22</v>
      </c>
      <c r="NX92" s="138">
        <f t="shared" si="64"/>
        <v>0</v>
      </c>
      <c r="NY92" s="8">
        <f t="shared" si="65"/>
        <v>0</v>
      </c>
      <c r="NZ92" s="32" cm="1">
        <f t="array" ref="NZ92">NETWORKDAYS($GD$2,$HH$2,$GQ$2)-SUM(COUNTIF(GD92:HH92,{"I";"F";"CP";"R";"P";"AC";"AM"}))</f>
        <v>21</v>
      </c>
      <c r="OA92" s="138">
        <f t="shared" si="66"/>
        <v>0</v>
      </c>
      <c r="OB92" s="8">
        <f t="shared" si="67"/>
        <v>0</v>
      </c>
      <c r="OC92" s="32" cm="1">
        <f t="array" ref="OC92">NETWORKDAYS($HI$2,$IM$2)-SUM(COUNTIF(HI92:IM92,{"I";"F";"CP";"R";"P";"AC";"AM"}))</f>
        <v>21</v>
      </c>
      <c r="OD92" s="138">
        <f t="shared" si="68"/>
        <v>0</v>
      </c>
      <c r="OE92" s="8">
        <f t="shared" si="69"/>
        <v>0</v>
      </c>
      <c r="OF92" s="32" cm="1">
        <f t="array" ref="OF92">NETWORKDAYS($IN$2,$JQ$2)-SUM(COUNTIF(IN92:JQ92,{"I";"F";"CP";"R";"P";"AC";"AM"}))</f>
        <v>22</v>
      </c>
      <c r="OG92" s="138">
        <f t="shared" si="70"/>
        <v>0</v>
      </c>
      <c r="OH92" s="8">
        <f t="shared" si="71"/>
        <v>0</v>
      </c>
      <c r="OI92" s="32" cm="1">
        <f t="array" ref="OI92">NETWORKDAYS($JR$2,$KV$2)-SUM(COUNTIF(JR92:KV92,{"I";"F";"CP";"R";"P";"AC";"AM"}))</f>
        <v>22</v>
      </c>
      <c r="OJ92" s="138">
        <f t="shared" si="72"/>
        <v>0</v>
      </c>
      <c r="OK92" s="8">
        <f t="shared" si="73"/>
        <v>0</v>
      </c>
      <c r="OL92" s="32" cm="1">
        <f t="array" ref="OL92">NETWORKDAYS($KW$2,$LZ$2,$LG$2)-SUM(COUNTIF(KW92:LZ92,{"I";"F";"CP";"R";"P";"AC";"AM"}))</f>
        <v>19</v>
      </c>
      <c r="OM92" s="138">
        <f t="shared" si="74"/>
        <v>0</v>
      </c>
      <c r="ON92" s="8">
        <f t="shared" si="75"/>
        <v>0</v>
      </c>
      <c r="OO92" s="32" cm="1">
        <f t="array" ref="OO92">NETWORKDAYS($MA$2,$MR$2)-SUM(COUNTIF(MA92:MR92,{"I";"F";"CP";"R";"P";"AC";"AM"}))</f>
        <v>14</v>
      </c>
      <c r="OP92" s="138">
        <f t="shared" si="76"/>
        <v>0</v>
      </c>
      <c r="OQ92" s="94">
        <f t="shared" si="77"/>
        <v>0</v>
      </c>
      <c r="OR92" s="94">
        <f t="shared" si="78"/>
        <v>240</v>
      </c>
      <c r="OS92" s="138">
        <f t="shared" si="79"/>
        <v>0</v>
      </c>
    </row>
    <row r="93" spans="1:409" ht="18" hidden="1" customHeight="1" x14ac:dyDescent="0.25">
      <c r="A93" s="95" t="s">
        <v>468</v>
      </c>
      <c r="B93" s="95" t="s">
        <v>34</v>
      </c>
      <c r="C93" s="89" t="s">
        <v>160</v>
      </c>
      <c r="D93" s="89" t="s">
        <v>278</v>
      </c>
      <c r="E93" s="128"/>
      <c r="F93" s="110"/>
      <c r="G93" s="110"/>
      <c r="H93" s="110"/>
      <c r="I93" s="25"/>
      <c r="J93" s="25"/>
      <c r="K93" s="25"/>
      <c r="L93" s="25"/>
      <c r="M93" s="25"/>
      <c r="N93" s="110"/>
      <c r="O93" s="110"/>
      <c r="P93" s="25"/>
      <c r="Q93" s="25"/>
      <c r="R93" s="25"/>
      <c r="S93" s="25"/>
      <c r="T93" s="25"/>
      <c r="U93" s="110"/>
      <c r="V93" s="110"/>
      <c r="W93" s="25"/>
      <c r="X93" s="25"/>
      <c r="Y93" s="25"/>
      <c r="Z93" s="25"/>
      <c r="AA93" s="25"/>
      <c r="AB93" s="110"/>
      <c r="AC93" s="110"/>
      <c r="AD93" s="25"/>
      <c r="AE93" s="25"/>
      <c r="AF93" s="25"/>
      <c r="AG93" s="25"/>
      <c r="AH93" s="25"/>
      <c r="AI93" s="110"/>
      <c r="AJ93" s="110"/>
      <c r="AK93" s="25"/>
      <c r="AL93" s="25"/>
      <c r="AM93" s="25"/>
      <c r="AN93" s="25"/>
      <c r="AO93" s="25"/>
      <c r="AP93" s="110"/>
      <c r="AQ93" s="110"/>
      <c r="AR93" s="25"/>
      <c r="AS93" s="25"/>
      <c r="AT93" s="25"/>
      <c r="AU93" s="25"/>
      <c r="AV93" s="25"/>
      <c r="AW93" s="110"/>
      <c r="AX93" s="110"/>
      <c r="AY93" s="25"/>
      <c r="AZ93" s="25"/>
      <c r="BA93" s="25"/>
      <c r="BB93" s="25"/>
      <c r="BC93" s="25"/>
      <c r="BD93" s="110"/>
      <c r="BE93" s="110"/>
      <c r="BF93" s="25"/>
      <c r="BG93" s="25"/>
      <c r="BH93" s="25"/>
      <c r="BI93" s="25"/>
      <c r="BJ93" s="25"/>
      <c r="BK93" s="110"/>
      <c r="BL93" s="110"/>
      <c r="BM93" s="25"/>
      <c r="BN93" s="25"/>
      <c r="BO93" s="25"/>
      <c r="BP93" s="25"/>
      <c r="BQ93" s="25"/>
      <c r="BR93" s="110"/>
      <c r="BS93" s="110"/>
      <c r="BT93" s="25"/>
      <c r="BU93" s="25"/>
      <c r="BV93" s="25"/>
      <c r="BW93" s="25"/>
      <c r="BX93" s="25"/>
      <c r="BY93" s="110"/>
      <c r="BZ93" s="110"/>
      <c r="CA93" s="25"/>
      <c r="CB93" s="25"/>
      <c r="CC93" s="25"/>
      <c r="CD93" s="25"/>
      <c r="CE93" s="25"/>
      <c r="CF93" s="110"/>
      <c r="CG93" s="110"/>
      <c r="CH93" s="25"/>
      <c r="CI93" s="25"/>
      <c r="CJ93" s="25"/>
      <c r="CK93" s="25"/>
      <c r="CL93" s="25"/>
      <c r="CM93" s="110"/>
      <c r="CN93" s="110"/>
      <c r="CO93" s="25"/>
      <c r="CP93" s="25"/>
      <c r="CQ93" s="25"/>
      <c r="CR93" s="25"/>
      <c r="CS93" s="25"/>
      <c r="CT93" s="110"/>
      <c r="CU93" s="110"/>
      <c r="CV93" s="110"/>
      <c r="CW93" s="25"/>
      <c r="CX93" s="25"/>
      <c r="CY93" s="25"/>
      <c r="CZ93" s="25"/>
      <c r="DA93" s="110"/>
      <c r="DB93" s="110"/>
      <c r="DC93" s="25"/>
      <c r="DD93" s="25"/>
      <c r="DE93" s="25"/>
      <c r="DF93" s="25"/>
      <c r="DG93" s="25"/>
      <c r="DH93" s="110"/>
      <c r="DI93" s="110"/>
      <c r="DJ93" s="25"/>
      <c r="DK93" s="25"/>
      <c r="DL93" s="25"/>
      <c r="DM93" s="25"/>
      <c r="DN93" s="25"/>
      <c r="DO93" s="110"/>
      <c r="DP93" s="110"/>
      <c r="DQ93" s="25"/>
      <c r="DR93" s="25"/>
      <c r="DS93" s="25"/>
      <c r="DT93" s="25"/>
      <c r="DU93" s="110"/>
      <c r="DV93" s="110"/>
      <c r="DW93" s="110"/>
      <c r="DX93" s="25"/>
      <c r="DY93" s="25"/>
      <c r="DZ93" s="25"/>
      <c r="EA93" s="25"/>
      <c r="EB93" s="110" t="s">
        <v>445</v>
      </c>
      <c r="EC93" s="110"/>
      <c r="ED93" s="110"/>
      <c r="EE93" s="25"/>
      <c r="EF93" s="25"/>
      <c r="EG93" s="25"/>
      <c r="EH93" s="110" t="s">
        <v>445</v>
      </c>
      <c r="EI93" s="110" t="s">
        <v>445</v>
      </c>
      <c r="EJ93" s="110"/>
      <c r="EK93" s="110"/>
      <c r="EL93" s="25"/>
      <c r="EM93" s="25"/>
      <c r="EN93" s="25"/>
      <c r="EO93" s="25"/>
      <c r="EP93" s="25"/>
      <c r="EQ93" s="110"/>
      <c r="ER93" s="110"/>
      <c r="ES93" s="110" t="s">
        <v>445</v>
      </c>
      <c r="ET93" s="25"/>
      <c r="EU93" s="25"/>
      <c r="EV93" s="25"/>
      <c r="EW93" s="25"/>
      <c r="EX93" s="110"/>
      <c r="EY93" s="110"/>
      <c r="EZ93" s="25"/>
      <c r="FA93" s="25"/>
      <c r="FB93" s="25"/>
      <c r="FC93" s="25"/>
      <c r="FD93" s="25"/>
      <c r="FE93" s="110"/>
      <c r="FF93" s="110"/>
      <c r="FG93" s="25"/>
      <c r="FH93" s="25"/>
      <c r="FI93" s="25"/>
      <c r="FJ93" s="25"/>
      <c r="FK93" s="25"/>
      <c r="FL93" s="110"/>
      <c r="FM93" s="110"/>
      <c r="FN93" s="25"/>
      <c r="FO93" s="25"/>
      <c r="FP93" s="25"/>
      <c r="FQ93" s="25"/>
      <c r="FR93" s="25"/>
      <c r="FS93" s="110"/>
      <c r="FT93" s="110"/>
      <c r="FU93" s="25"/>
      <c r="FV93" s="25"/>
      <c r="FW93" s="25"/>
      <c r="FX93" s="25"/>
      <c r="FY93" s="25"/>
      <c r="FZ93" s="110"/>
      <c r="GA93" s="110"/>
      <c r="GB93" s="25"/>
      <c r="GC93" s="25"/>
      <c r="GD93" s="25"/>
      <c r="GE93" s="25"/>
      <c r="GF93" s="25"/>
      <c r="GG93" s="110"/>
      <c r="GH93" s="110"/>
      <c r="GI93" s="25"/>
      <c r="GJ93" s="25"/>
      <c r="GK93" s="25"/>
      <c r="GL93" s="25"/>
      <c r="GM93" s="25"/>
      <c r="GN93" s="110"/>
      <c r="GO93" s="110"/>
      <c r="GP93" s="110"/>
      <c r="GQ93" s="110" t="s">
        <v>445</v>
      </c>
      <c r="GR93" s="25"/>
      <c r="GS93" s="25"/>
      <c r="GT93" s="25"/>
      <c r="GU93" s="110"/>
      <c r="GV93" s="110"/>
      <c r="GW93" s="25"/>
      <c r="GX93" s="25"/>
      <c r="GY93" s="25"/>
      <c r="GZ93" s="25"/>
      <c r="HA93" s="25"/>
      <c r="HB93" s="110"/>
      <c r="HC93" s="110"/>
      <c r="HD93" s="25"/>
      <c r="HE93" s="25"/>
      <c r="HF93" s="25"/>
      <c r="HG93" s="25"/>
      <c r="HH93" s="25"/>
      <c r="HI93" s="110"/>
      <c r="HJ93" s="110"/>
      <c r="HK93" s="25"/>
      <c r="HL93" s="25"/>
      <c r="HM93" s="25"/>
      <c r="HN93" s="25"/>
      <c r="HO93" s="25"/>
      <c r="HP93" s="110"/>
      <c r="HQ93" s="110"/>
      <c r="HR93" s="25"/>
      <c r="HS93" s="25"/>
      <c r="HT93" s="25"/>
      <c r="HU93" s="25"/>
      <c r="HV93" s="25"/>
      <c r="HW93" s="110"/>
      <c r="HX93" s="110"/>
      <c r="HY93" s="25"/>
      <c r="HZ93" s="25"/>
      <c r="IA93" s="25"/>
      <c r="IB93" s="25"/>
      <c r="IC93" s="25"/>
      <c r="ID93" s="110"/>
      <c r="IE93" s="110"/>
      <c r="IF93" s="25"/>
      <c r="IG93" s="25"/>
      <c r="IH93" s="25"/>
      <c r="II93" s="25"/>
      <c r="IJ93" s="25"/>
      <c r="IK93" s="110"/>
      <c r="IL93" s="110"/>
      <c r="IM93" s="25"/>
      <c r="IN93" s="25"/>
      <c r="IO93" s="25"/>
      <c r="IP93" s="25"/>
      <c r="IQ93" s="25"/>
      <c r="IR93" s="110"/>
      <c r="IS93" s="110"/>
      <c r="IT93" s="25"/>
      <c r="IU93" s="25"/>
      <c r="IV93" s="25"/>
      <c r="IW93" s="25"/>
      <c r="IX93" s="25"/>
      <c r="IY93" s="110"/>
      <c r="IZ93" s="110"/>
      <c r="JA93" s="25"/>
      <c r="JB93" s="25"/>
      <c r="JC93" s="25"/>
      <c r="JD93" s="25"/>
      <c r="JE93" s="25"/>
      <c r="JF93" s="110"/>
      <c r="JG93" s="110"/>
      <c r="JH93" s="25"/>
      <c r="JI93" s="25"/>
      <c r="JJ93" s="25"/>
      <c r="JK93" s="25"/>
      <c r="JL93" s="25"/>
      <c r="JM93" s="110"/>
      <c r="JN93" s="110"/>
      <c r="JO93" s="25"/>
      <c r="JP93" s="25"/>
      <c r="JQ93" s="25"/>
      <c r="JR93" s="25"/>
      <c r="JS93" s="25"/>
      <c r="JT93" s="110"/>
      <c r="JU93" s="110"/>
      <c r="JV93" s="25"/>
      <c r="JW93" s="25"/>
      <c r="JX93" s="25"/>
      <c r="JY93" s="25"/>
      <c r="JZ93" s="25"/>
      <c r="KA93" s="110"/>
      <c r="KB93" s="110"/>
      <c r="KC93" s="25"/>
      <c r="KD93" s="25"/>
      <c r="KE93" s="25"/>
      <c r="KF93" s="25"/>
      <c r="KG93" s="25"/>
      <c r="KH93" s="110"/>
      <c r="KI93" s="110"/>
      <c r="KJ93" s="25"/>
      <c r="KK93" s="25"/>
      <c r="KL93" s="25"/>
      <c r="KM93" s="25"/>
      <c r="KN93" s="25"/>
      <c r="KO93" s="110"/>
      <c r="KP93" s="110"/>
      <c r="KQ93" s="25"/>
      <c r="KR93" s="25"/>
      <c r="KS93" s="25"/>
      <c r="KT93" s="25"/>
      <c r="KU93" s="25"/>
      <c r="KV93" s="110"/>
      <c r="KW93" s="110"/>
      <c r="KX93" s="25"/>
      <c r="KY93" s="25"/>
      <c r="KZ93" s="25"/>
      <c r="LA93" s="25"/>
      <c r="LB93" s="25"/>
      <c r="LC93" s="110"/>
      <c r="LD93" s="110"/>
      <c r="LE93" s="25"/>
      <c r="LF93" s="25"/>
      <c r="LG93" s="110" t="s">
        <v>445</v>
      </c>
      <c r="LH93" s="25"/>
      <c r="LI93" s="25"/>
      <c r="LJ93" s="110"/>
      <c r="LK93" s="110"/>
      <c r="LL93" s="25"/>
      <c r="LM93" s="25"/>
      <c r="LN93" s="25"/>
      <c r="LO93" s="25"/>
      <c r="LP93" s="25"/>
      <c r="LQ93" s="110"/>
      <c r="LR93" s="110"/>
      <c r="LS93" s="25"/>
      <c r="LT93" s="25"/>
      <c r="LU93" s="25"/>
      <c r="LV93" s="25"/>
      <c r="LW93" s="25"/>
      <c r="LX93" s="110"/>
      <c r="LY93" s="110"/>
      <c r="LZ93" s="25"/>
      <c r="MA93" s="25"/>
      <c r="MB93" s="25"/>
      <c r="MC93" s="25"/>
      <c r="MD93" s="25"/>
      <c r="ME93" s="110"/>
      <c r="MF93" s="110"/>
      <c r="MG93" s="25"/>
      <c r="MH93" s="25"/>
      <c r="MI93" s="25"/>
      <c r="MJ93" s="25"/>
      <c r="MK93" s="25"/>
      <c r="ML93" s="110"/>
      <c r="MM93" s="110"/>
      <c r="MN93" s="25"/>
      <c r="MO93" s="25"/>
      <c r="MP93" s="25"/>
      <c r="MQ93" s="25"/>
      <c r="MR93" s="25"/>
      <c r="MS93" s="110"/>
      <c r="MT93" s="110"/>
      <c r="MU93" s="25"/>
      <c r="MV93" s="25"/>
      <c r="MW93" s="25"/>
      <c r="MX93" s="25"/>
      <c r="MY93" s="25"/>
      <c r="MZ93" s="110"/>
      <c r="NA93" s="110"/>
      <c r="NB93" s="25"/>
      <c r="NC93" s="25"/>
      <c r="ND93" s="25"/>
      <c r="NE93" s="129"/>
      <c r="NF93" s="111"/>
      <c r="NG93" s="8">
        <f t="shared" si="54"/>
        <v>0</v>
      </c>
      <c r="NH93" s="32" cm="1">
        <f t="array" ref="NH93">NETWORKDAYS($I$2,$AI$2)- SUM(COUNTIF(I93:AI93,{"I";"F";"CP";"R";"P";"AC";"AM"}))</f>
        <v>20</v>
      </c>
      <c r="NI93" s="138">
        <f t="shared" si="55"/>
        <v>0</v>
      </c>
      <c r="NJ93" s="8">
        <f t="shared" si="56"/>
        <v>0</v>
      </c>
      <c r="NK93" s="32" cm="1">
        <f t="array" ref="NK93">NETWORKDAYS($AJ$2,$BK$2)- SUM(COUNTIF(AJ93:BK93,{"I";"F";"CP";"R";"P";"AC";"AM"}))</f>
        <v>20</v>
      </c>
      <c r="NL93" s="138">
        <f t="shared" si="57"/>
        <v>0</v>
      </c>
      <c r="NM93" s="8">
        <f t="shared" si="58"/>
        <v>0</v>
      </c>
      <c r="NN93" s="32" cm="1">
        <f t="array" ref="NN93">NETWORKDAYS($BL$2,$CP$2)- SUM(COUNTIF(BL93:CP93,{"I";"F";"CP";"R";"P";"AC";"AM"}))</f>
        <v>22</v>
      </c>
      <c r="NO93" s="138">
        <f t="shared" si="59"/>
        <v>0</v>
      </c>
      <c r="NP93" s="32">
        <f t="shared" si="53"/>
        <v>0</v>
      </c>
      <c r="NQ93" s="32" cm="1">
        <f t="array" ref="NQ93">NETWORKDAYS($CQ$2,$DT$2,$CV$2)- SUM(COUNTIF(CQ93:DT93,{"I";"F";"CP";"R";"P";"AC";"AM"}))</f>
        <v>21</v>
      </c>
      <c r="NR93" s="138">
        <f t="shared" si="60"/>
        <v>0</v>
      </c>
      <c r="NS93" s="8">
        <f t="shared" si="61"/>
        <v>0</v>
      </c>
      <c r="NT93" s="32" cm="1">
        <f t="array" ref="NT93">NETWORKDAYS($DV$2,$EY$2)-SUM(COUNTIF(DV93:EY93,{"I";"F";"CP";"R";"P";"AC";"AM"}))</f>
        <v>16</v>
      </c>
      <c r="NU93" s="138">
        <f t="shared" si="62"/>
        <v>0</v>
      </c>
      <c r="NV93" s="8">
        <f t="shared" si="63"/>
        <v>0</v>
      </c>
      <c r="NW93" s="32" cm="1">
        <f t="array" ref="NW93">NETWORKDAYS($EZ$2,$GC$2)-SUM(COUNTIF(EZ173:GC173,{"I";"F";"CP";"R";"P";"AC";"AM"}))</f>
        <v>22</v>
      </c>
      <c r="NX93" s="138">
        <f t="shared" si="64"/>
        <v>0</v>
      </c>
      <c r="NY93" s="8">
        <f t="shared" si="65"/>
        <v>0</v>
      </c>
      <c r="NZ93" s="32" cm="1">
        <f t="array" ref="NZ93">NETWORKDAYS($GD$2,$HH$2,$GQ$2)-SUM(COUNTIF(GD93:HH93,{"I";"F";"CP";"R";"P";"AC";"AM"}))</f>
        <v>21</v>
      </c>
      <c r="OA93" s="138">
        <f t="shared" si="66"/>
        <v>0</v>
      </c>
      <c r="OB93" s="8">
        <f t="shared" si="67"/>
        <v>0</v>
      </c>
      <c r="OC93" s="32" cm="1">
        <f t="array" ref="OC93">NETWORKDAYS($HI$2,$IM$2)-SUM(COUNTIF(HI93:IM93,{"I";"F";"CP";"R";"P";"AC";"AM"}))</f>
        <v>21</v>
      </c>
      <c r="OD93" s="138">
        <f t="shared" si="68"/>
        <v>0</v>
      </c>
      <c r="OE93" s="8">
        <f t="shared" si="69"/>
        <v>0</v>
      </c>
      <c r="OF93" s="32" cm="1">
        <f t="array" ref="OF93">NETWORKDAYS($IN$2,$JQ$2)-SUM(COUNTIF(IN93:JQ93,{"I";"F";"CP";"R";"P";"AC";"AM"}))</f>
        <v>22</v>
      </c>
      <c r="OG93" s="138">
        <f t="shared" si="70"/>
        <v>0</v>
      </c>
      <c r="OH93" s="8">
        <f t="shared" si="71"/>
        <v>0</v>
      </c>
      <c r="OI93" s="32" cm="1">
        <f t="array" ref="OI93">NETWORKDAYS($JR$2,$KV$2)-SUM(COUNTIF(JR93:KV93,{"I";"F";"CP";"R";"P";"AC";"AM"}))</f>
        <v>22</v>
      </c>
      <c r="OJ93" s="138">
        <f t="shared" si="72"/>
        <v>0</v>
      </c>
      <c r="OK93" s="8">
        <f t="shared" si="73"/>
        <v>0</v>
      </c>
      <c r="OL93" s="32" cm="1">
        <f t="array" ref="OL93">NETWORKDAYS($KW$2,$LZ$2,$LG$2)-SUM(COUNTIF(KW93:LZ93,{"I";"F";"CP";"R";"P";"AC";"AM"}))</f>
        <v>19</v>
      </c>
      <c r="OM93" s="138">
        <f t="shared" si="74"/>
        <v>0</v>
      </c>
      <c r="ON93" s="8">
        <f t="shared" si="75"/>
        <v>0</v>
      </c>
      <c r="OO93" s="32" cm="1">
        <f t="array" ref="OO93">NETWORKDAYS($MA$2,$MR$2)-SUM(COUNTIF(MA93:MR93,{"I";"F";"CP";"R";"P";"AC";"AM"}))</f>
        <v>14</v>
      </c>
      <c r="OP93" s="138">
        <f t="shared" si="76"/>
        <v>0</v>
      </c>
      <c r="OQ93" s="94">
        <f t="shared" si="77"/>
        <v>0</v>
      </c>
      <c r="OR93" s="94">
        <f t="shared" si="78"/>
        <v>240</v>
      </c>
      <c r="OS93" s="138">
        <f t="shared" si="79"/>
        <v>0</v>
      </c>
    </row>
    <row r="94" spans="1:409" ht="18" customHeight="1" x14ac:dyDescent="0.25">
      <c r="A94" s="97" t="s">
        <v>181</v>
      </c>
      <c r="B94" s="95" t="s">
        <v>34</v>
      </c>
      <c r="C94" s="89" t="s">
        <v>166</v>
      </c>
      <c r="D94" s="89" t="s">
        <v>279</v>
      </c>
      <c r="E94" s="128"/>
      <c r="F94" s="110"/>
      <c r="G94" s="110"/>
      <c r="H94" s="110"/>
      <c r="I94" s="25" t="s">
        <v>248</v>
      </c>
      <c r="J94" s="25" t="s">
        <v>248</v>
      </c>
      <c r="K94" s="25" t="s">
        <v>248</v>
      </c>
      <c r="L94" s="25" t="s">
        <v>248</v>
      </c>
      <c r="M94" s="25" t="s">
        <v>248</v>
      </c>
      <c r="N94" s="110"/>
      <c r="O94" s="110"/>
      <c r="P94" s="25">
        <v>1</v>
      </c>
      <c r="Q94" s="25">
        <v>1</v>
      </c>
      <c r="R94" s="25">
        <v>1</v>
      </c>
      <c r="S94" s="25">
        <v>1</v>
      </c>
      <c r="T94" s="25">
        <v>1</v>
      </c>
      <c r="U94" s="110"/>
      <c r="V94" s="110"/>
      <c r="W94" s="25"/>
      <c r="X94" s="25">
        <v>1</v>
      </c>
      <c r="Y94" s="25">
        <v>1</v>
      </c>
      <c r="Z94" s="25">
        <v>1</v>
      </c>
      <c r="AA94" s="25"/>
      <c r="AB94" s="110"/>
      <c r="AC94" s="110"/>
      <c r="AD94" s="25"/>
      <c r="AE94" s="25">
        <v>1</v>
      </c>
      <c r="AF94" s="25">
        <v>1</v>
      </c>
      <c r="AG94" s="25">
        <v>1</v>
      </c>
      <c r="AH94" s="25" t="s">
        <v>447</v>
      </c>
      <c r="AI94" s="110"/>
      <c r="AJ94" s="110"/>
      <c r="AK94" s="25">
        <v>1</v>
      </c>
      <c r="AL94" s="25"/>
      <c r="AM94" s="25">
        <v>1</v>
      </c>
      <c r="AN94" s="25"/>
      <c r="AO94" s="25"/>
      <c r="AP94" s="110"/>
      <c r="AQ94" s="110"/>
      <c r="AR94" s="25">
        <v>1</v>
      </c>
      <c r="AS94" s="25">
        <v>1</v>
      </c>
      <c r="AT94" s="25">
        <v>1</v>
      </c>
      <c r="AU94" s="25">
        <v>1</v>
      </c>
      <c r="AV94" s="25">
        <v>1</v>
      </c>
      <c r="AW94" s="110"/>
      <c r="AX94" s="110"/>
      <c r="AY94" s="25"/>
      <c r="AZ94" s="25">
        <v>1</v>
      </c>
      <c r="BA94" s="25">
        <v>1</v>
      </c>
      <c r="BB94" s="25">
        <v>1</v>
      </c>
      <c r="BC94" s="25"/>
      <c r="BD94" s="110"/>
      <c r="BE94" s="110"/>
      <c r="BF94" s="25">
        <v>1</v>
      </c>
      <c r="BG94" s="25"/>
      <c r="BH94" s="25">
        <v>1</v>
      </c>
      <c r="BI94" s="25">
        <v>1</v>
      </c>
      <c r="BJ94" s="25"/>
      <c r="BK94" s="110"/>
      <c r="BL94" s="110"/>
      <c r="BM94" s="25">
        <v>1</v>
      </c>
      <c r="BN94" s="25">
        <v>1</v>
      </c>
      <c r="BO94" s="25">
        <v>1</v>
      </c>
      <c r="BP94" s="25">
        <v>1</v>
      </c>
      <c r="BQ94" s="25">
        <v>1</v>
      </c>
      <c r="BR94" s="110"/>
      <c r="BS94" s="110"/>
      <c r="BT94" s="25" t="s">
        <v>223</v>
      </c>
      <c r="BU94" s="25" t="s">
        <v>223</v>
      </c>
      <c r="BV94" s="25" t="s">
        <v>223</v>
      </c>
      <c r="BW94" s="25" t="s">
        <v>223</v>
      </c>
      <c r="BX94" s="25" t="s">
        <v>445</v>
      </c>
      <c r="BY94" s="110"/>
      <c r="BZ94" s="110"/>
      <c r="CA94" s="25">
        <v>1</v>
      </c>
      <c r="CB94" s="25"/>
      <c r="CC94" s="25">
        <v>1</v>
      </c>
      <c r="CD94" s="25">
        <v>1</v>
      </c>
      <c r="CE94" s="25" t="s">
        <v>445</v>
      </c>
      <c r="CF94" s="110"/>
      <c r="CG94" s="110"/>
      <c r="CH94" s="25"/>
      <c r="CI94" s="25">
        <v>1</v>
      </c>
      <c r="CJ94" s="25">
        <v>1</v>
      </c>
      <c r="CK94" s="25">
        <v>1</v>
      </c>
      <c r="CL94" s="25">
        <v>1</v>
      </c>
      <c r="CM94" s="110"/>
      <c r="CN94" s="110"/>
      <c r="CO94" s="25">
        <v>1</v>
      </c>
      <c r="CP94" s="25"/>
      <c r="CQ94" s="25">
        <v>1</v>
      </c>
      <c r="CR94" s="25">
        <v>1</v>
      </c>
      <c r="CS94" s="25">
        <v>1</v>
      </c>
      <c r="CT94" s="110"/>
      <c r="CU94" s="110"/>
      <c r="CV94" s="110"/>
      <c r="CW94" s="25"/>
      <c r="CX94" s="25"/>
      <c r="CY94" s="25"/>
      <c r="CZ94" s="25"/>
      <c r="DA94" s="110"/>
      <c r="DB94" s="110"/>
      <c r="DC94" s="25"/>
      <c r="DD94" s="25"/>
      <c r="DE94" s="25"/>
      <c r="DF94" s="25"/>
      <c r="DG94" s="25"/>
      <c r="DH94" s="110"/>
      <c r="DI94" s="110"/>
      <c r="DJ94" s="25"/>
      <c r="DK94" s="25">
        <v>1</v>
      </c>
      <c r="DL94" s="25">
        <v>1</v>
      </c>
      <c r="DM94" s="25">
        <v>1</v>
      </c>
      <c r="DN94" s="25">
        <v>1</v>
      </c>
      <c r="DO94" s="110"/>
      <c r="DP94" s="110"/>
      <c r="DQ94" s="25"/>
      <c r="DR94" s="25"/>
      <c r="DS94" s="25"/>
      <c r="DT94" s="25"/>
      <c r="DU94" s="110"/>
      <c r="DV94" s="110"/>
      <c r="DW94" s="110"/>
      <c r="DX94" s="25"/>
      <c r="DY94" s="25">
        <v>1</v>
      </c>
      <c r="DZ94" s="25">
        <v>1</v>
      </c>
      <c r="EA94" s="25">
        <v>1</v>
      </c>
      <c r="EB94" s="110" t="s">
        <v>445</v>
      </c>
      <c r="EC94" s="110"/>
      <c r="ED94" s="110"/>
      <c r="EE94" s="25">
        <v>1</v>
      </c>
      <c r="EF94" s="25">
        <v>1</v>
      </c>
      <c r="EG94" s="25">
        <v>1</v>
      </c>
      <c r="EH94" s="110" t="s">
        <v>445</v>
      </c>
      <c r="EI94" s="110" t="s">
        <v>445</v>
      </c>
      <c r="EJ94" s="110"/>
      <c r="EK94" s="110"/>
      <c r="EL94" s="25" t="s">
        <v>445</v>
      </c>
      <c r="EM94" s="25" t="s">
        <v>445</v>
      </c>
      <c r="EN94" s="25"/>
      <c r="EO94" s="25"/>
      <c r="EP94" s="25"/>
      <c r="EQ94" s="110"/>
      <c r="ER94" s="110"/>
      <c r="ES94" s="110" t="s">
        <v>445</v>
      </c>
      <c r="ET94" s="25"/>
      <c r="EU94" s="25"/>
      <c r="EV94" s="25"/>
      <c r="EW94" s="25"/>
      <c r="EX94" s="110"/>
      <c r="EY94" s="110"/>
      <c r="EZ94" s="25"/>
      <c r="FA94" s="25"/>
      <c r="FB94" s="25"/>
      <c r="FC94" s="25"/>
      <c r="FD94" s="25"/>
      <c r="FE94" s="110"/>
      <c r="FF94" s="110"/>
      <c r="FG94" s="25"/>
      <c r="FH94" s="25"/>
      <c r="FI94" s="25"/>
      <c r="FJ94" s="25"/>
      <c r="FK94" s="25"/>
      <c r="FL94" s="110"/>
      <c r="FM94" s="110"/>
      <c r="FN94" s="25"/>
      <c r="FO94" s="25"/>
      <c r="FP94" s="25"/>
      <c r="FQ94" s="25"/>
      <c r="FR94" s="25"/>
      <c r="FS94" s="110"/>
      <c r="FT94" s="110"/>
      <c r="FU94" s="25"/>
      <c r="FV94" s="25"/>
      <c r="FW94" s="25"/>
      <c r="FX94" s="25"/>
      <c r="FY94" s="25"/>
      <c r="FZ94" s="110"/>
      <c r="GA94" s="110"/>
      <c r="GB94" s="25"/>
      <c r="GC94" s="25"/>
      <c r="GD94" s="25"/>
      <c r="GE94" s="25"/>
      <c r="GF94" s="25"/>
      <c r="GG94" s="110"/>
      <c r="GH94" s="110"/>
      <c r="GI94" s="25"/>
      <c r="GJ94" s="25"/>
      <c r="GK94" s="25"/>
      <c r="GL94" s="25"/>
      <c r="GM94" s="25"/>
      <c r="GN94" s="110"/>
      <c r="GO94" s="110"/>
      <c r="GP94" s="110"/>
      <c r="GQ94" s="110" t="s">
        <v>445</v>
      </c>
      <c r="GR94" s="25"/>
      <c r="GS94" s="25"/>
      <c r="GT94" s="25"/>
      <c r="GU94" s="110"/>
      <c r="GV94" s="110"/>
      <c r="GW94" s="25"/>
      <c r="GX94" s="25"/>
      <c r="GY94" s="25"/>
      <c r="GZ94" s="25"/>
      <c r="HA94" s="25"/>
      <c r="HB94" s="110"/>
      <c r="HC94" s="110"/>
      <c r="HD94" s="25"/>
      <c r="HE94" s="25"/>
      <c r="HF94" s="25"/>
      <c r="HG94" s="25"/>
      <c r="HH94" s="25"/>
      <c r="HI94" s="110"/>
      <c r="HJ94" s="110"/>
      <c r="HK94" s="25"/>
      <c r="HL94" s="25"/>
      <c r="HM94" s="25"/>
      <c r="HN94" s="25"/>
      <c r="HO94" s="25"/>
      <c r="HP94" s="110"/>
      <c r="HQ94" s="110"/>
      <c r="HR94" s="25"/>
      <c r="HS94" s="25"/>
      <c r="HT94" s="25"/>
      <c r="HU94" s="25"/>
      <c r="HV94" s="25"/>
      <c r="HW94" s="110"/>
      <c r="HX94" s="110"/>
      <c r="HY94" s="25"/>
      <c r="HZ94" s="25"/>
      <c r="IA94" s="25"/>
      <c r="IB94" s="25"/>
      <c r="IC94" s="25"/>
      <c r="ID94" s="110"/>
      <c r="IE94" s="110"/>
      <c r="IF94" s="25"/>
      <c r="IG94" s="25"/>
      <c r="IH94" s="25"/>
      <c r="II94" s="25"/>
      <c r="IJ94" s="25"/>
      <c r="IK94" s="110"/>
      <c r="IL94" s="110"/>
      <c r="IM94" s="25"/>
      <c r="IN94" s="25"/>
      <c r="IO94" s="25"/>
      <c r="IP94" s="25"/>
      <c r="IQ94" s="25"/>
      <c r="IR94" s="110"/>
      <c r="IS94" s="110"/>
      <c r="IT94" s="25"/>
      <c r="IU94" s="25"/>
      <c r="IV94" s="25"/>
      <c r="IW94" s="25"/>
      <c r="IX94" s="25"/>
      <c r="IY94" s="110"/>
      <c r="IZ94" s="110"/>
      <c r="JA94" s="25"/>
      <c r="JB94" s="25"/>
      <c r="JC94" s="25"/>
      <c r="JD94" s="25"/>
      <c r="JE94" s="25"/>
      <c r="JF94" s="110"/>
      <c r="JG94" s="110"/>
      <c r="JH94" s="25"/>
      <c r="JI94" s="25"/>
      <c r="JJ94" s="25"/>
      <c r="JK94" s="25"/>
      <c r="JL94" s="25"/>
      <c r="JM94" s="110"/>
      <c r="JN94" s="110"/>
      <c r="JO94" s="25"/>
      <c r="JP94" s="25"/>
      <c r="JQ94" s="25"/>
      <c r="JR94" s="25"/>
      <c r="JS94" s="25"/>
      <c r="JT94" s="110"/>
      <c r="JU94" s="110"/>
      <c r="JV94" s="25"/>
      <c r="JW94" s="25"/>
      <c r="JX94" s="25"/>
      <c r="JY94" s="25"/>
      <c r="JZ94" s="25"/>
      <c r="KA94" s="110"/>
      <c r="KB94" s="110"/>
      <c r="KC94" s="25"/>
      <c r="KD94" s="25"/>
      <c r="KE94" s="25"/>
      <c r="KF94" s="25"/>
      <c r="KG94" s="25"/>
      <c r="KH94" s="110"/>
      <c r="KI94" s="110"/>
      <c r="KJ94" s="25"/>
      <c r="KK94" s="25"/>
      <c r="KL94" s="25"/>
      <c r="KM94" s="25"/>
      <c r="KN94" s="25"/>
      <c r="KO94" s="110"/>
      <c r="KP94" s="110"/>
      <c r="KQ94" s="25"/>
      <c r="KR94" s="25"/>
      <c r="KS94" s="25"/>
      <c r="KT94" s="25"/>
      <c r="KU94" s="25"/>
      <c r="KV94" s="110"/>
      <c r="KW94" s="110"/>
      <c r="KX94" s="25"/>
      <c r="KY94" s="25"/>
      <c r="KZ94" s="25"/>
      <c r="LA94" s="25"/>
      <c r="LB94" s="25"/>
      <c r="LC94" s="110"/>
      <c r="LD94" s="110"/>
      <c r="LE94" s="25"/>
      <c r="LF94" s="25"/>
      <c r="LG94" s="110" t="s">
        <v>445</v>
      </c>
      <c r="LH94" s="25"/>
      <c r="LI94" s="25"/>
      <c r="LJ94" s="110"/>
      <c r="LK94" s="110"/>
      <c r="LL94" s="25"/>
      <c r="LM94" s="25"/>
      <c r="LN94" s="25"/>
      <c r="LO94" s="25"/>
      <c r="LP94" s="25"/>
      <c r="LQ94" s="110"/>
      <c r="LR94" s="110"/>
      <c r="LS94" s="25"/>
      <c r="LT94" s="25"/>
      <c r="LU94" s="25"/>
      <c r="LV94" s="25"/>
      <c r="LW94" s="25"/>
      <c r="LX94" s="110"/>
      <c r="LY94" s="110"/>
      <c r="LZ94" s="25"/>
      <c r="MA94" s="25"/>
      <c r="MB94" s="25"/>
      <c r="MC94" s="25"/>
      <c r="MD94" s="25"/>
      <c r="ME94" s="110"/>
      <c r="MF94" s="110"/>
      <c r="MG94" s="25"/>
      <c r="MH94" s="25"/>
      <c r="MI94" s="25"/>
      <c r="MJ94" s="25"/>
      <c r="MK94" s="25"/>
      <c r="ML94" s="110"/>
      <c r="MM94" s="110"/>
      <c r="MN94" s="25"/>
      <c r="MO94" s="25"/>
      <c r="MP94" s="25"/>
      <c r="MQ94" s="25"/>
      <c r="MR94" s="25"/>
      <c r="MS94" s="110"/>
      <c r="MT94" s="110"/>
      <c r="MU94" s="25"/>
      <c r="MV94" s="25"/>
      <c r="MW94" s="25"/>
      <c r="MX94" s="25"/>
      <c r="MY94" s="25"/>
      <c r="MZ94" s="110"/>
      <c r="NA94" s="110"/>
      <c r="NB94" s="25"/>
      <c r="NC94" s="25"/>
      <c r="ND94" s="25"/>
      <c r="NE94" s="129"/>
      <c r="NF94" s="111"/>
      <c r="NG94" s="8">
        <f t="shared" si="54"/>
        <v>11</v>
      </c>
      <c r="NH94" s="32" cm="1">
        <f t="array" ref="NH94">NETWORKDAYS($I$2,$AI$2)- SUM(COUNTIF(I94:AI94,{"I";"F";"CP";"R";"P";"AC";"AM"}))</f>
        <v>19</v>
      </c>
      <c r="NI94" s="138">
        <f t="shared" si="55"/>
        <v>0.57894736842105265</v>
      </c>
      <c r="NJ94" s="8">
        <f t="shared" si="56"/>
        <v>13</v>
      </c>
      <c r="NK94" s="32" cm="1">
        <f t="array" ref="NK94">NETWORKDAYS($AJ$2,$BK$2)- SUM(COUNTIF(AJ94:BK94,{"I";"F";"CP";"R";"P";"AC";"AM"}))</f>
        <v>20</v>
      </c>
      <c r="NL94" s="138">
        <f t="shared" si="57"/>
        <v>0.65</v>
      </c>
      <c r="NM94" s="8">
        <f t="shared" si="58"/>
        <v>13</v>
      </c>
      <c r="NN94" s="32" cm="1">
        <f t="array" ref="NN94">NETWORKDAYS($BL$2,$CP$2)- SUM(COUNTIF(BL94:CP94,{"I";"F";"CP";"R";"P";"AC";"AM"}))</f>
        <v>16</v>
      </c>
      <c r="NO94" s="138">
        <f t="shared" si="59"/>
        <v>0.8125</v>
      </c>
      <c r="NP94" s="8">
        <f t="shared" si="53"/>
        <v>7</v>
      </c>
      <c r="NQ94" s="32" cm="1">
        <f t="array" ref="NQ94">NETWORKDAYS($CQ$2,$DT$2,$CV$2)- SUM(COUNTIF(CQ94:DT94,{"I";"F";"CP";"R";"P";"AC";"AM"}))</f>
        <v>21</v>
      </c>
      <c r="NR94" s="138">
        <f t="shared" si="60"/>
        <v>0.33333333333333331</v>
      </c>
      <c r="NS94" s="8">
        <f t="shared" si="61"/>
        <v>6</v>
      </c>
      <c r="NT94" s="32" cm="1">
        <f t="array" ref="NT94">NETWORKDAYS($DV$2,$EY$2)-SUM(COUNTIF(DV94:EY94,{"I";"F";"CP";"R";"P";"AC";"AM"}))</f>
        <v>14</v>
      </c>
      <c r="NU94" s="138">
        <f t="shared" si="62"/>
        <v>0.42857142857142855</v>
      </c>
      <c r="NV94" s="8">
        <f t="shared" si="63"/>
        <v>0</v>
      </c>
      <c r="NW94" s="32" cm="1">
        <f t="array" ref="NW94">NETWORKDAYS($EZ$2,$GC$2)-SUM(COUNTIF(EZ174:GC174,{"I";"F";"CP";"R";"P";"AC";"AM"}))</f>
        <v>22</v>
      </c>
      <c r="NX94" s="138">
        <f t="shared" si="64"/>
        <v>0</v>
      </c>
      <c r="NY94" s="8">
        <f t="shared" si="65"/>
        <v>0</v>
      </c>
      <c r="NZ94" s="32" cm="1">
        <f t="array" ref="NZ94">NETWORKDAYS($GD$2,$HH$2,$GQ$2)-SUM(COUNTIF(GD94:HH94,{"I";"F";"CP";"R";"P";"AC";"AM"}))</f>
        <v>21</v>
      </c>
      <c r="OA94" s="138">
        <f t="shared" si="66"/>
        <v>0</v>
      </c>
      <c r="OB94" s="8">
        <f t="shared" si="67"/>
        <v>0</v>
      </c>
      <c r="OC94" s="32" cm="1">
        <f t="array" ref="OC94">NETWORKDAYS($HI$2,$IM$2)-SUM(COUNTIF(HI94:IM94,{"I";"F";"CP";"R";"P";"AC";"AM"}))</f>
        <v>21</v>
      </c>
      <c r="OD94" s="138">
        <f t="shared" si="68"/>
        <v>0</v>
      </c>
      <c r="OE94" s="8">
        <f t="shared" si="69"/>
        <v>0</v>
      </c>
      <c r="OF94" s="32" cm="1">
        <f t="array" ref="OF94">NETWORKDAYS($IN$2,$JQ$2)-SUM(COUNTIF(IN94:JQ94,{"I";"F";"CP";"R";"P";"AC";"AM"}))</f>
        <v>22</v>
      </c>
      <c r="OG94" s="138">
        <f t="shared" si="70"/>
        <v>0</v>
      </c>
      <c r="OH94" s="8">
        <f t="shared" si="71"/>
        <v>0</v>
      </c>
      <c r="OI94" s="32" cm="1">
        <f t="array" ref="OI94">NETWORKDAYS($JR$2,$KV$2)-SUM(COUNTIF(JR94:KV94,{"I";"F";"CP";"R";"P";"AC";"AM"}))</f>
        <v>22</v>
      </c>
      <c r="OJ94" s="138">
        <f t="shared" si="72"/>
        <v>0</v>
      </c>
      <c r="OK94" s="8">
        <f t="shared" si="73"/>
        <v>0</v>
      </c>
      <c r="OL94" s="32" cm="1">
        <f t="array" ref="OL94">NETWORKDAYS($KW$2,$LZ$2,$LG$2)-SUM(COUNTIF(KW94:LZ94,{"I";"F";"CP";"R";"P";"AC";"AM"}))</f>
        <v>19</v>
      </c>
      <c r="OM94" s="138">
        <f t="shared" si="74"/>
        <v>0</v>
      </c>
      <c r="ON94" s="8">
        <f t="shared" si="75"/>
        <v>0</v>
      </c>
      <c r="OO94" s="32" cm="1">
        <f t="array" ref="OO94">NETWORKDAYS($MA$2,$MR$2)-SUM(COUNTIF(MA94:MR94,{"I";"F";"CP";"R";"P";"AC";"AM"}))</f>
        <v>14</v>
      </c>
      <c r="OP94" s="138">
        <f t="shared" si="76"/>
        <v>0</v>
      </c>
      <c r="OQ94" s="94">
        <f t="shared" si="77"/>
        <v>50</v>
      </c>
      <c r="OR94" s="94">
        <f t="shared" si="78"/>
        <v>231</v>
      </c>
      <c r="OS94" s="138">
        <f t="shared" si="79"/>
        <v>0.21645021645021645</v>
      </c>
    </row>
    <row r="95" spans="1:409" ht="18" hidden="1" customHeight="1" x14ac:dyDescent="0.25">
      <c r="A95" s="95" t="s">
        <v>269</v>
      </c>
      <c r="B95" s="95" t="s">
        <v>34</v>
      </c>
      <c r="C95" s="89" t="s">
        <v>160</v>
      </c>
      <c r="D95" s="89" t="s">
        <v>280</v>
      </c>
      <c r="E95" s="128"/>
      <c r="F95" s="110"/>
      <c r="G95" s="110"/>
      <c r="H95" s="110"/>
      <c r="I95" s="25"/>
      <c r="J95" s="25"/>
      <c r="K95" s="25"/>
      <c r="L95" s="25"/>
      <c r="M95" s="25"/>
      <c r="N95" s="110"/>
      <c r="O95" s="110"/>
      <c r="P95" s="25"/>
      <c r="Q95" s="25"/>
      <c r="R95" s="25"/>
      <c r="S95" s="25"/>
      <c r="T95" s="25"/>
      <c r="U95" s="110"/>
      <c r="V95" s="110"/>
      <c r="W95" s="25"/>
      <c r="X95" s="25"/>
      <c r="Y95" s="25"/>
      <c r="Z95" s="25"/>
      <c r="AA95" s="25"/>
      <c r="AB95" s="110"/>
      <c r="AC95" s="110"/>
      <c r="AD95" s="25"/>
      <c r="AE95" s="25"/>
      <c r="AF95" s="25"/>
      <c r="AG95" s="25"/>
      <c r="AH95" s="25"/>
      <c r="AI95" s="110"/>
      <c r="AJ95" s="110"/>
      <c r="AK95" s="25"/>
      <c r="AL95" s="25"/>
      <c r="AM95" s="25"/>
      <c r="AN95" s="25"/>
      <c r="AO95" s="25"/>
      <c r="AP95" s="110"/>
      <c r="AQ95" s="110"/>
      <c r="AR95" s="25"/>
      <c r="AS95" s="25"/>
      <c r="AT95" s="25"/>
      <c r="AU95" s="25"/>
      <c r="AV95" s="25"/>
      <c r="AW95" s="110"/>
      <c r="AX95" s="110"/>
      <c r="AY95" s="25"/>
      <c r="AZ95" s="25"/>
      <c r="BA95" s="25"/>
      <c r="BB95" s="25"/>
      <c r="BC95" s="25"/>
      <c r="BD95" s="110"/>
      <c r="BE95" s="110"/>
      <c r="BF95" s="25"/>
      <c r="BG95" s="25"/>
      <c r="BH95" s="25"/>
      <c r="BI95" s="25"/>
      <c r="BJ95" s="25"/>
      <c r="BK95" s="110"/>
      <c r="BL95" s="110"/>
      <c r="BM95" s="25"/>
      <c r="BN95" s="25"/>
      <c r="BO95" s="25"/>
      <c r="BP95" s="25"/>
      <c r="BQ95" s="25"/>
      <c r="BR95" s="110"/>
      <c r="BS95" s="110"/>
      <c r="BT95" s="25"/>
      <c r="BU95" s="25"/>
      <c r="BV95" s="25"/>
      <c r="BW95" s="25"/>
      <c r="BX95" s="25"/>
      <c r="BY95" s="110"/>
      <c r="BZ95" s="110"/>
      <c r="CA95" s="25"/>
      <c r="CB95" s="25"/>
      <c r="CC95" s="25"/>
      <c r="CD95" s="25"/>
      <c r="CE95" s="25"/>
      <c r="CF95" s="110"/>
      <c r="CG95" s="110"/>
      <c r="CH95" s="25"/>
      <c r="CI95" s="25"/>
      <c r="CJ95" s="25"/>
      <c r="CK95" s="25"/>
      <c r="CL95" s="25"/>
      <c r="CM95" s="110"/>
      <c r="CN95" s="110"/>
      <c r="CO95" s="25"/>
      <c r="CP95" s="25"/>
      <c r="CQ95" s="25"/>
      <c r="CR95" s="25"/>
      <c r="CS95" s="25"/>
      <c r="CT95" s="110"/>
      <c r="CU95" s="110"/>
      <c r="CV95" s="110"/>
      <c r="CW95" s="25"/>
      <c r="CX95" s="25"/>
      <c r="CY95" s="25"/>
      <c r="CZ95" s="25"/>
      <c r="DA95" s="110"/>
      <c r="DB95" s="110"/>
      <c r="DC95" s="25"/>
      <c r="DD95" s="25"/>
      <c r="DE95" s="25"/>
      <c r="DF95" s="25"/>
      <c r="DG95" s="25"/>
      <c r="DH95" s="110"/>
      <c r="DI95" s="110"/>
      <c r="DJ95" s="25"/>
      <c r="DK95" s="25"/>
      <c r="DL95" s="25"/>
      <c r="DM95" s="25"/>
      <c r="DN95" s="25"/>
      <c r="DO95" s="110"/>
      <c r="DP95" s="110"/>
      <c r="DQ95" s="25"/>
      <c r="DR95" s="25"/>
      <c r="DS95" s="25"/>
      <c r="DT95" s="25"/>
      <c r="DU95" s="110"/>
      <c r="DV95" s="110"/>
      <c r="DW95" s="110"/>
      <c r="DX95" s="25"/>
      <c r="DY95" s="25"/>
      <c r="DZ95" s="25"/>
      <c r="EA95" s="25"/>
      <c r="EB95" s="110" t="s">
        <v>445</v>
      </c>
      <c r="EC95" s="110"/>
      <c r="ED95" s="110"/>
      <c r="EE95" s="25"/>
      <c r="EF95" s="25"/>
      <c r="EG95" s="25"/>
      <c r="EH95" s="110" t="s">
        <v>445</v>
      </c>
      <c r="EI95" s="110" t="s">
        <v>445</v>
      </c>
      <c r="EJ95" s="110"/>
      <c r="EK95" s="110"/>
      <c r="EL95" s="25"/>
      <c r="EM95" s="25"/>
      <c r="EN95" s="25"/>
      <c r="EO95" s="25"/>
      <c r="EP95" s="25"/>
      <c r="EQ95" s="110"/>
      <c r="ER95" s="110"/>
      <c r="ES95" s="110" t="s">
        <v>445</v>
      </c>
      <c r="ET95" s="25"/>
      <c r="EU95" s="25"/>
      <c r="EV95" s="25"/>
      <c r="EW95" s="25"/>
      <c r="EX95" s="110"/>
      <c r="EY95" s="110"/>
      <c r="EZ95" s="25"/>
      <c r="FA95" s="25"/>
      <c r="FB95" s="25"/>
      <c r="FC95" s="25"/>
      <c r="FD95" s="25"/>
      <c r="FE95" s="110"/>
      <c r="FF95" s="110"/>
      <c r="FG95" s="25"/>
      <c r="FH95" s="25"/>
      <c r="FI95" s="25"/>
      <c r="FJ95" s="25"/>
      <c r="FK95" s="25"/>
      <c r="FL95" s="110"/>
      <c r="FM95" s="110"/>
      <c r="FN95" s="25"/>
      <c r="FO95" s="25"/>
      <c r="FP95" s="25"/>
      <c r="FQ95" s="25"/>
      <c r="FR95" s="25"/>
      <c r="FS95" s="110"/>
      <c r="FT95" s="110"/>
      <c r="FU95" s="25"/>
      <c r="FV95" s="25"/>
      <c r="FW95" s="25"/>
      <c r="FX95" s="25"/>
      <c r="FY95" s="25"/>
      <c r="FZ95" s="110"/>
      <c r="GA95" s="110"/>
      <c r="GB95" s="25"/>
      <c r="GC95" s="25"/>
      <c r="GD95" s="25"/>
      <c r="GE95" s="25"/>
      <c r="GF95" s="25"/>
      <c r="GG95" s="110"/>
      <c r="GH95" s="110"/>
      <c r="GI95" s="25"/>
      <c r="GJ95" s="25"/>
      <c r="GK95" s="25"/>
      <c r="GL95" s="25"/>
      <c r="GM95" s="25"/>
      <c r="GN95" s="110"/>
      <c r="GO95" s="110"/>
      <c r="GP95" s="110"/>
      <c r="GQ95" s="110" t="s">
        <v>445</v>
      </c>
      <c r="GR95" s="25"/>
      <c r="GS95" s="25"/>
      <c r="GT95" s="25"/>
      <c r="GU95" s="110"/>
      <c r="GV95" s="110"/>
      <c r="GW95" s="25"/>
      <c r="GX95" s="25"/>
      <c r="GY95" s="25"/>
      <c r="GZ95" s="25"/>
      <c r="HA95" s="25"/>
      <c r="HB95" s="110"/>
      <c r="HC95" s="110"/>
      <c r="HD95" s="25"/>
      <c r="HE95" s="25"/>
      <c r="HF95" s="25"/>
      <c r="HG95" s="25"/>
      <c r="HH95" s="25"/>
      <c r="HI95" s="110"/>
      <c r="HJ95" s="110"/>
      <c r="HK95" s="25"/>
      <c r="HL95" s="25"/>
      <c r="HM95" s="25"/>
      <c r="HN95" s="25"/>
      <c r="HO95" s="25"/>
      <c r="HP95" s="110"/>
      <c r="HQ95" s="110"/>
      <c r="HR95" s="25"/>
      <c r="HS95" s="25"/>
      <c r="HT95" s="25"/>
      <c r="HU95" s="25"/>
      <c r="HV95" s="25"/>
      <c r="HW95" s="110"/>
      <c r="HX95" s="110"/>
      <c r="HY95" s="25"/>
      <c r="HZ95" s="25"/>
      <c r="IA95" s="25"/>
      <c r="IB95" s="25"/>
      <c r="IC95" s="25"/>
      <c r="ID95" s="110"/>
      <c r="IE95" s="110"/>
      <c r="IF95" s="25"/>
      <c r="IG95" s="25"/>
      <c r="IH95" s="25"/>
      <c r="II95" s="25"/>
      <c r="IJ95" s="25"/>
      <c r="IK95" s="110"/>
      <c r="IL95" s="110"/>
      <c r="IM95" s="25"/>
      <c r="IN95" s="25"/>
      <c r="IO95" s="25"/>
      <c r="IP95" s="25"/>
      <c r="IQ95" s="25"/>
      <c r="IR95" s="110"/>
      <c r="IS95" s="110"/>
      <c r="IT95" s="25"/>
      <c r="IU95" s="25"/>
      <c r="IV95" s="25"/>
      <c r="IW95" s="25"/>
      <c r="IX95" s="25"/>
      <c r="IY95" s="110"/>
      <c r="IZ95" s="110"/>
      <c r="JA95" s="25"/>
      <c r="JB95" s="25"/>
      <c r="JC95" s="25"/>
      <c r="JD95" s="25"/>
      <c r="JE95" s="25"/>
      <c r="JF95" s="110"/>
      <c r="JG95" s="110"/>
      <c r="JH95" s="25"/>
      <c r="JI95" s="25"/>
      <c r="JJ95" s="25"/>
      <c r="JK95" s="25"/>
      <c r="JL95" s="25"/>
      <c r="JM95" s="110"/>
      <c r="JN95" s="110"/>
      <c r="JO95" s="25"/>
      <c r="JP95" s="25"/>
      <c r="JQ95" s="25"/>
      <c r="JR95" s="25"/>
      <c r="JS95" s="25"/>
      <c r="JT95" s="110"/>
      <c r="JU95" s="110"/>
      <c r="JV95" s="25"/>
      <c r="JW95" s="25"/>
      <c r="JX95" s="25"/>
      <c r="JY95" s="25"/>
      <c r="JZ95" s="25"/>
      <c r="KA95" s="110"/>
      <c r="KB95" s="110"/>
      <c r="KC95" s="25"/>
      <c r="KD95" s="25"/>
      <c r="KE95" s="25"/>
      <c r="KF95" s="25"/>
      <c r="KG95" s="25"/>
      <c r="KH95" s="110"/>
      <c r="KI95" s="110"/>
      <c r="KJ95" s="25"/>
      <c r="KK95" s="25"/>
      <c r="KL95" s="25"/>
      <c r="KM95" s="25"/>
      <c r="KN95" s="25"/>
      <c r="KO95" s="110"/>
      <c r="KP95" s="110"/>
      <c r="KQ95" s="25"/>
      <c r="KR95" s="25"/>
      <c r="KS95" s="25"/>
      <c r="KT95" s="25"/>
      <c r="KU95" s="25"/>
      <c r="KV95" s="110"/>
      <c r="KW95" s="110"/>
      <c r="KX95" s="25"/>
      <c r="KY95" s="25"/>
      <c r="KZ95" s="25"/>
      <c r="LA95" s="25"/>
      <c r="LB95" s="25"/>
      <c r="LC95" s="110"/>
      <c r="LD95" s="110"/>
      <c r="LE95" s="25"/>
      <c r="LF95" s="25"/>
      <c r="LG95" s="110" t="s">
        <v>445</v>
      </c>
      <c r="LH95" s="25"/>
      <c r="LI95" s="25"/>
      <c r="LJ95" s="110"/>
      <c r="LK95" s="110"/>
      <c r="LL95" s="25"/>
      <c r="LM95" s="25"/>
      <c r="LN95" s="25"/>
      <c r="LO95" s="25"/>
      <c r="LP95" s="25"/>
      <c r="LQ95" s="110"/>
      <c r="LR95" s="110"/>
      <c r="LS95" s="25"/>
      <c r="LT95" s="25"/>
      <c r="LU95" s="25"/>
      <c r="LV95" s="25"/>
      <c r="LW95" s="25"/>
      <c r="LX95" s="110"/>
      <c r="LY95" s="110"/>
      <c r="LZ95" s="25"/>
      <c r="MA95" s="25"/>
      <c r="MB95" s="25"/>
      <c r="MC95" s="25"/>
      <c r="MD95" s="25"/>
      <c r="ME95" s="110"/>
      <c r="MF95" s="110"/>
      <c r="MG95" s="25"/>
      <c r="MH95" s="25"/>
      <c r="MI95" s="25"/>
      <c r="MJ95" s="25"/>
      <c r="MK95" s="25"/>
      <c r="ML95" s="110"/>
      <c r="MM95" s="110"/>
      <c r="MN95" s="25"/>
      <c r="MO95" s="25"/>
      <c r="MP95" s="25"/>
      <c r="MQ95" s="25"/>
      <c r="MR95" s="25"/>
      <c r="MS95" s="110"/>
      <c r="MT95" s="110"/>
      <c r="MU95" s="25"/>
      <c r="MV95" s="25"/>
      <c r="MW95" s="25"/>
      <c r="MX95" s="25"/>
      <c r="MY95" s="25"/>
      <c r="MZ95" s="110"/>
      <c r="NA95" s="110"/>
      <c r="NB95" s="25"/>
      <c r="NC95" s="25"/>
      <c r="ND95" s="25"/>
      <c r="NE95" s="129"/>
      <c r="NF95" s="111"/>
      <c r="NG95" s="8">
        <f t="shared" si="54"/>
        <v>0</v>
      </c>
      <c r="NH95" s="32" cm="1">
        <f t="array" ref="NH95">NETWORKDAYS($I$2,$AI$2)- SUM(COUNTIF(I95:AI95,{"I";"F";"CP";"R";"P";"AC";"AM"}))</f>
        <v>20</v>
      </c>
      <c r="NI95" s="138">
        <f t="shared" si="55"/>
        <v>0</v>
      </c>
      <c r="NJ95" s="8">
        <f t="shared" si="56"/>
        <v>0</v>
      </c>
      <c r="NK95" s="32" cm="1">
        <f t="array" ref="NK95">NETWORKDAYS($AJ$2,$BK$2)- SUM(COUNTIF(AJ95:BK95,{"I";"F";"CP";"R";"P";"AC";"AM"}))</f>
        <v>20</v>
      </c>
      <c r="NL95" s="138">
        <f t="shared" si="57"/>
        <v>0</v>
      </c>
      <c r="NM95" s="8">
        <f t="shared" si="58"/>
        <v>0</v>
      </c>
      <c r="NN95" s="32" cm="1">
        <f t="array" ref="NN95">NETWORKDAYS($BL$2,$CP$2)- SUM(COUNTIF(BL95:CP95,{"I";"F";"CP";"R";"P";"AC";"AM"}))</f>
        <v>22</v>
      </c>
      <c r="NO95" s="138">
        <f t="shared" si="59"/>
        <v>0</v>
      </c>
      <c r="NP95" s="32">
        <f t="shared" si="53"/>
        <v>0</v>
      </c>
      <c r="NQ95" s="32" cm="1">
        <f t="array" ref="NQ95">NETWORKDAYS($CQ$2,$DT$2,$CV$2)- SUM(COUNTIF(CQ95:DT95,{"I";"F";"CP";"R";"P";"AC";"AM"}))</f>
        <v>21</v>
      </c>
      <c r="NR95" s="138">
        <f t="shared" si="60"/>
        <v>0</v>
      </c>
      <c r="NS95" s="8">
        <f t="shared" si="61"/>
        <v>0</v>
      </c>
      <c r="NT95" s="32" cm="1">
        <f t="array" ref="NT95">NETWORKDAYS($DV$2,$EY$2)-SUM(COUNTIF(DV95:EY95,{"I";"F";"CP";"R";"P";"AC";"AM"}))</f>
        <v>16</v>
      </c>
      <c r="NU95" s="138">
        <f t="shared" si="62"/>
        <v>0</v>
      </c>
      <c r="NV95" s="8">
        <f t="shared" si="63"/>
        <v>0</v>
      </c>
      <c r="NW95" s="32" cm="1">
        <f t="array" ref="NW95">NETWORKDAYS($EZ$2,$GC$2)-SUM(COUNTIF(EZ175:GC175,{"I";"F";"CP";"R";"P";"AC";"AM"}))</f>
        <v>22</v>
      </c>
      <c r="NX95" s="138">
        <f t="shared" si="64"/>
        <v>0</v>
      </c>
      <c r="NY95" s="8">
        <f t="shared" si="65"/>
        <v>0</v>
      </c>
      <c r="NZ95" s="32" cm="1">
        <f t="array" ref="NZ95">NETWORKDAYS($GD$2,$HH$2,$GQ$2)-SUM(COUNTIF(GD95:HH95,{"I";"F";"CP";"R";"P";"AC";"AM"}))</f>
        <v>21</v>
      </c>
      <c r="OA95" s="138">
        <f t="shared" si="66"/>
        <v>0</v>
      </c>
      <c r="OB95" s="8">
        <f t="shared" si="67"/>
        <v>0</v>
      </c>
      <c r="OC95" s="32" cm="1">
        <f t="array" ref="OC95">NETWORKDAYS($HI$2,$IM$2)-SUM(COUNTIF(HI95:IM95,{"I";"F";"CP";"R";"P";"AC";"AM"}))</f>
        <v>21</v>
      </c>
      <c r="OD95" s="138">
        <f t="shared" si="68"/>
        <v>0</v>
      </c>
      <c r="OE95" s="8">
        <f t="shared" si="69"/>
        <v>0</v>
      </c>
      <c r="OF95" s="32" cm="1">
        <f t="array" ref="OF95">NETWORKDAYS($IN$2,$JQ$2)-SUM(COUNTIF(IN95:JQ95,{"I";"F";"CP";"R";"P";"AC";"AM"}))</f>
        <v>22</v>
      </c>
      <c r="OG95" s="138">
        <f t="shared" si="70"/>
        <v>0</v>
      </c>
      <c r="OH95" s="8">
        <f t="shared" si="71"/>
        <v>0</v>
      </c>
      <c r="OI95" s="32" cm="1">
        <f t="array" ref="OI95">NETWORKDAYS($JR$2,$KV$2)-SUM(COUNTIF(JR95:KV95,{"I";"F";"CP";"R";"P";"AC";"AM"}))</f>
        <v>22</v>
      </c>
      <c r="OJ95" s="138">
        <f t="shared" si="72"/>
        <v>0</v>
      </c>
      <c r="OK95" s="8">
        <f t="shared" si="73"/>
        <v>0</v>
      </c>
      <c r="OL95" s="32" cm="1">
        <f t="array" ref="OL95">NETWORKDAYS($KW$2,$LZ$2,$LG$2)-SUM(COUNTIF(KW95:LZ95,{"I";"F";"CP";"R";"P";"AC";"AM"}))</f>
        <v>19</v>
      </c>
      <c r="OM95" s="138">
        <f t="shared" si="74"/>
        <v>0</v>
      </c>
      <c r="ON95" s="8">
        <f t="shared" si="75"/>
        <v>0</v>
      </c>
      <c r="OO95" s="32" cm="1">
        <f t="array" ref="OO95">NETWORKDAYS($MA$2,$MR$2)-SUM(COUNTIF(MA95:MR95,{"I";"F";"CP";"R";"P";"AC";"AM"}))</f>
        <v>14</v>
      </c>
      <c r="OP95" s="138">
        <f t="shared" si="76"/>
        <v>0</v>
      </c>
      <c r="OQ95" s="94">
        <f t="shared" si="77"/>
        <v>0</v>
      </c>
      <c r="OR95" s="94">
        <f t="shared" si="78"/>
        <v>240</v>
      </c>
      <c r="OS95" s="138">
        <f t="shared" si="79"/>
        <v>0</v>
      </c>
    </row>
    <row r="96" spans="1:409" ht="18" hidden="1" customHeight="1" x14ac:dyDescent="0.25">
      <c r="A96" s="95" t="s">
        <v>164</v>
      </c>
      <c r="B96" s="95" t="s">
        <v>34</v>
      </c>
      <c r="C96" s="89" t="s">
        <v>160</v>
      </c>
      <c r="D96" s="89" t="s">
        <v>281</v>
      </c>
      <c r="E96" s="128"/>
      <c r="F96" s="110"/>
      <c r="G96" s="110"/>
      <c r="H96" s="110"/>
      <c r="I96" s="25"/>
      <c r="J96" s="25"/>
      <c r="K96" s="25"/>
      <c r="L96" s="25"/>
      <c r="M96" s="25"/>
      <c r="N96" s="110"/>
      <c r="O96" s="110"/>
      <c r="P96" s="25"/>
      <c r="Q96" s="25"/>
      <c r="R96" s="25"/>
      <c r="S96" s="25"/>
      <c r="T96" s="25"/>
      <c r="U96" s="110"/>
      <c r="V96" s="110"/>
      <c r="W96" s="25"/>
      <c r="X96" s="25"/>
      <c r="Y96" s="25"/>
      <c r="Z96" s="25"/>
      <c r="AA96" s="25"/>
      <c r="AB96" s="110"/>
      <c r="AC96" s="110"/>
      <c r="AD96" s="25"/>
      <c r="AE96" s="25"/>
      <c r="AF96" s="25"/>
      <c r="AG96" s="25"/>
      <c r="AH96" s="25"/>
      <c r="AI96" s="110"/>
      <c r="AJ96" s="110"/>
      <c r="AK96" s="25"/>
      <c r="AL96" s="25"/>
      <c r="AM96" s="25"/>
      <c r="AN96" s="25"/>
      <c r="AO96" s="25"/>
      <c r="AP96" s="110"/>
      <c r="AQ96" s="110"/>
      <c r="AR96" s="25"/>
      <c r="AS96" s="25"/>
      <c r="AT96" s="25"/>
      <c r="AU96" s="25"/>
      <c r="AV96" s="25"/>
      <c r="AW96" s="110"/>
      <c r="AX96" s="110"/>
      <c r="AY96" s="25"/>
      <c r="AZ96" s="25"/>
      <c r="BA96" s="25"/>
      <c r="BB96" s="25"/>
      <c r="BC96" s="25"/>
      <c r="BD96" s="110"/>
      <c r="BE96" s="110"/>
      <c r="BF96" s="25"/>
      <c r="BG96" s="25"/>
      <c r="BH96" s="25"/>
      <c r="BI96" s="25"/>
      <c r="BJ96" s="25"/>
      <c r="BK96" s="110"/>
      <c r="BL96" s="110"/>
      <c r="BM96" s="25"/>
      <c r="BN96" s="25"/>
      <c r="BO96" s="25"/>
      <c r="BP96" s="25"/>
      <c r="BQ96" s="25"/>
      <c r="BR96" s="110"/>
      <c r="BS96" s="110"/>
      <c r="BT96" s="25"/>
      <c r="BU96" s="25"/>
      <c r="BV96" s="25"/>
      <c r="BW96" s="25"/>
      <c r="BX96" s="25"/>
      <c r="BY96" s="110"/>
      <c r="BZ96" s="110"/>
      <c r="CA96" s="25"/>
      <c r="CB96" s="25"/>
      <c r="CC96" s="25"/>
      <c r="CD96" s="25"/>
      <c r="CE96" s="25"/>
      <c r="CF96" s="110"/>
      <c r="CG96" s="110"/>
      <c r="CH96" s="25"/>
      <c r="CI96" s="25"/>
      <c r="CJ96" s="25"/>
      <c r="CK96" s="25"/>
      <c r="CL96" s="25"/>
      <c r="CM96" s="110"/>
      <c r="CN96" s="110"/>
      <c r="CO96" s="25"/>
      <c r="CP96" s="25"/>
      <c r="CQ96" s="25"/>
      <c r="CR96" s="25"/>
      <c r="CS96" s="25"/>
      <c r="CT96" s="110"/>
      <c r="CU96" s="110"/>
      <c r="CV96" s="110"/>
      <c r="CW96" s="25"/>
      <c r="CX96" s="25"/>
      <c r="CY96" s="25"/>
      <c r="CZ96" s="25"/>
      <c r="DA96" s="110"/>
      <c r="DB96" s="110"/>
      <c r="DC96" s="25"/>
      <c r="DD96" s="25"/>
      <c r="DE96" s="25"/>
      <c r="DF96" s="25"/>
      <c r="DG96" s="25"/>
      <c r="DH96" s="110"/>
      <c r="DI96" s="110"/>
      <c r="DJ96" s="25"/>
      <c r="DK96" s="25"/>
      <c r="DL96" s="25"/>
      <c r="DM96" s="25"/>
      <c r="DN96" s="25"/>
      <c r="DO96" s="110"/>
      <c r="DP96" s="110"/>
      <c r="DQ96" s="25"/>
      <c r="DR96" s="25"/>
      <c r="DS96" s="25"/>
      <c r="DT96" s="25"/>
      <c r="DU96" s="110"/>
      <c r="DV96" s="110"/>
      <c r="DW96" s="110"/>
      <c r="DX96" s="25"/>
      <c r="DY96" s="25"/>
      <c r="DZ96" s="25"/>
      <c r="EA96" s="25"/>
      <c r="EB96" s="110" t="s">
        <v>445</v>
      </c>
      <c r="EC96" s="110"/>
      <c r="ED96" s="110"/>
      <c r="EE96" s="25"/>
      <c r="EF96" s="25"/>
      <c r="EG96" s="25"/>
      <c r="EH96" s="110" t="s">
        <v>445</v>
      </c>
      <c r="EI96" s="110" t="s">
        <v>445</v>
      </c>
      <c r="EJ96" s="110"/>
      <c r="EK96" s="110"/>
      <c r="EL96" s="25"/>
      <c r="EM96" s="25"/>
      <c r="EN96" s="25"/>
      <c r="EO96" s="25"/>
      <c r="EP96" s="25"/>
      <c r="EQ96" s="110"/>
      <c r="ER96" s="110"/>
      <c r="ES96" s="110" t="s">
        <v>445</v>
      </c>
      <c r="ET96" s="25"/>
      <c r="EU96" s="25"/>
      <c r="EV96" s="25"/>
      <c r="EW96" s="25"/>
      <c r="EX96" s="110"/>
      <c r="EY96" s="110"/>
      <c r="EZ96" s="25"/>
      <c r="FA96" s="25"/>
      <c r="FB96" s="25"/>
      <c r="FC96" s="25"/>
      <c r="FD96" s="25"/>
      <c r="FE96" s="110"/>
      <c r="FF96" s="110"/>
      <c r="FG96" s="25"/>
      <c r="FH96" s="25"/>
      <c r="FI96" s="25"/>
      <c r="FJ96" s="25"/>
      <c r="FK96" s="25"/>
      <c r="FL96" s="110"/>
      <c r="FM96" s="110"/>
      <c r="FN96" s="25"/>
      <c r="FO96" s="25"/>
      <c r="FP96" s="25"/>
      <c r="FQ96" s="25"/>
      <c r="FR96" s="25"/>
      <c r="FS96" s="110"/>
      <c r="FT96" s="110"/>
      <c r="FU96" s="25"/>
      <c r="FV96" s="25"/>
      <c r="FW96" s="25"/>
      <c r="FX96" s="25"/>
      <c r="FY96" s="25"/>
      <c r="FZ96" s="110"/>
      <c r="GA96" s="110"/>
      <c r="GB96" s="25"/>
      <c r="GC96" s="25"/>
      <c r="GD96" s="25"/>
      <c r="GE96" s="25"/>
      <c r="GF96" s="25"/>
      <c r="GG96" s="110"/>
      <c r="GH96" s="110"/>
      <c r="GI96" s="25"/>
      <c r="GJ96" s="25"/>
      <c r="GK96" s="25"/>
      <c r="GL96" s="25"/>
      <c r="GM96" s="25"/>
      <c r="GN96" s="110"/>
      <c r="GO96" s="110"/>
      <c r="GP96" s="110"/>
      <c r="GQ96" s="110" t="s">
        <v>445</v>
      </c>
      <c r="GR96" s="25"/>
      <c r="GS96" s="25"/>
      <c r="GT96" s="25"/>
      <c r="GU96" s="110"/>
      <c r="GV96" s="110"/>
      <c r="GW96" s="25"/>
      <c r="GX96" s="25"/>
      <c r="GY96" s="25"/>
      <c r="GZ96" s="25"/>
      <c r="HA96" s="25"/>
      <c r="HB96" s="110"/>
      <c r="HC96" s="110"/>
      <c r="HD96" s="25"/>
      <c r="HE96" s="25"/>
      <c r="HF96" s="25"/>
      <c r="HG96" s="25"/>
      <c r="HH96" s="25"/>
      <c r="HI96" s="110"/>
      <c r="HJ96" s="110"/>
      <c r="HK96" s="25"/>
      <c r="HL96" s="25"/>
      <c r="HM96" s="25"/>
      <c r="HN96" s="25"/>
      <c r="HO96" s="25"/>
      <c r="HP96" s="110"/>
      <c r="HQ96" s="110"/>
      <c r="HR96" s="25"/>
      <c r="HS96" s="25"/>
      <c r="HT96" s="25"/>
      <c r="HU96" s="25"/>
      <c r="HV96" s="25"/>
      <c r="HW96" s="110"/>
      <c r="HX96" s="110"/>
      <c r="HY96" s="25"/>
      <c r="HZ96" s="25"/>
      <c r="IA96" s="25"/>
      <c r="IB96" s="25"/>
      <c r="IC96" s="25"/>
      <c r="ID96" s="110"/>
      <c r="IE96" s="110"/>
      <c r="IF96" s="25"/>
      <c r="IG96" s="25"/>
      <c r="IH96" s="25"/>
      <c r="II96" s="25"/>
      <c r="IJ96" s="25"/>
      <c r="IK96" s="110"/>
      <c r="IL96" s="110"/>
      <c r="IM96" s="25"/>
      <c r="IN96" s="25"/>
      <c r="IO96" s="25"/>
      <c r="IP96" s="25"/>
      <c r="IQ96" s="25"/>
      <c r="IR96" s="110"/>
      <c r="IS96" s="110"/>
      <c r="IT96" s="25"/>
      <c r="IU96" s="25"/>
      <c r="IV96" s="25"/>
      <c r="IW96" s="25"/>
      <c r="IX96" s="25"/>
      <c r="IY96" s="110"/>
      <c r="IZ96" s="110"/>
      <c r="JA96" s="25"/>
      <c r="JB96" s="25"/>
      <c r="JC96" s="25"/>
      <c r="JD96" s="25"/>
      <c r="JE96" s="25"/>
      <c r="JF96" s="110"/>
      <c r="JG96" s="110"/>
      <c r="JH96" s="25"/>
      <c r="JI96" s="25"/>
      <c r="JJ96" s="25"/>
      <c r="JK96" s="25"/>
      <c r="JL96" s="25"/>
      <c r="JM96" s="110"/>
      <c r="JN96" s="110"/>
      <c r="JO96" s="25"/>
      <c r="JP96" s="25"/>
      <c r="JQ96" s="25"/>
      <c r="JR96" s="25"/>
      <c r="JS96" s="25"/>
      <c r="JT96" s="110"/>
      <c r="JU96" s="110"/>
      <c r="JV96" s="25"/>
      <c r="JW96" s="25"/>
      <c r="JX96" s="25"/>
      <c r="JY96" s="25"/>
      <c r="JZ96" s="25"/>
      <c r="KA96" s="110"/>
      <c r="KB96" s="110"/>
      <c r="KC96" s="25"/>
      <c r="KD96" s="25"/>
      <c r="KE96" s="25"/>
      <c r="KF96" s="25"/>
      <c r="KG96" s="25"/>
      <c r="KH96" s="110"/>
      <c r="KI96" s="110"/>
      <c r="KJ96" s="25"/>
      <c r="KK96" s="25"/>
      <c r="KL96" s="25"/>
      <c r="KM96" s="25"/>
      <c r="KN96" s="25"/>
      <c r="KO96" s="110"/>
      <c r="KP96" s="110"/>
      <c r="KQ96" s="25"/>
      <c r="KR96" s="25"/>
      <c r="KS96" s="25"/>
      <c r="KT96" s="25"/>
      <c r="KU96" s="25"/>
      <c r="KV96" s="110"/>
      <c r="KW96" s="110"/>
      <c r="KX96" s="25"/>
      <c r="KY96" s="25"/>
      <c r="KZ96" s="25"/>
      <c r="LA96" s="25"/>
      <c r="LB96" s="25"/>
      <c r="LC96" s="110"/>
      <c r="LD96" s="110"/>
      <c r="LE96" s="25"/>
      <c r="LF96" s="25"/>
      <c r="LG96" s="110" t="s">
        <v>445</v>
      </c>
      <c r="LH96" s="25"/>
      <c r="LI96" s="25"/>
      <c r="LJ96" s="110"/>
      <c r="LK96" s="110"/>
      <c r="LL96" s="25"/>
      <c r="LM96" s="25"/>
      <c r="LN96" s="25"/>
      <c r="LO96" s="25"/>
      <c r="LP96" s="25"/>
      <c r="LQ96" s="110"/>
      <c r="LR96" s="110"/>
      <c r="LS96" s="25"/>
      <c r="LT96" s="25"/>
      <c r="LU96" s="25"/>
      <c r="LV96" s="25"/>
      <c r="LW96" s="25"/>
      <c r="LX96" s="110"/>
      <c r="LY96" s="110"/>
      <c r="LZ96" s="25"/>
      <c r="MA96" s="25"/>
      <c r="MB96" s="25"/>
      <c r="MC96" s="25"/>
      <c r="MD96" s="25"/>
      <c r="ME96" s="110"/>
      <c r="MF96" s="110"/>
      <c r="MG96" s="25"/>
      <c r="MH96" s="25"/>
      <c r="MI96" s="25"/>
      <c r="MJ96" s="25"/>
      <c r="MK96" s="25"/>
      <c r="ML96" s="110"/>
      <c r="MM96" s="110"/>
      <c r="MN96" s="25"/>
      <c r="MO96" s="25"/>
      <c r="MP96" s="25"/>
      <c r="MQ96" s="25"/>
      <c r="MR96" s="25"/>
      <c r="MS96" s="110"/>
      <c r="MT96" s="110"/>
      <c r="MU96" s="25"/>
      <c r="MV96" s="25"/>
      <c r="MW96" s="25"/>
      <c r="MX96" s="25"/>
      <c r="MY96" s="25"/>
      <c r="MZ96" s="110"/>
      <c r="NA96" s="110"/>
      <c r="NB96" s="25"/>
      <c r="NC96" s="25"/>
      <c r="ND96" s="25"/>
      <c r="NE96" s="129"/>
      <c r="NF96" s="111"/>
      <c r="NG96" s="8">
        <f t="shared" si="54"/>
        <v>0</v>
      </c>
      <c r="NH96" s="32" cm="1">
        <f t="array" ref="NH96">NETWORKDAYS($I$2,$AI$2)- SUM(COUNTIF(I96:AI96,{"I";"F";"CP";"R";"P";"AC";"AM"}))</f>
        <v>20</v>
      </c>
      <c r="NI96" s="138">
        <f t="shared" si="55"/>
        <v>0</v>
      </c>
      <c r="NJ96" s="8">
        <f t="shared" si="56"/>
        <v>0</v>
      </c>
      <c r="NK96" s="32" cm="1">
        <f t="array" ref="NK96">NETWORKDAYS($AJ$2,$BK$2)- SUM(COUNTIF(AJ96:BK96,{"I";"F";"CP";"R";"P";"AC";"AM"}))</f>
        <v>20</v>
      </c>
      <c r="NL96" s="138">
        <f t="shared" si="57"/>
        <v>0</v>
      </c>
      <c r="NM96" s="8">
        <f t="shared" si="58"/>
        <v>0</v>
      </c>
      <c r="NN96" s="32" cm="1">
        <f t="array" ref="NN96">NETWORKDAYS($BL$2,$CP$2)- SUM(COUNTIF(BL96:CP96,{"I";"F";"CP";"R";"P";"AC";"AM"}))</f>
        <v>22</v>
      </c>
      <c r="NO96" s="138">
        <f t="shared" si="59"/>
        <v>0</v>
      </c>
      <c r="NP96" s="8">
        <f t="shared" si="53"/>
        <v>0</v>
      </c>
      <c r="NQ96" s="32" cm="1">
        <f t="array" ref="NQ96">NETWORKDAYS($CQ$2,$DT$2,$CV$2)- SUM(COUNTIF(CQ96:DT96,{"I";"F";"CP";"R";"P";"AC";"AM"}))</f>
        <v>21</v>
      </c>
      <c r="NR96" s="138">
        <f t="shared" si="60"/>
        <v>0</v>
      </c>
      <c r="NS96" s="8">
        <f t="shared" si="61"/>
        <v>0</v>
      </c>
      <c r="NT96" s="32" cm="1">
        <f t="array" ref="NT96">NETWORKDAYS($DV$2,$EY$2)-SUM(COUNTIF(DV96:EY96,{"I";"F";"CP";"R";"P";"AC";"AM"}))</f>
        <v>16</v>
      </c>
      <c r="NU96" s="138">
        <f t="shared" si="62"/>
        <v>0</v>
      </c>
      <c r="NV96" s="8">
        <f t="shared" si="63"/>
        <v>0</v>
      </c>
      <c r="NW96" s="32" cm="1">
        <f t="array" ref="NW96">NETWORKDAYS($EZ$2,$GC$2)-SUM(COUNTIF(EZ176:GC176,{"I";"F";"CP";"R";"P";"AC";"AM"}))</f>
        <v>22</v>
      </c>
      <c r="NX96" s="138">
        <f t="shared" si="64"/>
        <v>0</v>
      </c>
      <c r="NY96" s="8">
        <f t="shared" si="65"/>
        <v>0</v>
      </c>
      <c r="NZ96" s="32" cm="1">
        <f t="array" ref="NZ96">NETWORKDAYS($GD$2,$HH$2,$GQ$2)-SUM(COUNTIF(GD96:HH96,{"I";"F";"CP";"R";"P";"AC";"AM"}))</f>
        <v>21</v>
      </c>
      <c r="OA96" s="138">
        <f t="shared" si="66"/>
        <v>0</v>
      </c>
      <c r="OB96" s="8">
        <f t="shared" si="67"/>
        <v>0</v>
      </c>
      <c r="OC96" s="32" cm="1">
        <f t="array" ref="OC96">NETWORKDAYS($HI$2,$IM$2)-SUM(COUNTIF(HI96:IM96,{"I";"F";"CP";"R";"P";"AC";"AM"}))</f>
        <v>21</v>
      </c>
      <c r="OD96" s="138">
        <f t="shared" si="68"/>
        <v>0</v>
      </c>
      <c r="OE96" s="8">
        <f t="shared" si="69"/>
        <v>0</v>
      </c>
      <c r="OF96" s="32" cm="1">
        <f t="array" ref="OF96">NETWORKDAYS($IN$2,$JQ$2)-SUM(COUNTIF(IN96:JQ96,{"I";"F";"CP";"R";"P";"AC";"AM"}))</f>
        <v>22</v>
      </c>
      <c r="OG96" s="138">
        <f t="shared" si="70"/>
        <v>0</v>
      </c>
      <c r="OH96" s="8">
        <f t="shared" si="71"/>
        <v>0</v>
      </c>
      <c r="OI96" s="32" cm="1">
        <f t="array" ref="OI96">NETWORKDAYS($JR$2,$KV$2)-SUM(COUNTIF(JR96:KV96,{"I";"F";"CP";"R";"P";"AC";"AM"}))</f>
        <v>22</v>
      </c>
      <c r="OJ96" s="138">
        <f t="shared" si="72"/>
        <v>0</v>
      </c>
      <c r="OK96" s="8">
        <f t="shared" si="73"/>
        <v>0</v>
      </c>
      <c r="OL96" s="32" cm="1">
        <f t="array" ref="OL96">NETWORKDAYS($KW$2,$LZ$2,$LG$2)-SUM(COUNTIF(KW96:LZ96,{"I";"F";"CP";"R";"P";"AC";"AM"}))</f>
        <v>19</v>
      </c>
      <c r="OM96" s="138">
        <f t="shared" si="74"/>
        <v>0</v>
      </c>
      <c r="ON96" s="8">
        <f t="shared" si="75"/>
        <v>0</v>
      </c>
      <c r="OO96" s="32" cm="1">
        <f t="array" ref="OO96">NETWORKDAYS($MA$2,$MR$2)-SUM(COUNTIF(MA96:MR96,{"I";"F";"CP";"R";"P";"AC";"AM"}))</f>
        <v>14</v>
      </c>
      <c r="OP96" s="138">
        <f t="shared" si="76"/>
        <v>0</v>
      </c>
      <c r="OQ96" s="94">
        <f t="shared" si="77"/>
        <v>0</v>
      </c>
      <c r="OR96" s="94">
        <f t="shared" si="78"/>
        <v>240</v>
      </c>
      <c r="OS96" s="138">
        <f t="shared" si="79"/>
        <v>0</v>
      </c>
    </row>
    <row r="97" spans="1:409" ht="18" hidden="1" customHeight="1" x14ac:dyDescent="0.25">
      <c r="A97" s="95" t="s">
        <v>468</v>
      </c>
      <c r="B97" s="95" t="s">
        <v>34</v>
      </c>
      <c r="C97" s="89" t="s">
        <v>160</v>
      </c>
      <c r="D97" s="89" t="s">
        <v>282</v>
      </c>
      <c r="E97" s="128"/>
      <c r="F97" s="110"/>
      <c r="G97" s="110"/>
      <c r="H97" s="110"/>
      <c r="I97" s="25"/>
      <c r="J97" s="25"/>
      <c r="K97" s="25"/>
      <c r="L97" s="25"/>
      <c r="M97" s="25"/>
      <c r="N97" s="110"/>
      <c r="O97" s="110"/>
      <c r="P97" s="25"/>
      <c r="Q97" s="25"/>
      <c r="R97" s="25"/>
      <c r="S97" s="25"/>
      <c r="T97" s="25"/>
      <c r="U97" s="110"/>
      <c r="V97" s="110"/>
      <c r="W97" s="25"/>
      <c r="X97" s="25"/>
      <c r="Y97" s="25"/>
      <c r="Z97" s="25"/>
      <c r="AA97" s="25"/>
      <c r="AB97" s="110"/>
      <c r="AC97" s="110"/>
      <c r="AD97" s="25"/>
      <c r="AE97" s="25"/>
      <c r="AF97" s="25"/>
      <c r="AG97" s="25"/>
      <c r="AH97" s="25"/>
      <c r="AI97" s="110"/>
      <c r="AJ97" s="110"/>
      <c r="AK97" s="25"/>
      <c r="AL97" s="25"/>
      <c r="AM97" s="25"/>
      <c r="AN97" s="25"/>
      <c r="AO97" s="25"/>
      <c r="AP97" s="110"/>
      <c r="AQ97" s="110"/>
      <c r="AR97" s="25"/>
      <c r="AS97" s="25"/>
      <c r="AT97" s="25"/>
      <c r="AU97" s="25"/>
      <c r="AV97" s="25"/>
      <c r="AW97" s="110"/>
      <c r="AX97" s="110"/>
      <c r="AY97" s="25"/>
      <c r="AZ97" s="25"/>
      <c r="BA97" s="25"/>
      <c r="BB97" s="25"/>
      <c r="BC97" s="25"/>
      <c r="BD97" s="110"/>
      <c r="BE97" s="110"/>
      <c r="BF97" s="25"/>
      <c r="BG97" s="25"/>
      <c r="BH97" s="25"/>
      <c r="BI97" s="25"/>
      <c r="BJ97" s="25"/>
      <c r="BK97" s="110"/>
      <c r="BL97" s="110"/>
      <c r="BM97" s="25"/>
      <c r="BN97" s="25"/>
      <c r="BO97" s="25"/>
      <c r="BP97" s="25"/>
      <c r="BQ97" s="25"/>
      <c r="BR97" s="110"/>
      <c r="BS97" s="110"/>
      <c r="BT97" s="25"/>
      <c r="BU97" s="25"/>
      <c r="BV97" s="25"/>
      <c r="BW97" s="25"/>
      <c r="BX97" s="25"/>
      <c r="BY97" s="110"/>
      <c r="BZ97" s="110"/>
      <c r="CA97" s="25"/>
      <c r="CB97" s="25"/>
      <c r="CC97" s="25"/>
      <c r="CD97" s="25"/>
      <c r="CE97" s="25"/>
      <c r="CF97" s="110"/>
      <c r="CG97" s="110"/>
      <c r="CH97" s="25"/>
      <c r="CI97" s="25"/>
      <c r="CJ97" s="25"/>
      <c r="CK97" s="25"/>
      <c r="CL97" s="25"/>
      <c r="CM97" s="110"/>
      <c r="CN97" s="110"/>
      <c r="CO97" s="25"/>
      <c r="CP97" s="25"/>
      <c r="CQ97" s="25"/>
      <c r="CR97" s="25"/>
      <c r="CS97" s="25"/>
      <c r="CT97" s="110"/>
      <c r="CU97" s="110"/>
      <c r="CV97" s="110"/>
      <c r="CW97" s="25"/>
      <c r="CX97" s="25"/>
      <c r="CY97" s="25"/>
      <c r="CZ97" s="25"/>
      <c r="DA97" s="110"/>
      <c r="DB97" s="110"/>
      <c r="DC97" s="25"/>
      <c r="DD97" s="25"/>
      <c r="DE97" s="25"/>
      <c r="DF97" s="25"/>
      <c r="DG97" s="25"/>
      <c r="DH97" s="110"/>
      <c r="DI97" s="110"/>
      <c r="DJ97" s="25"/>
      <c r="DK97" s="25"/>
      <c r="DL97" s="25"/>
      <c r="DM97" s="25"/>
      <c r="DN97" s="25"/>
      <c r="DO97" s="110"/>
      <c r="DP97" s="110"/>
      <c r="DQ97" s="25"/>
      <c r="DR97" s="25"/>
      <c r="DS97" s="25"/>
      <c r="DT97" s="25"/>
      <c r="DU97" s="110"/>
      <c r="DV97" s="110"/>
      <c r="DW97" s="110"/>
      <c r="DX97" s="25"/>
      <c r="DY97" s="25"/>
      <c r="DZ97" s="25"/>
      <c r="EA97" s="25"/>
      <c r="EB97" s="110" t="s">
        <v>445</v>
      </c>
      <c r="EC97" s="110"/>
      <c r="ED97" s="110"/>
      <c r="EE97" s="25"/>
      <c r="EF97" s="25"/>
      <c r="EG97" s="25"/>
      <c r="EH97" s="110" t="s">
        <v>445</v>
      </c>
      <c r="EI97" s="110" t="s">
        <v>445</v>
      </c>
      <c r="EJ97" s="110"/>
      <c r="EK97" s="110"/>
      <c r="EL97" s="25"/>
      <c r="EM97" s="25"/>
      <c r="EN97" s="25"/>
      <c r="EO97" s="25"/>
      <c r="EP97" s="25"/>
      <c r="EQ97" s="110"/>
      <c r="ER97" s="110"/>
      <c r="ES97" s="110" t="s">
        <v>445</v>
      </c>
      <c r="ET97" s="25"/>
      <c r="EU97" s="25"/>
      <c r="EV97" s="25"/>
      <c r="EW97" s="25"/>
      <c r="EX97" s="110"/>
      <c r="EY97" s="110"/>
      <c r="EZ97" s="25"/>
      <c r="FA97" s="25"/>
      <c r="FB97" s="25"/>
      <c r="FC97" s="25"/>
      <c r="FD97" s="25"/>
      <c r="FE97" s="110"/>
      <c r="FF97" s="110"/>
      <c r="FG97" s="25"/>
      <c r="FH97" s="25"/>
      <c r="FI97" s="25"/>
      <c r="FJ97" s="25"/>
      <c r="FK97" s="25"/>
      <c r="FL97" s="110"/>
      <c r="FM97" s="110"/>
      <c r="FN97" s="25"/>
      <c r="FO97" s="25"/>
      <c r="FP97" s="25"/>
      <c r="FQ97" s="25"/>
      <c r="FR97" s="25"/>
      <c r="FS97" s="110"/>
      <c r="FT97" s="110"/>
      <c r="FU97" s="25"/>
      <c r="FV97" s="25"/>
      <c r="FW97" s="25"/>
      <c r="FX97" s="25"/>
      <c r="FY97" s="25"/>
      <c r="FZ97" s="110"/>
      <c r="GA97" s="110"/>
      <c r="GB97" s="25"/>
      <c r="GC97" s="25"/>
      <c r="GD97" s="25"/>
      <c r="GE97" s="25"/>
      <c r="GF97" s="25"/>
      <c r="GG97" s="110"/>
      <c r="GH97" s="110"/>
      <c r="GI97" s="25"/>
      <c r="GJ97" s="25"/>
      <c r="GK97" s="25"/>
      <c r="GL97" s="25"/>
      <c r="GM97" s="25"/>
      <c r="GN97" s="110"/>
      <c r="GO97" s="110"/>
      <c r="GP97" s="110"/>
      <c r="GQ97" s="110" t="s">
        <v>445</v>
      </c>
      <c r="GR97" s="25"/>
      <c r="GS97" s="25"/>
      <c r="GT97" s="25"/>
      <c r="GU97" s="110"/>
      <c r="GV97" s="110"/>
      <c r="GW97" s="25"/>
      <c r="GX97" s="25"/>
      <c r="GY97" s="25"/>
      <c r="GZ97" s="25"/>
      <c r="HA97" s="25"/>
      <c r="HB97" s="110"/>
      <c r="HC97" s="110"/>
      <c r="HD97" s="25"/>
      <c r="HE97" s="25"/>
      <c r="HF97" s="25"/>
      <c r="HG97" s="25"/>
      <c r="HH97" s="25"/>
      <c r="HI97" s="110"/>
      <c r="HJ97" s="110"/>
      <c r="HK97" s="25"/>
      <c r="HL97" s="25"/>
      <c r="HM97" s="25"/>
      <c r="HN97" s="25"/>
      <c r="HO97" s="25"/>
      <c r="HP97" s="110"/>
      <c r="HQ97" s="110"/>
      <c r="HR97" s="25"/>
      <c r="HS97" s="25"/>
      <c r="HT97" s="25"/>
      <c r="HU97" s="25"/>
      <c r="HV97" s="25"/>
      <c r="HW97" s="110"/>
      <c r="HX97" s="110"/>
      <c r="HY97" s="25"/>
      <c r="HZ97" s="25"/>
      <c r="IA97" s="25"/>
      <c r="IB97" s="25"/>
      <c r="IC97" s="25"/>
      <c r="ID97" s="110"/>
      <c r="IE97" s="110"/>
      <c r="IF97" s="25"/>
      <c r="IG97" s="25"/>
      <c r="IH97" s="25"/>
      <c r="II97" s="25"/>
      <c r="IJ97" s="25"/>
      <c r="IK97" s="110"/>
      <c r="IL97" s="110"/>
      <c r="IM97" s="25"/>
      <c r="IN97" s="25"/>
      <c r="IO97" s="25"/>
      <c r="IP97" s="25"/>
      <c r="IQ97" s="25"/>
      <c r="IR97" s="110"/>
      <c r="IS97" s="110"/>
      <c r="IT97" s="25"/>
      <c r="IU97" s="25"/>
      <c r="IV97" s="25"/>
      <c r="IW97" s="25"/>
      <c r="IX97" s="25"/>
      <c r="IY97" s="110"/>
      <c r="IZ97" s="110"/>
      <c r="JA97" s="25"/>
      <c r="JB97" s="25"/>
      <c r="JC97" s="25"/>
      <c r="JD97" s="25"/>
      <c r="JE97" s="25"/>
      <c r="JF97" s="110"/>
      <c r="JG97" s="110"/>
      <c r="JH97" s="25"/>
      <c r="JI97" s="25"/>
      <c r="JJ97" s="25"/>
      <c r="JK97" s="25"/>
      <c r="JL97" s="25"/>
      <c r="JM97" s="110"/>
      <c r="JN97" s="110"/>
      <c r="JO97" s="25"/>
      <c r="JP97" s="25"/>
      <c r="JQ97" s="25"/>
      <c r="JR97" s="25"/>
      <c r="JS97" s="25"/>
      <c r="JT97" s="110"/>
      <c r="JU97" s="110"/>
      <c r="JV97" s="25"/>
      <c r="JW97" s="25"/>
      <c r="JX97" s="25"/>
      <c r="JY97" s="25"/>
      <c r="JZ97" s="25"/>
      <c r="KA97" s="110"/>
      <c r="KB97" s="110"/>
      <c r="KC97" s="25"/>
      <c r="KD97" s="25"/>
      <c r="KE97" s="25"/>
      <c r="KF97" s="25"/>
      <c r="KG97" s="25"/>
      <c r="KH97" s="110"/>
      <c r="KI97" s="110"/>
      <c r="KJ97" s="25"/>
      <c r="KK97" s="25"/>
      <c r="KL97" s="25"/>
      <c r="KM97" s="25"/>
      <c r="KN97" s="25"/>
      <c r="KO97" s="110"/>
      <c r="KP97" s="110"/>
      <c r="KQ97" s="25"/>
      <c r="KR97" s="25"/>
      <c r="KS97" s="25"/>
      <c r="KT97" s="25"/>
      <c r="KU97" s="25"/>
      <c r="KV97" s="110"/>
      <c r="KW97" s="110"/>
      <c r="KX97" s="25"/>
      <c r="KY97" s="25"/>
      <c r="KZ97" s="25"/>
      <c r="LA97" s="25"/>
      <c r="LB97" s="25"/>
      <c r="LC97" s="110"/>
      <c r="LD97" s="110"/>
      <c r="LE97" s="25"/>
      <c r="LF97" s="25"/>
      <c r="LG97" s="110" t="s">
        <v>445</v>
      </c>
      <c r="LH97" s="25"/>
      <c r="LI97" s="25"/>
      <c r="LJ97" s="110"/>
      <c r="LK97" s="110"/>
      <c r="LL97" s="25"/>
      <c r="LM97" s="25"/>
      <c r="LN97" s="25"/>
      <c r="LO97" s="25"/>
      <c r="LP97" s="25"/>
      <c r="LQ97" s="110"/>
      <c r="LR97" s="110"/>
      <c r="LS97" s="25"/>
      <c r="LT97" s="25"/>
      <c r="LU97" s="25"/>
      <c r="LV97" s="25"/>
      <c r="LW97" s="25"/>
      <c r="LX97" s="110"/>
      <c r="LY97" s="110"/>
      <c r="LZ97" s="25"/>
      <c r="MA97" s="25"/>
      <c r="MB97" s="25"/>
      <c r="MC97" s="25"/>
      <c r="MD97" s="25"/>
      <c r="ME97" s="110"/>
      <c r="MF97" s="110"/>
      <c r="MG97" s="25"/>
      <c r="MH97" s="25"/>
      <c r="MI97" s="25"/>
      <c r="MJ97" s="25"/>
      <c r="MK97" s="25"/>
      <c r="ML97" s="110"/>
      <c r="MM97" s="110"/>
      <c r="MN97" s="25"/>
      <c r="MO97" s="25"/>
      <c r="MP97" s="25"/>
      <c r="MQ97" s="25"/>
      <c r="MR97" s="25"/>
      <c r="MS97" s="110"/>
      <c r="MT97" s="110"/>
      <c r="MU97" s="25"/>
      <c r="MV97" s="25"/>
      <c r="MW97" s="25"/>
      <c r="MX97" s="25"/>
      <c r="MY97" s="25"/>
      <c r="MZ97" s="110"/>
      <c r="NA97" s="110"/>
      <c r="NB97" s="25"/>
      <c r="NC97" s="25"/>
      <c r="ND97" s="25"/>
      <c r="NE97" s="129"/>
      <c r="NF97" s="111"/>
      <c r="NG97" s="8">
        <f t="shared" si="54"/>
        <v>0</v>
      </c>
      <c r="NH97" s="32" cm="1">
        <f t="array" ref="NH97">NETWORKDAYS($I$2,$AI$2)- SUM(COUNTIF(I97:AI97,{"I";"F";"CP";"R";"P";"AC";"AM"}))</f>
        <v>20</v>
      </c>
      <c r="NI97" s="138">
        <f t="shared" si="55"/>
        <v>0</v>
      </c>
      <c r="NJ97" s="8">
        <f t="shared" si="56"/>
        <v>0</v>
      </c>
      <c r="NK97" s="32" cm="1">
        <f t="array" ref="NK97">NETWORKDAYS($AJ$2,$BK$2)- SUM(COUNTIF(AJ97:BK97,{"I";"F";"CP";"R";"P";"AC";"AM"}))</f>
        <v>20</v>
      </c>
      <c r="NL97" s="138">
        <f t="shared" si="57"/>
        <v>0</v>
      </c>
      <c r="NM97" s="8">
        <f t="shared" si="58"/>
        <v>0</v>
      </c>
      <c r="NN97" s="32" cm="1">
        <f t="array" ref="NN97">NETWORKDAYS($BL$2,$CP$2)- SUM(COUNTIF(BL97:CP97,{"I";"F";"CP";"R";"P";"AC";"AM"}))</f>
        <v>22</v>
      </c>
      <c r="NO97" s="138">
        <f t="shared" si="59"/>
        <v>0</v>
      </c>
      <c r="NP97" s="32">
        <f t="shared" si="53"/>
        <v>0</v>
      </c>
      <c r="NQ97" s="32" cm="1">
        <f t="array" ref="NQ97">NETWORKDAYS($CQ$2,$DT$2,$CV$2)- SUM(COUNTIF(CQ97:DT97,{"I";"F";"CP";"R";"P";"AC";"AM"}))</f>
        <v>21</v>
      </c>
      <c r="NR97" s="138">
        <f t="shared" si="60"/>
        <v>0</v>
      </c>
      <c r="NS97" s="8">
        <f t="shared" si="61"/>
        <v>0</v>
      </c>
      <c r="NT97" s="32" cm="1">
        <f t="array" ref="NT97">NETWORKDAYS($DV$2,$EY$2)-SUM(COUNTIF(DV97:EY97,{"I";"F";"CP";"R";"P";"AC";"AM"}))</f>
        <v>16</v>
      </c>
      <c r="NU97" s="138">
        <f t="shared" si="62"/>
        <v>0</v>
      </c>
      <c r="NV97" s="8">
        <f t="shared" si="63"/>
        <v>0</v>
      </c>
      <c r="NW97" s="32" cm="1">
        <f t="array" ref="NW97">NETWORKDAYS($EZ$2,$GC$2)-SUM(COUNTIF(EZ177:GC177,{"I";"F";"CP";"R";"P";"AC";"AM"}))</f>
        <v>22</v>
      </c>
      <c r="NX97" s="138">
        <f t="shared" si="64"/>
        <v>0</v>
      </c>
      <c r="NY97" s="8">
        <f t="shared" si="65"/>
        <v>0</v>
      </c>
      <c r="NZ97" s="32" cm="1">
        <f t="array" ref="NZ97">NETWORKDAYS($GD$2,$HH$2,$GQ$2)-SUM(COUNTIF(GD97:HH97,{"I";"F";"CP";"R";"P";"AC";"AM"}))</f>
        <v>21</v>
      </c>
      <c r="OA97" s="138">
        <f t="shared" si="66"/>
        <v>0</v>
      </c>
      <c r="OB97" s="8">
        <f t="shared" si="67"/>
        <v>0</v>
      </c>
      <c r="OC97" s="32" cm="1">
        <f t="array" ref="OC97">NETWORKDAYS($HI$2,$IM$2)-SUM(COUNTIF(HI97:IM97,{"I";"F";"CP";"R";"P";"AC";"AM"}))</f>
        <v>21</v>
      </c>
      <c r="OD97" s="138">
        <f t="shared" si="68"/>
        <v>0</v>
      </c>
      <c r="OE97" s="8">
        <f t="shared" si="69"/>
        <v>0</v>
      </c>
      <c r="OF97" s="32" cm="1">
        <f t="array" ref="OF97">NETWORKDAYS($IN$2,$JQ$2)-SUM(COUNTIF(IN97:JQ97,{"I";"F";"CP";"R";"P";"AC";"AM"}))</f>
        <v>22</v>
      </c>
      <c r="OG97" s="138">
        <f t="shared" si="70"/>
        <v>0</v>
      </c>
      <c r="OH97" s="8">
        <f t="shared" si="71"/>
        <v>0</v>
      </c>
      <c r="OI97" s="32" cm="1">
        <f t="array" ref="OI97">NETWORKDAYS($JR$2,$KV$2)-SUM(COUNTIF(JR97:KV97,{"I";"F";"CP";"R";"P";"AC";"AM"}))</f>
        <v>22</v>
      </c>
      <c r="OJ97" s="138">
        <f t="shared" si="72"/>
        <v>0</v>
      </c>
      <c r="OK97" s="8">
        <f t="shared" si="73"/>
        <v>0</v>
      </c>
      <c r="OL97" s="32" cm="1">
        <f t="array" ref="OL97">NETWORKDAYS($KW$2,$LZ$2,$LG$2)-SUM(COUNTIF(KW97:LZ97,{"I";"F";"CP";"R";"P";"AC";"AM"}))</f>
        <v>19</v>
      </c>
      <c r="OM97" s="138">
        <f t="shared" si="74"/>
        <v>0</v>
      </c>
      <c r="ON97" s="8">
        <f t="shared" si="75"/>
        <v>0</v>
      </c>
      <c r="OO97" s="32" cm="1">
        <f t="array" ref="OO97">NETWORKDAYS($MA$2,$MR$2)-SUM(COUNTIF(MA97:MR97,{"I";"F";"CP";"R";"P";"AC";"AM"}))</f>
        <v>14</v>
      </c>
      <c r="OP97" s="138">
        <f t="shared" si="76"/>
        <v>0</v>
      </c>
      <c r="OQ97" s="94">
        <f t="shared" si="77"/>
        <v>0</v>
      </c>
      <c r="OR97" s="94">
        <f t="shared" si="78"/>
        <v>240</v>
      </c>
      <c r="OS97" s="138">
        <f t="shared" si="79"/>
        <v>0</v>
      </c>
    </row>
    <row r="98" spans="1:409" ht="18" hidden="1" customHeight="1" x14ac:dyDescent="0.25">
      <c r="A98" s="95" t="s">
        <v>269</v>
      </c>
      <c r="B98" s="95" t="s">
        <v>34</v>
      </c>
      <c r="C98" s="89" t="s">
        <v>160</v>
      </c>
      <c r="D98" s="89" t="s">
        <v>283</v>
      </c>
      <c r="E98" s="128"/>
      <c r="F98" s="110"/>
      <c r="G98" s="110"/>
      <c r="H98" s="110"/>
      <c r="I98" s="25"/>
      <c r="J98" s="25"/>
      <c r="K98" s="25"/>
      <c r="L98" s="25"/>
      <c r="M98" s="25"/>
      <c r="N98" s="110"/>
      <c r="O98" s="110"/>
      <c r="P98" s="25"/>
      <c r="Q98" s="25"/>
      <c r="R98" s="25"/>
      <c r="S98" s="25"/>
      <c r="T98" s="25"/>
      <c r="U98" s="110"/>
      <c r="V98" s="110"/>
      <c r="W98" s="25"/>
      <c r="X98" s="25"/>
      <c r="Y98" s="25"/>
      <c r="Z98" s="25"/>
      <c r="AA98" s="25"/>
      <c r="AB98" s="110"/>
      <c r="AC98" s="110"/>
      <c r="AD98" s="25"/>
      <c r="AE98" s="25"/>
      <c r="AF98" s="25"/>
      <c r="AG98" s="25"/>
      <c r="AH98" s="25"/>
      <c r="AI98" s="110"/>
      <c r="AJ98" s="110"/>
      <c r="AK98" s="25"/>
      <c r="AL98" s="25"/>
      <c r="AM98" s="25"/>
      <c r="AN98" s="25"/>
      <c r="AO98" s="25"/>
      <c r="AP98" s="110"/>
      <c r="AQ98" s="110"/>
      <c r="AR98" s="25"/>
      <c r="AS98" s="25"/>
      <c r="AT98" s="25"/>
      <c r="AU98" s="25"/>
      <c r="AV98" s="25"/>
      <c r="AW98" s="110"/>
      <c r="AX98" s="110"/>
      <c r="AY98" s="25"/>
      <c r="AZ98" s="25"/>
      <c r="BA98" s="25"/>
      <c r="BB98" s="25"/>
      <c r="BC98" s="25"/>
      <c r="BD98" s="110"/>
      <c r="BE98" s="110"/>
      <c r="BF98" s="25"/>
      <c r="BG98" s="25"/>
      <c r="BH98" s="25"/>
      <c r="BI98" s="25"/>
      <c r="BJ98" s="25"/>
      <c r="BK98" s="110"/>
      <c r="BL98" s="110"/>
      <c r="BM98" s="25"/>
      <c r="BN98" s="25"/>
      <c r="BO98" s="25"/>
      <c r="BP98" s="25"/>
      <c r="BQ98" s="25"/>
      <c r="BR98" s="110"/>
      <c r="BS98" s="110"/>
      <c r="BT98" s="25"/>
      <c r="BU98" s="25"/>
      <c r="BV98" s="25"/>
      <c r="BW98" s="25"/>
      <c r="BX98" s="25"/>
      <c r="BY98" s="110"/>
      <c r="BZ98" s="110"/>
      <c r="CA98" s="25"/>
      <c r="CB98" s="25"/>
      <c r="CC98" s="25"/>
      <c r="CD98" s="25"/>
      <c r="CE98" s="25"/>
      <c r="CF98" s="110"/>
      <c r="CG98" s="110"/>
      <c r="CH98" s="25"/>
      <c r="CI98" s="25"/>
      <c r="CJ98" s="25"/>
      <c r="CK98" s="25"/>
      <c r="CL98" s="25"/>
      <c r="CM98" s="110"/>
      <c r="CN98" s="110"/>
      <c r="CO98" s="25"/>
      <c r="CP98" s="25"/>
      <c r="CQ98" s="25"/>
      <c r="CR98" s="25"/>
      <c r="CS98" s="25"/>
      <c r="CT98" s="110"/>
      <c r="CU98" s="110"/>
      <c r="CV98" s="110"/>
      <c r="CW98" s="25"/>
      <c r="CX98" s="25"/>
      <c r="CY98" s="25"/>
      <c r="CZ98" s="25"/>
      <c r="DA98" s="110"/>
      <c r="DB98" s="110"/>
      <c r="DC98" s="25"/>
      <c r="DD98" s="25"/>
      <c r="DE98" s="25"/>
      <c r="DF98" s="25"/>
      <c r="DG98" s="25"/>
      <c r="DH98" s="110"/>
      <c r="DI98" s="110"/>
      <c r="DJ98" s="25"/>
      <c r="DK98" s="25"/>
      <c r="DL98" s="25"/>
      <c r="DM98" s="25"/>
      <c r="DN98" s="25"/>
      <c r="DO98" s="110"/>
      <c r="DP98" s="110"/>
      <c r="DQ98" s="25"/>
      <c r="DR98" s="25"/>
      <c r="DS98" s="25"/>
      <c r="DT98" s="25"/>
      <c r="DU98" s="110"/>
      <c r="DV98" s="110"/>
      <c r="DW98" s="110"/>
      <c r="DX98" s="25"/>
      <c r="DY98" s="25"/>
      <c r="DZ98" s="25"/>
      <c r="EA98" s="25"/>
      <c r="EB98" s="110" t="s">
        <v>445</v>
      </c>
      <c r="EC98" s="110"/>
      <c r="ED98" s="110"/>
      <c r="EE98" s="25"/>
      <c r="EF98" s="25"/>
      <c r="EG98" s="25"/>
      <c r="EH98" s="110" t="s">
        <v>445</v>
      </c>
      <c r="EI98" s="110" t="s">
        <v>445</v>
      </c>
      <c r="EJ98" s="110"/>
      <c r="EK98" s="110"/>
      <c r="EL98" s="25"/>
      <c r="EM98" s="25"/>
      <c r="EN98" s="25"/>
      <c r="EO98" s="25"/>
      <c r="EP98" s="25"/>
      <c r="EQ98" s="110"/>
      <c r="ER98" s="110"/>
      <c r="ES98" s="110" t="s">
        <v>445</v>
      </c>
      <c r="ET98" s="25"/>
      <c r="EU98" s="25"/>
      <c r="EV98" s="25"/>
      <c r="EW98" s="25"/>
      <c r="EX98" s="110"/>
      <c r="EY98" s="110"/>
      <c r="EZ98" s="25"/>
      <c r="FA98" s="25"/>
      <c r="FB98" s="25"/>
      <c r="FC98" s="25"/>
      <c r="FD98" s="25"/>
      <c r="FE98" s="110"/>
      <c r="FF98" s="110"/>
      <c r="FG98" s="25"/>
      <c r="FH98" s="25"/>
      <c r="FI98" s="25"/>
      <c r="FJ98" s="25"/>
      <c r="FK98" s="25"/>
      <c r="FL98" s="110"/>
      <c r="FM98" s="110"/>
      <c r="FN98" s="25"/>
      <c r="FO98" s="25"/>
      <c r="FP98" s="25"/>
      <c r="FQ98" s="25"/>
      <c r="FR98" s="25"/>
      <c r="FS98" s="110"/>
      <c r="FT98" s="110"/>
      <c r="FU98" s="25"/>
      <c r="FV98" s="25"/>
      <c r="FW98" s="25"/>
      <c r="FX98" s="25"/>
      <c r="FY98" s="25"/>
      <c r="FZ98" s="110"/>
      <c r="GA98" s="110"/>
      <c r="GB98" s="25"/>
      <c r="GC98" s="25"/>
      <c r="GD98" s="25"/>
      <c r="GE98" s="25"/>
      <c r="GF98" s="25"/>
      <c r="GG98" s="110"/>
      <c r="GH98" s="110"/>
      <c r="GI98" s="25"/>
      <c r="GJ98" s="25"/>
      <c r="GK98" s="25"/>
      <c r="GL98" s="25"/>
      <c r="GM98" s="25"/>
      <c r="GN98" s="110"/>
      <c r="GO98" s="110"/>
      <c r="GP98" s="110"/>
      <c r="GQ98" s="110" t="s">
        <v>445</v>
      </c>
      <c r="GR98" s="25"/>
      <c r="GS98" s="25"/>
      <c r="GT98" s="25"/>
      <c r="GU98" s="110"/>
      <c r="GV98" s="110"/>
      <c r="GW98" s="25"/>
      <c r="GX98" s="25"/>
      <c r="GY98" s="25"/>
      <c r="GZ98" s="25"/>
      <c r="HA98" s="25"/>
      <c r="HB98" s="110"/>
      <c r="HC98" s="110"/>
      <c r="HD98" s="25"/>
      <c r="HE98" s="25"/>
      <c r="HF98" s="25"/>
      <c r="HG98" s="25"/>
      <c r="HH98" s="25"/>
      <c r="HI98" s="110"/>
      <c r="HJ98" s="110"/>
      <c r="HK98" s="25"/>
      <c r="HL98" s="25"/>
      <c r="HM98" s="25"/>
      <c r="HN98" s="25"/>
      <c r="HO98" s="25"/>
      <c r="HP98" s="110"/>
      <c r="HQ98" s="110"/>
      <c r="HR98" s="25"/>
      <c r="HS98" s="25"/>
      <c r="HT98" s="25"/>
      <c r="HU98" s="25"/>
      <c r="HV98" s="25"/>
      <c r="HW98" s="110"/>
      <c r="HX98" s="110"/>
      <c r="HY98" s="25"/>
      <c r="HZ98" s="25"/>
      <c r="IA98" s="25"/>
      <c r="IB98" s="25"/>
      <c r="IC98" s="25"/>
      <c r="ID98" s="110"/>
      <c r="IE98" s="110"/>
      <c r="IF98" s="25"/>
      <c r="IG98" s="25"/>
      <c r="IH98" s="25"/>
      <c r="II98" s="25"/>
      <c r="IJ98" s="25"/>
      <c r="IK98" s="110"/>
      <c r="IL98" s="110"/>
      <c r="IM98" s="25"/>
      <c r="IN98" s="25"/>
      <c r="IO98" s="25"/>
      <c r="IP98" s="25"/>
      <c r="IQ98" s="25"/>
      <c r="IR98" s="110"/>
      <c r="IS98" s="110"/>
      <c r="IT98" s="25"/>
      <c r="IU98" s="25"/>
      <c r="IV98" s="25"/>
      <c r="IW98" s="25"/>
      <c r="IX98" s="25"/>
      <c r="IY98" s="110"/>
      <c r="IZ98" s="110"/>
      <c r="JA98" s="25"/>
      <c r="JB98" s="25"/>
      <c r="JC98" s="25"/>
      <c r="JD98" s="25"/>
      <c r="JE98" s="25"/>
      <c r="JF98" s="110"/>
      <c r="JG98" s="110"/>
      <c r="JH98" s="25"/>
      <c r="JI98" s="25"/>
      <c r="JJ98" s="25"/>
      <c r="JK98" s="25"/>
      <c r="JL98" s="25"/>
      <c r="JM98" s="110"/>
      <c r="JN98" s="110"/>
      <c r="JO98" s="25"/>
      <c r="JP98" s="25"/>
      <c r="JQ98" s="25"/>
      <c r="JR98" s="25"/>
      <c r="JS98" s="25"/>
      <c r="JT98" s="110"/>
      <c r="JU98" s="110"/>
      <c r="JV98" s="25"/>
      <c r="JW98" s="25"/>
      <c r="JX98" s="25"/>
      <c r="JY98" s="25"/>
      <c r="JZ98" s="25"/>
      <c r="KA98" s="110"/>
      <c r="KB98" s="110"/>
      <c r="KC98" s="25"/>
      <c r="KD98" s="25"/>
      <c r="KE98" s="25"/>
      <c r="KF98" s="25"/>
      <c r="KG98" s="25"/>
      <c r="KH98" s="110"/>
      <c r="KI98" s="110"/>
      <c r="KJ98" s="25"/>
      <c r="KK98" s="25"/>
      <c r="KL98" s="25"/>
      <c r="KM98" s="25"/>
      <c r="KN98" s="25"/>
      <c r="KO98" s="110"/>
      <c r="KP98" s="110"/>
      <c r="KQ98" s="25"/>
      <c r="KR98" s="25"/>
      <c r="KS98" s="25"/>
      <c r="KT98" s="25"/>
      <c r="KU98" s="25"/>
      <c r="KV98" s="110"/>
      <c r="KW98" s="110"/>
      <c r="KX98" s="25"/>
      <c r="KY98" s="25"/>
      <c r="KZ98" s="25"/>
      <c r="LA98" s="25"/>
      <c r="LB98" s="25"/>
      <c r="LC98" s="110"/>
      <c r="LD98" s="110"/>
      <c r="LE98" s="25"/>
      <c r="LF98" s="25"/>
      <c r="LG98" s="110" t="s">
        <v>445</v>
      </c>
      <c r="LH98" s="25"/>
      <c r="LI98" s="25"/>
      <c r="LJ98" s="110"/>
      <c r="LK98" s="110"/>
      <c r="LL98" s="25"/>
      <c r="LM98" s="25"/>
      <c r="LN98" s="25"/>
      <c r="LO98" s="25"/>
      <c r="LP98" s="25"/>
      <c r="LQ98" s="110"/>
      <c r="LR98" s="110"/>
      <c r="LS98" s="25"/>
      <c r="LT98" s="25"/>
      <c r="LU98" s="25"/>
      <c r="LV98" s="25"/>
      <c r="LW98" s="25"/>
      <c r="LX98" s="110"/>
      <c r="LY98" s="110"/>
      <c r="LZ98" s="25"/>
      <c r="MA98" s="25"/>
      <c r="MB98" s="25"/>
      <c r="MC98" s="25"/>
      <c r="MD98" s="25"/>
      <c r="ME98" s="110"/>
      <c r="MF98" s="110"/>
      <c r="MG98" s="25"/>
      <c r="MH98" s="25"/>
      <c r="MI98" s="25"/>
      <c r="MJ98" s="25"/>
      <c r="MK98" s="25"/>
      <c r="ML98" s="110"/>
      <c r="MM98" s="110"/>
      <c r="MN98" s="25"/>
      <c r="MO98" s="25"/>
      <c r="MP98" s="25"/>
      <c r="MQ98" s="25"/>
      <c r="MR98" s="25"/>
      <c r="MS98" s="110"/>
      <c r="MT98" s="110"/>
      <c r="MU98" s="25"/>
      <c r="MV98" s="25"/>
      <c r="MW98" s="25"/>
      <c r="MX98" s="25"/>
      <c r="MY98" s="25"/>
      <c r="MZ98" s="110"/>
      <c r="NA98" s="110"/>
      <c r="NB98" s="25"/>
      <c r="NC98" s="25"/>
      <c r="ND98" s="25"/>
      <c r="NE98" s="129"/>
      <c r="NF98" s="111"/>
      <c r="NG98" s="8">
        <f t="shared" si="54"/>
        <v>0</v>
      </c>
      <c r="NH98" s="32" cm="1">
        <f t="array" ref="NH98">NETWORKDAYS($I$2,$AI$2)- SUM(COUNTIF(I98:AI98,{"I";"F";"CP";"R";"P";"AC";"AM"}))</f>
        <v>20</v>
      </c>
      <c r="NI98" s="138">
        <f t="shared" si="55"/>
        <v>0</v>
      </c>
      <c r="NJ98" s="8">
        <f t="shared" si="56"/>
        <v>0</v>
      </c>
      <c r="NK98" s="32" cm="1">
        <f t="array" ref="NK98">NETWORKDAYS($AJ$2,$BK$2)- SUM(COUNTIF(AJ98:BK98,{"I";"F";"CP";"R";"P";"AC";"AM"}))</f>
        <v>20</v>
      </c>
      <c r="NL98" s="138">
        <f t="shared" si="57"/>
        <v>0</v>
      </c>
      <c r="NM98" s="8">
        <f t="shared" si="58"/>
        <v>0</v>
      </c>
      <c r="NN98" s="32" cm="1">
        <f t="array" ref="NN98">NETWORKDAYS($BL$2,$CP$2)- SUM(COUNTIF(BL98:CP98,{"I";"F";"CP";"R";"P";"AC";"AM"}))</f>
        <v>22</v>
      </c>
      <c r="NO98" s="138">
        <f t="shared" si="59"/>
        <v>0</v>
      </c>
      <c r="NP98" s="8">
        <f t="shared" si="53"/>
        <v>0</v>
      </c>
      <c r="NQ98" s="32" cm="1">
        <f t="array" ref="NQ98">NETWORKDAYS($CQ$2,$DT$2,$CV$2)- SUM(COUNTIF(CQ98:DT98,{"I";"F";"CP";"R";"P";"AC";"AM"}))</f>
        <v>21</v>
      </c>
      <c r="NR98" s="138">
        <f t="shared" si="60"/>
        <v>0</v>
      </c>
      <c r="NS98" s="8">
        <f t="shared" si="61"/>
        <v>0</v>
      </c>
      <c r="NT98" s="32" cm="1">
        <f t="array" ref="NT98">NETWORKDAYS($DV$2,$EY$2)-SUM(COUNTIF(DV98:EY98,{"I";"F";"CP";"R";"P";"AC";"AM"}))</f>
        <v>16</v>
      </c>
      <c r="NU98" s="138">
        <f t="shared" si="62"/>
        <v>0</v>
      </c>
      <c r="NV98" s="8">
        <f t="shared" si="63"/>
        <v>0</v>
      </c>
      <c r="NW98" s="32" cm="1">
        <f t="array" ref="NW98">NETWORKDAYS($EZ$2,$GC$2)-SUM(COUNTIF(EZ178:GC178,{"I";"F";"CP";"R";"P";"AC";"AM"}))</f>
        <v>22</v>
      </c>
      <c r="NX98" s="138">
        <f t="shared" si="64"/>
        <v>0</v>
      </c>
      <c r="NY98" s="8">
        <f t="shared" si="65"/>
        <v>0</v>
      </c>
      <c r="NZ98" s="32" cm="1">
        <f t="array" ref="NZ98">NETWORKDAYS($GD$2,$HH$2,$GQ$2)-SUM(COUNTIF(GD98:HH98,{"I";"F";"CP";"R";"P";"AC";"AM"}))</f>
        <v>21</v>
      </c>
      <c r="OA98" s="138">
        <f t="shared" si="66"/>
        <v>0</v>
      </c>
      <c r="OB98" s="8">
        <f t="shared" si="67"/>
        <v>0</v>
      </c>
      <c r="OC98" s="32" cm="1">
        <f t="array" ref="OC98">NETWORKDAYS($HI$2,$IM$2)-SUM(COUNTIF(HI98:IM98,{"I";"F";"CP";"R";"P";"AC";"AM"}))</f>
        <v>21</v>
      </c>
      <c r="OD98" s="138">
        <f t="shared" si="68"/>
        <v>0</v>
      </c>
      <c r="OE98" s="8">
        <f t="shared" si="69"/>
        <v>0</v>
      </c>
      <c r="OF98" s="32" cm="1">
        <f t="array" ref="OF98">NETWORKDAYS($IN$2,$JQ$2)-SUM(COUNTIF(IN98:JQ98,{"I";"F";"CP";"R";"P";"AC";"AM"}))</f>
        <v>22</v>
      </c>
      <c r="OG98" s="138">
        <f t="shared" si="70"/>
        <v>0</v>
      </c>
      <c r="OH98" s="8">
        <f t="shared" si="71"/>
        <v>0</v>
      </c>
      <c r="OI98" s="32" cm="1">
        <f t="array" ref="OI98">NETWORKDAYS($JR$2,$KV$2)-SUM(COUNTIF(JR98:KV98,{"I";"F";"CP";"R";"P";"AC";"AM"}))</f>
        <v>22</v>
      </c>
      <c r="OJ98" s="138">
        <f t="shared" si="72"/>
        <v>0</v>
      </c>
      <c r="OK98" s="8">
        <f t="shared" si="73"/>
        <v>0</v>
      </c>
      <c r="OL98" s="32" cm="1">
        <f t="array" ref="OL98">NETWORKDAYS($KW$2,$LZ$2,$LG$2)-SUM(COUNTIF(KW98:LZ98,{"I";"F";"CP";"R";"P";"AC";"AM"}))</f>
        <v>19</v>
      </c>
      <c r="OM98" s="138">
        <f t="shared" si="74"/>
        <v>0</v>
      </c>
      <c r="ON98" s="8">
        <f t="shared" si="75"/>
        <v>0</v>
      </c>
      <c r="OO98" s="32" cm="1">
        <f t="array" ref="OO98">NETWORKDAYS($MA$2,$MR$2)-SUM(COUNTIF(MA98:MR98,{"I";"F";"CP";"R";"P";"AC";"AM"}))</f>
        <v>14</v>
      </c>
      <c r="OP98" s="138">
        <f t="shared" si="76"/>
        <v>0</v>
      </c>
      <c r="OQ98" s="94">
        <f t="shared" si="77"/>
        <v>0</v>
      </c>
      <c r="OR98" s="94">
        <f t="shared" si="78"/>
        <v>240</v>
      </c>
      <c r="OS98" s="138">
        <f t="shared" si="79"/>
        <v>0</v>
      </c>
    </row>
    <row r="99" spans="1:409" ht="18" hidden="1" customHeight="1" x14ac:dyDescent="0.25">
      <c r="A99" s="95" t="s">
        <v>168</v>
      </c>
      <c r="B99" s="95" t="s">
        <v>168</v>
      </c>
      <c r="C99" s="89" t="s">
        <v>166</v>
      </c>
      <c r="D99" s="89" t="s">
        <v>284</v>
      </c>
      <c r="E99" s="128"/>
      <c r="F99" s="110"/>
      <c r="G99" s="110"/>
      <c r="H99" s="110"/>
      <c r="I99" s="25"/>
      <c r="J99" s="25"/>
      <c r="K99" s="25"/>
      <c r="L99" s="25"/>
      <c r="M99" s="25"/>
      <c r="N99" s="110"/>
      <c r="O99" s="110"/>
      <c r="P99" s="25"/>
      <c r="Q99" s="25"/>
      <c r="R99" s="25"/>
      <c r="S99" s="25"/>
      <c r="T99" s="25"/>
      <c r="U99" s="110"/>
      <c r="V99" s="110"/>
      <c r="W99" s="25"/>
      <c r="X99" s="25"/>
      <c r="Y99" s="25"/>
      <c r="Z99" s="25"/>
      <c r="AA99" s="25"/>
      <c r="AB99" s="110"/>
      <c r="AC99" s="110"/>
      <c r="AD99" s="25"/>
      <c r="AE99" s="25"/>
      <c r="AF99" s="25"/>
      <c r="AG99" s="25"/>
      <c r="AH99" s="25"/>
      <c r="AI99" s="110"/>
      <c r="AJ99" s="110"/>
      <c r="AK99" s="25"/>
      <c r="AL99" s="25"/>
      <c r="AM99" s="25"/>
      <c r="AN99" s="25"/>
      <c r="AO99" s="25"/>
      <c r="AP99" s="110"/>
      <c r="AQ99" s="110"/>
      <c r="AR99" s="25"/>
      <c r="AS99" s="25"/>
      <c r="AT99" s="25"/>
      <c r="AU99" s="25"/>
      <c r="AV99" s="25"/>
      <c r="AW99" s="110"/>
      <c r="AX99" s="110"/>
      <c r="AY99" s="25"/>
      <c r="AZ99" s="25"/>
      <c r="BA99" s="25"/>
      <c r="BB99" s="25"/>
      <c r="BC99" s="25"/>
      <c r="BD99" s="110"/>
      <c r="BE99" s="110"/>
      <c r="BF99" s="25"/>
      <c r="BG99" s="25"/>
      <c r="BH99" s="25"/>
      <c r="BI99" s="25"/>
      <c r="BJ99" s="25"/>
      <c r="BK99" s="110"/>
      <c r="BL99" s="110"/>
      <c r="BM99" s="25"/>
      <c r="BN99" s="25"/>
      <c r="BO99" s="25"/>
      <c r="BP99" s="25"/>
      <c r="BQ99" s="25"/>
      <c r="BR99" s="110"/>
      <c r="BS99" s="110"/>
      <c r="BT99" s="25"/>
      <c r="BU99" s="25"/>
      <c r="BV99" s="25"/>
      <c r="BW99" s="25"/>
      <c r="BX99" s="25"/>
      <c r="BY99" s="110"/>
      <c r="BZ99" s="110"/>
      <c r="CA99" s="25"/>
      <c r="CB99" s="25"/>
      <c r="CC99" s="25"/>
      <c r="CD99" s="25"/>
      <c r="CE99" s="25"/>
      <c r="CF99" s="110"/>
      <c r="CG99" s="110"/>
      <c r="CH99" s="25"/>
      <c r="CI99" s="25"/>
      <c r="CJ99" s="25"/>
      <c r="CK99" s="25"/>
      <c r="CL99" s="25"/>
      <c r="CM99" s="110"/>
      <c r="CN99" s="110"/>
      <c r="CO99" s="25"/>
      <c r="CP99" s="25"/>
      <c r="CQ99" s="25"/>
      <c r="CR99" s="25"/>
      <c r="CS99" s="25"/>
      <c r="CT99" s="110"/>
      <c r="CU99" s="110"/>
      <c r="CV99" s="110"/>
      <c r="CW99" s="25"/>
      <c r="CX99" s="25"/>
      <c r="CY99" s="25"/>
      <c r="CZ99" s="25"/>
      <c r="DA99" s="110"/>
      <c r="DB99" s="110"/>
      <c r="DC99" s="25"/>
      <c r="DD99" s="25"/>
      <c r="DE99" s="25"/>
      <c r="DF99" s="25"/>
      <c r="DG99" s="25"/>
      <c r="DH99" s="110"/>
      <c r="DI99" s="110"/>
      <c r="DJ99" s="25"/>
      <c r="DK99" s="25"/>
      <c r="DL99" s="25"/>
      <c r="DM99" s="25"/>
      <c r="DN99" s="25"/>
      <c r="DO99" s="110"/>
      <c r="DP99" s="110"/>
      <c r="DQ99" s="25"/>
      <c r="DR99" s="25"/>
      <c r="DS99" s="25"/>
      <c r="DT99" s="25"/>
      <c r="DU99" s="110"/>
      <c r="DV99" s="110"/>
      <c r="DW99" s="110"/>
      <c r="DX99" s="25"/>
      <c r="DY99" s="25"/>
      <c r="DZ99" s="25"/>
      <c r="EA99" s="25"/>
      <c r="EB99" s="110" t="s">
        <v>445</v>
      </c>
      <c r="EC99" s="110"/>
      <c r="ED99" s="110"/>
      <c r="EE99" s="25"/>
      <c r="EF99" s="25"/>
      <c r="EG99" s="25"/>
      <c r="EH99" s="110" t="s">
        <v>445</v>
      </c>
      <c r="EI99" s="110" t="s">
        <v>445</v>
      </c>
      <c r="EJ99" s="110"/>
      <c r="EK99" s="110"/>
      <c r="EL99" s="25"/>
      <c r="EM99" s="25"/>
      <c r="EN99" s="25"/>
      <c r="EO99" s="25"/>
      <c r="EP99" s="25"/>
      <c r="EQ99" s="110"/>
      <c r="ER99" s="110"/>
      <c r="ES99" s="110" t="s">
        <v>445</v>
      </c>
      <c r="ET99" s="25"/>
      <c r="EU99" s="25"/>
      <c r="EV99" s="25"/>
      <c r="EW99" s="25"/>
      <c r="EX99" s="110"/>
      <c r="EY99" s="110"/>
      <c r="EZ99" s="25"/>
      <c r="FA99" s="25"/>
      <c r="FB99" s="25"/>
      <c r="FC99" s="25"/>
      <c r="FD99" s="25"/>
      <c r="FE99" s="110"/>
      <c r="FF99" s="110"/>
      <c r="FG99" s="25"/>
      <c r="FH99" s="25"/>
      <c r="FI99" s="25"/>
      <c r="FJ99" s="25"/>
      <c r="FK99" s="25"/>
      <c r="FL99" s="110"/>
      <c r="FM99" s="110"/>
      <c r="FN99" s="25"/>
      <c r="FO99" s="25"/>
      <c r="FP99" s="25"/>
      <c r="FQ99" s="25"/>
      <c r="FR99" s="25"/>
      <c r="FS99" s="110"/>
      <c r="FT99" s="110"/>
      <c r="FU99" s="25"/>
      <c r="FV99" s="25"/>
      <c r="FW99" s="25"/>
      <c r="FX99" s="25"/>
      <c r="FY99" s="25"/>
      <c r="FZ99" s="110"/>
      <c r="GA99" s="110"/>
      <c r="GB99" s="25"/>
      <c r="GC99" s="25"/>
      <c r="GD99" s="25"/>
      <c r="GE99" s="25"/>
      <c r="GF99" s="25"/>
      <c r="GG99" s="110"/>
      <c r="GH99" s="110"/>
      <c r="GI99" s="25"/>
      <c r="GJ99" s="25"/>
      <c r="GK99" s="25"/>
      <c r="GL99" s="25"/>
      <c r="GM99" s="25"/>
      <c r="GN99" s="110"/>
      <c r="GO99" s="110"/>
      <c r="GP99" s="110"/>
      <c r="GQ99" s="110" t="s">
        <v>445</v>
      </c>
      <c r="GR99" s="25"/>
      <c r="GS99" s="25"/>
      <c r="GT99" s="25"/>
      <c r="GU99" s="110"/>
      <c r="GV99" s="110"/>
      <c r="GW99" s="25"/>
      <c r="GX99" s="25"/>
      <c r="GY99" s="25"/>
      <c r="GZ99" s="25"/>
      <c r="HA99" s="25"/>
      <c r="HB99" s="110"/>
      <c r="HC99" s="110"/>
      <c r="HD99" s="25"/>
      <c r="HE99" s="25"/>
      <c r="HF99" s="25"/>
      <c r="HG99" s="25"/>
      <c r="HH99" s="25"/>
      <c r="HI99" s="110"/>
      <c r="HJ99" s="110"/>
      <c r="HK99" s="25"/>
      <c r="HL99" s="25"/>
      <c r="HM99" s="25"/>
      <c r="HN99" s="25"/>
      <c r="HO99" s="25"/>
      <c r="HP99" s="110"/>
      <c r="HQ99" s="110"/>
      <c r="HR99" s="25"/>
      <c r="HS99" s="25"/>
      <c r="HT99" s="25"/>
      <c r="HU99" s="25"/>
      <c r="HV99" s="25"/>
      <c r="HW99" s="110"/>
      <c r="HX99" s="110"/>
      <c r="HY99" s="25"/>
      <c r="HZ99" s="25"/>
      <c r="IA99" s="25"/>
      <c r="IB99" s="25"/>
      <c r="IC99" s="25"/>
      <c r="ID99" s="110"/>
      <c r="IE99" s="110"/>
      <c r="IF99" s="25"/>
      <c r="IG99" s="25"/>
      <c r="IH99" s="25"/>
      <c r="II99" s="25"/>
      <c r="IJ99" s="25"/>
      <c r="IK99" s="110"/>
      <c r="IL99" s="110"/>
      <c r="IM99" s="25"/>
      <c r="IN99" s="25"/>
      <c r="IO99" s="25"/>
      <c r="IP99" s="25"/>
      <c r="IQ99" s="25"/>
      <c r="IR99" s="110"/>
      <c r="IS99" s="110"/>
      <c r="IT99" s="25"/>
      <c r="IU99" s="25"/>
      <c r="IV99" s="25"/>
      <c r="IW99" s="25"/>
      <c r="IX99" s="25"/>
      <c r="IY99" s="110"/>
      <c r="IZ99" s="110"/>
      <c r="JA99" s="25"/>
      <c r="JB99" s="25"/>
      <c r="JC99" s="25"/>
      <c r="JD99" s="25"/>
      <c r="JE99" s="25"/>
      <c r="JF99" s="110"/>
      <c r="JG99" s="110"/>
      <c r="JH99" s="25"/>
      <c r="JI99" s="25"/>
      <c r="JJ99" s="25"/>
      <c r="JK99" s="25"/>
      <c r="JL99" s="25"/>
      <c r="JM99" s="110"/>
      <c r="JN99" s="110"/>
      <c r="JO99" s="25"/>
      <c r="JP99" s="25"/>
      <c r="JQ99" s="25"/>
      <c r="JR99" s="25"/>
      <c r="JS99" s="25"/>
      <c r="JT99" s="110"/>
      <c r="JU99" s="110"/>
      <c r="JV99" s="25"/>
      <c r="JW99" s="25"/>
      <c r="JX99" s="25"/>
      <c r="JY99" s="25"/>
      <c r="JZ99" s="25"/>
      <c r="KA99" s="110"/>
      <c r="KB99" s="110"/>
      <c r="KC99" s="25"/>
      <c r="KD99" s="25"/>
      <c r="KE99" s="25"/>
      <c r="KF99" s="25"/>
      <c r="KG99" s="25"/>
      <c r="KH99" s="110"/>
      <c r="KI99" s="110"/>
      <c r="KJ99" s="25"/>
      <c r="KK99" s="25"/>
      <c r="KL99" s="25"/>
      <c r="KM99" s="25"/>
      <c r="KN99" s="25"/>
      <c r="KO99" s="110"/>
      <c r="KP99" s="110"/>
      <c r="KQ99" s="25"/>
      <c r="KR99" s="25"/>
      <c r="KS99" s="25"/>
      <c r="KT99" s="25"/>
      <c r="KU99" s="25"/>
      <c r="KV99" s="110"/>
      <c r="KW99" s="110"/>
      <c r="KX99" s="25"/>
      <c r="KY99" s="25"/>
      <c r="KZ99" s="25"/>
      <c r="LA99" s="25"/>
      <c r="LB99" s="25"/>
      <c r="LC99" s="110"/>
      <c r="LD99" s="110"/>
      <c r="LE99" s="25"/>
      <c r="LF99" s="25"/>
      <c r="LG99" s="110" t="s">
        <v>445</v>
      </c>
      <c r="LH99" s="25"/>
      <c r="LI99" s="25"/>
      <c r="LJ99" s="110"/>
      <c r="LK99" s="110"/>
      <c r="LL99" s="25"/>
      <c r="LM99" s="25"/>
      <c r="LN99" s="25"/>
      <c r="LO99" s="25"/>
      <c r="LP99" s="25"/>
      <c r="LQ99" s="110"/>
      <c r="LR99" s="110"/>
      <c r="LS99" s="25"/>
      <c r="LT99" s="25"/>
      <c r="LU99" s="25"/>
      <c r="LV99" s="25"/>
      <c r="LW99" s="25"/>
      <c r="LX99" s="110"/>
      <c r="LY99" s="110"/>
      <c r="LZ99" s="25"/>
      <c r="MA99" s="25"/>
      <c r="MB99" s="25"/>
      <c r="MC99" s="25"/>
      <c r="MD99" s="25"/>
      <c r="ME99" s="110"/>
      <c r="MF99" s="110"/>
      <c r="MG99" s="25"/>
      <c r="MH99" s="25"/>
      <c r="MI99" s="25"/>
      <c r="MJ99" s="25"/>
      <c r="MK99" s="25"/>
      <c r="ML99" s="110"/>
      <c r="MM99" s="110"/>
      <c r="MN99" s="25"/>
      <c r="MO99" s="25"/>
      <c r="MP99" s="25"/>
      <c r="MQ99" s="25"/>
      <c r="MR99" s="25"/>
      <c r="MS99" s="110"/>
      <c r="MT99" s="110"/>
      <c r="MU99" s="25"/>
      <c r="MV99" s="25"/>
      <c r="MW99" s="25"/>
      <c r="MX99" s="25"/>
      <c r="MY99" s="25"/>
      <c r="MZ99" s="110"/>
      <c r="NA99" s="110"/>
      <c r="NB99" s="25"/>
      <c r="NC99" s="25"/>
      <c r="ND99" s="25"/>
      <c r="NE99" s="129"/>
      <c r="NF99" s="111"/>
      <c r="NG99" s="8">
        <f t="shared" si="54"/>
        <v>0</v>
      </c>
      <c r="NH99" s="32" cm="1">
        <f t="array" ref="NH99">NETWORKDAYS($I$2,$AI$2)- SUM(COUNTIF(I99:AI99,{"I";"F";"CP";"R";"P";"AC";"AM"}))</f>
        <v>20</v>
      </c>
      <c r="NI99" s="138">
        <f t="shared" si="55"/>
        <v>0</v>
      </c>
      <c r="NJ99" s="8">
        <f t="shared" si="56"/>
        <v>0</v>
      </c>
      <c r="NK99" s="32" cm="1">
        <f t="array" ref="NK99">NETWORKDAYS($AJ$2,$BK$2)- SUM(COUNTIF(AJ99:BK99,{"I";"F";"CP";"R";"P";"AC";"AM"}))</f>
        <v>20</v>
      </c>
      <c r="NL99" s="138">
        <f t="shared" si="57"/>
        <v>0</v>
      </c>
      <c r="NM99" s="8">
        <f t="shared" si="58"/>
        <v>0</v>
      </c>
      <c r="NN99" s="32" cm="1">
        <f t="array" ref="NN99">NETWORKDAYS($BL$2,$CP$2)- SUM(COUNTIF(BL99:CP99,{"I";"F";"CP";"R";"P";"AC";"AM"}))</f>
        <v>22</v>
      </c>
      <c r="NO99" s="138">
        <f t="shared" si="59"/>
        <v>0</v>
      </c>
      <c r="NP99" s="32">
        <f t="shared" si="53"/>
        <v>0</v>
      </c>
      <c r="NQ99" s="32" cm="1">
        <f t="array" ref="NQ99">NETWORKDAYS($CQ$2,$DT$2,$CV$2)- SUM(COUNTIF(CQ99:DT99,{"I";"F";"CP";"R";"P";"AC";"AM"}))</f>
        <v>21</v>
      </c>
      <c r="NR99" s="138">
        <f t="shared" si="60"/>
        <v>0</v>
      </c>
      <c r="NS99" s="8">
        <f t="shared" si="61"/>
        <v>0</v>
      </c>
      <c r="NT99" s="32" cm="1">
        <f t="array" ref="NT99">NETWORKDAYS($DV$2,$EY$2)-SUM(COUNTIF(DV99:EY99,{"I";"F";"CP";"R";"P";"AC";"AM"}))</f>
        <v>16</v>
      </c>
      <c r="NU99" s="138">
        <f t="shared" si="62"/>
        <v>0</v>
      </c>
      <c r="NV99" s="8">
        <f t="shared" si="63"/>
        <v>0</v>
      </c>
      <c r="NW99" s="32" cm="1">
        <f t="array" ref="NW99">NETWORKDAYS($EZ$2,$GC$2)-SUM(COUNTIF(EZ179:GC179,{"I";"F";"CP";"R";"P";"AC";"AM"}))</f>
        <v>22</v>
      </c>
      <c r="NX99" s="138">
        <f t="shared" si="64"/>
        <v>0</v>
      </c>
      <c r="NY99" s="8">
        <f t="shared" si="65"/>
        <v>0</v>
      </c>
      <c r="NZ99" s="32" cm="1">
        <f t="array" ref="NZ99">NETWORKDAYS($GD$2,$HH$2,$GQ$2)-SUM(COUNTIF(GD99:HH99,{"I";"F";"CP";"R";"P";"AC";"AM"}))</f>
        <v>21</v>
      </c>
      <c r="OA99" s="138">
        <f t="shared" si="66"/>
        <v>0</v>
      </c>
      <c r="OB99" s="8">
        <f t="shared" si="67"/>
        <v>0</v>
      </c>
      <c r="OC99" s="32" cm="1">
        <f t="array" ref="OC99">NETWORKDAYS($HI$2,$IM$2)-SUM(COUNTIF(HI99:IM99,{"I";"F";"CP";"R";"P";"AC";"AM"}))</f>
        <v>21</v>
      </c>
      <c r="OD99" s="138">
        <f t="shared" si="68"/>
        <v>0</v>
      </c>
      <c r="OE99" s="8">
        <f t="shared" si="69"/>
        <v>0</v>
      </c>
      <c r="OF99" s="32" cm="1">
        <f t="array" ref="OF99">NETWORKDAYS($IN$2,$JQ$2)-SUM(COUNTIF(IN99:JQ99,{"I";"F";"CP";"R";"P";"AC";"AM"}))</f>
        <v>22</v>
      </c>
      <c r="OG99" s="138">
        <f t="shared" si="70"/>
        <v>0</v>
      </c>
      <c r="OH99" s="8">
        <f t="shared" si="71"/>
        <v>0</v>
      </c>
      <c r="OI99" s="32" cm="1">
        <f t="array" ref="OI99">NETWORKDAYS($JR$2,$KV$2)-SUM(COUNTIF(JR99:KV99,{"I";"F";"CP";"R";"P";"AC";"AM"}))</f>
        <v>22</v>
      </c>
      <c r="OJ99" s="138">
        <f t="shared" si="72"/>
        <v>0</v>
      </c>
      <c r="OK99" s="8">
        <f t="shared" si="73"/>
        <v>0</v>
      </c>
      <c r="OL99" s="32" cm="1">
        <f t="array" ref="OL99">NETWORKDAYS($KW$2,$LZ$2,$LG$2)-SUM(COUNTIF(KW99:LZ99,{"I";"F";"CP";"R";"P";"AC";"AM"}))</f>
        <v>19</v>
      </c>
      <c r="OM99" s="138">
        <f t="shared" si="74"/>
        <v>0</v>
      </c>
      <c r="ON99" s="8">
        <f t="shared" si="75"/>
        <v>0</v>
      </c>
      <c r="OO99" s="32" cm="1">
        <f t="array" ref="OO99">NETWORKDAYS($MA$2,$MR$2)-SUM(COUNTIF(MA99:MR99,{"I";"F";"CP";"R";"P";"AC";"AM"}))</f>
        <v>14</v>
      </c>
      <c r="OP99" s="138">
        <f t="shared" si="76"/>
        <v>0</v>
      </c>
      <c r="OQ99" s="94">
        <f t="shared" si="77"/>
        <v>0</v>
      </c>
      <c r="OR99" s="94">
        <f t="shared" si="78"/>
        <v>240</v>
      </c>
      <c r="OS99" s="138">
        <f t="shared" si="79"/>
        <v>0</v>
      </c>
    </row>
    <row r="100" spans="1:409" ht="18" hidden="1" customHeight="1" x14ac:dyDescent="0.25">
      <c r="A100" s="95" t="s">
        <v>100</v>
      </c>
      <c r="B100" s="95" t="s">
        <v>34</v>
      </c>
      <c r="C100" s="89" t="s">
        <v>160</v>
      </c>
      <c r="D100" s="89" t="s">
        <v>286</v>
      </c>
      <c r="E100" s="128"/>
      <c r="F100" s="110"/>
      <c r="G100" s="110"/>
      <c r="H100" s="110"/>
      <c r="I100" s="25"/>
      <c r="J100" s="25"/>
      <c r="K100" s="25"/>
      <c r="L100" s="25"/>
      <c r="M100" s="25"/>
      <c r="N100" s="110"/>
      <c r="O100" s="110"/>
      <c r="P100" s="25"/>
      <c r="Q100" s="25"/>
      <c r="R100" s="25"/>
      <c r="S100" s="25"/>
      <c r="T100" s="25"/>
      <c r="U100" s="110"/>
      <c r="V100" s="110"/>
      <c r="W100" s="25"/>
      <c r="X100" s="25"/>
      <c r="Y100" s="25"/>
      <c r="Z100" s="25"/>
      <c r="AA100" s="25"/>
      <c r="AB100" s="110"/>
      <c r="AC100" s="110"/>
      <c r="AD100" s="25"/>
      <c r="AE100" s="25"/>
      <c r="AF100" s="25"/>
      <c r="AG100" s="25"/>
      <c r="AH100" s="25"/>
      <c r="AI100" s="110"/>
      <c r="AJ100" s="110"/>
      <c r="AK100" s="25"/>
      <c r="AL100" s="25"/>
      <c r="AM100" s="25"/>
      <c r="AN100" s="25"/>
      <c r="AO100" s="25"/>
      <c r="AP100" s="110"/>
      <c r="AQ100" s="110"/>
      <c r="AR100" s="25"/>
      <c r="AS100" s="25"/>
      <c r="AT100" s="25"/>
      <c r="AU100" s="25"/>
      <c r="AV100" s="25"/>
      <c r="AW100" s="110"/>
      <c r="AX100" s="110"/>
      <c r="AY100" s="25"/>
      <c r="AZ100" s="25"/>
      <c r="BA100" s="25"/>
      <c r="BB100" s="25"/>
      <c r="BC100" s="25"/>
      <c r="BD100" s="110"/>
      <c r="BE100" s="110"/>
      <c r="BF100" s="25"/>
      <c r="BG100" s="25"/>
      <c r="BH100" s="25"/>
      <c r="BI100" s="25"/>
      <c r="BJ100" s="25"/>
      <c r="BK100" s="110"/>
      <c r="BL100" s="110"/>
      <c r="BM100" s="25"/>
      <c r="BN100" s="25"/>
      <c r="BO100" s="25"/>
      <c r="BP100" s="25"/>
      <c r="BQ100" s="25"/>
      <c r="BR100" s="110"/>
      <c r="BS100" s="110"/>
      <c r="BT100" s="25"/>
      <c r="BU100" s="25"/>
      <c r="BV100" s="25"/>
      <c r="BW100" s="25"/>
      <c r="BX100" s="25"/>
      <c r="BY100" s="110"/>
      <c r="BZ100" s="110"/>
      <c r="CA100" s="25"/>
      <c r="CB100" s="25"/>
      <c r="CC100" s="25"/>
      <c r="CD100" s="25"/>
      <c r="CE100" s="25"/>
      <c r="CF100" s="110"/>
      <c r="CG100" s="110"/>
      <c r="CH100" s="25"/>
      <c r="CI100" s="25"/>
      <c r="CJ100" s="25"/>
      <c r="CK100" s="25"/>
      <c r="CL100" s="25"/>
      <c r="CM100" s="110"/>
      <c r="CN100" s="110"/>
      <c r="CO100" s="25"/>
      <c r="CP100" s="25"/>
      <c r="CQ100" s="25"/>
      <c r="CR100" s="25"/>
      <c r="CS100" s="25"/>
      <c r="CT100" s="110"/>
      <c r="CU100" s="110"/>
      <c r="CV100" s="110"/>
      <c r="CW100" s="25"/>
      <c r="CX100" s="25"/>
      <c r="CY100" s="25"/>
      <c r="CZ100" s="25"/>
      <c r="DA100" s="110"/>
      <c r="DB100" s="110"/>
      <c r="DC100" s="25"/>
      <c r="DD100" s="25"/>
      <c r="DE100" s="25"/>
      <c r="DF100" s="25"/>
      <c r="DG100" s="25"/>
      <c r="DH100" s="110"/>
      <c r="DI100" s="110"/>
      <c r="DJ100" s="25"/>
      <c r="DK100" s="25"/>
      <c r="DL100" s="25"/>
      <c r="DM100" s="25"/>
      <c r="DN100" s="25"/>
      <c r="DO100" s="110"/>
      <c r="DP100" s="110"/>
      <c r="DQ100" s="25"/>
      <c r="DR100" s="25"/>
      <c r="DS100" s="25"/>
      <c r="DT100" s="25"/>
      <c r="DU100" s="110"/>
      <c r="DV100" s="110"/>
      <c r="DW100" s="110"/>
      <c r="DX100" s="25"/>
      <c r="DY100" s="25"/>
      <c r="DZ100" s="25"/>
      <c r="EA100" s="25"/>
      <c r="EB100" s="110" t="s">
        <v>445</v>
      </c>
      <c r="EC100" s="110"/>
      <c r="ED100" s="110"/>
      <c r="EE100" s="25"/>
      <c r="EF100" s="25"/>
      <c r="EG100" s="25"/>
      <c r="EH100" s="110" t="s">
        <v>445</v>
      </c>
      <c r="EI100" s="110" t="s">
        <v>445</v>
      </c>
      <c r="EJ100" s="110"/>
      <c r="EK100" s="110"/>
      <c r="EL100" s="25"/>
      <c r="EM100" s="25"/>
      <c r="EN100" s="25"/>
      <c r="EO100" s="25"/>
      <c r="EP100" s="25"/>
      <c r="EQ100" s="110"/>
      <c r="ER100" s="110"/>
      <c r="ES100" s="110" t="s">
        <v>445</v>
      </c>
      <c r="ET100" s="25"/>
      <c r="EU100" s="25"/>
      <c r="EV100" s="25"/>
      <c r="EW100" s="25"/>
      <c r="EX100" s="110"/>
      <c r="EY100" s="110"/>
      <c r="EZ100" s="25"/>
      <c r="FA100" s="25"/>
      <c r="FB100" s="25"/>
      <c r="FC100" s="25"/>
      <c r="FD100" s="25"/>
      <c r="FE100" s="110"/>
      <c r="FF100" s="110"/>
      <c r="FG100" s="25"/>
      <c r="FH100" s="25"/>
      <c r="FI100" s="25"/>
      <c r="FJ100" s="25"/>
      <c r="FK100" s="25"/>
      <c r="FL100" s="110"/>
      <c r="FM100" s="110"/>
      <c r="FN100" s="25"/>
      <c r="FO100" s="25"/>
      <c r="FP100" s="25"/>
      <c r="FQ100" s="25"/>
      <c r="FR100" s="25"/>
      <c r="FS100" s="110"/>
      <c r="FT100" s="110"/>
      <c r="FU100" s="25"/>
      <c r="FV100" s="25"/>
      <c r="FW100" s="25"/>
      <c r="FX100" s="25"/>
      <c r="FY100" s="25"/>
      <c r="FZ100" s="110"/>
      <c r="GA100" s="110"/>
      <c r="GB100" s="25"/>
      <c r="GC100" s="25"/>
      <c r="GD100" s="25"/>
      <c r="GE100" s="25"/>
      <c r="GF100" s="25"/>
      <c r="GG100" s="110"/>
      <c r="GH100" s="110"/>
      <c r="GI100" s="25"/>
      <c r="GJ100" s="25"/>
      <c r="GK100" s="25"/>
      <c r="GL100" s="25"/>
      <c r="GM100" s="25"/>
      <c r="GN100" s="110"/>
      <c r="GO100" s="110"/>
      <c r="GP100" s="110"/>
      <c r="GQ100" s="110" t="s">
        <v>445</v>
      </c>
      <c r="GR100" s="25"/>
      <c r="GS100" s="25"/>
      <c r="GT100" s="25"/>
      <c r="GU100" s="110"/>
      <c r="GV100" s="110"/>
      <c r="GW100" s="25"/>
      <c r="GX100" s="25"/>
      <c r="GY100" s="25"/>
      <c r="GZ100" s="25"/>
      <c r="HA100" s="25"/>
      <c r="HB100" s="110"/>
      <c r="HC100" s="110"/>
      <c r="HD100" s="25"/>
      <c r="HE100" s="25"/>
      <c r="HF100" s="25"/>
      <c r="HG100" s="25"/>
      <c r="HH100" s="25"/>
      <c r="HI100" s="110"/>
      <c r="HJ100" s="110"/>
      <c r="HK100" s="25"/>
      <c r="HL100" s="25"/>
      <c r="HM100" s="25"/>
      <c r="HN100" s="25"/>
      <c r="HO100" s="25"/>
      <c r="HP100" s="110"/>
      <c r="HQ100" s="110"/>
      <c r="HR100" s="25"/>
      <c r="HS100" s="25"/>
      <c r="HT100" s="25"/>
      <c r="HU100" s="25"/>
      <c r="HV100" s="25"/>
      <c r="HW100" s="110"/>
      <c r="HX100" s="110"/>
      <c r="HY100" s="25"/>
      <c r="HZ100" s="25"/>
      <c r="IA100" s="25"/>
      <c r="IB100" s="25"/>
      <c r="IC100" s="25"/>
      <c r="ID100" s="110"/>
      <c r="IE100" s="110"/>
      <c r="IF100" s="25"/>
      <c r="IG100" s="25"/>
      <c r="IH100" s="25"/>
      <c r="II100" s="25"/>
      <c r="IJ100" s="25"/>
      <c r="IK100" s="110"/>
      <c r="IL100" s="110"/>
      <c r="IM100" s="25"/>
      <c r="IN100" s="25"/>
      <c r="IO100" s="25"/>
      <c r="IP100" s="25"/>
      <c r="IQ100" s="25"/>
      <c r="IR100" s="110"/>
      <c r="IS100" s="110"/>
      <c r="IT100" s="25"/>
      <c r="IU100" s="25"/>
      <c r="IV100" s="25"/>
      <c r="IW100" s="25"/>
      <c r="IX100" s="25"/>
      <c r="IY100" s="110"/>
      <c r="IZ100" s="110"/>
      <c r="JA100" s="25"/>
      <c r="JB100" s="25"/>
      <c r="JC100" s="25"/>
      <c r="JD100" s="25"/>
      <c r="JE100" s="25"/>
      <c r="JF100" s="110"/>
      <c r="JG100" s="110"/>
      <c r="JH100" s="25"/>
      <c r="JI100" s="25"/>
      <c r="JJ100" s="25"/>
      <c r="JK100" s="25"/>
      <c r="JL100" s="25"/>
      <c r="JM100" s="110"/>
      <c r="JN100" s="110"/>
      <c r="JO100" s="25"/>
      <c r="JP100" s="25"/>
      <c r="JQ100" s="25"/>
      <c r="JR100" s="25"/>
      <c r="JS100" s="25"/>
      <c r="JT100" s="110"/>
      <c r="JU100" s="110"/>
      <c r="JV100" s="25"/>
      <c r="JW100" s="25"/>
      <c r="JX100" s="25"/>
      <c r="JY100" s="25"/>
      <c r="JZ100" s="25"/>
      <c r="KA100" s="110"/>
      <c r="KB100" s="110"/>
      <c r="KC100" s="25"/>
      <c r="KD100" s="25"/>
      <c r="KE100" s="25"/>
      <c r="KF100" s="25"/>
      <c r="KG100" s="25"/>
      <c r="KH100" s="110"/>
      <c r="KI100" s="110"/>
      <c r="KJ100" s="25"/>
      <c r="KK100" s="25"/>
      <c r="KL100" s="25"/>
      <c r="KM100" s="25"/>
      <c r="KN100" s="25"/>
      <c r="KO100" s="110"/>
      <c r="KP100" s="110"/>
      <c r="KQ100" s="25"/>
      <c r="KR100" s="25"/>
      <c r="KS100" s="25"/>
      <c r="KT100" s="25"/>
      <c r="KU100" s="25"/>
      <c r="KV100" s="110"/>
      <c r="KW100" s="110"/>
      <c r="KX100" s="25"/>
      <c r="KY100" s="25"/>
      <c r="KZ100" s="25"/>
      <c r="LA100" s="25"/>
      <c r="LB100" s="25"/>
      <c r="LC100" s="110"/>
      <c r="LD100" s="110"/>
      <c r="LE100" s="25"/>
      <c r="LF100" s="25"/>
      <c r="LG100" s="110" t="s">
        <v>445</v>
      </c>
      <c r="LH100" s="25"/>
      <c r="LI100" s="25"/>
      <c r="LJ100" s="110"/>
      <c r="LK100" s="110"/>
      <c r="LL100" s="25"/>
      <c r="LM100" s="25"/>
      <c r="LN100" s="25"/>
      <c r="LO100" s="25"/>
      <c r="LP100" s="25"/>
      <c r="LQ100" s="110"/>
      <c r="LR100" s="110"/>
      <c r="LS100" s="25"/>
      <c r="LT100" s="25"/>
      <c r="LU100" s="25"/>
      <c r="LV100" s="25"/>
      <c r="LW100" s="25"/>
      <c r="LX100" s="110"/>
      <c r="LY100" s="110"/>
      <c r="LZ100" s="25"/>
      <c r="MA100" s="25"/>
      <c r="MB100" s="25"/>
      <c r="MC100" s="25"/>
      <c r="MD100" s="25"/>
      <c r="ME100" s="110"/>
      <c r="MF100" s="110"/>
      <c r="MG100" s="25"/>
      <c r="MH100" s="25"/>
      <c r="MI100" s="25"/>
      <c r="MJ100" s="25"/>
      <c r="MK100" s="25"/>
      <c r="ML100" s="110"/>
      <c r="MM100" s="110"/>
      <c r="MN100" s="25"/>
      <c r="MO100" s="25"/>
      <c r="MP100" s="25"/>
      <c r="MQ100" s="25"/>
      <c r="MR100" s="25"/>
      <c r="MS100" s="110"/>
      <c r="MT100" s="110"/>
      <c r="MU100" s="25"/>
      <c r="MV100" s="25"/>
      <c r="MW100" s="25"/>
      <c r="MX100" s="25"/>
      <c r="MY100" s="25"/>
      <c r="MZ100" s="110"/>
      <c r="NA100" s="110"/>
      <c r="NB100" s="25"/>
      <c r="NC100" s="25"/>
      <c r="ND100" s="25"/>
      <c r="NE100" s="129"/>
      <c r="NF100" s="111"/>
      <c r="NG100" s="8">
        <f t="shared" si="54"/>
        <v>0</v>
      </c>
      <c r="NH100" s="32" cm="1">
        <f t="array" ref="NH100">NETWORKDAYS($I$2,$AI$2)- SUM(COUNTIF(I100:AI100,{"I";"F";"CP";"R";"P";"AC";"AM"}))</f>
        <v>20</v>
      </c>
      <c r="NI100" s="138">
        <f t="shared" si="55"/>
        <v>0</v>
      </c>
      <c r="NJ100" s="8">
        <f t="shared" si="56"/>
        <v>0</v>
      </c>
      <c r="NK100" s="32" cm="1">
        <f t="array" ref="NK100">NETWORKDAYS($AJ$2,$BK$2)- SUM(COUNTIF(AJ100:BK100,{"I";"F";"CP";"R";"P";"AC";"AM"}))</f>
        <v>20</v>
      </c>
      <c r="NL100" s="138">
        <f t="shared" si="57"/>
        <v>0</v>
      </c>
      <c r="NM100" s="8">
        <f t="shared" si="58"/>
        <v>0</v>
      </c>
      <c r="NN100" s="32" cm="1">
        <f t="array" ref="NN100">NETWORKDAYS($BL$2,$CP$2)- SUM(COUNTIF(BL100:CP100,{"I";"F";"CP";"R";"P";"AC";"AM"}))</f>
        <v>22</v>
      </c>
      <c r="NO100" s="138">
        <f t="shared" si="59"/>
        <v>0</v>
      </c>
      <c r="NP100" s="8">
        <f t="shared" si="53"/>
        <v>0</v>
      </c>
      <c r="NQ100" s="32" cm="1">
        <f t="array" ref="NQ100">NETWORKDAYS($CQ$2,$DT$2,$CV$2)- SUM(COUNTIF(CQ100:DT100,{"I";"F";"CP";"R";"P";"AC";"AM"}))</f>
        <v>21</v>
      </c>
      <c r="NR100" s="138">
        <f t="shared" si="60"/>
        <v>0</v>
      </c>
      <c r="NS100" s="8">
        <f t="shared" si="61"/>
        <v>0</v>
      </c>
      <c r="NT100" s="32" cm="1">
        <f t="array" ref="NT100">NETWORKDAYS($DV$2,$EY$2)-SUM(COUNTIF(DV100:EY100,{"I";"F";"CP";"R";"P";"AC";"AM"}))</f>
        <v>16</v>
      </c>
      <c r="NU100" s="138">
        <f t="shared" si="62"/>
        <v>0</v>
      </c>
      <c r="NV100" s="8">
        <f t="shared" si="63"/>
        <v>0</v>
      </c>
      <c r="NW100" s="32" cm="1">
        <f t="array" ref="NW100">NETWORKDAYS($EZ$2,$GC$2)-SUM(COUNTIF(EZ180:GC180,{"I";"F";"CP";"R";"P";"AC";"AM"}))</f>
        <v>22</v>
      </c>
      <c r="NX100" s="138">
        <f t="shared" si="64"/>
        <v>0</v>
      </c>
      <c r="NY100" s="8">
        <f t="shared" si="65"/>
        <v>0</v>
      </c>
      <c r="NZ100" s="32" cm="1">
        <f t="array" ref="NZ100">NETWORKDAYS($GD$2,$HH$2,$GQ$2)-SUM(COUNTIF(GD100:HH100,{"I";"F";"CP";"R";"P";"AC";"AM"}))</f>
        <v>21</v>
      </c>
      <c r="OA100" s="138">
        <f t="shared" si="66"/>
        <v>0</v>
      </c>
      <c r="OB100" s="8">
        <f t="shared" si="67"/>
        <v>0</v>
      </c>
      <c r="OC100" s="32" cm="1">
        <f t="array" ref="OC100">NETWORKDAYS($HI$2,$IM$2)-SUM(COUNTIF(HI100:IM100,{"I";"F";"CP";"R";"P";"AC";"AM"}))</f>
        <v>21</v>
      </c>
      <c r="OD100" s="138">
        <f t="shared" si="68"/>
        <v>0</v>
      </c>
      <c r="OE100" s="8">
        <f t="shared" si="69"/>
        <v>0</v>
      </c>
      <c r="OF100" s="32" cm="1">
        <f t="array" ref="OF100">NETWORKDAYS($IN$2,$JQ$2)-SUM(COUNTIF(IN100:JQ100,{"I";"F";"CP";"R";"P";"AC";"AM"}))</f>
        <v>22</v>
      </c>
      <c r="OG100" s="138">
        <f t="shared" si="70"/>
        <v>0</v>
      </c>
      <c r="OH100" s="8">
        <f t="shared" si="71"/>
        <v>0</v>
      </c>
      <c r="OI100" s="32" cm="1">
        <f t="array" ref="OI100">NETWORKDAYS($JR$2,$KV$2)-SUM(COUNTIF(JR100:KV100,{"I";"F";"CP";"R";"P";"AC";"AM"}))</f>
        <v>22</v>
      </c>
      <c r="OJ100" s="138">
        <f t="shared" si="72"/>
        <v>0</v>
      </c>
      <c r="OK100" s="8">
        <f t="shared" si="73"/>
        <v>0</v>
      </c>
      <c r="OL100" s="32" cm="1">
        <f t="array" ref="OL100">NETWORKDAYS($KW$2,$LZ$2,$LG$2)-SUM(COUNTIF(KW100:LZ100,{"I";"F";"CP";"R";"P";"AC";"AM"}))</f>
        <v>19</v>
      </c>
      <c r="OM100" s="138">
        <f t="shared" si="74"/>
        <v>0</v>
      </c>
      <c r="ON100" s="8">
        <f t="shared" si="75"/>
        <v>0</v>
      </c>
      <c r="OO100" s="32" cm="1">
        <f t="array" ref="OO100">NETWORKDAYS($MA$2,$MR$2)-SUM(COUNTIF(MA100:MR100,{"I";"F";"CP";"R";"P";"AC";"AM"}))</f>
        <v>14</v>
      </c>
      <c r="OP100" s="138">
        <f t="shared" si="76"/>
        <v>0</v>
      </c>
      <c r="OQ100" s="94">
        <f t="shared" si="77"/>
        <v>0</v>
      </c>
      <c r="OR100" s="94">
        <f t="shared" si="78"/>
        <v>240</v>
      </c>
      <c r="OS100" s="138">
        <f t="shared" si="79"/>
        <v>0</v>
      </c>
    </row>
    <row r="101" spans="1:409" ht="18" hidden="1" customHeight="1" x14ac:dyDescent="0.25">
      <c r="A101" s="95" t="s">
        <v>468</v>
      </c>
      <c r="B101" s="95" t="s">
        <v>34</v>
      </c>
      <c r="C101" s="89" t="s">
        <v>166</v>
      </c>
      <c r="D101" s="89" t="s">
        <v>287</v>
      </c>
      <c r="E101" s="128"/>
      <c r="F101" s="110"/>
      <c r="G101" s="110"/>
      <c r="H101" s="110"/>
      <c r="I101" s="25"/>
      <c r="J101" s="25"/>
      <c r="K101" s="25"/>
      <c r="L101" s="25"/>
      <c r="M101" s="25"/>
      <c r="N101" s="110"/>
      <c r="O101" s="110"/>
      <c r="P101" s="25"/>
      <c r="Q101" s="25"/>
      <c r="R101" s="25"/>
      <c r="S101" s="25"/>
      <c r="T101" s="25"/>
      <c r="U101" s="110"/>
      <c r="V101" s="110"/>
      <c r="W101" s="25"/>
      <c r="X101" s="25"/>
      <c r="Y101" s="25"/>
      <c r="Z101" s="25"/>
      <c r="AA101" s="25"/>
      <c r="AB101" s="110"/>
      <c r="AC101" s="110"/>
      <c r="AD101" s="25"/>
      <c r="AE101" s="25"/>
      <c r="AF101" s="25"/>
      <c r="AG101" s="25"/>
      <c r="AH101" s="25"/>
      <c r="AI101" s="110"/>
      <c r="AJ101" s="110"/>
      <c r="AK101" s="25"/>
      <c r="AL101" s="25"/>
      <c r="AM101" s="25"/>
      <c r="AN101" s="25"/>
      <c r="AO101" s="25"/>
      <c r="AP101" s="110"/>
      <c r="AQ101" s="110"/>
      <c r="AR101" s="25"/>
      <c r="AS101" s="25"/>
      <c r="AT101" s="25"/>
      <c r="AU101" s="25"/>
      <c r="AV101" s="25"/>
      <c r="AW101" s="110"/>
      <c r="AX101" s="110"/>
      <c r="AY101" s="25"/>
      <c r="AZ101" s="25"/>
      <c r="BA101" s="25"/>
      <c r="BB101" s="25"/>
      <c r="BC101" s="25"/>
      <c r="BD101" s="110"/>
      <c r="BE101" s="110"/>
      <c r="BF101" s="25"/>
      <c r="BG101" s="25"/>
      <c r="BH101" s="25"/>
      <c r="BI101" s="25"/>
      <c r="BJ101" s="25"/>
      <c r="BK101" s="110"/>
      <c r="BL101" s="110"/>
      <c r="BM101" s="25"/>
      <c r="BN101" s="25"/>
      <c r="BO101" s="25"/>
      <c r="BP101" s="25"/>
      <c r="BQ101" s="25"/>
      <c r="BR101" s="110"/>
      <c r="BS101" s="110"/>
      <c r="BT101" s="25"/>
      <c r="BU101" s="25"/>
      <c r="BV101" s="25"/>
      <c r="BW101" s="25"/>
      <c r="BX101" s="25"/>
      <c r="BY101" s="110"/>
      <c r="BZ101" s="110"/>
      <c r="CA101" s="25"/>
      <c r="CB101" s="25"/>
      <c r="CC101" s="25"/>
      <c r="CD101" s="25"/>
      <c r="CE101" s="25"/>
      <c r="CF101" s="110"/>
      <c r="CG101" s="110"/>
      <c r="CH101" s="25"/>
      <c r="CI101" s="25"/>
      <c r="CJ101" s="25"/>
      <c r="CK101" s="25"/>
      <c r="CL101" s="25"/>
      <c r="CM101" s="110"/>
      <c r="CN101" s="110"/>
      <c r="CO101" s="25"/>
      <c r="CP101" s="25"/>
      <c r="CQ101" s="25"/>
      <c r="CR101" s="25"/>
      <c r="CS101" s="25"/>
      <c r="CT101" s="110"/>
      <c r="CU101" s="110"/>
      <c r="CV101" s="110"/>
      <c r="CW101" s="25"/>
      <c r="CX101" s="25"/>
      <c r="CY101" s="25"/>
      <c r="CZ101" s="25"/>
      <c r="DA101" s="110"/>
      <c r="DB101" s="110"/>
      <c r="DC101" s="25"/>
      <c r="DD101" s="25"/>
      <c r="DE101" s="25"/>
      <c r="DF101" s="25"/>
      <c r="DG101" s="25"/>
      <c r="DH101" s="110"/>
      <c r="DI101" s="110"/>
      <c r="DJ101" s="25"/>
      <c r="DK101" s="25"/>
      <c r="DL101" s="25"/>
      <c r="DM101" s="25"/>
      <c r="DN101" s="25"/>
      <c r="DO101" s="110"/>
      <c r="DP101" s="110"/>
      <c r="DQ101" s="25"/>
      <c r="DR101" s="25"/>
      <c r="DS101" s="25"/>
      <c r="DT101" s="25"/>
      <c r="DU101" s="110"/>
      <c r="DV101" s="110"/>
      <c r="DW101" s="110"/>
      <c r="DX101" s="25"/>
      <c r="DY101" s="25"/>
      <c r="DZ101" s="25"/>
      <c r="EA101" s="25"/>
      <c r="EB101" s="110" t="s">
        <v>445</v>
      </c>
      <c r="EC101" s="110"/>
      <c r="ED101" s="110"/>
      <c r="EE101" s="25"/>
      <c r="EF101" s="25"/>
      <c r="EG101" s="25"/>
      <c r="EH101" s="110" t="s">
        <v>445</v>
      </c>
      <c r="EI101" s="110" t="s">
        <v>445</v>
      </c>
      <c r="EJ101" s="110"/>
      <c r="EK101" s="110"/>
      <c r="EL101" s="25"/>
      <c r="EM101" s="25"/>
      <c r="EN101" s="25"/>
      <c r="EO101" s="25"/>
      <c r="EP101" s="25"/>
      <c r="EQ101" s="110"/>
      <c r="ER101" s="110"/>
      <c r="ES101" s="110" t="s">
        <v>445</v>
      </c>
      <c r="ET101" s="25"/>
      <c r="EU101" s="25"/>
      <c r="EV101" s="25"/>
      <c r="EW101" s="25"/>
      <c r="EX101" s="110"/>
      <c r="EY101" s="110"/>
      <c r="EZ101" s="25"/>
      <c r="FA101" s="25"/>
      <c r="FB101" s="25"/>
      <c r="FC101" s="25"/>
      <c r="FD101" s="25"/>
      <c r="FE101" s="110"/>
      <c r="FF101" s="110"/>
      <c r="FG101" s="25"/>
      <c r="FH101" s="25"/>
      <c r="FI101" s="25"/>
      <c r="FJ101" s="25"/>
      <c r="FK101" s="25"/>
      <c r="FL101" s="110"/>
      <c r="FM101" s="110"/>
      <c r="FN101" s="25"/>
      <c r="FO101" s="25"/>
      <c r="FP101" s="25"/>
      <c r="FQ101" s="25"/>
      <c r="FR101" s="25"/>
      <c r="FS101" s="110"/>
      <c r="FT101" s="110"/>
      <c r="FU101" s="25"/>
      <c r="FV101" s="25"/>
      <c r="FW101" s="25"/>
      <c r="FX101" s="25"/>
      <c r="FY101" s="25"/>
      <c r="FZ101" s="110"/>
      <c r="GA101" s="110"/>
      <c r="GB101" s="25"/>
      <c r="GC101" s="25"/>
      <c r="GD101" s="25"/>
      <c r="GE101" s="25"/>
      <c r="GF101" s="25"/>
      <c r="GG101" s="110"/>
      <c r="GH101" s="110"/>
      <c r="GI101" s="25"/>
      <c r="GJ101" s="25"/>
      <c r="GK101" s="25"/>
      <c r="GL101" s="25"/>
      <c r="GM101" s="25"/>
      <c r="GN101" s="110"/>
      <c r="GO101" s="110"/>
      <c r="GP101" s="110"/>
      <c r="GQ101" s="110" t="s">
        <v>445</v>
      </c>
      <c r="GR101" s="25"/>
      <c r="GS101" s="25"/>
      <c r="GT101" s="25"/>
      <c r="GU101" s="110"/>
      <c r="GV101" s="110"/>
      <c r="GW101" s="25"/>
      <c r="GX101" s="25"/>
      <c r="GY101" s="25"/>
      <c r="GZ101" s="25"/>
      <c r="HA101" s="25"/>
      <c r="HB101" s="110"/>
      <c r="HC101" s="110"/>
      <c r="HD101" s="25"/>
      <c r="HE101" s="25"/>
      <c r="HF101" s="25"/>
      <c r="HG101" s="25"/>
      <c r="HH101" s="25"/>
      <c r="HI101" s="110"/>
      <c r="HJ101" s="110"/>
      <c r="HK101" s="25"/>
      <c r="HL101" s="25"/>
      <c r="HM101" s="25"/>
      <c r="HN101" s="25"/>
      <c r="HO101" s="25"/>
      <c r="HP101" s="110"/>
      <c r="HQ101" s="110"/>
      <c r="HR101" s="25"/>
      <c r="HS101" s="25"/>
      <c r="HT101" s="25"/>
      <c r="HU101" s="25"/>
      <c r="HV101" s="25"/>
      <c r="HW101" s="110"/>
      <c r="HX101" s="110"/>
      <c r="HY101" s="25"/>
      <c r="HZ101" s="25"/>
      <c r="IA101" s="25"/>
      <c r="IB101" s="25"/>
      <c r="IC101" s="25"/>
      <c r="ID101" s="110"/>
      <c r="IE101" s="110"/>
      <c r="IF101" s="25"/>
      <c r="IG101" s="25"/>
      <c r="IH101" s="25"/>
      <c r="II101" s="25"/>
      <c r="IJ101" s="25"/>
      <c r="IK101" s="110"/>
      <c r="IL101" s="110"/>
      <c r="IM101" s="25"/>
      <c r="IN101" s="25"/>
      <c r="IO101" s="25"/>
      <c r="IP101" s="25"/>
      <c r="IQ101" s="25"/>
      <c r="IR101" s="110"/>
      <c r="IS101" s="110"/>
      <c r="IT101" s="25"/>
      <c r="IU101" s="25"/>
      <c r="IV101" s="25"/>
      <c r="IW101" s="25"/>
      <c r="IX101" s="25"/>
      <c r="IY101" s="110"/>
      <c r="IZ101" s="110"/>
      <c r="JA101" s="25"/>
      <c r="JB101" s="25"/>
      <c r="JC101" s="25"/>
      <c r="JD101" s="25"/>
      <c r="JE101" s="25"/>
      <c r="JF101" s="110"/>
      <c r="JG101" s="110"/>
      <c r="JH101" s="25"/>
      <c r="JI101" s="25"/>
      <c r="JJ101" s="25"/>
      <c r="JK101" s="25"/>
      <c r="JL101" s="25"/>
      <c r="JM101" s="110"/>
      <c r="JN101" s="110"/>
      <c r="JO101" s="25"/>
      <c r="JP101" s="25"/>
      <c r="JQ101" s="25"/>
      <c r="JR101" s="25"/>
      <c r="JS101" s="25"/>
      <c r="JT101" s="110"/>
      <c r="JU101" s="110"/>
      <c r="JV101" s="25"/>
      <c r="JW101" s="25"/>
      <c r="JX101" s="25"/>
      <c r="JY101" s="25"/>
      <c r="JZ101" s="25"/>
      <c r="KA101" s="110"/>
      <c r="KB101" s="110"/>
      <c r="KC101" s="25"/>
      <c r="KD101" s="25"/>
      <c r="KE101" s="25"/>
      <c r="KF101" s="25"/>
      <c r="KG101" s="25"/>
      <c r="KH101" s="110"/>
      <c r="KI101" s="110"/>
      <c r="KJ101" s="25"/>
      <c r="KK101" s="25"/>
      <c r="KL101" s="25"/>
      <c r="KM101" s="25"/>
      <c r="KN101" s="25"/>
      <c r="KO101" s="110"/>
      <c r="KP101" s="110"/>
      <c r="KQ101" s="25"/>
      <c r="KR101" s="25"/>
      <c r="KS101" s="25"/>
      <c r="KT101" s="25"/>
      <c r="KU101" s="25"/>
      <c r="KV101" s="110"/>
      <c r="KW101" s="110"/>
      <c r="KX101" s="25"/>
      <c r="KY101" s="25"/>
      <c r="KZ101" s="25"/>
      <c r="LA101" s="25"/>
      <c r="LB101" s="25"/>
      <c r="LC101" s="110"/>
      <c r="LD101" s="110"/>
      <c r="LE101" s="25"/>
      <c r="LF101" s="25"/>
      <c r="LG101" s="110" t="s">
        <v>445</v>
      </c>
      <c r="LH101" s="25"/>
      <c r="LI101" s="25"/>
      <c r="LJ101" s="110"/>
      <c r="LK101" s="110"/>
      <c r="LL101" s="25"/>
      <c r="LM101" s="25"/>
      <c r="LN101" s="25"/>
      <c r="LO101" s="25"/>
      <c r="LP101" s="25"/>
      <c r="LQ101" s="110"/>
      <c r="LR101" s="110"/>
      <c r="LS101" s="25"/>
      <c r="LT101" s="25"/>
      <c r="LU101" s="25"/>
      <c r="LV101" s="25"/>
      <c r="LW101" s="25"/>
      <c r="LX101" s="110"/>
      <c r="LY101" s="110"/>
      <c r="LZ101" s="25"/>
      <c r="MA101" s="25"/>
      <c r="MB101" s="25"/>
      <c r="MC101" s="25"/>
      <c r="MD101" s="25"/>
      <c r="ME101" s="110"/>
      <c r="MF101" s="110"/>
      <c r="MG101" s="25"/>
      <c r="MH101" s="25"/>
      <c r="MI101" s="25"/>
      <c r="MJ101" s="25"/>
      <c r="MK101" s="25"/>
      <c r="ML101" s="110"/>
      <c r="MM101" s="110"/>
      <c r="MN101" s="25"/>
      <c r="MO101" s="25"/>
      <c r="MP101" s="25"/>
      <c r="MQ101" s="25"/>
      <c r="MR101" s="25"/>
      <c r="MS101" s="110"/>
      <c r="MT101" s="110"/>
      <c r="MU101" s="25"/>
      <c r="MV101" s="25"/>
      <c r="MW101" s="25"/>
      <c r="MX101" s="25"/>
      <c r="MY101" s="25"/>
      <c r="MZ101" s="110"/>
      <c r="NA101" s="110"/>
      <c r="NB101" s="25"/>
      <c r="NC101" s="25"/>
      <c r="ND101" s="25"/>
      <c r="NE101" s="129"/>
      <c r="NF101" s="111"/>
      <c r="NG101" s="8">
        <f t="shared" si="54"/>
        <v>0</v>
      </c>
      <c r="NH101" s="32" cm="1">
        <f t="array" ref="NH101">NETWORKDAYS($I$2,$AI$2)- SUM(COUNTIF(I101:AI101,{"I";"F";"CP";"R";"P";"AC";"AM"}))</f>
        <v>20</v>
      </c>
      <c r="NI101" s="138">
        <f t="shared" si="55"/>
        <v>0</v>
      </c>
      <c r="NJ101" s="8">
        <f t="shared" si="56"/>
        <v>0</v>
      </c>
      <c r="NK101" s="32" cm="1">
        <f t="array" ref="NK101">NETWORKDAYS($AJ$2,$BK$2)- SUM(COUNTIF(AJ101:BK101,{"I";"F";"CP";"R";"P";"AC";"AM"}))</f>
        <v>20</v>
      </c>
      <c r="NL101" s="138">
        <f t="shared" si="57"/>
        <v>0</v>
      </c>
      <c r="NM101" s="8">
        <f t="shared" si="58"/>
        <v>0</v>
      </c>
      <c r="NN101" s="32" cm="1">
        <f t="array" ref="NN101">NETWORKDAYS($BL$2,$CP$2)- SUM(COUNTIF(BL101:CP101,{"I";"F";"CP";"R";"P";"AC";"AM"}))</f>
        <v>22</v>
      </c>
      <c r="NO101" s="138">
        <f t="shared" si="59"/>
        <v>0</v>
      </c>
      <c r="NP101" s="32">
        <f t="shared" si="53"/>
        <v>0</v>
      </c>
      <c r="NQ101" s="32" cm="1">
        <f t="array" ref="NQ101">NETWORKDAYS($CQ$2,$DT$2,$CV$2)- SUM(COUNTIF(CQ101:DT101,{"I";"F";"CP";"R";"P";"AC";"AM"}))</f>
        <v>21</v>
      </c>
      <c r="NR101" s="138">
        <f t="shared" si="60"/>
        <v>0</v>
      </c>
      <c r="NS101" s="8">
        <f t="shared" si="61"/>
        <v>0</v>
      </c>
      <c r="NT101" s="32" cm="1">
        <f t="array" ref="NT101">NETWORKDAYS($DV$2,$EY$2)-SUM(COUNTIF(DV101:EY101,{"I";"F";"CP";"R";"P";"AC";"AM"}))</f>
        <v>16</v>
      </c>
      <c r="NU101" s="138">
        <f t="shared" si="62"/>
        <v>0</v>
      </c>
      <c r="NV101" s="8">
        <f t="shared" si="63"/>
        <v>0</v>
      </c>
      <c r="NW101" s="32" cm="1">
        <f t="array" ref="NW101">NETWORKDAYS($EZ$2,$GC$2)-SUM(COUNTIF(EZ181:GC181,{"I";"F";"CP";"R";"P";"AC";"AM"}))</f>
        <v>22</v>
      </c>
      <c r="NX101" s="138">
        <f t="shared" si="64"/>
        <v>0</v>
      </c>
      <c r="NY101" s="8">
        <f t="shared" si="65"/>
        <v>0</v>
      </c>
      <c r="NZ101" s="32" cm="1">
        <f t="array" ref="NZ101">NETWORKDAYS($GD$2,$HH$2,$GQ$2)-SUM(COUNTIF(GD101:HH101,{"I";"F";"CP";"R";"P";"AC";"AM"}))</f>
        <v>21</v>
      </c>
      <c r="OA101" s="138">
        <f t="shared" si="66"/>
        <v>0</v>
      </c>
      <c r="OB101" s="8">
        <f t="shared" si="67"/>
        <v>0</v>
      </c>
      <c r="OC101" s="32" cm="1">
        <f t="array" ref="OC101">NETWORKDAYS($HI$2,$IM$2)-SUM(COUNTIF(HI101:IM101,{"I";"F";"CP";"R";"P";"AC";"AM"}))</f>
        <v>21</v>
      </c>
      <c r="OD101" s="138">
        <f t="shared" si="68"/>
        <v>0</v>
      </c>
      <c r="OE101" s="8">
        <f t="shared" si="69"/>
        <v>0</v>
      </c>
      <c r="OF101" s="32" cm="1">
        <f t="array" ref="OF101">NETWORKDAYS($IN$2,$JQ$2)-SUM(COUNTIF(IN101:JQ101,{"I";"F";"CP";"R";"P";"AC";"AM"}))</f>
        <v>22</v>
      </c>
      <c r="OG101" s="138">
        <f t="shared" si="70"/>
        <v>0</v>
      </c>
      <c r="OH101" s="8">
        <f t="shared" si="71"/>
        <v>0</v>
      </c>
      <c r="OI101" s="32" cm="1">
        <f t="array" ref="OI101">NETWORKDAYS($JR$2,$KV$2)-SUM(COUNTIF(JR101:KV101,{"I";"F";"CP";"R";"P";"AC";"AM"}))</f>
        <v>22</v>
      </c>
      <c r="OJ101" s="138">
        <f t="shared" si="72"/>
        <v>0</v>
      </c>
      <c r="OK101" s="8">
        <f t="shared" si="73"/>
        <v>0</v>
      </c>
      <c r="OL101" s="32" cm="1">
        <f t="array" ref="OL101">NETWORKDAYS($KW$2,$LZ$2,$LG$2)-SUM(COUNTIF(KW101:LZ101,{"I";"F";"CP";"R";"P";"AC";"AM"}))</f>
        <v>19</v>
      </c>
      <c r="OM101" s="138">
        <f t="shared" si="74"/>
        <v>0</v>
      </c>
      <c r="ON101" s="8">
        <f t="shared" si="75"/>
        <v>0</v>
      </c>
      <c r="OO101" s="32" cm="1">
        <f t="array" ref="OO101">NETWORKDAYS($MA$2,$MR$2)-SUM(COUNTIF(MA101:MR101,{"I";"F";"CP";"R";"P";"AC";"AM"}))</f>
        <v>14</v>
      </c>
      <c r="OP101" s="138">
        <f t="shared" si="76"/>
        <v>0</v>
      </c>
      <c r="OQ101" s="94">
        <f t="shared" si="77"/>
        <v>0</v>
      </c>
      <c r="OR101" s="94">
        <f t="shared" si="78"/>
        <v>240</v>
      </c>
      <c r="OS101" s="138">
        <f t="shared" si="79"/>
        <v>0</v>
      </c>
    </row>
    <row r="102" spans="1:409" ht="18" hidden="1" customHeight="1" x14ac:dyDescent="0.25">
      <c r="A102" s="95" t="s">
        <v>168</v>
      </c>
      <c r="B102" s="95" t="s">
        <v>168</v>
      </c>
      <c r="C102" s="89" t="s">
        <v>166</v>
      </c>
      <c r="D102" s="89" t="s">
        <v>86</v>
      </c>
      <c r="E102" s="128"/>
      <c r="F102" s="110"/>
      <c r="G102" s="110"/>
      <c r="H102" s="110"/>
      <c r="I102" s="25"/>
      <c r="J102" s="25"/>
      <c r="K102" s="25"/>
      <c r="L102" s="25"/>
      <c r="M102" s="25"/>
      <c r="N102" s="110"/>
      <c r="O102" s="110"/>
      <c r="P102" s="25"/>
      <c r="Q102" s="25"/>
      <c r="R102" s="25"/>
      <c r="S102" s="25"/>
      <c r="T102" s="25"/>
      <c r="U102" s="110"/>
      <c r="V102" s="110"/>
      <c r="W102" s="25"/>
      <c r="X102" s="25"/>
      <c r="Y102" s="25"/>
      <c r="Z102" s="25"/>
      <c r="AA102" s="25"/>
      <c r="AB102" s="110"/>
      <c r="AC102" s="110"/>
      <c r="AD102" s="25"/>
      <c r="AE102" s="25"/>
      <c r="AF102" s="25"/>
      <c r="AG102" s="25"/>
      <c r="AH102" s="25"/>
      <c r="AI102" s="110"/>
      <c r="AJ102" s="110"/>
      <c r="AK102" s="25"/>
      <c r="AL102" s="25"/>
      <c r="AM102" s="25"/>
      <c r="AN102" s="25"/>
      <c r="AO102" s="25"/>
      <c r="AP102" s="110"/>
      <c r="AQ102" s="110"/>
      <c r="AR102" s="25">
        <v>1</v>
      </c>
      <c r="AS102" s="25">
        <v>1</v>
      </c>
      <c r="AT102" s="25"/>
      <c r="AU102" s="25"/>
      <c r="AV102" s="25">
        <v>1</v>
      </c>
      <c r="AW102" s="110"/>
      <c r="AX102" s="110"/>
      <c r="AY102" s="25"/>
      <c r="AZ102" s="25">
        <v>1</v>
      </c>
      <c r="BA102" s="25">
        <v>1</v>
      </c>
      <c r="BB102" s="25">
        <v>1</v>
      </c>
      <c r="BC102" s="25"/>
      <c r="BD102" s="110"/>
      <c r="BE102" s="110"/>
      <c r="BF102" s="25"/>
      <c r="BG102" s="25"/>
      <c r="BH102" s="25"/>
      <c r="BI102" s="25"/>
      <c r="BJ102" s="25"/>
      <c r="BK102" s="110"/>
      <c r="BL102" s="110"/>
      <c r="BM102" s="25"/>
      <c r="BN102" s="25"/>
      <c r="BO102" s="25"/>
      <c r="BP102" s="25"/>
      <c r="BQ102" s="25"/>
      <c r="BR102" s="110"/>
      <c r="BS102" s="110"/>
      <c r="BT102" s="25"/>
      <c r="BU102" s="25"/>
      <c r="BV102" s="25"/>
      <c r="BW102" s="25"/>
      <c r="BX102" s="25"/>
      <c r="BY102" s="110"/>
      <c r="BZ102" s="110"/>
      <c r="CA102" s="25"/>
      <c r="CB102" s="25"/>
      <c r="CC102" s="25"/>
      <c r="CD102" s="25"/>
      <c r="CE102" s="25"/>
      <c r="CF102" s="110"/>
      <c r="CG102" s="110"/>
      <c r="CH102" s="25"/>
      <c r="CI102" s="25"/>
      <c r="CJ102" s="25"/>
      <c r="CK102" s="25"/>
      <c r="CL102" s="25"/>
      <c r="CM102" s="110"/>
      <c r="CN102" s="110"/>
      <c r="CO102" s="25"/>
      <c r="CP102" s="25"/>
      <c r="CQ102" s="25"/>
      <c r="CR102" s="25"/>
      <c r="CS102" s="25"/>
      <c r="CT102" s="110"/>
      <c r="CU102" s="110"/>
      <c r="CV102" s="110"/>
      <c r="CW102" s="25"/>
      <c r="CX102" s="25"/>
      <c r="CY102" s="25"/>
      <c r="CZ102" s="25"/>
      <c r="DA102" s="110"/>
      <c r="DB102" s="110"/>
      <c r="DC102" s="25"/>
      <c r="DD102" s="25"/>
      <c r="DE102" s="25"/>
      <c r="DF102" s="25"/>
      <c r="DG102" s="25"/>
      <c r="DH102" s="110"/>
      <c r="DI102" s="110"/>
      <c r="DJ102" s="25"/>
      <c r="DK102" s="25"/>
      <c r="DL102" s="25"/>
      <c r="DM102" s="25"/>
      <c r="DN102" s="25"/>
      <c r="DO102" s="110"/>
      <c r="DP102" s="110"/>
      <c r="DQ102" s="25"/>
      <c r="DR102" s="25"/>
      <c r="DS102" s="25"/>
      <c r="DT102" s="25"/>
      <c r="DU102" s="110"/>
      <c r="DV102" s="110"/>
      <c r="DW102" s="110"/>
      <c r="DX102" s="25"/>
      <c r="DY102" s="25"/>
      <c r="DZ102" s="25"/>
      <c r="EA102" s="25"/>
      <c r="EB102" s="110" t="s">
        <v>445</v>
      </c>
      <c r="EC102" s="110"/>
      <c r="ED102" s="110"/>
      <c r="EE102" s="25"/>
      <c r="EF102" s="25"/>
      <c r="EG102" s="25"/>
      <c r="EH102" s="110" t="s">
        <v>445</v>
      </c>
      <c r="EI102" s="110" t="s">
        <v>445</v>
      </c>
      <c r="EJ102" s="110"/>
      <c r="EK102" s="110"/>
      <c r="EL102" s="25"/>
      <c r="EM102" s="25"/>
      <c r="EN102" s="25"/>
      <c r="EO102" s="25"/>
      <c r="EP102" s="25"/>
      <c r="EQ102" s="110"/>
      <c r="ER102" s="110"/>
      <c r="ES102" s="110" t="s">
        <v>445</v>
      </c>
      <c r="ET102" s="25"/>
      <c r="EU102" s="25"/>
      <c r="EV102" s="25"/>
      <c r="EW102" s="25"/>
      <c r="EX102" s="110"/>
      <c r="EY102" s="110"/>
      <c r="EZ102" s="25"/>
      <c r="FA102" s="25"/>
      <c r="FB102" s="25"/>
      <c r="FC102" s="25"/>
      <c r="FD102" s="25"/>
      <c r="FE102" s="110"/>
      <c r="FF102" s="110"/>
      <c r="FG102" s="25"/>
      <c r="FH102" s="25"/>
      <c r="FI102" s="25"/>
      <c r="FJ102" s="25"/>
      <c r="FK102" s="25"/>
      <c r="FL102" s="110"/>
      <c r="FM102" s="110"/>
      <c r="FN102" s="25"/>
      <c r="FO102" s="25"/>
      <c r="FP102" s="25"/>
      <c r="FQ102" s="25"/>
      <c r="FR102" s="25"/>
      <c r="FS102" s="110"/>
      <c r="FT102" s="110"/>
      <c r="FU102" s="25"/>
      <c r="FV102" s="25"/>
      <c r="FW102" s="25"/>
      <c r="FX102" s="25"/>
      <c r="FY102" s="25"/>
      <c r="FZ102" s="110"/>
      <c r="GA102" s="110"/>
      <c r="GB102" s="25"/>
      <c r="GC102" s="25"/>
      <c r="GD102" s="25"/>
      <c r="GE102" s="25"/>
      <c r="GF102" s="25"/>
      <c r="GG102" s="110"/>
      <c r="GH102" s="110"/>
      <c r="GI102" s="25"/>
      <c r="GJ102" s="25"/>
      <c r="GK102" s="25"/>
      <c r="GL102" s="25"/>
      <c r="GM102" s="25"/>
      <c r="GN102" s="110"/>
      <c r="GO102" s="110"/>
      <c r="GP102" s="110"/>
      <c r="GQ102" s="110" t="s">
        <v>445</v>
      </c>
      <c r="GR102" s="25"/>
      <c r="GS102" s="25"/>
      <c r="GT102" s="25"/>
      <c r="GU102" s="110"/>
      <c r="GV102" s="110"/>
      <c r="GW102" s="25"/>
      <c r="GX102" s="25"/>
      <c r="GY102" s="25"/>
      <c r="GZ102" s="25"/>
      <c r="HA102" s="25"/>
      <c r="HB102" s="110"/>
      <c r="HC102" s="110"/>
      <c r="HD102" s="25"/>
      <c r="HE102" s="25"/>
      <c r="HF102" s="25"/>
      <c r="HG102" s="25"/>
      <c r="HH102" s="25"/>
      <c r="HI102" s="110"/>
      <c r="HJ102" s="110"/>
      <c r="HK102" s="25"/>
      <c r="HL102" s="25"/>
      <c r="HM102" s="25"/>
      <c r="HN102" s="25"/>
      <c r="HO102" s="25"/>
      <c r="HP102" s="110"/>
      <c r="HQ102" s="110"/>
      <c r="HR102" s="25"/>
      <c r="HS102" s="25"/>
      <c r="HT102" s="25"/>
      <c r="HU102" s="25"/>
      <c r="HV102" s="25"/>
      <c r="HW102" s="110"/>
      <c r="HX102" s="110"/>
      <c r="HY102" s="25"/>
      <c r="HZ102" s="25"/>
      <c r="IA102" s="25"/>
      <c r="IB102" s="25"/>
      <c r="IC102" s="25"/>
      <c r="ID102" s="110"/>
      <c r="IE102" s="110"/>
      <c r="IF102" s="25"/>
      <c r="IG102" s="25"/>
      <c r="IH102" s="25"/>
      <c r="II102" s="25"/>
      <c r="IJ102" s="25"/>
      <c r="IK102" s="110"/>
      <c r="IL102" s="110"/>
      <c r="IM102" s="25"/>
      <c r="IN102" s="25"/>
      <c r="IO102" s="25"/>
      <c r="IP102" s="25"/>
      <c r="IQ102" s="25"/>
      <c r="IR102" s="110"/>
      <c r="IS102" s="110"/>
      <c r="IT102" s="25"/>
      <c r="IU102" s="25"/>
      <c r="IV102" s="25"/>
      <c r="IW102" s="25"/>
      <c r="IX102" s="25"/>
      <c r="IY102" s="110"/>
      <c r="IZ102" s="110"/>
      <c r="JA102" s="25"/>
      <c r="JB102" s="25"/>
      <c r="JC102" s="25"/>
      <c r="JD102" s="25"/>
      <c r="JE102" s="25"/>
      <c r="JF102" s="110"/>
      <c r="JG102" s="110"/>
      <c r="JH102" s="25"/>
      <c r="JI102" s="25"/>
      <c r="JJ102" s="25"/>
      <c r="JK102" s="25"/>
      <c r="JL102" s="25"/>
      <c r="JM102" s="110"/>
      <c r="JN102" s="110"/>
      <c r="JO102" s="25"/>
      <c r="JP102" s="25"/>
      <c r="JQ102" s="25"/>
      <c r="JR102" s="25"/>
      <c r="JS102" s="25"/>
      <c r="JT102" s="110"/>
      <c r="JU102" s="110"/>
      <c r="JV102" s="25"/>
      <c r="JW102" s="25"/>
      <c r="JX102" s="25"/>
      <c r="JY102" s="25"/>
      <c r="JZ102" s="25"/>
      <c r="KA102" s="110"/>
      <c r="KB102" s="110"/>
      <c r="KC102" s="25"/>
      <c r="KD102" s="25"/>
      <c r="KE102" s="25"/>
      <c r="KF102" s="25"/>
      <c r="KG102" s="25"/>
      <c r="KH102" s="110"/>
      <c r="KI102" s="110"/>
      <c r="KJ102" s="25"/>
      <c r="KK102" s="25"/>
      <c r="KL102" s="25"/>
      <c r="KM102" s="25"/>
      <c r="KN102" s="25"/>
      <c r="KO102" s="110"/>
      <c r="KP102" s="110"/>
      <c r="KQ102" s="25"/>
      <c r="KR102" s="25"/>
      <c r="KS102" s="25"/>
      <c r="KT102" s="25"/>
      <c r="KU102" s="25"/>
      <c r="KV102" s="110"/>
      <c r="KW102" s="110"/>
      <c r="KX102" s="25"/>
      <c r="KY102" s="25"/>
      <c r="KZ102" s="25"/>
      <c r="LA102" s="25"/>
      <c r="LB102" s="25"/>
      <c r="LC102" s="110"/>
      <c r="LD102" s="110"/>
      <c r="LE102" s="25"/>
      <c r="LF102" s="25"/>
      <c r="LG102" s="110" t="s">
        <v>445</v>
      </c>
      <c r="LH102" s="25"/>
      <c r="LI102" s="25"/>
      <c r="LJ102" s="110"/>
      <c r="LK102" s="110"/>
      <c r="LL102" s="25"/>
      <c r="LM102" s="25"/>
      <c r="LN102" s="25"/>
      <c r="LO102" s="25"/>
      <c r="LP102" s="25"/>
      <c r="LQ102" s="110"/>
      <c r="LR102" s="110"/>
      <c r="LS102" s="25"/>
      <c r="LT102" s="25"/>
      <c r="LU102" s="25"/>
      <c r="LV102" s="25"/>
      <c r="LW102" s="25"/>
      <c r="LX102" s="110"/>
      <c r="LY102" s="110"/>
      <c r="LZ102" s="25"/>
      <c r="MA102" s="25"/>
      <c r="MB102" s="25"/>
      <c r="MC102" s="25"/>
      <c r="MD102" s="25"/>
      <c r="ME102" s="110"/>
      <c r="MF102" s="110"/>
      <c r="MG102" s="25"/>
      <c r="MH102" s="25"/>
      <c r="MI102" s="25"/>
      <c r="MJ102" s="25"/>
      <c r="MK102" s="25"/>
      <c r="ML102" s="110"/>
      <c r="MM102" s="110"/>
      <c r="MN102" s="25"/>
      <c r="MO102" s="25"/>
      <c r="MP102" s="25"/>
      <c r="MQ102" s="25"/>
      <c r="MR102" s="25"/>
      <c r="MS102" s="110"/>
      <c r="MT102" s="110"/>
      <c r="MU102" s="25"/>
      <c r="MV102" s="25"/>
      <c r="MW102" s="25"/>
      <c r="MX102" s="25"/>
      <c r="MY102" s="25"/>
      <c r="MZ102" s="110"/>
      <c r="NA102" s="110"/>
      <c r="NB102" s="25"/>
      <c r="NC102" s="25"/>
      <c r="ND102" s="25"/>
      <c r="NE102" s="129"/>
      <c r="NF102" s="111"/>
      <c r="NG102" s="8">
        <f t="shared" si="54"/>
        <v>0</v>
      </c>
      <c r="NH102" s="32" cm="1">
        <f t="array" ref="NH102">NETWORKDAYS($I$2,$AI$2)- SUM(COUNTIF(I102:AI102,{"I";"F";"CP";"R";"P";"AC";"AM"}))</f>
        <v>20</v>
      </c>
      <c r="NI102" s="138">
        <f t="shared" si="55"/>
        <v>0</v>
      </c>
      <c r="NJ102" s="8">
        <f t="shared" si="56"/>
        <v>6</v>
      </c>
      <c r="NK102" s="32" cm="1">
        <f t="array" ref="NK102">NETWORKDAYS($AJ$2,$BK$2)- SUM(COUNTIF(AJ102:BK102,{"I";"F";"CP";"R";"P";"AC";"AM"}))</f>
        <v>20</v>
      </c>
      <c r="NL102" s="138">
        <f t="shared" si="57"/>
        <v>0.3</v>
      </c>
      <c r="NM102" s="8">
        <f t="shared" si="58"/>
        <v>0</v>
      </c>
      <c r="NN102" s="32" cm="1">
        <f t="array" ref="NN102">NETWORKDAYS($BL$2,$CP$2)- SUM(COUNTIF(BL102:CP102,{"I";"F";"CP";"R";"P";"AC";"AM"}))</f>
        <v>22</v>
      </c>
      <c r="NO102" s="138">
        <f t="shared" si="59"/>
        <v>0</v>
      </c>
      <c r="NP102" s="8">
        <f t="shared" si="53"/>
        <v>0</v>
      </c>
      <c r="NQ102" s="32" cm="1">
        <f t="array" ref="NQ102">NETWORKDAYS($CQ$2,$DT$2,$CV$2)- SUM(COUNTIF(CQ102:DT102,{"I";"F";"CP";"R";"P";"AC";"AM"}))</f>
        <v>21</v>
      </c>
      <c r="NR102" s="138">
        <f t="shared" si="60"/>
        <v>0</v>
      </c>
      <c r="NS102" s="8">
        <f t="shared" si="61"/>
        <v>0</v>
      </c>
      <c r="NT102" s="32" cm="1">
        <f t="array" ref="NT102">NETWORKDAYS($DV$2,$EY$2)-SUM(COUNTIF(DV102:EY102,{"I";"F";"CP";"R";"P";"AC";"AM"}))</f>
        <v>16</v>
      </c>
      <c r="NU102" s="138">
        <f t="shared" si="62"/>
        <v>0</v>
      </c>
      <c r="NV102" s="8">
        <f t="shared" si="63"/>
        <v>0</v>
      </c>
      <c r="NW102" s="32" cm="1">
        <f t="array" ref="NW102">NETWORKDAYS($EZ$2,$GC$2)-SUM(COUNTIF(EZ182:GC182,{"I";"F";"CP";"R";"P";"AC";"AM"}))</f>
        <v>22</v>
      </c>
      <c r="NX102" s="138">
        <f t="shared" si="64"/>
        <v>0</v>
      </c>
      <c r="NY102" s="8">
        <f t="shared" si="65"/>
        <v>0</v>
      </c>
      <c r="NZ102" s="32" cm="1">
        <f t="array" ref="NZ102">NETWORKDAYS($GD$2,$HH$2,$GQ$2)-SUM(COUNTIF(GD102:HH102,{"I";"F";"CP";"R";"P";"AC";"AM"}))</f>
        <v>21</v>
      </c>
      <c r="OA102" s="138">
        <f t="shared" si="66"/>
        <v>0</v>
      </c>
      <c r="OB102" s="8">
        <f t="shared" si="67"/>
        <v>0</v>
      </c>
      <c r="OC102" s="32" cm="1">
        <f t="array" ref="OC102">NETWORKDAYS($HI$2,$IM$2)-SUM(COUNTIF(HI102:IM102,{"I";"F";"CP";"R";"P";"AC";"AM"}))</f>
        <v>21</v>
      </c>
      <c r="OD102" s="138">
        <f t="shared" si="68"/>
        <v>0</v>
      </c>
      <c r="OE102" s="8">
        <f t="shared" si="69"/>
        <v>0</v>
      </c>
      <c r="OF102" s="32" cm="1">
        <f t="array" ref="OF102">NETWORKDAYS($IN$2,$JQ$2)-SUM(COUNTIF(IN102:JQ102,{"I";"F";"CP";"R";"P";"AC";"AM"}))</f>
        <v>22</v>
      </c>
      <c r="OG102" s="138">
        <f t="shared" si="70"/>
        <v>0</v>
      </c>
      <c r="OH102" s="8">
        <f t="shared" si="71"/>
        <v>0</v>
      </c>
      <c r="OI102" s="32" cm="1">
        <f t="array" ref="OI102">NETWORKDAYS($JR$2,$KV$2)-SUM(COUNTIF(JR102:KV102,{"I";"F";"CP";"R";"P";"AC";"AM"}))</f>
        <v>22</v>
      </c>
      <c r="OJ102" s="138">
        <f t="shared" si="72"/>
        <v>0</v>
      </c>
      <c r="OK102" s="8">
        <f t="shared" si="73"/>
        <v>0</v>
      </c>
      <c r="OL102" s="32" cm="1">
        <f t="array" ref="OL102">NETWORKDAYS($KW$2,$LZ$2,$LG$2)-SUM(COUNTIF(KW102:LZ102,{"I";"F";"CP";"R";"P";"AC";"AM"}))</f>
        <v>19</v>
      </c>
      <c r="OM102" s="138">
        <f t="shared" si="74"/>
        <v>0</v>
      </c>
      <c r="ON102" s="8">
        <f t="shared" si="75"/>
        <v>0</v>
      </c>
      <c r="OO102" s="32" cm="1">
        <f t="array" ref="OO102">NETWORKDAYS($MA$2,$MR$2)-SUM(COUNTIF(MA102:MR102,{"I";"F";"CP";"R";"P";"AC";"AM"}))</f>
        <v>14</v>
      </c>
      <c r="OP102" s="138">
        <f t="shared" si="76"/>
        <v>0</v>
      </c>
      <c r="OQ102" s="94">
        <f t="shared" si="77"/>
        <v>6</v>
      </c>
      <c r="OR102" s="94">
        <f t="shared" si="78"/>
        <v>240</v>
      </c>
      <c r="OS102" s="138">
        <f t="shared" si="79"/>
        <v>2.5000000000000001E-2</v>
      </c>
    </row>
    <row r="103" spans="1:409" ht="18" hidden="1" customHeight="1" x14ac:dyDescent="0.25">
      <c r="A103" s="95" t="s">
        <v>192</v>
      </c>
      <c r="B103" s="95" t="s">
        <v>192</v>
      </c>
      <c r="C103" s="89" t="s">
        <v>166</v>
      </c>
      <c r="D103" s="89" t="s">
        <v>288</v>
      </c>
      <c r="E103" s="128"/>
      <c r="F103" s="110"/>
      <c r="G103" s="110"/>
      <c r="H103" s="110"/>
      <c r="I103" s="25"/>
      <c r="J103" s="25"/>
      <c r="K103" s="25"/>
      <c r="L103" s="25"/>
      <c r="M103" s="25"/>
      <c r="N103" s="110"/>
      <c r="O103" s="110"/>
      <c r="P103" s="25"/>
      <c r="Q103" s="25"/>
      <c r="R103" s="25"/>
      <c r="S103" s="25"/>
      <c r="T103" s="25"/>
      <c r="U103" s="110"/>
      <c r="V103" s="110"/>
      <c r="W103" s="25"/>
      <c r="X103" s="25"/>
      <c r="Y103" s="25"/>
      <c r="Z103" s="25"/>
      <c r="AA103" s="25"/>
      <c r="AB103" s="110"/>
      <c r="AC103" s="110"/>
      <c r="AD103" s="25"/>
      <c r="AE103" s="25"/>
      <c r="AF103" s="25"/>
      <c r="AG103" s="25"/>
      <c r="AH103" s="25"/>
      <c r="AI103" s="110"/>
      <c r="AJ103" s="110"/>
      <c r="AK103" s="25"/>
      <c r="AL103" s="25"/>
      <c r="AM103" s="25"/>
      <c r="AN103" s="25"/>
      <c r="AO103" s="25"/>
      <c r="AP103" s="110"/>
      <c r="AQ103" s="110"/>
      <c r="AR103" s="25"/>
      <c r="AS103" s="25"/>
      <c r="AT103" s="25"/>
      <c r="AU103" s="25"/>
      <c r="AV103" s="25"/>
      <c r="AW103" s="110"/>
      <c r="AX103" s="110"/>
      <c r="AY103" s="25"/>
      <c r="AZ103" s="25"/>
      <c r="BA103" s="25"/>
      <c r="BB103" s="25"/>
      <c r="BC103" s="25"/>
      <c r="BD103" s="110"/>
      <c r="BE103" s="110"/>
      <c r="BF103" s="25"/>
      <c r="BG103" s="25"/>
      <c r="BH103" s="25"/>
      <c r="BI103" s="25"/>
      <c r="BJ103" s="25"/>
      <c r="BK103" s="110"/>
      <c r="BL103" s="110"/>
      <c r="BM103" s="25"/>
      <c r="BN103" s="25"/>
      <c r="BO103" s="25"/>
      <c r="BP103" s="25"/>
      <c r="BQ103" s="25"/>
      <c r="BR103" s="110"/>
      <c r="BS103" s="110"/>
      <c r="BT103" s="25"/>
      <c r="BU103" s="25"/>
      <c r="BV103" s="25"/>
      <c r="BW103" s="25"/>
      <c r="BX103" s="25"/>
      <c r="BY103" s="110"/>
      <c r="BZ103" s="110"/>
      <c r="CA103" s="25"/>
      <c r="CB103" s="25"/>
      <c r="CC103" s="25"/>
      <c r="CD103" s="25"/>
      <c r="CE103" s="25"/>
      <c r="CF103" s="110"/>
      <c r="CG103" s="110"/>
      <c r="CH103" s="25"/>
      <c r="CI103" s="25"/>
      <c r="CJ103" s="25"/>
      <c r="CK103" s="25"/>
      <c r="CL103" s="25"/>
      <c r="CM103" s="110"/>
      <c r="CN103" s="110"/>
      <c r="CO103" s="25"/>
      <c r="CP103" s="25"/>
      <c r="CQ103" s="25"/>
      <c r="CR103" s="25"/>
      <c r="CS103" s="25"/>
      <c r="CT103" s="110"/>
      <c r="CU103" s="110"/>
      <c r="CV103" s="110"/>
      <c r="CW103" s="25"/>
      <c r="CX103" s="25"/>
      <c r="CY103" s="25"/>
      <c r="CZ103" s="25"/>
      <c r="DA103" s="110"/>
      <c r="DB103" s="110"/>
      <c r="DC103" s="25"/>
      <c r="DD103" s="25"/>
      <c r="DE103" s="25"/>
      <c r="DF103" s="25"/>
      <c r="DG103" s="25"/>
      <c r="DH103" s="110"/>
      <c r="DI103" s="110"/>
      <c r="DJ103" s="25"/>
      <c r="DK103" s="25"/>
      <c r="DL103" s="25"/>
      <c r="DM103" s="25"/>
      <c r="DN103" s="25"/>
      <c r="DO103" s="110"/>
      <c r="DP103" s="110"/>
      <c r="DQ103" s="25"/>
      <c r="DR103" s="25"/>
      <c r="DS103" s="25"/>
      <c r="DT103" s="25"/>
      <c r="DU103" s="110"/>
      <c r="DV103" s="110"/>
      <c r="DW103" s="110"/>
      <c r="DX103" s="25"/>
      <c r="DY103" s="25"/>
      <c r="DZ103" s="25"/>
      <c r="EA103" s="25"/>
      <c r="EB103" s="110" t="s">
        <v>445</v>
      </c>
      <c r="EC103" s="110"/>
      <c r="ED103" s="110"/>
      <c r="EE103" s="25"/>
      <c r="EF103" s="25"/>
      <c r="EG103" s="25"/>
      <c r="EH103" s="110" t="s">
        <v>445</v>
      </c>
      <c r="EI103" s="110" t="s">
        <v>445</v>
      </c>
      <c r="EJ103" s="110"/>
      <c r="EK103" s="110"/>
      <c r="EL103" s="25"/>
      <c r="EM103" s="25"/>
      <c r="EN103" s="25"/>
      <c r="EO103" s="25"/>
      <c r="EP103" s="25"/>
      <c r="EQ103" s="110"/>
      <c r="ER103" s="110"/>
      <c r="ES103" s="110" t="s">
        <v>445</v>
      </c>
      <c r="ET103" s="25"/>
      <c r="EU103" s="25"/>
      <c r="EV103" s="25"/>
      <c r="EW103" s="25"/>
      <c r="EX103" s="110"/>
      <c r="EY103" s="110"/>
      <c r="EZ103" s="25"/>
      <c r="FA103" s="25"/>
      <c r="FB103" s="25"/>
      <c r="FC103" s="25"/>
      <c r="FD103" s="25"/>
      <c r="FE103" s="110"/>
      <c r="FF103" s="110"/>
      <c r="FG103" s="25"/>
      <c r="FH103" s="25"/>
      <c r="FI103" s="25"/>
      <c r="FJ103" s="25"/>
      <c r="FK103" s="25"/>
      <c r="FL103" s="110"/>
      <c r="FM103" s="110"/>
      <c r="FN103" s="25"/>
      <c r="FO103" s="25"/>
      <c r="FP103" s="25"/>
      <c r="FQ103" s="25"/>
      <c r="FR103" s="25"/>
      <c r="FS103" s="110"/>
      <c r="FT103" s="110"/>
      <c r="FU103" s="25"/>
      <c r="FV103" s="25"/>
      <c r="FW103" s="25"/>
      <c r="FX103" s="25"/>
      <c r="FY103" s="25"/>
      <c r="FZ103" s="110"/>
      <c r="GA103" s="110"/>
      <c r="GB103" s="25"/>
      <c r="GC103" s="25"/>
      <c r="GD103" s="25"/>
      <c r="GE103" s="25"/>
      <c r="GF103" s="25"/>
      <c r="GG103" s="110"/>
      <c r="GH103" s="110"/>
      <c r="GI103" s="25"/>
      <c r="GJ103" s="25"/>
      <c r="GK103" s="25"/>
      <c r="GL103" s="25"/>
      <c r="GM103" s="25"/>
      <c r="GN103" s="110"/>
      <c r="GO103" s="110"/>
      <c r="GP103" s="110"/>
      <c r="GQ103" s="110" t="s">
        <v>445</v>
      </c>
      <c r="GR103" s="25"/>
      <c r="GS103" s="25"/>
      <c r="GT103" s="25"/>
      <c r="GU103" s="110"/>
      <c r="GV103" s="110"/>
      <c r="GW103" s="25"/>
      <c r="GX103" s="25"/>
      <c r="GY103" s="25"/>
      <c r="GZ103" s="25"/>
      <c r="HA103" s="25"/>
      <c r="HB103" s="110"/>
      <c r="HC103" s="110"/>
      <c r="HD103" s="25"/>
      <c r="HE103" s="25"/>
      <c r="HF103" s="25"/>
      <c r="HG103" s="25"/>
      <c r="HH103" s="25"/>
      <c r="HI103" s="110"/>
      <c r="HJ103" s="110"/>
      <c r="HK103" s="25"/>
      <c r="HL103" s="25"/>
      <c r="HM103" s="25"/>
      <c r="HN103" s="25"/>
      <c r="HO103" s="25"/>
      <c r="HP103" s="110"/>
      <c r="HQ103" s="110"/>
      <c r="HR103" s="25"/>
      <c r="HS103" s="25"/>
      <c r="HT103" s="25"/>
      <c r="HU103" s="25"/>
      <c r="HV103" s="25"/>
      <c r="HW103" s="110"/>
      <c r="HX103" s="110"/>
      <c r="HY103" s="25"/>
      <c r="HZ103" s="25"/>
      <c r="IA103" s="25"/>
      <c r="IB103" s="25"/>
      <c r="IC103" s="25"/>
      <c r="ID103" s="110"/>
      <c r="IE103" s="110"/>
      <c r="IF103" s="25"/>
      <c r="IG103" s="25"/>
      <c r="IH103" s="25"/>
      <c r="II103" s="25"/>
      <c r="IJ103" s="25"/>
      <c r="IK103" s="110"/>
      <c r="IL103" s="110"/>
      <c r="IM103" s="25"/>
      <c r="IN103" s="25"/>
      <c r="IO103" s="25"/>
      <c r="IP103" s="25"/>
      <c r="IQ103" s="25"/>
      <c r="IR103" s="110"/>
      <c r="IS103" s="110"/>
      <c r="IT103" s="25"/>
      <c r="IU103" s="25"/>
      <c r="IV103" s="25"/>
      <c r="IW103" s="25"/>
      <c r="IX103" s="25"/>
      <c r="IY103" s="110"/>
      <c r="IZ103" s="110"/>
      <c r="JA103" s="25"/>
      <c r="JB103" s="25"/>
      <c r="JC103" s="25"/>
      <c r="JD103" s="25"/>
      <c r="JE103" s="25"/>
      <c r="JF103" s="110"/>
      <c r="JG103" s="110"/>
      <c r="JH103" s="25"/>
      <c r="JI103" s="25"/>
      <c r="JJ103" s="25"/>
      <c r="JK103" s="25"/>
      <c r="JL103" s="25"/>
      <c r="JM103" s="110"/>
      <c r="JN103" s="110"/>
      <c r="JO103" s="25"/>
      <c r="JP103" s="25"/>
      <c r="JQ103" s="25"/>
      <c r="JR103" s="25"/>
      <c r="JS103" s="25"/>
      <c r="JT103" s="110"/>
      <c r="JU103" s="110"/>
      <c r="JV103" s="25"/>
      <c r="JW103" s="25"/>
      <c r="JX103" s="25"/>
      <c r="JY103" s="25"/>
      <c r="JZ103" s="25"/>
      <c r="KA103" s="110"/>
      <c r="KB103" s="110"/>
      <c r="KC103" s="25"/>
      <c r="KD103" s="25"/>
      <c r="KE103" s="25"/>
      <c r="KF103" s="25"/>
      <c r="KG103" s="25"/>
      <c r="KH103" s="110"/>
      <c r="KI103" s="110"/>
      <c r="KJ103" s="25"/>
      <c r="KK103" s="25"/>
      <c r="KL103" s="25"/>
      <c r="KM103" s="25"/>
      <c r="KN103" s="25"/>
      <c r="KO103" s="110"/>
      <c r="KP103" s="110"/>
      <c r="KQ103" s="25"/>
      <c r="KR103" s="25"/>
      <c r="KS103" s="25"/>
      <c r="KT103" s="25"/>
      <c r="KU103" s="25"/>
      <c r="KV103" s="110"/>
      <c r="KW103" s="110"/>
      <c r="KX103" s="25"/>
      <c r="KY103" s="25"/>
      <c r="KZ103" s="25"/>
      <c r="LA103" s="25"/>
      <c r="LB103" s="25"/>
      <c r="LC103" s="110"/>
      <c r="LD103" s="110"/>
      <c r="LE103" s="25"/>
      <c r="LF103" s="25"/>
      <c r="LG103" s="110" t="s">
        <v>445</v>
      </c>
      <c r="LH103" s="25"/>
      <c r="LI103" s="25"/>
      <c r="LJ103" s="110"/>
      <c r="LK103" s="110"/>
      <c r="LL103" s="25"/>
      <c r="LM103" s="25"/>
      <c r="LN103" s="25"/>
      <c r="LO103" s="25"/>
      <c r="LP103" s="25"/>
      <c r="LQ103" s="110"/>
      <c r="LR103" s="110"/>
      <c r="LS103" s="25"/>
      <c r="LT103" s="25"/>
      <c r="LU103" s="25"/>
      <c r="LV103" s="25"/>
      <c r="LW103" s="25"/>
      <c r="LX103" s="110"/>
      <c r="LY103" s="110"/>
      <c r="LZ103" s="25"/>
      <c r="MA103" s="25"/>
      <c r="MB103" s="25"/>
      <c r="MC103" s="25"/>
      <c r="MD103" s="25"/>
      <c r="ME103" s="110"/>
      <c r="MF103" s="110"/>
      <c r="MG103" s="25"/>
      <c r="MH103" s="25"/>
      <c r="MI103" s="25"/>
      <c r="MJ103" s="25"/>
      <c r="MK103" s="25"/>
      <c r="ML103" s="110"/>
      <c r="MM103" s="110"/>
      <c r="MN103" s="25"/>
      <c r="MO103" s="25"/>
      <c r="MP103" s="25"/>
      <c r="MQ103" s="25"/>
      <c r="MR103" s="25"/>
      <c r="MS103" s="110"/>
      <c r="MT103" s="110"/>
      <c r="MU103" s="25"/>
      <c r="MV103" s="25"/>
      <c r="MW103" s="25"/>
      <c r="MX103" s="25"/>
      <c r="MY103" s="25"/>
      <c r="MZ103" s="110"/>
      <c r="NA103" s="110"/>
      <c r="NB103" s="25"/>
      <c r="NC103" s="25"/>
      <c r="ND103" s="25"/>
      <c r="NE103" s="129"/>
      <c r="NF103" s="111"/>
      <c r="NG103" s="8">
        <f t="shared" si="54"/>
        <v>0</v>
      </c>
      <c r="NH103" s="32" cm="1">
        <f t="array" ref="NH103">NETWORKDAYS($I$2,$AI$2)- SUM(COUNTIF(I103:AI103,{"I";"F";"CP";"R";"P";"AC";"AM"}))</f>
        <v>20</v>
      </c>
      <c r="NI103" s="138">
        <f t="shared" si="55"/>
        <v>0</v>
      </c>
      <c r="NJ103" s="8">
        <f t="shared" si="56"/>
        <v>0</v>
      </c>
      <c r="NK103" s="32" cm="1">
        <f t="array" ref="NK103">NETWORKDAYS($AJ$2,$BK$2)- SUM(COUNTIF(AJ103:BK103,{"I";"F";"CP";"R";"P";"AC";"AM"}))</f>
        <v>20</v>
      </c>
      <c r="NL103" s="138">
        <f t="shared" si="57"/>
        <v>0</v>
      </c>
      <c r="NM103" s="8">
        <f t="shared" si="58"/>
        <v>0</v>
      </c>
      <c r="NN103" s="32" cm="1">
        <f t="array" ref="NN103">NETWORKDAYS($BL$2,$CP$2)- SUM(COUNTIF(BL103:CP103,{"I";"F";"CP";"R";"P";"AC";"AM"}))</f>
        <v>22</v>
      </c>
      <c r="NO103" s="138">
        <f t="shared" si="59"/>
        <v>0</v>
      </c>
      <c r="NP103" s="32">
        <f t="shared" si="53"/>
        <v>0</v>
      </c>
      <c r="NQ103" s="32" cm="1">
        <f t="array" ref="NQ103">NETWORKDAYS($CQ$2,$DT$2,$CV$2)- SUM(COUNTIF(CQ103:DT103,{"I";"F";"CP";"R";"P";"AC";"AM"}))</f>
        <v>21</v>
      </c>
      <c r="NR103" s="138">
        <f t="shared" si="60"/>
        <v>0</v>
      </c>
      <c r="NS103" s="8">
        <f t="shared" si="61"/>
        <v>0</v>
      </c>
      <c r="NT103" s="32" cm="1">
        <f t="array" ref="NT103">NETWORKDAYS($DV$2,$EY$2)-SUM(COUNTIF(DV103:EY103,{"I";"F";"CP";"R";"P";"AC";"AM"}))</f>
        <v>16</v>
      </c>
      <c r="NU103" s="138">
        <f t="shared" si="62"/>
        <v>0</v>
      </c>
      <c r="NV103" s="8">
        <f t="shared" si="63"/>
        <v>0</v>
      </c>
      <c r="NW103" s="32" cm="1">
        <f t="array" ref="NW103">NETWORKDAYS($EZ$2,$GC$2)-SUM(COUNTIF(EZ183:GC183,{"I";"F";"CP";"R";"P";"AC";"AM"}))</f>
        <v>22</v>
      </c>
      <c r="NX103" s="138">
        <f t="shared" si="64"/>
        <v>0</v>
      </c>
      <c r="NY103" s="8">
        <f t="shared" si="65"/>
        <v>0</v>
      </c>
      <c r="NZ103" s="32" cm="1">
        <f t="array" ref="NZ103">NETWORKDAYS($GD$2,$HH$2,$GQ$2)-SUM(COUNTIF(GD103:HH103,{"I";"F";"CP";"R";"P";"AC";"AM"}))</f>
        <v>21</v>
      </c>
      <c r="OA103" s="138">
        <f t="shared" si="66"/>
        <v>0</v>
      </c>
      <c r="OB103" s="8">
        <f t="shared" si="67"/>
        <v>0</v>
      </c>
      <c r="OC103" s="32" cm="1">
        <f t="array" ref="OC103">NETWORKDAYS($HI$2,$IM$2)-SUM(COUNTIF(HI103:IM103,{"I";"F";"CP";"R";"P";"AC";"AM"}))</f>
        <v>21</v>
      </c>
      <c r="OD103" s="138">
        <f t="shared" si="68"/>
        <v>0</v>
      </c>
      <c r="OE103" s="8">
        <f t="shared" si="69"/>
        <v>0</v>
      </c>
      <c r="OF103" s="32" cm="1">
        <f t="array" ref="OF103">NETWORKDAYS($IN$2,$JQ$2)-SUM(COUNTIF(IN103:JQ103,{"I";"F";"CP";"R";"P";"AC";"AM"}))</f>
        <v>22</v>
      </c>
      <c r="OG103" s="138">
        <f t="shared" si="70"/>
        <v>0</v>
      </c>
      <c r="OH103" s="8">
        <f t="shared" si="71"/>
        <v>0</v>
      </c>
      <c r="OI103" s="32" cm="1">
        <f t="array" ref="OI103">NETWORKDAYS($JR$2,$KV$2)-SUM(COUNTIF(JR103:KV103,{"I";"F";"CP";"R";"P";"AC";"AM"}))</f>
        <v>22</v>
      </c>
      <c r="OJ103" s="138">
        <f t="shared" si="72"/>
        <v>0</v>
      </c>
      <c r="OK103" s="8">
        <f t="shared" si="73"/>
        <v>0</v>
      </c>
      <c r="OL103" s="32" cm="1">
        <f t="array" ref="OL103">NETWORKDAYS($KW$2,$LZ$2,$LG$2)-SUM(COUNTIF(KW103:LZ103,{"I";"F";"CP";"R";"P";"AC";"AM"}))</f>
        <v>19</v>
      </c>
      <c r="OM103" s="138">
        <f t="shared" si="74"/>
        <v>0</v>
      </c>
      <c r="ON103" s="8">
        <f t="shared" si="75"/>
        <v>0</v>
      </c>
      <c r="OO103" s="32" cm="1">
        <f t="array" ref="OO103">NETWORKDAYS($MA$2,$MR$2)-SUM(COUNTIF(MA103:MR103,{"I";"F";"CP";"R";"P";"AC";"AM"}))</f>
        <v>14</v>
      </c>
      <c r="OP103" s="138">
        <f t="shared" si="76"/>
        <v>0</v>
      </c>
      <c r="OQ103" s="94">
        <f t="shared" si="77"/>
        <v>0</v>
      </c>
      <c r="OR103" s="94">
        <f t="shared" si="78"/>
        <v>240</v>
      </c>
      <c r="OS103" s="138">
        <f t="shared" si="79"/>
        <v>0</v>
      </c>
    </row>
    <row r="104" spans="1:409" ht="18" hidden="1" customHeight="1" x14ac:dyDescent="0.25">
      <c r="A104" s="95" t="s">
        <v>168</v>
      </c>
      <c r="B104" s="95" t="s">
        <v>168</v>
      </c>
      <c r="C104" s="89" t="s">
        <v>160</v>
      </c>
      <c r="D104" s="89" t="s">
        <v>289</v>
      </c>
      <c r="E104" s="128"/>
      <c r="F104" s="110"/>
      <c r="G104" s="110"/>
      <c r="H104" s="110"/>
      <c r="I104" s="25"/>
      <c r="J104" s="25"/>
      <c r="K104" s="25"/>
      <c r="L104" s="25"/>
      <c r="M104" s="25"/>
      <c r="N104" s="110"/>
      <c r="O104" s="110"/>
      <c r="P104" s="25"/>
      <c r="Q104" s="25"/>
      <c r="R104" s="25"/>
      <c r="S104" s="25"/>
      <c r="T104" s="25"/>
      <c r="U104" s="110"/>
      <c r="V104" s="110"/>
      <c r="W104" s="25"/>
      <c r="X104" s="25"/>
      <c r="Y104" s="25"/>
      <c r="Z104" s="25"/>
      <c r="AA104" s="25"/>
      <c r="AB104" s="110"/>
      <c r="AC104" s="110"/>
      <c r="AD104" s="25"/>
      <c r="AE104" s="25"/>
      <c r="AF104" s="25"/>
      <c r="AG104" s="25"/>
      <c r="AH104" s="25"/>
      <c r="AI104" s="110"/>
      <c r="AJ104" s="110"/>
      <c r="AK104" s="25"/>
      <c r="AL104" s="25"/>
      <c r="AM104" s="25"/>
      <c r="AN104" s="25"/>
      <c r="AO104" s="25"/>
      <c r="AP104" s="110"/>
      <c r="AQ104" s="110"/>
      <c r="AR104" s="25"/>
      <c r="AS104" s="25"/>
      <c r="AT104" s="25"/>
      <c r="AU104" s="25"/>
      <c r="AV104" s="25"/>
      <c r="AW104" s="110"/>
      <c r="AX104" s="110"/>
      <c r="AY104" s="25"/>
      <c r="AZ104" s="25"/>
      <c r="BA104" s="25"/>
      <c r="BB104" s="25"/>
      <c r="BC104" s="25"/>
      <c r="BD104" s="110"/>
      <c r="BE104" s="110"/>
      <c r="BF104" s="25"/>
      <c r="BG104" s="25"/>
      <c r="BH104" s="25"/>
      <c r="BI104" s="25"/>
      <c r="BJ104" s="25"/>
      <c r="BK104" s="110"/>
      <c r="BL104" s="110"/>
      <c r="BM104" s="25"/>
      <c r="BN104" s="25"/>
      <c r="BO104" s="25"/>
      <c r="BP104" s="25"/>
      <c r="BQ104" s="25"/>
      <c r="BR104" s="110"/>
      <c r="BS104" s="110"/>
      <c r="BT104" s="25"/>
      <c r="BU104" s="25"/>
      <c r="BV104" s="25"/>
      <c r="BW104" s="25"/>
      <c r="BX104" s="25"/>
      <c r="BY104" s="110"/>
      <c r="BZ104" s="110"/>
      <c r="CA104" s="25"/>
      <c r="CB104" s="25"/>
      <c r="CC104" s="25"/>
      <c r="CD104" s="25"/>
      <c r="CE104" s="25"/>
      <c r="CF104" s="110"/>
      <c r="CG104" s="110"/>
      <c r="CH104" s="25"/>
      <c r="CI104" s="25"/>
      <c r="CJ104" s="25"/>
      <c r="CK104" s="25"/>
      <c r="CL104" s="25"/>
      <c r="CM104" s="110"/>
      <c r="CN104" s="110"/>
      <c r="CO104" s="25"/>
      <c r="CP104" s="25"/>
      <c r="CQ104" s="25"/>
      <c r="CR104" s="25"/>
      <c r="CS104" s="25"/>
      <c r="CT104" s="110"/>
      <c r="CU104" s="110"/>
      <c r="CV104" s="110"/>
      <c r="CW104" s="25"/>
      <c r="CX104" s="25"/>
      <c r="CY104" s="25"/>
      <c r="CZ104" s="25"/>
      <c r="DA104" s="110"/>
      <c r="DB104" s="110"/>
      <c r="DC104" s="25"/>
      <c r="DD104" s="25"/>
      <c r="DE104" s="25"/>
      <c r="DF104" s="25"/>
      <c r="DG104" s="25"/>
      <c r="DH104" s="110"/>
      <c r="DI104" s="110"/>
      <c r="DJ104" s="25"/>
      <c r="DK104" s="25"/>
      <c r="DL104" s="25"/>
      <c r="DM104" s="25"/>
      <c r="DN104" s="25"/>
      <c r="DO104" s="110"/>
      <c r="DP104" s="110"/>
      <c r="DQ104" s="25"/>
      <c r="DR104" s="25"/>
      <c r="DS104" s="25"/>
      <c r="DT104" s="25"/>
      <c r="DU104" s="110"/>
      <c r="DV104" s="110"/>
      <c r="DW104" s="110"/>
      <c r="DX104" s="25"/>
      <c r="DY104" s="25"/>
      <c r="DZ104" s="25"/>
      <c r="EA104" s="25"/>
      <c r="EB104" s="110" t="s">
        <v>445</v>
      </c>
      <c r="EC104" s="110"/>
      <c r="ED104" s="110"/>
      <c r="EE104" s="25"/>
      <c r="EF104" s="25"/>
      <c r="EG104" s="25"/>
      <c r="EH104" s="110" t="s">
        <v>445</v>
      </c>
      <c r="EI104" s="110" t="s">
        <v>445</v>
      </c>
      <c r="EJ104" s="110"/>
      <c r="EK104" s="110"/>
      <c r="EL104" s="25"/>
      <c r="EM104" s="25"/>
      <c r="EN104" s="25"/>
      <c r="EO104" s="25"/>
      <c r="EP104" s="25"/>
      <c r="EQ104" s="110"/>
      <c r="ER104" s="110"/>
      <c r="ES104" s="110" t="s">
        <v>445</v>
      </c>
      <c r="ET104" s="25"/>
      <c r="EU104" s="25"/>
      <c r="EV104" s="25"/>
      <c r="EW104" s="25"/>
      <c r="EX104" s="110"/>
      <c r="EY104" s="110"/>
      <c r="EZ104" s="25"/>
      <c r="FA104" s="25"/>
      <c r="FB104" s="25"/>
      <c r="FC104" s="25"/>
      <c r="FD104" s="25"/>
      <c r="FE104" s="110"/>
      <c r="FF104" s="110"/>
      <c r="FG104" s="25"/>
      <c r="FH104" s="25"/>
      <c r="FI104" s="25"/>
      <c r="FJ104" s="25"/>
      <c r="FK104" s="25"/>
      <c r="FL104" s="110"/>
      <c r="FM104" s="110"/>
      <c r="FN104" s="25"/>
      <c r="FO104" s="25"/>
      <c r="FP104" s="25"/>
      <c r="FQ104" s="25"/>
      <c r="FR104" s="25"/>
      <c r="FS104" s="110"/>
      <c r="FT104" s="110"/>
      <c r="FU104" s="25"/>
      <c r="FV104" s="25"/>
      <c r="FW104" s="25"/>
      <c r="FX104" s="25"/>
      <c r="FY104" s="25"/>
      <c r="FZ104" s="110"/>
      <c r="GA104" s="110"/>
      <c r="GB104" s="25"/>
      <c r="GC104" s="25"/>
      <c r="GD104" s="25"/>
      <c r="GE104" s="25"/>
      <c r="GF104" s="25"/>
      <c r="GG104" s="110"/>
      <c r="GH104" s="110"/>
      <c r="GI104" s="25"/>
      <c r="GJ104" s="25"/>
      <c r="GK104" s="25"/>
      <c r="GL104" s="25"/>
      <c r="GM104" s="25"/>
      <c r="GN104" s="110"/>
      <c r="GO104" s="110"/>
      <c r="GP104" s="110"/>
      <c r="GQ104" s="110" t="s">
        <v>445</v>
      </c>
      <c r="GR104" s="25"/>
      <c r="GS104" s="25"/>
      <c r="GT104" s="25"/>
      <c r="GU104" s="110"/>
      <c r="GV104" s="110"/>
      <c r="GW104" s="25"/>
      <c r="GX104" s="25"/>
      <c r="GY104" s="25"/>
      <c r="GZ104" s="25"/>
      <c r="HA104" s="25"/>
      <c r="HB104" s="110"/>
      <c r="HC104" s="110"/>
      <c r="HD104" s="25"/>
      <c r="HE104" s="25"/>
      <c r="HF104" s="25"/>
      <c r="HG104" s="25"/>
      <c r="HH104" s="25"/>
      <c r="HI104" s="110"/>
      <c r="HJ104" s="110"/>
      <c r="HK104" s="25"/>
      <c r="HL104" s="25"/>
      <c r="HM104" s="25"/>
      <c r="HN104" s="25"/>
      <c r="HO104" s="25"/>
      <c r="HP104" s="110"/>
      <c r="HQ104" s="110"/>
      <c r="HR104" s="25"/>
      <c r="HS104" s="25"/>
      <c r="HT104" s="25"/>
      <c r="HU104" s="25"/>
      <c r="HV104" s="25"/>
      <c r="HW104" s="110"/>
      <c r="HX104" s="110"/>
      <c r="HY104" s="25"/>
      <c r="HZ104" s="25"/>
      <c r="IA104" s="25"/>
      <c r="IB104" s="25"/>
      <c r="IC104" s="25"/>
      <c r="ID104" s="110"/>
      <c r="IE104" s="110"/>
      <c r="IF104" s="25"/>
      <c r="IG104" s="25"/>
      <c r="IH104" s="25"/>
      <c r="II104" s="25"/>
      <c r="IJ104" s="25"/>
      <c r="IK104" s="110"/>
      <c r="IL104" s="110"/>
      <c r="IM104" s="25"/>
      <c r="IN104" s="25"/>
      <c r="IO104" s="25"/>
      <c r="IP104" s="25"/>
      <c r="IQ104" s="25"/>
      <c r="IR104" s="110"/>
      <c r="IS104" s="110"/>
      <c r="IT104" s="25"/>
      <c r="IU104" s="25"/>
      <c r="IV104" s="25"/>
      <c r="IW104" s="25"/>
      <c r="IX104" s="25"/>
      <c r="IY104" s="110"/>
      <c r="IZ104" s="110"/>
      <c r="JA104" s="25"/>
      <c r="JB104" s="25"/>
      <c r="JC104" s="25"/>
      <c r="JD104" s="25"/>
      <c r="JE104" s="25"/>
      <c r="JF104" s="110"/>
      <c r="JG104" s="110"/>
      <c r="JH104" s="25"/>
      <c r="JI104" s="25"/>
      <c r="JJ104" s="25"/>
      <c r="JK104" s="25"/>
      <c r="JL104" s="25"/>
      <c r="JM104" s="110"/>
      <c r="JN104" s="110"/>
      <c r="JO104" s="25"/>
      <c r="JP104" s="25"/>
      <c r="JQ104" s="25"/>
      <c r="JR104" s="25"/>
      <c r="JS104" s="25"/>
      <c r="JT104" s="110"/>
      <c r="JU104" s="110"/>
      <c r="JV104" s="25"/>
      <c r="JW104" s="25"/>
      <c r="JX104" s="25"/>
      <c r="JY104" s="25"/>
      <c r="JZ104" s="25"/>
      <c r="KA104" s="110"/>
      <c r="KB104" s="110"/>
      <c r="KC104" s="25"/>
      <c r="KD104" s="25"/>
      <c r="KE104" s="25"/>
      <c r="KF104" s="25"/>
      <c r="KG104" s="25"/>
      <c r="KH104" s="110"/>
      <c r="KI104" s="110"/>
      <c r="KJ104" s="25"/>
      <c r="KK104" s="25"/>
      <c r="KL104" s="25"/>
      <c r="KM104" s="25"/>
      <c r="KN104" s="25"/>
      <c r="KO104" s="110"/>
      <c r="KP104" s="110"/>
      <c r="KQ104" s="25"/>
      <c r="KR104" s="25"/>
      <c r="KS104" s="25"/>
      <c r="KT104" s="25"/>
      <c r="KU104" s="25"/>
      <c r="KV104" s="110"/>
      <c r="KW104" s="110"/>
      <c r="KX104" s="25"/>
      <c r="KY104" s="25"/>
      <c r="KZ104" s="25"/>
      <c r="LA104" s="25"/>
      <c r="LB104" s="25"/>
      <c r="LC104" s="110"/>
      <c r="LD104" s="110"/>
      <c r="LE104" s="25"/>
      <c r="LF104" s="25"/>
      <c r="LG104" s="110" t="s">
        <v>445</v>
      </c>
      <c r="LH104" s="25"/>
      <c r="LI104" s="25"/>
      <c r="LJ104" s="110"/>
      <c r="LK104" s="110"/>
      <c r="LL104" s="25"/>
      <c r="LM104" s="25"/>
      <c r="LN104" s="25"/>
      <c r="LO104" s="25"/>
      <c r="LP104" s="25"/>
      <c r="LQ104" s="110"/>
      <c r="LR104" s="110"/>
      <c r="LS104" s="25"/>
      <c r="LT104" s="25"/>
      <c r="LU104" s="25"/>
      <c r="LV104" s="25"/>
      <c r="LW104" s="25"/>
      <c r="LX104" s="110"/>
      <c r="LY104" s="110"/>
      <c r="LZ104" s="25"/>
      <c r="MA104" s="25"/>
      <c r="MB104" s="25"/>
      <c r="MC104" s="25"/>
      <c r="MD104" s="25"/>
      <c r="ME104" s="110"/>
      <c r="MF104" s="110"/>
      <c r="MG104" s="25"/>
      <c r="MH104" s="25"/>
      <c r="MI104" s="25"/>
      <c r="MJ104" s="25"/>
      <c r="MK104" s="25"/>
      <c r="ML104" s="110"/>
      <c r="MM104" s="110"/>
      <c r="MN104" s="25"/>
      <c r="MO104" s="25"/>
      <c r="MP104" s="25"/>
      <c r="MQ104" s="25"/>
      <c r="MR104" s="25"/>
      <c r="MS104" s="110"/>
      <c r="MT104" s="110"/>
      <c r="MU104" s="25"/>
      <c r="MV104" s="25"/>
      <c r="MW104" s="25"/>
      <c r="MX104" s="25"/>
      <c r="MY104" s="25"/>
      <c r="MZ104" s="110"/>
      <c r="NA104" s="110"/>
      <c r="NB104" s="25"/>
      <c r="NC104" s="25"/>
      <c r="ND104" s="25"/>
      <c r="NE104" s="129"/>
      <c r="NF104" s="111"/>
      <c r="NG104" s="8">
        <f t="shared" si="54"/>
        <v>0</v>
      </c>
      <c r="NH104" s="32" cm="1">
        <f t="array" ref="NH104">NETWORKDAYS($I$2,$AI$2)- SUM(COUNTIF(I104:AI104,{"I";"F";"CP";"R";"P";"AC";"AM"}))</f>
        <v>20</v>
      </c>
      <c r="NI104" s="138">
        <f t="shared" si="55"/>
        <v>0</v>
      </c>
      <c r="NJ104" s="8">
        <f t="shared" si="56"/>
        <v>0</v>
      </c>
      <c r="NK104" s="32" cm="1">
        <f t="array" ref="NK104">NETWORKDAYS($AJ$2,$BK$2)- SUM(COUNTIF(AJ104:BK104,{"I";"F";"CP";"R";"P";"AC";"AM"}))</f>
        <v>20</v>
      </c>
      <c r="NL104" s="138">
        <f t="shared" si="57"/>
        <v>0</v>
      </c>
      <c r="NM104" s="8">
        <f t="shared" si="58"/>
        <v>0</v>
      </c>
      <c r="NN104" s="32" cm="1">
        <f t="array" ref="NN104">NETWORKDAYS($BL$2,$CP$2)- SUM(COUNTIF(BL104:CP104,{"I";"F";"CP";"R";"P";"AC";"AM"}))</f>
        <v>22</v>
      </c>
      <c r="NO104" s="138">
        <f t="shared" si="59"/>
        <v>0</v>
      </c>
      <c r="NP104" s="8">
        <f t="shared" si="53"/>
        <v>0</v>
      </c>
      <c r="NQ104" s="32" cm="1">
        <f t="array" ref="NQ104">NETWORKDAYS($CQ$2,$DT$2,$CV$2)- SUM(COUNTIF(CQ104:DT104,{"I";"F";"CP";"R";"P";"AC";"AM"}))</f>
        <v>21</v>
      </c>
      <c r="NR104" s="138">
        <f t="shared" si="60"/>
        <v>0</v>
      </c>
      <c r="NS104" s="8">
        <f t="shared" si="61"/>
        <v>0</v>
      </c>
      <c r="NT104" s="32" cm="1">
        <f t="array" ref="NT104">NETWORKDAYS($DV$2,$EY$2)-SUM(COUNTIF(DV104:EY104,{"I";"F";"CP";"R";"P";"AC";"AM"}))</f>
        <v>16</v>
      </c>
      <c r="NU104" s="138">
        <f t="shared" si="62"/>
        <v>0</v>
      </c>
      <c r="NV104" s="8">
        <f t="shared" si="63"/>
        <v>0</v>
      </c>
      <c r="NW104" s="32" cm="1">
        <f t="array" ref="NW104">NETWORKDAYS($EZ$2,$GC$2)-SUM(COUNTIF(EZ184:GC184,{"I";"F";"CP";"R";"P";"AC";"AM"}))</f>
        <v>22</v>
      </c>
      <c r="NX104" s="138">
        <f t="shared" si="64"/>
        <v>0</v>
      </c>
      <c r="NY104" s="8">
        <f t="shared" si="65"/>
        <v>0</v>
      </c>
      <c r="NZ104" s="32" cm="1">
        <f t="array" ref="NZ104">NETWORKDAYS($GD$2,$HH$2,$GQ$2)-SUM(COUNTIF(GD104:HH104,{"I";"F";"CP";"R";"P";"AC";"AM"}))</f>
        <v>21</v>
      </c>
      <c r="OA104" s="138">
        <f t="shared" si="66"/>
        <v>0</v>
      </c>
      <c r="OB104" s="8">
        <f t="shared" si="67"/>
        <v>0</v>
      </c>
      <c r="OC104" s="32" cm="1">
        <f t="array" ref="OC104">NETWORKDAYS($HI$2,$IM$2)-SUM(COUNTIF(HI104:IM104,{"I";"F";"CP";"R";"P";"AC";"AM"}))</f>
        <v>21</v>
      </c>
      <c r="OD104" s="138">
        <f t="shared" si="68"/>
        <v>0</v>
      </c>
      <c r="OE104" s="8">
        <f t="shared" si="69"/>
        <v>0</v>
      </c>
      <c r="OF104" s="32" cm="1">
        <f t="array" ref="OF104">NETWORKDAYS($IN$2,$JQ$2)-SUM(COUNTIF(IN104:JQ104,{"I";"F";"CP";"R";"P";"AC";"AM"}))</f>
        <v>22</v>
      </c>
      <c r="OG104" s="138">
        <f t="shared" si="70"/>
        <v>0</v>
      </c>
      <c r="OH104" s="8">
        <f t="shared" si="71"/>
        <v>0</v>
      </c>
      <c r="OI104" s="32" cm="1">
        <f t="array" ref="OI104">NETWORKDAYS($JR$2,$KV$2)-SUM(COUNTIF(JR104:KV104,{"I";"F";"CP";"R";"P";"AC";"AM"}))</f>
        <v>22</v>
      </c>
      <c r="OJ104" s="138">
        <f t="shared" si="72"/>
        <v>0</v>
      </c>
      <c r="OK104" s="8">
        <f t="shared" si="73"/>
        <v>0</v>
      </c>
      <c r="OL104" s="32" cm="1">
        <f t="array" ref="OL104">NETWORKDAYS($KW$2,$LZ$2,$LG$2)-SUM(COUNTIF(KW104:LZ104,{"I";"F";"CP";"R";"P";"AC";"AM"}))</f>
        <v>19</v>
      </c>
      <c r="OM104" s="138">
        <f t="shared" si="74"/>
        <v>0</v>
      </c>
      <c r="ON104" s="8">
        <f t="shared" si="75"/>
        <v>0</v>
      </c>
      <c r="OO104" s="32" cm="1">
        <f t="array" ref="OO104">NETWORKDAYS($MA$2,$MR$2)-SUM(COUNTIF(MA104:MR104,{"I";"F";"CP";"R";"P";"AC";"AM"}))</f>
        <v>14</v>
      </c>
      <c r="OP104" s="138">
        <f t="shared" si="76"/>
        <v>0</v>
      </c>
      <c r="OQ104" s="94">
        <f t="shared" si="77"/>
        <v>0</v>
      </c>
      <c r="OR104" s="94">
        <f t="shared" si="78"/>
        <v>240</v>
      </c>
      <c r="OS104" s="138">
        <f t="shared" si="79"/>
        <v>0</v>
      </c>
    </row>
    <row r="105" spans="1:409" ht="18" hidden="1" customHeight="1" thickBot="1" x14ac:dyDescent="0.3">
      <c r="A105" s="96" t="s">
        <v>468</v>
      </c>
      <c r="B105" s="96" t="s">
        <v>34</v>
      </c>
      <c r="C105" s="100" t="s">
        <v>166</v>
      </c>
      <c r="D105" s="100" t="s">
        <v>290</v>
      </c>
      <c r="E105" s="130"/>
      <c r="F105" s="131"/>
      <c r="G105" s="131"/>
      <c r="H105" s="131"/>
      <c r="I105" s="132"/>
      <c r="J105" s="132"/>
      <c r="K105" s="132"/>
      <c r="L105" s="132"/>
      <c r="M105" s="132"/>
      <c r="N105" s="131"/>
      <c r="O105" s="131"/>
      <c r="P105" s="132"/>
      <c r="Q105" s="132"/>
      <c r="R105" s="132"/>
      <c r="S105" s="132"/>
      <c r="T105" s="132"/>
      <c r="U105" s="131"/>
      <c r="V105" s="131"/>
      <c r="W105" s="132"/>
      <c r="X105" s="132"/>
      <c r="Y105" s="132"/>
      <c r="Z105" s="132"/>
      <c r="AA105" s="132"/>
      <c r="AB105" s="131"/>
      <c r="AC105" s="131"/>
      <c r="AD105" s="132"/>
      <c r="AE105" s="132"/>
      <c r="AF105" s="132"/>
      <c r="AG105" s="132"/>
      <c r="AH105" s="132"/>
      <c r="AI105" s="131"/>
      <c r="AJ105" s="131"/>
      <c r="AK105" s="132"/>
      <c r="AL105" s="132"/>
      <c r="AM105" s="132"/>
      <c r="AN105" s="132"/>
      <c r="AO105" s="132"/>
      <c r="AP105" s="131"/>
      <c r="AQ105" s="131"/>
      <c r="AR105" s="132"/>
      <c r="AS105" s="132"/>
      <c r="AT105" s="132"/>
      <c r="AU105" s="132"/>
      <c r="AV105" s="132"/>
      <c r="AW105" s="131"/>
      <c r="AX105" s="131"/>
      <c r="AY105" s="132"/>
      <c r="AZ105" s="132"/>
      <c r="BA105" s="132"/>
      <c r="BB105" s="132"/>
      <c r="BC105" s="132"/>
      <c r="BD105" s="131"/>
      <c r="BE105" s="131"/>
      <c r="BF105" s="132"/>
      <c r="BG105" s="132"/>
      <c r="BH105" s="132"/>
      <c r="BI105" s="132"/>
      <c r="BJ105" s="132"/>
      <c r="BK105" s="131"/>
      <c r="BL105" s="131"/>
      <c r="BM105" s="132"/>
      <c r="BN105" s="132"/>
      <c r="BO105" s="132"/>
      <c r="BP105" s="132"/>
      <c r="BQ105" s="132"/>
      <c r="BR105" s="131"/>
      <c r="BS105" s="131"/>
      <c r="BT105" s="132"/>
      <c r="BU105" s="132"/>
      <c r="BV105" s="132"/>
      <c r="BW105" s="132"/>
      <c r="BX105" s="132"/>
      <c r="BY105" s="131"/>
      <c r="BZ105" s="131"/>
      <c r="CA105" s="132"/>
      <c r="CB105" s="132"/>
      <c r="CC105" s="132"/>
      <c r="CD105" s="132"/>
      <c r="CE105" s="132"/>
      <c r="CF105" s="131"/>
      <c r="CG105" s="131"/>
      <c r="CH105" s="132"/>
      <c r="CI105" s="132"/>
      <c r="CJ105" s="132"/>
      <c r="CK105" s="132"/>
      <c r="CL105" s="132"/>
      <c r="CM105" s="131"/>
      <c r="CN105" s="131"/>
      <c r="CO105" s="132"/>
      <c r="CP105" s="132"/>
      <c r="CQ105" s="132"/>
      <c r="CR105" s="132"/>
      <c r="CS105" s="132"/>
      <c r="CT105" s="131"/>
      <c r="CU105" s="131"/>
      <c r="CV105" s="131"/>
      <c r="CW105" s="132"/>
      <c r="CX105" s="132"/>
      <c r="CY105" s="132"/>
      <c r="CZ105" s="132"/>
      <c r="DA105" s="131"/>
      <c r="DB105" s="131"/>
      <c r="DC105" s="132"/>
      <c r="DD105" s="132"/>
      <c r="DE105" s="132"/>
      <c r="DF105" s="132"/>
      <c r="DG105" s="132"/>
      <c r="DH105" s="131"/>
      <c r="DI105" s="131"/>
      <c r="DJ105" s="132"/>
      <c r="DK105" s="132"/>
      <c r="DL105" s="132"/>
      <c r="DM105" s="132"/>
      <c r="DN105" s="132"/>
      <c r="DO105" s="131"/>
      <c r="DP105" s="131"/>
      <c r="DQ105" s="132"/>
      <c r="DR105" s="132"/>
      <c r="DS105" s="132"/>
      <c r="DT105" s="132"/>
      <c r="DU105" s="131"/>
      <c r="DV105" s="131"/>
      <c r="DW105" s="131"/>
      <c r="DX105" s="132"/>
      <c r="DY105" s="132"/>
      <c r="DZ105" s="132"/>
      <c r="EA105" s="132"/>
      <c r="EB105" s="110" t="s">
        <v>445</v>
      </c>
      <c r="EC105" s="131"/>
      <c r="ED105" s="131"/>
      <c r="EE105" s="132"/>
      <c r="EF105" s="132"/>
      <c r="EG105" s="132"/>
      <c r="EH105" s="110" t="s">
        <v>445</v>
      </c>
      <c r="EI105" s="110" t="s">
        <v>445</v>
      </c>
      <c r="EJ105" s="131"/>
      <c r="EK105" s="131"/>
      <c r="EL105" s="132"/>
      <c r="EM105" s="132"/>
      <c r="EN105" s="132"/>
      <c r="EO105" s="132"/>
      <c r="EP105" s="132"/>
      <c r="EQ105" s="131"/>
      <c r="ER105" s="131"/>
      <c r="ES105" s="110" t="s">
        <v>445</v>
      </c>
      <c r="ET105" s="132"/>
      <c r="EU105" s="132"/>
      <c r="EV105" s="132"/>
      <c r="EW105" s="132"/>
      <c r="EX105" s="131"/>
      <c r="EY105" s="131"/>
      <c r="EZ105" s="132"/>
      <c r="FA105" s="132"/>
      <c r="FB105" s="132"/>
      <c r="FC105" s="132"/>
      <c r="FD105" s="132"/>
      <c r="FE105" s="131"/>
      <c r="FF105" s="131"/>
      <c r="FG105" s="132"/>
      <c r="FH105" s="132"/>
      <c r="FI105" s="132"/>
      <c r="FJ105" s="132"/>
      <c r="FK105" s="132"/>
      <c r="FL105" s="131"/>
      <c r="FM105" s="131"/>
      <c r="FN105" s="132"/>
      <c r="FO105" s="132"/>
      <c r="FP105" s="132"/>
      <c r="FQ105" s="132"/>
      <c r="FR105" s="132"/>
      <c r="FS105" s="131"/>
      <c r="FT105" s="131"/>
      <c r="FU105" s="132"/>
      <c r="FV105" s="132"/>
      <c r="FW105" s="132"/>
      <c r="FX105" s="132"/>
      <c r="FY105" s="132"/>
      <c r="FZ105" s="131"/>
      <c r="GA105" s="131"/>
      <c r="GB105" s="132"/>
      <c r="GC105" s="132"/>
      <c r="GD105" s="132"/>
      <c r="GE105" s="132"/>
      <c r="GF105" s="132"/>
      <c r="GG105" s="131"/>
      <c r="GH105" s="131"/>
      <c r="GI105" s="132"/>
      <c r="GJ105" s="132"/>
      <c r="GK105" s="132"/>
      <c r="GL105" s="132"/>
      <c r="GM105" s="132"/>
      <c r="GN105" s="131"/>
      <c r="GO105" s="131"/>
      <c r="GP105" s="131"/>
      <c r="GQ105" s="110" t="s">
        <v>445</v>
      </c>
      <c r="GR105" s="132"/>
      <c r="GS105" s="132"/>
      <c r="GT105" s="132"/>
      <c r="GU105" s="131"/>
      <c r="GV105" s="131"/>
      <c r="GW105" s="132"/>
      <c r="GX105" s="132"/>
      <c r="GY105" s="132"/>
      <c r="GZ105" s="132"/>
      <c r="HA105" s="132"/>
      <c r="HB105" s="131"/>
      <c r="HC105" s="131"/>
      <c r="HD105" s="132"/>
      <c r="HE105" s="132"/>
      <c r="HF105" s="132"/>
      <c r="HG105" s="132"/>
      <c r="HH105" s="132"/>
      <c r="HI105" s="131"/>
      <c r="HJ105" s="131"/>
      <c r="HK105" s="132"/>
      <c r="HL105" s="132"/>
      <c r="HM105" s="132"/>
      <c r="HN105" s="132"/>
      <c r="HO105" s="132"/>
      <c r="HP105" s="131"/>
      <c r="HQ105" s="131"/>
      <c r="HR105" s="132"/>
      <c r="HS105" s="132"/>
      <c r="HT105" s="132"/>
      <c r="HU105" s="132"/>
      <c r="HV105" s="132"/>
      <c r="HW105" s="131"/>
      <c r="HX105" s="131"/>
      <c r="HY105" s="132"/>
      <c r="HZ105" s="132"/>
      <c r="IA105" s="132"/>
      <c r="IB105" s="132"/>
      <c r="IC105" s="132"/>
      <c r="ID105" s="131"/>
      <c r="IE105" s="131"/>
      <c r="IF105" s="132"/>
      <c r="IG105" s="132"/>
      <c r="IH105" s="132"/>
      <c r="II105" s="132"/>
      <c r="IJ105" s="132"/>
      <c r="IK105" s="131"/>
      <c r="IL105" s="131"/>
      <c r="IM105" s="132"/>
      <c r="IN105" s="132"/>
      <c r="IO105" s="132"/>
      <c r="IP105" s="132"/>
      <c r="IQ105" s="132"/>
      <c r="IR105" s="131"/>
      <c r="IS105" s="131"/>
      <c r="IT105" s="132"/>
      <c r="IU105" s="132"/>
      <c r="IV105" s="132"/>
      <c r="IW105" s="132"/>
      <c r="IX105" s="132"/>
      <c r="IY105" s="131"/>
      <c r="IZ105" s="131"/>
      <c r="JA105" s="132"/>
      <c r="JB105" s="132"/>
      <c r="JC105" s="132"/>
      <c r="JD105" s="132"/>
      <c r="JE105" s="132"/>
      <c r="JF105" s="131"/>
      <c r="JG105" s="131"/>
      <c r="JH105" s="132"/>
      <c r="JI105" s="132"/>
      <c r="JJ105" s="132"/>
      <c r="JK105" s="132"/>
      <c r="JL105" s="132"/>
      <c r="JM105" s="131"/>
      <c r="JN105" s="131"/>
      <c r="JO105" s="132"/>
      <c r="JP105" s="132"/>
      <c r="JQ105" s="132"/>
      <c r="JR105" s="132"/>
      <c r="JS105" s="132"/>
      <c r="JT105" s="131"/>
      <c r="JU105" s="131"/>
      <c r="JV105" s="132"/>
      <c r="JW105" s="132"/>
      <c r="JX105" s="132"/>
      <c r="JY105" s="132"/>
      <c r="JZ105" s="132"/>
      <c r="KA105" s="131"/>
      <c r="KB105" s="131"/>
      <c r="KC105" s="132"/>
      <c r="KD105" s="132"/>
      <c r="KE105" s="132"/>
      <c r="KF105" s="132"/>
      <c r="KG105" s="132"/>
      <c r="KH105" s="131"/>
      <c r="KI105" s="131"/>
      <c r="KJ105" s="132"/>
      <c r="KK105" s="132"/>
      <c r="KL105" s="132"/>
      <c r="KM105" s="132"/>
      <c r="KN105" s="132"/>
      <c r="KO105" s="131"/>
      <c r="KP105" s="131"/>
      <c r="KQ105" s="132"/>
      <c r="KR105" s="132"/>
      <c r="KS105" s="132"/>
      <c r="KT105" s="132"/>
      <c r="KU105" s="132"/>
      <c r="KV105" s="131"/>
      <c r="KW105" s="131"/>
      <c r="KX105" s="132"/>
      <c r="KY105" s="132"/>
      <c r="KZ105" s="132"/>
      <c r="LA105" s="132"/>
      <c r="LB105" s="132"/>
      <c r="LC105" s="131"/>
      <c r="LD105" s="131"/>
      <c r="LE105" s="132"/>
      <c r="LF105" s="132"/>
      <c r="LG105" s="110" t="s">
        <v>445</v>
      </c>
      <c r="LH105" s="132"/>
      <c r="LI105" s="132"/>
      <c r="LJ105" s="131"/>
      <c r="LK105" s="131"/>
      <c r="LL105" s="132"/>
      <c r="LM105" s="132"/>
      <c r="LN105" s="132"/>
      <c r="LO105" s="132"/>
      <c r="LP105" s="132"/>
      <c r="LQ105" s="131"/>
      <c r="LR105" s="131"/>
      <c r="LS105" s="132"/>
      <c r="LT105" s="132"/>
      <c r="LU105" s="132"/>
      <c r="LV105" s="132"/>
      <c r="LW105" s="132"/>
      <c r="LX105" s="131"/>
      <c r="LY105" s="131"/>
      <c r="LZ105" s="132"/>
      <c r="MA105" s="132"/>
      <c r="MB105" s="132"/>
      <c r="MC105" s="132"/>
      <c r="MD105" s="132"/>
      <c r="ME105" s="131"/>
      <c r="MF105" s="131"/>
      <c r="MG105" s="132"/>
      <c r="MH105" s="132"/>
      <c r="MI105" s="132"/>
      <c r="MJ105" s="132"/>
      <c r="MK105" s="132"/>
      <c r="ML105" s="131"/>
      <c r="MM105" s="131"/>
      <c r="MN105" s="132"/>
      <c r="MO105" s="132"/>
      <c r="MP105" s="132"/>
      <c r="MQ105" s="132"/>
      <c r="MR105" s="132"/>
      <c r="MS105" s="131"/>
      <c r="MT105" s="131"/>
      <c r="MU105" s="132"/>
      <c r="MV105" s="132"/>
      <c r="MW105" s="132"/>
      <c r="MX105" s="132"/>
      <c r="MY105" s="132"/>
      <c r="MZ105" s="131"/>
      <c r="NA105" s="131"/>
      <c r="NB105" s="132"/>
      <c r="NC105" s="132"/>
      <c r="ND105" s="132"/>
      <c r="NE105" s="133"/>
      <c r="NF105" s="111"/>
      <c r="NG105" s="8">
        <f t="shared" si="54"/>
        <v>0</v>
      </c>
      <c r="NH105" s="32" cm="1">
        <f t="array" ref="NH105">NETWORKDAYS($I$2,$AI$2)- SUM(COUNTIF(I105:AI105,{"I";"F";"CP";"R";"P";"AC";"AM"}))</f>
        <v>20</v>
      </c>
      <c r="NI105" s="138">
        <f t="shared" si="55"/>
        <v>0</v>
      </c>
      <c r="NJ105" s="8">
        <f t="shared" si="56"/>
        <v>0</v>
      </c>
      <c r="NK105" s="32" cm="1">
        <f t="array" ref="NK105">NETWORKDAYS($AJ$2,$BK$2)- SUM(COUNTIF(AJ105:BK105,{"I";"F";"CP";"R";"P";"AC";"AM"}))</f>
        <v>20</v>
      </c>
      <c r="NL105" s="138">
        <f t="shared" si="57"/>
        <v>0</v>
      </c>
      <c r="NM105" s="8">
        <f t="shared" si="58"/>
        <v>0</v>
      </c>
      <c r="NN105" s="32" cm="1">
        <f t="array" ref="NN105">NETWORKDAYS($BL$2,$CP$2)- SUM(COUNTIF(BL105:CP105,{"I";"F";"CP";"R";"P";"AC";"AM"}))</f>
        <v>22</v>
      </c>
      <c r="NO105" s="138">
        <f t="shared" si="59"/>
        <v>0</v>
      </c>
      <c r="NP105" s="32">
        <f t="shared" si="53"/>
        <v>0</v>
      </c>
      <c r="NQ105" s="32" cm="1">
        <f t="array" ref="NQ105">NETWORKDAYS($CQ$2,$DT$2,$CV$2)- SUM(COUNTIF(CQ105:DT105,{"I";"F";"CP";"R";"P";"AC";"AM"}))</f>
        <v>21</v>
      </c>
      <c r="NR105" s="138">
        <f t="shared" si="60"/>
        <v>0</v>
      </c>
      <c r="NS105" s="8">
        <f t="shared" si="61"/>
        <v>0</v>
      </c>
      <c r="NT105" s="32" cm="1">
        <f t="array" ref="NT105">NETWORKDAYS($DV$2,$EY$2)-SUM(COUNTIF(DV105:EY105,{"I";"F";"CP";"R";"P";"AC";"AM"}))</f>
        <v>16</v>
      </c>
      <c r="NU105" s="138">
        <f t="shared" si="62"/>
        <v>0</v>
      </c>
      <c r="NV105" s="8">
        <f t="shared" si="63"/>
        <v>0</v>
      </c>
      <c r="NW105" s="32" cm="1">
        <f t="array" ref="NW105">NETWORKDAYS($EZ$2,$GC$2)-SUM(COUNTIF(EZ185:GC185,{"I";"F";"CP";"R";"P";"AC";"AM"}))</f>
        <v>22</v>
      </c>
      <c r="NX105" s="138">
        <f t="shared" si="64"/>
        <v>0</v>
      </c>
      <c r="NY105" s="8">
        <f t="shared" si="65"/>
        <v>0</v>
      </c>
      <c r="NZ105" s="32" cm="1">
        <f t="array" ref="NZ105">NETWORKDAYS($GD$2,$HH$2,$GQ$2)-SUM(COUNTIF(GD105:HH105,{"I";"F";"CP";"R";"P";"AC";"AM"}))</f>
        <v>21</v>
      </c>
      <c r="OA105" s="138">
        <f t="shared" si="66"/>
        <v>0</v>
      </c>
      <c r="OB105" s="8">
        <f t="shared" si="67"/>
        <v>0</v>
      </c>
      <c r="OC105" s="32" cm="1">
        <f t="array" ref="OC105">NETWORKDAYS($HI$2,$IM$2)-SUM(COUNTIF(HI105:IM105,{"I";"F";"CP";"R";"P";"AC";"AM"}))</f>
        <v>21</v>
      </c>
      <c r="OD105" s="138">
        <f t="shared" si="68"/>
        <v>0</v>
      </c>
      <c r="OE105" s="8">
        <f t="shared" si="69"/>
        <v>0</v>
      </c>
      <c r="OF105" s="32" cm="1">
        <f t="array" ref="OF105">NETWORKDAYS($IN$2,$JQ$2)-SUM(COUNTIF(IN105:JQ105,{"I";"F";"CP";"R";"P";"AC";"AM"}))</f>
        <v>22</v>
      </c>
      <c r="OG105" s="138">
        <f t="shared" si="70"/>
        <v>0</v>
      </c>
      <c r="OH105" s="8">
        <f t="shared" si="71"/>
        <v>0</v>
      </c>
      <c r="OI105" s="32" cm="1">
        <f t="array" ref="OI105">NETWORKDAYS($JR$2,$KV$2)-SUM(COUNTIF(JR105:KV105,{"I";"F";"CP";"R";"P";"AC";"AM"}))</f>
        <v>22</v>
      </c>
      <c r="OJ105" s="138">
        <f t="shared" si="72"/>
        <v>0</v>
      </c>
      <c r="OK105" s="8">
        <f t="shared" si="73"/>
        <v>0</v>
      </c>
      <c r="OL105" s="32" cm="1">
        <f t="array" ref="OL105">NETWORKDAYS($KW$2,$LZ$2,$LG$2)-SUM(COUNTIF(KW105:LZ105,{"I";"F";"CP";"R";"P";"AC";"AM"}))</f>
        <v>19</v>
      </c>
      <c r="OM105" s="138">
        <f t="shared" si="74"/>
        <v>0</v>
      </c>
      <c r="ON105" s="8">
        <f t="shared" si="75"/>
        <v>0</v>
      </c>
      <c r="OO105" s="32" cm="1">
        <f t="array" ref="OO105">NETWORKDAYS($MA$2,$MR$2)-SUM(COUNTIF(MA105:MR105,{"I";"F";"CP";"R";"P";"AC";"AM"}))</f>
        <v>14</v>
      </c>
      <c r="OP105" s="138">
        <f t="shared" si="76"/>
        <v>0</v>
      </c>
      <c r="OQ105" s="94">
        <f t="shared" si="77"/>
        <v>0</v>
      </c>
      <c r="OR105" s="94">
        <f t="shared" si="78"/>
        <v>240</v>
      </c>
      <c r="OS105" s="138">
        <f t="shared" si="79"/>
        <v>0</v>
      </c>
    </row>
    <row r="106" spans="1:409" s="30" customFormat="1" ht="15.75" thickBot="1" x14ac:dyDescent="0.3">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c r="BY106" s="111"/>
      <c r="BZ106" s="111"/>
      <c r="CA106" s="111"/>
      <c r="CB106" s="111"/>
      <c r="CC106" s="111"/>
      <c r="CD106" s="111"/>
      <c r="CE106" s="111"/>
      <c r="CF106" s="111"/>
      <c r="CG106" s="111"/>
      <c r="CH106" s="111"/>
      <c r="CI106" s="111"/>
      <c r="CJ106" s="111"/>
      <c r="CK106" s="111"/>
      <c r="CL106" s="111"/>
      <c r="CM106" s="111"/>
      <c r="CN106" s="111"/>
      <c r="CO106" s="111"/>
      <c r="CP106" s="111"/>
      <c r="CQ106" s="111"/>
      <c r="CR106" s="111"/>
      <c r="CS106" s="111"/>
      <c r="CT106" s="111"/>
      <c r="CU106" s="111"/>
      <c r="CV106" s="111"/>
      <c r="CW106" s="111"/>
      <c r="CX106" s="111"/>
      <c r="CY106" s="111"/>
      <c r="CZ106" s="111"/>
      <c r="DA106" s="111"/>
      <c r="DB106" s="111"/>
      <c r="DC106" s="111"/>
      <c r="DD106" s="111"/>
      <c r="DE106" s="111"/>
      <c r="DF106" s="111"/>
      <c r="DG106" s="111"/>
      <c r="DH106" s="111"/>
      <c r="DI106" s="111"/>
      <c r="DJ106" s="111"/>
      <c r="DK106" s="111"/>
      <c r="DL106" s="111"/>
      <c r="DM106" s="111"/>
      <c r="DN106" s="111"/>
      <c r="DO106" s="111"/>
      <c r="DP106" s="111"/>
      <c r="DQ106" s="111"/>
      <c r="DR106" s="111"/>
      <c r="DS106" s="111"/>
      <c r="DT106" s="111"/>
      <c r="DU106" s="111"/>
      <c r="DV106" s="111"/>
      <c r="DW106" s="111"/>
      <c r="DX106" s="111"/>
      <c r="DY106" s="111"/>
      <c r="DZ106" s="111"/>
      <c r="EA106" s="111"/>
      <c r="EB106" s="111"/>
      <c r="EC106" s="111"/>
      <c r="ED106" s="111"/>
      <c r="EE106" s="111"/>
      <c r="EF106" s="111"/>
      <c r="EG106" s="111"/>
      <c r="EH106" s="111"/>
      <c r="EI106" s="111"/>
      <c r="EJ106" s="111"/>
      <c r="EK106" s="111"/>
      <c r="EL106" s="111"/>
      <c r="EM106" s="111"/>
      <c r="EN106" s="111"/>
      <c r="EO106" s="111"/>
      <c r="EP106" s="111"/>
      <c r="EQ106" s="111"/>
      <c r="ER106" s="111"/>
      <c r="ES106" s="111"/>
      <c r="ET106" s="111"/>
      <c r="EU106" s="111"/>
      <c r="EV106" s="111"/>
      <c r="EW106" s="111"/>
      <c r="EX106" s="111"/>
      <c r="EY106" s="111"/>
      <c r="EZ106" s="111"/>
      <c r="FA106" s="111"/>
      <c r="FB106" s="111"/>
      <c r="FC106" s="111"/>
      <c r="FD106" s="111"/>
      <c r="FE106" s="111"/>
      <c r="FF106" s="111"/>
      <c r="FG106" s="111"/>
      <c r="FH106" s="111"/>
      <c r="FI106" s="111"/>
      <c r="FJ106" s="111"/>
      <c r="FK106" s="111"/>
      <c r="FL106" s="111"/>
      <c r="FM106" s="111"/>
      <c r="FN106" s="111"/>
      <c r="FO106" s="111"/>
      <c r="FP106" s="111"/>
      <c r="FQ106" s="111"/>
      <c r="FR106" s="111"/>
      <c r="FS106" s="111"/>
      <c r="FT106" s="111"/>
      <c r="FU106" s="111"/>
      <c r="FV106" s="111"/>
      <c r="FW106" s="111"/>
      <c r="FX106" s="111"/>
      <c r="FY106" s="111"/>
      <c r="FZ106" s="111"/>
      <c r="GA106" s="111"/>
      <c r="GB106" s="111"/>
      <c r="GC106" s="111"/>
      <c r="GD106" s="111"/>
      <c r="GE106" s="111"/>
      <c r="GF106" s="111"/>
      <c r="GG106" s="111"/>
      <c r="GH106" s="111"/>
      <c r="GI106" s="111"/>
      <c r="GJ106" s="111"/>
      <c r="GK106" s="111"/>
      <c r="GL106" s="111"/>
      <c r="GM106" s="111"/>
      <c r="GN106" s="111"/>
      <c r="GO106" s="111"/>
      <c r="GP106" s="111"/>
      <c r="GQ106" s="111"/>
      <c r="GR106" s="111"/>
      <c r="GS106" s="111"/>
      <c r="GT106" s="111"/>
      <c r="GU106" s="111"/>
      <c r="GV106" s="111"/>
      <c r="GW106" s="111"/>
      <c r="GX106" s="111"/>
      <c r="GY106" s="111"/>
      <c r="GZ106" s="111"/>
      <c r="HA106" s="111"/>
      <c r="HB106" s="111"/>
      <c r="HC106" s="111"/>
      <c r="HD106" s="111"/>
      <c r="HE106" s="111"/>
      <c r="HF106" s="111"/>
      <c r="HG106" s="111"/>
      <c r="HH106" s="111"/>
      <c r="HI106" s="111"/>
      <c r="HJ106" s="111"/>
      <c r="HK106" s="111"/>
      <c r="HL106" s="111"/>
      <c r="HM106" s="111"/>
      <c r="HN106" s="111"/>
      <c r="HO106" s="111"/>
      <c r="HP106" s="111"/>
      <c r="HQ106" s="111"/>
      <c r="HR106" s="111"/>
      <c r="HS106" s="111"/>
      <c r="HT106" s="111"/>
      <c r="HU106" s="111"/>
      <c r="HV106" s="111"/>
      <c r="HW106" s="111"/>
      <c r="HX106" s="111"/>
      <c r="HY106" s="111"/>
      <c r="HZ106" s="111"/>
      <c r="IA106" s="111"/>
      <c r="IB106" s="111"/>
      <c r="IC106" s="111"/>
      <c r="ID106" s="111"/>
      <c r="IE106" s="111"/>
      <c r="IF106" s="111"/>
      <c r="IG106" s="111"/>
      <c r="IH106" s="111"/>
      <c r="II106" s="111"/>
      <c r="IJ106" s="111"/>
      <c r="IK106" s="111"/>
      <c r="IL106" s="111"/>
      <c r="IM106" s="111"/>
      <c r="IN106" s="111"/>
      <c r="IO106" s="111"/>
      <c r="IP106" s="111"/>
      <c r="IQ106" s="111"/>
      <c r="IR106" s="111"/>
      <c r="IS106" s="111"/>
      <c r="IT106" s="111"/>
      <c r="IU106" s="111"/>
      <c r="IV106" s="111"/>
      <c r="IW106" s="111"/>
      <c r="IX106" s="111"/>
      <c r="IY106" s="111"/>
      <c r="IZ106" s="111"/>
      <c r="JA106" s="111"/>
      <c r="JB106" s="111"/>
      <c r="JC106" s="111"/>
      <c r="JD106" s="111"/>
      <c r="JE106" s="111"/>
      <c r="JF106" s="111"/>
      <c r="JG106" s="111"/>
      <c r="JH106" s="111"/>
      <c r="JI106" s="111"/>
      <c r="JJ106" s="111"/>
      <c r="JK106" s="111"/>
      <c r="JL106" s="111"/>
      <c r="JM106" s="111"/>
      <c r="JN106" s="111"/>
      <c r="JO106" s="111"/>
      <c r="JP106" s="111"/>
      <c r="JQ106" s="111"/>
      <c r="JR106" s="111"/>
      <c r="JS106" s="111"/>
      <c r="JT106" s="111"/>
      <c r="JU106" s="111"/>
      <c r="JV106" s="111"/>
      <c r="JW106" s="111"/>
      <c r="JX106" s="111"/>
      <c r="JY106" s="111"/>
      <c r="JZ106" s="111"/>
      <c r="KA106" s="111"/>
      <c r="KB106" s="111"/>
      <c r="KC106" s="111"/>
      <c r="KD106" s="111"/>
      <c r="KE106" s="111"/>
      <c r="KF106" s="111"/>
      <c r="KG106" s="111"/>
      <c r="KH106" s="111"/>
      <c r="KI106" s="111"/>
      <c r="KJ106" s="111"/>
      <c r="KK106" s="111"/>
      <c r="KL106" s="111"/>
      <c r="KM106" s="111"/>
      <c r="KN106" s="111"/>
      <c r="KO106" s="111"/>
      <c r="KP106" s="111"/>
      <c r="KQ106" s="111"/>
      <c r="KR106" s="111"/>
      <c r="KS106" s="111"/>
      <c r="KT106" s="111"/>
      <c r="KU106" s="111"/>
      <c r="KV106" s="111"/>
      <c r="KW106" s="111"/>
      <c r="KX106" s="111"/>
      <c r="KY106" s="111"/>
      <c r="KZ106" s="111"/>
      <c r="LA106" s="111"/>
      <c r="LB106" s="111"/>
      <c r="LC106" s="111"/>
      <c r="LD106" s="111"/>
      <c r="LE106" s="111"/>
      <c r="LF106" s="111"/>
      <c r="LG106" s="111"/>
      <c r="LH106" s="111"/>
      <c r="LI106" s="111"/>
      <c r="LJ106" s="111"/>
      <c r="LK106" s="111"/>
      <c r="LL106" s="111"/>
      <c r="LM106" s="111"/>
      <c r="LN106" s="111"/>
      <c r="LO106" s="111"/>
      <c r="LP106" s="111"/>
      <c r="LQ106" s="111"/>
      <c r="LR106" s="111"/>
      <c r="LS106" s="111"/>
      <c r="LT106" s="111"/>
      <c r="LU106" s="111"/>
      <c r="LV106" s="111"/>
      <c r="LW106" s="111"/>
      <c r="LX106" s="111"/>
      <c r="LY106" s="111"/>
      <c r="LZ106" s="111"/>
      <c r="MA106" s="111"/>
      <c r="MB106" s="111"/>
      <c r="MC106" s="111"/>
      <c r="MD106" s="111"/>
      <c r="ME106" s="111"/>
      <c r="MF106" s="111"/>
      <c r="MG106" s="111"/>
      <c r="MH106" s="111"/>
      <c r="MI106" s="111"/>
      <c r="MJ106" s="111"/>
      <c r="MK106" s="111"/>
      <c r="ML106" s="111"/>
      <c r="MM106" s="111"/>
      <c r="MN106" s="111"/>
      <c r="MO106" s="111"/>
      <c r="MP106" s="111"/>
      <c r="MQ106" s="111"/>
      <c r="MR106" s="111"/>
      <c r="MS106" s="111"/>
      <c r="MT106" s="111"/>
      <c r="MU106" s="111"/>
      <c r="MV106" s="111"/>
      <c r="MW106" s="111"/>
      <c r="MX106" s="111"/>
      <c r="MY106" s="111"/>
      <c r="MZ106" s="111"/>
      <c r="NA106" s="111"/>
      <c r="NB106" s="111"/>
      <c r="NC106" s="111"/>
      <c r="ND106" s="111"/>
      <c r="NE106" s="111"/>
      <c r="NF106" s="111"/>
      <c r="NG106" s="118"/>
      <c r="NH106" s="118">
        <v>21</v>
      </c>
      <c r="NI106" s="118"/>
      <c r="NJ106" s="118">
        <v>20</v>
      </c>
      <c r="NK106" s="118"/>
      <c r="NL106" s="118"/>
      <c r="NM106" s="118">
        <v>22</v>
      </c>
      <c r="NN106" s="118"/>
      <c r="NO106" s="118"/>
      <c r="NQ106" s="118">
        <v>21</v>
      </c>
      <c r="NR106" s="118"/>
      <c r="NS106" s="118">
        <v>16</v>
      </c>
      <c r="NT106" s="118"/>
      <c r="NU106" s="118"/>
      <c r="NV106" s="118">
        <v>22</v>
      </c>
      <c r="NW106" s="118"/>
      <c r="NX106" s="118"/>
      <c r="NY106" s="118">
        <v>21</v>
      </c>
      <c r="NZ106" s="118"/>
      <c r="OA106" s="118"/>
      <c r="OB106" s="118">
        <v>21</v>
      </c>
      <c r="OC106" s="118"/>
      <c r="OD106" s="118"/>
      <c r="OE106" s="118">
        <v>22</v>
      </c>
      <c r="OF106" s="118"/>
      <c r="OG106" s="118"/>
      <c r="OH106" s="118">
        <v>22</v>
      </c>
      <c r="OI106" s="118"/>
      <c r="OJ106" s="118"/>
      <c r="OK106" s="118">
        <v>20</v>
      </c>
      <c r="OL106" s="118"/>
      <c r="OM106" s="118"/>
      <c r="ON106" s="118">
        <v>14</v>
      </c>
      <c r="OO106" s="118"/>
      <c r="OP106" s="135"/>
      <c r="OQ106" s="119">
        <f>SUM(NG106:ON106)</f>
        <v>242</v>
      </c>
      <c r="OR106" s="119">
        <f t="shared" ref="OR106:OS106" si="80">SUM(NH106:OO106)</f>
        <v>242</v>
      </c>
      <c r="OS106" s="119">
        <f t="shared" si="80"/>
        <v>221</v>
      </c>
    </row>
    <row r="107" spans="1:409" s="30" customFormat="1" x14ac:dyDescent="0.25">
      <c r="E107" s="113"/>
      <c r="F107" s="113"/>
      <c r="G107" s="113"/>
      <c r="H107" s="113"/>
      <c r="I107" s="113"/>
      <c r="J107" s="113"/>
      <c r="K107" s="113"/>
      <c r="L107" s="113"/>
      <c r="M107" s="113"/>
      <c r="N107" s="113"/>
      <c r="O107" s="113"/>
      <c r="P107" s="113"/>
      <c r="Q107" s="113"/>
      <c r="R107" s="114"/>
    </row>
    <row r="108" spans="1:409" s="30" customFormat="1" x14ac:dyDescent="0.25">
      <c r="E108" s="113"/>
      <c r="F108" s="113"/>
      <c r="G108" s="113"/>
      <c r="H108" s="113"/>
      <c r="I108" s="113"/>
      <c r="J108" s="113"/>
      <c r="K108" s="113"/>
      <c r="L108" s="113"/>
      <c r="M108" s="113"/>
      <c r="N108" s="113"/>
      <c r="O108" s="113"/>
      <c r="P108" s="113"/>
      <c r="Q108" s="113"/>
      <c r="R108" s="114"/>
    </row>
    <row r="109" spans="1:409" s="30" customFormat="1" x14ac:dyDescent="0.25">
      <c r="E109" s="112"/>
      <c r="F109" s="115"/>
      <c r="G109" s="115"/>
      <c r="H109" s="115"/>
      <c r="I109" s="115"/>
      <c r="J109" s="115"/>
      <c r="K109" s="115"/>
      <c r="L109" s="115"/>
      <c r="M109" s="115"/>
      <c r="N109" s="115"/>
      <c r="O109" s="115"/>
      <c r="P109" s="115"/>
      <c r="Q109" s="115"/>
      <c r="R109" s="116"/>
    </row>
    <row r="110" spans="1:409" s="30" customFormat="1" x14ac:dyDescent="0.25">
      <c r="E110" s="113"/>
      <c r="F110" s="502"/>
      <c r="G110" s="502"/>
      <c r="H110" s="502"/>
      <c r="I110" s="502"/>
      <c r="J110" s="502"/>
      <c r="K110" s="502"/>
      <c r="L110" s="502"/>
      <c r="M110" s="502"/>
      <c r="N110" s="502"/>
      <c r="O110" s="502"/>
      <c r="P110" s="502"/>
      <c r="Q110" s="502"/>
      <c r="R110" s="113"/>
    </row>
    <row r="111" spans="1:409" s="30" customFormat="1" x14ac:dyDescent="0.25">
      <c r="E111" s="113"/>
      <c r="F111" s="502"/>
      <c r="G111" s="502"/>
      <c r="H111" s="502"/>
      <c r="I111" s="502"/>
      <c r="J111" s="502"/>
      <c r="K111" s="502"/>
      <c r="L111" s="502"/>
      <c r="M111" s="502"/>
      <c r="N111" s="502"/>
      <c r="O111" s="502"/>
      <c r="P111" s="502"/>
      <c r="Q111" s="502"/>
      <c r="R111" s="113"/>
    </row>
    <row r="112" spans="1:409" s="30" customFormat="1" x14ac:dyDescent="0.25">
      <c r="E112" s="112"/>
      <c r="F112" s="505"/>
      <c r="G112" s="505"/>
      <c r="H112" s="505"/>
      <c r="I112" s="505"/>
      <c r="J112" s="505"/>
      <c r="K112" s="505"/>
      <c r="L112" s="505"/>
      <c r="M112" s="505"/>
      <c r="N112" s="505"/>
      <c r="O112" s="505"/>
      <c r="P112" s="505"/>
      <c r="Q112" s="505"/>
      <c r="R112" s="117"/>
    </row>
    <row r="113" spans="5:18" s="30" customFormat="1" x14ac:dyDescent="0.25"/>
    <row r="114" spans="5:18" s="30" customFormat="1" x14ac:dyDescent="0.25">
      <c r="E114" s="113"/>
      <c r="F114" s="113"/>
      <c r="G114" s="113"/>
      <c r="H114" s="113"/>
      <c r="I114" s="113"/>
      <c r="J114" s="113"/>
      <c r="K114" s="113"/>
      <c r="L114" s="113"/>
      <c r="M114" s="113"/>
      <c r="N114" s="113"/>
      <c r="O114" s="113"/>
      <c r="P114" s="113"/>
      <c r="Q114" s="113"/>
      <c r="R114" s="114"/>
    </row>
    <row r="115" spans="5:18" s="30" customFormat="1" x14ac:dyDescent="0.25">
      <c r="E115" s="113"/>
      <c r="F115" s="113"/>
      <c r="G115" s="113"/>
      <c r="H115" s="113"/>
      <c r="I115" s="113"/>
      <c r="J115" s="113"/>
      <c r="K115" s="113"/>
      <c r="L115" s="113"/>
      <c r="M115" s="113"/>
      <c r="N115" s="113"/>
      <c r="O115" s="113"/>
      <c r="P115" s="113"/>
      <c r="Q115" s="113"/>
      <c r="R115" s="114"/>
    </row>
    <row r="116" spans="5:18" s="30" customFormat="1" x14ac:dyDescent="0.25">
      <c r="E116" s="112"/>
      <c r="F116" s="115"/>
      <c r="G116" s="115"/>
      <c r="H116" s="115"/>
      <c r="I116" s="115"/>
      <c r="J116" s="115"/>
      <c r="K116" s="115"/>
      <c r="L116" s="115"/>
      <c r="M116" s="115"/>
      <c r="N116" s="115"/>
      <c r="O116" s="115"/>
      <c r="P116" s="115"/>
      <c r="Q116" s="115"/>
      <c r="R116" s="116"/>
    </row>
    <row r="117" spans="5:18" s="30" customFormat="1" x14ac:dyDescent="0.25">
      <c r="E117" s="113"/>
      <c r="F117" s="502"/>
      <c r="G117" s="502"/>
      <c r="H117" s="502"/>
      <c r="I117" s="502"/>
      <c r="J117" s="502"/>
      <c r="K117" s="502"/>
      <c r="L117" s="502"/>
      <c r="M117" s="502"/>
      <c r="N117" s="502"/>
      <c r="O117" s="502"/>
      <c r="P117" s="502"/>
      <c r="Q117" s="502"/>
      <c r="R117" s="113"/>
    </row>
    <row r="118" spans="5:18" s="30" customFormat="1" x14ac:dyDescent="0.25">
      <c r="E118" s="113"/>
      <c r="F118" s="502"/>
      <c r="G118" s="502"/>
      <c r="H118" s="502"/>
      <c r="I118" s="502"/>
      <c r="J118" s="502"/>
      <c r="K118" s="502"/>
      <c r="L118" s="502"/>
      <c r="M118" s="502"/>
      <c r="N118" s="502"/>
      <c r="O118" s="502"/>
      <c r="P118" s="502"/>
      <c r="Q118" s="502"/>
      <c r="R118" s="113"/>
    </row>
    <row r="119" spans="5:18" s="30" customFormat="1" x14ac:dyDescent="0.25">
      <c r="E119" s="112"/>
      <c r="F119" s="505"/>
      <c r="G119" s="505"/>
      <c r="H119" s="505"/>
      <c r="I119" s="505"/>
      <c r="J119" s="505"/>
      <c r="K119" s="505"/>
      <c r="L119" s="505"/>
      <c r="M119" s="505"/>
      <c r="N119" s="505"/>
      <c r="O119" s="505"/>
      <c r="P119" s="505"/>
      <c r="Q119" s="505"/>
      <c r="R119" s="117"/>
    </row>
    <row r="120" spans="5:18" s="30" customFormat="1" x14ac:dyDescent="0.25"/>
    <row r="121" spans="5:18" s="30" customFormat="1" x14ac:dyDescent="0.25"/>
    <row r="122" spans="5:18" s="30" customFormat="1" x14ac:dyDescent="0.25"/>
    <row r="123" spans="5:18" s="30" customFormat="1" x14ac:dyDescent="0.25"/>
    <row r="124" spans="5:18" s="30" customFormat="1" x14ac:dyDescent="0.25"/>
  </sheetData>
  <autoFilter ref="A2:OS105" xr:uid="{5905D6B8-ECA8-47B9-AA0E-8F3CE15F96F0}">
    <filterColumn colId="0">
      <filters>
        <filter val="AUVERGNE"/>
      </filters>
    </filterColumn>
  </autoFilter>
  <mergeCells count="37">
    <mergeCell ref="F111:H111"/>
    <mergeCell ref="I111:K111"/>
    <mergeCell ref="L111:N111"/>
    <mergeCell ref="O111:Q111"/>
    <mergeCell ref="NY1:OA1"/>
    <mergeCell ref="NG1:NI1"/>
    <mergeCell ref="NJ1:NL1"/>
    <mergeCell ref="NM1:NO1"/>
    <mergeCell ref="NP1:NR1"/>
    <mergeCell ref="NS1:NU1"/>
    <mergeCell ref="NV1:NX1"/>
    <mergeCell ref="OQ1:OS1"/>
    <mergeCell ref="F110:H110"/>
    <mergeCell ref="I110:K110"/>
    <mergeCell ref="L110:N110"/>
    <mergeCell ref="O110:Q110"/>
    <mergeCell ref="OB1:OD1"/>
    <mergeCell ref="OE1:OG1"/>
    <mergeCell ref="OH1:OJ1"/>
    <mergeCell ref="OK1:OM1"/>
    <mergeCell ref="ON1:OP1"/>
    <mergeCell ref="F112:H112"/>
    <mergeCell ref="I112:K112"/>
    <mergeCell ref="L112:N112"/>
    <mergeCell ref="O112:Q112"/>
    <mergeCell ref="F117:H117"/>
    <mergeCell ref="I117:K117"/>
    <mergeCell ref="L117:N117"/>
    <mergeCell ref="O117:Q117"/>
    <mergeCell ref="F118:H118"/>
    <mergeCell ref="I118:K118"/>
    <mergeCell ref="L118:N118"/>
    <mergeCell ref="O118:Q118"/>
    <mergeCell ref="F119:H119"/>
    <mergeCell ref="I119:K119"/>
    <mergeCell ref="L119:N119"/>
    <mergeCell ref="O119:Q119"/>
  </mergeCells>
  <conditionalFormatting sqref="A3:D105">
    <cfRule type="expression" dxfId="45" priority="33">
      <formula>MOD(ROW(),2)</formula>
    </cfRule>
  </conditionalFormatting>
  <conditionalFormatting sqref="E3:LG105">
    <cfRule type="cellIs" dxfId="44" priority="1" operator="equal">
      <formula>1</formula>
    </cfRule>
  </conditionalFormatting>
  <conditionalFormatting sqref="F109:Q109">
    <cfRule type="dataBar" priority="40">
      <dataBar>
        <cfvo type="min"/>
        <cfvo type="max"/>
        <color rgb="FFD6007B"/>
      </dataBar>
      <extLst>
        <ext xmlns:x14="http://schemas.microsoft.com/office/spreadsheetml/2009/9/main" uri="{B025F937-C7B1-47D3-B67F-A62EFF666E3E}">
          <x14:id>{1D84221B-0078-418C-ABAB-FA8D8099939A}</x14:id>
        </ext>
      </extLst>
    </cfRule>
    <cfRule type="dataBar" priority="42">
      <dataBar>
        <cfvo type="min"/>
        <cfvo type="max"/>
        <color rgb="FFD6007B"/>
      </dataBar>
      <extLst>
        <ext xmlns:x14="http://schemas.microsoft.com/office/spreadsheetml/2009/9/main" uri="{B025F937-C7B1-47D3-B67F-A62EFF666E3E}">
          <x14:id>{C6F2F9D0-B185-478A-90CD-B3726F6C468C}</x14:id>
        </ext>
      </extLst>
    </cfRule>
  </conditionalFormatting>
  <conditionalFormatting sqref="F112:Q112">
    <cfRule type="dataBar" priority="45">
      <dataBar>
        <cfvo type="min"/>
        <cfvo type="max"/>
        <color rgb="FFFFB628"/>
      </dataBar>
      <extLst>
        <ext xmlns:x14="http://schemas.microsoft.com/office/spreadsheetml/2009/9/main" uri="{B025F937-C7B1-47D3-B67F-A62EFF666E3E}">
          <x14:id>{EBFC2684-7E8F-401B-8097-11E7739AC896}</x14:id>
        </ext>
      </extLst>
    </cfRule>
  </conditionalFormatting>
  <conditionalFormatting sqref="F116:Q116 F109:Q109">
    <cfRule type="dataBar" priority="47">
      <dataBar>
        <cfvo type="min"/>
        <cfvo type="max"/>
        <color rgb="FF008AEF"/>
      </dataBar>
      <extLst>
        <ext xmlns:x14="http://schemas.microsoft.com/office/spreadsheetml/2009/9/main" uri="{B025F937-C7B1-47D3-B67F-A62EFF666E3E}">
          <x14:id>{56CC7D57-A854-41CA-AEED-29E3766FB1AB}</x14:id>
        </ext>
      </extLst>
    </cfRule>
  </conditionalFormatting>
  <conditionalFormatting sqref="F116:Q116">
    <cfRule type="dataBar" priority="34">
      <dataBar>
        <cfvo type="min"/>
        <cfvo type="max"/>
        <color rgb="FFD6007B"/>
      </dataBar>
      <extLst>
        <ext xmlns:x14="http://schemas.microsoft.com/office/spreadsheetml/2009/9/main" uri="{B025F937-C7B1-47D3-B67F-A62EFF666E3E}">
          <x14:id>{5D15672D-3AF3-4A16-9E86-00CCDDF9E974}</x14:id>
        </ext>
      </extLst>
    </cfRule>
    <cfRule type="dataBar" priority="36">
      <dataBar>
        <cfvo type="min"/>
        <cfvo type="max"/>
        <color rgb="FFD6007B"/>
      </dataBar>
      <extLst>
        <ext xmlns:x14="http://schemas.microsoft.com/office/spreadsheetml/2009/9/main" uri="{B025F937-C7B1-47D3-B67F-A62EFF666E3E}">
          <x14:id>{94552435-9C63-4764-AA98-D1B9B0FBC954}</x14:id>
        </ext>
      </extLst>
    </cfRule>
  </conditionalFormatting>
  <conditionalFormatting sqref="F119:Q119">
    <cfRule type="dataBar" priority="39">
      <dataBar>
        <cfvo type="min"/>
        <cfvo type="max"/>
        <color rgb="FFFFB628"/>
      </dataBar>
      <extLst>
        <ext xmlns:x14="http://schemas.microsoft.com/office/spreadsheetml/2009/9/main" uri="{B025F937-C7B1-47D3-B67F-A62EFF666E3E}">
          <x14:id>{336091AD-0752-4F83-80F3-88F908152E0A}</x14:id>
        </ext>
      </extLst>
    </cfRule>
  </conditionalFormatting>
  <conditionalFormatting sqref="R109">
    <cfRule type="colorScale" priority="43">
      <colorScale>
        <cfvo type="min"/>
        <cfvo type="percentile" val="50"/>
        <cfvo type="max"/>
        <color rgb="FFF8696B"/>
        <color rgb="FFFFEB84"/>
        <color rgb="FF63BE7B"/>
      </colorScale>
    </cfRule>
    <cfRule type="colorScale" priority="41">
      <colorScale>
        <cfvo type="min"/>
        <cfvo type="percentile" val="50"/>
        <cfvo type="max"/>
        <color rgb="FFF8696B"/>
        <color rgb="FFFFEB84"/>
        <color rgb="FF63BE7B"/>
      </colorScale>
    </cfRule>
  </conditionalFormatting>
  <conditionalFormatting sqref="R112">
    <cfRule type="dataBar" priority="44">
      <dataBar>
        <cfvo type="min"/>
        <cfvo type="max"/>
        <color rgb="FFFFB628"/>
      </dataBar>
      <extLst>
        <ext xmlns:x14="http://schemas.microsoft.com/office/spreadsheetml/2009/9/main" uri="{B025F937-C7B1-47D3-B67F-A62EFF666E3E}">
          <x14:id>{E1FE3ADD-7196-4C35-9275-1E28BB1A4451}</x14:id>
        </ext>
      </extLst>
    </cfRule>
  </conditionalFormatting>
  <conditionalFormatting sqref="R116">
    <cfRule type="colorScale" priority="35">
      <colorScale>
        <cfvo type="min"/>
        <cfvo type="percentile" val="50"/>
        <cfvo type="max"/>
        <color rgb="FFF8696B"/>
        <color rgb="FFFFEB84"/>
        <color rgb="FF63BE7B"/>
      </colorScale>
    </cfRule>
    <cfRule type="colorScale" priority="37">
      <colorScale>
        <cfvo type="min"/>
        <cfvo type="percentile" val="50"/>
        <cfvo type="max"/>
        <color rgb="FFF8696B"/>
        <color rgb="FFFFEB84"/>
        <color rgb="FF63BE7B"/>
      </colorScale>
    </cfRule>
  </conditionalFormatting>
  <conditionalFormatting sqref="R119">
    <cfRule type="dataBar" priority="38">
      <dataBar>
        <cfvo type="min"/>
        <cfvo type="max"/>
        <color rgb="FFFFB628"/>
      </dataBar>
      <extLst>
        <ext xmlns:x14="http://schemas.microsoft.com/office/spreadsheetml/2009/9/main" uri="{B025F937-C7B1-47D3-B67F-A62EFF666E3E}">
          <x14:id>{A6686C8B-AF5F-4E2D-82C3-EE7DA2EA5EC8}</x14:id>
        </ext>
      </extLst>
    </cfRule>
  </conditionalFormatting>
  <conditionalFormatting sqref="LH3:NF9 LH10:MC10 ME10:NF10">
    <cfRule type="cellIs" dxfId="43" priority="46" operator="equal">
      <formula>1</formula>
    </cfRule>
  </conditionalFormatting>
  <conditionalFormatting sqref="LH11:NF105">
    <cfRule type="cellIs" dxfId="42" priority="8" operator="equal">
      <formula>1</formula>
    </cfRule>
  </conditionalFormatting>
  <conditionalFormatting sqref="NG3:OP105">
    <cfRule type="containsBlanks" dxfId="41" priority="14">
      <formula>LEN(TRIM(NG3))=0</formula>
    </cfRule>
    <cfRule type="containsText" dxfId="40" priority="16" operator="containsText" text="0">
      <formula>NOT(ISERROR(SEARCH("0",NG3)))</formula>
    </cfRule>
  </conditionalFormatting>
  <conditionalFormatting sqref="NG3:OS105">
    <cfRule type="expression" dxfId="39" priority="15">
      <formula>MOD(ROW(),2)</formula>
    </cfRule>
  </conditionalFormatting>
  <conditionalFormatting sqref="NI3:NI105">
    <cfRule type="dataBar" priority="176">
      <dataBar>
        <cfvo type="percent" val="0"/>
        <cfvo type="percent" val="100"/>
        <color rgb="FFF94607"/>
      </dataBar>
      <extLst>
        <ext xmlns:x14="http://schemas.microsoft.com/office/spreadsheetml/2009/9/main" uri="{B025F937-C7B1-47D3-B67F-A62EFF666E3E}">
          <x14:id>{BBFECD66-2270-4744-9852-73B12042F67D}</x14:id>
        </ext>
      </extLst>
    </cfRule>
  </conditionalFormatting>
  <conditionalFormatting sqref="NL3:NL105">
    <cfRule type="dataBar" priority="180">
      <dataBar>
        <cfvo type="percent" val="0"/>
        <cfvo type="percent" val="100"/>
        <color rgb="FFF94607"/>
      </dataBar>
      <extLst>
        <ext xmlns:x14="http://schemas.microsoft.com/office/spreadsheetml/2009/9/main" uri="{B025F937-C7B1-47D3-B67F-A62EFF666E3E}">
          <x14:id>{D3E3F15B-F6F5-4FF1-AFDF-E6585AC671E1}</x14:id>
        </ext>
      </extLst>
    </cfRule>
  </conditionalFormatting>
  <conditionalFormatting sqref="NO3:NO105">
    <cfRule type="dataBar" priority="182">
      <dataBar>
        <cfvo type="percent" val="0"/>
        <cfvo type="percent" val="100"/>
        <color rgb="FFF94607"/>
      </dataBar>
      <extLst>
        <ext xmlns:x14="http://schemas.microsoft.com/office/spreadsheetml/2009/9/main" uri="{B025F937-C7B1-47D3-B67F-A62EFF666E3E}">
          <x14:id>{2A450B41-1AC0-44B4-A4CF-BC2D993B900F}</x14:id>
        </ext>
      </extLst>
    </cfRule>
  </conditionalFormatting>
  <conditionalFormatting sqref="NR3:NR105">
    <cfRule type="dataBar" priority="184">
      <dataBar>
        <cfvo type="percent" val="0"/>
        <cfvo type="percent" val="100"/>
        <color rgb="FFF94607"/>
      </dataBar>
      <extLst>
        <ext xmlns:x14="http://schemas.microsoft.com/office/spreadsheetml/2009/9/main" uri="{B025F937-C7B1-47D3-B67F-A62EFF666E3E}">
          <x14:id>{3D31AD18-D983-47FB-879C-5EFFFCDB4135}</x14:id>
        </ext>
      </extLst>
    </cfRule>
  </conditionalFormatting>
  <conditionalFormatting sqref="NU3:NU105">
    <cfRule type="dataBar" priority="186">
      <dataBar>
        <cfvo type="percent" val="0"/>
        <cfvo type="percent" val="100"/>
        <color rgb="FFF94607"/>
      </dataBar>
      <extLst>
        <ext xmlns:x14="http://schemas.microsoft.com/office/spreadsheetml/2009/9/main" uri="{B025F937-C7B1-47D3-B67F-A62EFF666E3E}">
          <x14:id>{AAA8469B-C3B4-40FE-A6AE-E38F654DC05D}</x14:id>
        </ext>
      </extLst>
    </cfRule>
  </conditionalFormatting>
  <conditionalFormatting sqref="NX3:NX105">
    <cfRule type="dataBar" priority="188">
      <dataBar>
        <cfvo type="percent" val="0"/>
        <cfvo type="percent" val="100"/>
        <color rgb="FFF94607"/>
      </dataBar>
      <extLst>
        <ext xmlns:x14="http://schemas.microsoft.com/office/spreadsheetml/2009/9/main" uri="{B025F937-C7B1-47D3-B67F-A62EFF666E3E}">
          <x14:id>{2FC34665-BAEC-4338-A830-880D517D4C2A}</x14:id>
        </ext>
      </extLst>
    </cfRule>
  </conditionalFormatting>
  <conditionalFormatting sqref="OA3:OA105">
    <cfRule type="dataBar" priority="190">
      <dataBar>
        <cfvo type="percent" val="0"/>
        <cfvo type="percent" val="100"/>
        <color rgb="FFF94607"/>
      </dataBar>
      <extLst>
        <ext xmlns:x14="http://schemas.microsoft.com/office/spreadsheetml/2009/9/main" uri="{B025F937-C7B1-47D3-B67F-A62EFF666E3E}">
          <x14:id>{0F340EF7-A17A-4646-869B-363432F6969D}</x14:id>
        </ext>
      </extLst>
    </cfRule>
  </conditionalFormatting>
  <conditionalFormatting sqref="OD3:OD105">
    <cfRule type="dataBar" priority="192">
      <dataBar>
        <cfvo type="percent" val="0"/>
        <cfvo type="percent" val="100"/>
        <color rgb="FFF94607"/>
      </dataBar>
      <extLst>
        <ext xmlns:x14="http://schemas.microsoft.com/office/spreadsheetml/2009/9/main" uri="{B025F937-C7B1-47D3-B67F-A62EFF666E3E}">
          <x14:id>{B511E384-1DD4-43BA-93DC-49FEF9917B37}</x14:id>
        </ext>
      </extLst>
    </cfRule>
  </conditionalFormatting>
  <conditionalFormatting sqref="OG3:OG105">
    <cfRule type="dataBar" priority="194">
      <dataBar>
        <cfvo type="percent" val="0"/>
        <cfvo type="percent" val="100"/>
        <color rgb="FFF94607"/>
      </dataBar>
      <extLst>
        <ext xmlns:x14="http://schemas.microsoft.com/office/spreadsheetml/2009/9/main" uri="{B025F937-C7B1-47D3-B67F-A62EFF666E3E}">
          <x14:id>{64FBF0CB-DA11-4ECF-9930-E385C4BCD674}</x14:id>
        </ext>
      </extLst>
    </cfRule>
  </conditionalFormatting>
  <conditionalFormatting sqref="OJ3:OJ105">
    <cfRule type="dataBar" priority="196">
      <dataBar>
        <cfvo type="percent" val="0"/>
        <cfvo type="percent" val="100"/>
        <color rgb="FFF94607"/>
      </dataBar>
      <extLst>
        <ext xmlns:x14="http://schemas.microsoft.com/office/spreadsheetml/2009/9/main" uri="{B025F937-C7B1-47D3-B67F-A62EFF666E3E}">
          <x14:id>{1E37167C-FA11-482C-A921-C8E170839ED0}</x14:id>
        </ext>
      </extLst>
    </cfRule>
  </conditionalFormatting>
  <conditionalFormatting sqref="OM3:OM105">
    <cfRule type="dataBar" priority="198">
      <dataBar>
        <cfvo type="percent" val="0"/>
        <cfvo type="percent" val="100"/>
        <color rgb="FFF94607"/>
      </dataBar>
      <extLst>
        <ext xmlns:x14="http://schemas.microsoft.com/office/spreadsheetml/2009/9/main" uri="{B025F937-C7B1-47D3-B67F-A62EFF666E3E}">
          <x14:id>{A9D898D9-5003-4C18-A17B-D955764637DC}</x14:id>
        </ext>
      </extLst>
    </cfRule>
  </conditionalFormatting>
  <conditionalFormatting sqref="OP3:OP105">
    <cfRule type="dataBar" priority="200">
      <dataBar>
        <cfvo type="percent" val="0"/>
        <cfvo type="percent" val="100"/>
        <color rgb="FFF94607"/>
      </dataBar>
      <extLst>
        <ext xmlns:x14="http://schemas.microsoft.com/office/spreadsheetml/2009/9/main" uri="{B025F937-C7B1-47D3-B67F-A62EFF666E3E}">
          <x14:id>{BC85E893-9B40-43EC-AADA-FCB02CD35463}</x14:id>
        </ext>
      </extLst>
    </cfRule>
  </conditionalFormatting>
  <conditionalFormatting sqref="OQ3:OS106">
    <cfRule type="containsBlanks" dxfId="38" priority="51">
      <formula>LEN(TRIM(OQ3))=0</formula>
    </cfRule>
  </conditionalFormatting>
  <conditionalFormatting sqref="OQ106:OS106">
    <cfRule type="expression" dxfId="37" priority="50">
      <formula>MOD(ROW(),2)</formula>
    </cfRule>
  </conditionalFormatting>
  <conditionalFormatting sqref="OS3:OS105">
    <cfRule type="colorScale" priority="204">
      <colorScale>
        <cfvo type="min"/>
        <cfvo type="percent" val="50"/>
        <cfvo type="max"/>
        <color rgb="FFF8696B"/>
        <color rgb="FFFFEB84"/>
        <color rgb="FF63BE7B"/>
      </colorScale>
    </cfRule>
    <cfRule type="containsBlanks" dxfId="36" priority="205">
      <formula>LEN(TRIM(OS3))=0</formula>
    </cfRule>
    <cfRule type="containsText" dxfId="35" priority="206" operator="containsText" text="0">
      <formula>NOT(ISERROR(SEARCH("0",OS3)))</formula>
    </cfRule>
  </conditionalFormatting>
  <pageMargins left="0.7" right="0.7" top="0.75" bottom="0.75" header="0.3" footer="0.3"/>
  <ignoredErrors>
    <ignoredError sqref="NP21 NP66" formulaRange="1"/>
  </ignoredErrors>
  <drawing r:id="rId1"/>
  <extLst>
    <ext xmlns:x14="http://schemas.microsoft.com/office/spreadsheetml/2009/9/main" uri="{78C0D931-6437-407d-A8EE-F0AAD7539E65}">
      <x14:conditionalFormattings>
        <x14:conditionalFormatting xmlns:xm="http://schemas.microsoft.com/office/excel/2006/main">
          <x14:cfRule type="dataBar" id="{1D84221B-0078-418C-ABAB-FA8D8099939A}">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C6F2F9D0-B185-478A-90CD-B3726F6C468C}">
            <x14:dataBar minLength="0" maxLength="100" border="1" negativeBarBorderColorSameAsPositive="0">
              <x14:cfvo type="autoMin"/>
              <x14:cfvo type="autoMax"/>
              <x14:borderColor rgb="FFD6007B"/>
              <x14:negativeFillColor rgb="FFFF0000"/>
              <x14:negativeBorderColor rgb="FFFF0000"/>
              <x14:axisColor rgb="FF000000"/>
            </x14:dataBar>
          </x14:cfRule>
          <xm:sqref>F109:Q109</xm:sqref>
        </x14:conditionalFormatting>
        <x14:conditionalFormatting xmlns:xm="http://schemas.microsoft.com/office/excel/2006/main">
          <x14:cfRule type="dataBar" id="{EBFC2684-7E8F-401B-8097-11E7739AC896}">
            <x14:dataBar minLength="0" maxLength="100" border="1" negativeBarBorderColorSameAsPositive="0">
              <x14:cfvo type="autoMin"/>
              <x14:cfvo type="autoMax"/>
              <x14:borderColor rgb="FFFFB628"/>
              <x14:negativeFillColor rgb="FFFF0000"/>
              <x14:negativeBorderColor rgb="FFFF0000"/>
              <x14:axisColor rgb="FF000000"/>
            </x14:dataBar>
          </x14:cfRule>
          <xm:sqref>F112:Q112</xm:sqref>
        </x14:conditionalFormatting>
        <x14:conditionalFormatting xmlns:xm="http://schemas.microsoft.com/office/excel/2006/main">
          <x14:cfRule type="dataBar" id="{56CC7D57-A854-41CA-AEED-29E3766FB1AB}">
            <x14:dataBar minLength="0" maxLength="100" border="1" negativeBarBorderColorSameAsPositive="0">
              <x14:cfvo type="autoMin"/>
              <x14:cfvo type="autoMax"/>
              <x14:borderColor rgb="FF008AEF"/>
              <x14:negativeFillColor rgb="FFFF0000"/>
              <x14:negativeBorderColor rgb="FFFF0000"/>
              <x14:axisColor rgb="FF000000"/>
            </x14:dataBar>
          </x14:cfRule>
          <xm:sqref>F116:Q116 F109:Q109</xm:sqref>
        </x14:conditionalFormatting>
        <x14:conditionalFormatting xmlns:xm="http://schemas.microsoft.com/office/excel/2006/main">
          <x14:cfRule type="dataBar" id="{5D15672D-3AF3-4A16-9E86-00CCDDF9E974}">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94552435-9C63-4764-AA98-D1B9B0FBC954}">
            <x14:dataBar minLength="0" maxLength="100" border="1" negativeBarBorderColorSameAsPositive="0">
              <x14:cfvo type="autoMin"/>
              <x14:cfvo type="autoMax"/>
              <x14:borderColor rgb="FFD6007B"/>
              <x14:negativeFillColor rgb="FFFF0000"/>
              <x14:negativeBorderColor rgb="FFFF0000"/>
              <x14:axisColor rgb="FF000000"/>
            </x14:dataBar>
          </x14:cfRule>
          <xm:sqref>F116:Q116</xm:sqref>
        </x14:conditionalFormatting>
        <x14:conditionalFormatting xmlns:xm="http://schemas.microsoft.com/office/excel/2006/main">
          <x14:cfRule type="dataBar" id="{336091AD-0752-4F83-80F3-88F908152E0A}">
            <x14:dataBar minLength="0" maxLength="100" border="1" negativeBarBorderColorSameAsPositive="0">
              <x14:cfvo type="autoMin"/>
              <x14:cfvo type="autoMax"/>
              <x14:borderColor rgb="FFFFB628"/>
              <x14:negativeFillColor rgb="FFFF0000"/>
              <x14:negativeBorderColor rgb="FFFF0000"/>
              <x14:axisColor rgb="FF000000"/>
            </x14:dataBar>
          </x14:cfRule>
          <xm:sqref>F119:Q119</xm:sqref>
        </x14:conditionalFormatting>
        <x14:conditionalFormatting xmlns:xm="http://schemas.microsoft.com/office/excel/2006/main">
          <x14:cfRule type="dataBar" id="{E1FE3ADD-7196-4C35-9275-1E28BB1A4451}">
            <x14:dataBar minLength="0" maxLength="100" border="1" negativeBarBorderColorSameAsPositive="0">
              <x14:cfvo type="autoMin"/>
              <x14:cfvo type="autoMax"/>
              <x14:borderColor rgb="FFFFB628"/>
              <x14:negativeFillColor rgb="FFFF0000"/>
              <x14:negativeBorderColor rgb="FFFF0000"/>
              <x14:axisColor rgb="FF000000"/>
            </x14:dataBar>
          </x14:cfRule>
          <xm:sqref>R112</xm:sqref>
        </x14:conditionalFormatting>
        <x14:conditionalFormatting xmlns:xm="http://schemas.microsoft.com/office/excel/2006/main">
          <x14:cfRule type="dataBar" id="{A6686C8B-AF5F-4E2D-82C3-EE7DA2EA5EC8}">
            <x14:dataBar minLength="0" maxLength="100" border="1" negativeBarBorderColorSameAsPositive="0">
              <x14:cfvo type="autoMin"/>
              <x14:cfvo type="autoMax"/>
              <x14:borderColor rgb="FFFFB628"/>
              <x14:negativeFillColor rgb="FFFF0000"/>
              <x14:negativeBorderColor rgb="FFFF0000"/>
              <x14:axisColor rgb="FF000000"/>
            </x14:dataBar>
          </x14:cfRule>
          <xm:sqref>R119</xm:sqref>
        </x14:conditionalFormatting>
        <x14:conditionalFormatting xmlns:xm="http://schemas.microsoft.com/office/excel/2006/main">
          <x14:cfRule type="dataBar" id="{BBFECD66-2270-4744-9852-73B12042F67D}">
            <x14:dataBar minLength="0" maxLength="100" border="1">
              <x14:cfvo type="percent">
                <xm:f>0</xm:f>
              </x14:cfvo>
              <x14:cfvo type="percent">
                <xm:f>100</xm:f>
              </x14:cfvo>
              <x14:borderColor rgb="FFA20067"/>
              <x14:negativeFillColor rgb="FFFF0000"/>
              <x14:axisColor rgb="FFF94607"/>
            </x14:dataBar>
          </x14:cfRule>
          <xm:sqref>NI3:NI105</xm:sqref>
        </x14:conditionalFormatting>
        <x14:conditionalFormatting xmlns:xm="http://schemas.microsoft.com/office/excel/2006/main">
          <x14:cfRule type="dataBar" id="{D3E3F15B-F6F5-4FF1-AFDF-E6585AC671E1}">
            <x14:dataBar minLength="0" maxLength="100" border="1">
              <x14:cfvo type="percent">
                <xm:f>0</xm:f>
              </x14:cfvo>
              <x14:cfvo type="percent">
                <xm:f>100</xm:f>
              </x14:cfvo>
              <x14:borderColor rgb="FFA20067"/>
              <x14:negativeFillColor rgb="FFFF0000"/>
              <x14:axisColor rgb="FFF94607"/>
            </x14:dataBar>
          </x14:cfRule>
          <xm:sqref>NL3:NL105</xm:sqref>
        </x14:conditionalFormatting>
        <x14:conditionalFormatting xmlns:xm="http://schemas.microsoft.com/office/excel/2006/main">
          <x14:cfRule type="dataBar" id="{2A450B41-1AC0-44B4-A4CF-BC2D993B900F}">
            <x14:dataBar minLength="0" maxLength="100" border="1">
              <x14:cfvo type="percent">
                <xm:f>0</xm:f>
              </x14:cfvo>
              <x14:cfvo type="percent">
                <xm:f>100</xm:f>
              </x14:cfvo>
              <x14:borderColor rgb="FFA20067"/>
              <x14:negativeFillColor rgb="FFFF0000"/>
              <x14:axisColor rgb="FFF94607"/>
            </x14:dataBar>
          </x14:cfRule>
          <xm:sqref>NO3:NO105</xm:sqref>
        </x14:conditionalFormatting>
        <x14:conditionalFormatting xmlns:xm="http://schemas.microsoft.com/office/excel/2006/main">
          <x14:cfRule type="dataBar" id="{3D31AD18-D983-47FB-879C-5EFFFCDB4135}">
            <x14:dataBar minLength="0" maxLength="100" border="1">
              <x14:cfvo type="percent">
                <xm:f>0</xm:f>
              </x14:cfvo>
              <x14:cfvo type="percent">
                <xm:f>100</xm:f>
              </x14:cfvo>
              <x14:borderColor rgb="FFA20067"/>
              <x14:negativeFillColor rgb="FFFF0000"/>
              <x14:axisColor rgb="FFF94607"/>
            </x14:dataBar>
          </x14:cfRule>
          <xm:sqref>NR3:NR105</xm:sqref>
        </x14:conditionalFormatting>
        <x14:conditionalFormatting xmlns:xm="http://schemas.microsoft.com/office/excel/2006/main">
          <x14:cfRule type="dataBar" id="{AAA8469B-C3B4-40FE-A6AE-E38F654DC05D}">
            <x14:dataBar minLength="0" maxLength="100" border="1">
              <x14:cfvo type="percent">
                <xm:f>0</xm:f>
              </x14:cfvo>
              <x14:cfvo type="percent">
                <xm:f>100</xm:f>
              </x14:cfvo>
              <x14:borderColor rgb="FFA20067"/>
              <x14:negativeFillColor rgb="FFFF0000"/>
              <x14:axisColor rgb="FFF94607"/>
            </x14:dataBar>
          </x14:cfRule>
          <xm:sqref>NU3:NU105</xm:sqref>
        </x14:conditionalFormatting>
        <x14:conditionalFormatting xmlns:xm="http://schemas.microsoft.com/office/excel/2006/main">
          <x14:cfRule type="dataBar" id="{2FC34665-BAEC-4338-A830-880D517D4C2A}">
            <x14:dataBar minLength="0" maxLength="100" border="1">
              <x14:cfvo type="percent">
                <xm:f>0</xm:f>
              </x14:cfvo>
              <x14:cfvo type="percent">
                <xm:f>100</xm:f>
              </x14:cfvo>
              <x14:borderColor rgb="FFA20067"/>
              <x14:negativeFillColor rgb="FFFF0000"/>
              <x14:axisColor rgb="FFF94607"/>
            </x14:dataBar>
          </x14:cfRule>
          <xm:sqref>NX3:NX105</xm:sqref>
        </x14:conditionalFormatting>
        <x14:conditionalFormatting xmlns:xm="http://schemas.microsoft.com/office/excel/2006/main">
          <x14:cfRule type="dataBar" id="{0F340EF7-A17A-4646-869B-363432F6969D}">
            <x14:dataBar minLength="0" maxLength="100" border="1">
              <x14:cfvo type="percent">
                <xm:f>0</xm:f>
              </x14:cfvo>
              <x14:cfvo type="percent">
                <xm:f>100</xm:f>
              </x14:cfvo>
              <x14:borderColor rgb="FFA20067"/>
              <x14:negativeFillColor rgb="FFFF0000"/>
              <x14:axisColor rgb="FFF94607"/>
            </x14:dataBar>
          </x14:cfRule>
          <xm:sqref>OA3:OA105</xm:sqref>
        </x14:conditionalFormatting>
        <x14:conditionalFormatting xmlns:xm="http://schemas.microsoft.com/office/excel/2006/main">
          <x14:cfRule type="dataBar" id="{B511E384-1DD4-43BA-93DC-49FEF9917B37}">
            <x14:dataBar minLength="0" maxLength="100" border="1">
              <x14:cfvo type="percent">
                <xm:f>0</xm:f>
              </x14:cfvo>
              <x14:cfvo type="percent">
                <xm:f>100</xm:f>
              </x14:cfvo>
              <x14:borderColor rgb="FFA20067"/>
              <x14:negativeFillColor rgb="FFFF0000"/>
              <x14:axisColor rgb="FFF94607"/>
            </x14:dataBar>
          </x14:cfRule>
          <xm:sqref>OD3:OD105</xm:sqref>
        </x14:conditionalFormatting>
        <x14:conditionalFormatting xmlns:xm="http://schemas.microsoft.com/office/excel/2006/main">
          <x14:cfRule type="dataBar" id="{64FBF0CB-DA11-4ECF-9930-E385C4BCD674}">
            <x14:dataBar minLength="0" maxLength="100" border="1">
              <x14:cfvo type="percent">
                <xm:f>0</xm:f>
              </x14:cfvo>
              <x14:cfvo type="percent">
                <xm:f>100</xm:f>
              </x14:cfvo>
              <x14:borderColor rgb="FFA20067"/>
              <x14:negativeFillColor rgb="FFFF0000"/>
              <x14:axisColor rgb="FFF94607"/>
            </x14:dataBar>
          </x14:cfRule>
          <xm:sqref>OG3:OG105</xm:sqref>
        </x14:conditionalFormatting>
        <x14:conditionalFormatting xmlns:xm="http://schemas.microsoft.com/office/excel/2006/main">
          <x14:cfRule type="dataBar" id="{1E37167C-FA11-482C-A921-C8E170839ED0}">
            <x14:dataBar minLength="0" maxLength="100" border="1">
              <x14:cfvo type="percent">
                <xm:f>0</xm:f>
              </x14:cfvo>
              <x14:cfvo type="percent">
                <xm:f>100</xm:f>
              </x14:cfvo>
              <x14:borderColor rgb="FFA20067"/>
              <x14:negativeFillColor rgb="FFFF0000"/>
              <x14:axisColor rgb="FFF94607"/>
            </x14:dataBar>
          </x14:cfRule>
          <xm:sqref>OJ3:OJ105</xm:sqref>
        </x14:conditionalFormatting>
        <x14:conditionalFormatting xmlns:xm="http://schemas.microsoft.com/office/excel/2006/main">
          <x14:cfRule type="dataBar" id="{A9D898D9-5003-4C18-A17B-D955764637DC}">
            <x14:dataBar minLength="0" maxLength="100" border="1">
              <x14:cfvo type="percent">
                <xm:f>0</xm:f>
              </x14:cfvo>
              <x14:cfvo type="percent">
                <xm:f>100</xm:f>
              </x14:cfvo>
              <x14:borderColor rgb="FFA20067"/>
              <x14:negativeFillColor rgb="FFFF0000"/>
              <x14:axisColor rgb="FFF94607"/>
            </x14:dataBar>
          </x14:cfRule>
          <xm:sqref>OM3:OM105</xm:sqref>
        </x14:conditionalFormatting>
        <x14:conditionalFormatting xmlns:xm="http://schemas.microsoft.com/office/excel/2006/main">
          <x14:cfRule type="dataBar" id="{BC85E893-9B40-43EC-AADA-FCB02CD35463}">
            <x14:dataBar minLength="0" maxLength="100" border="1">
              <x14:cfvo type="percent">
                <xm:f>0</xm:f>
              </x14:cfvo>
              <x14:cfvo type="percent">
                <xm:f>100</xm:f>
              </x14:cfvo>
              <x14:borderColor rgb="FFA20067"/>
              <x14:negativeFillColor rgb="FFFF0000"/>
              <x14:axisColor rgb="FFF94607"/>
            </x14:dataBar>
          </x14:cfRule>
          <xm:sqref>OP3:OP105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2E5A-F531-4DF8-88BB-7E7E06EEC4B9}">
  <sheetPr codeName="Feuil8">
    <tabColor rgb="FFFF9999"/>
  </sheetPr>
  <dimension ref="A1:T114"/>
  <sheetViews>
    <sheetView topLeftCell="B1" zoomScale="85" zoomScaleNormal="85" workbookViewId="0">
      <pane xSplit="4" ySplit="1" topLeftCell="F2" activePane="bottomRight" state="frozen"/>
      <selection pane="topRight" activeCell="F1" sqref="F1"/>
      <selection pane="bottomLeft" activeCell="B2" sqref="B2"/>
      <selection pane="bottomRight" activeCell="P42" sqref="P42"/>
    </sheetView>
  </sheetViews>
  <sheetFormatPr baseColWidth="10" defaultColWidth="11.5703125" defaultRowHeight="15" x14ac:dyDescent="0.25"/>
  <cols>
    <col min="1" max="1" width="11.5703125" style="5"/>
    <col min="2" max="2" width="12.28515625" style="5" bestFit="1" customWidth="1"/>
    <col min="3" max="3" width="11.5703125" style="5" bestFit="1" customWidth="1"/>
    <col min="4" max="4" width="23.42578125" style="5" customWidth="1"/>
    <col min="5" max="5" width="33" style="5" bestFit="1" customWidth="1"/>
    <col min="6" max="6" width="14" style="5" bestFit="1" customWidth="1"/>
    <col min="7" max="10" width="14" style="5" customWidth="1"/>
    <col min="11" max="11" width="14" style="5" customWidth="1" collapsed="1"/>
    <col min="12" max="16" width="14" style="5" customWidth="1"/>
    <col min="17" max="17" width="14.28515625" style="5" customWidth="1"/>
    <col min="18" max="18" width="16.7109375" style="5" bestFit="1" customWidth="1"/>
    <col min="19" max="16384" width="11.5703125" style="5"/>
  </cols>
  <sheetData>
    <row r="1" spans="1:20" s="12" customFormat="1" ht="49.9" customHeight="1" thickBot="1" x14ac:dyDescent="0.3">
      <c r="A1" s="1" t="s">
        <v>470</v>
      </c>
      <c r="B1" s="157"/>
      <c r="C1" s="158" t="s">
        <v>138</v>
      </c>
      <c r="D1" s="159">
        <f ca="1">TODAY()</f>
        <v>46161</v>
      </c>
      <c r="E1" s="160"/>
      <c r="F1" s="488" t="s">
        <v>471</v>
      </c>
      <c r="G1" s="488"/>
      <c r="H1" s="488"/>
      <c r="I1" s="488"/>
      <c r="J1" s="488"/>
      <c r="K1" s="488"/>
      <c r="L1" s="488"/>
      <c r="M1" s="488"/>
      <c r="N1" s="488"/>
      <c r="O1" s="488"/>
      <c r="P1" s="488"/>
      <c r="Q1" s="488"/>
      <c r="R1" s="161"/>
      <c r="S1" s="162"/>
      <c r="T1" s="162"/>
    </row>
    <row r="2" spans="1:20" s="12" customFormat="1" ht="28.15" customHeight="1" thickBot="1" x14ac:dyDescent="0.3">
      <c r="A2" s="18" t="s">
        <v>141</v>
      </c>
      <c r="B2" s="18" t="s">
        <v>140</v>
      </c>
      <c r="C2" s="18" t="s">
        <v>141</v>
      </c>
      <c r="D2" s="139" t="s">
        <v>142</v>
      </c>
      <c r="E2" s="31" t="s">
        <v>143</v>
      </c>
      <c r="F2" s="140" t="s">
        <v>144</v>
      </c>
      <c r="G2" s="140" t="s">
        <v>145</v>
      </c>
      <c r="H2" s="140" t="s">
        <v>146</v>
      </c>
      <c r="I2" s="140" t="s">
        <v>147</v>
      </c>
      <c r="J2" s="140" t="s">
        <v>148</v>
      </c>
      <c r="K2" s="140" t="s">
        <v>149</v>
      </c>
      <c r="L2" s="140" t="s">
        <v>150</v>
      </c>
      <c r="M2" s="140" t="s">
        <v>151</v>
      </c>
      <c r="N2" s="140" t="s">
        <v>152</v>
      </c>
      <c r="O2" s="140" t="s">
        <v>153</v>
      </c>
      <c r="P2" s="140" t="s">
        <v>154</v>
      </c>
      <c r="Q2" s="140" t="s">
        <v>155</v>
      </c>
      <c r="R2" s="141" t="s">
        <v>472</v>
      </c>
      <c r="S2" s="142" t="s">
        <v>157</v>
      </c>
      <c r="T2" s="142" t="s">
        <v>471</v>
      </c>
    </row>
    <row r="3" spans="1:20" x14ac:dyDescent="0.25">
      <c r="A3" s="27"/>
      <c r="B3" s="93" t="s">
        <v>159</v>
      </c>
      <c r="C3" s="93" t="s">
        <v>45</v>
      </c>
      <c r="D3" s="91" t="s">
        <v>160</v>
      </c>
      <c r="E3" s="93" t="s">
        <v>161</v>
      </c>
      <c r="F3" s="101">
        <v>1</v>
      </c>
      <c r="G3" s="101" t="s">
        <v>162</v>
      </c>
      <c r="H3" s="101">
        <v>1</v>
      </c>
      <c r="I3" s="101">
        <v>1</v>
      </c>
      <c r="J3" s="101"/>
      <c r="K3" s="101"/>
      <c r="L3" s="101"/>
      <c r="M3" s="101"/>
      <c r="N3" s="101"/>
      <c r="O3" s="101"/>
      <c r="P3" s="101"/>
      <c r="Q3" s="101"/>
      <c r="R3" s="36">
        <f t="shared" ref="R3:R4" si="0">SUM(F3:Q3)</f>
        <v>3</v>
      </c>
      <c r="S3" s="8" cm="1">
        <f t="array" ref="S3">12-SUMPRODUCT(COUNTIF(F3:Q3,{"I";"F";"CP";"R";"P";"AC";"AM"}))</f>
        <v>11</v>
      </c>
      <c r="T3" s="29">
        <f>R3/S3</f>
        <v>0.27272727272727271</v>
      </c>
    </row>
    <row r="4" spans="1:20" s="6" customFormat="1" x14ac:dyDescent="0.25">
      <c r="A4" s="28" t="s">
        <v>82</v>
      </c>
      <c r="B4" s="93" t="s">
        <v>159</v>
      </c>
      <c r="C4" s="93" t="s">
        <v>34</v>
      </c>
      <c r="D4" s="27" t="s">
        <v>160</v>
      </c>
      <c r="E4" s="94" t="s">
        <v>163</v>
      </c>
      <c r="F4" s="94" t="s">
        <v>162</v>
      </c>
      <c r="G4" s="94" t="s">
        <v>162</v>
      </c>
      <c r="H4" s="94" t="s">
        <v>162</v>
      </c>
      <c r="I4" s="94"/>
      <c r="J4" s="94"/>
      <c r="K4" s="94"/>
      <c r="L4" s="94"/>
      <c r="M4" s="94"/>
      <c r="N4" s="94"/>
      <c r="O4" s="94"/>
      <c r="P4" s="94"/>
      <c r="Q4" s="94"/>
      <c r="R4" s="36">
        <f t="shared" si="0"/>
        <v>0</v>
      </c>
      <c r="S4" s="8" cm="1">
        <f t="array" ref="S4">12-SUMPRODUCT(COUNTIF(F4:Q4,{"I";"F";"CP";"R";"P";"AC";"AM"}))</f>
        <v>9</v>
      </c>
      <c r="T4" s="29">
        <f t="shared" ref="T4:T72" si="1">R4/S4</f>
        <v>0</v>
      </c>
    </row>
    <row r="5" spans="1:20" s="6" customFormat="1" x14ac:dyDescent="0.25">
      <c r="A5" s="28" t="s">
        <v>473</v>
      </c>
      <c r="B5" s="93" t="s">
        <v>164</v>
      </c>
      <c r="C5" s="93" t="s">
        <v>45</v>
      </c>
      <c r="D5" s="91" t="s">
        <v>160</v>
      </c>
      <c r="E5" s="93" t="s">
        <v>165</v>
      </c>
      <c r="F5" s="94">
        <v>2</v>
      </c>
      <c r="G5" s="94"/>
      <c r="H5" s="94">
        <v>1</v>
      </c>
      <c r="I5" s="94">
        <v>1</v>
      </c>
      <c r="J5" s="94"/>
      <c r="K5" s="94"/>
      <c r="L5" s="94"/>
      <c r="M5" s="94"/>
      <c r="N5" s="94"/>
      <c r="O5" s="94"/>
      <c r="P5" s="94"/>
      <c r="Q5" s="94"/>
      <c r="R5" s="36">
        <f t="shared" ref="R5:R37" si="2">SUM(F5:Q5)</f>
        <v>4</v>
      </c>
      <c r="S5" s="8" cm="1">
        <f t="array" ref="S5">12-SUMPRODUCT(COUNTIF(F5:Q5,{"I";"F";"CP";"R";"P";"AC";"AM"}))</f>
        <v>12</v>
      </c>
      <c r="T5" s="29">
        <f t="shared" si="1"/>
        <v>0.33333333333333331</v>
      </c>
    </row>
    <row r="6" spans="1:20" x14ac:dyDescent="0.25">
      <c r="A6" s="27" t="s">
        <v>82</v>
      </c>
      <c r="B6" s="94" t="s">
        <v>109</v>
      </c>
      <c r="C6" s="94" t="s">
        <v>34</v>
      </c>
      <c r="D6" s="27" t="s">
        <v>166</v>
      </c>
      <c r="E6" s="94" t="s">
        <v>167</v>
      </c>
      <c r="F6" s="94">
        <v>2</v>
      </c>
      <c r="G6" s="94">
        <v>0</v>
      </c>
      <c r="H6" s="94" t="s">
        <v>162</v>
      </c>
      <c r="I6" s="94"/>
      <c r="J6" s="94"/>
      <c r="K6" s="94"/>
      <c r="L6" s="94"/>
      <c r="M6" s="94"/>
      <c r="N6" s="94"/>
      <c r="O6" s="94"/>
      <c r="P6" s="94"/>
      <c r="Q6" s="94"/>
      <c r="R6" s="36">
        <f t="shared" si="2"/>
        <v>2</v>
      </c>
      <c r="S6" s="8" cm="1">
        <f t="array" ref="S6">12-SUMPRODUCT(COUNTIF(F6:Q6,{"I";"F";"CP";"R";"P";"AC";"AM"}))</f>
        <v>11</v>
      </c>
      <c r="T6" s="29">
        <f t="shared" si="1"/>
        <v>0.18181818181818182</v>
      </c>
    </row>
    <row r="7" spans="1:20" s="6" customFormat="1" x14ac:dyDescent="0.25">
      <c r="A7" s="28" t="s">
        <v>473</v>
      </c>
      <c r="B7" s="93" t="s">
        <v>168</v>
      </c>
      <c r="C7" s="93" t="s">
        <v>168</v>
      </c>
      <c r="D7" s="91" t="s">
        <v>160</v>
      </c>
      <c r="E7" s="93" t="s">
        <v>169</v>
      </c>
      <c r="F7" s="94"/>
      <c r="G7" s="94"/>
      <c r="H7" s="94"/>
      <c r="I7" s="94"/>
      <c r="J7" s="94"/>
      <c r="K7" s="94"/>
      <c r="L7" s="94"/>
      <c r="M7" s="94"/>
      <c r="N7" s="94"/>
      <c r="O7" s="94"/>
      <c r="P7" s="94"/>
      <c r="Q7" s="94"/>
      <c r="R7" s="36">
        <f t="shared" si="2"/>
        <v>0</v>
      </c>
      <c r="S7" s="8" cm="1">
        <f t="array" ref="S7">12-SUMPRODUCT(COUNTIF(F7:Q7,{"I";"F";"CP";"R";"P";"AC";"AM"}))</f>
        <v>12</v>
      </c>
      <c r="T7" s="29">
        <f t="shared" si="1"/>
        <v>0</v>
      </c>
    </row>
    <row r="8" spans="1:20" x14ac:dyDescent="0.25">
      <c r="A8" s="27" t="s">
        <v>82</v>
      </c>
      <c r="B8" s="94" t="s">
        <v>100</v>
      </c>
      <c r="C8" s="94" t="s">
        <v>34</v>
      </c>
      <c r="D8" s="27" t="s">
        <v>166</v>
      </c>
      <c r="E8" s="94" t="s">
        <v>170</v>
      </c>
      <c r="F8" s="94">
        <v>1</v>
      </c>
      <c r="G8" s="94">
        <v>2</v>
      </c>
      <c r="H8" s="94">
        <v>2</v>
      </c>
      <c r="I8" s="94">
        <v>2</v>
      </c>
      <c r="J8" s="94">
        <v>1</v>
      </c>
      <c r="K8" s="94"/>
      <c r="L8" s="94"/>
      <c r="M8" s="94"/>
      <c r="N8" s="94"/>
      <c r="O8" s="94"/>
      <c r="P8" s="94"/>
      <c r="Q8" s="94"/>
      <c r="R8" s="36">
        <f t="shared" si="2"/>
        <v>8</v>
      </c>
      <c r="S8" s="8" cm="1">
        <f t="array" ref="S8">12-SUMPRODUCT(COUNTIF(F8:Q8,{"I";"F";"CP";"R";"P";"AC";"AM"}))</f>
        <v>12</v>
      </c>
      <c r="T8" s="29">
        <f t="shared" si="1"/>
        <v>0.66666666666666663</v>
      </c>
    </row>
    <row r="9" spans="1:20" s="6" customFormat="1" x14ac:dyDescent="0.25">
      <c r="A9" s="28" t="s">
        <v>82</v>
      </c>
      <c r="B9" s="93" t="s">
        <v>168</v>
      </c>
      <c r="C9" s="93" t="s">
        <v>168</v>
      </c>
      <c r="D9" s="91" t="s">
        <v>160</v>
      </c>
      <c r="E9" s="93" t="s">
        <v>171</v>
      </c>
      <c r="F9" s="94"/>
      <c r="G9" s="94"/>
      <c r="H9" s="94"/>
      <c r="I9" s="94"/>
      <c r="J9" s="94"/>
      <c r="K9" s="94"/>
      <c r="L9" s="94"/>
      <c r="M9" s="94"/>
      <c r="N9" s="94"/>
      <c r="O9" s="94"/>
      <c r="P9" s="94"/>
      <c r="Q9" s="94"/>
      <c r="R9" s="36">
        <f t="shared" si="2"/>
        <v>0</v>
      </c>
      <c r="S9" s="8" cm="1">
        <f t="array" ref="S9">12-SUMPRODUCT(COUNTIF(F9:Q9,{"I";"F";"CP";"R";"P";"AC";"AM"}))</f>
        <v>12</v>
      </c>
      <c r="T9" s="29">
        <f t="shared" si="1"/>
        <v>0</v>
      </c>
    </row>
    <row r="10" spans="1:20" s="6" customFormat="1" ht="14.65" customHeight="1" x14ac:dyDescent="0.25">
      <c r="A10" s="28" t="s">
        <v>82</v>
      </c>
      <c r="B10" s="93" t="s">
        <v>109</v>
      </c>
      <c r="C10" s="93" t="s">
        <v>34</v>
      </c>
      <c r="D10" s="91" t="s">
        <v>160</v>
      </c>
      <c r="E10" s="93" t="s">
        <v>172</v>
      </c>
      <c r="F10" s="94">
        <v>2</v>
      </c>
      <c r="G10" s="94">
        <v>3</v>
      </c>
      <c r="H10" s="94">
        <v>3</v>
      </c>
      <c r="I10" s="94">
        <v>2</v>
      </c>
      <c r="J10" s="94"/>
      <c r="K10" s="94"/>
      <c r="L10" s="94"/>
      <c r="M10" s="94"/>
      <c r="N10" s="94"/>
      <c r="O10" s="94"/>
      <c r="P10" s="94"/>
      <c r="Q10" s="94"/>
      <c r="R10" s="36">
        <f t="shared" si="2"/>
        <v>10</v>
      </c>
      <c r="S10" s="8" cm="1">
        <f t="array" ref="S10">12-SUMPRODUCT(COUNTIF(F10:Q10,{"I";"F";"CP";"R";"P";"AC";"AM"}))</f>
        <v>12</v>
      </c>
      <c r="T10" s="29">
        <f t="shared" si="1"/>
        <v>0.83333333333333337</v>
      </c>
    </row>
    <row r="11" spans="1:20" ht="15" customHeight="1" x14ac:dyDescent="0.25">
      <c r="A11" s="27" t="s">
        <v>473</v>
      </c>
      <c r="B11" s="93" t="s">
        <v>168</v>
      </c>
      <c r="C11" s="93" t="s">
        <v>168</v>
      </c>
      <c r="D11" s="27" t="s">
        <v>160</v>
      </c>
      <c r="E11" s="94" t="s">
        <v>173</v>
      </c>
      <c r="F11" s="94"/>
      <c r="G11" s="94"/>
      <c r="H11" s="94"/>
      <c r="I11" s="94"/>
      <c r="J11" s="94"/>
      <c r="K11" s="94"/>
      <c r="L11" s="94"/>
      <c r="M11" s="94"/>
      <c r="N11" s="94"/>
      <c r="O11" s="94"/>
      <c r="P11" s="94"/>
      <c r="Q11" s="94"/>
      <c r="R11" s="36">
        <f t="shared" si="2"/>
        <v>0</v>
      </c>
      <c r="S11" s="8" cm="1">
        <f t="array" ref="S11">12-SUMPRODUCT(COUNTIF(F11:Q11,{"I";"F";"CP";"R";"P";"AC";"AM"}))</f>
        <v>12</v>
      </c>
      <c r="T11" s="29">
        <f t="shared" si="1"/>
        <v>0</v>
      </c>
    </row>
    <row r="12" spans="1:20" ht="15" customHeight="1" x14ac:dyDescent="0.25">
      <c r="A12" s="27"/>
      <c r="B12" s="93" t="s">
        <v>168</v>
      </c>
      <c r="C12" s="93" t="s">
        <v>168</v>
      </c>
      <c r="D12" s="27" t="s">
        <v>160</v>
      </c>
      <c r="E12" s="94" t="s">
        <v>174</v>
      </c>
      <c r="F12" s="94"/>
      <c r="G12" s="94"/>
      <c r="H12" s="94"/>
      <c r="I12" s="94"/>
      <c r="J12" s="94"/>
      <c r="K12" s="94"/>
      <c r="L12" s="94"/>
      <c r="M12" s="94"/>
      <c r="N12" s="94"/>
      <c r="O12" s="94"/>
      <c r="P12" s="94"/>
      <c r="Q12" s="94"/>
      <c r="R12" s="36">
        <f t="shared" si="2"/>
        <v>0</v>
      </c>
      <c r="S12" s="8" cm="1">
        <f t="array" ref="S12">12-SUMPRODUCT(COUNTIF(F12:Q12,{"I";"F";"CP";"R";"P";"AC";"AM"}))</f>
        <v>12</v>
      </c>
      <c r="T12" s="29">
        <f t="shared" si="1"/>
        <v>0</v>
      </c>
    </row>
    <row r="13" spans="1:20" ht="15" customHeight="1" x14ac:dyDescent="0.25">
      <c r="A13" s="27"/>
      <c r="B13" s="93" t="s">
        <v>164</v>
      </c>
      <c r="C13" s="93" t="s">
        <v>34</v>
      </c>
      <c r="D13" s="27" t="s">
        <v>160</v>
      </c>
      <c r="E13" s="94" t="s">
        <v>198</v>
      </c>
      <c r="F13" s="94">
        <v>2</v>
      </c>
      <c r="G13" s="94">
        <v>1</v>
      </c>
      <c r="H13" s="94">
        <v>1</v>
      </c>
      <c r="I13" s="94">
        <v>1</v>
      </c>
      <c r="J13" s="94"/>
      <c r="K13" s="94"/>
      <c r="L13" s="94"/>
      <c r="M13" s="94"/>
      <c r="N13" s="94"/>
      <c r="O13" s="94"/>
      <c r="P13" s="102"/>
      <c r="Q13" s="94"/>
      <c r="R13" s="36">
        <f t="shared" si="2"/>
        <v>5</v>
      </c>
      <c r="S13" s="8" cm="1">
        <f t="array" ref="S13">12-SUMPRODUCT(COUNTIF(F13:Q13,{"I";"F";"CP";"R";"P";"AC";"AM"}))</f>
        <v>12</v>
      </c>
      <c r="T13" s="29">
        <f t="shared" si="1"/>
        <v>0.41666666666666669</v>
      </c>
    </row>
    <row r="14" spans="1:20" ht="15" customHeight="1" x14ac:dyDescent="0.25">
      <c r="A14" s="27"/>
      <c r="B14" s="94" t="s">
        <v>178</v>
      </c>
      <c r="C14" s="94" t="s">
        <v>179</v>
      </c>
      <c r="D14" s="27" t="s">
        <v>166</v>
      </c>
      <c r="E14" s="94" t="s">
        <v>180</v>
      </c>
      <c r="F14" s="94">
        <v>2</v>
      </c>
      <c r="G14" s="94">
        <v>1</v>
      </c>
      <c r="H14" s="94">
        <v>0</v>
      </c>
      <c r="I14" s="94">
        <v>1</v>
      </c>
      <c r="J14" s="94"/>
      <c r="K14" s="94"/>
      <c r="L14" s="94"/>
      <c r="M14" s="94"/>
      <c r="N14" s="94"/>
      <c r="O14" s="94"/>
      <c r="P14" s="94"/>
      <c r="Q14" s="94"/>
      <c r="R14" s="36">
        <f t="shared" si="2"/>
        <v>4</v>
      </c>
      <c r="S14" s="8" cm="1">
        <f t="array" ref="S14">12-SUMPRODUCT(COUNTIF(F14:Q14,{"I";"F";"CP";"R";"P";"AC";"AM"}))</f>
        <v>12</v>
      </c>
      <c r="T14" s="29">
        <f t="shared" si="1"/>
        <v>0.33333333333333331</v>
      </c>
    </row>
    <row r="15" spans="1:20" ht="15" customHeight="1" x14ac:dyDescent="0.25">
      <c r="A15" s="27"/>
      <c r="B15" s="94" t="s">
        <v>181</v>
      </c>
      <c r="C15" s="94" t="s">
        <v>71</v>
      </c>
      <c r="D15" s="27" t="s">
        <v>166</v>
      </c>
      <c r="E15" s="94" t="s">
        <v>182</v>
      </c>
      <c r="F15" s="94" t="s">
        <v>162</v>
      </c>
      <c r="G15" s="94" t="s">
        <v>162</v>
      </c>
      <c r="H15" s="94" t="s">
        <v>162</v>
      </c>
      <c r="I15" s="94"/>
      <c r="J15" s="94"/>
      <c r="K15" s="94"/>
      <c r="L15" s="94"/>
      <c r="M15" s="94"/>
      <c r="N15" s="94"/>
      <c r="O15" s="94"/>
      <c r="P15" s="94"/>
      <c r="Q15" s="94"/>
      <c r="R15" s="36">
        <f t="shared" si="2"/>
        <v>0</v>
      </c>
      <c r="S15" s="8" cm="1">
        <f t="array" ref="S15">12-SUMPRODUCT(COUNTIF(F15:Q15,{"I";"F";"CP";"R";"P";"AC";"AM"}))</f>
        <v>9</v>
      </c>
      <c r="T15" s="29">
        <f t="shared" si="1"/>
        <v>0</v>
      </c>
    </row>
    <row r="16" spans="1:20" ht="15" customHeight="1" x14ac:dyDescent="0.25">
      <c r="A16" s="27"/>
      <c r="B16" s="93" t="s">
        <v>109</v>
      </c>
      <c r="C16" s="94" t="s">
        <v>34</v>
      </c>
      <c r="D16" s="27" t="s">
        <v>166</v>
      </c>
      <c r="E16" s="94" t="s">
        <v>183</v>
      </c>
      <c r="F16" s="94">
        <v>0</v>
      </c>
      <c r="G16" s="94">
        <v>0</v>
      </c>
      <c r="H16" s="94">
        <v>0</v>
      </c>
      <c r="I16" s="94">
        <v>1</v>
      </c>
      <c r="J16" s="94"/>
      <c r="K16" s="94"/>
      <c r="L16" s="94"/>
      <c r="M16" s="94"/>
      <c r="N16" s="94"/>
      <c r="O16" s="94"/>
      <c r="P16" s="94"/>
      <c r="Q16" s="94"/>
      <c r="R16" s="36">
        <f t="shared" si="2"/>
        <v>1</v>
      </c>
      <c r="S16" s="8" cm="1">
        <f t="array" ref="S16">12-SUMPRODUCT(COUNTIF(F16:Q16,{"I";"F";"CP";"R";"P";"AC";"AM"}))</f>
        <v>12</v>
      </c>
      <c r="T16" s="29">
        <f t="shared" si="1"/>
        <v>8.3333333333333329E-2</v>
      </c>
    </row>
    <row r="17" spans="1:20" ht="15" customHeight="1" x14ac:dyDescent="0.25">
      <c r="A17" s="27"/>
      <c r="B17" s="94" t="s">
        <v>168</v>
      </c>
      <c r="C17" s="94" t="s">
        <v>168</v>
      </c>
      <c r="D17" s="27" t="s">
        <v>160</v>
      </c>
      <c r="E17" s="94" t="s">
        <v>184</v>
      </c>
      <c r="F17" s="93"/>
      <c r="G17" s="93"/>
      <c r="H17" s="93"/>
      <c r="I17" s="93"/>
      <c r="J17" s="93"/>
      <c r="K17" s="93"/>
      <c r="L17" s="94"/>
      <c r="M17" s="94"/>
      <c r="N17" s="94"/>
      <c r="O17" s="94"/>
      <c r="P17" s="94"/>
      <c r="Q17" s="94"/>
      <c r="R17" s="36">
        <f t="shared" si="2"/>
        <v>0</v>
      </c>
      <c r="S17" s="8" cm="1">
        <f t="array" ref="S17">12-SUMPRODUCT(COUNTIF(F17:Q17,{"I";"F";"CP";"R";"P";"AC";"AM"}))</f>
        <v>12</v>
      </c>
      <c r="T17" s="29">
        <f t="shared" si="1"/>
        <v>0</v>
      </c>
    </row>
    <row r="18" spans="1:20" ht="15" customHeight="1" x14ac:dyDescent="0.25">
      <c r="A18" s="27"/>
      <c r="B18" s="94" t="s">
        <v>168</v>
      </c>
      <c r="C18" s="94" t="s">
        <v>168</v>
      </c>
      <c r="D18" s="27" t="s">
        <v>166</v>
      </c>
      <c r="E18" s="94" t="s">
        <v>185</v>
      </c>
      <c r="F18" s="94"/>
      <c r="G18" s="94"/>
      <c r="H18" s="94"/>
      <c r="I18" s="94"/>
      <c r="J18" s="94"/>
      <c r="K18" s="94"/>
      <c r="L18" s="94"/>
      <c r="M18" s="94"/>
      <c r="N18" s="94"/>
      <c r="O18" s="94"/>
      <c r="P18" s="94"/>
      <c r="Q18" s="94"/>
      <c r="R18" s="36">
        <f t="shared" si="2"/>
        <v>0</v>
      </c>
      <c r="S18" s="8" cm="1">
        <f t="array" ref="S18">12-SUMPRODUCT(COUNTIF(F18:Q18,{"I";"F";"CP";"R";"P";"AC";"AM"}))</f>
        <v>12</v>
      </c>
      <c r="T18" s="29">
        <f t="shared" si="1"/>
        <v>0</v>
      </c>
    </row>
    <row r="19" spans="1:20" ht="15" customHeight="1" x14ac:dyDescent="0.25">
      <c r="A19" s="27"/>
      <c r="B19" s="94" t="s">
        <v>181</v>
      </c>
      <c r="C19" s="94" t="s">
        <v>45</v>
      </c>
      <c r="D19" s="27" t="s">
        <v>160</v>
      </c>
      <c r="E19" s="94" t="s">
        <v>186</v>
      </c>
      <c r="F19" s="94">
        <v>1</v>
      </c>
      <c r="G19" s="94">
        <v>0</v>
      </c>
      <c r="H19" s="94">
        <v>0</v>
      </c>
      <c r="I19" s="94"/>
      <c r="J19" s="94"/>
      <c r="K19" s="94"/>
      <c r="L19" s="94"/>
      <c r="M19" s="94"/>
      <c r="N19" s="94"/>
      <c r="O19" s="94"/>
      <c r="P19" s="94"/>
      <c r="Q19" s="94"/>
      <c r="R19" s="36">
        <f t="shared" si="2"/>
        <v>1</v>
      </c>
      <c r="S19" s="8" cm="1">
        <f t="array" ref="S19">12-SUMPRODUCT(COUNTIF(F19:Q19,{"I";"F";"CP";"R";"P";"AC";"AM"}))</f>
        <v>12</v>
      </c>
      <c r="T19" s="29">
        <f t="shared" si="1"/>
        <v>8.3333333333333329E-2</v>
      </c>
    </row>
    <row r="20" spans="1:20" s="6" customFormat="1" x14ac:dyDescent="0.25">
      <c r="A20" s="28" t="s">
        <v>82</v>
      </c>
      <c r="B20" s="94" t="s">
        <v>181</v>
      </c>
      <c r="C20" s="94" t="s">
        <v>34</v>
      </c>
      <c r="D20" s="27" t="s">
        <v>160</v>
      </c>
      <c r="E20" s="94" t="s">
        <v>187</v>
      </c>
      <c r="F20" s="94">
        <v>0</v>
      </c>
      <c r="G20" s="94">
        <v>0</v>
      </c>
      <c r="H20" s="94">
        <v>0</v>
      </c>
      <c r="I20" s="94"/>
      <c r="J20" s="94"/>
      <c r="K20" s="94"/>
      <c r="L20" s="94"/>
      <c r="M20" s="94"/>
      <c r="N20" s="94"/>
      <c r="O20" s="94"/>
      <c r="P20" s="94"/>
      <c r="Q20" s="94"/>
      <c r="R20" s="36">
        <f t="shared" si="2"/>
        <v>0</v>
      </c>
      <c r="S20" s="8" cm="1">
        <f t="array" ref="S20">12-SUMPRODUCT(COUNTIF(F20:Q20,{"I";"F";"CP";"R";"P";"AC";"AM"}))</f>
        <v>12</v>
      </c>
      <c r="T20" s="29">
        <f t="shared" si="1"/>
        <v>0</v>
      </c>
    </row>
    <row r="21" spans="1:20" s="6" customFormat="1" x14ac:dyDescent="0.25">
      <c r="A21" s="28"/>
      <c r="B21" s="93" t="s">
        <v>181</v>
      </c>
      <c r="C21" s="93" t="s">
        <v>45</v>
      </c>
      <c r="D21" s="27" t="s">
        <v>188</v>
      </c>
      <c r="E21" s="94" t="s">
        <v>189</v>
      </c>
      <c r="F21" s="94">
        <v>1</v>
      </c>
      <c r="G21" s="94">
        <v>1</v>
      </c>
      <c r="H21" s="94">
        <v>1</v>
      </c>
      <c r="I21" s="94">
        <v>0</v>
      </c>
      <c r="J21" s="94">
        <v>1</v>
      </c>
      <c r="K21" s="94"/>
      <c r="L21" s="94"/>
      <c r="M21" s="94"/>
      <c r="N21" s="94"/>
      <c r="O21" s="94"/>
      <c r="P21" s="94"/>
      <c r="Q21" s="94"/>
      <c r="R21" s="36">
        <f t="shared" si="2"/>
        <v>4</v>
      </c>
      <c r="S21" s="8" cm="1">
        <f t="array" ref="S21">12-SUMPRODUCT(COUNTIF(F21:Q21,{"I";"F";"CP";"R";"P";"AC";"AM"}))</f>
        <v>12</v>
      </c>
      <c r="T21" s="29">
        <f t="shared" si="1"/>
        <v>0.33333333333333331</v>
      </c>
    </row>
    <row r="22" spans="1:20" s="6" customFormat="1" x14ac:dyDescent="0.25">
      <c r="A22" s="28"/>
      <c r="B22" s="94" t="s">
        <v>54</v>
      </c>
      <c r="C22" s="94" t="s">
        <v>34</v>
      </c>
      <c r="D22" s="27" t="s">
        <v>160</v>
      </c>
      <c r="E22" s="94" t="s">
        <v>190</v>
      </c>
      <c r="F22" s="94">
        <v>1</v>
      </c>
      <c r="G22" s="94">
        <v>1</v>
      </c>
      <c r="H22" s="94"/>
      <c r="I22" s="94"/>
      <c r="J22" s="94"/>
      <c r="K22" s="94"/>
      <c r="L22" s="94"/>
      <c r="M22" s="94"/>
      <c r="N22" s="94"/>
      <c r="O22" s="94"/>
      <c r="P22" s="94"/>
      <c r="Q22" s="94"/>
      <c r="R22" s="36">
        <f t="shared" si="2"/>
        <v>2</v>
      </c>
      <c r="S22" s="8" cm="1">
        <f t="array" ref="S22">12-SUMPRODUCT(COUNTIF(F22:Q22,{"I";"F";"CP";"R";"P";"AC";"AM"}))</f>
        <v>12</v>
      </c>
      <c r="T22" s="29">
        <f t="shared" si="1"/>
        <v>0.16666666666666666</v>
      </c>
    </row>
    <row r="23" spans="1:20" x14ac:dyDescent="0.25">
      <c r="B23" s="94" t="s">
        <v>100</v>
      </c>
      <c r="C23" s="94" t="s">
        <v>34</v>
      </c>
      <c r="D23" s="27" t="s">
        <v>166</v>
      </c>
      <c r="E23" s="94" t="s">
        <v>191</v>
      </c>
      <c r="F23" s="94">
        <v>1</v>
      </c>
      <c r="G23" s="94">
        <v>1</v>
      </c>
      <c r="H23" s="94">
        <v>1</v>
      </c>
      <c r="I23" s="94">
        <v>1</v>
      </c>
      <c r="J23" s="94"/>
      <c r="K23" s="94"/>
      <c r="L23" s="94"/>
      <c r="M23" s="94"/>
      <c r="N23" s="94"/>
      <c r="O23" s="94"/>
      <c r="P23" s="94"/>
      <c r="Q23" s="94"/>
      <c r="R23" s="36">
        <f t="shared" si="2"/>
        <v>4</v>
      </c>
      <c r="S23" s="8" cm="1">
        <f t="array" ref="S23">12-SUMPRODUCT(COUNTIF(F23:Q23,{"I";"F";"CP";"R";"P";"AC";"AM"}))</f>
        <v>12</v>
      </c>
      <c r="T23" s="29">
        <f t="shared" si="1"/>
        <v>0.33333333333333331</v>
      </c>
    </row>
    <row r="24" spans="1:20" x14ac:dyDescent="0.25">
      <c r="B24" s="94" t="s">
        <v>192</v>
      </c>
      <c r="C24" s="94" t="s">
        <v>45</v>
      </c>
      <c r="D24" s="27" t="s">
        <v>166</v>
      </c>
      <c r="E24" s="27" t="s">
        <v>193</v>
      </c>
      <c r="F24" s="94"/>
      <c r="G24" s="94"/>
      <c r="H24" s="94"/>
      <c r="I24" s="94"/>
      <c r="J24" s="94"/>
      <c r="K24" s="94"/>
      <c r="L24" s="94"/>
      <c r="M24" s="94"/>
      <c r="N24" s="94"/>
      <c r="O24" s="94"/>
      <c r="P24" s="94"/>
      <c r="Q24" s="94"/>
      <c r="R24" s="36"/>
      <c r="S24" s="8" cm="1">
        <f t="array" ref="S24">12-SUMPRODUCT(COUNTIF(F24:Q24,{"I";"F";"CP";"R";"P";"AC";"AM"}))</f>
        <v>12</v>
      </c>
      <c r="T24" s="29"/>
    </row>
    <row r="25" spans="1:20" x14ac:dyDescent="0.25">
      <c r="B25" s="94" t="s">
        <v>192</v>
      </c>
      <c r="C25" s="94" t="s">
        <v>194</v>
      </c>
      <c r="D25" s="27" t="s">
        <v>166</v>
      </c>
      <c r="E25" s="94" t="s">
        <v>195</v>
      </c>
      <c r="F25" s="94"/>
      <c r="G25" s="94"/>
      <c r="H25" s="94"/>
      <c r="I25" s="94"/>
      <c r="J25" s="94"/>
      <c r="K25" s="94"/>
      <c r="L25" s="94"/>
      <c r="M25" s="94"/>
      <c r="N25" s="94"/>
      <c r="O25" s="94"/>
      <c r="P25" s="94"/>
      <c r="Q25" s="94"/>
      <c r="R25" s="36">
        <f t="shared" si="2"/>
        <v>0</v>
      </c>
      <c r="S25" s="8" cm="1">
        <f t="array" ref="S25">12-SUMPRODUCT(COUNTIF(F25:Q25,{"I";"F";"CP";"R";"P";"AC";"AM"}))</f>
        <v>12</v>
      </c>
      <c r="T25" s="29">
        <f t="shared" si="1"/>
        <v>0</v>
      </c>
    </row>
    <row r="26" spans="1:20" x14ac:dyDescent="0.25">
      <c r="B26" s="94" t="s">
        <v>54</v>
      </c>
      <c r="C26" s="93" t="s">
        <v>34</v>
      </c>
      <c r="D26" s="91" t="s">
        <v>166</v>
      </c>
      <c r="E26" s="93" t="s">
        <v>196</v>
      </c>
      <c r="F26" s="94">
        <v>2</v>
      </c>
      <c r="G26" s="94">
        <v>1</v>
      </c>
      <c r="H26" s="94">
        <v>3</v>
      </c>
      <c r="I26" s="94">
        <v>2</v>
      </c>
      <c r="J26" s="94"/>
      <c r="K26" s="94"/>
      <c r="L26" s="94"/>
      <c r="M26" s="94"/>
      <c r="N26" s="94"/>
      <c r="O26" s="94"/>
      <c r="P26" s="94"/>
      <c r="Q26" s="94"/>
      <c r="R26" s="36">
        <f t="shared" si="2"/>
        <v>8</v>
      </c>
      <c r="S26" s="8" cm="1">
        <f t="array" ref="S26">12-SUMPRODUCT(COUNTIF(F26:Q26,{"I";"F";"CP";"R";"P";"AC";"AM"}))</f>
        <v>12</v>
      </c>
      <c r="T26" s="29">
        <f t="shared" si="1"/>
        <v>0.66666666666666663</v>
      </c>
    </row>
    <row r="27" spans="1:20" x14ac:dyDescent="0.25">
      <c r="B27" s="94" t="s">
        <v>192</v>
      </c>
      <c r="C27" s="94" t="s">
        <v>192</v>
      </c>
      <c r="D27" s="27" t="s">
        <v>166</v>
      </c>
      <c r="E27" s="94" t="s">
        <v>197</v>
      </c>
      <c r="F27" s="94"/>
      <c r="G27" s="94"/>
      <c r="H27" s="94"/>
      <c r="I27" s="94">
        <v>1</v>
      </c>
      <c r="J27" s="94"/>
      <c r="K27" s="94"/>
      <c r="L27" s="94"/>
      <c r="M27" s="94"/>
      <c r="N27" s="94"/>
      <c r="O27" s="94"/>
      <c r="P27" s="94"/>
      <c r="Q27" s="94"/>
      <c r="R27" s="36">
        <f t="shared" si="2"/>
        <v>1</v>
      </c>
      <c r="S27" s="8" cm="1">
        <f t="array" ref="S27">12-SUMPRODUCT(COUNTIF(F27:Q27,{"I";"F";"CP";"R";"P";"AC";"AM"}))</f>
        <v>12</v>
      </c>
      <c r="T27" s="29">
        <f t="shared" si="1"/>
        <v>8.3333333333333329E-2</v>
      </c>
    </row>
    <row r="28" spans="1:20" x14ac:dyDescent="0.25">
      <c r="B28" s="94" t="s">
        <v>54</v>
      </c>
      <c r="C28" s="94" t="s">
        <v>34</v>
      </c>
      <c r="D28" s="27" t="s">
        <v>166</v>
      </c>
      <c r="E28" s="94" t="s">
        <v>207</v>
      </c>
      <c r="F28" s="94" t="s">
        <v>208</v>
      </c>
      <c r="G28" s="94">
        <v>0</v>
      </c>
      <c r="H28" s="94">
        <v>1</v>
      </c>
      <c r="I28" s="94">
        <v>2</v>
      </c>
      <c r="J28" s="94"/>
      <c r="K28" s="94"/>
      <c r="L28" s="94"/>
      <c r="M28" s="94"/>
      <c r="N28" s="94"/>
      <c r="O28" s="94"/>
      <c r="P28" s="94"/>
      <c r="Q28" s="94"/>
      <c r="R28" s="36">
        <f t="shared" ref="R28" si="3">SUM(F28:Q28)</f>
        <v>3</v>
      </c>
      <c r="S28" s="8">
        <v>11</v>
      </c>
      <c r="T28" s="29">
        <f t="shared" ref="T28" si="4">R28/S28</f>
        <v>0.27272727272727271</v>
      </c>
    </row>
    <row r="29" spans="1:20" x14ac:dyDescent="0.25">
      <c r="B29" s="93" t="s">
        <v>269</v>
      </c>
      <c r="C29" s="93" t="s">
        <v>34</v>
      </c>
      <c r="D29" s="27" t="s">
        <v>160</v>
      </c>
      <c r="E29" s="94" t="s">
        <v>280</v>
      </c>
      <c r="F29" s="94">
        <v>3</v>
      </c>
      <c r="G29" s="94"/>
      <c r="H29" s="94">
        <v>1</v>
      </c>
      <c r="I29" s="94"/>
      <c r="J29" s="94"/>
      <c r="K29" s="94"/>
      <c r="L29" s="94"/>
      <c r="M29" s="94"/>
      <c r="N29" s="94"/>
      <c r="O29" s="94"/>
      <c r="P29" s="94"/>
      <c r="Q29" s="94"/>
      <c r="R29" s="36">
        <f t="shared" si="2"/>
        <v>4</v>
      </c>
      <c r="S29" s="8" cm="1">
        <f t="array" ref="S29">12-SUMPRODUCT(COUNTIF(F29:Q29,{"I";"F";"CP";"R";"P";"AC";"AM"}))</f>
        <v>12</v>
      </c>
      <c r="T29" s="29">
        <f t="shared" si="1"/>
        <v>0.33333333333333331</v>
      </c>
    </row>
    <row r="30" spans="1:20" x14ac:dyDescent="0.25">
      <c r="B30" s="93" t="s">
        <v>159</v>
      </c>
      <c r="C30" s="93" t="s">
        <v>45</v>
      </c>
      <c r="D30" s="27" t="s">
        <v>160</v>
      </c>
      <c r="E30" s="94" t="s">
        <v>199</v>
      </c>
      <c r="F30" s="94">
        <v>1</v>
      </c>
      <c r="G30" s="94">
        <v>1</v>
      </c>
      <c r="H30" s="94">
        <v>2</v>
      </c>
      <c r="I30" s="94"/>
      <c r="J30" s="94"/>
      <c r="K30" s="94"/>
      <c r="L30" s="94"/>
      <c r="M30" s="94"/>
      <c r="N30" s="94"/>
      <c r="O30" s="94"/>
      <c r="P30" s="94"/>
      <c r="Q30" s="94"/>
      <c r="R30" s="36">
        <f t="shared" si="2"/>
        <v>4</v>
      </c>
      <c r="S30" s="8" cm="1">
        <f t="array" ref="S30">12-SUMPRODUCT(COUNTIF(F30:Q30,{"I";"F";"CP";"R";"P";"AC";"AM"}))</f>
        <v>12</v>
      </c>
      <c r="T30" s="29">
        <f t="shared" si="1"/>
        <v>0.33333333333333331</v>
      </c>
    </row>
    <row r="31" spans="1:20" x14ac:dyDescent="0.25">
      <c r="B31" s="95" t="s">
        <v>100</v>
      </c>
      <c r="C31" s="93" t="s">
        <v>34</v>
      </c>
      <c r="D31" s="89" t="s">
        <v>160</v>
      </c>
      <c r="E31" s="97" t="s">
        <v>200</v>
      </c>
      <c r="F31" s="97">
        <v>2</v>
      </c>
      <c r="G31" s="97">
        <v>1</v>
      </c>
      <c r="H31" s="97">
        <v>1</v>
      </c>
      <c r="I31" s="97">
        <v>1</v>
      </c>
      <c r="J31" s="97">
        <v>1</v>
      </c>
      <c r="K31" s="97"/>
      <c r="L31" s="97"/>
      <c r="M31" s="97"/>
      <c r="N31" s="97"/>
      <c r="O31" s="97"/>
      <c r="P31" s="94"/>
      <c r="Q31" s="97"/>
      <c r="R31" s="36">
        <f t="shared" si="2"/>
        <v>6</v>
      </c>
      <c r="S31" s="8" cm="1">
        <f t="array" ref="S31">12-SUMPRODUCT(COUNTIF(F31:Q31,{"I";"F";"CP";"R";"P";"AC";"AM"}))</f>
        <v>12</v>
      </c>
      <c r="T31" s="29">
        <f t="shared" si="1"/>
        <v>0.5</v>
      </c>
    </row>
    <row r="32" spans="1:20" x14ac:dyDescent="0.25">
      <c r="B32" s="95" t="s">
        <v>159</v>
      </c>
      <c r="C32" s="95" t="s">
        <v>45</v>
      </c>
      <c r="D32" s="89" t="s">
        <v>160</v>
      </c>
      <c r="E32" s="97" t="s">
        <v>201</v>
      </c>
      <c r="F32" s="97">
        <v>1</v>
      </c>
      <c r="G32" s="97"/>
      <c r="H32" s="97">
        <v>1</v>
      </c>
      <c r="I32" s="97">
        <v>3</v>
      </c>
      <c r="J32" s="97"/>
      <c r="K32" s="97"/>
      <c r="L32" s="97"/>
      <c r="M32" s="97"/>
      <c r="N32" s="97"/>
      <c r="O32" s="97"/>
      <c r="P32" s="94"/>
      <c r="Q32" s="97"/>
      <c r="R32" s="36">
        <f t="shared" si="2"/>
        <v>5</v>
      </c>
      <c r="S32" s="8" cm="1">
        <f t="array" ref="S32">12-SUMPRODUCT(COUNTIF(F32:Q32,{"I";"F";"CP";"R";"P";"AC";"AM"}))</f>
        <v>12</v>
      </c>
      <c r="T32" s="29">
        <f t="shared" si="1"/>
        <v>0.41666666666666669</v>
      </c>
    </row>
    <row r="33" spans="2:20" x14ac:dyDescent="0.25">
      <c r="B33" s="95" t="s">
        <v>202</v>
      </c>
      <c r="C33" s="93" t="s">
        <v>45</v>
      </c>
      <c r="D33" s="89" t="s">
        <v>160</v>
      </c>
      <c r="E33" s="97" t="s">
        <v>203</v>
      </c>
      <c r="F33" s="97"/>
      <c r="G33" s="97"/>
      <c r="H33" s="97"/>
      <c r="I33" s="97"/>
      <c r="J33" s="97"/>
      <c r="K33" s="97"/>
      <c r="L33" s="97"/>
      <c r="M33" s="97"/>
      <c r="N33" s="97"/>
      <c r="O33" s="97"/>
      <c r="P33" s="94"/>
      <c r="Q33" s="97"/>
      <c r="R33" s="36">
        <f t="shared" si="2"/>
        <v>0</v>
      </c>
      <c r="S33" s="8" cm="1">
        <f t="array" ref="S33">12-SUMPRODUCT(COUNTIF(F33:Q33,{"I";"F";"CP";"R";"P";"AC";"AM"}))</f>
        <v>12</v>
      </c>
      <c r="T33" s="29">
        <f t="shared" si="1"/>
        <v>0</v>
      </c>
    </row>
    <row r="34" spans="2:20" x14ac:dyDescent="0.25">
      <c r="B34" s="95" t="s">
        <v>168</v>
      </c>
      <c r="C34" s="93" t="s">
        <v>168</v>
      </c>
      <c r="D34" s="89" t="s">
        <v>166</v>
      </c>
      <c r="E34" s="97" t="s">
        <v>204</v>
      </c>
      <c r="F34" s="97"/>
      <c r="G34" s="97"/>
      <c r="H34" s="97"/>
      <c r="I34" s="97"/>
      <c r="J34" s="97"/>
      <c r="K34" s="97"/>
      <c r="L34" s="97"/>
      <c r="M34" s="97"/>
      <c r="N34" s="97"/>
      <c r="O34" s="97"/>
      <c r="P34" s="94"/>
      <c r="Q34" s="97"/>
      <c r="R34" s="36">
        <f t="shared" si="2"/>
        <v>0</v>
      </c>
      <c r="S34" s="8" cm="1">
        <f t="array" ref="S34">12-SUMPRODUCT(COUNTIF(F34:Q34,{"I";"F";"CP";"R";"P";"AC";"AM"}))</f>
        <v>12</v>
      </c>
      <c r="T34" s="29">
        <f t="shared" si="1"/>
        <v>0</v>
      </c>
    </row>
    <row r="35" spans="2:20" x14ac:dyDescent="0.25">
      <c r="B35" s="95" t="s">
        <v>168</v>
      </c>
      <c r="C35" s="95" t="s">
        <v>168</v>
      </c>
      <c r="D35" s="89" t="s">
        <v>166</v>
      </c>
      <c r="E35" s="97" t="s">
        <v>205</v>
      </c>
      <c r="F35" s="97"/>
      <c r="G35" s="97"/>
      <c r="H35" s="97"/>
      <c r="I35" s="97"/>
      <c r="J35" s="97"/>
      <c r="K35" s="97"/>
      <c r="L35" s="97"/>
      <c r="M35" s="97"/>
      <c r="N35" s="97"/>
      <c r="O35" s="97"/>
      <c r="P35" s="94"/>
      <c r="Q35" s="97"/>
      <c r="R35" s="36">
        <f t="shared" si="2"/>
        <v>0</v>
      </c>
      <c r="S35" s="8" cm="1">
        <f t="array" ref="S35">12-SUMPRODUCT(COUNTIF(F35:Q35,{"I";"F";"CP";"R";"P";"AC";"AM"}))</f>
        <v>12</v>
      </c>
      <c r="T35" s="29">
        <f t="shared" si="1"/>
        <v>0</v>
      </c>
    </row>
    <row r="36" spans="2:20" x14ac:dyDescent="0.25">
      <c r="B36" s="95" t="s">
        <v>181</v>
      </c>
      <c r="C36" s="95" t="s">
        <v>34</v>
      </c>
      <c r="D36" s="89" t="s">
        <v>160</v>
      </c>
      <c r="E36" s="97" t="s">
        <v>206</v>
      </c>
      <c r="F36" s="97">
        <v>2</v>
      </c>
      <c r="G36" s="97">
        <v>0</v>
      </c>
      <c r="H36" s="97">
        <v>0</v>
      </c>
      <c r="I36" s="97"/>
      <c r="J36" s="97"/>
      <c r="K36" s="97"/>
      <c r="L36" s="97"/>
      <c r="M36" s="97"/>
      <c r="N36" s="97"/>
      <c r="O36" s="97"/>
      <c r="P36" s="94"/>
      <c r="Q36" s="97"/>
      <c r="R36" s="36">
        <f t="shared" si="2"/>
        <v>2</v>
      </c>
      <c r="S36" s="8" cm="1">
        <f t="array" ref="S36">12-SUMPRODUCT(COUNTIF(F36:Q36,{"I";"F";"CP";"R";"P";"AC";"AM"}))</f>
        <v>12</v>
      </c>
      <c r="T36" s="29">
        <f t="shared" si="1"/>
        <v>0.16666666666666666</v>
      </c>
    </row>
    <row r="37" spans="2:20" x14ac:dyDescent="0.25">
      <c r="B37" s="93" t="s">
        <v>109</v>
      </c>
      <c r="C37" s="95" t="s">
        <v>34</v>
      </c>
      <c r="D37" s="91" t="s">
        <v>166</v>
      </c>
      <c r="E37" s="97" t="s">
        <v>209</v>
      </c>
      <c r="F37" s="97">
        <v>3</v>
      </c>
      <c r="G37" s="97">
        <v>2</v>
      </c>
      <c r="H37" s="97">
        <v>4</v>
      </c>
      <c r="I37" s="97">
        <v>3</v>
      </c>
      <c r="J37" s="97">
        <v>1</v>
      </c>
      <c r="K37" s="97"/>
      <c r="L37" s="97"/>
      <c r="M37" s="97"/>
      <c r="N37" s="97"/>
      <c r="O37" s="97"/>
      <c r="P37" s="94"/>
      <c r="Q37" s="97"/>
      <c r="R37" s="36">
        <f t="shared" si="2"/>
        <v>13</v>
      </c>
      <c r="S37" s="8" cm="1">
        <f t="array" ref="S37">12-SUMPRODUCT(COUNTIF(F37:Q37,{"I";"F";"CP";"R";"P";"AC";"AM"}))</f>
        <v>12</v>
      </c>
      <c r="T37" s="29">
        <f t="shared" si="1"/>
        <v>1.0833333333333333</v>
      </c>
    </row>
    <row r="38" spans="2:20" x14ac:dyDescent="0.25">
      <c r="B38" s="93" t="s">
        <v>109</v>
      </c>
      <c r="C38" s="95" t="s">
        <v>34</v>
      </c>
      <c r="D38" s="89" t="s">
        <v>166</v>
      </c>
      <c r="E38" s="97" t="s">
        <v>210</v>
      </c>
      <c r="F38" s="97">
        <v>4</v>
      </c>
      <c r="G38" s="97">
        <v>3</v>
      </c>
      <c r="H38" s="97">
        <v>4</v>
      </c>
      <c r="I38" s="97">
        <v>2</v>
      </c>
      <c r="J38" s="97"/>
      <c r="K38" s="97"/>
      <c r="L38" s="97"/>
      <c r="M38" s="97"/>
      <c r="N38" s="97"/>
      <c r="O38" s="97"/>
      <c r="P38" s="94"/>
      <c r="Q38" s="97"/>
      <c r="R38" s="36">
        <f t="shared" ref="R38:R51" si="5">SUM(F38:Q38)</f>
        <v>13</v>
      </c>
      <c r="S38" s="8" cm="1">
        <f t="array" ref="S38">12-SUMPRODUCT(COUNTIF(F38:Q38,{"I";"F";"CP";"R";"P";"AC";"AM"}))</f>
        <v>12</v>
      </c>
      <c r="T38" s="29">
        <f t="shared" si="1"/>
        <v>1.0833333333333333</v>
      </c>
    </row>
    <row r="39" spans="2:20" x14ac:dyDescent="0.25">
      <c r="B39" s="95" t="s">
        <v>181</v>
      </c>
      <c r="C39" s="95" t="s">
        <v>34</v>
      </c>
      <c r="D39" s="89" t="s">
        <v>160</v>
      </c>
      <c r="E39" s="97" t="s">
        <v>211</v>
      </c>
      <c r="F39" s="97">
        <v>1</v>
      </c>
      <c r="G39" s="97">
        <v>0</v>
      </c>
      <c r="H39" s="97">
        <v>1</v>
      </c>
      <c r="I39" s="97">
        <v>1</v>
      </c>
      <c r="J39" s="97"/>
      <c r="K39" s="97"/>
      <c r="L39" s="97"/>
      <c r="M39" s="97"/>
      <c r="N39" s="97"/>
      <c r="O39" s="97"/>
      <c r="P39" s="94"/>
      <c r="Q39" s="97"/>
      <c r="R39" s="36">
        <f t="shared" si="5"/>
        <v>3</v>
      </c>
      <c r="S39" s="8" cm="1">
        <f t="array" ref="S39">12-SUMPRODUCT(COUNTIF(F39:Q39,{"I";"F";"CP";"R";"P";"AC";"AM"}))</f>
        <v>12</v>
      </c>
      <c r="T39" s="29">
        <f t="shared" si="1"/>
        <v>0.25</v>
      </c>
    </row>
    <row r="40" spans="2:20" x14ac:dyDescent="0.25">
      <c r="B40" s="94" t="s">
        <v>54</v>
      </c>
      <c r="C40" s="95" t="s">
        <v>34</v>
      </c>
      <c r="D40" s="89" t="s">
        <v>166</v>
      </c>
      <c r="E40" s="97" t="s">
        <v>212</v>
      </c>
      <c r="F40" s="97">
        <v>1</v>
      </c>
      <c r="G40" s="97"/>
      <c r="H40" s="97">
        <v>2</v>
      </c>
      <c r="I40" s="97">
        <v>2</v>
      </c>
      <c r="J40" s="97"/>
      <c r="K40" s="97"/>
      <c r="L40" s="97"/>
      <c r="M40" s="97"/>
      <c r="N40" s="97"/>
      <c r="O40" s="97"/>
      <c r="P40" s="94"/>
      <c r="Q40" s="97"/>
      <c r="R40" s="36">
        <f t="shared" si="5"/>
        <v>5</v>
      </c>
      <c r="S40" s="8" cm="1">
        <f t="array" ref="S40">12-SUMPRODUCT(COUNTIF(F40:Q40,{"I";"F";"CP";"R";"P";"AC";"AM"}))</f>
        <v>12</v>
      </c>
      <c r="T40" s="29">
        <f t="shared" si="1"/>
        <v>0.41666666666666669</v>
      </c>
    </row>
    <row r="41" spans="2:20" x14ac:dyDescent="0.25">
      <c r="B41" s="95" t="s">
        <v>168</v>
      </c>
      <c r="C41" s="95" t="s">
        <v>168</v>
      </c>
      <c r="D41" s="89" t="s">
        <v>160</v>
      </c>
      <c r="E41" s="97" t="s">
        <v>213</v>
      </c>
      <c r="F41" s="97"/>
      <c r="G41" s="97"/>
      <c r="H41" s="97"/>
      <c r="I41" s="97"/>
      <c r="J41" s="97"/>
      <c r="K41" s="97"/>
      <c r="L41" s="97"/>
      <c r="M41" s="97"/>
      <c r="N41" s="97"/>
      <c r="O41" s="97"/>
      <c r="P41" s="94"/>
      <c r="Q41" s="97"/>
      <c r="R41" s="36">
        <f t="shared" si="5"/>
        <v>0</v>
      </c>
      <c r="S41" s="8" cm="1">
        <f t="array" ref="S41">12-SUMPRODUCT(COUNTIF(F41:Q41,{"I";"F";"CP";"R";"P";"AC";"AM"}))</f>
        <v>12</v>
      </c>
      <c r="T41" s="29">
        <f t="shared" si="1"/>
        <v>0</v>
      </c>
    </row>
    <row r="42" spans="2:20" x14ac:dyDescent="0.25">
      <c r="B42" s="94" t="s">
        <v>54</v>
      </c>
      <c r="C42" s="95" t="s">
        <v>34</v>
      </c>
      <c r="D42" s="89" t="s">
        <v>160</v>
      </c>
      <c r="E42" s="97" t="s">
        <v>214</v>
      </c>
      <c r="F42" s="97">
        <v>1</v>
      </c>
      <c r="G42" s="97">
        <v>1</v>
      </c>
      <c r="H42" s="97"/>
      <c r="I42" s="97">
        <v>1</v>
      </c>
      <c r="J42" s="97"/>
      <c r="K42" s="97"/>
      <c r="L42" s="97"/>
      <c r="M42" s="97"/>
      <c r="N42" s="97"/>
      <c r="O42" s="97"/>
      <c r="P42" s="94"/>
      <c r="Q42" s="97"/>
      <c r="R42" s="36">
        <f t="shared" si="5"/>
        <v>3</v>
      </c>
      <c r="S42" s="8" cm="1">
        <f t="array" ref="S42">12-SUMPRODUCT(COUNTIF(F42:Q42,{"I";"F";"CP";"R";"P";"AC";"AM"}))</f>
        <v>12</v>
      </c>
      <c r="T42" s="29">
        <f t="shared" si="1"/>
        <v>0.25</v>
      </c>
    </row>
    <row r="43" spans="2:20" x14ac:dyDescent="0.25">
      <c r="B43" s="94" t="s">
        <v>54</v>
      </c>
      <c r="C43" s="95" t="s">
        <v>34</v>
      </c>
      <c r="D43" s="89" t="s">
        <v>160</v>
      </c>
      <c r="E43" s="97" t="s">
        <v>215</v>
      </c>
      <c r="F43" s="97">
        <v>0</v>
      </c>
      <c r="G43" s="97">
        <v>0</v>
      </c>
      <c r="H43" s="97">
        <v>1</v>
      </c>
      <c r="I43" s="97">
        <v>2</v>
      </c>
      <c r="J43" s="97"/>
      <c r="K43" s="97"/>
      <c r="L43" s="97"/>
      <c r="M43" s="97"/>
      <c r="N43" s="97"/>
      <c r="O43" s="97"/>
      <c r="P43" s="94"/>
      <c r="Q43" s="97"/>
      <c r="R43" s="36">
        <f t="shared" si="5"/>
        <v>3</v>
      </c>
      <c r="S43" s="8" cm="1">
        <f t="array" ref="S43">12-SUMPRODUCT(COUNTIF(F43:Q43,{"I";"F";"CP";"R";"P";"AC";"AM"}))</f>
        <v>12</v>
      </c>
      <c r="T43" s="29">
        <f t="shared" si="1"/>
        <v>0.25</v>
      </c>
    </row>
    <row r="44" spans="2:20" x14ac:dyDescent="0.25">
      <c r="B44" s="93" t="s">
        <v>109</v>
      </c>
      <c r="C44" s="95" t="s">
        <v>34</v>
      </c>
      <c r="D44" s="89" t="s">
        <v>166</v>
      </c>
      <c r="E44" s="97" t="s">
        <v>451</v>
      </c>
      <c r="F44" s="97">
        <v>1</v>
      </c>
      <c r="G44" s="97">
        <v>0</v>
      </c>
      <c r="H44" s="97">
        <v>1</v>
      </c>
      <c r="I44" s="97">
        <v>1</v>
      </c>
      <c r="J44" s="97"/>
      <c r="K44" s="97"/>
      <c r="L44" s="97"/>
      <c r="M44" s="97"/>
      <c r="N44" s="97"/>
      <c r="O44" s="97"/>
      <c r="P44" s="94"/>
      <c r="Q44" s="97"/>
      <c r="R44" s="36">
        <f t="shared" si="5"/>
        <v>3</v>
      </c>
      <c r="S44" s="8" cm="1">
        <f t="array" ref="S44">12-SUMPRODUCT(COUNTIF(F44:Q44,{"I";"F";"CP";"R";"P";"AC";"AM"}))</f>
        <v>12</v>
      </c>
      <c r="T44" s="29">
        <f t="shared" si="1"/>
        <v>0.25</v>
      </c>
    </row>
    <row r="45" spans="2:20" x14ac:dyDescent="0.25">
      <c r="B45" s="95" t="s">
        <v>100</v>
      </c>
      <c r="C45" s="95" t="s">
        <v>34</v>
      </c>
      <c r="D45" s="89" t="s">
        <v>166</v>
      </c>
      <c r="E45" s="97" t="s">
        <v>217</v>
      </c>
      <c r="F45" s="97">
        <v>1</v>
      </c>
      <c r="G45" s="97"/>
      <c r="H45" s="97"/>
      <c r="I45" s="97"/>
      <c r="J45" s="97"/>
      <c r="K45" s="97"/>
      <c r="L45" s="97"/>
      <c r="M45" s="97"/>
      <c r="N45" s="97"/>
      <c r="O45" s="97"/>
      <c r="P45" s="94"/>
      <c r="Q45" s="97"/>
      <c r="R45" s="36">
        <f t="shared" si="5"/>
        <v>1</v>
      </c>
      <c r="S45" s="8" cm="1">
        <f t="array" ref="S45">12-SUMPRODUCT(COUNTIF(F45:Q45,{"I";"F";"CP";"R";"P";"AC";"AM"}))</f>
        <v>12</v>
      </c>
      <c r="T45" s="29">
        <f t="shared" si="1"/>
        <v>8.3333333333333329E-2</v>
      </c>
    </row>
    <row r="46" spans="2:20" x14ac:dyDescent="0.25">
      <c r="B46" s="93" t="s">
        <v>109</v>
      </c>
      <c r="C46" s="95" t="s">
        <v>34</v>
      </c>
      <c r="D46" s="89" t="s">
        <v>166</v>
      </c>
      <c r="E46" s="97" t="s">
        <v>218</v>
      </c>
      <c r="F46" s="97">
        <v>0</v>
      </c>
      <c r="G46" s="97">
        <v>0</v>
      </c>
      <c r="H46" s="97">
        <v>1</v>
      </c>
      <c r="I46" s="97"/>
      <c r="J46" s="97"/>
      <c r="K46" s="97"/>
      <c r="L46" s="97"/>
      <c r="M46" s="97"/>
      <c r="N46" s="97"/>
      <c r="O46" s="97"/>
      <c r="P46" s="94"/>
      <c r="Q46" s="97"/>
      <c r="R46" s="36">
        <f t="shared" si="5"/>
        <v>1</v>
      </c>
      <c r="S46" s="8" cm="1">
        <f t="array" ref="S46">12-SUMPRODUCT(COUNTIF(F46:Q46,{"I";"F";"CP";"R";"P";"AC";"AM"}))</f>
        <v>12</v>
      </c>
      <c r="T46" s="29">
        <f t="shared" si="1"/>
        <v>8.3333333333333329E-2</v>
      </c>
    </row>
    <row r="47" spans="2:20" x14ac:dyDescent="0.25">
      <c r="B47" s="95" t="s">
        <v>181</v>
      </c>
      <c r="C47" s="95" t="s">
        <v>34</v>
      </c>
      <c r="D47" s="89" t="s">
        <v>160</v>
      </c>
      <c r="E47" s="97" t="s">
        <v>219</v>
      </c>
      <c r="F47" s="97">
        <v>1</v>
      </c>
      <c r="G47" s="97">
        <v>0</v>
      </c>
      <c r="H47" s="97">
        <v>1</v>
      </c>
      <c r="I47" s="97"/>
      <c r="J47" s="97"/>
      <c r="K47" s="97"/>
      <c r="L47" s="97"/>
      <c r="M47" s="97"/>
      <c r="N47" s="97"/>
      <c r="O47" s="97"/>
      <c r="P47" s="94"/>
      <c r="Q47" s="97"/>
      <c r="R47" s="36">
        <f t="shared" si="5"/>
        <v>2</v>
      </c>
      <c r="S47" s="8" cm="1">
        <f t="array" ref="S47">12-SUMPRODUCT(COUNTIF(F47:Q47,{"I";"F";"CP";"R";"P";"AC";"AM"}))</f>
        <v>12</v>
      </c>
      <c r="T47" s="29">
        <f t="shared" si="1"/>
        <v>0.16666666666666666</v>
      </c>
    </row>
    <row r="48" spans="2:20" x14ac:dyDescent="0.25">
      <c r="B48" s="95" t="s">
        <v>168</v>
      </c>
      <c r="C48" s="95" t="s">
        <v>168</v>
      </c>
      <c r="D48" s="89" t="s">
        <v>166</v>
      </c>
      <c r="E48" s="97" t="s">
        <v>220</v>
      </c>
      <c r="F48" s="97"/>
      <c r="G48" s="97"/>
      <c r="H48" s="97"/>
      <c r="I48" s="97"/>
      <c r="J48" s="97"/>
      <c r="K48" s="97"/>
      <c r="L48" s="97"/>
      <c r="M48" s="97"/>
      <c r="N48" s="97"/>
      <c r="O48" s="97"/>
      <c r="P48" s="94"/>
      <c r="Q48" s="97"/>
      <c r="R48" s="36">
        <f t="shared" si="5"/>
        <v>0</v>
      </c>
      <c r="S48" s="8" cm="1">
        <f t="array" ref="S48">12-SUMPRODUCT(COUNTIF(F48:Q48,{"I";"F";"CP";"R";"P";"AC";"AM"}))</f>
        <v>12</v>
      </c>
      <c r="T48" s="29">
        <f t="shared" si="1"/>
        <v>0</v>
      </c>
    </row>
    <row r="49" spans="2:20" x14ac:dyDescent="0.25">
      <c r="B49" s="95" t="s">
        <v>159</v>
      </c>
      <c r="C49" s="95" t="s">
        <v>45</v>
      </c>
      <c r="D49" s="89" t="s">
        <v>160</v>
      </c>
      <c r="E49" s="97" t="s">
        <v>221</v>
      </c>
      <c r="F49" s="97">
        <v>1</v>
      </c>
      <c r="G49" s="97"/>
      <c r="H49" s="97">
        <v>3</v>
      </c>
      <c r="I49" s="97">
        <v>1</v>
      </c>
      <c r="J49" s="97">
        <v>1</v>
      </c>
      <c r="K49" s="97"/>
      <c r="L49" s="97"/>
      <c r="M49" s="97"/>
      <c r="N49" s="97"/>
      <c r="O49" s="97"/>
      <c r="P49" s="94"/>
      <c r="Q49" s="97"/>
      <c r="R49" s="36">
        <f t="shared" si="5"/>
        <v>6</v>
      </c>
      <c r="S49" s="8" cm="1">
        <f t="array" ref="S49">12-SUMPRODUCT(COUNTIF(F49:Q49,{"I";"F";"CP";"R";"P";"AC";"AM"}))</f>
        <v>12</v>
      </c>
      <c r="T49" s="29">
        <f t="shared" si="1"/>
        <v>0.5</v>
      </c>
    </row>
    <row r="50" spans="2:20" x14ac:dyDescent="0.25">
      <c r="B50" s="95" t="s">
        <v>181</v>
      </c>
      <c r="C50" s="95" t="s">
        <v>34</v>
      </c>
      <c r="D50" s="89" t="s">
        <v>166</v>
      </c>
      <c r="E50" s="97" t="s">
        <v>222</v>
      </c>
      <c r="F50" s="97">
        <v>1</v>
      </c>
      <c r="G50" s="97">
        <v>1</v>
      </c>
      <c r="H50" s="97">
        <v>1</v>
      </c>
      <c r="I50" s="97">
        <v>2</v>
      </c>
      <c r="J50" s="97">
        <v>1</v>
      </c>
      <c r="K50" s="97"/>
      <c r="L50" s="97"/>
      <c r="M50" s="97"/>
      <c r="N50" s="97"/>
      <c r="O50" s="97"/>
      <c r="P50" s="94"/>
      <c r="Q50" s="97"/>
      <c r="R50" s="36">
        <f t="shared" si="5"/>
        <v>6</v>
      </c>
      <c r="S50" s="8" cm="1">
        <f t="array" ref="S50">12-SUMPRODUCT(COUNTIF(F50:Q50,{"I";"F";"CP";"R";"P";"AC";"AM"}))</f>
        <v>12</v>
      </c>
      <c r="T50" s="29">
        <f t="shared" si="1"/>
        <v>0.5</v>
      </c>
    </row>
    <row r="51" spans="2:20" x14ac:dyDescent="0.25">
      <c r="B51" s="93" t="s">
        <v>109</v>
      </c>
      <c r="C51" s="95" t="s">
        <v>34</v>
      </c>
      <c r="D51" s="89" t="s">
        <v>166</v>
      </c>
      <c r="E51" s="97" t="s">
        <v>224</v>
      </c>
      <c r="F51" s="97" t="s">
        <v>208</v>
      </c>
      <c r="G51" s="97">
        <v>0</v>
      </c>
      <c r="H51" s="97">
        <v>1</v>
      </c>
      <c r="I51" s="97"/>
      <c r="J51" s="97"/>
      <c r="K51" s="97"/>
      <c r="L51" s="97"/>
      <c r="M51" s="97"/>
      <c r="N51" s="97"/>
      <c r="O51" s="97"/>
      <c r="P51" s="94"/>
      <c r="Q51" s="97"/>
      <c r="R51" s="36">
        <f t="shared" si="5"/>
        <v>1</v>
      </c>
      <c r="S51" s="8">
        <v>11</v>
      </c>
      <c r="T51" s="29">
        <f t="shared" si="1"/>
        <v>9.0909090909090912E-2</v>
      </c>
    </row>
    <row r="52" spans="2:20" x14ac:dyDescent="0.25">
      <c r="B52" s="94" t="s">
        <v>54</v>
      </c>
      <c r="C52" s="95" t="s">
        <v>34</v>
      </c>
      <c r="D52" s="89" t="s">
        <v>166</v>
      </c>
      <c r="E52" s="97" t="s">
        <v>225</v>
      </c>
      <c r="F52" s="97">
        <v>3</v>
      </c>
      <c r="G52" s="97">
        <v>2</v>
      </c>
      <c r="H52" s="97">
        <v>2</v>
      </c>
      <c r="I52" s="97">
        <v>2</v>
      </c>
      <c r="J52" s="97"/>
      <c r="K52" s="97"/>
      <c r="L52" s="97"/>
      <c r="M52" s="97"/>
      <c r="N52" s="97"/>
      <c r="O52" s="97"/>
      <c r="P52" s="94"/>
      <c r="Q52" s="97"/>
      <c r="R52" s="36">
        <f>SUM(F52:Q52)</f>
        <v>9</v>
      </c>
      <c r="S52" s="8" cm="1">
        <f t="array" ref="S52">12-SUMPRODUCT(COUNTIF(F52:Q52,{"I";"F";"CP";"R";"P";"AC";"AM"}))</f>
        <v>12</v>
      </c>
      <c r="T52" s="29">
        <f>R52/S52</f>
        <v>0.75</v>
      </c>
    </row>
    <row r="53" spans="2:20" x14ac:dyDescent="0.25">
      <c r="B53" s="95" t="s">
        <v>181</v>
      </c>
      <c r="C53" s="93" t="s">
        <v>45</v>
      </c>
      <c r="D53" s="89" t="s">
        <v>160</v>
      </c>
      <c r="E53" s="97" t="s">
        <v>226</v>
      </c>
      <c r="F53" s="97">
        <v>0</v>
      </c>
      <c r="G53" s="97">
        <v>0</v>
      </c>
      <c r="H53" s="97">
        <v>0</v>
      </c>
      <c r="I53" s="97"/>
      <c r="J53" s="97"/>
      <c r="K53" s="97"/>
      <c r="L53" s="97"/>
      <c r="M53" s="97"/>
      <c r="N53" s="97"/>
      <c r="O53" s="97"/>
      <c r="P53" s="94"/>
      <c r="Q53" s="97"/>
      <c r="R53" s="36">
        <f t="shared" ref="R53:R84" si="6">SUM(F53:Q53)</f>
        <v>0</v>
      </c>
      <c r="S53" s="8" cm="1">
        <f t="array" ref="S53">12-SUMPRODUCT(COUNTIF(F53:Q53,{"I";"F";"CP";"R";"P";"AC";"AM"}))</f>
        <v>12</v>
      </c>
      <c r="T53" s="29">
        <f t="shared" si="1"/>
        <v>0</v>
      </c>
    </row>
    <row r="54" spans="2:20" x14ac:dyDescent="0.25">
      <c r="B54" s="95" t="s">
        <v>181</v>
      </c>
      <c r="C54" s="95" t="s">
        <v>45</v>
      </c>
      <c r="D54" s="89" t="s">
        <v>166</v>
      </c>
      <c r="E54" s="97" t="s">
        <v>227</v>
      </c>
      <c r="F54" s="97">
        <v>0</v>
      </c>
      <c r="G54" s="97">
        <v>0</v>
      </c>
      <c r="H54" s="97">
        <v>0</v>
      </c>
      <c r="I54" s="97"/>
      <c r="J54" s="97"/>
      <c r="K54" s="97"/>
      <c r="L54" s="97"/>
      <c r="M54" s="97"/>
      <c r="N54" s="97"/>
      <c r="O54" s="97"/>
      <c r="P54" s="94"/>
      <c r="Q54" s="97"/>
      <c r="R54" s="36">
        <f t="shared" si="6"/>
        <v>0</v>
      </c>
      <c r="S54" s="8" cm="1">
        <f t="array" ref="S54">12-SUMPRODUCT(COUNTIF(F54:Q54,{"I";"F";"CP";"R";"P";"AC";"AM"}))</f>
        <v>12</v>
      </c>
      <c r="T54" s="29">
        <f t="shared" si="1"/>
        <v>0</v>
      </c>
    </row>
    <row r="55" spans="2:20" x14ac:dyDescent="0.25">
      <c r="B55" s="95" t="s">
        <v>168</v>
      </c>
      <c r="C55" s="95" t="s">
        <v>168</v>
      </c>
      <c r="D55" s="89" t="s">
        <v>160</v>
      </c>
      <c r="E55" s="97" t="s">
        <v>228</v>
      </c>
      <c r="F55" s="97"/>
      <c r="G55" s="97"/>
      <c r="H55" s="97"/>
      <c r="I55" s="97"/>
      <c r="J55" s="97"/>
      <c r="K55" s="97"/>
      <c r="L55" s="97"/>
      <c r="M55" s="97"/>
      <c r="N55" s="97"/>
      <c r="O55" s="97"/>
      <c r="P55" s="94"/>
      <c r="Q55" s="97"/>
      <c r="R55" s="36">
        <f t="shared" si="6"/>
        <v>0</v>
      </c>
      <c r="S55" s="8" cm="1">
        <f t="array" ref="S55">12-SUMPRODUCT(COUNTIF(F55:Q55,{"I";"F";"CP";"R";"P";"AC";"AM"}))</f>
        <v>12</v>
      </c>
      <c r="T55" s="29">
        <f t="shared" si="1"/>
        <v>0</v>
      </c>
    </row>
    <row r="56" spans="2:20" x14ac:dyDescent="0.25">
      <c r="B56" s="95" t="s">
        <v>168</v>
      </c>
      <c r="C56" s="95" t="s">
        <v>168</v>
      </c>
      <c r="D56" s="89" t="s">
        <v>160</v>
      </c>
      <c r="E56" s="97" t="s">
        <v>229</v>
      </c>
      <c r="F56" s="97"/>
      <c r="G56" s="97"/>
      <c r="H56" s="97"/>
      <c r="I56" s="97"/>
      <c r="J56" s="97"/>
      <c r="K56" s="97"/>
      <c r="L56" s="97"/>
      <c r="M56" s="97"/>
      <c r="N56" s="97"/>
      <c r="O56" s="97"/>
      <c r="P56" s="94"/>
      <c r="Q56" s="97"/>
      <c r="R56" s="36">
        <f t="shared" si="6"/>
        <v>0</v>
      </c>
      <c r="S56" s="8" cm="1">
        <f t="array" ref="S56">12-SUMPRODUCT(COUNTIF(F56:Q56,{"I";"F";"CP";"R";"P";"AC";"AM"}))</f>
        <v>12</v>
      </c>
      <c r="T56" s="29">
        <f t="shared" si="1"/>
        <v>0</v>
      </c>
    </row>
    <row r="57" spans="2:20" x14ac:dyDescent="0.25">
      <c r="B57" s="95" t="s">
        <v>164</v>
      </c>
      <c r="C57" s="95" t="s">
        <v>34</v>
      </c>
      <c r="D57" s="89" t="s">
        <v>160</v>
      </c>
      <c r="E57" s="97" t="s">
        <v>281</v>
      </c>
      <c r="F57" s="97">
        <v>1</v>
      </c>
      <c r="G57" s="97">
        <v>1</v>
      </c>
      <c r="H57" s="97">
        <v>2</v>
      </c>
      <c r="I57" s="97">
        <v>2</v>
      </c>
      <c r="J57" s="97"/>
      <c r="K57" s="97"/>
      <c r="L57" s="97"/>
      <c r="M57" s="97"/>
      <c r="N57" s="97"/>
      <c r="O57" s="97"/>
      <c r="P57" s="94"/>
      <c r="Q57" s="97"/>
      <c r="R57" s="36">
        <f t="shared" si="6"/>
        <v>6</v>
      </c>
      <c r="S57" s="8" cm="1">
        <f t="array" ref="S57">12-SUMPRODUCT(COUNTIF(F57:Q57,{"I";"F";"CP";"R";"P";"AC";"AM"}))</f>
        <v>12</v>
      </c>
      <c r="T57" s="29">
        <f t="shared" si="1"/>
        <v>0.5</v>
      </c>
    </row>
    <row r="58" spans="2:20" x14ac:dyDescent="0.25">
      <c r="B58" s="94" t="s">
        <v>54</v>
      </c>
      <c r="C58" s="95" t="s">
        <v>230</v>
      </c>
      <c r="D58" s="89" t="s">
        <v>160</v>
      </c>
      <c r="E58" s="97" t="s">
        <v>231</v>
      </c>
      <c r="F58" s="97">
        <v>1</v>
      </c>
      <c r="G58" s="97">
        <v>1</v>
      </c>
      <c r="H58" s="97">
        <v>2</v>
      </c>
      <c r="I58" s="97">
        <v>1</v>
      </c>
      <c r="J58" s="97"/>
      <c r="K58" s="97"/>
      <c r="L58" s="97"/>
      <c r="M58" s="97"/>
      <c r="N58" s="97"/>
      <c r="O58" s="97"/>
      <c r="P58" s="94"/>
      <c r="Q58" s="97"/>
      <c r="R58" s="36">
        <f>SUM(F58:Q58)</f>
        <v>5</v>
      </c>
      <c r="S58" s="8" cm="1">
        <f t="array" ref="S58">12-SUMPRODUCT(COUNTIF(F58:Q58,{"I";"F";"CP";"R";"P";"AC";"AM"}))</f>
        <v>12</v>
      </c>
      <c r="T58" s="29">
        <f>R58/S58</f>
        <v>0.41666666666666669</v>
      </c>
    </row>
    <row r="59" spans="2:20" x14ac:dyDescent="0.25">
      <c r="B59" s="93" t="s">
        <v>109</v>
      </c>
      <c r="C59" s="95" t="s">
        <v>34</v>
      </c>
      <c r="D59" s="89" t="s">
        <v>160</v>
      </c>
      <c r="E59" s="97" t="s">
        <v>233</v>
      </c>
      <c r="F59" s="97">
        <v>3</v>
      </c>
      <c r="G59" s="97">
        <v>3</v>
      </c>
      <c r="H59" s="97">
        <v>4</v>
      </c>
      <c r="I59" s="97">
        <v>2</v>
      </c>
      <c r="J59" s="97"/>
      <c r="K59" s="97"/>
      <c r="L59" s="97"/>
      <c r="M59" s="97"/>
      <c r="N59" s="97"/>
      <c r="O59" s="97"/>
      <c r="P59" s="94"/>
      <c r="Q59" s="97"/>
      <c r="R59" s="36">
        <f t="shared" si="6"/>
        <v>12</v>
      </c>
      <c r="S59" s="8" cm="1">
        <f t="array" ref="S59">12-SUMPRODUCT(COUNTIF(F59:Q59,{"I";"F";"CP";"R";"P";"AC";"AM"}))</f>
        <v>12</v>
      </c>
      <c r="T59" s="29">
        <f t="shared" si="1"/>
        <v>1</v>
      </c>
    </row>
    <row r="60" spans="2:20" x14ac:dyDescent="0.25">
      <c r="B60" s="95" t="s">
        <v>178</v>
      </c>
      <c r="C60" s="95" t="s">
        <v>34</v>
      </c>
      <c r="D60" s="89" t="s">
        <v>166</v>
      </c>
      <c r="E60" s="97" t="s">
        <v>234</v>
      </c>
      <c r="F60" s="97" t="s">
        <v>162</v>
      </c>
      <c r="G60" s="97" t="s">
        <v>162</v>
      </c>
      <c r="H60" s="97" t="s">
        <v>162</v>
      </c>
      <c r="I60" s="97"/>
      <c r="J60" s="97"/>
      <c r="K60" s="97"/>
      <c r="L60" s="97"/>
      <c r="M60" s="97"/>
      <c r="N60" s="97"/>
      <c r="O60" s="97"/>
      <c r="P60" s="94"/>
      <c r="Q60" s="97"/>
      <c r="R60" s="36">
        <f t="shared" si="6"/>
        <v>0</v>
      </c>
      <c r="S60" s="8" cm="1">
        <f t="array" ref="S60">12-SUMPRODUCT(COUNTIF(F60:Q60,{"I";"F";"CP";"R";"P";"AC";"AM"}))</f>
        <v>9</v>
      </c>
      <c r="T60" s="29">
        <f t="shared" si="1"/>
        <v>0</v>
      </c>
    </row>
    <row r="61" spans="2:20" x14ac:dyDescent="0.25">
      <c r="B61" s="95" t="s">
        <v>159</v>
      </c>
      <c r="C61" s="95" t="s">
        <v>45</v>
      </c>
      <c r="D61" s="89" t="s">
        <v>160</v>
      </c>
      <c r="E61" s="97" t="s">
        <v>237</v>
      </c>
      <c r="F61" s="97">
        <v>0</v>
      </c>
      <c r="G61" s="97"/>
      <c r="H61" s="97">
        <v>1</v>
      </c>
      <c r="I61" s="97">
        <v>1</v>
      </c>
      <c r="J61" s="97"/>
      <c r="K61" s="97"/>
      <c r="L61" s="97"/>
      <c r="M61" s="97"/>
      <c r="N61" s="97"/>
      <c r="O61" s="97"/>
      <c r="P61" s="94"/>
      <c r="Q61" s="97"/>
      <c r="R61" s="36">
        <f t="shared" si="6"/>
        <v>2</v>
      </c>
      <c r="S61" s="8" cm="1">
        <f t="array" ref="S61">12-SUMPRODUCT(COUNTIF(F61:Q61,{"I";"F";"CP";"R";"P";"AC";"AM"}))</f>
        <v>12</v>
      </c>
      <c r="T61" s="29">
        <f t="shared" si="1"/>
        <v>0.16666666666666666</v>
      </c>
    </row>
    <row r="62" spans="2:20" x14ac:dyDescent="0.25">
      <c r="B62" s="95" t="s">
        <v>54</v>
      </c>
      <c r="C62" s="95" t="s">
        <v>34</v>
      </c>
      <c r="D62" s="89" t="s">
        <v>166</v>
      </c>
      <c r="E62" s="97" t="s">
        <v>232</v>
      </c>
      <c r="F62" s="97" t="s">
        <v>208</v>
      </c>
      <c r="G62" s="97" t="s">
        <v>208</v>
      </c>
      <c r="H62" s="97" t="s">
        <v>208</v>
      </c>
      <c r="I62" s="97">
        <v>1</v>
      </c>
      <c r="J62" s="97"/>
      <c r="K62" s="97"/>
      <c r="L62" s="97"/>
      <c r="M62" s="97"/>
      <c r="N62" s="97"/>
      <c r="O62" s="97"/>
      <c r="P62" s="94"/>
      <c r="Q62" s="97"/>
      <c r="R62" s="36"/>
      <c r="S62" s="8"/>
      <c r="T62" s="29"/>
    </row>
    <row r="63" spans="2:20" x14ac:dyDescent="0.25">
      <c r="B63" s="94" t="s">
        <v>54</v>
      </c>
      <c r="C63" s="93" t="s">
        <v>34</v>
      </c>
      <c r="D63" s="89" t="s">
        <v>166</v>
      </c>
      <c r="E63" s="97" t="s">
        <v>238</v>
      </c>
      <c r="F63" s="97">
        <v>3</v>
      </c>
      <c r="G63" s="97">
        <v>3</v>
      </c>
      <c r="H63" s="97">
        <v>2</v>
      </c>
      <c r="I63" s="97">
        <v>2</v>
      </c>
      <c r="J63" s="97"/>
      <c r="K63" s="97"/>
      <c r="L63" s="97"/>
      <c r="M63" s="97"/>
      <c r="N63" s="97"/>
      <c r="O63" s="97"/>
      <c r="P63" s="94"/>
      <c r="Q63" s="97"/>
      <c r="R63" s="36">
        <f t="shared" si="6"/>
        <v>10</v>
      </c>
      <c r="S63" s="8" cm="1">
        <f t="array" ref="S63">12-SUMPRODUCT(COUNTIF(F63:Q63,{"I";"F";"CP";"R";"P";"AC";"AM"}))</f>
        <v>12</v>
      </c>
      <c r="T63" s="29">
        <f t="shared" si="1"/>
        <v>0.83333333333333337</v>
      </c>
    </row>
    <row r="64" spans="2:20" x14ac:dyDescent="0.25">
      <c r="B64" s="94" t="s">
        <v>54</v>
      </c>
      <c r="C64" s="95" t="s">
        <v>34</v>
      </c>
      <c r="D64" s="89" t="s">
        <v>166</v>
      </c>
      <c r="E64" s="97" t="s">
        <v>239</v>
      </c>
      <c r="F64" s="97">
        <v>2</v>
      </c>
      <c r="G64" s="97">
        <v>1</v>
      </c>
      <c r="H64" s="97"/>
      <c r="I64" s="97">
        <v>1</v>
      </c>
      <c r="J64" s="97"/>
      <c r="K64" s="97"/>
      <c r="L64" s="97"/>
      <c r="M64" s="97"/>
      <c r="N64" s="97"/>
      <c r="O64" s="97"/>
      <c r="P64" s="94"/>
      <c r="Q64" s="97"/>
      <c r="R64" s="36">
        <f t="shared" si="6"/>
        <v>4</v>
      </c>
      <c r="S64" s="8" cm="1">
        <f t="array" ref="S64">12-SUMPRODUCT(COUNTIF(F64:Q64,{"I";"F";"CP";"R";"P";"AC";"AM"}))</f>
        <v>12</v>
      </c>
      <c r="T64" s="29">
        <f t="shared" si="1"/>
        <v>0.33333333333333331</v>
      </c>
    </row>
    <row r="65" spans="2:20" x14ac:dyDescent="0.25">
      <c r="B65" s="95" t="s">
        <v>178</v>
      </c>
      <c r="C65" s="95" t="s">
        <v>179</v>
      </c>
      <c r="D65" s="89" t="s">
        <v>240</v>
      </c>
      <c r="E65" s="97" t="s">
        <v>241</v>
      </c>
      <c r="F65" s="97">
        <v>0</v>
      </c>
      <c r="G65" s="97">
        <v>0</v>
      </c>
      <c r="H65" s="97" t="s">
        <v>162</v>
      </c>
      <c r="I65" s="97"/>
      <c r="J65" s="97"/>
      <c r="K65" s="97"/>
      <c r="L65" s="97"/>
      <c r="M65" s="97"/>
      <c r="N65" s="97"/>
      <c r="O65" s="97"/>
      <c r="P65" s="94"/>
      <c r="Q65" s="97"/>
      <c r="R65" s="36">
        <f t="shared" si="6"/>
        <v>0</v>
      </c>
      <c r="S65" s="8" cm="1">
        <f t="array" ref="S65">12-SUMPRODUCT(COUNTIF(F65:Q65,{"I";"F";"CP";"R";"P";"AC";"AM"}))</f>
        <v>11</v>
      </c>
      <c r="T65" s="29">
        <f t="shared" si="1"/>
        <v>0</v>
      </c>
    </row>
    <row r="66" spans="2:20" x14ac:dyDescent="0.25">
      <c r="B66" s="97" t="s">
        <v>178</v>
      </c>
      <c r="C66" s="95" t="s">
        <v>34</v>
      </c>
      <c r="D66" s="89" t="s">
        <v>188</v>
      </c>
      <c r="E66" s="95" t="s">
        <v>242</v>
      </c>
      <c r="F66" s="97">
        <v>1</v>
      </c>
      <c r="G66" s="97">
        <v>0</v>
      </c>
      <c r="H66" s="97">
        <v>0</v>
      </c>
      <c r="I66" s="97">
        <v>1</v>
      </c>
      <c r="J66" s="97"/>
      <c r="K66" s="97"/>
      <c r="L66" s="97"/>
      <c r="M66" s="97"/>
      <c r="N66" s="97"/>
      <c r="O66" s="97"/>
      <c r="P66" s="94"/>
      <c r="Q66" s="97"/>
      <c r="R66" s="36">
        <f t="shared" si="6"/>
        <v>2</v>
      </c>
      <c r="S66" s="8" cm="1">
        <f t="array" ref="S66">12-SUMPRODUCT(COUNTIF(F66:Q66,{"I";"F";"CP";"R";"P";"AC";"AM"}))</f>
        <v>12</v>
      </c>
      <c r="T66" s="29">
        <f t="shared" ref="T66" si="7">R66/S66</f>
        <v>0.16666666666666666</v>
      </c>
    </row>
    <row r="67" spans="2:20" x14ac:dyDescent="0.25">
      <c r="B67" s="95" t="s">
        <v>181</v>
      </c>
      <c r="C67" s="95" t="s">
        <v>34</v>
      </c>
      <c r="D67" s="89" t="s">
        <v>166</v>
      </c>
      <c r="E67" s="97" t="s">
        <v>243</v>
      </c>
      <c r="F67" s="97">
        <v>1</v>
      </c>
      <c r="G67" s="97">
        <v>1</v>
      </c>
      <c r="H67" s="97"/>
      <c r="I67" s="97"/>
      <c r="J67" s="97"/>
      <c r="K67" s="97"/>
      <c r="L67" s="97"/>
      <c r="M67" s="97"/>
      <c r="N67" s="97"/>
      <c r="O67" s="97"/>
      <c r="P67" s="94"/>
      <c r="Q67" s="97"/>
      <c r="R67" s="36">
        <f t="shared" si="6"/>
        <v>2</v>
      </c>
      <c r="S67" s="8" cm="1">
        <f t="array" ref="S67">12-SUMPRODUCT(COUNTIF(F67:Q67,{"I";"F";"CP";"R";"P";"AC";"AM"}))</f>
        <v>12</v>
      </c>
      <c r="T67" s="29">
        <f t="shared" si="1"/>
        <v>0.16666666666666666</v>
      </c>
    </row>
    <row r="68" spans="2:20" x14ac:dyDescent="0.25">
      <c r="B68" s="93" t="s">
        <v>109</v>
      </c>
      <c r="C68" s="95" t="s">
        <v>34</v>
      </c>
      <c r="D68" s="89" t="s">
        <v>166</v>
      </c>
      <c r="E68" s="97" t="s">
        <v>244</v>
      </c>
      <c r="F68" s="97" t="s">
        <v>208</v>
      </c>
      <c r="G68" s="97" t="s">
        <v>208</v>
      </c>
      <c r="H68" s="97">
        <v>2</v>
      </c>
      <c r="I68" s="97">
        <v>2</v>
      </c>
      <c r="J68" s="97"/>
      <c r="K68" s="97"/>
      <c r="L68" s="97"/>
      <c r="M68" s="97"/>
      <c r="N68" s="97"/>
      <c r="O68" s="97"/>
      <c r="P68" s="94"/>
      <c r="Q68" s="97"/>
      <c r="R68" s="36">
        <f>SUM(F68:Q68)</f>
        <v>4</v>
      </c>
      <c r="S68" s="8">
        <v>10</v>
      </c>
      <c r="T68" s="29">
        <f t="shared" si="1"/>
        <v>0.4</v>
      </c>
    </row>
    <row r="69" spans="2:20" x14ac:dyDescent="0.25">
      <c r="B69" s="95" t="s">
        <v>168</v>
      </c>
      <c r="C69" s="95" t="s">
        <v>168</v>
      </c>
      <c r="D69" s="89" t="s">
        <v>160</v>
      </c>
      <c r="E69" s="97" t="s">
        <v>245</v>
      </c>
      <c r="F69" s="97"/>
      <c r="G69" s="97"/>
      <c r="H69" s="97"/>
      <c r="I69" s="97"/>
      <c r="J69" s="97"/>
      <c r="K69" s="97"/>
      <c r="L69" s="97"/>
      <c r="M69" s="97"/>
      <c r="N69" s="97"/>
      <c r="O69" s="97"/>
      <c r="P69" s="94"/>
      <c r="Q69" s="97"/>
      <c r="R69" s="36">
        <f t="shared" si="6"/>
        <v>0</v>
      </c>
      <c r="S69" s="8" cm="1">
        <f t="array" ref="S69">12-SUMPRODUCT(COUNTIF(F69:Q69,{"I";"F";"CP";"R";"P";"AC";"AM"}))</f>
        <v>12</v>
      </c>
      <c r="T69" s="29">
        <f t="shared" si="1"/>
        <v>0</v>
      </c>
    </row>
    <row r="70" spans="2:20" x14ac:dyDescent="0.25">
      <c r="B70" s="94" t="s">
        <v>54</v>
      </c>
      <c r="C70" s="95" t="s">
        <v>34</v>
      </c>
      <c r="D70" s="89" t="s">
        <v>166</v>
      </c>
      <c r="E70" s="97" t="s">
        <v>246</v>
      </c>
      <c r="F70" s="97">
        <v>1</v>
      </c>
      <c r="G70" s="97"/>
      <c r="H70" s="97">
        <v>1</v>
      </c>
      <c r="I70" s="97">
        <v>2</v>
      </c>
      <c r="J70" s="97"/>
      <c r="K70" s="97"/>
      <c r="L70" s="97"/>
      <c r="M70" s="97"/>
      <c r="N70" s="97"/>
      <c r="O70" s="97"/>
      <c r="P70" s="94"/>
      <c r="Q70" s="97"/>
      <c r="R70" s="36">
        <f t="shared" si="6"/>
        <v>4</v>
      </c>
      <c r="S70" s="8" cm="1">
        <f t="array" ref="S70">12-SUMPRODUCT(COUNTIF(F70:Q70,{"I";"F";"CP";"R";"P";"AC";"AM"}))</f>
        <v>12</v>
      </c>
      <c r="T70" s="29">
        <f t="shared" si="1"/>
        <v>0.33333333333333331</v>
      </c>
    </row>
    <row r="71" spans="2:20" x14ac:dyDescent="0.25">
      <c r="B71" s="95" t="s">
        <v>178</v>
      </c>
      <c r="C71" s="95" t="s">
        <v>71</v>
      </c>
      <c r="D71" s="89" t="s">
        <v>166</v>
      </c>
      <c r="E71" s="97" t="s">
        <v>247</v>
      </c>
      <c r="F71" s="97" t="s">
        <v>223</v>
      </c>
      <c r="G71" s="97">
        <v>0</v>
      </c>
      <c r="H71" s="97">
        <v>0</v>
      </c>
      <c r="I71" s="97">
        <v>1</v>
      </c>
      <c r="J71" s="97"/>
      <c r="K71" s="97"/>
      <c r="L71" s="97"/>
      <c r="M71" s="97"/>
      <c r="N71" s="97"/>
      <c r="O71" s="97"/>
      <c r="P71" s="94"/>
      <c r="Q71" s="97"/>
      <c r="R71" s="36">
        <f t="shared" si="6"/>
        <v>1</v>
      </c>
      <c r="S71" s="8" cm="1">
        <f t="array" ref="S71">12-SUMPRODUCT(COUNTIF(F71:Q71,{"I";"F";"CP";"R";"P";"AC";"AM"}))</f>
        <v>11</v>
      </c>
      <c r="T71" s="29">
        <f t="shared" si="1"/>
        <v>9.0909090909090912E-2</v>
      </c>
    </row>
    <row r="72" spans="2:20" x14ac:dyDescent="0.25">
      <c r="B72" s="94" t="s">
        <v>54</v>
      </c>
      <c r="C72" s="95" t="s">
        <v>34</v>
      </c>
      <c r="D72" s="89" t="s">
        <v>166</v>
      </c>
      <c r="E72" s="97" t="s">
        <v>249</v>
      </c>
      <c r="F72" s="97" t="s">
        <v>162</v>
      </c>
      <c r="G72" s="97" t="s">
        <v>162</v>
      </c>
      <c r="H72" s="97" t="s">
        <v>162</v>
      </c>
      <c r="I72" s="97"/>
      <c r="J72" s="97"/>
      <c r="K72" s="97"/>
      <c r="L72" s="97"/>
      <c r="M72" s="97"/>
      <c r="N72" s="97"/>
      <c r="O72" s="97"/>
      <c r="P72" s="94"/>
      <c r="Q72" s="97"/>
      <c r="R72" s="36">
        <f t="shared" si="6"/>
        <v>0</v>
      </c>
      <c r="S72" s="8" cm="1">
        <f t="array" ref="S72">12-SUMPRODUCT(COUNTIF(F72:Q72,{"I";"F";"CP";"R";"P";"AC";"AM"}))</f>
        <v>9</v>
      </c>
      <c r="T72" s="29">
        <f t="shared" si="1"/>
        <v>0</v>
      </c>
    </row>
    <row r="73" spans="2:20" x14ac:dyDescent="0.25">
      <c r="B73" s="95" t="s">
        <v>168</v>
      </c>
      <c r="C73" s="95" t="s">
        <v>168</v>
      </c>
      <c r="D73" s="89" t="s">
        <v>188</v>
      </c>
      <c r="E73" s="97" t="s">
        <v>250</v>
      </c>
      <c r="F73" s="97"/>
      <c r="G73" s="97"/>
      <c r="H73" s="97"/>
      <c r="I73" s="97"/>
      <c r="J73" s="97"/>
      <c r="K73" s="97"/>
      <c r="L73" s="97"/>
      <c r="M73" s="97"/>
      <c r="N73" s="97"/>
      <c r="O73" s="97"/>
      <c r="P73" s="94"/>
      <c r="Q73" s="97"/>
      <c r="R73" s="36">
        <f t="shared" si="6"/>
        <v>0</v>
      </c>
      <c r="S73" s="8" cm="1">
        <f t="array" ref="S73">12-SUMPRODUCT(COUNTIF(F73:Q73,{"I";"F";"CP";"R";"P";"AC";"AM"}))</f>
        <v>12</v>
      </c>
      <c r="T73" s="29">
        <f t="shared" ref="T73:T110" si="8">R73/S73</f>
        <v>0</v>
      </c>
    </row>
    <row r="74" spans="2:20" x14ac:dyDescent="0.25">
      <c r="B74" s="95" t="s">
        <v>202</v>
      </c>
      <c r="C74" s="95" t="s">
        <v>34</v>
      </c>
      <c r="D74" s="89" t="s">
        <v>160</v>
      </c>
      <c r="E74" s="97" t="s">
        <v>251</v>
      </c>
      <c r="F74" s="97"/>
      <c r="G74" s="97"/>
      <c r="H74" s="97"/>
      <c r="I74" s="97"/>
      <c r="J74" s="97"/>
      <c r="K74" s="97"/>
      <c r="L74" s="97"/>
      <c r="M74" s="97"/>
      <c r="N74" s="97"/>
      <c r="O74" s="97"/>
      <c r="P74" s="94"/>
      <c r="Q74" s="97"/>
      <c r="R74" s="36">
        <f t="shared" si="6"/>
        <v>0</v>
      </c>
      <c r="S74" s="8" cm="1">
        <f t="array" ref="S74">12-SUMPRODUCT(COUNTIF(F74:Q74,{"I";"F";"CP";"R";"P";"AC";"AM"}))</f>
        <v>12</v>
      </c>
      <c r="T74" s="29">
        <f t="shared" si="8"/>
        <v>0</v>
      </c>
    </row>
    <row r="75" spans="2:20" x14ac:dyDescent="0.25">
      <c r="B75" s="95" t="s">
        <v>54</v>
      </c>
      <c r="C75" s="95" t="s">
        <v>45</v>
      </c>
      <c r="D75" s="89" t="s">
        <v>166</v>
      </c>
      <c r="E75" s="97" t="s">
        <v>252</v>
      </c>
      <c r="F75" s="97">
        <v>1</v>
      </c>
      <c r="G75" s="97">
        <v>1</v>
      </c>
      <c r="H75" s="97"/>
      <c r="I75" s="97">
        <v>2</v>
      </c>
      <c r="J75" s="97"/>
      <c r="K75" s="97"/>
      <c r="L75" s="97"/>
      <c r="M75" s="97"/>
      <c r="N75" s="97"/>
      <c r="O75" s="97"/>
      <c r="P75" s="94"/>
      <c r="Q75" s="97"/>
      <c r="R75" s="36">
        <f t="shared" si="6"/>
        <v>4</v>
      </c>
      <c r="S75" s="8" cm="1">
        <f t="array" ref="S75">12-SUMPRODUCT(COUNTIF(F75:Q75,{"I";"F";"CP";"R";"P";"AC";"AM"}))</f>
        <v>12</v>
      </c>
      <c r="T75" s="29">
        <f t="shared" si="8"/>
        <v>0.33333333333333331</v>
      </c>
    </row>
    <row r="76" spans="2:20" x14ac:dyDescent="0.25">
      <c r="B76" s="95" t="s">
        <v>253</v>
      </c>
      <c r="C76" s="93" t="s">
        <v>45</v>
      </c>
      <c r="D76" s="89" t="s">
        <v>160</v>
      </c>
      <c r="E76" s="97" t="s">
        <v>254</v>
      </c>
      <c r="F76" s="97"/>
      <c r="G76" s="97"/>
      <c r="H76" s="97"/>
      <c r="I76" s="97"/>
      <c r="J76" s="97"/>
      <c r="K76" s="97"/>
      <c r="L76" s="97"/>
      <c r="M76" s="97"/>
      <c r="N76" s="97"/>
      <c r="O76" s="97"/>
      <c r="P76" s="94"/>
      <c r="Q76" s="97"/>
      <c r="R76" s="36">
        <f t="shared" si="6"/>
        <v>0</v>
      </c>
      <c r="S76" s="8" cm="1">
        <f t="array" ref="S76">12-SUMPRODUCT(COUNTIF(F76:Q76,{"I";"F";"CP";"R";"P";"AC";"AM"}))</f>
        <v>12</v>
      </c>
      <c r="T76" s="29">
        <f t="shared" si="8"/>
        <v>0</v>
      </c>
    </row>
    <row r="77" spans="2:20" x14ac:dyDescent="0.25">
      <c r="B77" s="94" t="s">
        <v>54</v>
      </c>
      <c r="C77" s="93" t="s">
        <v>34</v>
      </c>
      <c r="D77" s="89" t="s">
        <v>166</v>
      </c>
      <c r="E77" s="97" t="s">
        <v>255</v>
      </c>
      <c r="F77" s="97">
        <v>1</v>
      </c>
      <c r="G77" s="97">
        <v>1</v>
      </c>
      <c r="H77" s="97">
        <v>2</v>
      </c>
      <c r="I77" s="97"/>
      <c r="J77" s="97"/>
      <c r="K77" s="97"/>
      <c r="L77" s="97"/>
      <c r="M77" s="97"/>
      <c r="N77" s="97"/>
      <c r="O77" s="97"/>
      <c r="P77" s="94"/>
      <c r="Q77" s="97"/>
      <c r="R77" s="36">
        <f t="shared" si="6"/>
        <v>4</v>
      </c>
      <c r="S77" s="8" cm="1">
        <f t="array" ref="S77">12-SUMPRODUCT(COUNTIF(F77:Q77,{"I";"F";"CP";"R";"P";"AC";"AM"}))</f>
        <v>12</v>
      </c>
      <c r="T77" s="29">
        <f t="shared" si="8"/>
        <v>0.33333333333333331</v>
      </c>
    </row>
    <row r="78" spans="2:20" x14ac:dyDescent="0.25">
      <c r="B78" s="95" t="s">
        <v>168</v>
      </c>
      <c r="C78" s="95" t="s">
        <v>168</v>
      </c>
      <c r="D78" s="89" t="s">
        <v>166</v>
      </c>
      <c r="E78" s="97" t="s">
        <v>256</v>
      </c>
      <c r="F78" s="97"/>
      <c r="G78" s="97"/>
      <c r="H78" s="97"/>
      <c r="I78" s="97"/>
      <c r="J78" s="97"/>
      <c r="K78" s="97"/>
      <c r="L78" s="97"/>
      <c r="M78" s="97"/>
      <c r="N78" s="97"/>
      <c r="O78" s="97"/>
      <c r="P78" s="94"/>
      <c r="Q78" s="97"/>
      <c r="R78" s="36">
        <f t="shared" si="6"/>
        <v>0</v>
      </c>
      <c r="S78" s="8" cm="1">
        <f t="array" ref="S78">12-SUMPRODUCT(COUNTIF(F78:Q78,{"I";"F";"CP";"R";"P";"AC";"AM"}))</f>
        <v>12</v>
      </c>
      <c r="T78" s="29">
        <f t="shared" si="8"/>
        <v>0</v>
      </c>
    </row>
    <row r="79" spans="2:20" x14ac:dyDescent="0.25">
      <c r="B79" s="95" t="s">
        <v>159</v>
      </c>
      <c r="C79" s="95" t="s">
        <v>45</v>
      </c>
      <c r="D79" s="89" t="s">
        <v>166</v>
      </c>
      <c r="E79" s="97" t="s">
        <v>257</v>
      </c>
      <c r="F79" s="97"/>
      <c r="G79" s="97"/>
      <c r="H79" s="97">
        <v>3</v>
      </c>
      <c r="I79" s="97"/>
      <c r="J79" s="97"/>
      <c r="K79" s="97"/>
      <c r="L79" s="97"/>
      <c r="M79" s="97"/>
      <c r="N79" s="97"/>
      <c r="O79" s="97"/>
      <c r="P79" s="94"/>
      <c r="Q79" s="97"/>
      <c r="R79" s="36">
        <f t="shared" si="6"/>
        <v>3</v>
      </c>
      <c r="S79" s="8" cm="1">
        <f t="array" ref="S79">12-SUMPRODUCT(COUNTIF(F79:Q79,{"I";"F";"CP";"R";"P";"AC";"AM"}))</f>
        <v>12</v>
      </c>
      <c r="T79" s="29">
        <f t="shared" si="8"/>
        <v>0.25</v>
      </c>
    </row>
    <row r="80" spans="2:20" x14ac:dyDescent="0.25">
      <c r="B80" s="94" t="s">
        <v>181</v>
      </c>
      <c r="C80" s="93" t="s">
        <v>230</v>
      </c>
      <c r="D80" s="89" t="s">
        <v>166</v>
      </c>
      <c r="E80" s="97" t="s">
        <v>259</v>
      </c>
      <c r="F80" s="97">
        <v>0</v>
      </c>
      <c r="G80" s="97"/>
      <c r="H80" s="97">
        <v>1</v>
      </c>
      <c r="I80" s="97">
        <v>2</v>
      </c>
      <c r="J80" s="97"/>
      <c r="K80" s="97"/>
      <c r="L80" s="97"/>
      <c r="M80" s="97"/>
      <c r="N80" s="97"/>
      <c r="O80" s="97"/>
      <c r="P80" s="97"/>
      <c r="Q80" s="97"/>
      <c r="R80" s="36">
        <f t="shared" si="6"/>
        <v>3</v>
      </c>
      <c r="S80" s="8" cm="1">
        <f t="array" ref="S80">12-SUMPRODUCT(COUNTIF(F80:Q80,{"I";"F";"CP";"R";"P";"AC";"AM"}))</f>
        <v>12</v>
      </c>
      <c r="T80" s="29">
        <f t="shared" si="8"/>
        <v>0.25</v>
      </c>
    </row>
    <row r="81" spans="2:20" x14ac:dyDescent="0.25">
      <c r="B81" s="95" t="s">
        <v>192</v>
      </c>
      <c r="C81" s="95" t="s">
        <v>192</v>
      </c>
      <c r="D81" s="89" t="s">
        <v>160</v>
      </c>
      <c r="E81" s="97" t="s">
        <v>260</v>
      </c>
      <c r="F81" s="97"/>
      <c r="G81" s="97"/>
      <c r="H81" s="97"/>
      <c r="I81" s="97"/>
      <c r="J81" s="97"/>
      <c r="K81" s="97"/>
      <c r="L81" s="97"/>
      <c r="M81" s="97"/>
      <c r="N81" s="97"/>
      <c r="O81" s="97"/>
      <c r="P81" s="94"/>
      <c r="Q81" s="97"/>
      <c r="R81" s="36">
        <f t="shared" si="6"/>
        <v>0</v>
      </c>
      <c r="S81" s="8" cm="1">
        <f t="array" ref="S81">12-SUMPRODUCT(COUNTIF(F81:Q81,{"I";"F";"CP";"R";"P";"AC";"AM"}))</f>
        <v>12</v>
      </c>
      <c r="T81" s="29">
        <f t="shared" si="8"/>
        <v>0</v>
      </c>
    </row>
    <row r="82" spans="2:20" x14ac:dyDescent="0.25">
      <c r="B82" s="93" t="s">
        <v>109</v>
      </c>
      <c r="C82" s="95" t="s">
        <v>34</v>
      </c>
      <c r="D82" s="89" t="s">
        <v>160</v>
      </c>
      <c r="E82" s="97" t="s">
        <v>261</v>
      </c>
      <c r="F82" s="97">
        <v>2</v>
      </c>
      <c r="G82" s="97">
        <v>0</v>
      </c>
      <c r="H82" s="97" t="s">
        <v>162</v>
      </c>
      <c r="I82" s="97">
        <v>1</v>
      </c>
      <c r="J82" s="97"/>
      <c r="K82" s="97"/>
      <c r="L82" s="97"/>
      <c r="M82" s="97"/>
      <c r="N82" s="97"/>
      <c r="O82" s="97"/>
      <c r="P82" s="94"/>
      <c r="Q82" s="97"/>
      <c r="R82" s="36">
        <f t="shared" si="6"/>
        <v>3</v>
      </c>
      <c r="S82" s="8" cm="1">
        <f t="array" ref="S82">12-SUMPRODUCT(COUNTIF(F82:Q82,{"I";"F";"CP";"R";"P";"AC";"AM"}))</f>
        <v>11</v>
      </c>
      <c r="T82" s="29">
        <f t="shared" si="8"/>
        <v>0.27272727272727271</v>
      </c>
    </row>
    <row r="83" spans="2:20" x14ac:dyDescent="0.25">
      <c r="B83" s="95" t="s">
        <v>192</v>
      </c>
      <c r="C83" s="95" t="s">
        <v>192</v>
      </c>
      <c r="D83" s="89" t="s">
        <v>166</v>
      </c>
      <c r="E83" s="97" t="s">
        <v>262</v>
      </c>
      <c r="F83" s="97"/>
      <c r="G83" s="97">
        <v>1</v>
      </c>
      <c r="H83" s="97"/>
      <c r="I83" s="97">
        <v>1</v>
      </c>
      <c r="J83" s="97"/>
      <c r="K83" s="97"/>
      <c r="L83" s="97"/>
      <c r="M83" s="97"/>
      <c r="N83" s="97"/>
      <c r="O83" s="97"/>
      <c r="P83" s="94"/>
      <c r="Q83" s="97"/>
      <c r="R83" s="36">
        <f t="shared" si="6"/>
        <v>2</v>
      </c>
      <c r="S83" s="8" cm="1">
        <f t="array" ref="S83">12-SUMPRODUCT(COUNTIF(F83:Q83,{"I";"F";"CP";"R";"P";"AC";"AM"}))</f>
        <v>12</v>
      </c>
      <c r="T83" s="29">
        <f t="shared" si="8"/>
        <v>0.16666666666666666</v>
      </c>
    </row>
    <row r="84" spans="2:20" x14ac:dyDescent="0.25">
      <c r="B84" s="95" t="s">
        <v>94</v>
      </c>
      <c r="C84" s="95" t="s">
        <v>94</v>
      </c>
      <c r="D84" s="89" t="s">
        <v>166</v>
      </c>
      <c r="E84" s="97" t="s">
        <v>263</v>
      </c>
      <c r="F84" s="97"/>
      <c r="G84" s="97"/>
      <c r="H84" s="97"/>
      <c r="I84" s="97"/>
      <c r="J84" s="97"/>
      <c r="K84" s="97"/>
      <c r="L84" s="97"/>
      <c r="M84" s="97"/>
      <c r="N84" s="97"/>
      <c r="O84" s="97"/>
      <c r="P84" s="94"/>
      <c r="Q84" s="97"/>
      <c r="R84" s="36">
        <f t="shared" si="6"/>
        <v>0</v>
      </c>
      <c r="S84" s="8" cm="1">
        <f t="array" ref="S84">12-SUMPRODUCT(COUNTIF(F84:Q84,{"I";"F";"CP";"R";"P";"AC";"AM"}))</f>
        <v>12</v>
      </c>
      <c r="T84" s="29">
        <f t="shared" si="8"/>
        <v>0</v>
      </c>
    </row>
    <row r="85" spans="2:20" x14ac:dyDescent="0.25">
      <c r="B85" s="93" t="s">
        <v>109</v>
      </c>
      <c r="C85" s="95" t="s">
        <v>34</v>
      </c>
      <c r="D85" s="89" t="s">
        <v>166</v>
      </c>
      <c r="E85" s="97" t="s">
        <v>265</v>
      </c>
      <c r="F85" s="97">
        <v>4</v>
      </c>
      <c r="G85" s="97">
        <v>2</v>
      </c>
      <c r="H85" s="97">
        <v>2</v>
      </c>
      <c r="I85" s="97">
        <v>3</v>
      </c>
      <c r="J85" s="97"/>
      <c r="K85" s="97"/>
      <c r="L85" s="97"/>
      <c r="M85" s="97"/>
      <c r="N85" s="97"/>
      <c r="O85" s="97"/>
      <c r="P85" s="94"/>
      <c r="Q85" s="97"/>
      <c r="R85" s="36">
        <f>SUM(F85:Q85)</f>
        <v>11</v>
      </c>
      <c r="S85" s="8" cm="1">
        <f t="array" ref="S85">12-SUMPRODUCT(COUNTIF(F85:Q85,{"I";"F";"CP";"R";"P";"AC";"AM"}))</f>
        <v>12</v>
      </c>
      <c r="T85" s="29">
        <f>R85/S85</f>
        <v>0.91666666666666663</v>
      </c>
    </row>
    <row r="86" spans="2:20" x14ac:dyDescent="0.25">
      <c r="B86" s="95" t="s">
        <v>181</v>
      </c>
      <c r="C86" s="95" t="s">
        <v>34</v>
      </c>
      <c r="D86" s="89" t="s">
        <v>188</v>
      </c>
      <c r="E86" s="97" t="s">
        <v>266</v>
      </c>
      <c r="F86" s="97">
        <v>0</v>
      </c>
      <c r="G86" s="97">
        <v>1</v>
      </c>
      <c r="H86" s="97">
        <v>1</v>
      </c>
      <c r="I86" s="97">
        <v>1</v>
      </c>
      <c r="J86" s="97"/>
      <c r="K86" s="97"/>
      <c r="L86" s="97"/>
      <c r="M86" s="97"/>
      <c r="N86" s="97"/>
      <c r="O86" s="97"/>
      <c r="P86" s="94"/>
      <c r="Q86" s="97"/>
      <c r="R86" s="36">
        <f t="shared" ref="R86:R102" si="9">SUM(F86:Q86)</f>
        <v>3</v>
      </c>
      <c r="S86" s="8" cm="1">
        <f t="array" ref="S86">12-SUMPRODUCT(COUNTIF(F86:Q86,{"I";"F";"CP";"R";"P";"AC";"AM"}))</f>
        <v>12</v>
      </c>
      <c r="T86" s="29">
        <f t="shared" si="8"/>
        <v>0.25</v>
      </c>
    </row>
    <row r="87" spans="2:20" x14ac:dyDescent="0.25">
      <c r="B87" s="95" t="s">
        <v>168</v>
      </c>
      <c r="C87" s="95" t="s">
        <v>168</v>
      </c>
      <c r="D87" s="89" t="s">
        <v>166</v>
      </c>
      <c r="E87" s="97" t="s">
        <v>266</v>
      </c>
      <c r="F87" s="97"/>
      <c r="G87" s="97"/>
      <c r="H87" s="97"/>
      <c r="I87" s="97"/>
      <c r="J87" s="97"/>
      <c r="K87" s="97"/>
      <c r="L87" s="97"/>
      <c r="M87" s="97"/>
      <c r="N87" s="97"/>
      <c r="O87" s="97"/>
      <c r="P87" s="94"/>
      <c r="Q87" s="97"/>
      <c r="R87" s="36">
        <f t="shared" si="9"/>
        <v>0</v>
      </c>
      <c r="S87" s="8" cm="1">
        <f t="array" ref="S87">12-SUMPRODUCT(COUNTIF(F87:Q87,{"I";"F";"CP";"R";"P";"AC";"AM"}))</f>
        <v>12</v>
      </c>
      <c r="T87" s="29">
        <f t="shared" si="8"/>
        <v>0</v>
      </c>
    </row>
    <row r="88" spans="2:20" x14ac:dyDescent="0.25">
      <c r="B88" s="97" t="s">
        <v>178</v>
      </c>
      <c r="C88" s="95" t="s">
        <v>71</v>
      </c>
      <c r="D88" s="89" t="s">
        <v>166</v>
      </c>
      <c r="E88" s="95" t="s">
        <v>267</v>
      </c>
      <c r="F88" s="97">
        <v>0</v>
      </c>
      <c r="G88" s="97">
        <v>0</v>
      </c>
      <c r="H88" s="97">
        <v>0</v>
      </c>
      <c r="I88" s="97"/>
      <c r="J88" s="97"/>
      <c r="K88" s="97"/>
      <c r="L88" s="97"/>
      <c r="M88" s="97"/>
      <c r="N88" s="97"/>
      <c r="O88" s="97"/>
      <c r="P88" s="94"/>
      <c r="Q88" s="97"/>
      <c r="R88" s="36">
        <f t="shared" si="9"/>
        <v>0</v>
      </c>
      <c r="S88" s="8" cm="1">
        <f t="array" ref="S88">12-SUMPRODUCT(COUNTIF(F88:Q88,{"I";"F";"CP";"R";"P";"AC";"AM"}))</f>
        <v>12</v>
      </c>
      <c r="T88" s="29">
        <f t="shared" si="8"/>
        <v>0</v>
      </c>
    </row>
    <row r="89" spans="2:20" x14ac:dyDescent="0.25">
      <c r="B89" s="95" t="s">
        <v>168</v>
      </c>
      <c r="C89" s="95" t="s">
        <v>168</v>
      </c>
      <c r="D89" s="89" t="s">
        <v>160</v>
      </c>
      <c r="E89" s="97" t="s">
        <v>268</v>
      </c>
      <c r="F89" s="97"/>
      <c r="G89" s="97"/>
      <c r="H89" s="97"/>
      <c r="I89" s="97"/>
      <c r="J89" s="97"/>
      <c r="K89" s="97"/>
      <c r="L89" s="97"/>
      <c r="M89" s="97"/>
      <c r="N89" s="97"/>
      <c r="O89" s="97"/>
      <c r="P89" s="94"/>
      <c r="Q89" s="97"/>
      <c r="R89" s="36">
        <f t="shared" si="9"/>
        <v>0</v>
      </c>
      <c r="S89" s="8" cm="1">
        <f t="array" ref="S89">12-SUMPRODUCT(COUNTIF(F89:Q89,{"I";"F";"CP";"R";"P";"AC";"AM"}))</f>
        <v>12</v>
      </c>
      <c r="T89" s="29">
        <f t="shared" si="8"/>
        <v>0</v>
      </c>
    </row>
    <row r="90" spans="2:20" x14ac:dyDescent="0.25">
      <c r="B90" s="95" t="s">
        <v>253</v>
      </c>
      <c r="C90" s="95" t="s">
        <v>34</v>
      </c>
      <c r="D90" s="89" t="s">
        <v>160</v>
      </c>
      <c r="E90" s="97" t="s">
        <v>283</v>
      </c>
      <c r="F90" s="97">
        <v>1</v>
      </c>
      <c r="G90" s="97"/>
      <c r="H90" s="97"/>
      <c r="I90" s="97"/>
      <c r="J90" s="97"/>
      <c r="K90" s="97"/>
      <c r="L90" s="97"/>
      <c r="M90" s="97"/>
      <c r="N90" s="97"/>
      <c r="O90" s="97"/>
      <c r="P90" s="94"/>
      <c r="Q90" s="97"/>
      <c r="R90" s="36">
        <f t="shared" si="9"/>
        <v>1</v>
      </c>
      <c r="S90" s="8" cm="1">
        <f t="array" ref="S90">12-SUMPRODUCT(COUNTIF(F90:Q90,{"I";"F";"CP";"R";"P";"AC";"AM"}))</f>
        <v>12</v>
      </c>
      <c r="T90" s="29">
        <f t="shared" si="8"/>
        <v>8.3333333333333329E-2</v>
      </c>
    </row>
    <row r="91" spans="2:20" x14ac:dyDescent="0.25">
      <c r="B91" s="93" t="s">
        <v>109</v>
      </c>
      <c r="C91" s="95" t="s">
        <v>34</v>
      </c>
      <c r="D91" s="89" t="s">
        <v>166</v>
      </c>
      <c r="E91" s="97" t="s">
        <v>271</v>
      </c>
      <c r="F91" s="97">
        <v>4</v>
      </c>
      <c r="G91" s="97">
        <v>3</v>
      </c>
      <c r="H91" s="97">
        <v>4</v>
      </c>
      <c r="I91" s="97">
        <v>4</v>
      </c>
      <c r="J91" s="97"/>
      <c r="K91" s="97"/>
      <c r="L91" s="97"/>
      <c r="M91" s="97"/>
      <c r="N91" s="97"/>
      <c r="O91" s="97"/>
      <c r="P91" s="94"/>
      <c r="Q91" s="97"/>
      <c r="R91" s="36">
        <f t="shared" si="9"/>
        <v>15</v>
      </c>
      <c r="S91" s="8" cm="1">
        <f t="array" ref="S91">12-SUMPRODUCT(COUNTIF(F91:Q91,{"I";"F";"CP";"R";"P";"AC";"AM"}))</f>
        <v>12</v>
      </c>
      <c r="T91" s="29">
        <f t="shared" si="8"/>
        <v>1.25</v>
      </c>
    </row>
    <row r="92" spans="2:20" x14ac:dyDescent="0.25">
      <c r="B92" s="95" t="s">
        <v>178</v>
      </c>
      <c r="C92" s="95" t="s">
        <v>34</v>
      </c>
      <c r="D92" s="89" t="s">
        <v>166</v>
      </c>
      <c r="E92" s="97" t="s">
        <v>272</v>
      </c>
      <c r="F92" s="97">
        <v>1</v>
      </c>
      <c r="G92" s="97">
        <v>0</v>
      </c>
      <c r="H92" s="97">
        <v>0</v>
      </c>
      <c r="I92" s="97"/>
      <c r="J92" s="97"/>
      <c r="K92" s="97"/>
      <c r="L92" s="97"/>
      <c r="M92" s="97"/>
      <c r="N92" s="97"/>
      <c r="O92" s="97"/>
      <c r="P92" s="94"/>
      <c r="Q92" s="97"/>
      <c r="R92" s="36">
        <f t="shared" si="9"/>
        <v>1</v>
      </c>
      <c r="S92" s="8" cm="1">
        <f t="array" ref="S92">12-SUMPRODUCT(COUNTIF(F92:Q92,{"I";"F";"CP";"R";"P";"AC";"AM"}))</f>
        <v>12</v>
      </c>
      <c r="T92" s="29">
        <f t="shared" si="8"/>
        <v>8.3333333333333329E-2</v>
      </c>
    </row>
    <row r="93" spans="2:20" x14ac:dyDescent="0.25">
      <c r="B93" s="95" t="s">
        <v>181</v>
      </c>
      <c r="C93" s="95" t="s">
        <v>34</v>
      </c>
      <c r="D93" s="89" t="s">
        <v>160</v>
      </c>
      <c r="E93" s="97" t="s">
        <v>273</v>
      </c>
      <c r="F93" s="97">
        <v>1</v>
      </c>
      <c r="G93" s="97">
        <v>1</v>
      </c>
      <c r="H93" s="97">
        <v>1</v>
      </c>
      <c r="I93" s="97"/>
      <c r="J93" s="97"/>
      <c r="K93" s="97"/>
      <c r="L93" s="97"/>
      <c r="M93" s="97"/>
      <c r="N93" s="97"/>
      <c r="O93" s="97"/>
      <c r="P93" s="94"/>
      <c r="Q93" s="97"/>
      <c r="R93" s="36">
        <f t="shared" si="9"/>
        <v>3</v>
      </c>
      <c r="S93" s="8" cm="1">
        <f t="array" ref="S93">12-SUMPRODUCT(COUNTIF(F93:Q93,{"I";"F";"CP";"R";"P";"AC";"AM"}))</f>
        <v>12</v>
      </c>
      <c r="T93" s="29">
        <f t="shared" si="8"/>
        <v>0.25</v>
      </c>
    </row>
    <row r="94" spans="2:20" x14ac:dyDescent="0.25">
      <c r="B94" s="95" t="s">
        <v>192</v>
      </c>
      <c r="C94" s="95" t="s">
        <v>192</v>
      </c>
      <c r="D94" s="89" t="s">
        <v>160</v>
      </c>
      <c r="E94" s="97" t="s">
        <v>274</v>
      </c>
      <c r="F94" s="97"/>
      <c r="G94" s="97"/>
      <c r="H94" s="97"/>
      <c r="I94" s="97"/>
      <c r="J94" s="97"/>
      <c r="K94" s="97"/>
      <c r="L94" s="97"/>
      <c r="M94" s="97"/>
      <c r="N94" s="97"/>
      <c r="O94" s="97"/>
      <c r="P94" s="94"/>
      <c r="Q94" s="97"/>
      <c r="R94" s="36">
        <f t="shared" si="9"/>
        <v>0</v>
      </c>
      <c r="S94" s="8" cm="1">
        <f t="array" ref="S94">12-SUMPRODUCT(COUNTIF(F94:Q94,{"I";"F";"CP";"R";"P";"AC";"AM"}))</f>
        <v>12</v>
      </c>
      <c r="T94" s="29">
        <f t="shared" si="8"/>
        <v>0</v>
      </c>
    </row>
    <row r="95" spans="2:20" x14ac:dyDescent="0.25">
      <c r="B95" s="95" t="s">
        <v>181</v>
      </c>
      <c r="C95" s="95" t="s">
        <v>34</v>
      </c>
      <c r="D95" s="89" t="s">
        <v>188</v>
      </c>
      <c r="E95" s="97" t="s">
        <v>275</v>
      </c>
      <c r="F95" s="97" t="s">
        <v>276</v>
      </c>
      <c r="G95" s="97">
        <v>0</v>
      </c>
      <c r="H95" s="97">
        <v>0</v>
      </c>
      <c r="I95" s="97"/>
      <c r="J95" s="97"/>
      <c r="K95" s="97"/>
      <c r="L95" s="97"/>
      <c r="M95" s="97"/>
      <c r="N95" s="97"/>
      <c r="O95" s="97"/>
      <c r="P95" s="94"/>
      <c r="Q95" s="97"/>
      <c r="R95" s="36">
        <f t="shared" si="9"/>
        <v>0</v>
      </c>
      <c r="S95" s="8" cm="1">
        <f t="array" ref="S95">12-SUMPRODUCT(COUNTIF(F95:Q95,{"I";"F";"CP";"R";"P";"AC";"AM"}))</f>
        <v>11</v>
      </c>
      <c r="T95" s="29">
        <f t="shared" si="8"/>
        <v>0</v>
      </c>
    </row>
    <row r="96" spans="2:20" x14ac:dyDescent="0.25">
      <c r="B96" s="95" t="s">
        <v>159</v>
      </c>
      <c r="C96" s="95" t="s">
        <v>34</v>
      </c>
      <c r="D96" s="89" t="s">
        <v>188</v>
      </c>
      <c r="E96" s="97" t="s">
        <v>277</v>
      </c>
      <c r="F96" s="97">
        <v>1</v>
      </c>
      <c r="G96" s="97"/>
      <c r="H96" s="97">
        <v>2</v>
      </c>
      <c r="I96" s="97"/>
      <c r="J96" s="97"/>
      <c r="K96" s="97"/>
      <c r="L96" s="97"/>
      <c r="M96" s="97"/>
      <c r="N96" s="97"/>
      <c r="O96" s="97"/>
      <c r="P96" s="94"/>
      <c r="Q96" s="97"/>
      <c r="R96" s="36">
        <f t="shared" si="9"/>
        <v>3</v>
      </c>
      <c r="S96" s="8" cm="1">
        <f t="array" ref="S96">12-SUMPRODUCT(COUNTIF(F96:Q96,{"I";"F";"CP";"R";"P";"AC";"AM"}))</f>
        <v>12</v>
      </c>
      <c r="T96" s="29">
        <f t="shared" si="8"/>
        <v>0.25</v>
      </c>
    </row>
    <row r="97" spans="2:20" x14ac:dyDescent="0.25">
      <c r="B97" s="93" t="s">
        <v>100</v>
      </c>
      <c r="C97" s="95" t="s">
        <v>34</v>
      </c>
      <c r="D97" s="89" t="s">
        <v>160</v>
      </c>
      <c r="E97" s="97" t="s">
        <v>278</v>
      </c>
      <c r="F97" s="97">
        <v>1</v>
      </c>
      <c r="G97" s="97">
        <v>0</v>
      </c>
      <c r="H97" s="97">
        <v>1</v>
      </c>
      <c r="I97" s="97">
        <v>2</v>
      </c>
      <c r="J97" s="97"/>
      <c r="K97" s="97"/>
      <c r="L97" s="97"/>
      <c r="M97" s="97"/>
      <c r="N97" s="97"/>
      <c r="O97" s="97"/>
      <c r="P97" s="94"/>
      <c r="Q97" s="97"/>
      <c r="R97" s="36">
        <f t="shared" si="9"/>
        <v>4</v>
      </c>
      <c r="S97" s="8" cm="1">
        <f t="array" ref="S97">12-SUMPRODUCT(COUNTIF(F97:Q97,{"I";"F";"CP";"R";"P";"AC";"AM"}))</f>
        <v>12</v>
      </c>
      <c r="T97" s="29">
        <f t="shared" si="8"/>
        <v>0.33333333333333331</v>
      </c>
    </row>
    <row r="98" spans="2:20" x14ac:dyDescent="0.25">
      <c r="B98" s="97" t="s">
        <v>181</v>
      </c>
      <c r="C98" s="95" t="s">
        <v>34</v>
      </c>
      <c r="D98" s="89" t="s">
        <v>166</v>
      </c>
      <c r="E98" s="97" t="s">
        <v>279</v>
      </c>
      <c r="F98" s="97">
        <v>0</v>
      </c>
      <c r="G98" s="97">
        <v>2</v>
      </c>
      <c r="H98" s="97">
        <v>0</v>
      </c>
      <c r="I98" s="97"/>
      <c r="J98" s="97"/>
      <c r="K98" s="97"/>
      <c r="L98" s="97"/>
      <c r="M98" s="97"/>
      <c r="N98" s="97"/>
      <c r="O98" s="97"/>
      <c r="P98" s="94"/>
      <c r="Q98" s="97"/>
      <c r="R98" s="36">
        <v>2</v>
      </c>
      <c r="S98" s="8" cm="1">
        <f t="array" ref="S98">12-SUMPRODUCT(COUNTIF(F98:Q98,{"I";"F";"CP";"R";"P";"AC";"AM"}))</f>
        <v>12</v>
      </c>
      <c r="T98" s="29">
        <f t="shared" si="8"/>
        <v>0.16666666666666666</v>
      </c>
    </row>
    <row r="99" spans="2:20" x14ac:dyDescent="0.25">
      <c r="B99" s="97" t="s">
        <v>164</v>
      </c>
      <c r="C99" s="95" t="s">
        <v>45</v>
      </c>
      <c r="D99" s="89" t="s">
        <v>166</v>
      </c>
      <c r="E99" s="97" t="s">
        <v>177</v>
      </c>
      <c r="F99" s="97">
        <v>2</v>
      </c>
      <c r="G99" s="97">
        <v>1</v>
      </c>
      <c r="H99" s="97">
        <v>1</v>
      </c>
      <c r="I99" s="97">
        <v>2</v>
      </c>
      <c r="J99" s="97"/>
      <c r="K99" s="97"/>
      <c r="L99" s="97"/>
      <c r="M99" s="97"/>
      <c r="N99" s="97"/>
      <c r="O99" s="97"/>
      <c r="P99" s="94"/>
      <c r="Q99" s="97"/>
      <c r="R99" s="36">
        <f t="shared" si="9"/>
        <v>6</v>
      </c>
      <c r="S99" s="8" cm="1">
        <f t="array" ref="S99">12-SUMPRODUCT(COUNTIF(F99:Q99,{"I";"F";"CP";"R";"P";"AC";"AM"}))</f>
        <v>12</v>
      </c>
      <c r="T99" s="29">
        <f t="shared" si="8"/>
        <v>0.5</v>
      </c>
    </row>
    <row r="100" spans="2:20" x14ac:dyDescent="0.25">
      <c r="B100" s="95" t="s">
        <v>164</v>
      </c>
      <c r="C100" s="95" t="s">
        <v>34</v>
      </c>
      <c r="D100" s="89" t="s">
        <v>166</v>
      </c>
      <c r="E100" s="97" t="s">
        <v>92</v>
      </c>
      <c r="F100" s="97"/>
      <c r="G100" s="97"/>
      <c r="H100" s="97"/>
      <c r="I100" s="97"/>
      <c r="J100" s="97"/>
      <c r="K100" s="97"/>
      <c r="L100" s="97"/>
      <c r="M100" s="97"/>
      <c r="N100" s="97"/>
      <c r="O100" s="97"/>
      <c r="P100" s="94"/>
      <c r="Q100" s="97"/>
      <c r="R100" s="36">
        <f t="shared" si="9"/>
        <v>0</v>
      </c>
      <c r="S100" s="8" cm="1">
        <f t="array" ref="S100">12-SUMPRODUCT(COUNTIF(F100:Q100,{"I";"F";"CP";"R";"P";"AC";"AM"}))</f>
        <v>12</v>
      </c>
      <c r="T100" s="29">
        <f t="shared" si="8"/>
        <v>0</v>
      </c>
    </row>
    <row r="101" spans="2:20" x14ac:dyDescent="0.25">
      <c r="B101" s="94" t="s">
        <v>54</v>
      </c>
      <c r="C101" s="95" t="s">
        <v>34</v>
      </c>
      <c r="D101" s="89" t="s">
        <v>160</v>
      </c>
      <c r="E101" s="97" t="s">
        <v>282</v>
      </c>
      <c r="F101" s="97">
        <v>1</v>
      </c>
      <c r="G101" s="97">
        <v>1</v>
      </c>
      <c r="H101" s="97">
        <v>2</v>
      </c>
      <c r="I101" s="97"/>
      <c r="J101" s="97"/>
      <c r="K101" s="97"/>
      <c r="L101" s="97"/>
      <c r="M101" s="97"/>
      <c r="N101" s="97"/>
      <c r="O101" s="97"/>
      <c r="P101" s="94"/>
      <c r="Q101" s="97"/>
      <c r="R101" s="36">
        <f t="shared" si="9"/>
        <v>4</v>
      </c>
      <c r="S101" s="8" cm="1">
        <f t="array" ref="S101">12-SUMPRODUCT(COUNTIF(F101:Q101,{"I";"F";"CP";"R";"P";"AC";"AM"}))</f>
        <v>12</v>
      </c>
      <c r="T101" s="29">
        <f t="shared" si="8"/>
        <v>0.33333333333333331</v>
      </c>
    </row>
    <row r="102" spans="2:20" x14ac:dyDescent="0.25">
      <c r="B102" s="95" t="s">
        <v>269</v>
      </c>
      <c r="C102" s="95" t="s">
        <v>34</v>
      </c>
      <c r="D102" s="89" t="s">
        <v>166</v>
      </c>
      <c r="E102" s="97" t="s">
        <v>270</v>
      </c>
      <c r="F102" s="97">
        <v>2</v>
      </c>
      <c r="G102" s="97"/>
      <c r="H102" s="97">
        <v>1</v>
      </c>
      <c r="I102" s="97"/>
      <c r="J102" s="97"/>
      <c r="K102" s="97"/>
      <c r="L102" s="97"/>
      <c r="M102" s="97"/>
      <c r="N102" s="97"/>
      <c r="O102" s="97"/>
      <c r="P102" s="97"/>
      <c r="Q102" s="97"/>
      <c r="R102" s="36">
        <f t="shared" si="9"/>
        <v>3</v>
      </c>
      <c r="S102" s="8" cm="1">
        <f t="array" ref="S102">12-SUMPRODUCT(COUNTIF(F102:Q102,{"I";"F";"CP";"R";"P";"AC";"AM"}))</f>
        <v>12</v>
      </c>
      <c r="T102" s="29">
        <f t="shared" si="8"/>
        <v>0.25</v>
      </c>
    </row>
    <row r="103" spans="2:20" x14ac:dyDescent="0.25">
      <c r="B103" s="95" t="s">
        <v>168</v>
      </c>
      <c r="C103" s="95" t="s">
        <v>168</v>
      </c>
      <c r="D103" s="89" t="s">
        <v>166</v>
      </c>
      <c r="E103" s="97" t="s">
        <v>284</v>
      </c>
      <c r="F103" s="97"/>
      <c r="G103" s="97"/>
      <c r="H103" s="97"/>
      <c r="I103" s="97"/>
      <c r="J103" s="97"/>
      <c r="K103" s="97"/>
      <c r="L103" s="97"/>
      <c r="M103" s="97"/>
      <c r="N103" s="97"/>
      <c r="O103" s="97"/>
      <c r="P103" s="94"/>
      <c r="Q103" s="97"/>
      <c r="R103" s="36">
        <f t="shared" ref="R103:R110" si="10">SUM(F103:Q103)</f>
        <v>0</v>
      </c>
      <c r="S103" s="8" cm="1">
        <f t="array" ref="S103">12-SUMPRODUCT(COUNTIF(F103:Q103,{"I";"F";"CP";"R";"P";"AC";"AM"}))</f>
        <v>12</v>
      </c>
      <c r="T103" s="29">
        <f t="shared" si="8"/>
        <v>0</v>
      </c>
    </row>
    <row r="104" spans="2:20" x14ac:dyDescent="0.25">
      <c r="B104" s="95" t="s">
        <v>54</v>
      </c>
      <c r="C104" s="95" t="s">
        <v>230</v>
      </c>
      <c r="D104" s="89" t="s">
        <v>166</v>
      </c>
      <c r="E104" s="97" t="s">
        <v>285</v>
      </c>
      <c r="F104" s="97">
        <v>1</v>
      </c>
      <c r="G104" s="97">
        <v>1</v>
      </c>
      <c r="H104" s="97"/>
      <c r="I104" s="97">
        <v>2</v>
      </c>
      <c r="J104" s="97"/>
      <c r="K104" s="97"/>
      <c r="L104" s="97"/>
      <c r="M104" s="97"/>
      <c r="N104" s="97"/>
      <c r="O104" s="97"/>
      <c r="P104" s="94"/>
      <c r="Q104" s="97"/>
      <c r="R104" s="36">
        <f>SUM(F104:Q104)</f>
        <v>4</v>
      </c>
      <c r="S104" s="8" cm="1">
        <f t="array" ref="S104">12-SUMPRODUCT(COUNTIF(F104:Q104,{"I";"F";"CP";"R";"P";"AC";"AM"}))</f>
        <v>12</v>
      </c>
      <c r="T104" s="29">
        <f>R104/S104</f>
        <v>0.33333333333333331</v>
      </c>
    </row>
    <row r="105" spans="2:20" x14ac:dyDescent="0.25">
      <c r="B105" s="95" t="s">
        <v>100</v>
      </c>
      <c r="C105" s="95" t="s">
        <v>34</v>
      </c>
      <c r="D105" s="89" t="s">
        <v>160</v>
      </c>
      <c r="E105" s="97" t="s">
        <v>286</v>
      </c>
      <c r="F105" s="97">
        <v>1</v>
      </c>
      <c r="G105" s="97">
        <v>2</v>
      </c>
      <c r="H105" s="97">
        <v>2</v>
      </c>
      <c r="I105" s="97">
        <v>3</v>
      </c>
      <c r="J105" s="97"/>
      <c r="K105" s="97"/>
      <c r="L105" s="97"/>
      <c r="M105" s="97"/>
      <c r="N105" s="97"/>
      <c r="O105" s="97"/>
      <c r="P105" s="94"/>
      <c r="Q105" s="97"/>
      <c r="R105" s="36">
        <f t="shared" si="10"/>
        <v>8</v>
      </c>
      <c r="S105" s="8" cm="1">
        <f t="array" ref="S105">12-SUMPRODUCT(COUNTIF(F105:Q105,{"I";"F";"CP";"R";"P";"AC";"AM"}))</f>
        <v>12</v>
      </c>
      <c r="T105" s="29">
        <f t="shared" si="8"/>
        <v>0.66666666666666663</v>
      </c>
    </row>
    <row r="106" spans="2:20" x14ac:dyDescent="0.25">
      <c r="B106" s="93" t="s">
        <v>109</v>
      </c>
      <c r="C106" s="95" t="s">
        <v>34</v>
      </c>
      <c r="D106" s="89" t="s">
        <v>166</v>
      </c>
      <c r="E106" s="97" t="s">
        <v>287</v>
      </c>
      <c r="F106" s="97">
        <v>0</v>
      </c>
      <c r="G106" s="97">
        <v>0</v>
      </c>
      <c r="H106" s="97">
        <v>1</v>
      </c>
      <c r="I106" s="97">
        <v>5</v>
      </c>
      <c r="J106" s="97"/>
      <c r="K106" s="97"/>
      <c r="L106" s="97"/>
      <c r="M106" s="97"/>
      <c r="N106" s="97"/>
      <c r="O106" s="97"/>
      <c r="P106" s="94"/>
      <c r="Q106" s="97"/>
      <c r="R106" s="36">
        <f t="shared" si="10"/>
        <v>6</v>
      </c>
      <c r="S106" s="8" cm="1">
        <f t="array" ref="S106">12-SUMPRODUCT(COUNTIF(F106:Q106,{"I";"F";"CP";"R";"P";"AC";"AM"}))</f>
        <v>12</v>
      </c>
      <c r="T106" s="29">
        <f t="shared" si="8"/>
        <v>0.5</v>
      </c>
    </row>
    <row r="107" spans="2:20" x14ac:dyDescent="0.25">
      <c r="B107" s="95" t="s">
        <v>168</v>
      </c>
      <c r="C107" s="95" t="s">
        <v>168</v>
      </c>
      <c r="D107" s="89" t="s">
        <v>166</v>
      </c>
      <c r="E107" s="97" t="s">
        <v>86</v>
      </c>
      <c r="F107" s="97"/>
      <c r="G107" s="97"/>
      <c r="H107" s="97"/>
      <c r="I107" s="97"/>
      <c r="J107" s="97"/>
      <c r="K107" s="97"/>
      <c r="L107" s="97"/>
      <c r="M107" s="97"/>
      <c r="N107" s="97"/>
      <c r="O107" s="97"/>
      <c r="P107" s="94"/>
      <c r="Q107" s="97"/>
      <c r="R107" s="36">
        <f t="shared" si="10"/>
        <v>0</v>
      </c>
      <c r="S107" s="8" cm="1">
        <f t="array" ref="S107">12-SUMPRODUCT(COUNTIF(F107:Q107,{"I";"F";"CP";"R";"P";"AC";"AM"}))</f>
        <v>12</v>
      </c>
      <c r="T107" s="29">
        <f t="shared" si="8"/>
        <v>0</v>
      </c>
    </row>
    <row r="108" spans="2:20" x14ac:dyDescent="0.25">
      <c r="B108" s="95" t="s">
        <v>192</v>
      </c>
      <c r="C108" s="95" t="s">
        <v>192</v>
      </c>
      <c r="D108" s="89" t="s">
        <v>166</v>
      </c>
      <c r="E108" s="97" t="s">
        <v>288</v>
      </c>
      <c r="F108" s="97"/>
      <c r="G108" s="97"/>
      <c r="H108" s="97"/>
      <c r="I108" s="97"/>
      <c r="J108" s="97"/>
      <c r="K108" s="97"/>
      <c r="L108" s="97"/>
      <c r="M108" s="97"/>
      <c r="N108" s="97"/>
      <c r="O108" s="97"/>
      <c r="P108" s="94"/>
      <c r="Q108" s="97"/>
      <c r="R108" s="36">
        <f t="shared" si="10"/>
        <v>0</v>
      </c>
      <c r="S108" s="8" cm="1">
        <f t="array" ref="S108">12-SUMPRODUCT(COUNTIF(F108:Q108,{"I";"F";"CP";"R";"P";"AC";"AM"}))</f>
        <v>12</v>
      </c>
      <c r="T108" s="29">
        <f t="shared" si="8"/>
        <v>0</v>
      </c>
    </row>
    <row r="109" spans="2:20" x14ac:dyDescent="0.25">
      <c r="B109" s="95" t="s">
        <v>168</v>
      </c>
      <c r="C109" s="95" t="s">
        <v>168</v>
      </c>
      <c r="D109" s="89" t="s">
        <v>160</v>
      </c>
      <c r="E109" s="97" t="s">
        <v>289</v>
      </c>
      <c r="F109" s="97"/>
      <c r="G109" s="97"/>
      <c r="H109" s="97"/>
      <c r="I109" s="97"/>
      <c r="J109" s="97"/>
      <c r="K109" s="97"/>
      <c r="L109" s="97"/>
      <c r="M109" s="97"/>
      <c r="N109" s="97"/>
      <c r="O109" s="97"/>
      <c r="P109" s="94"/>
      <c r="Q109" s="97"/>
      <c r="R109" s="36">
        <f t="shared" si="10"/>
        <v>0</v>
      </c>
      <c r="S109" s="8" cm="1">
        <f t="array" ref="S109">12-SUMPRODUCT(COUNTIF(F109:Q109,{"I";"F";"CP";"R";"P";"AC";"AM"}))</f>
        <v>12</v>
      </c>
      <c r="T109" s="29">
        <f t="shared" si="8"/>
        <v>0</v>
      </c>
    </row>
    <row r="110" spans="2:20" ht="15.75" thickBot="1" x14ac:dyDescent="0.3">
      <c r="B110" s="93" t="s">
        <v>109</v>
      </c>
      <c r="C110" s="96" t="s">
        <v>34</v>
      </c>
      <c r="D110" s="100" t="s">
        <v>166</v>
      </c>
      <c r="E110" s="98" t="s">
        <v>290</v>
      </c>
      <c r="F110" s="98">
        <v>2</v>
      </c>
      <c r="G110" s="98">
        <v>3</v>
      </c>
      <c r="H110" s="98">
        <v>2</v>
      </c>
      <c r="I110" s="98"/>
      <c r="J110" s="98"/>
      <c r="K110" s="98"/>
      <c r="L110" s="98"/>
      <c r="M110" s="98"/>
      <c r="N110" s="98"/>
      <c r="O110" s="98"/>
      <c r="P110" s="103"/>
      <c r="Q110" s="98"/>
      <c r="R110" s="36">
        <f t="shared" si="10"/>
        <v>7</v>
      </c>
      <c r="S110" s="8" cm="1">
        <f t="array" ref="S110">12-SUMPRODUCT(COUNTIF(F110:Q110,{"I";"F";"CP";"R";"P";"AC";"AM"}))</f>
        <v>12</v>
      </c>
      <c r="T110" s="29">
        <f t="shared" si="8"/>
        <v>0.58333333333333337</v>
      </c>
    </row>
    <row r="111" spans="2:20" ht="15.75" thickBot="1" x14ac:dyDescent="0.3">
      <c r="B111" s="88"/>
      <c r="C111" s="88"/>
      <c r="D111" s="11"/>
      <c r="E111" s="98"/>
      <c r="F111" s="100"/>
      <c r="G111" s="106"/>
      <c r="H111" s="106"/>
      <c r="I111" s="106"/>
      <c r="J111" s="106"/>
      <c r="K111" s="106"/>
      <c r="L111" s="106"/>
      <c r="M111" s="106"/>
      <c r="N111" s="106"/>
      <c r="O111" s="106"/>
      <c r="P111" s="106"/>
      <c r="Q111" s="106"/>
      <c r="R111" s="88"/>
      <c r="S111" s="90"/>
      <c r="T111" s="90"/>
    </row>
    <row r="112" spans="2:20" ht="15.75" thickBot="1" x14ac:dyDescent="0.3">
      <c r="B112"/>
      <c r="C112"/>
      <c r="D112"/>
      <c r="E112" s="92" t="s">
        <v>291</v>
      </c>
      <c r="F112" s="19">
        <f>SUM(F3:F110)</f>
        <v>84</v>
      </c>
      <c r="G112" s="20">
        <f t="shared" ref="G112:Q112" si="11">SUM(G3:G30)</f>
        <v>12</v>
      </c>
      <c r="H112" s="20">
        <f t="shared" si="11"/>
        <v>17</v>
      </c>
      <c r="I112" s="20">
        <f t="shared" si="11"/>
        <v>15</v>
      </c>
      <c r="J112" s="20">
        <f t="shared" si="11"/>
        <v>2</v>
      </c>
      <c r="K112" s="20">
        <f t="shared" si="11"/>
        <v>0</v>
      </c>
      <c r="L112" s="20">
        <f t="shared" si="11"/>
        <v>0</v>
      </c>
      <c r="M112" s="20">
        <f t="shared" si="11"/>
        <v>0</v>
      </c>
      <c r="N112" s="20">
        <f t="shared" si="11"/>
        <v>0</v>
      </c>
      <c r="O112" s="20">
        <f t="shared" si="11"/>
        <v>0</v>
      </c>
      <c r="P112" s="20">
        <f t="shared" si="11"/>
        <v>0</v>
      </c>
      <c r="Q112" s="20">
        <f t="shared" si="11"/>
        <v>0</v>
      </c>
      <c r="R112" s="21">
        <f>SUM(F112:Q112)</f>
        <v>130</v>
      </c>
      <c r="S112" s="40"/>
      <c r="T112" s="40"/>
    </row>
    <row r="113" spans="2:20" ht="15.75" thickBot="1" x14ac:dyDescent="0.3">
      <c r="B113"/>
      <c r="C113"/>
      <c r="D113"/>
      <c r="E113" s="23" t="s">
        <v>292</v>
      </c>
      <c r="F113" s="19"/>
      <c r="G113" s="19"/>
      <c r="H113" s="19"/>
      <c r="I113" s="19"/>
      <c r="J113" s="19"/>
      <c r="K113" s="19"/>
      <c r="L113" s="19"/>
      <c r="M113" s="19"/>
      <c r="N113" s="19"/>
      <c r="O113" s="19"/>
      <c r="P113" s="19"/>
      <c r="Q113" s="19"/>
      <c r="R113" s="22">
        <f>SUM(F113:Q113)</f>
        <v>0</v>
      </c>
      <c r="S113" s="104"/>
      <c r="T113" s="104"/>
    </row>
    <row r="114" spans="2:20" x14ac:dyDescent="0.25">
      <c r="B114"/>
      <c r="C114"/>
      <c r="D114"/>
      <c r="E114"/>
      <c r="F114" s="3" t="e">
        <f>F112/F113</f>
        <v>#DIV/0!</v>
      </c>
      <c r="G114" s="3" t="e">
        <f t="shared" ref="G114:Q114" si="12">G112/G113</f>
        <v>#DIV/0!</v>
      </c>
      <c r="H114" s="3" t="e">
        <f t="shared" si="12"/>
        <v>#DIV/0!</v>
      </c>
      <c r="I114" s="3" t="e">
        <f t="shared" si="12"/>
        <v>#DIV/0!</v>
      </c>
      <c r="J114" s="3" t="e">
        <f t="shared" si="12"/>
        <v>#DIV/0!</v>
      </c>
      <c r="K114" s="3" t="e">
        <f t="shared" si="12"/>
        <v>#DIV/0!</v>
      </c>
      <c r="L114" s="3" t="e">
        <f t="shared" si="12"/>
        <v>#DIV/0!</v>
      </c>
      <c r="M114" s="3" t="e">
        <f t="shared" si="12"/>
        <v>#DIV/0!</v>
      </c>
      <c r="N114" s="3" t="e">
        <f t="shared" si="12"/>
        <v>#DIV/0!</v>
      </c>
      <c r="O114" s="3" t="e">
        <f t="shared" si="12"/>
        <v>#DIV/0!</v>
      </c>
      <c r="P114" s="3" t="e">
        <f t="shared" si="12"/>
        <v>#DIV/0!</v>
      </c>
      <c r="Q114" s="3" t="e">
        <f t="shared" si="12"/>
        <v>#DIV/0!</v>
      </c>
      <c r="R114"/>
      <c r="S114"/>
      <c r="T114"/>
    </row>
  </sheetData>
  <autoFilter ref="B2:R110" xr:uid="{47822E5A-F531-4DF8-88BB-7E7E06EEC4B9}"/>
  <mergeCells count="1">
    <mergeCell ref="F1:Q1"/>
  </mergeCells>
  <conditionalFormatting sqref="A3:A22 B3:S23 F24:R24 S24:S27 B25:R27 B28:S111 BX3:XFD22">
    <cfRule type="expression" dxfId="34" priority="13">
      <formula>MOD(ROW(),2)</formula>
    </cfRule>
  </conditionalFormatting>
  <conditionalFormatting sqref="A3:A22 F3:R111 S4:S23 S25:S44 S46:S66 S68:S86 S88:S107 S109:S110">
    <cfRule type="containsText" dxfId="33" priority="7" operator="containsText" text="0">
      <formula>NOT(ISERROR(SEARCH("0",A3)))</formula>
    </cfRule>
  </conditionalFormatting>
  <conditionalFormatting sqref="B24:E24">
    <cfRule type="expression" dxfId="32" priority="1">
      <formula>MOD(ROW(),2)</formula>
    </cfRule>
  </conditionalFormatting>
  <conditionalFormatting sqref="S111:T111">
    <cfRule type="containsText" dxfId="31" priority="4" operator="containsText" text="0">
      <formula>NOT(ISERROR(SEARCH("0",S111)))</formula>
    </cfRule>
  </conditionalFormatting>
  <conditionalFormatting sqref="T3:T110">
    <cfRule type="colorScale" priority="418">
      <colorScale>
        <cfvo type="percent" val="0"/>
        <cfvo type="percent" val="50"/>
        <cfvo type="percent" val="100"/>
        <color rgb="FFF8696B"/>
        <color rgb="FFFFEB84"/>
        <color rgb="FF63BE7B"/>
      </colorScale>
    </cfRule>
  </conditionalFormatting>
  <conditionalFormatting sqref="T111">
    <cfRule type="expression" dxfId="30" priority="3">
      <formula>MOD(ROW(),2)</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7F9F-D1AD-4153-BDEC-F96F3F40B03C}">
  <sheetPr>
    <tabColor rgb="FFED7D31"/>
  </sheetPr>
  <dimension ref="A1:AF126"/>
  <sheetViews>
    <sheetView zoomScale="70" zoomScaleNormal="70" workbookViewId="0">
      <pane ySplit="2" topLeftCell="A3" activePane="bottomLeft" state="frozen"/>
      <selection pane="bottomLeft" activeCell="M10" sqref="M10"/>
    </sheetView>
  </sheetViews>
  <sheetFormatPr baseColWidth="10" defaultColWidth="11.5703125" defaultRowHeight="15" x14ac:dyDescent="0.25"/>
  <cols>
    <col min="1" max="1" width="12.28515625" style="306" bestFit="1" customWidth="1"/>
    <col min="2" max="2" width="11.5703125" style="306" bestFit="1" customWidth="1"/>
    <col min="3" max="3" width="23.42578125" style="306" customWidth="1"/>
    <col min="4" max="4" width="10.28515625" style="306" bestFit="1" customWidth="1"/>
    <col min="5" max="5" width="47.28515625" style="306" customWidth="1"/>
    <col min="6" max="6" width="25.28515625" style="306" customWidth="1"/>
    <col min="7" max="7" width="25.85546875" style="306" bestFit="1" customWidth="1"/>
    <col min="8" max="8" width="18.7109375" style="306" customWidth="1"/>
    <col min="9" max="9" width="14" style="306" customWidth="1"/>
    <col min="10" max="10" width="14" style="306" customWidth="1" collapsed="1"/>
    <col min="11" max="17" width="14" style="306" customWidth="1"/>
    <col min="18" max="26" width="14.28515625" style="306" customWidth="1"/>
    <col min="27" max="27" width="8.7109375" style="357" customWidth="1"/>
    <col min="28" max="32" width="14.28515625" style="306" customWidth="1"/>
    <col min="33" max="36" width="11.5703125" style="306" bestFit="1" customWidth="1"/>
    <col min="37" max="16384" width="11.5703125" style="306"/>
  </cols>
  <sheetData>
    <row r="1" spans="1:32" s="311" customFormat="1" ht="49.9" customHeight="1" thickBot="1" x14ac:dyDescent="0.3">
      <c r="A1" s="308"/>
      <c r="B1" s="309" t="s">
        <v>138</v>
      </c>
      <c r="C1" s="310">
        <f ca="1">TODAY()</f>
        <v>46161</v>
      </c>
      <c r="D1" s="160"/>
      <c r="E1" s="506" t="s">
        <v>474</v>
      </c>
      <c r="F1" s="507"/>
      <c r="G1" s="507"/>
      <c r="H1" s="508"/>
      <c r="I1" s="161"/>
      <c r="J1" s="161"/>
      <c r="K1" s="161"/>
      <c r="L1" s="161"/>
      <c r="M1" s="161"/>
      <c r="N1" s="161"/>
      <c r="O1" s="161"/>
      <c r="P1" s="161"/>
      <c r="Q1" s="161"/>
      <c r="R1" s="161"/>
      <c r="S1" s="161"/>
      <c r="T1" s="161"/>
      <c r="U1" s="161"/>
      <c r="V1" s="161"/>
      <c r="W1" s="161"/>
      <c r="X1" s="161"/>
      <c r="Y1" s="161"/>
      <c r="Z1" s="161"/>
      <c r="AA1" s="160"/>
      <c r="AB1" s="161"/>
      <c r="AC1" s="161"/>
      <c r="AD1" s="161"/>
      <c r="AE1" s="161"/>
      <c r="AF1" s="161"/>
    </row>
    <row r="2" spans="1:32" s="311" customFormat="1" ht="104.25" thickBot="1" x14ac:dyDescent="0.3">
      <c r="A2" s="18" t="s">
        <v>475</v>
      </c>
      <c r="B2" s="18" t="s">
        <v>140</v>
      </c>
      <c r="C2" s="139" t="s">
        <v>476</v>
      </c>
      <c r="D2" s="193" t="s">
        <v>477</v>
      </c>
      <c r="E2" s="196" t="s">
        <v>478</v>
      </c>
      <c r="F2" s="195" t="s">
        <v>479</v>
      </c>
      <c r="G2" s="195" t="s">
        <v>480</v>
      </c>
      <c r="H2" s="195" t="s">
        <v>481</v>
      </c>
      <c r="I2" s="411" t="s">
        <v>482</v>
      </c>
      <c r="J2" s="411" t="s">
        <v>483</v>
      </c>
      <c r="K2" s="411" t="s">
        <v>484</v>
      </c>
      <c r="L2" s="411" t="s">
        <v>485</v>
      </c>
      <c r="M2" s="411" t="s">
        <v>486</v>
      </c>
      <c r="N2" s="411" t="s">
        <v>487</v>
      </c>
      <c r="O2" s="411" t="s">
        <v>488</v>
      </c>
      <c r="P2" s="411" t="s">
        <v>489</v>
      </c>
      <c r="Q2" s="411" t="s">
        <v>490</v>
      </c>
      <c r="R2" s="411" t="s">
        <v>491</v>
      </c>
      <c r="S2" s="411" t="s">
        <v>492</v>
      </c>
      <c r="T2" s="411" t="s">
        <v>493</v>
      </c>
      <c r="U2" s="411" t="s">
        <v>494</v>
      </c>
      <c r="V2" s="411" t="s">
        <v>495</v>
      </c>
      <c r="W2" s="411" t="s">
        <v>496</v>
      </c>
      <c r="X2" s="411" t="s">
        <v>497</v>
      </c>
      <c r="Y2" s="411" t="s">
        <v>498</v>
      </c>
      <c r="Z2" s="411" t="s">
        <v>499</v>
      </c>
      <c r="AA2" s="398" t="s">
        <v>24</v>
      </c>
      <c r="AB2" s="192" t="s">
        <v>25</v>
      </c>
      <c r="AC2" s="194" t="s">
        <v>26</v>
      </c>
      <c r="AD2" s="194" t="s">
        <v>500</v>
      </c>
      <c r="AE2" s="194" t="s">
        <v>28</v>
      </c>
      <c r="AF2" s="430" t="s">
        <v>29</v>
      </c>
    </row>
    <row r="3" spans="1:32" s="314" customFormat="1" ht="121.5" x14ac:dyDescent="0.25">
      <c r="A3" s="361">
        <v>46030</v>
      </c>
      <c r="B3" s="353" t="s">
        <v>501</v>
      </c>
      <c r="C3" s="360" t="s">
        <v>502</v>
      </c>
      <c r="D3" s="353" t="s">
        <v>503</v>
      </c>
      <c r="E3" s="352" t="s">
        <v>504</v>
      </c>
      <c r="F3" s="352" t="s">
        <v>505</v>
      </c>
      <c r="G3" s="352" t="s">
        <v>506</v>
      </c>
      <c r="H3" s="352" t="s">
        <v>507</v>
      </c>
      <c r="I3" s="352"/>
      <c r="J3" s="352"/>
      <c r="K3" s="352"/>
      <c r="L3" s="352"/>
      <c r="M3" s="352"/>
      <c r="N3" s="352"/>
      <c r="O3" s="352"/>
      <c r="P3" s="352"/>
      <c r="Q3" s="352"/>
      <c r="R3" s="352"/>
      <c r="S3" s="352">
        <v>1</v>
      </c>
      <c r="T3" s="352"/>
      <c r="U3" s="352"/>
      <c r="V3" s="352"/>
      <c r="W3" s="352"/>
      <c r="X3" s="352"/>
      <c r="Y3" s="352"/>
      <c r="Z3" s="352"/>
      <c r="AA3" s="384"/>
      <c r="AB3" s="352"/>
      <c r="AC3" s="352"/>
      <c r="AD3" s="352"/>
      <c r="AE3" s="352"/>
      <c r="AF3" s="431">
        <f t="shared" ref="AF3:AF34" si="0">SUM(AB3:AE3)</f>
        <v>0</v>
      </c>
    </row>
    <row r="4" spans="1:32" s="316" customFormat="1" ht="94.5" x14ac:dyDescent="0.25">
      <c r="A4" s="361">
        <v>46035</v>
      </c>
      <c r="B4" s="353" t="s">
        <v>100</v>
      </c>
      <c r="C4" s="360" t="s">
        <v>508</v>
      </c>
      <c r="D4" s="353" t="s">
        <v>40</v>
      </c>
      <c r="E4" s="353" t="s">
        <v>509</v>
      </c>
      <c r="F4" s="353" t="s">
        <v>99</v>
      </c>
      <c r="G4" s="353" t="s">
        <v>510</v>
      </c>
      <c r="H4" s="353" t="s">
        <v>286</v>
      </c>
      <c r="I4" s="353"/>
      <c r="J4" s="353"/>
      <c r="K4" s="353"/>
      <c r="L4" s="353"/>
      <c r="M4" s="353"/>
      <c r="N4" s="353"/>
      <c r="O4" s="353"/>
      <c r="P4" s="353"/>
      <c r="Q4" s="353"/>
      <c r="R4" s="353"/>
      <c r="S4" s="353"/>
      <c r="T4" s="353"/>
      <c r="U4" s="353"/>
      <c r="V4" s="353"/>
      <c r="W4" s="353"/>
      <c r="X4" s="353">
        <v>1</v>
      </c>
      <c r="Y4" s="353"/>
      <c r="Z4" s="353">
        <v>1</v>
      </c>
      <c r="AA4" s="353" t="s">
        <v>511</v>
      </c>
      <c r="AB4" s="353">
        <v>10</v>
      </c>
      <c r="AC4" s="353">
        <v>20</v>
      </c>
      <c r="AD4" s="353">
        <v>10</v>
      </c>
      <c r="AE4" s="353">
        <v>20</v>
      </c>
      <c r="AF4" s="431">
        <f t="shared" si="0"/>
        <v>60</v>
      </c>
    </row>
    <row r="5" spans="1:32" s="316" customFormat="1" ht="121.5" x14ac:dyDescent="0.25">
      <c r="A5" s="361">
        <v>46035</v>
      </c>
      <c r="B5" s="353" t="s">
        <v>501</v>
      </c>
      <c r="C5" s="360" t="s">
        <v>508</v>
      </c>
      <c r="D5" s="353" t="s">
        <v>503</v>
      </c>
      <c r="E5" s="353" t="s">
        <v>512</v>
      </c>
      <c r="F5" s="353" t="s">
        <v>513</v>
      </c>
      <c r="G5" s="353" t="s">
        <v>514</v>
      </c>
      <c r="H5" s="353" t="s">
        <v>515</v>
      </c>
      <c r="I5" s="353"/>
      <c r="J5" s="353"/>
      <c r="K5" s="353"/>
      <c r="L5" s="353"/>
      <c r="M5" s="353"/>
      <c r="N5" s="353"/>
      <c r="O5" s="353"/>
      <c r="P5" s="353">
        <v>1</v>
      </c>
      <c r="Q5" s="353"/>
      <c r="R5" s="353"/>
      <c r="S5" s="353"/>
      <c r="T5" s="353"/>
      <c r="U5" s="353"/>
      <c r="V5" s="353"/>
      <c r="W5" s="353"/>
      <c r="X5" s="353"/>
      <c r="Y5" s="353"/>
      <c r="Z5" s="353"/>
      <c r="AA5" s="353"/>
      <c r="AB5" s="353"/>
      <c r="AC5" s="353"/>
      <c r="AD5" s="353"/>
      <c r="AE5" s="353"/>
      <c r="AF5" s="431">
        <f t="shared" si="0"/>
        <v>0</v>
      </c>
    </row>
    <row r="6" spans="1:32" ht="54" x14ac:dyDescent="0.25">
      <c r="A6" s="358">
        <v>46035</v>
      </c>
      <c r="B6" s="354" t="s">
        <v>159</v>
      </c>
      <c r="C6" s="360" t="s">
        <v>508</v>
      </c>
      <c r="D6" s="353" t="s">
        <v>40</v>
      </c>
      <c r="E6" s="353" t="s">
        <v>516</v>
      </c>
      <c r="F6" s="353" t="s">
        <v>517</v>
      </c>
      <c r="G6" s="353" t="s">
        <v>518</v>
      </c>
      <c r="H6" s="353" t="s">
        <v>161</v>
      </c>
      <c r="I6" s="353"/>
      <c r="J6" s="353"/>
      <c r="K6" s="353"/>
      <c r="L6" s="353"/>
      <c r="M6" s="353"/>
      <c r="N6" s="353"/>
      <c r="O6" s="353"/>
      <c r="P6" s="353"/>
      <c r="Q6" s="353"/>
      <c r="R6" s="353"/>
      <c r="S6" s="353"/>
      <c r="T6" s="353"/>
      <c r="U6" s="353"/>
      <c r="V6" s="353"/>
      <c r="W6" s="353"/>
      <c r="X6" s="353"/>
      <c r="Y6" s="353">
        <v>1</v>
      </c>
      <c r="Z6" s="353"/>
      <c r="AA6" s="384" t="s">
        <v>511</v>
      </c>
      <c r="AB6" s="353">
        <v>10</v>
      </c>
      <c r="AC6" s="353">
        <v>30</v>
      </c>
      <c r="AD6" s="353">
        <v>30</v>
      </c>
      <c r="AE6" s="353">
        <v>30</v>
      </c>
      <c r="AF6" s="431">
        <f t="shared" si="0"/>
        <v>100</v>
      </c>
    </row>
    <row r="7" spans="1:32" ht="54" x14ac:dyDescent="0.25">
      <c r="A7" s="361">
        <v>46036</v>
      </c>
      <c r="B7" s="353" t="s">
        <v>109</v>
      </c>
      <c r="C7" s="360" t="s">
        <v>519</v>
      </c>
      <c r="D7" s="353" t="s">
        <v>40</v>
      </c>
      <c r="E7" s="353" t="s">
        <v>520</v>
      </c>
      <c r="F7" s="353" t="s">
        <v>108</v>
      </c>
      <c r="G7" s="353" t="s">
        <v>521</v>
      </c>
      <c r="H7" s="353" t="s">
        <v>522</v>
      </c>
      <c r="I7" s="353"/>
      <c r="J7" s="353"/>
      <c r="K7" s="353"/>
      <c r="L7" s="353"/>
      <c r="M7" s="353"/>
      <c r="N7" s="353"/>
      <c r="O7" s="353"/>
      <c r="P7" s="353">
        <v>1</v>
      </c>
      <c r="Q7" s="353"/>
      <c r="R7" s="353"/>
      <c r="S7" s="353"/>
      <c r="T7" s="353"/>
      <c r="U7" s="353"/>
      <c r="V7" s="353"/>
      <c r="W7" s="353"/>
      <c r="X7" s="353"/>
      <c r="Y7" s="353"/>
      <c r="Z7" s="353"/>
      <c r="AA7" s="384" t="s">
        <v>511</v>
      </c>
      <c r="AB7" s="353">
        <v>30</v>
      </c>
      <c r="AC7" s="353">
        <v>20</v>
      </c>
      <c r="AD7" s="353">
        <v>0</v>
      </c>
      <c r="AE7" s="353">
        <v>30</v>
      </c>
      <c r="AF7" s="431">
        <f t="shared" si="0"/>
        <v>80</v>
      </c>
    </row>
    <row r="8" spans="1:32" s="316" customFormat="1" ht="27" x14ac:dyDescent="0.25">
      <c r="A8" s="361">
        <v>46037</v>
      </c>
      <c r="B8" s="353" t="s">
        <v>100</v>
      </c>
      <c r="C8" s="360" t="s">
        <v>519</v>
      </c>
      <c r="D8" s="353" t="s">
        <v>40</v>
      </c>
      <c r="E8" s="353" t="s">
        <v>523</v>
      </c>
      <c r="F8" s="353" t="s">
        <v>524</v>
      </c>
      <c r="G8" s="353" t="s">
        <v>525</v>
      </c>
      <c r="H8" s="353" t="s">
        <v>217</v>
      </c>
      <c r="I8" s="353"/>
      <c r="J8" s="353"/>
      <c r="K8" s="353"/>
      <c r="L8" s="353"/>
      <c r="M8" s="353"/>
      <c r="N8" s="353"/>
      <c r="O8" s="353"/>
      <c r="P8" s="353"/>
      <c r="Q8" s="353">
        <v>1</v>
      </c>
      <c r="R8" s="353"/>
      <c r="S8" s="353"/>
      <c r="T8" s="353"/>
      <c r="U8" s="353"/>
      <c r="V8" s="353"/>
      <c r="W8" s="353"/>
      <c r="X8" s="353"/>
      <c r="Y8" s="353"/>
      <c r="Z8" s="353"/>
      <c r="AA8" s="353" t="s">
        <v>511</v>
      </c>
      <c r="AB8" s="353">
        <v>30</v>
      </c>
      <c r="AC8" s="353">
        <v>10</v>
      </c>
      <c r="AD8" s="353">
        <v>0</v>
      </c>
      <c r="AE8" s="353">
        <v>20</v>
      </c>
      <c r="AF8" s="431">
        <f t="shared" si="0"/>
        <v>60</v>
      </c>
    </row>
    <row r="9" spans="1:32" s="316" customFormat="1" ht="175.5" x14ac:dyDescent="0.25">
      <c r="A9" s="361">
        <v>46037</v>
      </c>
      <c r="B9" s="353" t="s">
        <v>501</v>
      </c>
      <c r="C9" s="360" t="s">
        <v>526</v>
      </c>
      <c r="D9" s="353" t="s">
        <v>503</v>
      </c>
      <c r="E9" s="353" t="s">
        <v>527</v>
      </c>
      <c r="F9" s="353" t="s">
        <v>528</v>
      </c>
      <c r="G9" s="353" t="s">
        <v>529</v>
      </c>
      <c r="H9" s="353" t="s">
        <v>242</v>
      </c>
      <c r="I9" s="353"/>
      <c r="J9" s="353"/>
      <c r="K9" s="353"/>
      <c r="L9" s="353"/>
      <c r="M9" s="353"/>
      <c r="N9" s="353"/>
      <c r="O9" s="353"/>
      <c r="P9" s="353"/>
      <c r="Q9" s="353">
        <v>1</v>
      </c>
      <c r="R9" s="353"/>
      <c r="S9" s="353"/>
      <c r="T9" s="353"/>
      <c r="U9" s="353"/>
      <c r="V9" s="353"/>
      <c r="W9" s="353"/>
      <c r="X9" s="353"/>
      <c r="Y9" s="353"/>
      <c r="Z9" s="353"/>
      <c r="AA9" s="353"/>
      <c r="AB9" s="353"/>
      <c r="AC9" s="353"/>
      <c r="AD9" s="353"/>
      <c r="AE9" s="353"/>
      <c r="AF9" s="431">
        <f t="shared" si="0"/>
        <v>0</v>
      </c>
    </row>
    <row r="10" spans="1:32" ht="54" x14ac:dyDescent="0.25">
      <c r="A10" s="358">
        <v>46038</v>
      </c>
      <c r="B10" s="354" t="s">
        <v>109</v>
      </c>
      <c r="C10" s="359" t="s">
        <v>508</v>
      </c>
      <c r="D10" s="354" t="s">
        <v>40</v>
      </c>
      <c r="E10" s="353" t="s">
        <v>530</v>
      </c>
      <c r="F10" s="353" t="s">
        <v>531</v>
      </c>
      <c r="G10" s="353" t="s">
        <v>532</v>
      </c>
      <c r="H10" s="353" t="s">
        <v>533</v>
      </c>
      <c r="I10" s="353"/>
      <c r="J10" s="353"/>
      <c r="K10" s="353"/>
      <c r="L10" s="353"/>
      <c r="M10" s="353"/>
      <c r="N10" s="353"/>
      <c r="O10" s="353"/>
      <c r="P10" s="353"/>
      <c r="Q10" s="353"/>
      <c r="R10" s="353"/>
      <c r="S10" s="353"/>
      <c r="T10" s="353"/>
      <c r="U10" s="353"/>
      <c r="V10" s="353"/>
      <c r="W10" s="353"/>
      <c r="X10" s="353"/>
      <c r="Y10" s="353">
        <v>1</v>
      </c>
      <c r="Z10" s="353"/>
      <c r="AA10" s="386" t="s">
        <v>511</v>
      </c>
      <c r="AB10" s="353">
        <v>10</v>
      </c>
      <c r="AC10" s="353">
        <v>30</v>
      </c>
      <c r="AD10" s="353">
        <v>0</v>
      </c>
      <c r="AE10" s="353">
        <v>30</v>
      </c>
      <c r="AF10" s="431">
        <f t="shared" si="0"/>
        <v>70</v>
      </c>
    </row>
    <row r="11" spans="1:32" ht="67.5" x14ac:dyDescent="0.25">
      <c r="A11" s="358">
        <v>46038</v>
      </c>
      <c r="B11" s="354" t="s">
        <v>109</v>
      </c>
      <c r="C11" s="360" t="s">
        <v>508</v>
      </c>
      <c r="D11" s="353" t="s">
        <v>40</v>
      </c>
      <c r="E11" s="353" t="s">
        <v>534</v>
      </c>
      <c r="F11" s="353" t="s">
        <v>108</v>
      </c>
      <c r="G11" s="353" t="s">
        <v>535</v>
      </c>
      <c r="H11" s="353" t="s">
        <v>233</v>
      </c>
      <c r="I11" s="353"/>
      <c r="J11" s="353"/>
      <c r="K11" s="353"/>
      <c r="L11" s="353"/>
      <c r="M11" s="353"/>
      <c r="N11" s="353"/>
      <c r="O11" s="353"/>
      <c r="P11" s="353">
        <v>1</v>
      </c>
      <c r="Q11" s="353"/>
      <c r="R11" s="353"/>
      <c r="S11" s="353"/>
      <c r="T11" s="353"/>
      <c r="U11" s="353"/>
      <c r="V11" s="353"/>
      <c r="W11" s="353"/>
      <c r="X11" s="353"/>
      <c r="Y11" s="353"/>
      <c r="Z11" s="353"/>
      <c r="AA11" s="353" t="s">
        <v>511</v>
      </c>
      <c r="AB11" s="353">
        <v>10</v>
      </c>
      <c r="AC11" s="353">
        <v>20</v>
      </c>
      <c r="AD11" s="353">
        <v>0</v>
      </c>
      <c r="AE11" s="353">
        <v>30</v>
      </c>
      <c r="AF11" s="431">
        <f t="shared" si="0"/>
        <v>60</v>
      </c>
    </row>
    <row r="12" spans="1:32" ht="94.5" x14ac:dyDescent="0.25">
      <c r="A12" s="358">
        <v>46042</v>
      </c>
      <c r="B12" s="354" t="s">
        <v>109</v>
      </c>
      <c r="C12" s="359" t="s">
        <v>519</v>
      </c>
      <c r="D12" s="354" t="s">
        <v>40</v>
      </c>
      <c r="E12" s="353" t="s">
        <v>536</v>
      </c>
      <c r="F12" s="353" t="s">
        <v>108</v>
      </c>
      <c r="G12" s="353" t="s">
        <v>537</v>
      </c>
      <c r="H12" s="353" t="s">
        <v>233</v>
      </c>
      <c r="I12" s="353"/>
      <c r="J12" s="353"/>
      <c r="K12" s="353"/>
      <c r="L12" s="353">
        <v>1</v>
      </c>
      <c r="M12" s="353"/>
      <c r="N12" s="353"/>
      <c r="O12" s="353"/>
      <c r="P12" s="353"/>
      <c r="Q12" s="353"/>
      <c r="R12" s="353"/>
      <c r="S12" s="353"/>
      <c r="T12" s="353"/>
      <c r="U12" s="353"/>
      <c r="V12" s="353"/>
      <c r="W12" s="353"/>
      <c r="X12" s="353"/>
      <c r="Y12" s="353"/>
      <c r="Z12" s="353"/>
      <c r="AA12" s="353" t="s">
        <v>511</v>
      </c>
      <c r="AB12" s="353">
        <v>10</v>
      </c>
      <c r="AC12" s="353">
        <v>20</v>
      </c>
      <c r="AD12" s="353">
        <v>0</v>
      </c>
      <c r="AE12" s="353">
        <v>30</v>
      </c>
      <c r="AF12" s="431">
        <f t="shared" si="0"/>
        <v>60</v>
      </c>
    </row>
    <row r="13" spans="1:32" ht="337.5" x14ac:dyDescent="0.25">
      <c r="A13" s="358">
        <v>46042</v>
      </c>
      <c r="B13" s="354" t="s">
        <v>501</v>
      </c>
      <c r="C13" s="360" t="s">
        <v>519</v>
      </c>
      <c r="D13" s="353" t="s">
        <v>41</v>
      </c>
      <c r="E13" s="353" t="s">
        <v>538</v>
      </c>
      <c r="F13" s="353" t="s">
        <v>539</v>
      </c>
      <c r="G13" s="353" t="s">
        <v>540</v>
      </c>
      <c r="H13" s="353" t="s">
        <v>541</v>
      </c>
      <c r="I13" s="353"/>
      <c r="J13" s="353">
        <v>1</v>
      </c>
      <c r="K13" s="353"/>
      <c r="L13" s="353">
        <v>1</v>
      </c>
      <c r="M13" s="353"/>
      <c r="N13" s="353"/>
      <c r="O13" s="353"/>
      <c r="P13" s="353"/>
      <c r="Q13" s="353"/>
      <c r="R13" s="353"/>
      <c r="S13" s="353"/>
      <c r="T13" s="353"/>
      <c r="U13" s="353"/>
      <c r="V13" s="353">
        <v>1</v>
      </c>
      <c r="W13" s="353"/>
      <c r="X13" s="353"/>
      <c r="Y13" s="353"/>
      <c r="Z13" s="353"/>
      <c r="AA13" s="353" t="s">
        <v>41</v>
      </c>
      <c r="AB13" s="353">
        <v>50</v>
      </c>
      <c r="AC13" s="353">
        <v>20</v>
      </c>
      <c r="AD13" s="353">
        <v>30</v>
      </c>
      <c r="AE13" s="353">
        <v>40</v>
      </c>
      <c r="AF13" s="431">
        <f t="shared" si="0"/>
        <v>140</v>
      </c>
    </row>
    <row r="14" spans="1:32" ht="94.5" x14ac:dyDescent="0.25">
      <c r="A14" s="361">
        <v>46043</v>
      </c>
      <c r="B14" s="353" t="s">
        <v>54</v>
      </c>
      <c r="C14" s="360" t="s">
        <v>508</v>
      </c>
      <c r="D14" s="353" t="s">
        <v>40</v>
      </c>
      <c r="E14" s="353" t="s">
        <v>542</v>
      </c>
      <c r="F14" s="353" t="s">
        <v>53</v>
      </c>
      <c r="G14" s="353" t="s">
        <v>543</v>
      </c>
      <c r="H14" s="353" t="s">
        <v>239</v>
      </c>
      <c r="I14" s="353"/>
      <c r="J14" s="353"/>
      <c r="K14" s="353"/>
      <c r="L14" s="353">
        <v>1</v>
      </c>
      <c r="M14" s="353"/>
      <c r="N14" s="353"/>
      <c r="O14" s="353"/>
      <c r="P14" s="353"/>
      <c r="Q14" s="353"/>
      <c r="R14" s="353"/>
      <c r="S14" s="353"/>
      <c r="T14" s="353"/>
      <c r="U14" s="353"/>
      <c r="V14" s="353"/>
      <c r="W14" s="353"/>
      <c r="X14" s="353"/>
      <c r="Y14" s="353"/>
      <c r="Z14" s="353"/>
      <c r="AA14" s="385" t="s">
        <v>544</v>
      </c>
      <c r="AB14" s="353">
        <v>10</v>
      </c>
      <c r="AC14" s="353">
        <v>10</v>
      </c>
      <c r="AD14" s="353">
        <v>0</v>
      </c>
      <c r="AE14" s="353">
        <v>50</v>
      </c>
      <c r="AF14" s="431">
        <f t="shared" si="0"/>
        <v>70</v>
      </c>
    </row>
    <row r="15" spans="1:32" ht="67.5" x14ac:dyDescent="0.25">
      <c r="A15" s="358">
        <v>46043</v>
      </c>
      <c r="B15" s="354" t="s">
        <v>109</v>
      </c>
      <c r="C15" s="360" t="s">
        <v>508</v>
      </c>
      <c r="D15" s="353" t="s">
        <v>40</v>
      </c>
      <c r="E15" s="353" t="s">
        <v>545</v>
      </c>
      <c r="F15" s="353" t="s">
        <v>108</v>
      </c>
      <c r="G15" s="353" t="s">
        <v>546</v>
      </c>
      <c r="H15" s="353" t="s">
        <v>393</v>
      </c>
      <c r="I15" s="353"/>
      <c r="J15" s="353"/>
      <c r="K15" s="353"/>
      <c r="L15" s="353"/>
      <c r="M15" s="353"/>
      <c r="N15" s="353"/>
      <c r="O15" s="353"/>
      <c r="P15" s="353"/>
      <c r="Q15" s="353"/>
      <c r="R15" s="353"/>
      <c r="S15" s="353"/>
      <c r="T15" s="353"/>
      <c r="U15" s="353"/>
      <c r="V15" s="353"/>
      <c r="W15" s="353"/>
      <c r="X15" s="353"/>
      <c r="Y15" s="353"/>
      <c r="Z15" s="353">
        <v>1</v>
      </c>
      <c r="AA15" s="353" t="s">
        <v>511</v>
      </c>
      <c r="AB15" s="353">
        <v>10</v>
      </c>
      <c r="AC15" s="353">
        <v>20</v>
      </c>
      <c r="AD15" s="353">
        <v>0</v>
      </c>
      <c r="AE15" s="353">
        <v>50</v>
      </c>
      <c r="AF15" s="431">
        <f t="shared" si="0"/>
        <v>80</v>
      </c>
    </row>
    <row r="16" spans="1:32" ht="40.5" x14ac:dyDescent="0.25">
      <c r="A16" s="361">
        <v>46043</v>
      </c>
      <c r="B16" s="354" t="s">
        <v>54</v>
      </c>
      <c r="C16" s="360" t="s">
        <v>508</v>
      </c>
      <c r="D16" s="353" t="s">
        <v>40</v>
      </c>
      <c r="E16" s="353" t="s">
        <v>547</v>
      </c>
      <c r="F16" s="353" t="s">
        <v>548</v>
      </c>
      <c r="G16" s="353" t="s">
        <v>549</v>
      </c>
      <c r="H16" s="353" t="s">
        <v>408</v>
      </c>
      <c r="I16" s="353"/>
      <c r="J16" s="353"/>
      <c r="K16" s="353"/>
      <c r="L16" s="353"/>
      <c r="M16" s="353"/>
      <c r="N16" s="353"/>
      <c r="O16" s="353"/>
      <c r="P16" s="353"/>
      <c r="Q16" s="353"/>
      <c r="R16" s="353">
        <v>1</v>
      </c>
      <c r="S16" s="353"/>
      <c r="T16" s="353"/>
      <c r="U16" s="353"/>
      <c r="V16" s="353"/>
      <c r="W16" s="353"/>
      <c r="X16" s="353"/>
      <c r="Y16" s="353"/>
      <c r="Z16" s="353"/>
      <c r="AA16" s="384" t="s">
        <v>511</v>
      </c>
      <c r="AB16" s="353">
        <v>10</v>
      </c>
      <c r="AC16" s="353">
        <v>10</v>
      </c>
      <c r="AD16" s="353">
        <v>0</v>
      </c>
      <c r="AE16" s="353">
        <v>20</v>
      </c>
      <c r="AF16" s="431">
        <f t="shared" si="0"/>
        <v>40</v>
      </c>
    </row>
    <row r="17" spans="1:32" ht="135" x14ac:dyDescent="0.25">
      <c r="A17" s="361">
        <v>46043</v>
      </c>
      <c r="B17" s="353" t="s">
        <v>100</v>
      </c>
      <c r="C17" s="360" t="s">
        <v>508</v>
      </c>
      <c r="D17" s="353" t="s">
        <v>40</v>
      </c>
      <c r="E17" s="353" t="s">
        <v>550</v>
      </c>
      <c r="F17" s="353" t="s">
        <v>551</v>
      </c>
      <c r="G17" s="353" t="s">
        <v>552</v>
      </c>
      <c r="H17" s="353" t="s">
        <v>402</v>
      </c>
      <c r="I17" s="353"/>
      <c r="J17" s="353"/>
      <c r="K17" s="353"/>
      <c r="L17" s="353"/>
      <c r="M17" s="353"/>
      <c r="N17" s="353"/>
      <c r="O17" s="353"/>
      <c r="P17" s="353"/>
      <c r="Q17" s="353">
        <v>1</v>
      </c>
      <c r="R17" s="353"/>
      <c r="S17" s="353"/>
      <c r="T17" s="353"/>
      <c r="U17" s="353"/>
      <c r="V17" s="353"/>
      <c r="W17" s="353"/>
      <c r="X17" s="353"/>
      <c r="Y17" s="353"/>
      <c r="Z17" s="353"/>
      <c r="AA17" s="353" t="s">
        <v>511</v>
      </c>
      <c r="AB17" s="353">
        <v>10</v>
      </c>
      <c r="AC17" s="353">
        <v>10</v>
      </c>
      <c r="AD17" s="353">
        <v>0</v>
      </c>
      <c r="AE17" s="353">
        <v>20</v>
      </c>
      <c r="AF17" s="431">
        <f t="shared" si="0"/>
        <v>40</v>
      </c>
    </row>
    <row r="18" spans="1:32" ht="67.5" x14ac:dyDescent="0.25">
      <c r="A18" s="361">
        <v>46043</v>
      </c>
      <c r="B18" s="353" t="s">
        <v>54</v>
      </c>
      <c r="C18" s="360" t="s">
        <v>508</v>
      </c>
      <c r="D18" s="353" t="s">
        <v>40</v>
      </c>
      <c r="E18" s="353" t="s">
        <v>553</v>
      </c>
      <c r="F18" s="353" t="s">
        <v>104</v>
      </c>
      <c r="G18" s="353" t="s">
        <v>554</v>
      </c>
      <c r="H18" s="353" t="s">
        <v>238</v>
      </c>
      <c r="I18" s="353"/>
      <c r="J18" s="353"/>
      <c r="K18" s="353"/>
      <c r="L18" s="353"/>
      <c r="M18" s="353"/>
      <c r="N18" s="353"/>
      <c r="O18" s="353"/>
      <c r="P18" s="353"/>
      <c r="Q18" s="353"/>
      <c r="R18" s="353"/>
      <c r="S18" s="353"/>
      <c r="T18" s="353"/>
      <c r="U18" s="353"/>
      <c r="V18" s="353"/>
      <c r="W18" s="353"/>
      <c r="X18" s="353"/>
      <c r="Y18" s="353">
        <v>1</v>
      </c>
      <c r="Z18" s="353"/>
      <c r="AA18" s="385" t="s">
        <v>511</v>
      </c>
      <c r="AB18" s="353">
        <v>10</v>
      </c>
      <c r="AC18" s="353">
        <v>30</v>
      </c>
      <c r="AD18" s="353">
        <v>0</v>
      </c>
      <c r="AE18" s="353">
        <v>40</v>
      </c>
      <c r="AF18" s="431">
        <f t="shared" si="0"/>
        <v>80</v>
      </c>
    </row>
    <row r="19" spans="1:32" s="316" customFormat="1" ht="54" x14ac:dyDescent="0.25">
      <c r="A19" s="358">
        <v>46044</v>
      </c>
      <c r="B19" s="354" t="s">
        <v>501</v>
      </c>
      <c r="C19" s="359" t="s">
        <v>508</v>
      </c>
      <c r="D19" s="354" t="s">
        <v>40</v>
      </c>
      <c r="E19" s="353" t="s">
        <v>555</v>
      </c>
      <c r="F19" s="353" t="s">
        <v>556</v>
      </c>
      <c r="G19" s="353" t="s">
        <v>557</v>
      </c>
      <c r="H19" s="353" t="s">
        <v>558</v>
      </c>
      <c r="I19" s="353"/>
      <c r="J19" s="353"/>
      <c r="K19" s="353"/>
      <c r="L19" s="353"/>
      <c r="M19" s="353"/>
      <c r="N19" s="353"/>
      <c r="O19" s="353"/>
      <c r="P19" s="353"/>
      <c r="Q19" s="353"/>
      <c r="R19" s="353"/>
      <c r="S19" s="353"/>
      <c r="T19" s="353"/>
      <c r="U19" s="353"/>
      <c r="V19" s="353">
        <v>1</v>
      </c>
      <c r="W19" s="353"/>
      <c r="X19" s="353"/>
      <c r="Y19" s="353"/>
      <c r="Z19" s="353"/>
      <c r="AA19" s="353"/>
      <c r="AB19" s="353"/>
      <c r="AC19" s="353"/>
      <c r="AD19" s="353"/>
      <c r="AE19" s="353"/>
      <c r="AF19" s="431">
        <f t="shared" si="0"/>
        <v>0</v>
      </c>
    </row>
    <row r="20" spans="1:32" s="316" customFormat="1" ht="27" x14ac:dyDescent="0.25">
      <c r="A20" s="358">
        <v>46048</v>
      </c>
      <c r="B20" s="354" t="s">
        <v>54</v>
      </c>
      <c r="C20" s="359" t="s">
        <v>508</v>
      </c>
      <c r="D20" s="354" t="s">
        <v>40</v>
      </c>
      <c r="E20" s="353" t="s">
        <v>559</v>
      </c>
      <c r="F20" s="353" t="s">
        <v>560</v>
      </c>
      <c r="G20" s="353" t="s">
        <v>561</v>
      </c>
      <c r="H20" s="353" t="s">
        <v>212</v>
      </c>
      <c r="I20" s="353"/>
      <c r="J20" s="353"/>
      <c r="K20" s="353"/>
      <c r="L20" s="353">
        <v>1</v>
      </c>
      <c r="M20" s="353"/>
      <c r="N20" s="353"/>
      <c r="O20" s="353"/>
      <c r="P20" s="353"/>
      <c r="Q20" s="353"/>
      <c r="R20" s="353"/>
      <c r="S20" s="353"/>
      <c r="T20" s="353"/>
      <c r="U20" s="353"/>
      <c r="V20" s="353"/>
      <c r="W20" s="353"/>
      <c r="X20" s="353"/>
      <c r="Y20" s="353"/>
      <c r="Z20" s="353"/>
      <c r="AA20" s="353" t="s">
        <v>544</v>
      </c>
      <c r="AB20" s="353">
        <v>10</v>
      </c>
      <c r="AC20" s="353">
        <v>20</v>
      </c>
      <c r="AD20" s="353">
        <v>0</v>
      </c>
      <c r="AE20" s="353">
        <v>40</v>
      </c>
      <c r="AF20" s="431">
        <f t="shared" si="0"/>
        <v>70</v>
      </c>
    </row>
    <row r="21" spans="1:32" s="316" customFormat="1" ht="27" x14ac:dyDescent="0.25">
      <c r="A21" s="358">
        <v>46048</v>
      </c>
      <c r="B21" s="354" t="s">
        <v>269</v>
      </c>
      <c r="C21" s="360" t="s">
        <v>508</v>
      </c>
      <c r="D21" s="353" t="s">
        <v>40</v>
      </c>
      <c r="E21" s="353" t="s">
        <v>562</v>
      </c>
      <c r="F21" s="353" t="s">
        <v>563</v>
      </c>
      <c r="G21" s="353" t="s">
        <v>564</v>
      </c>
      <c r="H21" s="353" t="s">
        <v>280</v>
      </c>
      <c r="I21" s="353"/>
      <c r="J21" s="353"/>
      <c r="K21" s="353"/>
      <c r="L21" s="353">
        <v>1</v>
      </c>
      <c r="M21" s="353"/>
      <c r="N21" s="353"/>
      <c r="O21" s="353"/>
      <c r="P21" s="353"/>
      <c r="Q21" s="353"/>
      <c r="R21" s="353"/>
      <c r="S21" s="353"/>
      <c r="T21" s="353"/>
      <c r="U21" s="353"/>
      <c r="V21" s="353"/>
      <c r="W21" s="353"/>
      <c r="X21" s="353"/>
      <c r="Y21" s="353"/>
      <c r="Z21" s="353"/>
      <c r="AA21" s="353" t="s">
        <v>511</v>
      </c>
      <c r="AB21" s="353">
        <v>10</v>
      </c>
      <c r="AC21" s="353">
        <v>10</v>
      </c>
      <c r="AD21" s="353">
        <v>0</v>
      </c>
      <c r="AE21" s="353">
        <v>30</v>
      </c>
      <c r="AF21" s="431">
        <f t="shared" si="0"/>
        <v>50</v>
      </c>
    </row>
    <row r="22" spans="1:32" ht="94.5" customHeight="1" x14ac:dyDescent="0.25">
      <c r="A22" s="358">
        <v>46048</v>
      </c>
      <c r="B22" s="362" t="s">
        <v>501</v>
      </c>
      <c r="C22" s="360" t="s">
        <v>519</v>
      </c>
      <c r="D22" s="353" t="s">
        <v>40</v>
      </c>
      <c r="E22" s="353" t="s">
        <v>565</v>
      </c>
      <c r="F22" s="353" t="s">
        <v>566</v>
      </c>
      <c r="G22" s="353" t="s">
        <v>567</v>
      </c>
      <c r="H22" s="353" t="s">
        <v>568</v>
      </c>
      <c r="I22" s="353"/>
      <c r="J22" s="353"/>
      <c r="K22" s="353"/>
      <c r="L22" s="353"/>
      <c r="M22" s="353"/>
      <c r="N22" s="353"/>
      <c r="O22" s="353"/>
      <c r="P22" s="353"/>
      <c r="Q22" s="353">
        <v>1</v>
      </c>
      <c r="R22" s="353"/>
      <c r="S22" s="353"/>
      <c r="T22" s="353"/>
      <c r="U22" s="353"/>
      <c r="V22" s="353"/>
      <c r="W22" s="353"/>
      <c r="X22" s="353"/>
      <c r="Y22" s="353"/>
      <c r="Z22" s="353"/>
      <c r="AA22" s="353" t="s">
        <v>511</v>
      </c>
      <c r="AB22" s="353">
        <v>10</v>
      </c>
      <c r="AC22" s="353">
        <v>20</v>
      </c>
      <c r="AD22" s="353">
        <v>0</v>
      </c>
      <c r="AE22" s="353">
        <v>20</v>
      </c>
      <c r="AF22" s="431">
        <f t="shared" si="0"/>
        <v>50</v>
      </c>
    </row>
    <row r="23" spans="1:32" ht="67.5" customHeight="1" x14ac:dyDescent="0.25">
      <c r="A23" s="358">
        <v>46049</v>
      </c>
      <c r="B23" s="354" t="s">
        <v>109</v>
      </c>
      <c r="C23" s="359" t="s">
        <v>519</v>
      </c>
      <c r="D23" s="354" t="s">
        <v>40</v>
      </c>
      <c r="E23" s="353" t="s">
        <v>569</v>
      </c>
      <c r="F23" s="353" t="s">
        <v>108</v>
      </c>
      <c r="G23" s="353" t="s">
        <v>570</v>
      </c>
      <c r="H23" s="353" t="s">
        <v>233</v>
      </c>
      <c r="I23" s="353"/>
      <c r="J23" s="353"/>
      <c r="K23" s="353"/>
      <c r="L23" s="353"/>
      <c r="M23" s="353"/>
      <c r="N23" s="353"/>
      <c r="O23" s="353"/>
      <c r="P23" s="353"/>
      <c r="Q23" s="353"/>
      <c r="R23" s="353"/>
      <c r="S23" s="353"/>
      <c r="T23" s="353"/>
      <c r="U23" s="353"/>
      <c r="V23" s="353"/>
      <c r="W23" s="353"/>
      <c r="X23" s="353"/>
      <c r="Y23" s="353">
        <v>1</v>
      </c>
      <c r="Z23" s="353"/>
      <c r="AA23" s="353" t="s">
        <v>511</v>
      </c>
      <c r="AB23" s="353">
        <v>10</v>
      </c>
      <c r="AC23" s="353">
        <v>30</v>
      </c>
      <c r="AD23" s="353">
        <v>0</v>
      </c>
      <c r="AE23" s="353">
        <v>40</v>
      </c>
      <c r="AF23" s="431">
        <f t="shared" si="0"/>
        <v>80</v>
      </c>
    </row>
    <row r="24" spans="1:32" ht="54" x14ac:dyDescent="0.25">
      <c r="A24" s="358">
        <v>46049</v>
      </c>
      <c r="B24" s="354" t="s">
        <v>54</v>
      </c>
      <c r="C24" s="360" t="s">
        <v>508</v>
      </c>
      <c r="D24" s="353" t="s">
        <v>40</v>
      </c>
      <c r="E24" s="353" t="s">
        <v>571</v>
      </c>
      <c r="F24" s="353" t="s">
        <v>572</v>
      </c>
      <c r="G24" s="353" t="s">
        <v>573</v>
      </c>
      <c r="H24" s="353" t="s">
        <v>327</v>
      </c>
      <c r="I24" s="353"/>
      <c r="J24" s="353"/>
      <c r="K24" s="353"/>
      <c r="L24" s="353"/>
      <c r="M24" s="353"/>
      <c r="N24" s="353"/>
      <c r="O24" s="353"/>
      <c r="P24" s="353"/>
      <c r="Q24" s="353"/>
      <c r="R24" s="353"/>
      <c r="S24" s="353"/>
      <c r="T24" s="353"/>
      <c r="U24" s="353"/>
      <c r="V24" s="353"/>
      <c r="W24" s="353"/>
      <c r="X24" s="353"/>
      <c r="Y24" s="353">
        <v>1</v>
      </c>
      <c r="Z24" s="353"/>
      <c r="AA24" s="353" t="s">
        <v>511</v>
      </c>
      <c r="AB24" s="353">
        <v>10</v>
      </c>
      <c r="AC24" s="353">
        <v>30</v>
      </c>
      <c r="AD24" s="353">
        <v>10</v>
      </c>
      <c r="AE24" s="353">
        <v>30</v>
      </c>
      <c r="AF24" s="431">
        <f t="shared" si="0"/>
        <v>80</v>
      </c>
    </row>
    <row r="25" spans="1:32" ht="40.5" x14ac:dyDescent="0.25">
      <c r="A25" s="358">
        <v>46049</v>
      </c>
      <c r="B25" s="354" t="s">
        <v>159</v>
      </c>
      <c r="C25" s="360" t="s">
        <v>508</v>
      </c>
      <c r="D25" s="353" t="s">
        <v>40</v>
      </c>
      <c r="E25" s="353" t="s">
        <v>574</v>
      </c>
      <c r="F25" s="353" t="s">
        <v>93</v>
      </c>
      <c r="G25" s="353" t="s">
        <v>575</v>
      </c>
      <c r="H25" s="353" t="s">
        <v>576</v>
      </c>
      <c r="I25" s="353"/>
      <c r="J25" s="353"/>
      <c r="K25" s="353"/>
      <c r="L25" s="353"/>
      <c r="M25" s="353"/>
      <c r="N25" s="353"/>
      <c r="O25" s="353"/>
      <c r="P25" s="355"/>
      <c r="Q25" s="355">
        <v>1</v>
      </c>
      <c r="R25" s="353"/>
      <c r="S25" s="353"/>
      <c r="T25" s="353"/>
      <c r="U25" s="353"/>
      <c r="V25" s="353"/>
      <c r="W25" s="353"/>
      <c r="X25" s="353"/>
      <c r="Y25" s="353"/>
      <c r="Z25" s="353"/>
      <c r="AA25" s="353"/>
      <c r="AB25" s="353">
        <v>10</v>
      </c>
      <c r="AC25" s="353">
        <v>20</v>
      </c>
      <c r="AD25" s="353">
        <v>0</v>
      </c>
      <c r="AE25" s="353">
        <v>20</v>
      </c>
      <c r="AF25" s="431">
        <f t="shared" si="0"/>
        <v>50</v>
      </c>
    </row>
    <row r="26" spans="1:32" ht="67.5" customHeight="1" x14ac:dyDescent="0.25">
      <c r="A26" s="361">
        <v>46050</v>
      </c>
      <c r="B26" s="353" t="s">
        <v>109</v>
      </c>
      <c r="C26" s="360" t="s">
        <v>519</v>
      </c>
      <c r="D26" s="353" t="s">
        <v>41</v>
      </c>
      <c r="E26" s="354" t="s">
        <v>577</v>
      </c>
      <c r="F26" s="354" t="s">
        <v>578</v>
      </c>
      <c r="G26" s="354" t="s">
        <v>579</v>
      </c>
      <c r="H26" s="354" t="s">
        <v>278</v>
      </c>
      <c r="I26" s="354"/>
      <c r="J26" s="354"/>
      <c r="K26" s="354"/>
      <c r="L26" s="353"/>
      <c r="M26" s="353"/>
      <c r="N26" s="353"/>
      <c r="O26" s="353"/>
      <c r="P26" s="355"/>
      <c r="Q26" s="355">
        <v>1</v>
      </c>
      <c r="R26" s="353"/>
      <c r="S26" s="353"/>
      <c r="T26" s="353"/>
      <c r="U26" s="353"/>
      <c r="V26" s="353"/>
      <c r="W26" s="353"/>
      <c r="X26" s="353"/>
      <c r="Y26" s="353"/>
      <c r="Z26" s="353"/>
      <c r="AA26" s="385" t="s">
        <v>544</v>
      </c>
      <c r="AB26" s="353">
        <v>30</v>
      </c>
      <c r="AC26" s="353">
        <v>10</v>
      </c>
      <c r="AD26" s="353">
        <v>0</v>
      </c>
      <c r="AE26" s="353">
        <v>50</v>
      </c>
      <c r="AF26" s="431">
        <f t="shared" si="0"/>
        <v>90</v>
      </c>
    </row>
    <row r="27" spans="1:32" ht="40.5" x14ac:dyDescent="0.25">
      <c r="A27" s="361">
        <v>46052</v>
      </c>
      <c r="B27" s="353" t="s">
        <v>54</v>
      </c>
      <c r="C27" s="360" t="s">
        <v>508</v>
      </c>
      <c r="D27" s="353" t="s">
        <v>40</v>
      </c>
      <c r="E27" s="353" t="s">
        <v>580</v>
      </c>
      <c r="F27" s="353" t="s">
        <v>581</v>
      </c>
      <c r="G27" s="353" t="s">
        <v>582</v>
      </c>
      <c r="H27" s="353" t="s">
        <v>231</v>
      </c>
      <c r="I27" s="353"/>
      <c r="J27" s="353"/>
      <c r="K27" s="353"/>
      <c r="L27" s="353"/>
      <c r="M27" s="353"/>
      <c r="N27" s="353"/>
      <c r="O27" s="353"/>
      <c r="P27" s="355"/>
      <c r="Q27" s="355"/>
      <c r="R27" s="353"/>
      <c r="S27" s="353"/>
      <c r="T27" s="353"/>
      <c r="U27" s="353"/>
      <c r="V27" s="353"/>
      <c r="W27" s="353"/>
      <c r="X27" s="353"/>
      <c r="Y27" s="353">
        <v>1</v>
      </c>
      <c r="Z27" s="353"/>
      <c r="AA27" s="353" t="s">
        <v>511</v>
      </c>
      <c r="AB27" s="353">
        <v>10</v>
      </c>
      <c r="AC27" s="353">
        <v>30</v>
      </c>
      <c r="AD27" s="353">
        <v>10</v>
      </c>
      <c r="AE27" s="353">
        <v>40</v>
      </c>
      <c r="AF27" s="431">
        <f t="shared" si="0"/>
        <v>90</v>
      </c>
    </row>
    <row r="28" spans="1:32" ht="94.5" customHeight="1" x14ac:dyDescent="0.25">
      <c r="A28" s="414">
        <v>46052</v>
      </c>
      <c r="B28" s="353" t="s">
        <v>100</v>
      </c>
      <c r="C28" s="363" t="s">
        <v>519</v>
      </c>
      <c r="D28" s="355" t="s">
        <v>40</v>
      </c>
      <c r="E28" s="355" t="s">
        <v>583</v>
      </c>
      <c r="F28" s="355" t="s">
        <v>584</v>
      </c>
      <c r="G28" s="355" t="s">
        <v>585</v>
      </c>
      <c r="H28" s="355" t="s">
        <v>200</v>
      </c>
      <c r="I28" s="355"/>
      <c r="J28" s="355"/>
      <c r="K28" s="355"/>
      <c r="L28" s="355"/>
      <c r="M28" s="355"/>
      <c r="N28" s="355"/>
      <c r="O28" s="355"/>
      <c r="P28" s="355"/>
      <c r="Q28" s="355"/>
      <c r="R28" s="355"/>
      <c r="S28" s="355"/>
      <c r="T28" s="355"/>
      <c r="U28" s="355"/>
      <c r="V28" s="355"/>
      <c r="W28" s="355"/>
      <c r="X28" s="355"/>
      <c r="Y28" s="355">
        <v>1</v>
      </c>
      <c r="Z28" s="355"/>
      <c r="AA28" s="355" t="s">
        <v>511</v>
      </c>
      <c r="AB28" s="355">
        <v>10</v>
      </c>
      <c r="AC28" s="355">
        <v>10</v>
      </c>
      <c r="AD28" s="355">
        <v>10</v>
      </c>
      <c r="AE28" s="355">
        <v>50</v>
      </c>
      <c r="AF28" s="431">
        <f t="shared" si="0"/>
        <v>80</v>
      </c>
    </row>
    <row r="29" spans="1:32" ht="67.5" x14ac:dyDescent="0.25">
      <c r="A29" s="414">
        <v>46052</v>
      </c>
      <c r="B29" s="355" t="s">
        <v>269</v>
      </c>
      <c r="C29" s="363" t="s">
        <v>508</v>
      </c>
      <c r="D29" s="355" t="s">
        <v>40</v>
      </c>
      <c r="E29" s="355" t="s">
        <v>586</v>
      </c>
      <c r="F29" s="355" t="s">
        <v>563</v>
      </c>
      <c r="G29" s="355" t="s">
        <v>587</v>
      </c>
      <c r="H29" s="355" t="s">
        <v>350</v>
      </c>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431">
        <f t="shared" si="0"/>
        <v>0</v>
      </c>
    </row>
    <row r="30" spans="1:32" ht="121.5" customHeight="1" x14ac:dyDescent="0.25">
      <c r="A30" s="388">
        <v>46053</v>
      </c>
      <c r="B30" s="354" t="s">
        <v>159</v>
      </c>
      <c r="C30" s="363" t="s">
        <v>519</v>
      </c>
      <c r="D30" s="355" t="s">
        <v>40</v>
      </c>
      <c r="E30" s="355" t="s">
        <v>588</v>
      </c>
      <c r="F30" s="355" t="s">
        <v>589</v>
      </c>
      <c r="G30" s="355" t="s">
        <v>590</v>
      </c>
      <c r="H30" s="355" t="s">
        <v>285</v>
      </c>
      <c r="I30" s="355"/>
      <c r="J30" s="355">
        <v>1</v>
      </c>
      <c r="K30" s="355"/>
      <c r="L30" s="355"/>
      <c r="M30" s="355"/>
      <c r="N30" s="355"/>
      <c r="O30" s="355"/>
      <c r="P30" s="355"/>
      <c r="Q30" s="355"/>
      <c r="R30" s="355"/>
      <c r="S30" s="355"/>
      <c r="T30" s="355"/>
      <c r="U30" s="355"/>
      <c r="V30" s="355"/>
      <c r="W30" s="355"/>
      <c r="X30" s="355"/>
      <c r="Y30" s="355"/>
      <c r="Z30" s="355"/>
      <c r="AA30" s="355" t="s">
        <v>511</v>
      </c>
      <c r="AB30" s="355">
        <v>50</v>
      </c>
      <c r="AC30" s="355">
        <v>10</v>
      </c>
      <c r="AD30" s="355">
        <v>0</v>
      </c>
      <c r="AE30" s="355">
        <v>30</v>
      </c>
      <c r="AF30" s="431">
        <f t="shared" si="0"/>
        <v>90</v>
      </c>
    </row>
    <row r="31" spans="1:32" ht="121.5" x14ac:dyDescent="0.25">
      <c r="A31" s="388">
        <v>46055</v>
      </c>
      <c r="B31" s="354" t="s">
        <v>109</v>
      </c>
      <c r="C31" s="363" t="s">
        <v>508</v>
      </c>
      <c r="D31" s="355" t="s">
        <v>40</v>
      </c>
      <c r="E31" s="355" t="s">
        <v>591</v>
      </c>
      <c r="F31" s="355" t="s">
        <v>108</v>
      </c>
      <c r="G31" s="355" t="s">
        <v>592</v>
      </c>
      <c r="H31" s="355" t="s">
        <v>393</v>
      </c>
      <c r="I31" s="355"/>
      <c r="J31" s="355"/>
      <c r="K31" s="355"/>
      <c r="L31" s="355"/>
      <c r="M31" s="355"/>
      <c r="N31" s="355"/>
      <c r="O31" s="355"/>
      <c r="P31" s="355"/>
      <c r="Q31" s="355"/>
      <c r="R31" s="355"/>
      <c r="S31" s="355"/>
      <c r="T31" s="355"/>
      <c r="U31" s="355"/>
      <c r="V31" s="355">
        <v>1</v>
      </c>
      <c r="W31" s="355"/>
      <c r="X31" s="355"/>
      <c r="Y31" s="355"/>
      <c r="Z31" s="355"/>
      <c r="AA31" s="355" t="s">
        <v>511</v>
      </c>
      <c r="AB31" s="355">
        <v>10</v>
      </c>
      <c r="AC31" s="355">
        <v>20</v>
      </c>
      <c r="AD31" s="355">
        <v>0</v>
      </c>
      <c r="AE31" s="355">
        <v>10</v>
      </c>
      <c r="AF31" s="431">
        <f t="shared" si="0"/>
        <v>40</v>
      </c>
    </row>
    <row r="32" spans="1:32" ht="67.5" x14ac:dyDescent="0.25">
      <c r="A32" s="388">
        <v>46064</v>
      </c>
      <c r="B32" s="362" t="s">
        <v>109</v>
      </c>
      <c r="C32" s="363" t="s">
        <v>508</v>
      </c>
      <c r="D32" s="355" t="s">
        <v>40</v>
      </c>
      <c r="E32" s="355" t="s">
        <v>593</v>
      </c>
      <c r="F32" s="355" t="s">
        <v>108</v>
      </c>
      <c r="G32" s="355" t="s">
        <v>594</v>
      </c>
      <c r="H32" s="355" t="s">
        <v>393</v>
      </c>
      <c r="I32" s="355"/>
      <c r="J32" s="355"/>
      <c r="K32" s="355"/>
      <c r="L32" s="355"/>
      <c r="M32" s="355"/>
      <c r="N32" s="355"/>
      <c r="O32" s="355"/>
      <c r="P32" s="355"/>
      <c r="Q32" s="355"/>
      <c r="R32" s="355"/>
      <c r="S32" s="355"/>
      <c r="T32" s="355"/>
      <c r="U32" s="355"/>
      <c r="V32" s="355"/>
      <c r="W32" s="355"/>
      <c r="X32" s="355"/>
      <c r="Y32" s="355">
        <v>1</v>
      </c>
      <c r="Z32" s="355"/>
      <c r="AA32" s="355" t="s">
        <v>511</v>
      </c>
      <c r="AB32" s="355">
        <v>10</v>
      </c>
      <c r="AC32" s="355">
        <v>30</v>
      </c>
      <c r="AD32" s="355">
        <v>20</v>
      </c>
      <c r="AE32" s="355">
        <v>40</v>
      </c>
      <c r="AF32" s="431">
        <f t="shared" si="0"/>
        <v>100</v>
      </c>
    </row>
    <row r="33" spans="1:32" ht="40.5" customHeight="1" x14ac:dyDescent="0.25">
      <c r="A33" s="388">
        <v>46064</v>
      </c>
      <c r="B33" s="362" t="s">
        <v>100</v>
      </c>
      <c r="C33" s="363" t="s">
        <v>519</v>
      </c>
      <c r="D33" s="355" t="s">
        <v>40</v>
      </c>
      <c r="E33" s="355" t="s">
        <v>595</v>
      </c>
      <c r="F33" s="355" t="s">
        <v>99</v>
      </c>
      <c r="G33" s="355" t="s">
        <v>596</v>
      </c>
      <c r="H33" s="355" t="s">
        <v>286</v>
      </c>
      <c r="I33" s="355"/>
      <c r="J33" s="355"/>
      <c r="K33" s="355"/>
      <c r="L33" s="355"/>
      <c r="M33" s="355"/>
      <c r="N33" s="355"/>
      <c r="O33" s="355"/>
      <c r="P33" s="355">
        <v>1</v>
      </c>
      <c r="Q33" s="355"/>
      <c r="R33" s="355"/>
      <c r="S33" s="355"/>
      <c r="T33" s="355"/>
      <c r="U33" s="355"/>
      <c r="V33" s="355"/>
      <c r="W33" s="355"/>
      <c r="X33" s="355"/>
      <c r="Y33" s="355"/>
      <c r="Z33" s="355"/>
      <c r="AA33" s="355" t="s">
        <v>511</v>
      </c>
      <c r="AB33" s="355">
        <v>50</v>
      </c>
      <c r="AC33" s="355">
        <v>20</v>
      </c>
      <c r="AD33" s="355">
        <v>0</v>
      </c>
      <c r="AE33" s="355">
        <v>20</v>
      </c>
      <c r="AF33" s="431">
        <f t="shared" si="0"/>
        <v>90</v>
      </c>
    </row>
    <row r="34" spans="1:32" ht="81" customHeight="1" x14ac:dyDescent="0.25">
      <c r="A34" s="388">
        <v>46064</v>
      </c>
      <c r="B34" s="362" t="s">
        <v>100</v>
      </c>
      <c r="C34" s="363" t="s">
        <v>519</v>
      </c>
      <c r="D34" s="355" t="s">
        <v>40</v>
      </c>
      <c r="E34" s="355" t="s">
        <v>597</v>
      </c>
      <c r="F34" s="355" t="s">
        <v>99</v>
      </c>
      <c r="G34" s="355" t="s">
        <v>598</v>
      </c>
      <c r="H34" s="355" t="s">
        <v>286</v>
      </c>
      <c r="I34" s="355">
        <v>1</v>
      </c>
      <c r="J34" s="355"/>
      <c r="K34" s="355"/>
      <c r="L34" s="355"/>
      <c r="M34" s="355"/>
      <c r="N34" s="355"/>
      <c r="O34" s="355"/>
      <c r="P34" s="355"/>
      <c r="Q34" s="355"/>
      <c r="R34" s="355"/>
      <c r="S34" s="355"/>
      <c r="T34" s="355"/>
      <c r="U34" s="355"/>
      <c r="V34" s="355"/>
      <c r="W34" s="355"/>
      <c r="X34" s="355"/>
      <c r="Y34" s="355"/>
      <c r="Z34" s="355"/>
      <c r="AA34" s="355" t="s">
        <v>511</v>
      </c>
      <c r="AB34" s="355">
        <v>50</v>
      </c>
      <c r="AC34" s="355">
        <v>20</v>
      </c>
      <c r="AD34" s="355">
        <v>0</v>
      </c>
      <c r="AE34" s="355">
        <v>30</v>
      </c>
      <c r="AF34" s="431">
        <f t="shared" si="0"/>
        <v>100</v>
      </c>
    </row>
    <row r="35" spans="1:32" ht="81" x14ac:dyDescent="0.25">
      <c r="A35" s="388">
        <v>46065</v>
      </c>
      <c r="B35" s="362" t="s">
        <v>501</v>
      </c>
      <c r="C35" s="363" t="s">
        <v>502</v>
      </c>
      <c r="D35" s="355" t="s">
        <v>503</v>
      </c>
      <c r="E35" s="355" t="s">
        <v>599</v>
      </c>
      <c r="F35" s="355" t="s">
        <v>60</v>
      </c>
      <c r="G35" s="355" t="s">
        <v>600</v>
      </c>
      <c r="H35" s="355" t="s">
        <v>601</v>
      </c>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431">
        <f t="shared" ref="AF35:AF66" si="1">SUM(AB35:AE35)</f>
        <v>0</v>
      </c>
    </row>
    <row r="36" spans="1:32" ht="108" x14ac:dyDescent="0.25">
      <c r="A36" s="388">
        <v>46065</v>
      </c>
      <c r="B36" s="362" t="s">
        <v>100</v>
      </c>
      <c r="C36" s="363" t="s">
        <v>508</v>
      </c>
      <c r="D36" s="355" t="s">
        <v>40</v>
      </c>
      <c r="E36" s="355" t="s">
        <v>602</v>
      </c>
      <c r="F36" s="355" t="s">
        <v>603</v>
      </c>
      <c r="G36" s="355" t="s">
        <v>604</v>
      </c>
      <c r="H36" s="355" t="s">
        <v>170</v>
      </c>
      <c r="I36" s="355"/>
      <c r="J36" s="355"/>
      <c r="K36" s="355"/>
      <c r="L36" s="355"/>
      <c r="M36" s="355"/>
      <c r="N36" s="355"/>
      <c r="O36" s="355"/>
      <c r="P36" s="355"/>
      <c r="Q36" s="355"/>
      <c r="R36" s="355"/>
      <c r="S36" s="355"/>
      <c r="T36" s="355"/>
      <c r="U36" s="355"/>
      <c r="V36" s="355">
        <v>1</v>
      </c>
      <c r="W36" s="355"/>
      <c r="X36" s="355"/>
      <c r="Y36" s="355"/>
      <c r="Z36" s="355"/>
      <c r="AA36" s="355" t="s">
        <v>511</v>
      </c>
      <c r="AB36" s="355">
        <v>10</v>
      </c>
      <c r="AC36" s="355">
        <v>10</v>
      </c>
      <c r="AD36" s="355">
        <v>0</v>
      </c>
      <c r="AE36" s="355">
        <v>20</v>
      </c>
      <c r="AF36" s="431">
        <f t="shared" si="1"/>
        <v>40</v>
      </c>
    </row>
    <row r="37" spans="1:32" ht="40.5" x14ac:dyDescent="0.25">
      <c r="A37" s="388">
        <v>46065</v>
      </c>
      <c r="B37" s="362" t="s">
        <v>192</v>
      </c>
      <c r="C37" s="363" t="s">
        <v>508</v>
      </c>
      <c r="D37" s="355" t="s">
        <v>40</v>
      </c>
      <c r="E37" s="355" t="s">
        <v>605</v>
      </c>
      <c r="F37" s="355" t="s">
        <v>606</v>
      </c>
      <c r="G37" s="355" t="s">
        <v>607</v>
      </c>
      <c r="H37" s="355" t="s">
        <v>262</v>
      </c>
      <c r="I37" s="355"/>
      <c r="J37" s="355"/>
      <c r="K37" s="355"/>
      <c r="L37" s="355"/>
      <c r="M37" s="355"/>
      <c r="N37" s="355"/>
      <c r="O37" s="355"/>
      <c r="P37" s="355"/>
      <c r="Q37" s="355">
        <v>1</v>
      </c>
      <c r="R37" s="355"/>
      <c r="S37" s="355"/>
      <c r="T37" s="355"/>
      <c r="U37" s="355"/>
      <c r="V37" s="355"/>
      <c r="W37" s="355"/>
      <c r="X37" s="355"/>
      <c r="Y37" s="355"/>
      <c r="Z37" s="355"/>
      <c r="AA37" s="355" t="s">
        <v>511</v>
      </c>
      <c r="AB37" s="355">
        <v>10</v>
      </c>
      <c r="AC37" s="355">
        <v>20</v>
      </c>
      <c r="AD37" s="355">
        <v>0</v>
      </c>
      <c r="AE37" s="355">
        <v>50</v>
      </c>
      <c r="AF37" s="431">
        <f t="shared" si="1"/>
        <v>80</v>
      </c>
    </row>
    <row r="38" spans="1:32" ht="40.5" x14ac:dyDescent="0.25">
      <c r="A38" s="388">
        <v>46066</v>
      </c>
      <c r="B38" s="362" t="s">
        <v>100</v>
      </c>
      <c r="C38" s="363" t="s">
        <v>508</v>
      </c>
      <c r="D38" s="355" t="s">
        <v>40</v>
      </c>
      <c r="E38" s="355" t="s">
        <v>608</v>
      </c>
      <c r="F38" s="355" t="s">
        <v>609</v>
      </c>
      <c r="G38" s="355" t="s">
        <v>610</v>
      </c>
      <c r="H38" s="355" t="s">
        <v>402</v>
      </c>
      <c r="I38" s="355"/>
      <c r="J38" s="355"/>
      <c r="K38" s="355"/>
      <c r="L38" s="355"/>
      <c r="M38" s="355"/>
      <c r="N38" s="355"/>
      <c r="O38" s="355"/>
      <c r="P38" s="355"/>
      <c r="Q38" s="355"/>
      <c r="R38" s="355"/>
      <c r="S38" s="355"/>
      <c r="T38" s="355"/>
      <c r="U38" s="355"/>
      <c r="V38" s="355"/>
      <c r="W38" s="355">
        <v>1</v>
      </c>
      <c r="X38" s="355"/>
      <c r="Y38" s="355"/>
      <c r="Z38" s="355"/>
      <c r="AA38" s="355" t="s">
        <v>511</v>
      </c>
      <c r="AB38" s="355">
        <v>10</v>
      </c>
      <c r="AC38" s="355">
        <v>30</v>
      </c>
      <c r="AD38" s="355">
        <v>10</v>
      </c>
      <c r="AE38" s="355">
        <v>30</v>
      </c>
      <c r="AF38" s="431">
        <f t="shared" si="1"/>
        <v>80</v>
      </c>
    </row>
    <row r="39" spans="1:32" ht="54" x14ac:dyDescent="0.25">
      <c r="A39" s="388">
        <v>46069</v>
      </c>
      <c r="B39" s="362" t="s">
        <v>501</v>
      </c>
      <c r="C39" s="363" t="s">
        <v>508</v>
      </c>
      <c r="D39" s="355" t="s">
        <v>40</v>
      </c>
      <c r="E39" s="355" t="s">
        <v>611</v>
      </c>
      <c r="F39" s="355" t="s">
        <v>566</v>
      </c>
      <c r="G39" s="355" t="s">
        <v>612</v>
      </c>
      <c r="H39" s="355" t="s">
        <v>613</v>
      </c>
      <c r="I39" s="355">
        <v>1</v>
      </c>
      <c r="J39" s="355"/>
      <c r="K39" s="355"/>
      <c r="L39" s="355"/>
      <c r="M39" s="355"/>
      <c r="N39" s="355"/>
      <c r="O39" s="355"/>
      <c r="P39" s="355"/>
      <c r="Q39" s="355"/>
      <c r="R39" s="355"/>
      <c r="S39" s="355"/>
      <c r="T39" s="355"/>
      <c r="U39" s="355"/>
      <c r="V39" s="355"/>
      <c r="W39" s="355"/>
      <c r="X39" s="355"/>
      <c r="Y39" s="355"/>
      <c r="Z39" s="355"/>
      <c r="AA39" s="355" t="s">
        <v>511</v>
      </c>
      <c r="AB39" s="355">
        <v>10</v>
      </c>
      <c r="AC39" s="355">
        <v>10</v>
      </c>
      <c r="AD39" s="355">
        <v>10</v>
      </c>
      <c r="AE39" s="355">
        <v>20</v>
      </c>
      <c r="AF39" s="431">
        <f t="shared" si="1"/>
        <v>50</v>
      </c>
    </row>
    <row r="40" spans="1:32" ht="67.5" x14ac:dyDescent="0.25">
      <c r="A40" s="388">
        <v>46070</v>
      </c>
      <c r="B40" s="362" t="s">
        <v>100</v>
      </c>
      <c r="C40" s="363" t="s">
        <v>502</v>
      </c>
      <c r="D40" s="355" t="s">
        <v>40</v>
      </c>
      <c r="E40" s="355" t="s">
        <v>614</v>
      </c>
      <c r="F40" s="355" t="s">
        <v>584</v>
      </c>
      <c r="G40" s="355" t="s">
        <v>615</v>
      </c>
      <c r="H40" s="355" t="s">
        <v>200</v>
      </c>
      <c r="I40" s="355"/>
      <c r="J40" s="355"/>
      <c r="K40" s="355">
        <v>1</v>
      </c>
      <c r="L40" s="355"/>
      <c r="M40" s="355"/>
      <c r="N40" s="355"/>
      <c r="O40" s="355"/>
      <c r="P40" s="355"/>
      <c r="Q40" s="355">
        <v>1</v>
      </c>
      <c r="R40" s="355"/>
      <c r="S40" s="355"/>
      <c r="T40" s="355"/>
      <c r="U40" s="355"/>
      <c r="V40" s="355"/>
      <c r="W40" s="355"/>
      <c r="X40" s="355"/>
      <c r="Y40" s="355"/>
      <c r="Z40" s="355"/>
      <c r="AA40" s="355" t="s">
        <v>511</v>
      </c>
      <c r="AB40" s="355">
        <v>10</v>
      </c>
      <c r="AC40" s="355">
        <v>10</v>
      </c>
      <c r="AD40" s="355">
        <v>0</v>
      </c>
      <c r="AE40" s="355">
        <v>50</v>
      </c>
      <c r="AF40" s="431">
        <f t="shared" si="1"/>
        <v>70</v>
      </c>
    </row>
    <row r="41" spans="1:32" ht="81" x14ac:dyDescent="0.25">
      <c r="A41" s="388">
        <v>46070</v>
      </c>
      <c r="B41" s="362" t="s">
        <v>100</v>
      </c>
      <c r="C41" s="363" t="s">
        <v>508</v>
      </c>
      <c r="D41" s="355" t="s">
        <v>40</v>
      </c>
      <c r="E41" s="355" t="s">
        <v>616</v>
      </c>
      <c r="F41" s="355" t="s">
        <v>617</v>
      </c>
      <c r="G41" s="355" t="s">
        <v>618</v>
      </c>
      <c r="H41" s="355" t="s">
        <v>619</v>
      </c>
      <c r="I41" s="355"/>
      <c r="J41" s="355"/>
      <c r="K41" s="355"/>
      <c r="L41" s="355"/>
      <c r="M41" s="355"/>
      <c r="N41" s="355"/>
      <c r="O41" s="355"/>
      <c r="P41" s="355"/>
      <c r="Q41" s="355">
        <v>1</v>
      </c>
      <c r="R41" s="355"/>
      <c r="S41" s="355"/>
      <c r="T41" s="355"/>
      <c r="U41" s="355"/>
      <c r="V41" s="355"/>
      <c r="W41" s="355"/>
      <c r="X41" s="355"/>
      <c r="Y41" s="355"/>
      <c r="Z41" s="355"/>
      <c r="AA41" s="355" t="s">
        <v>511</v>
      </c>
      <c r="AB41" s="355">
        <v>10</v>
      </c>
      <c r="AC41" s="355">
        <v>20</v>
      </c>
      <c r="AD41" s="355">
        <v>0</v>
      </c>
      <c r="AE41" s="355">
        <v>20</v>
      </c>
      <c r="AF41" s="431">
        <f t="shared" si="1"/>
        <v>50</v>
      </c>
    </row>
    <row r="42" spans="1:32" ht="67.5" customHeight="1" x14ac:dyDescent="0.25">
      <c r="A42" s="388">
        <v>46071</v>
      </c>
      <c r="B42" s="362" t="s">
        <v>159</v>
      </c>
      <c r="C42" s="363" t="s">
        <v>519</v>
      </c>
      <c r="D42" s="355" t="s">
        <v>40</v>
      </c>
      <c r="E42" s="355" t="s">
        <v>620</v>
      </c>
      <c r="F42" s="355" t="s">
        <v>93</v>
      </c>
      <c r="G42" s="355" t="s">
        <v>621</v>
      </c>
      <c r="H42" s="355" t="s">
        <v>622</v>
      </c>
      <c r="I42" s="355"/>
      <c r="J42" s="355"/>
      <c r="K42" s="355"/>
      <c r="L42" s="355">
        <v>1</v>
      </c>
      <c r="M42" s="355"/>
      <c r="N42" s="355"/>
      <c r="O42" s="355"/>
      <c r="P42" s="355"/>
      <c r="Q42" s="355"/>
      <c r="R42" s="355"/>
      <c r="S42" s="355"/>
      <c r="T42" s="355"/>
      <c r="U42" s="355"/>
      <c r="V42" s="355"/>
      <c r="W42" s="355"/>
      <c r="X42" s="355"/>
      <c r="Y42" s="355"/>
      <c r="Z42" s="355"/>
      <c r="AA42" s="355" t="s">
        <v>511</v>
      </c>
      <c r="AB42" s="355">
        <v>50</v>
      </c>
      <c r="AC42" s="355">
        <v>10</v>
      </c>
      <c r="AD42" s="355">
        <v>0</v>
      </c>
      <c r="AE42" s="355">
        <v>30</v>
      </c>
      <c r="AF42" s="431">
        <f t="shared" si="1"/>
        <v>90</v>
      </c>
    </row>
    <row r="43" spans="1:32" ht="67.5" x14ac:dyDescent="0.25">
      <c r="A43" s="388">
        <v>46071</v>
      </c>
      <c r="B43" s="362" t="s">
        <v>501</v>
      </c>
      <c r="C43" s="363" t="s">
        <v>508</v>
      </c>
      <c r="D43" s="355" t="s">
        <v>40</v>
      </c>
      <c r="E43" s="355" t="s">
        <v>623</v>
      </c>
      <c r="F43" s="355" t="s">
        <v>624</v>
      </c>
      <c r="G43" s="355" t="s">
        <v>625</v>
      </c>
      <c r="H43" s="355" t="s">
        <v>507</v>
      </c>
      <c r="I43" s="355"/>
      <c r="J43" s="355">
        <v>1</v>
      </c>
      <c r="K43" s="355"/>
      <c r="L43" s="355"/>
      <c r="M43" s="355"/>
      <c r="N43" s="355"/>
      <c r="O43" s="355"/>
      <c r="P43" s="355"/>
      <c r="Q43" s="355"/>
      <c r="R43" s="355"/>
      <c r="S43" s="355"/>
      <c r="T43" s="355"/>
      <c r="U43" s="355"/>
      <c r="V43" s="355"/>
      <c r="W43" s="355"/>
      <c r="X43" s="355"/>
      <c r="Y43" s="355"/>
      <c r="Z43" s="355"/>
      <c r="AA43" s="355" t="s">
        <v>511</v>
      </c>
      <c r="AB43" s="355">
        <v>10</v>
      </c>
      <c r="AC43" s="355">
        <v>10</v>
      </c>
      <c r="AD43" s="355">
        <v>10</v>
      </c>
      <c r="AE43" s="355">
        <v>30</v>
      </c>
      <c r="AF43" s="431">
        <f t="shared" si="1"/>
        <v>60</v>
      </c>
    </row>
    <row r="44" spans="1:32" ht="27" x14ac:dyDescent="0.25">
      <c r="A44" s="388">
        <v>46072</v>
      </c>
      <c r="B44" s="362" t="s">
        <v>269</v>
      </c>
      <c r="C44" s="363" t="s">
        <v>508</v>
      </c>
      <c r="D44" s="355" t="s">
        <v>40</v>
      </c>
      <c r="E44" s="355" t="s">
        <v>626</v>
      </c>
      <c r="F44" s="355" t="s">
        <v>627</v>
      </c>
      <c r="G44" s="355" t="s">
        <v>628</v>
      </c>
      <c r="H44" s="355" t="s">
        <v>281</v>
      </c>
      <c r="I44" s="355"/>
      <c r="J44" s="355"/>
      <c r="K44" s="355"/>
      <c r="L44" s="355"/>
      <c r="M44" s="355"/>
      <c r="N44" s="355"/>
      <c r="O44" s="355"/>
      <c r="P44" s="355"/>
      <c r="Q44" s="355">
        <v>1</v>
      </c>
      <c r="R44" s="355"/>
      <c r="S44" s="355"/>
      <c r="T44" s="355"/>
      <c r="U44" s="355"/>
      <c r="V44" s="355"/>
      <c r="W44" s="355"/>
      <c r="X44" s="355"/>
      <c r="Y44" s="355"/>
      <c r="Z44" s="355"/>
      <c r="AA44" s="355" t="s">
        <v>511</v>
      </c>
      <c r="AB44" s="355">
        <v>10</v>
      </c>
      <c r="AC44" s="355">
        <v>10</v>
      </c>
      <c r="AD44" s="355">
        <v>0</v>
      </c>
      <c r="AE44" s="355">
        <v>20</v>
      </c>
      <c r="AF44" s="431">
        <f t="shared" si="1"/>
        <v>40</v>
      </c>
    </row>
    <row r="45" spans="1:32" ht="94.5" customHeight="1" x14ac:dyDescent="0.25">
      <c r="A45" s="388">
        <v>46073</v>
      </c>
      <c r="B45" s="362" t="s">
        <v>54</v>
      </c>
      <c r="C45" s="363" t="s">
        <v>519</v>
      </c>
      <c r="D45" s="355" t="s">
        <v>40</v>
      </c>
      <c r="E45" s="355" t="s">
        <v>629</v>
      </c>
      <c r="F45" s="355" t="s">
        <v>630</v>
      </c>
      <c r="G45" s="414" t="s">
        <v>631</v>
      </c>
      <c r="H45" s="355" t="s">
        <v>238</v>
      </c>
      <c r="I45" s="355"/>
      <c r="J45" s="355"/>
      <c r="K45" s="355"/>
      <c r="L45" s="355"/>
      <c r="M45" s="355"/>
      <c r="N45" s="355"/>
      <c r="O45" s="355">
        <v>1</v>
      </c>
      <c r="P45" s="355"/>
      <c r="Q45" s="355"/>
      <c r="R45" s="355"/>
      <c r="S45" s="355"/>
      <c r="T45" s="355"/>
      <c r="U45" s="355"/>
      <c r="V45" s="355"/>
      <c r="W45" s="355"/>
      <c r="X45" s="355"/>
      <c r="Y45" s="355"/>
      <c r="Z45" s="355"/>
      <c r="AA45" s="355" t="s">
        <v>511</v>
      </c>
      <c r="AB45" s="355">
        <v>30</v>
      </c>
      <c r="AC45" s="355">
        <v>30</v>
      </c>
      <c r="AD45" s="355">
        <v>0</v>
      </c>
      <c r="AE45" s="355">
        <v>30</v>
      </c>
      <c r="AF45" s="431">
        <f t="shared" si="1"/>
        <v>90</v>
      </c>
    </row>
    <row r="46" spans="1:32" ht="94.5" x14ac:dyDescent="0.25">
      <c r="A46" s="388">
        <v>46076</v>
      </c>
      <c r="B46" s="362" t="s">
        <v>501</v>
      </c>
      <c r="C46" s="363" t="s">
        <v>519</v>
      </c>
      <c r="D46" s="355" t="s">
        <v>40</v>
      </c>
      <c r="E46" s="355" t="s">
        <v>632</v>
      </c>
      <c r="F46" s="355" t="s">
        <v>566</v>
      </c>
      <c r="G46" s="355" t="s">
        <v>633</v>
      </c>
      <c r="H46" s="355" t="s">
        <v>613</v>
      </c>
      <c r="I46" s="355"/>
      <c r="J46" s="355"/>
      <c r="K46" s="355"/>
      <c r="L46" s="355"/>
      <c r="M46" s="355"/>
      <c r="N46" s="355"/>
      <c r="O46" s="355"/>
      <c r="P46" s="355"/>
      <c r="Q46" s="355">
        <v>1</v>
      </c>
      <c r="R46" s="355"/>
      <c r="S46" s="355"/>
      <c r="T46" s="355"/>
      <c r="U46" s="355"/>
      <c r="V46" s="355"/>
      <c r="W46" s="355"/>
      <c r="X46" s="355"/>
      <c r="Y46" s="355"/>
      <c r="Z46" s="355"/>
      <c r="AA46" s="355" t="s">
        <v>511</v>
      </c>
      <c r="AB46" s="355">
        <v>10</v>
      </c>
      <c r="AC46" s="355">
        <v>20</v>
      </c>
      <c r="AD46" s="355">
        <v>10</v>
      </c>
      <c r="AE46" s="355">
        <v>30</v>
      </c>
      <c r="AF46" s="431">
        <f t="shared" si="1"/>
        <v>70</v>
      </c>
    </row>
    <row r="47" spans="1:32" ht="94.5" x14ac:dyDescent="0.25">
      <c r="A47" s="388">
        <v>46077</v>
      </c>
      <c r="B47" s="354" t="s">
        <v>501</v>
      </c>
      <c r="C47" s="363" t="s">
        <v>508</v>
      </c>
      <c r="D47" s="355" t="s">
        <v>40</v>
      </c>
      <c r="E47" s="355" t="s">
        <v>634</v>
      </c>
      <c r="F47" s="355" t="s">
        <v>513</v>
      </c>
      <c r="G47" s="355" t="s">
        <v>635</v>
      </c>
      <c r="H47" s="355" t="s">
        <v>380</v>
      </c>
      <c r="I47" s="355"/>
      <c r="J47" s="355"/>
      <c r="K47" s="355"/>
      <c r="L47" s="355"/>
      <c r="M47" s="355"/>
      <c r="N47" s="355"/>
      <c r="O47" s="355"/>
      <c r="P47" s="355"/>
      <c r="Q47" s="355"/>
      <c r="R47" s="355"/>
      <c r="S47" s="355">
        <v>1</v>
      </c>
      <c r="T47" s="355"/>
      <c r="U47" s="355"/>
      <c r="V47" s="355"/>
      <c r="W47" s="355"/>
      <c r="X47" s="355"/>
      <c r="Y47" s="355"/>
      <c r="Z47" s="355"/>
      <c r="AA47" s="355" t="s">
        <v>511</v>
      </c>
      <c r="AB47" s="355">
        <v>10</v>
      </c>
      <c r="AC47" s="355">
        <v>30</v>
      </c>
      <c r="AD47" s="355">
        <v>0</v>
      </c>
      <c r="AE47" s="355">
        <v>20</v>
      </c>
      <c r="AF47" s="431">
        <f t="shared" si="1"/>
        <v>60</v>
      </c>
    </row>
    <row r="48" spans="1:32" ht="283.5" customHeight="1" x14ac:dyDescent="0.25">
      <c r="A48" s="414">
        <v>46077</v>
      </c>
      <c r="B48" s="362" t="s">
        <v>54</v>
      </c>
      <c r="C48" s="363" t="s">
        <v>519</v>
      </c>
      <c r="D48" s="362" t="s">
        <v>41</v>
      </c>
      <c r="E48" s="355" t="s">
        <v>636</v>
      </c>
      <c r="F48" s="355" t="s">
        <v>589</v>
      </c>
      <c r="G48" s="355" t="s">
        <v>637</v>
      </c>
      <c r="H48" s="355" t="s">
        <v>285</v>
      </c>
      <c r="I48" s="355"/>
      <c r="J48" s="355"/>
      <c r="K48" s="355"/>
      <c r="L48" s="355"/>
      <c r="M48" s="355">
        <v>1</v>
      </c>
      <c r="N48" s="355"/>
      <c r="O48" s="355"/>
      <c r="P48" s="355"/>
      <c r="Q48" s="355"/>
      <c r="R48" s="355"/>
      <c r="S48" s="355"/>
      <c r="T48" s="355"/>
      <c r="U48" s="355"/>
      <c r="V48" s="355"/>
      <c r="W48" s="355"/>
      <c r="X48" s="355"/>
      <c r="Y48" s="355"/>
      <c r="Z48" s="355"/>
      <c r="AA48" s="355" t="s">
        <v>511</v>
      </c>
      <c r="AB48" s="355">
        <v>30</v>
      </c>
      <c r="AC48" s="355">
        <v>10</v>
      </c>
      <c r="AD48" s="355">
        <v>0</v>
      </c>
      <c r="AE48" s="355">
        <v>50</v>
      </c>
      <c r="AF48" s="431">
        <f t="shared" si="1"/>
        <v>90</v>
      </c>
    </row>
    <row r="49" spans="1:32" ht="270" customHeight="1" x14ac:dyDescent="0.25">
      <c r="A49" s="388">
        <v>46078</v>
      </c>
      <c r="B49" s="362" t="s">
        <v>109</v>
      </c>
      <c r="C49" s="363" t="s">
        <v>519</v>
      </c>
      <c r="D49" s="355" t="s">
        <v>40</v>
      </c>
      <c r="E49" s="355" t="s">
        <v>638</v>
      </c>
      <c r="F49" s="355" t="s">
        <v>108</v>
      </c>
      <c r="G49" s="355" t="s">
        <v>639</v>
      </c>
      <c r="H49" s="355" t="s">
        <v>233</v>
      </c>
      <c r="I49" s="355"/>
      <c r="J49" s="355"/>
      <c r="K49" s="355"/>
      <c r="L49" s="355"/>
      <c r="M49" s="355"/>
      <c r="N49" s="355"/>
      <c r="O49" s="355"/>
      <c r="P49" s="355"/>
      <c r="Q49" s="355"/>
      <c r="R49" s="355"/>
      <c r="S49" s="355"/>
      <c r="T49" s="355"/>
      <c r="U49" s="355"/>
      <c r="V49" s="355"/>
      <c r="W49" s="355"/>
      <c r="X49" s="355"/>
      <c r="Y49" s="355">
        <v>1</v>
      </c>
      <c r="Z49" s="355"/>
      <c r="AA49" s="355" t="s">
        <v>511</v>
      </c>
      <c r="AB49" s="355">
        <v>10</v>
      </c>
      <c r="AC49" s="355">
        <v>20</v>
      </c>
      <c r="AD49" s="355">
        <v>20</v>
      </c>
      <c r="AE49" s="355">
        <v>30</v>
      </c>
      <c r="AF49" s="431">
        <f t="shared" si="1"/>
        <v>80</v>
      </c>
    </row>
    <row r="50" spans="1:32" ht="283.5" customHeight="1" x14ac:dyDescent="0.25">
      <c r="A50" s="388">
        <v>46080</v>
      </c>
      <c r="B50" s="362" t="s">
        <v>501</v>
      </c>
      <c r="C50" s="363" t="s">
        <v>519</v>
      </c>
      <c r="D50" s="355" t="s">
        <v>40</v>
      </c>
      <c r="E50" s="355" t="s">
        <v>640</v>
      </c>
      <c r="F50" s="355" t="s">
        <v>513</v>
      </c>
      <c r="G50" s="355" t="s">
        <v>641</v>
      </c>
      <c r="H50" s="355" t="s">
        <v>380</v>
      </c>
      <c r="I50" s="355"/>
      <c r="J50" s="355"/>
      <c r="K50" s="355"/>
      <c r="L50" s="355"/>
      <c r="M50" s="355"/>
      <c r="N50" s="355"/>
      <c r="O50" s="355"/>
      <c r="P50" s="355"/>
      <c r="Q50" s="355"/>
      <c r="R50" s="355">
        <v>1</v>
      </c>
      <c r="S50" s="355"/>
      <c r="T50" s="355"/>
      <c r="U50" s="355"/>
      <c r="V50" s="355"/>
      <c r="W50" s="355"/>
      <c r="X50" s="355"/>
      <c r="Y50" s="355"/>
      <c r="Z50" s="355"/>
      <c r="AA50" s="355" t="s">
        <v>511</v>
      </c>
      <c r="AB50" s="355">
        <v>30</v>
      </c>
      <c r="AC50" s="355">
        <v>10</v>
      </c>
      <c r="AD50" s="355">
        <v>0</v>
      </c>
      <c r="AE50" s="355">
        <v>30</v>
      </c>
      <c r="AF50" s="431">
        <f t="shared" si="1"/>
        <v>70</v>
      </c>
    </row>
    <row r="51" spans="1:32" ht="270" x14ac:dyDescent="0.25">
      <c r="A51" s="388">
        <v>46085</v>
      </c>
      <c r="B51" s="362" t="s">
        <v>501</v>
      </c>
      <c r="C51" s="363" t="s">
        <v>519</v>
      </c>
      <c r="D51" s="355" t="s">
        <v>41</v>
      </c>
      <c r="E51" s="355" t="s">
        <v>642</v>
      </c>
      <c r="F51" s="355" t="s">
        <v>83</v>
      </c>
      <c r="G51" s="355" t="s">
        <v>643</v>
      </c>
      <c r="H51" s="355" t="s">
        <v>644</v>
      </c>
      <c r="I51" s="355"/>
      <c r="J51" s="355"/>
      <c r="K51" s="355"/>
      <c r="L51" s="355">
        <v>1</v>
      </c>
      <c r="M51" s="355"/>
      <c r="N51" s="355"/>
      <c r="O51" s="355"/>
      <c r="P51" s="355"/>
      <c r="Q51" s="355"/>
      <c r="R51" s="355"/>
      <c r="S51" s="355"/>
      <c r="T51" s="355"/>
      <c r="U51" s="355"/>
      <c r="V51" s="355"/>
      <c r="W51" s="355"/>
      <c r="X51" s="355"/>
      <c r="Y51" s="355"/>
      <c r="Z51" s="355"/>
      <c r="AA51" s="355" t="s">
        <v>511</v>
      </c>
      <c r="AB51" s="355">
        <v>30</v>
      </c>
      <c r="AC51" s="355">
        <v>10</v>
      </c>
      <c r="AD51" s="355">
        <v>20</v>
      </c>
      <c r="AE51" s="355">
        <v>50</v>
      </c>
      <c r="AF51" s="431">
        <f t="shared" si="1"/>
        <v>110</v>
      </c>
    </row>
    <row r="52" spans="1:32" ht="94.5" customHeight="1" x14ac:dyDescent="0.25">
      <c r="A52" s="388">
        <v>46087</v>
      </c>
      <c r="B52" s="362" t="s">
        <v>501</v>
      </c>
      <c r="C52" s="363" t="s">
        <v>508</v>
      </c>
      <c r="D52" s="355" t="s">
        <v>40</v>
      </c>
      <c r="E52" s="355" t="s">
        <v>645</v>
      </c>
      <c r="F52" s="355" t="s">
        <v>624</v>
      </c>
      <c r="G52" s="355" t="s">
        <v>646</v>
      </c>
      <c r="H52" s="355" t="s">
        <v>507</v>
      </c>
      <c r="I52" s="355"/>
      <c r="J52" s="355"/>
      <c r="K52" s="355"/>
      <c r="L52" s="355"/>
      <c r="M52" s="355"/>
      <c r="N52" s="355"/>
      <c r="O52" s="355"/>
      <c r="P52" s="355"/>
      <c r="Q52" s="355"/>
      <c r="R52" s="355"/>
      <c r="S52" s="355"/>
      <c r="T52" s="355"/>
      <c r="U52" s="355"/>
      <c r="V52" s="355"/>
      <c r="W52" s="355"/>
      <c r="X52" s="355"/>
      <c r="Y52" s="355"/>
      <c r="Z52" s="355">
        <v>1</v>
      </c>
      <c r="AA52" s="355" t="s">
        <v>511</v>
      </c>
      <c r="AB52" s="355">
        <v>10</v>
      </c>
      <c r="AC52" s="355">
        <v>20</v>
      </c>
      <c r="AD52" s="355">
        <v>20</v>
      </c>
      <c r="AE52" s="355">
        <v>20</v>
      </c>
      <c r="AF52" s="431">
        <f t="shared" si="1"/>
        <v>70</v>
      </c>
    </row>
    <row r="53" spans="1:32" ht="54" x14ac:dyDescent="0.25">
      <c r="A53" s="388">
        <v>46087</v>
      </c>
      <c r="B53" s="362" t="s">
        <v>501</v>
      </c>
      <c r="C53" s="363" t="s">
        <v>519</v>
      </c>
      <c r="D53" s="355" t="s">
        <v>40</v>
      </c>
      <c r="E53" s="355" t="s">
        <v>647</v>
      </c>
      <c r="F53" s="355" t="s">
        <v>648</v>
      </c>
      <c r="G53" s="355" t="s">
        <v>649</v>
      </c>
      <c r="H53" s="355" t="s">
        <v>541</v>
      </c>
      <c r="I53" s="355"/>
      <c r="J53" s="355"/>
      <c r="K53" s="355"/>
      <c r="L53" s="355"/>
      <c r="M53" s="355"/>
      <c r="N53" s="355"/>
      <c r="O53" s="355"/>
      <c r="P53" s="355"/>
      <c r="Q53" s="355">
        <v>1</v>
      </c>
      <c r="R53" s="355"/>
      <c r="S53" s="355"/>
      <c r="T53" s="355"/>
      <c r="U53" s="355"/>
      <c r="V53" s="355"/>
      <c r="W53" s="355"/>
      <c r="X53" s="355"/>
      <c r="Y53" s="355"/>
      <c r="Z53" s="355"/>
      <c r="AA53" s="355" t="s">
        <v>511</v>
      </c>
      <c r="AB53" s="355">
        <v>30</v>
      </c>
      <c r="AC53" s="355">
        <v>20</v>
      </c>
      <c r="AD53" s="355">
        <v>10</v>
      </c>
      <c r="AE53" s="355">
        <v>20</v>
      </c>
      <c r="AF53" s="431">
        <f t="shared" si="1"/>
        <v>80</v>
      </c>
    </row>
    <row r="54" spans="1:32" ht="94.5" customHeight="1" x14ac:dyDescent="0.25">
      <c r="A54" s="388">
        <v>46090</v>
      </c>
      <c r="B54" s="362" t="s">
        <v>269</v>
      </c>
      <c r="C54" s="363" t="s">
        <v>508</v>
      </c>
      <c r="D54" s="355" t="s">
        <v>40</v>
      </c>
      <c r="E54" s="355" t="s">
        <v>650</v>
      </c>
      <c r="F54" s="355" t="s">
        <v>563</v>
      </c>
      <c r="G54" s="355" t="s">
        <v>651</v>
      </c>
      <c r="H54" s="355" t="s">
        <v>652</v>
      </c>
      <c r="I54" s="355"/>
      <c r="J54" s="355"/>
      <c r="K54" s="355"/>
      <c r="L54" s="355"/>
      <c r="M54" s="355">
        <v>1</v>
      </c>
      <c r="N54" s="355"/>
      <c r="O54" s="355"/>
      <c r="P54" s="355"/>
      <c r="Q54" s="355"/>
      <c r="R54" s="355"/>
      <c r="S54" s="355"/>
      <c r="T54" s="355"/>
      <c r="U54" s="355"/>
      <c r="V54" s="355"/>
      <c r="W54" s="355"/>
      <c r="X54" s="355"/>
      <c r="Y54" s="355"/>
      <c r="Z54" s="355"/>
      <c r="AA54" s="355" t="s">
        <v>511</v>
      </c>
      <c r="AB54" s="355">
        <v>10</v>
      </c>
      <c r="AC54" s="355">
        <v>20</v>
      </c>
      <c r="AD54" s="355">
        <v>0</v>
      </c>
      <c r="AE54" s="355">
        <v>30</v>
      </c>
      <c r="AF54" s="431">
        <f t="shared" si="1"/>
        <v>60</v>
      </c>
    </row>
    <row r="55" spans="1:32" ht="108" customHeight="1" x14ac:dyDescent="0.25">
      <c r="A55" s="388">
        <v>46091</v>
      </c>
      <c r="B55" s="362" t="s">
        <v>159</v>
      </c>
      <c r="C55" s="363" t="s">
        <v>519</v>
      </c>
      <c r="D55" s="355" t="s">
        <v>40</v>
      </c>
      <c r="E55" s="355" t="s">
        <v>653</v>
      </c>
      <c r="F55" s="355" t="s">
        <v>589</v>
      </c>
      <c r="G55" s="355" t="s">
        <v>654</v>
      </c>
      <c r="H55" s="355" t="s">
        <v>655</v>
      </c>
      <c r="I55" s="355"/>
      <c r="J55" s="355"/>
      <c r="K55" s="355"/>
      <c r="L55" s="355"/>
      <c r="M55" s="355"/>
      <c r="N55" s="355"/>
      <c r="O55" s="355"/>
      <c r="P55" s="355">
        <v>1</v>
      </c>
      <c r="Q55" s="355"/>
      <c r="R55" s="355"/>
      <c r="S55" s="355"/>
      <c r="T55" s="355"/>
      <c r="U55" s="355"/>
      <c r="V55" s="355"/>
      <c r="W55" s="355"/>
      <c r="X55" s="355"/>
      <c r="Y55" s="355"/>
      <c r="Z55" s="355"/>
      <c r="AA55" s="355" t="s">
        <v>511</v>
      </c>
      <c r="AB55" s="355">
        <v>10</v>
      </c>
      <c r="AC55" s="355">
        <v>10</v>
      </c>
      <c r="AD55" s="355">
        <v>0</v>
      </c>
      <c r="AE55" s="355">
        <v>30</v>
      </c>
      <c r="AF55" s="431">
        <f t="shared" si="1"/>
        <v>50</v>
      </c>
    </row>
    <row r="56" spans="1:32" ht="189" customHeight="1" x14ac:dyDescent="0.25">
      <c r="A56" s="388">
        <v>46091</v>
      </c>
      <c r="B56" s="362" t="s">
        <v>159</v>
      </c>
      <c r="C56" s="363" t="s">
        <v>519</v>
      </c>
      <c r="D56" s="355" t="s">
        <v>40</v>
      </c>
      <c r="E56" s="355" t="s">
        <v>656</v>
      </c>
      <c r="F56" s="355" t="s">
        <v>589</v>
      </c>
      <c r="G56" s="355" t="s">
        <v>657</v>
      </c>
      <c r="H56" s="355" t="s">
        <v>655</v>
      </c>
      <c r="I56" s="355"/>
      <c r="J56" s="355"/>
      <c r="K56" s="355"/>
      <c r="L56" s="355"/>
      <c r="M56" s="355">
        <v>1</v>
      </c>
      <c r="N56" s="355"/>
      <c r="O56" s="355"/>
      <c r="P56" s="355"/>
      <c r="Q56" s="355"/>
      <c r="R56" s="355"/>
      <c r="S56" s="355"/>
      <c r="T56" s="355"/>
      <c r="U56" s="355"/>
      <c r="V56" s="355"/>
      <c r="W56" s="355"/>
      <c r="X56" s="355"/>
      <c r="Y56" s="355"/>
      <c r="Z56" s="355"/>
      <c r="AA56" s="355" t="s">
        <v>511</v>
      </c>
      <c r="AB56" s="355">
        <v>50</v>
      </c>
      <c r="AC56" s="355">
        <v>10</v>
      </c>
      <c r="AD56" s="355">
        <v>0</v>
      </c>
      <c r="AE56" s="355">
        <v>30</v>
      </c>
      <c r="AF56" s="431">
        <f t="shared" si="1"/>
        <v>90</v>
      </c>
    </row>
    <row r="57" spans="1:32" ht="81" x14ac:dyDescent="0.25">
      <c r="A57" s="388">
        <v>46091</v>
      </c>
      <c r="B57" s="354" t="s">
        <v>109</v>
      </c>
      <c r="C57" s="363" t="s">
        <v>519</v>
      </c>
      <c r="D57" s="355" t="s">
        <v>40</v>
      </c>
      <c r="E57" s="355" t="s">
        <v>658</v>
      </c>
      <c r="F57" s="355" t="s">
        <v>108</v>
      </c>
      <c r="G57" s="355" t="s">
        <v>659</v>
      </c>
      <c r="H57" s="355" t="s">
        <v>393</v>
      </c>
      <c r="I57" s="355"/>
      <c r="J57" s="355"/>
      <c r="K57" s="355"/>
      <c r="L57" s="355"/>
      <c r="M57" s="355"/>
      <c r="N57" s="355"/>
      <c r="O57" s="355"/>
      <c r="P57" s="355"/>
      <c r="Q57" s="355"/>
      <c r="R57" s="355"/>
      <c r="S57" s="355"/>
      <c r="T57" s="355"/>
      <c r="U57" s="355"/>
      <c r="V57" s="355"/>
      <c r="W57" s="355"/>
      <c r="X57" s="355"/>
      <c r="Y57" s="355">
        <v>1</v>
      </c>
      <c r="Z57" s="355"/>
      <c r="AA57" s="355" t="s">
        <v>511</v>
      </c>
      <c r="AB57" s="355">
        <v>10</v>
      </c>
      <c r="AC57" s="355">
        <v>20</v>
      </c>
      <c r="AD57" s="355">
        <v>20</v>
      </c>
      <c r="AE57" s="355">
        <v>30</v>
      </c>
      <c r="AF57" s="431">
        <f t="shared" si="1"/>
        <v>80</v>
      </c>
    </row>
    <row r="58" spans="1:32" ht="81" customHeight="1" x14ac:dyDescent="0.25">
      <c r="A58" s="388">
        <v>46094</v>
      </c>
      <c r="B58" s="362" t="s">
        <v>100</v>
      </c>
      <c r="C58" s="363" t="s">
        <v>508</v>
      </c>
      <c r="D58" s="355" t="s">
        <v>40</v>
      </c>
      <c r="E58" s="355" t="s">
        <v>660</v>
      </c>
      <c r="F58" s="355" t="s">
        <v>661</v>
      </c>
      <c r="G58" s="355" t="s">
        <v>662</v>
      </c>
      <c r="H58" s="355" t="s">
        <v>663</v>
      </c>
      <c r="I58" s="355"/>
      <c r="J58" s="355"/>
      <c r="K58" s="355"/>
      <c r="L58" s="355">
        <v>1</v>
      </c>
      <c r="M58" s="355"/>
      <c r="N58" s="355"/>
      <c r="O58" s="355">
        <v>1</v>
      </c>
      <c r="P58" s="355"/>
      <c r="Q58" s="355"/>
      <c r="R58" s="355"/>
      <c r="S58" s="355"/>
      <c r="T58" s="355"/>
      <c r="U58" s="355"/>
      <c r="V58" s="355"/>
      <c r="W58" s="355"/>
      <c r="X58" s="355"/>
      <c r="Y58" s="355"/>
      <c r="Z58" s="355"/>
      <c r="AA58" s="355" t="s">
        <v>511</v>
      </c>
      <c r="AB58" s="355">
        <v>10</v>
      </c>
      <c r="AC58" s="355">
        <v>10</v>
      </c>
      <c r="AD58" s="355">
        <v>0</v>
      </c>
      <c r="AE58" s="355">
        <v>50</v>
      </c>
      <c r="AF58" s="459">
        <f t="shared" si="1"/>
        <v>70</v>
      </c>
    </row>
    <row r="59" spans="1:32" ht="54" customHeight="1" x14ac:dyDescent="0.25">
      <c r="A59" s="388">
        <v>46097</v>
      </c>
      <c r="B59" s="362" t="s">
        <v>109</v>
      </c>
      <c r="C59" s="363" t="s">
        <v>519</v>
      </c>
      <c r="D59" s="355" t="s">
        <v>41</v>
      </c>
      <c r="E59" s="355" t="s">
        <v>664</v>
      </c>
      <c r="F59" s="355" t="s">
        <v>578</v>
      </c>
      <c r="G59" s="355" t="s">
        <v>665</v>
      </c>
      <c r="H59" s="355" t="s">
        <v>278</v>
      </c>
      <c r="I59" s="355"/>
      <c r="J59" s="355"/>
      <c r="K59" s="355"/>
      <c r="L59" s="355"/>
      <c r="M59" s="355"/>
      <c r="N59" s="355"/>
      <c r="O59" s="355"/>
      <c r="P59" s="355"/>
      <c r="Q59" s="355">
        <v>1</v>
      </c>
      <c r="R59" s="355"/>
      <c r="S59" s="355"/>
      <c r="T59" s="355"/>
      <c r="U59" s="355"/>
      <c r="V59" s="355"/>
      <c r="W59" s="355"/>
      <c r="X59" s="355"/>
      <c r="Y59" s="355"/>
      <c r="Z59" s="355"/>
      <c r="AA59" s="355" t="s">
        <v>544</v>
      </c>
      <c r="AB59" s="355">
        <v>50</v>
      </c>
      <c r="AC59" s="355">
        <v>10</v>
      </c>
      <c r="AD59" s="355">
        <v>0</v>
      </c>
      <c r="AE59" s="355">
        <v>40</v>
      </c>
      <c r="AF59" s="431">
        <f t="shared" si="1"/>
        <v>100</v>
      </c>
    </row>
    <row r="60" spans="1:32" ht="67.5" x14ac:dyDescent="0.25">
      <c r="A60" s="388">
        <v>46097</v>
      </c>
      <c r="B60" s="362" t="s">
        <v>54</v>
      </c>
      <c r="C60" s="363" t="s">
        <v>519</v>
      </c>
      <c r="D60" s="355" t="s">
        <v>40</v>
      </c>
      <c r="E60" s="355" t="s">
        <v>666</v>
      </c>
      <c r="F60" s="355" t="s">
        <v>667</v>
      </c>
      <c r="G60" s="355" t="s">
        <v>668</v>
      </c>
      <c r="H60" s="355" t="s">
        <v>255</v>
      </c>
      <c r="I60" s="355"/>
      <c r="J60" s="355"/>
      <c r="K60" s="355"/>
      <c r="L60" s="355"/>
      <c r="M60" s="355"/>
      <c r="N60" s="355"/>
      <c r="O60" s="355"/>
      <c r="P60" s="355"/>
      <c r="Q60" s="355"/>
      <c r="R60" s="355"/>
      <c r="S60" s="355"/>
      <c r="T60" s="355"/>
      <c r="U60" s="355"/>
      <c r="V60" s="355"/>
      <c r="W60" s="355"/>
      <c r="X60" s="355"/>
      <c r="Y60" s="355"/>
      <c r="Z60" s="355"/>
      <c r="AA60" s="355" t="s">
        <v>511</v>
      </c>
      <c r="AB60" s="355">
        <v>30</v>
      </c>
      <c r="AC60" s="355">
        <v>10</v>
      </c>
      <c r="AD60" s="355">
        <v>0</v>
      </c>
      <c r="AE60" s="355">
        <v>40</v>
      </c>
      <c r="AF60" s="431">
        <f t="shared" si="1"/>
        <v>80</v>
      </c>
    </row>
    <row r="61" spans="1:32" ht="54" customHeight="1" x14ac:dyDescent="0.25">
      <c r="A61" s="388">
        <v>46098</v>
      </c>
      <c r="B61" s="362" t="s">
        <v>192</v>
      </c>
      <c r="C61" s="363" t="s">
        <v>519</v>
      </c>
      <c r="D61" s="355" t="s">
        <v>40</v>
      </c>
      <c r="E61" s="355" t="s">
        <v>669</v>
      </c>
      <c r="F61" s="355" t="s">
        <v>670</v>
      </c>
      <c r="G61" s="355" t="s">
        <v>671</v>
      </c>
      <c r="H61" s="355" t="s">
        <v>280</v>
      </c>
      <c r="I61" s="355"/>
      <c r="J61" s="355"/>
      <c r="K61" s="355"/>
      <c r="L61" s="355"/>
      <c r="M61" s="355">
        <v>1</v>
      </c>
      <c r="N61" s="355"/>
      <c r="O61" s="355"/>
      <c r="P61" s="355"/>
      <c r="Q61" s="355">
        <v>1</v>
      </c>
      <c r="R61" s="355"/>
      <c r="S61" s="355"/>
      <c r="T61" s="355"/>
      <c r="U61" s="355"/>
      <c r="V61" s="355"/>
      <c r="W61" s="355"/>
      <c r="X61" s="355"/>
      <c r="Y61" s="355"/>
      <c r="Z61" s="355"/>
      <c r="AA61" s="355" t="s">
        <v>511</v>
      </c>
      <c r="AB61" s="355">
        <v>30</v>
      </c>
      <c r="AC61" s="355">
        <v>20</v>
      </c>
      <c r="AD61" s="355">
        <v>0</v>
      </c>
      <c r="AE61" s="355">
        <v>30</v>
      </c>
      <c r="AF61" s="431">
        <f t="shared" si="1"/>
        <v>80</v>
      </c>
    </row>
    <row r="62" spans="1:32" ht="81" x14ac:dyDescent="0.25">
      <c r="A62" s="388">
        <v>46098</v>
      </c>
      <c r="B62" s="362" t="s">
        <v>100</v>
      </c>
      <c r="C62" s="363" t="s">
        <v>519</v>
      </c>
      <c r="D62" s="355" t="s">
        <v>40</v>
      </c>
      <c r="E62" s="355" t="s">
        <v>672</v>
      </c>
      <c r="F62" s="355" t="s">
        <v>673</v>
      </c>
      <c r="G62" s="355" t="s">
        <v>674</v>
      </c>
      <c r="H62" s="355" t="s">
        <v>200</v>
      </c>
      <c r="I62" s="355"/>
      <c r="J62" s="355"/>
      <c r="K62" s="355"/>
      <c r="L62" s="355"/>
      <c r="M62" s="355"/>
      <c r="N62" s="355"/>
      <c r="O62" s="355"/>
      <c r="P62" s="355"/>
      <c r="Q62" s="355">
        <v>1</v>
      </c>
      <c r="R62" s="355"/>
      <c r="S62" s="355"/>
      <c r="T62" s="355"/>
      <c r="U62" s="355"/>
      <c r="V62" s="355"/>
      <c r="W62" s="355"/>
      <c r="X62" s="355"/>
      <c r="Y62" s="355"/>
      <c r="Z62" s="355"/>
      <c r="AA62" s="355" t="s">
        <v>511</v>
      </c>
      <c r="AB62" s="355">
        <v>10</v>
      </c>
      <c r="AC62" s="355">
        <v>20</v>
      </c>
      <c r="AD62" s="355">
        <v>10</v>
      </c>
      <c r="AE62" s="355">
        <v>50</v>
      </c>
      <c r="AF62" s="431">
        <f t="shared" si="1"/>
        <v>90</v>
      </c>
    </row>
    <row r="63" spans="1:32" ht="67.5" customHeight="1" x14ac:dyDescent="0.25">
      <c r="A63" s="388">
        <v>46099</v>
      </c>
      <c r="B63" s="362" t="s">
        <v>109</v>
      </c>
      <c r="C63" s="363" t="s">
        <v>508</v>
      </c>
      <c r="D63" s="355" t="s">
        <v>40</v>
      </c>
      <c r="E63" s="355" t="s">
        <v>675</v>
      </c>
      <c r="F63" s="355" t="s">
        <v>108</v>
      </c>
      <c r="G63" s="355" t="s">
        <v>676</v>
      </c>
      <c r="H63" s="355" t="s">
        <v>233</v>
      </c>
      <c r="I63" s="355">
        <v>1</v>
      </c>
      <c r="J63" s="355"/>
      <c r="K63" s="355"/>
      <c r="L63" s="355"/>
      <c r="M63" s="355"/>
      <c r="N63" s="355"/>
      <c r="O63" s="355"/>
      <c r="P63" s="355"/>
      <c r="Q63" s="355"/>
      <c r="R63" s="355"/>
      <c r="S63" s="355"/>
      <c r="T63" s="355"/>
      <c r="U63" s="355"/>
      <c r="V63" s="355"/>
      <c r="W63" s="355"/>
      <c r="X63" s="355"/>
      <c r="Y63" s="355"/>
      <c r="Z63" s="355"/>
      <c r="AA63" s="355" t="s">
        <v>511</v>
      </c>
      <c r="AB63" s="355">
        <v>10</v>
      </c>
      <c r="AC63" s="355">
        <v>20</v>
      </c>
      <c r="AD63" s="355">
        <v>0</v>
      </c>
      <c r="AE63" s="355">
        <v>30</v>
      </c>
      <c r="AF63" s="431">
        <f t="shared" si="1"/>
        <v>60</v>
      </c>
    </row>
    <row r="64" spans="1:32" ht="54" customHeight="1" x14ac:dyDescent="0.25">
      <c r="A64" s="388">
        <v>46101</v>
      </c>
      <c r="B64" s="362" t="s">
        <v>159</v>
      </c>
      <c r="C64" s="363" t="s">
        <v>508</v>
      </c>
      <c r="D64" s="355" t="s">
        <v>40</v>
      </c>
      <c r="E64" s="355" t="s">
        <v>677</v>
      </c>
      <c r="F64" s="355" t="s">
        <v>93</v>
      </c>
      <c r="G64" s="355" t="s">
        <v>678</v>
      </c>
      <c r="H64" s="355" t="s">
        <v>679</v>
      </c>
      <c r="I64" s="355"/>
      <c r="J64" s="355"/>
      <c r="K64" s="355"/>
      <c r="L64" s="355"/>
      <c r="M64" s="355"/>
      <c r="N64" s="355"/>
      <c r="O64" s="355"/>
      <c r="P64" s="355">
        <v>1</v>
      </c>
      <c r="Q64" s="355"/>
      <c r="R64" s="355"/>
      <c r="S64" s="355"/>
      <c r="T64" s="355"/>
      <c r="U64" s="355"/>
      <c r="V64" s="355"/>
      <c r="W64" s="355"/>
      <c r="X64" s="355"/>
      <c r="Y64" s="355"/>
      <c r="Z64" s="355"/>
      <c r="AA64" s="355" t="s">
        <v>511</v>
      </c>
      <c r="AB64" s="355">
        <v>10</v>
      </c>
      <c r="AC64" s="355">
        <v>20</v>
      </c>
      <c r="AD64" s="355">
        <v>0</v>
      </c>
      <c r="AE64" s="355">
        <v>50</v>
      </c>
      <c r="AF64" s="431">
        <f t="shared" si="1"/>
        <v>80</v>
      </c>
    </row>
    <row r="65" spans="1:32" ht="108" customHeight="1" x14ac:dyDescent="0.25">
      <c r="A65" s="388">
        <v>46101</v>
      </c>
      <c r="B65" s="362" t="s">
        <v>159</v>
      </c>
      <c r="C65" s="363" t="s">
        <v>519</v>
      </c>
      <c r="D65" s="355" t="s">
        <v>40</v>
      </c>
      <c r="E65" s="355" t="s">
        <v>680</v>
      </c>
      <c r="F65" s="355" t="s">
        <v>93</v>
      </c>
      <c r="G65" s="355" t="s">
        <v>681</v>
      </c>
      <c r="H65" s="355" t="s">
        <v>679</v>
      </c>
      <c r="I65" s="355"/>
      <c r="J65" s="355"/>
      <c r="K65" s="355"/>
      <c r="L65" s="355"/>
      <c r="M65" s="355"/>
      <c r="N65" s="355"/>
      <c r="O65" s="355"/>
      <c r="P65" s="355">
        <v>1</v>
      </c>
      <c r="Q65" s="355"/>
      <c r="R65" s="355"/>
      <c r="S65" s="355"/>
      <c r="T65" s="355"/>
      <c r="U65" s="355"/>
      <c r="V65" s="355"/>
      <c r="W65" s="355"/>
      <c r="X65" s="355"/>
      <c r="Y65" s="355">
        <v>1</v>
      </c>
      <c r="Z65" s="355"/>
      <c r="AA65" s="355" t="s">
        <v>511</v>
      </c>
      <c r="AB65" s="355">
        <v>10</v>
      </c>
      <c r="AC65" s="355">
        <v>20</v>
      </c>
      <c r="AD65" s="355">
        <v>0</v>
      </c>
      <c r="AE65" s="355">
        <v>40</v>
      </c>
      <c r="AF65" s="431">
        <f t="shared" si="1"/>
        <v>70</v>
      </c>
    </row>
    <row r="66" spans="1:32" ht="54" x14ac:dyDescent="0.25">
      <c r="A66" s="388">
        <v>46101</v>
      </c>
      <c r="B66" s="362" t="s">
        <v>54</v>
      </c>
      <c r="C66" s="363" t="s">
        <v>508</v>
      </c>
      <c r="D66" s="355" t="s">
        <v>40</v>
      </c>
      <c r="E66" s="355" t="s">
        <v>682</v>
      </c>
      <c r="F66" s="355" t="s">
        <v>548</v>
      </c>
      <c r="G66" s="355" t="s">
        <v>683</v>
      </c>
      <c r="H66" s="355" t="s">
        <v>207</v>
      </c>
      <c r="I66" s="355"/>
      <c r="J66" s="355"/>
      <c r="K66" s="355"/>
      <c r="L66" s="355"/>
      <c r="M66" s="355"/>
      <c r="N66" s="355"/>
      <c r="O66" s="355"/>
      <c r="P66" s="355"/>
      <c r="Q66" s="355"/>
      <c r="R66" s="355"/>
      <c r="S66" s="355"/>
      <c r="T66" s="355"/>
      <c r="U66" s="355"/>
      <c r="V66" s="355"/>
      <c r="W66" s="355"/>
      <c r="X66" s="355"/>
      <c r="Y66" s="355">
        <v>1</v>
      </c>
      <c r="Z66" s="355"/>
      <c r="AA66" s="355" t="s">
        <v>511</v>
      </c>
      <c r="AB66" s="355">
        <v>10</v>
      </c>
      <c r="AC66" s="355">
        <v>30</v>
      </c>
      <c r="AD66" s="355">
        <v>30</v>
      </c>
      <c r="AE66" s="355">
        <v>40</v>
      </c>
      <c r="AF66" s="431">
        <f t="shared" si="1"/>
        <v>110</v>
      </c>
    </row>
    <row r="67" spans="1:32" ht="54" x14ac:dyDescent="0.25">
      <c r="A67" s="388">
        <v>46104</v>
      </c>
      <c r="B67" s="362" t="s">
        <v>159</v>
      </c>
      <c r="C67" s="363" t="s">
        <v>508</v>
      </c>
      <c r="D67" s="355" t="s">
        <v>40</v>
      </c>
      <c r="E67" s="355" t="s">
        <v>684</v>
      </c>
      <c r="F67" s="355" t="s">
        <v>685</v>
      </c>
      <c r="G67" s="355" t="s">
        <v>686</v>
      </c>
      <c r="H67" s="355" t="s">
        <v>365</v>
      </c>
      <c r="I67" s="355"/>
      <c r="J67" s="355"/>
      <c r="K67" s="355"/>
      <c r="L67" s="355"/>
      <c r="M67" s="355"/>
      <c r="N67" s="355"/>
      <c r="O67" s="355"/>
      <c r="P67" s="355"/>
      <c r="Q67" s="355"/>
      <c r="R67" s="355"/>
      <c r="S67" s="355"/>
      <c r="T67" s="355"/>
      <c r="U67" s="355"/>
      <c r="V67" s="355"/>
      <c r="W67" s="355"/>
      <c r="X67" s="355"/>
      <c r="Y67" s="355">
        <v>1</v>
      </c>
      <c r="Z67" s="355"/>
      <c r="AA67" s="355" t="s">
        <v>511</v>
      </c>
      <c r="AB67" s="355">
        <v>10</v>
      </c>
      <c r="AC67" s="355">
        <v>20</v>
      </c>
      <c r="AD67" s="355">
        <v>30</v>
      </c>
      <c r="AE67" s="355">
        <v>40</v>
      </c>
      <c r="AF67" s="431">
        <f t="shared" ref="AF67:AF98" si="2">SUM(AB67:AE67)</f>
        <v>100</v>
      </c>
    </row>
    <row r="68" spans="1:32" ht="54" x14ac:dyDescent="0.25">
      <c r="A68" s="388">
        <v>46104</v>
      </c>
      <c r="B68" s="362" t="s">
        <v>100</v>
      </c>
      <c r="C68" s="363" t="s">
        <v>519</v>
      </c>
      <c r="D68" s="355" t="s">
        <v>40</v>
      </c>
      <c r="E68" s="355" t="s">
        <v>687</v>
      </c>
      <c r="F68" s="355" t="s">
        <v>617</v>
      </c>
      <c r="G68" s="355" t="s">
        <v>688</v>
      </c>
      <c r="H68" s="355" t="s">
        <v>286</v>
      </c>
      <c r="I68" s="355"/>
      <c r="J68" s="355"/>
      <c r="K68" s="355"/>
      <c r="L68" s="355">
        <v>1</v>
      </c>
      <c r="M68" s="355"/>
      <c r="N68" s="355"/>
      <c r="O68" s="355"/>
      <c r="P68" s="355"/>
      <c r="Q68" s="355"/>
      <c r="R68" s="355"/>
      <c r="S68" s="355"/>
      <c r="T68" s="355"/>
      <c r="U68" s="355"/>
      <c r="V68" s="355"/>
      <c r="W68" s="355"/>
      <c r="X68" s="355"/>
      <c r="Y68" s="355"/>
      <c r="Z68" s="355"/>
      <c r="AA68" s="355" t="s">
        <v>511</v>
      </c>
      <c r="AB68" s="355">
        <v>10</v>
      </c>
      <c r="AC68" s="355">
        <v>10</v>
      </c>
      <c r="AD68" s="355">
        <v>10</v>
      </c>
      <c r="AE68" s="355">
        <v>40</v>
      </c>
      <c r="AF68" s="431">
        <f t="shared" si="2"/>
        <v>70</v>
      </c>
    </row>
    <row r="69" spans="1:32" ht="54" x14ac:dyDescent="0.25">
      <c r="A69" s="388">
        <v>46105</v>
      </c>
      <c r="B69" s="354" t="s">
        <v>54</v>
      </c>
      <c r="C69" s="363" t="s">
        <v>508</v>
      </c>
      <c r="D69" s="355" t="s">
        <v>40</v>
      </c>
      <c r="E69" s="355" t="s">
        <v>689</v>
      </c>
      <c r="F69" s="355" t="s">
        <v>104</v>
      </c>
      <c r="G69" s="355" t="s">
        <v>690</v>
      </c>
      <c r="H69" s="355" t="s">
        <v>349</v>
      </c>
      <c r="I69" s="355"/>
      <c r="J69" s="355"/>
      <c r="K69" s="355"/>
      <c r="L69" s="355"/>
      <c r="M69" s="355"/>
      <c r="N69" s="355"/>
      <c r="O69" s="355"/>
      <c r="P69" s="355"/>
      <c r="Q69" s="355"/>
      <c r="R69" s="355"/>
      <c r="S69" s="355"/>
      <c r="T69" s="355"/>
      <c r="U69" s="355"/>
      <c r="V69" s="355"/>
      <c r="W69" s="355"/>
      <c r="X69" s="355"/>
      <c r="Y69" s="355">
        <v>1</v>
      </c>
      <c r="Z69" s="355"/>
      <c r="AA69" s="355" t="s">
        <v>511</v>
      </c>
      <c r="AB69" s="355">
        <v>10</v>
      </c>
      <c r="AC69" s="355">
        <v>30</v>
      </c>
      <c r="AD69" s="355">
        <v>30</v>
      </c>
      <c r="AE69" s="355">
        <v>40</v>
      </c>
      <c r="AF69" s="431">
        <f t="shared" si="2"/>
        <v>110</v>
      </c>
    </row>
    <row r="70" spans="1:32" ht="67.5" x14ac:dyDescent="0.25">
      <c r="A70" s="388">
        <v>46106</v>
      </c>
      <c r="B70" s="354" t="s">
        <v>159</v>
      </c>
      <c r="C70" s="363" t="s">
        <v>519</v>
      </c>
      <c r="D70" s="355" t="s">
        <v>40</v>
      </c>
      <c r="E70" s="355" t="s">
        <v>691</v>
      </c>
      <c r="F70" s="355" t="s">
        <v>692</v>
      </c>
      <c r="G70" s="355" t="s">
        <v>693</v>
      </c>
      <c r="H70" s="355" t="s">
        <v>694</v>
      </c>
      <c r="I70" s="355"/>
      <c r="J70" s="355"/>
      <c r="K70" s="355"/>
      <c r="L70" s="355">
        <v>1</v>
      </c>
      <c r="M70" s="355"/>
      <c r="N70" s="355"/>
      <c r="O70" s="355"/>
      <c r="P70" s="355"/>
      <c r="Q70" s="355"/>
      <c r="R70" s="355"/>
      <c r="S70" s="355"/>
      <c r="T70" s="355"/>
      <c r="U70" s="355">
        <v>1</v>
      </c>
      <c r="V70" s="355"/>
      <c r="W70" s="355"/>
      <c r="X70" s="355"/>
      <c r="Y70" s="355"/>
      <c r="Z70" s="355"/>
      <c r="AA70" s="355" t="s">
        <v>511</v>
      </c>
      <c r="AB70" s="355">
        <v>10</v>
      </c>
      <c r="AC70" s="355">
        <v>20</v>
      </c>
      <c r="AD70" s="355">
        <v>0</v>
      </c>
      <c r="AE70" s="355">
        <v>30</v>
      </c>
      <c r="AF70" s="431">
        <f t="shared" si="2"/>
        <v>60</v>
      </c>
    </row>
    <row r="71" spans="1:32" ht="67.5" x14ac:dyDescent="0.25">
      <c r="A71" s="388">
        <v>46106</v>
      </c>
      <c r="B71" s="362" t="s">
        <v>109</v>
      </c>
      <c r="C71" s="363" t="s">
        <v>519</v>
      </c>
      <c r="D71" s="355" t="s">
        <v>40</v>
      </c>
      <c r="E71" s="355" t="s">
        <v>695</v>
      </c>
      <c r="F71" s="355" t="s">
        <v>108</v>
      </c>
      <c r="G71" s="355" t="s">
        <v>696</v>
      </c>
      <c r="H71" s="355" t="s">
        <v>393</v>
      </c>
      <c r="I71" s="355"/>
      <c r="J71" s="355"/>
      <c r="K71" s="355"/>
      <c r="L71" s="355"/>
      <c r="M71" s="355"/>
      <c r="N71" s="355"/>
      <c r="O71" s="355"/>
      <c r="P71" s="355"/>
      <c r="Q71" s="355">
        <v>1</v>
      </c>
      <c r="R71" s="355"/>
      <c r="S71" s="355"/>
      <c r="T71" s="355"/>
      <c r="U71" s="355"/>
      <c r="V71" s="355"/>
      <c r="W71" s="355"/>
      <c r="X71" s="355"/>
      <c r="Y71" s="355"/>
      <c r="Z71" s="355"/>
      <c r="AA71" s="355" t="s">
        <v>511</v>
      </c>
      <c r="AB71" s="355">
        <v>30</v>
      </c>
      <c r="AC71" s="355">
        <v>20</v>
      </c>
      <c r="AD71" s="355">
        <v>10</v>
      </c>
      <c r="AE71" s="355">
        <v>40</v>
      </c>
      <c r="AF71" s="431">
        <f t="shared" si="2"/>
        <v>100</v>
      </c>
    </row>
    <row r="72" spans="1:32" ht="54" x14ac:dyDescent="0.25">
      <c r="A72" s="388">
        <v>46107</v>
      </c>
      <c r="B72" s="362" t="s">
        <v>159</v>
      </c>
      <c r="C72" s="363" t="s">
        <v>519</v>
      </c>
      <c r="D72" s="355" t="s">
        <v>40</v>
      </c>
      <c r="E72" s="355" t="s">
        <v>697</v>
      </c>
      <c r="F72" s="355" t="s">
        <v>589</v>
      </c>
      <c r="G72" s="355" t="s">
        <v>698</v>
      </c>
      <c r="H72" s="355" t="s">
        <v>699</v>
      </c>
      <c r="I72" s="355">
        <v>1</v>
      </c>
      <c r="J72" s="355"/>
      <c r="K72" s="355"/>
      <c r="L72" s="355"/>
      <c r="M72" s="355"/>
      <c r="N72" s="355"/>
      <c r="O72" s="355"/>
      <c r="P72" s="355"/>
      <c r="Q72" s="355"/>
      <c r="R72" s="355"/>
      <c r="S72" s="355"/>
      <c r="T72" s="355"/>
      <c r="U72" s="355"/>
      <c r="V72" s="355"/>
      <c r="W72" s="355"/>
      <c r="X72" s="355"/>
      <c r="Y72" s="355">
        <v>1</v>
      </c>
      <c r="Z72" s="355"/>
      <c r="AA72" s="355" t="s">
        <v>511</v>
      </c>
      <c r="AB72" s="355">
        <v>10</v>
      </c>
      <c r="AC72" s="355">
        <v>30</v>
      </c>
      <c r="AD72" s="355">
        <v>0</v>
      </c>
      <c r="AE72" s="355">
        <v>20</v>
      </c>
      <c r="AF72" s="431">
        <f t="shared" si="2"/>
        <v>60</v>
      </c>
    </row>
    <row r="73" spans="1:32" ht="27" x14ac:dyDescent="0.25">
      <c r="A73" s="388">
        <v>46108</v>
      </c>
      <c r="B73" s="354" t="s">
        <v>100</v>
      </c>
      <c r="C73" s="363" t="s">
        <v>519</v>
      </c>
      <c r="D73" s="355" t="s">
        <v>40</v>
      </c>
      <c r="E73" s="355" t="s">
        <v>700</v>
      </c>
      <c r="F73" s="355" t="s">
        <v>603</v>
      </c>
      <c r="G73" s="355" t="s">
        <v>701</v>
      </c>
      <c r="H73" s="355" t="s">
        <v>170</v>
      </c>
      <c r="I73" s="355"/>
      <c r="J73" s="355"/>
      <c r="K73" s="355"/>
      <c r="L73" s="355">
        <v>1</v>
      </c>
      <c r="M73" s="355"/>
      <c r="N73" s="355"/>
      <c r="O73" s="355"/>
      <c r="P73" s="355"/>
      <c r="Q73" s="355"/>
      <c r="R73" s="355"/>
      <c r="S73" s="355"/>
      <c r="T73" s="355"/>
      <c r="U73" s="355"/>
      <c r="V73" s="355"/>
      <c r="W73" s="355"/>
      <c r="X73" s="355"/>
      <c r="Y73" s="355"/>
      <c r="Z73" s="355"/>
      <c r="AA73" s="355" t="s">
        <v>511</v>
      </c>
      <c r="AB73" s="355">
        <v>10</v>
      </c>
      <c r="AC73" s="355">
        <v>10</v>
      </c>
      <c r="AD73" s="355">
        <v>0</v>
      </c>
      <c r="AE73" s="355">
        <v>40</v>
      </c>
      <c r="AF73" s="431">
        <f t="shared" si="2"/>
        <v>60</v>
      </c>
    </row>
    <row r="74" spans="1:32" ht="67.5" x14ac:dyDescent="0.25">
      <c r="A74" s="388">
        <v>46108</v>
      </c>
      <c r="B74" s="362" t="s">
        <v>100</v>
      </c>
      <c r="C74" s="363" t="s">
        <v>508</v>
      </c>
      <c r="D74" s="355" t="s">
        <v>40</v>
      </c>
      <c r="E74" s="355" t="s">
        <v>702</v>
      </c>
      <c r="F74" s="355" t="s">
        <v>603</v>
      </c>
      <c r="G74" s="355" t="s">
        <v>703</v>
      </c>
      <c r="H74" s="355" t="s">
        <v>170</v>
      </c>
      <c r="I74" s="355"/>
      <c r="J74" s="355"/>
      <c r="K74" s="355"/>
      <c r="L74" s="355"/>
      <c r="M74" s="355"/>
      <c r="N74" s="355"/>
      <c r="O74" s="355"/>
      <c r="P74" s="355"/>
      <c r="Q74" s="355"/>
      <c r="R74" s="355"/>
      <c r="S74" s="355"/>
      <c r="T74" s="355"/>
      <c r="U74" s="355"/>
      <c r="V74" s="355"/>
      <c r="W74" s="355"/>
      <c r="X74" s="355"/>
      <c r="Y74" s="355">
        <v>1</v>
      </c>
      <c r="Z74" s="355"/>
      <c r="AA74" s="355" t="s">
        <v>511</v>
      </c>
      <c r="AB74" s="355">
        <v>10</v>
      </c>
      <c r="AC74" s="355">
        <v>20</v>
      </c>
      <c r="AD74" s="355">
        <v>0</v>
      </c>
      <c r="AE74" s="355">
        <v>30</v>
      </c>
      <c r="AF74" s="431">
        <f t="shared" si="2"/>
        <v>60</v>
      </c>
    </row>
    <row r="75" spans="1:32" ht="135" x14ac:dyDescent="0.25">
      <c r="A75" s="388">
        <v>46108</v>
      </c>
      <c r="B75" s="362" t="s">
        <v>109</v>
      </c>
      <c r="C75" s="363" t="s">
        <v>519</v>
      </c>
      <c r="D75" s="355" t="s">
        <v>40</v>
      </c>
      <c r="E75" s="355" t="s">
        <v>704</v>
      </c>
      <c r="F75" s="355" t="s">
        <v>108</v>
      </c>
      <c r="G75" s="355" t="s">
        <v>705</v>
      </c>
      <c r="H75" s="355" t="s">
        <v>233</v>
      </c>
      <c r="I75" s="355"/>
      <c r="J75" s="355"/>
      <c r="K75" s="355"/>
      <c r="L75" s="355"/>
      <c r="M75" s="355"/>
      <c r="N75" s="355"/>
      <c r="O75" s="355"/>
      <c r="P75" s="355">
        <v>1</v>
      </c>
      <c r="Q75" s="355"/>
      <c r="R75" s="355"/>
      <c r="S75" s="355"/>
      <c r="T75" s="355"/>
      <c r="U75" s="355"/>
      <c r="V75" s="355"/>
      <c r="W75" s="355"/>
      <c r="X75" s="355"/>
      <c r="Y75" s="355"/>
      <c r="Z75" s="355"/>
      <c r="AA75" s="355" t="s">
        <v>511</v>
      </c>
      <c r="AB75" s="355">
        <v>30</v>
      </c>
      <c r="AC75" s="355">
        <v>20</v>
      </c>
      <c r="AD75" s="355">
        <v>20</v>
      </c>
      <c r="AE75" s="355">
        <v>40</v>
      </c>
      <c r="AF75" s="431">
        <f t="shared" si="2"/>
        <v>110</v>
      </c>
    </row>
    <row r="76" spans="1:32" ht="108" x14ac:dyDescent="0.25">
      <c r="A76" s="388">
        <v>46112</v>
      </c>
      <c r="B76" s="362" t="s">
        <v>501</v>
      </c>
      <c r="C76" s="363" t="s">
        <v>519</v>
      </c>
      <c r="D76" s="355" t="s">
        <v>40</v>
      </c>
      <c r="E76" s="355" t="s">
        <v>706</v>
      </c>
      <c r="F76" s="355" t="s">
        <v>707</v>
      </c>
      <c r="G76" s="355" t="s">
        <v>708</v>
      </c>
      <c r="H76" s="355" t="s">
        <v>259</v>
      </c>
      <c r="I76" s="355"/>
      <c r="J76" s="355"/>
      <c r="K76" s="355"/>
      <c r="L76" s="355"/>
      <c r="M76" s="355"/>
      <c r="N76" s="355"/>
      <c r="O76" s="355"/>
      <c r="P76" s="355"/>
      <c r="Q76" s="355">
        <v>1</v>
      </c>
      <c r="R76" s="355"/>
      <c r="S76" s="355"/>
      <c r="T76" s="355"/>
      <c r="U76" s="355"/>
      <c r="V76" s="355"/>
      <c r="W76" s="355"/>
      <c r="X76" s="355"/>
      <c r="Y76" s="355"/>
      <c r="Z76" s="355"/>
      <c r="AA76" s="355" t="s">
        <v>511</v>
      </c>
      <c r="AB76" s="355">
        <v>10</v>
      </c>
      <c r="AC76" s="355">
        <v>20</v>
      </c>
      <c r="AD76" s="355">
        <v>10</v>
      </c>
      <c r="AE76" s="355">
        <v>40</v>
      </c>
      <c r="AF76" s="431">
        <f t="shared" si="2"/>
        <v>80</v>
      </c>
    </row>
    <row r="77" spans="1:32" ht="54" x14ac:dyDescent="0.25">
      <c r="A77" s="388">
        <v>46112</v>
      </c>
      <c r="B77" s="362" t="s">
        <v>54</v>
      </c>
      <c r="C77" s="363" t="s">
        <v>519</v>
      </c>
      <c r="D77" s="355" t="s">
        <v>40</v>
      </c>
      <c r="E77" s="355" t="s">
        <v>709</v>
      </c>
      <c r="F77" s="355" t="s">
        <v>572</v>
      </c>
      <c r="G77" s="355" t="s">
        <v>710</v>
      </c>
      <c r="H77" s="355" t="s">
        <v>282</v>
      </c>
      <c r="I77" s="355"/>
      <c r="J77" s="355"/>
      <c r="K77" s="355"/>
      <c r="L77" s="355"/>
      <c r="M77" s="355"/>
      <c r="N77" s="355"/>
      <c r="O77" s="355"/>
      <c r="P77" s="355"/>
      <c r="Q77" s="355"/>
      <c r="R77" s="355"/>
      <c r="S77" s="355"/>
      <c r="T77" s="355"/>
      <c r="U77" s="355"/>
      <c r="V77" s="355"/>
      <c r="W77" s="355"/>
      <c r="X77" s="355"/>
      <c r="Y77" s="355">
        <v>1</v>
      </c>
      <c r="Z77" s="355"/>
      <c r="AA77" s="355" t="s">
        <v>511</v>
      </c>
      <c r="AB77" s="355">
        <v>50</v>
      </c>
      <c r="AC77" s="355">
        <v>10</v>
      </c>
      <c r="AD77" s="355">
        <v>0</v>
      </c>
      <c r="AE77" s="355">
        <v>30</v>
      </c>
      <c r="AF77" s="431">
        <f t="shared" si="2"/>
        <v>90</v>
      </c>
    </row>
    <row r="78" spans="1:32" ht="94.5" x14ac:dyDescent="0.25">
      <c r="A78" s="388">
        <v>46113</v>
      </c>
      <c r="B78" s="362" t="s">
        <v>501</v>
      </c>
      <c r="C78" s="363" t="s">
        <v>508</v>
      </c>
      <c r="D78" s="355" t="s">
        <v>40</v>
      </c>
      <c r="E78" s="355" t="s">
        <v>711</v>
      </c>
      <c r="F78" s="355" t="s">
        <v>712</v>
      </c>
      <c r="G78" s="355" t="s">
        <v>713</v>
      </c>
      <c r="H78" s="355" t="s">
        <v>515</v>
      </c>
      <c r="I78" s="355"/>
      <c r="J78" s="355">
        <v>1</v>
      </c>
      <c r="K78" s="355"/>
      <c r="L78" s="355"/>
      <c r="M78" s="355"/>
      <c r="N78" s="355"/>
      <c r="O78" s="355"/>
      <c r="P78" s="355"/>
      <c r="Q78" s="355"/>
      <c r="R78" s="355"/>
      <c r="S78" s="355"/>
      <c r="T78" s="355"/>
      <c r="U78" s="355"/>
      <c r="V78" s="355"/>
      <c r="W78" s="355"/>
      <c r="X78" s="355"/>
      <c r="Y78" s="355"/>
      <c r="Z78" s="355"/>
      <c r="AA78" s="355" t="s">
        <v>511</v>
      </c>
      <c r="AB78" s="355">
        <v>10</v>
      </c>
      <c r="AC78" s="355">
        <v>10</v>
      </c>
      <c r="AD78" s="355">
        <v>10</v>
      </c>
      <c r="AE78" s="355">
        <v>20</v>
      </c>
      <c r="AF78" s="431">
        <f t="shared" si="2"/>
        <v>50</v>
      </c>
    </row>
    <row r="79" spans="1:32" ht="40.5" x14ac:dyDescent="0.25">
      <c r="A79" s="388">
        <v>46114</v>
      </c>
      <c r="B79" s="362" t="s">
        <v>54</v>
      </c>
      <c r="C79" s="363" t="s">
        <v>508</v>
      </c>
      <c r="D79" s="355" t="s">
        <v>40</v>
      </c>
      <c r="E79" s="355" t="s">
        <v>714</v>
      </c>
      <c r="F79" s="355" t="s">
        <v>715</v>
      </c>
      <c r="G79" s="355" t="s">
        <v>716</v>
      </c>
      <c r="H79" s="355" t="s">
        <v>196</v>
      </c>
      <c r="I79" s="355"/>
      <c r="J79" s="355"/>
      <c r="K79" s="355"/>
      <c r="L79" s="355">
        <v>1</v>
      </c>
      <c r="M79" s="355"/>
      <c r="N79" s="355"/>
      <c r="O79" s="355"/>
      <c r="P79" s="355"/>
      <c r="Q79" s="355"/>
      <c r="R79" s="355"/>
      <c r="S79" s="355"/>
      <c r="T79" s="355"/>
      <c r="U79" s="355"/>
      <c r="V79" s="355"/>
      <c r="W79" s="355"/>
      <c r="X79" s="355"/>
      <c r="Y79" s="355"/>
      <c r="Z79" s="355"/>
      <c r="AA79" s="355" t="s">
        <v>511</v>
      </c>
      <c r="AB79" s="355">
        <v>10</v>
      </c>
      <c r="AC79" s="355">
        <v>20</v>
      </c>
      <c r="AD79" s="355">
        <v>0</v>
      </c>
      <c r="AE79" s="355">
        <v>40</v>
      </c>
      <c r="AF79" s="431">
        <f t="shared" si="2"/>
        <v>70</v>
      </c>
    </row>
    <row r="80" spans="1:32" ht="67.5" x14ac:dyDescent="0.25">
      <c r="A80" s="388">
        <v>46115</v>
      </c>
      <c r="B80" s="362" t="s">
        <v>109</v>
      </c>
      <c r="C80" s="363" t="s">
        <v>519</v>
      </c>
      <c r="D80" s="355" t="s">
        <v>40</v>
      </c>
      <c r="E80" s="355" t="s">
        <v>717</v>
      </c>
      <c r="F80" s="355" t="s">
        <v>108</v>
      </c>
      <c r="G80" s="355" t="s">
        <v>718</v>
      </c>
      <c r="H80" s="355" t="s">
        <v>393</v>
      </c>
      <c r="I80" s="355"/>
      <c r="J80" s="355"/>
      <c r="K80" s="355"/>
      <c r="L80" s="355"/>
      <c r="M80" s="355"/>
      <c r="N80" s="355"/>
      <c r="O80" s="355"/>
      <c r="P80" s="355"/>
      <c r="Q80" s="355"/>
      <c r="R80" s="355"/>
      <c r="S80" s="355"/>
      <c r="T80" s="355"/>
      <c r="U80" s="355"/>
      <c r="V80" s="355"/>
      <c r="W80" s="355"/>
      <c r="X80" s="355"/>
      <c r="Y80" s="355">
        <v>1</v>
      </c>
      <c r="Z80" s="355"/>
      <c r="AA80" s="355" t="s">
        <v>511</v>
      </c>
      <c r="AB80" s="355">
        <v>30</v>
      </c>
      <c r="AC80" s="355">
        <v>20</v>
      </c>
      <c r="AD80" s="355">
        <v>10</v>
      </c>
      <c r="AE80" s="355">
        <v>20</v>
      </c>
      <c r="AF80" s="431">
        <f t="shared" si="2"/>
        <v>80</v>
      </c>
    </row>
    <row r="81" spans="1:32" ht="67.5" x14ac:dyDescent="0.25">
      <c r="A81" s="388">
        <v>46119</v>
      </c>
      <c r="B81" s="362" t="s">
        <v>54</v>
      </c>
      <c r="C81" s="363" t="s">
        <v>519</v>
      </c>
      <c r="D81" s="355" t="s">
        <v>40</v>
      </c>
      <c r="E81" s="355" t="s">
        <v>719</v>
      </c>
      <c r="F81" s="355" t="s">
        <v>53</v>
      </c>
      <c r="G81" s="355" t="s">
        <v>720</v>
      </c>
      <c r="H81" s="355" t="s">
        <v>239</v>
      </c>
      <c r="I81" s="355">
        <v>1</v>
      </c>
      <c r="J81" s="355"/>
      <c r="K81" s="355"/>
      <c r="L81" s="355"/>
      <c r="M81" s="355"/>
      <c r="N81" s="355"/>
      <c r="O81" s="355"/>
      <c r="P81" s="355"/>
      <c r="Q81" s="355"/>
      <c r="R81" s="355"/>
      <c r="S81" s="355"/>
      <c r="T81" s="355"/>
      <c r="U81" s="355"/>
      <c r="V81" s="355"/>
      <c r="W81" s="355"/>
      <c r="X81" s="355"/>
      <c r="Y81" s="355"/>
      <c r="Z81" s="355"/>
      <c r="AA81" s="355" t="s">
        <v>511</v>
      </c>
      <c r="AB81" s="355">
        <v>10</v>
      </c>
      <c r="AC81" s="355">
        <v>10</v>
      </c>
      <c r="AD81" s="355">
        <v>0</v>
      </c>
      <c r="AE81" s="355">
        <v>30</v>
      </c>
      <c r="AF81" s="431">
        <f t="shared" si="2"/>
        <v>50</v>
      </c>
    </row>
    <row r="82" spans="1:32" ht="54" x14ac:dyDescent="0.25">
      <c r="A82" s="388">
        <v>46120</v>
      </c>
      <c r="B82" s="362" t="s">
        <v>54</v>
      </c>
      <c r="C82" s="363" t="s">
        <v>508</v>
      </c>
      <c r="D82" s="355" t="s">
        <v>40</v>
      </c>
      <c r="E82" s="355" t="s">
        <v>721</v>
      </c>
      <c r="F82" s="355" t="s">
        <v>104</v>
      </c>
      <c r="G82" s="355" t="s">
        <v>722</v>
      </c>
      <c r="H82" s="355" t="s">
        <v>349</v>
      </c>
      <c r="I82" s="355"/>
      <c r="J82" s="355"/>
      <c r="K82" s="355"/>
      <c r="L82" s="355"/>
      <c r="M82" s="355"/>
      <c r="N82" s="355"/>
      <c r="O82" s="355"/>
      <c r="P82" s="355"/>
      <c r="Q82" s="355"/>
      <c r="R82" s="355">
        <v>1</v>
      </c>
      <c r="S82" s="355"/>
      <c r="T82" s="355"/>
      <c r="U82" s="355"/>
      <c r="V82" s="355"/>
      <c r="W82" s="355"/>
      <c r="X82" s="355"/>
      <c r="Y82" s="355"/>
      <c r="Z82" s="355"/>
      <c r="AA82" s="355" t="s">
        <v>511</v>
      </c>
      <c r="AB82" s="355">
        <v>10</v>
      </c>
      <c r="AC82" s="355">
        <v>30</v>
      </c>
      <c r="AD82" s="355">
        <v>0</v>
      </c>
      <c r="AE82" s="355">
        <v>30</v>
      </c>
      <c r="AF82" s="431">
        <f t="shared" si="2"/>
        <v>70</v>
      </c>
    </row>
    <row r="83" spans="1:32" ht="297" x14ac:dyDescent="0.25">
      <c r="A83" s="388">
        <v>46125</v>
      </c>
      <c r="B83" s="362" t="s">
        <v>501</v>
      </c>
      <c r="C83" s="363" t="s">
        <v>519</v>
      </c>
      <c r="D83" s="355" t="s">
        <v>40</v>
      </c>
      <c r="E83" s="355" t="s">
        <v>723</v>
      </c>
      <c r="F83" s="355" t="s">
        <v>724</v>
      </c>
      <c r="G83" s="355" t="s">
        <v>725</v>
      </c>
      <c r="H83" s="355" t="s">
        <v>726</v>
      </c>
      <c r="I83" s="355"/>
      <c r="J83" s="355"/>
      <c r="K83" s="355"/>
      <c r="L83" s="355"/>
      <c r="M83" s="355"/>
      <c r="N83" s="355"/>
      <c r="O83" s="355"/>
      <c r="P83" s="355"/>
      <c r="Q83" s="355">
        <v>1</v>
      </c>
      <c r="R83" s="355"/>
      <c r="S83" s="355"/>
      <c r="T83" s="355"/>
      <c r="U83" s="355"/>
      <c r="V83" s="355"/>
      <c r="W83" s="355"/>
      <c r="X83" s="355"/>
      <c r="Y83" s="355"/>
      <c r="Z83" s="355"/>
      <c r="AA83" s="355" t="s">
        <v>511</v>
      </c>
      <c r="AB83" s="355">
        <v>30</v>
      </c>
      <c r="AC83" s="355">
        <v>30</v>
      </c>
      <c r="AD83" s="355">
        <v>10</v>
      </c>
      <c r="AE83" s="355">
        <v>20</v>
      </c>
      <c r="AF83" s="431">
        <f t="shared" si="2"/>
        <v>90</v>
      </c>
    </row>
    <row r="84" spans="1:32" ht="94.5" x14ac:dyDescent="0.25">
      <c r="A84" s="388">
        <v>46127</v>
      </c>
      <c r="B84" s="362" t="s">
        <v>100</v>
      </c>
      <c r="C84" s="363" t="s">
        <v>508</v>
      </c>
      <c r="D84" s="355" t="s">
        <v>40</v>
      </c>
      <c r="E84" s="355" t="s">
        <v>727</v>
      </c>
      <c r="F84" s="355" t="s">
        <v>603</v>
      </c>
      <c r="G84" s="355" t="s">
        <v>728</v>
      </c>
      <c r="H84" s="355" t="s">
        <v>200</v>
      </c>
      <c r="I84" s="355"/>
      <c r="J84" s="355"/>
      <c r="K84" s="355"/>
      <c r="L84" s="355"/>
      <c r="M84" s="355"/>
      <c r="N84" s="355"/>
      <c r="O84" s="355"/>
      <c r="P84" s="355">
        <v>1</v>
      </c>
      <c r="Q84" s="355"/>
      <c r="R84" s="355"/>
      <c r="S84" s="355"/>
      <c r="T84" s="355"/>
      <c r="U84" s="355"/>
      <c r="V84" s="355"/>
      <c r="W84" s="355"/>
      <c r="X84" s="355"/>
      <c r="Y84" s="355"/>
      <c r="Z84" s="355"/>
      <c r="AA84" s="355" t="s">
        <v>511</v>
      </c>
      <c r="AB84" s="355">
        <v>10</v>
      </c>
      <c r="AC84" s="355">
        <v>10</v>
      </c>
      <c r="AD84" s="355">
        <v>0</v>
      </c>
      <c r="AE84" s="355">
        <v>20</v>
      </c>
      <c r="AF84" s="431">
        <f t="shared" si="2"/>
        <v>40</v>
      </c>
    </row>
    <row r="85" spans="1:32" ht="67.5" x14ac:dyDescent="0.25">
      <c r="A85" s="388">
        <v>46128</v>
      </c>
      <c r="B85" s="362" t="s">
        <v>501</v>
      </c>
      <c r="C85" s="363" t="s">
        <v>508</v>
      </c>
      <c r="D85" s="355" t="s">
        <v>40</v>
      </c>
      <c r="E85" s="355" t="s">
        <v>729</v>
      </c>
      <c r="F85" s="355" t="s">
        <v>730</v>
      </c>
      <c r="G85" s="355" t="s">
        <v>731</v>
      </c>
      <c r="H85" s="355" t="s">
        <v>732</v>
      </c>
      <c r="I85" s="355"/>
      <c r="J85" s="355"/>
      <c r="K85" s="355"/>
      <c r="L85" s="355"/>
      <c r="M85" s="355"/>
      <c r="N85" s="355"/>
      <c r="O85" s="355"/>
      <c r="P85" s="355"/>
      <c r="Q85" s="355"/>
      <c r="R85" s="355"/>
      <c r="S85" s="355"/>
      <c r="T85" s="355"/>
      <c r="U85" s="355"/>
      <c r="V85" s="355">
        <v>1</v>
      </c>
      <c r="W85" s="355"/>
      <c r="X85" s="355"/>
      <c r="Y85" s="355"/>
      <c r="Z85" s="355"/>
      <c r="AA85" s="355" t="s">
        <v>544</v>
      </c>
      <c r="AB85" s="355">
        <v>10</v>
      </c>
      <c r="AC85" s="355">
        <v>20</v>
      </c>
      <c r="AD85" s="355">
        <v>30</v>
      </c>
      <c r="AE85" s="355">
        <v>40</v>
      </c>
      <c r="AF85" s="431">
        <f t="shared" si="2"/>
        <v>100</v>
      </c>
    </row>
    <row r="86" spans="1:32" ht="121.5" x14ac:dyDescent="0.25">
      <c r="A86" s="388">
        <v>46128</v>
      </c>
      <c r="B86" s="362" t="s">
        <v>109</v>
      </c>
      <c r="C86" s="363" t="s">
        <v>519</v>
      </c>
      <c r="D86" s="355" t="s">
        <v>40</v>
      </c>
      <c r="E86" s="355" t="s">
        <v>733</v>
      </c>
      <c r="F86" s="355" t="s">
        <v>578</v>
      </c>
      <c r="G86" s="355" t="s">
        <v>734</v>
      </c>
      <c r="H86" s="355" t="s">
        <v>389</v>
      </c>
      <c r="I86" s="355"/>
      <c r="J86" s="355"/>
      <c r="K86" s="355"/>
      <c r="L86" s="355"/>
      <c r="M86" s="355"/>
      <c r="N86" s="355"/>
      <c r="O86" s="355"/>
      <c r="P86" s="355"/>
      <c r="Q86" s="355"/>
      <c r="R86" s="355"/>
      <c r="S86" s="355"/>
      <c r="T86" s="355"/>
      <c r="U86" s="355"/>
      <c r="V86" s="355"/>
      <c r="W86" s="355"/>
      <c r="X86" s="355"/>
      <c r="Y86" s="355">
        <v>1</v>
      </c>
      <c r="Z86" s="355"/>
      <c r="AA86" s="355" t="s">
        <v>511</v>
      </c>
      <c r="AB86" s="355">
        <v>10</v>
      </c>
      <c r="AC86" s="355">
        <v>20</v>
      </c>
      <c r="AD86" s="355">
        <v>10</v>
      </c>
      <c r="AE86" s="355">
        <v>30</v>
      </c>
      <c r="AF86" s="431">
        <f t="shared" si="2"/>
        <v>70</v>
      </c>
    </row>
    <row r="87" spans="1:32" ht="67.5" x14ac:dyDescent="0.25">
      <c r="A87" s="388">
        <v>46128</v>
      </c>
      <c r="B87" s="362" t="s">
        <v>109</v>
      </c>
      <c r="C87" s="363" t="s">
        <v>508</v>
      </c>
      <c r="D87" s="355" t="s">
        <v>40</v>
      </c>
      <c r="E87" s="355" t="s">
        <v>735</v>
      </c>
      <c r="F87" s="355" t="s">
        <v>108</v>
      </c>
      <c r="G87" s="355" t="s">
        <v>736</v>
      </c>
      <c r="H87" s="355" t="s">
        <v>233</v>
      </c>
      <c r="I87" s="355"/>
      <c r="J87" s="355"/>
      <c r="K87" s="355"/>
      <c r="L87" s="355"/>
      <c r="M87" s="355"/>
      <c r="N87" s="355"/>
      <c r="O87" s="355"/>
      <c r="P87" s="355">
        <v>1</v>
      </c>
      <c r="Q87" s="355"/>
      <c r="R87" s="355"/>
      <c r="S87" s="355"/>
      <c r="T87" s="355"/>
      <c r="U87" s="355"/>
      <c r="V87" s="355"/>
      <c r="W87" s="355"/>
      <c r="X87" s="355"/>
      <c r="Y87" s="355"/>
      <c r="Z87" s="355"/>
      <c r="AA87" s="355" t="s">
        <v>511</v>
      </c>
      <c r="AB87" s="355">
        <v>30</v>
      </c>
      <c r="AC87" s="355">
        <v>10</v>
      </c>
      <c r="AD87" s="355">
        <v>0</v>
      </c>
      <c r="AE87" s="355">
        <v>40</v>
      </c>
      <c r="AF87" s="431">
        <f t="shared" si="2"/>
        <v>80</v>
      </c>
    </row>
    <row r="88" spans="1:32" ht="67.5" x14ac:dyDescent="0.25">
      <c r="A88" s="388">
        <v>46128</v>
      </c>
      <c r="B88" s="362" t="s">
        <v>109</v>
      </c>
      <c r="C88" s="363" t="s">
        <v>519</v>
      </c>
      <c r="D88" s="355" t="s">
        <v>40</v>
      </c>
      <c r="E88" s="355" t="s">
        <v>737</v>
      </c>
      <c r="F88" s="355" t="s">
        <v>108</v>
      </c>
      <c r="G88" s="355" t="s">
        <v>738</v>
      </c>
      <c r="H88" s="355" t="s">
        <v>233</v>
      </c>
      <c r="I88" s="355"/>
      <c r="J88" s="355"/>
      <c r="K88" s="355"/>
      <c r="L88" s="355"/>
      <c r="M88" s="355"/>
      <c r="N88" s="355"/>
      <c r="O88" s="355"/>
      <c r="P88" s="355"/>
      <c r="Q88" s="355"/>
      <c r="R88" s="355"/>
      <c r="S88" s="355"/>
      <c r="T88" s="355"/>
      <c r="U88" s="355"/>
      <c r="V88" s="355"/>
      <c r="W88" s="355"/>
      <c r="X88" s="355"/>
      <c r="Y88" s="355">
        <v>1</v>
      </c>
      <c r="Z88" s="355"/>
      <c r="AA88" s="355" t="s">
        <v>511</v>
      </c>
      <c r="AB88" s="355">
        <v>10</v>
      </c>
      <c r="AC88" s="355">
        <v>30</v>
      </c>
      <c r="AD88" s="355">
        <v>30</v>
      </c>
      <c r="AE88" s="355">
        <v>50</v>
      </c>
      <c r="AF88" s="431">
        <f t="shared" si="2"/>
        <v>120</v>
      </c>
    </row>
    <row r="89" spans="1:32" ht="81" x14ac:dyDescent="0.25">
      <c r="A89" s="388">
        <v>46129</v>
      </c>
      <c r="B89" s="362" t="s">
        <v>100</v>
      </c>
      <c r="C89" s="363" t="s">
        <v>508</v>
      </c>
      <c r="D89" s="355" t="s">
        <v>40</v>
      </c>
      <c r="E89" s="355" t="s">
        <v>739</v>
      </c>
      <c r="F89" s="355" t="s">
        <v>551</v>
      </c>
      <c r="G89" s="355" t="s">
        <v>740</v>
      </c>
      <c r="H89" s="355" t="s">
        <v>741</v>
      </c>
      <c r="I89" s="355"/>
      <c r="J89" s="355"/>
      <c r="K89" s="355"/>
      <c r="L89" s="355"/>
      <c r="M89" s="355"/>
      <c r="N89" s="355"/>
      <c r="O89" s="355"/>
      <c r="P89" s="355">
        <v>1</v>
      </c>
      <c r="Q89" s="355"/>
      <c r="R89" s="355"/>
      <c r="S89" s="355"/>
      <c r="T89" s="355"/>
      <c r="U89" s="355"/>
      <c r="V89" s="355"/>
      <c r="W89" s="355"/>
      <c r="X89" s="355"/>
      <c r="Y89" s="355"/>
      <c r="Z89" s="355"/>
      <c r="AA89" s="355" t="s">
        <v>511</v>
      </c>
      <c r="AB89" s="355">
        <v>10</v>
      </c>
      <c r="AC89" s="355">
        <v>10</v>
      </c>
      <c r="AD89" s="355">
        <v>0</v>
      </c>
      <c r="AE89" s="355">
        <v>40</v>
      </c>
      <c r="AF89" s="431">
        <f t="shared" si="2"/>
        <v>60</v>
      </c>
    </row>
    <row r="90" spans="1:32" ht="67.5" x14ac:dyDescent="0.25">
      <c r="A90" s="388">
        <v>46129</v>
      </c>
      <c r="B90" s="362" t="s">
        <v>269</v>
      </c>
      <c r="C90" s="363" t="s">
        <v>508</v>
      </c>
      <c r="D90" s="355" t="s">
        <v>40</v>
      </c>
      <c r="E90" s="355" t="s">
        <v>742</v>
      </c>
      <c r="F90" s="355" t="s">
        <v>563</v>
      </c>
      <c r="G90" s="355" t="s">
        <v>743</v>
      </c>
      <c r="H90" s="355" t="s">
        <v>744</v>
      </c>
      <c r="I90" s="355">
        <v>1</v>
      </c>
      <c r="J90" s="355"/>
      <c r="K90" s="355"/>
      <c r="L90" s="355"/>
      <c r="M90" s="355"/>
      <c r="N90" s="355"/>
      <c r="O90" s="355"/>
      <c r="P90" s="355"/>
      <c r="Q90" s="355"/>
      <c r="R90" s="355"/>
      <c r="S90" s="355"/>
      <c r="T90" s="355"/>
      <c r="U90" s="355"/>
      <c r="V90" s="355"/>
      <c r="W90" s="355"/>
      <c r="X90" s="355"/>
      <c r="Y90" s="355"/>
      <c r="Z90" s="355"/>
      <c r="AA90" s="355" t="s">
        <v>511</v>
      </c>
      <c r="AB90" s="355">
        <v>10</v>
      </c>
      <c r="AC90" s="355">
        <v>10</v>
      </c>
      <c r="AD90" s="355">
        <v>10</v>
      </c>
      <c r="AE90" s="355">
        <v>30</v>
      </c>
      <c r="AF90" s="431">
        <f t="shared" si="2"/>
        <v>60</v>
      </c>
    </row>
    <row r="91" spans="1:32" ht="54" x14ac:dyDescent="0.25">
      <c r="A91" s="388">
        <v>46129</v>
      </c>
      <c r="B91" s="362" t="s">
        <v>501</v>
      </c>
      <c r="C91" s="363" t="s">
        <v>508</v>
      </c>
      <c r="D91" s="355" t="s">
        <v>40</v>
      </c>
      <c r="E91" s="355" t="s">
        <v>745</v>
      </c>
      <c r="F91" s="355" t="s">
        <v>539</v>
      </c>
      <c r="G91" s="355" t="s">
        <v>746</v>
      </c>
      <c r="H91" s="355" t="s">
        <v>747</v>
      </c>
      <c r="I91" s="355"/>
      <c r="J91" s="355"/>
      <c r="K91" s="355"/>
      <c r="L91" s="355"/>
      <c r="M91" s="355"/>
      <c r="N91" s="355"/>
      <c r="O91" s="355"/>
      <c r="P91" s="355"/>
      <c r="Q91" s="355"/>
      <c r="R91" s="355"/>
      <c r="S91" s="355"/>
      <c r="T91" s="355"/>
      <c r="U91" s="355"/>
      <c r="V91" s="355"/>
      <c r="W91" s="355"/>
      <c r="X91" s="355">
        <v>1</v>
      </c>
      <c r="Y91" s="355"/>
      <c r="Z91" s="355">
        <v>1</v>
      </c>
      <c r="AA91" s="355" t="s">
        <v>511</v>
      </c>
      <c r="AB91" s="355">
        <v>10</v>
      </c>
      <c r="AC91" s="355">
        <v>20</v>
      </c>
      <c r="AD91" s="355">
        <v>10</v>
      </c>
      <c r="AE91" s="355">
        <v>20</v>
      </c>
      <c r="AF91" s="431">
        <f t="shared" si="2"/>
        <v>60</v>
      </c>
    </row>
    <row r="92" spans="1:32" ht="189" x14ac:dyDescent="0.25">
      <c r="A92" s="388">
        <v>46132</v>
      </c>
      <c r="B92" s="362" t="s">
        <v>501</v>
      </c>
      <c r="C92" s="363" t="s">
        <v>508</v>
      </c>
      <c r="D92" s="355" t="s">
        <v>40</v>
      </c>
      <c r="E92" s="355" t="s">
        <v>748</v>
      </c>
      <c r="F92" s="355" t="s">
        <v>749</v>
      </c>
      <c r="G92" s="355" t="s">
        <v>750</v>
      </c>
      <c r="H92" s="355" t="s">
        <v>751</v>
      </c>
      <c r="I92" s="355"/>
      <c r="J92" s="355"/>
      <c r="K92" s="355"/>
      <c r="L92" s="355"/>
      <c r="M92" s="355"/>
      <c r="N92" s="355"/>
      <c r="O92" s="355"/>
      <c r="P92" s="355"/>
      <c r="Q92" s="355"/>
      <c r="R92" s="355"/>
      <c r="S92" s="355"/>
      <c r="T92" s="355"/>
      <c r="U92" s="355"/>
      <c r="V92" s="355"/>
      <c r="W92" s="355"/>
      <c r="X92" s="355"/>
      <c r="Y92" s="355"/>
      <c r="Z92" s="355">
        <v>1</v>
      </c>
      <c r="AA92" s="355" t="s">
        <v>511</v>
      </c>
      <c r="AB92" s="355">
        <v>30</v>
      </c>
      <c r="AC92" s="355">
        <v>20</v>
      </c>
      <c r="AD92" s="355">
        <v>20</v>
      </c>
      <c r="AE92" s="355">
        <v>20</v>
      </c>
      <c r="AF92" s="431">
        <f t="shared" si="2"/>
        <v>90</v>
      </c>
    </row>
    <row r="93" spans="1:32" ht="40.5" x14ac:dyDescent="0.25">
      <c r="A93" s="388">
        <v>46133</v>
      </c>
      <c r="B93" s="362" t="s">
        <v>54</v>
      </c>
      <c r="C93" s="363" t="s">
        <v>519</v>
      </c>
      <c r="D93" s="355" t="s">
        <v>40</v>
      </c>
      <c r="E93" s="355" t="s">
        <v>752</v>
      </c>
      <c r="F93" s="355" t="s">
        <v>753</v>
      </c>
      <c r="G93" s="355" t="s">
        <v>754</v>
      </c>
      <c r="H93" s="355" t="s">
        <v>358</v>
      </c>
      <c r="I93" s="355"/>
      <c r="J93" s="355"/>
      <c r="K93" s="355"/>
      <c r="L93" s="355"/>
      <c r="M93" s="355"/>
      <c r="N93" s="355"/>
      <c r="O93" s="355"/>
      <c r="P93" s="355"/>
      <c r="Q93" s="355"/>
      <c r="R93" s="355"/>
      <c r="S93" s="355"/>
      <c r="T93" s="355"/>
      <c r="U93" s="355"/>
      <c r="V93" s="355"/>
      <c r="W93" s="355"/>
      <c r="X93" s="355"/>
      <c r="Y93" s="355">
        <v>1</v>
      </c>
      <c r="Z93" s="355"/>
      <c r="AA93" s="355" t="s">
        <v>511</v>
      </c>
      <c r="AB93" s="355">
        <v>30</v>
      </c>
      <c r="AC93" s="355">
        <v>20</v>
      </c>
      <c r="AD93" s="355">
        <v>0</v>
      </c>
      <c r="AE93" s="355">
        <v>30</v>
      </c>
      <c r="AF93" s="431">
        <f t="shared" si="2"/>
        <v>80</v>
      </c>
    </row>
    <row r="94" spans="1:32" ht="54" x14ac:dyDescent="0.25">
      <c r="A94" s="388">
        <v>46133</v>
      </c>
      <c r="B94" s="362" t="s">
        <v>501</v>
      </c>
      <c r="C94" s="363" t="s">
        <v>508</v>
      </c>
      <c r="D94" s="355" t="s">
        <v>40</v>
      </c>
      <c r="E94" s="355" t="s">
        <v>755</v>
      </c>
      <c r="F94" s="355" t="s">
        <v>756</v>
      </c>
      <c r="G94" s="355" t="s">
        <v>757</v>
      </c>
      <c r="H94" s="355" t="s">
        <v>259</v>
      </c>
      <c r="I94" s="355"/>
      <c r="J94" s="355">
        <v>1</v>
      </c>
      <c r="K94" s="355"/>
      <c r="L94" s="355"/>
      <c r="M94" s="355"/>
      <c r="N94" s="355"/>
      <c r="O94" s="355"/>
      <c r="P94" s="355"/>
      <c r="Q94" s="355"/>
      <c r="R94" s="355"/>
      <c r="S94" s="355"/>
      <c r="T94" s="355"/>
      <c r="U94" s="355"/>
      <c r="V94" s="355"/>
      <c r="W94" s="355"/>
      <c r="X94" s="355"/>
      <c r="Y94" s="355"/>
      <c r="Z94" s="355"/>
      <c r="AA94" s="355" t="s">
        <v>511</v>
      </c>
      <c r="AB94" s="355">
        <v>10</v>
      </c>
      <c r="AC94" s="355">
        <v>30</v>
      </c>
      <c r="AD94" s="355">
        <v>30</v>
      </c>
      <c r="AE94" s="355">
        <v>20</v>
      </c>
      <c r="AF94" s="431">
        <f t="shared" si="2"/>
        <v>90</v>
      </c>
    </row>
    <row r="95" spans="1:32" ht="54" x14ac:dyDescent="0.25">
      <c r="A95" s="388">
        <v>46134</v>
      </c>
      <c r="B95" s="362" t="s">
        <v>109</v>
      </c>
      <c r="C95" s="363" t="s">
        <v>508</v>
      </c>
      <c r="D95" s="355" t="s">
        <v>40</v>
      </c>
      <c r="E95" s="355" t="s">
        <v>758</v>
      </c>
      <c r="F95" s="355" t="s">
        <v>578</v>
      </c>
      <c r="G95" s="355" t="s">
        <v>759</v>
      </c>
      <c r="H95" s="355" t="s">
        <v>358</v>
      </c>
      <c r="I95" s="355"/>
      <c r="J95" s="355"/>
      <c r="K95" s="355"/>
      <c r="L95" s="355"/>
      <c r="M95" s="355"/>
      <c r="N95" s="355"/>
      <c r="O95" s="355">
        <v>1</v>
      </c>
      <c r="P95" s="355"/>
      <c r="Q95" s="355"/>
      <c r="R95" s="355"/>
      <c r="S95" s="355"/>
      <c r="T95" s="355"/>
      <c r="U95" s="355"/>
      <c r="V95" s="355"/>
      <c r="W95" s="355"/>
      <c r="X95" s="355"/>
      <c r="Y95" s="355"/>
      <c r="Z95" s="355"/>
      <c r="AA95" s="355" t="s">
        <v>511</v>
      </c>
      <c r="AB95" s="355">
        <v>10</v>
      </c>
      <c r="AC95" s="355">
        <v>20</v>
      </c>
      <c r="AD95" s="355">
        <v>0</v>
      </c>
      <c r="AE95" s="355">
        <v>30</v>
      </c>
      <c r="AF95" s="431">
        <f t="shared" si="2"/>
        <v>60</v>
      </c>
    </row>
    <row r="96" spans="1:32" ht="81" x14ac:dyDescent="0.25">
      <c r="A96" s="388">
        <v>46134</v>
      </c>
      <c r="B96" s="362" t="s">
        <v>54</v>
      </c>
      <c r="C96" s="363" t="s">
        <v>508</v>
      </c>
      <c r="D96" s="355" t="s">
        <v>40</v>
      </c>
      <c r="E96" s="355" t="s">
        <v>760</v>
      </c>
      <c r="F96" s="355" t="s">
        <v>104</v>
      </c>
      <c r="G96" s="355" t="s">
        <v>761</v>
      </c>
      <c r="H96" s="355" t="s">
        <v>349</v>
      </c>
      <c r="I96" s="355"/>
      <c r="J96" s="355"/>
      <c r="K96" s="355"/>
      <c r="L96" s="355"/>
      <c r="M96" s="355"/>
      <c r="N96" s="355"/>
      <c r="O96" s="355"/>
      <c r="P96" s="355"/>
      <c r="Q96" s="355"/>
      <c r="R96" s="355"/>
      <c r="S96" s="355"/>
      <c r="T96" s="355"/>
      <c r="U96" s="355"/>
      <c r="V96" s="355"/>
      <c r="W96" s="355"/>
      <c r="X96" s="355"/>
      <c r="Y96" s="355">
        <v>1</v>
      </c>
      <c r="Z96" s="355"/>
      <c r="AA96" s="355" t="s">
        <v>511</v>
      </c>
      <c r="AB96" s="355">
        <v>20</v>
      </c>
      <c r="AC96" s="355">
        <v>30</v>
      </c>
      <c r="AD96" s="355">
        <v>30</v>
      </c>
      <c r="AE96" s="355">
        <v>50</v>
      </c>
      <c r="AF96" s="431">
        <f t="shared" si="2"/>
        <v>130</v>
      </c>
    </row>
    <row r="97" spans="1:32" ht="40.5" x14ac:dyDescent="0.25">
      <c r="A97" s="388">
        <v>46134</v>
      </c>
      <c r="B97" s="362" t="s">
        <v>54</v>
      </c>
      <c r="C97" s="363" t="s">
        <v>508</v>
      </c>
      <c r="D97" s="355" t="s">
        <v>40</v>
      </c>
      <c r="E97" s="355" t="s">
        <v>762</v>
      </c>
      <c r="F97" s="355" t="s">
        <v>589</v>
      </c>
      <c r="G97" s="355" t="s">
        <v>763</v>
      </c>
      <c r="H97" s="355" t="s">
        <v>408</v>
      </c>
      <c r="I97" s="355"/>
      <c r="J97" s="355"/>
      <c r="K97" s="355"/>
      <c r="L97" s="355"/>
      <c r="M97" s="355"/>
      <c r="N97" s="355"/>
      <c r="O97" s="355"/>
      <c r="P97" s="355"/>
      <c r="Q97" s="355"/>
      <c r="R97" s="355"/>
      <c r="S97" s="355"/>
      <c r="T97" s="355"/>
      <c r="U97" s="355"/>
      <c r="V97" s="355"/>
      <c r="W97" s="355"/>
      <c r="X97" s="355"/>
      <c r="Y97" s="355">
        <v>1</v>
      </c>
      <c r="Z97" s="355"/>
      <c r="AA97" s="355" t="s">
        <v>511</v>
      </c>
      <c r="AB97" s="355">
        <v>10</v>
      </c>
      <c r="AC97" s="355">
        <v>30</v>
      </c>
      <c r="AD97" s="355">
        <v>30</v>
      </c>
      <c r="AE97" s="355">
        <v>30</v>
      </c>
      <c r="AF97" s="431">
        <f t="shared" si="2"/>
        <v>100</v>
      </c>
    </row>
    <row r="98" spans="1:32" ht="67.5" x14ac:dyDescent="0.25">
      <c r="A98" s="388">
        <v>46134</v>
      </c>
      <c r="B98" s="362" t="s">
        <v>109</v>
      </c>
      <c r="C98" s="363" t="s">
        <v>508</v>
      </c>
      <c r="D98" s="355" t="s">
        <v>40</v>
      </c>
      <c r="E98" s="355" t="s">
        <v>764</v>
      </c>
      <c r="F98" s="355" t="s">
        <v>578</v>
      </c>
      <c r="G98" s="355" t="s">
        <v>765</v>
      </c>
      <c r="H98" s="355" t="s">
        <v>766</v>
      </c>
      <c r="I98" s="355"/>
      <c r="J98" s="355"/>
      <c r="K98" s="355"/>
      <c r="L98" s="355"/>
      <c r="M98" s="355"/>
      <c r="N98" s="355"/>
      <c r="O98" s="355">
        <v>1</v>
      </c>
      <c r="P98" s="355">
        <v>1</v>
      </c>
      <c r="Q98" s="355"/>
      <c r="R98" s="355"/>
      <c r="S98" s="355"/>
      <c r="T98" s="355"/>
      <c r="U98" s="355"/>
      <c r="V98" s="355"/>
      <c r="W98" s="355"/>
      <c r="X98" s="355"/>
      <c r="Y98" s="355"/>
      <c r="Z98" s="355"/>
      <c r="AA98" s="355" t="s">
        <v>511</v>
      </c>
      <c r="AB98" s="355">
        <v>10</v>
      </c>
      <c r="AC98" s="355">
        <v>20</v>
      </c>
      <c r="AD98" s="355">
        <v>0</v>
      </c>
      <c r="AE98" s="355">
        <v>40</v>
      </c>
      <c r="AF98" s="431">
        <f t="shared" si="2"/>
        <v>70</v>
      </c>
    </row>
    <row r="99" spans="1:32" ht="40.5" x14ac:dyDescent="0.25">
      <c r="A99" s="388">
        <v>46134</v>
      </c>
      <c r="B99" s="362" t="s">
        <v>109</v>
      </c>
      <c r="C99" s="363" t="s">
        <v>519</v>
      </c>
      <c r="D99" s="355" t="s">
        <v>41</v>
      </c>
      <c r="E99" s="355" t="s">
        <v>767</v>
      </c>
      <c r="F99" s="355" t="s">
        <v>578</v>
      </c>
      <c r="G99" s="355" t="s">
        <v>768</v>
      </c>
      <c r="H99" s="355" t="s">
        <v>285</v>
      </c>
      <c r="I99" s="355"/>
      <c r="J99" s="355"/>
      <c r="K99" s="355">
        <v>1</v>
      </c>
      <c r="L99" s="355"/>
      <c r="M99" s="355"/>
      <c r="N99" s="355"/>
      <c r="O99" s="355"/>
      <c r="P99" s="355"/>
      <c r="Q99" s="355"/>
      <c r="R99" s="355"/>
      <c r="S99" s="355"/>
      <c r="T99" s="355"/>
      <c r="U99" s="355"/>
      <c r="V99" s="355"/>
      <c r="W99" s="355"/>
      <c r="X99" s="355"/>
      <c r="Y99" s="355"/>
      <c r="Z99" s="355"/>
      <c r="AA99" s="355" t="s">
        <v>511</v>
      </c>
      <c r="AB99" s="355">
        <v>30</v>
      </c>
      <c r="AC99" s="355">
        <v>20</v>
      </c>
      <c r="AD99" s="355">
        <v>0</v>
      </c>
      <c r="AE99" s="355">
        <v>50</v>
      </c>
      <c r="AF99" s="431">
        <f t="shared" ref="AF99:AF126" si="3">SUM(AB99:AE99)</f>
        <v>100</v>
      </c>
    </row>
    <row r="100" spans="1:32" ht="54" x14ac:dyDescent="0.25">
      <c r="A100" s="388">
        <v>46134</v>
      </c>
      <c r="B100" s="362" t="s">
        <v>54</v>
      </c>
      <c r="C100" s="363" t="s">
        <v>508</v>
      </c>
      <c r="D100" s="355" t="s">
        <v>40</v>
      </c>
      <c r="E100" s="355" t="s">
        <v>769</v>
      </c>
      <c r="F100" s="355" t="s">
        <v>77</v>
      </c>
      <c r="G100" s="355" t="s">
        <v>770</v>
      </c>
      <c r="H100" s="355" t="s">
        <v>214</v>
      </c>
      <c r="I100" s="355"/>
      <c r="J100" s="355"/>
      <c r="K100" s="355"/>
      <c r="L100" s="355"/>
      <c r="M100" s="355"/>
      <c r="N100" s="355"/>
      <c r="O100" s="355"/>
      <c r="P100" s="355"/>
      <c r="Q100" s="355"/>
      <c r="R100" s="355"/>
      <c r="S100" s="355"/>
      <c r="T100" s="355"/>
      <c r="U100" s="355"/>
      <c r="V100" s="355"/>
      <c r="W100" s="355"/>
      <c r="X100" s="355"/>
      <c r="Y100" s="355">
        <v>1</v>
      </c>
      <c r="Z100" s="355"/>
      <c r="AA100" s="355" t="s">
        <v>511</v>
      </c>
      <c r="AB100" s="355">
        <v>10</v>
      </c>
      <c r="AC100" s="355">
        <v>30</v>
      </c>
      <c r="AD100" s="355">
        <v>30</v>
      </c>
      <c r="AE100" s="355">
        <v>40</v>
      </c>
      <c r="AF100" s="431">
        <f t="shared" si="3"/>
        <v>110</v>
      </c>
    </row>
    <row r="101" spans="1:32" ht="40.5" x14ac:dyDescent="0.25">
      <c r="A101" s="388">
        <v>46134</v>
      </c>
      <c r="B101" s="362" t="s">
        <v>54</v>
      </c>
      <c r="C101" s="363" t="s">
        <v>508</v>
      </c>
      <c r="D101" s="355" t="s">
        <v>40</v>
      </c>
      <c r="E101" s="355" t="s">
        <v>771</v>
      </c>
      <c r="F101" s="355" t="s">
        <v>589</v>
      </c>
      <c r="G101" s="355" t="s">
        <v>772</v>
      </c>
      <c r="H101" s="355" t="s">
        <v>408</v>
      </c>
      <c r="I101" s="355"/>
      <c r="J101" s="355"/>
      <c r="K101" s="355"/>
      <c r="L101" s="355"/>
      <c r="M101" s="355"/>
      <c r="N101" s="355"/>
      <c r="O101" s="355">
        <v>1</v>
      </c>
      <c r="P101" s="355"/>
      <c r="Q101" s="355"/>
      <c r="R101" s="355"/>
      <c r="S101" s="355"/>
      <c r="T101" s="355"/>
      <c r="U101" s="355"/>
      <c r="V101" s="355"/>
      <c r="W101" s="355"/>
      <c r="X101" s="355"/>
      <c r="Y101" s="355"/>
      <c r="Z101" s="355"/>
      <c r="AA101" s="355" t="s">
        <v>511</v>
      </c>
      <c r="AB101" s="355">
        <v>10</v>
      </c>
      <c r="AC101" s="355">
        <v>20</v>
      </c>
      <c r="AD101" s="355">
        <v>0</v>
      </c>
      <c r="AE101" s="355">
        <v>40</v>
      </c>
      <c r="AF101" s="431">
        <f t="shared" si="3"/>
        <v>70</v>
      </c>
    </row>
    <row r="102" spans="1:32" ht="216" x14ac:dyDescent="0.25">
      <c r="A102" s="388">
        <v>46134</v>
      </c>
      <c r="B102" s="362" t="s">
        <v>501</v>
      </c>
      <c r="C102" s="363" t="s">
        <v>508</v>
      </c>
      <c r="D102" s="355" t="s">
        <v>40</v>
      </c>
      <c r="E102" s="355" t="s">
        <v>2409</v>
      </c>
      <c r="F102" s="355" t="s">
        <v>566</v>
      </c>
      <c r="G102" s="355" t="s">
        <v>2410</v>
      </c>
      <c r="H102" s="355" t="s">
        <v>222</v>
      </c>
      <c r="I102" s="355"/>
      <c r="J102" s="355"/>
      <c r="K102" s="355"/>
      <c r="L102" s="355"/>
      <c r="M102" s="355"/>
      <c r="N102" s="355"/>
      <c r="O102" s="355"/>
      <c r="P102" s="355"/>
      <c r="Q102" s="355">
        <v>1</v>
      </c>
      <c r="R102" s="355"/>
      <c r="S102" s="355"/>
      <c r="T102" s="355"/>
      <c r="U102" s="355"/>
      <c r="V102" s="355"/>
      <c r="W102" s="355"/>
      <c r="X102" s="355"/>
      <c r="Y102" s="355"/>
      <c r="Z102" s="355"/>
      <c r="AA102" s="355" t="s">
        <v>511</v>
      </c>
      <c r="AB102" s="355">
        <v>10</v>
      </c>
      <c r="AC102" s="355">
        <v>10</v>
      </c>
      <c r="AD102" s="355">
        <v>10</v>
      </c>
      <c r="AE102" s="355">
        <v>20</v>
      </c>
      <c r="AF102" s="431">
        <f t="shared" si="3"/>
        <v>50</v>
      </c>
    </row>
    <row r="103" spans="1:32" ht="40.5" x14ac:dyDescent="0.25">
      <c r="A103" s="388">
        <v>46135</v>
      </c>
      <c r="B103" s="362" t="s">
        <v>54</v>
      </c>
      <c r="C103" s="363" t="s">
        <v>519</v>
      </c>
      <c r="D103" s="355" t="s">
        <v>41</v>
      </c>
      <c r="E103" s="355" t="s">
        <v>773</v>
      </c>
      <c r="F103" s="355" t="s">
        <v>774</v>
      </c>
      <c r="G103" s="355" t="s">
        <v>775</v>
      </c>
      <c r="H103" s="355" t="s">
        <v>417</v>
      </c>
      <c r="I103" s="355"/>
      <c r="J103" s="355"/>
      <c r="K103" s="355"/>
      <c r="L103" s="355"/>
      <c r="M103" s="355">
        <v>1</v>
      </c>
      <c r="N103" s="355"/>
      <c r="O103" s="355"/>
      <c r="P103" s="355"/>
      <c r="Q103" s="355"/>
      <c r="R103" s="355"/>
      <c r="S103" s="355"/>
      <c r="T103" s="355"/>
      <c r="U103" s="355"/>
      <c r="V103" s="355"/>
      <c r="W103" s="355"/>
      <c r="X103" s="355"/>
      <c r="Y103" s="355"/>
      <c r="Z103" s="355"/>
      <c r="AA103" s="355" t="s">
        <v>544</v>
      </c>
      <c r="AB103" s="355">
        <v>50</v>
      </c>
      <c r="AC103" s="355">
        <v>10</v>
      </c>
      <c r="AD103" s="355">
        <v>0</v>
      </c>
      <c r="AE103" s="355">
        <v>50</v>
      </c>
      <c r="AF103" s="431">
        <f t="shared" si="3"/>
        <v>110</v>
      </c>
    </row>
    <row r="104" spans="1:32" ht="40.5" x14ac:dyDescent="0.25">
      <c r="A104" s="388">
        <v>46136</v>
      </c>
      <c r="B104" s="362" t="s">
        <v>109</v>
      </c>
      <c r="C104" s="363" t="s">
        <v>519</v>
      </c>
      <c r="D104" s="355" t="s">
        <v>40</v>
      </c>
      <c r="E104" s="355" t="s">
        <v>776</v>
      </c>
      <c r="F104" s="355" t="s">
        <v>578</v>
      </c>
      <c r="G104" s="355" t="s">
        <v>777</v>
      </c>
      <c r="H104" s="355" t="s">
        <v>766</v>
      </c>
      <c r="I104" s="355"/>
      <c r="J104" s="355"/>
      <c r="K104" s="355"/>
      <c r="L104" s="355"/>
      <c r="M104" s="355"/>
      <c r="N104" s="355"/>
      <c r="O104" s="355"/>
      <c r="P104" s="355"/>
      <c r="Q104" s="355"/>
      <c r="R104" s="355">
        <v>1</v>
      </c>
      <c r="S104" s="355"/>
      <c r="T104" s="355"/>
      <c r="U104" s="355"/>
      <c r="V104" s="355"/>
      <c r="W104" s="355"/>
      <c r="X104" s="355"/>
      <c r="Y104" s="355">
        <v>1</v>
      </c>
      <c r="Z104" s="355"/>
      <c r="AA104" s="355" t="s">
        <v>511</v>
      </c>
      <c r="AB104" s="355">
        <v>30</v>
      </c>
      <c r="AC104" s="355">
        <v>20</v>
      </c>
      <c r="AD104" s="355">
        <v>30</v>
      </c>
      <c r="AE104" s="355">
        <v>50</v>
      </c>
      <c r="AF104" s="431">
        <f t="shared" si="3"/>
        <v>130</v>
      </c>
    </row>
    <row r="105" spans="1:32" ht="67.5" x14ac:dyDescent="0.25">
      <c r="A105" s="388">
        <v>46139</v>
      </c>
      <c r="B105" s="362" t="s">
        <v>109</v>
      </c>
      <c r="C105" s="363" t="s">
        <v>519</v>
      </c>
      <c r="D105" s="355" t="s">
        <v>41</v>
      </c>
      <c r="E105" s="355" t="s">
        <v>778</v>
      </c>
      <c r="F105" s="355" t="s">
        <v>753</v>
      </c>
      <c r="G105" s="355" t="s">
        <v>779</v>
      </c>
      <c r="H105" s="355" t="s">
        <v>358</v>
      </c>
      <c r="I105" s="355"/>
      <c r="J105" s="355"/>
      <c r="K105" s="355"/>
      <c r="L105" s="355"/>
      <c r="M105" s="355"/>
      <c r="N105" s="355"/>
      <c r="O105" s="355"/>
      <c r="P105" s="355"/>
      <c r="Q105" s="355">
        <v>1</v>
      </c>
      <c r="R105" s="355"/>
      <c r="S105" s="355"/>
      <c r="T105" s="355"/>
      <c r="U105" s="355"/>
      <c r="V105" s="355"/>
      <c r="W105" s="355"/>
      <c r="X105" s="355"/>
      <c r="Y105" s="355"/>
      <c r="Z105" s="355"/>
      <c r="AA105" s="355" t="s">
        <v>511</v>
      </c>
      <c r="AB105" s="355">
        <v>30</v>
      </c>
      <c r="AC105" s="355">
        <v>20</v>
      </c>
      <c r="AD105" s="355">
        <v>10</v>
      </c>
      <c r="AE105" s="355">
        <v>50</v>
      </c>
      <c r="AF105" s="431">
        <f t="shared" si="3"/>
        <v>110</v>
      </c>
    </row>
    <row r="106" spans="1:32" ht="67.5" x14ac:dyDescent="0.25">
      <c r="A106" s="388">
        <v>46141</v>
      </c>
      <c r="B106" s="362" t="s">
        <v>109</v>
      </c>
      <c r="C106" s="363" t="s">
        <v>508</v>
      </c>
      <c r="D106" s="355" t="s">
        <v>40</v>
      </c>
      <c r="E106" s="355" t="s">
        <v>780</v>
      </c>
      <c r="F106" s="355" t="s">
        <v>108</v>
      </c>
      <c r="G106" s="355" t="s">
        <v>781</v>
      </c>
      <c r="H106" s="355" t="s">
        <v>393</v>
      </c>
      <c r="I106" s="355"/>
      <c r="J106" s="355">
        <v>1</v>
      </c>
      <c r="K106" s="355"/>
      <c r="L106" s="355"/>
      <c r="M106" s="355"/>
      <c r="N106" s="355"/>
      <c r="O106" s="355"/>
      <c r="P106" s="355"/>
      <c r="Q106" s="355"/>
      <c r="R106" s="355"/>
      <c r="S106" s="355"/>
      <c r="T106" s="355"/>
      <c r="U106" s="355"/>
      <c r="V106" s="355"/>
      <c r="W106" s="355"/>
      <c r="X106" s="355"/>
      <c r="Y106" s="355"/>
      <c r="Z106" s="355"/>
      <c r="AA106" s="355" t="s">
        <v>511</v>
      </c>
      <c r="AB106" s="355">
        <v>10</v>
      </c>
      <c r="AC106" s="355">
        <v>10</v>
      </c>
      <c r="AD106" s="355">
        <v>0</v>
      </c>
      <c r="AE106" s="355">
        <v>40</v>
      </c>
      <c r="AF106" s="431">
        <f t="shared" si="3"/>
        <v>60</v>
      </c>
    </row>
    <row r="107" spans="1:32" ht="67.5" x14ac:dyDescent="0.25">
      <c r="A107" s="388">
        <v>46141</v>
      </c>
      <c r="B107" s="362" t="s">
        <v>269</v>
      </c>
      <c r="C107" s="363" t="s">
        <v>508</v>
      </c>
      <c r="D107" s="355" t="s">
        <v>40</v>
      </c>
      <c r="E107" s="355" t="s">
        <v>782</v>
      </c>
      <c r="F107" s="355" t="s">
        <v>563</v>
      </c>
      <c r="G107" s="355" t="s">
        <v>783</v>
      </c>
      <c r="H107" s="355" t="s">
        <v>784</v>
      </c>
      <c r="I107" s="355"/>
      <c r="J107" s="355"/>
      <c r="K107" s="355"/>
      <c r="L107" s="355"/>
      <c r="M107" s="355"/>
      <c r="N107" s="355"/>
      <c r="O107" s="355"/>
      <c r="P107" s="355"/>
      <c r="Q107" s="355"/>
      <c r="R107" s="355"/>
      <c r="S107" s="355"/>
      <c r="T107" s="355"/>
      <c r="U107" s="355">
        <v>1</v>
      </c>
      <c r="V107" s="355"/>
      <c r="W107" s="355"/>
      <c r="X107" s="355"/>
      <c r="Y107" s="355"/>
      <c r="Z107" s="355"/>
      <c r="AA107" s="355" t="s">
        <v>511</v>
      </c>
      <c r="AB107" s="355">
        <v>10</v>
      </c>
      <c r="AC107" s="355">
        <v>20</v>
      </c>
      <c r="AD107" s="355">
        <v>0</v>
      </c>
      <c r="AE107" s="355">
        <v>30</v>
      </c>
      <c r="AF107" s="431">
        <f t="shared" si="3"/>
        <v>60</v>
      </c>
    </row>
    <row r="108" spans="1:32" ht="54" x14ac:dyDescent="0.25">
      <c r="A108" s="388">
        <v>46141</v>
      </c>
      <c r="B108" s="362" t="s">
        <v>100</v>
      </c>
      <c r="C108" s="363" t="s">
        <v>519</v>
      </c>
      <c r="D108" s="355" t="s">
        <v>40</v>
      </c>
      <c r="E108" s="355" t="s">
        <v>785</v>
      </c>
      <c r="F108" s="355" t="s">
        <v>603</v>
      </c>
      <c r="G108" s="355" t="s">
        <v>786</v>
      </c>
      <c r="H108" s="355" t="s">
        <v>787</v>
      </c>
      <c r="I108" s="355"/>
      <c r="J108" s="355">
        <v>1</v>
      </c>
      <c r="K108" s="355"/>
      <c r="L108" s="355"/>
      <c r="M108" s="355"/>
      <c r="N108" s="355"/>
      <c r="O108" s="355"/>
      <c r="P108" s="355"/>
      <c r="Q108" s="355"/>
      <c r="R108" s="355"/>
      <c r="S108" s="355"/>
      <c r="T108" s="355"/>
      <c r="U108" s="355"/>
      <c r="V108" s="355"/>
      <c r="W108" s="355"/>
      <c r="X108" s="355"/>
      <c r="Y108" s="355"/>
      <c r="Z108" s="355"/>
      <c r="AA108" s="355" t="s">
        <v>511</v>
      </c>
      <c r="AB108" s="355">
        <v>50</v>
      </c>
      <c r="AC108" s="355">
        <v>20</v>
      </c>
      <c r="AD108" s="355">
        <v>0</v>
      </c>
      <c r="AE108" s="355">
        <v>30</v>
      </c>
      <c r="AF108" s="431">
        <f t="shared" si="3"/>
        <v>100</v>
      </c>
    </row>
    <row r="109" spans="1:32" ht="67.5" x14ac:dyDescent="0.25">
      <c r="A109" s="388">
        <v>46141</v>
      </c>
      <c r="B109" s="362" t="s">
        <v>100</v>
      </c>
      <c r="C109" s="363" t="s">
        <v>519</v>
      </c>
      <c r="D109" s="355" t="s">
        <v>40</v>
      </c>
      <c r="E109" s="355" t="s">
        <v>788</v>
      </c>
      <c r="F109" s="355" t="s">
        <v>603</v>
      </c>
      <c r="G109" s="355" t="s">
        <v>789</v>
      </c>
      <c r="H109" s="355" t="s">
        <v>787</v>
      </c>
      <c r="I109" s="355"/>
      <c r="J109" s="355"/>
      <c r="K109" s="355"/>
      <c r="L109" s="355"/>
      <c r="M109" s="355"/>
      <c r="N109" s="355"/>
      <c r="O109" s="355"/>
      <c r="P109" s="355"/>
      <c r="Q109" s="355"/>
      <c r="R109" s="355"/>
      <c r="S109" s="355"/>
      <c r="T109" s="355"/>
      <c r="U109" s="355"/>
      <c r="V109" s="355"/>
      <c r="W109" s="355"/>
      <c r="X109" s="355"/>
      <c r="Y109" s="355"/>
      <c r="Z109" s="355"/>
      <c r="AA109" s="355" t="s">
        <v>511</v>
      </c>
      <c r="AB109" s="355">
        <v>10</v>
      </c>
      <c r="AC109" s="355">
        <v>10</v>
      </c>
      <c r="AD109" s="355">
        <v>0</v>
      </c>
      <c r="AE109" s="355">
        <v>50</v>
      </c>
      <c r="AF109" s="431">
        <f t="shared" si="3"/>
        <v>70</v>
      </c>
    </row>
    <row r="110" spans="1:32" ht="40.5" x14ac:dyDescent="0.25">
      <c r="A110" s="388">
        <v>46142</v>
      </c>
      <c r="B110" s="362" t="s">
        <v>54</v>
      </c>
      <c r="C110" s="363" t="s">
        <v>508</v>
      </c>
      <c r="D110" s="355" t="s">
        <v>40</v>
      </c>
      <c r="E110" s="355" t="s">
        <v>790</v>
      </c>
      <c r="F110" s="355" t="s">
        <v>77</v>
      </c>
      <c r="G110" s="355" t="s">
        <v>791</v>
      </c>
      <c r="H110" s="355" t="s">
        <v>214</v>
      </c>
      <c r="I110" s="355"/>
      <c r="J110" s="355"/>
      <c r="K110" s="355"/>
      <c r="L110" s="355"/>
      <c r="M110" s="355"/>
      <c r="N110" s="355"/>
      <c r="O110" s="355"/>
      <c r="P110" s="355">
        <v>1</v>
      </c>
      <c r="Q110" s="355"/>
      <c r="R110" s="355"/>
      <c r="S110" s="355"/>
      <c r="T110" s="355"/>
      <c r="U110" s="355"/>
      <c r="V110" s="355"/>
      <c r="W110" s="355"/>
      <c r="X110" s="355"/>
      <c r="Y110" s="355"/>
      <c r="Z110" s="355"/>
      <c r="AA110" s="355" t="s">
        <v>511</v>
      </c>
      <c r="AB110" s="355">
        <v>10</v>
      </c>
      <c r="AC110" s="355">
        <v>10</v>
      </c>
      <c r="AD110" s="355">
        <v>10</v>
      </c>
      <c r="AE110" s="355">
        <v>50</v>
      </c>
      <c r="AF110" s="431">
        <f t="shared" si="3"/>
        <v>80</v>
      </c>
    </row>
    <row r="111" spans="1:32" ht="40.5" x14ac:dyDescent="0.25">
      <c r="A111" s="388">
        <v>46142</v>
      </c>
      <c r="B111" s="362" t="s">
        <v>159</v>
      </c>
      <c r="C111" s="363" t="s">
        <v>519</v>
      </c>
      <c r="D111" s="355" t="s">
        <v>40</v>
      </c>
      <c r="E111" s="355" t="s">
        <v>792</v>
      </c>
      <c r="F111" s="355" t="s">
        <v>692</v>
      </c>
      <c r="G111" s="355" t="s">
        <v>793</v>
      </c>
      <c r="H111" s="355" t="s">
        <v>794</v>
      </c>
      <c r="I111" s="355"/>
      <c r="J111" s="355"/>
      <c r="K111" s="355"/>
      <c r="L111" s="355">
        <v>1</v>
      </c>
      <c r="M111" s="355"/>
      <c r="N111" s="355"/>
      <c r="O111" s="355"/>
      <c r="P111" s="355"/>
      <c r="Q111" s="355">
        <v>1</v>
      </c>
      <c r="R111" s="355"/>
      <c r="S111" s="355"/>
      <c r="T111" s="355"/>
      <c r="U111" s="355"/>
      <c r="V111" s="355"/>
      <c r="W111" s="355"/>
      <c r="X111" s="355"/>
      <c r="Y111" s="355"/>
      <c r="Z111" s="355"/>
      <c r="AA111" s="355" t="s">
        <v>511</v>
      </c>
      <c r="AB111" s="355">
        <v>30</v>
      </c>
      <c r="AC111" s="355">
        <v>10</v>
      </c>
      <c r="AD111" s="355">
        <v>0</v>
      </c>
      <c r="AE111" s="355">
        <v>30</v>
      </c>
      <c r="AF111" s="431">
        <f t="shared" si="3"/>
        <v>70</v>
      </c>
    </row>
    <row r="112" spans="1:32" ht="81" x14ac:dyDescent="0.25">
      <c r="A112" s="388">
        <v>46142</v>
      </c>
      <c r="B112" s="362" t="s">
        <v>501</v>
      </c>
      <c r="C112" s="363" t="s">
        <v>508</v>
      </c>
      <c r="D112" s="355" t="s">
        <v>40</v>
      </c>
      <c r="E112" s="355" t="s">
        <v>2403</v>
      </c>
      <c r="F112" s="355" t="s">
        <v>539</v>
      </c>
      <c r="G112" s="355" t="s">
        <v>2404</v>
      </c>
      <c r="H112" s="355" t="s">
        <v>259</v>
      </c>
      <c r="I112" s="355">
        <v>1</v>
      </c>
      <c r="J112" s="355"/>
      <c r="K112" s="355"/>
      <c r="L112" s="355"/>
      <c r="M112" s="355"/>
      <c r="N112" s="355"/>
      <c r="O112" s="355"/>
      <c r="P112" s="355"/>
      <c r="Q112" s="355"/>
      <c r="R112" s="355"/>
      <c r="S112" s="355"/>
      <c r="T112" s="355"/>
      <c r="U112" s="355"/>
      <c r="V112" s="355"/>
      <c r="W112" s="355"/>
      <c r="X112" s="355"/>
      <c r="Y112" s="355"/>
      <c r="Z112" s="355"/>
      <c r="AA112" s="355" t="s">
        <v>511</v>
      </c>
      <c r="AB112" s="355">
        <v>10</v>
      </c>
      <c r="AC112" s="355">
        <v>30</v>
      </c>
      <c r="AD112" s="355">
        <v>30</v>
      </c>
      <c r="AE112" s="355">
        <v>20</v>
      </c>
      <c r="AF112" s="431">
        <f t="shared" si="3"/>
        <v>90</v>
      </c>
    </row>
    <row r="113" spans="1:32" ht="81" x14ac:dyDescent="0.25">
      <c r="A113" s="388">
        <v>46148</v>
      </c>
      <c r="B113" s="362" t="s">
        <v>159</v>
      </c>
      <c r="C113" s="363" t="s">
        <v>508</v>
      </c>
      <c r="D113" s="355" t="s">
        <v>40</v>
      </c>
      <c r="E113" s="355" t="s">
        <v>795</v>
      </c>
      <c r="F113" s="355" t="s">
        <v>796</v>
      </c>
      <c r="G113" s="355" t="s">
        <v>797</v>
      </c>
      <c r="H113" s="355" t="s">
        <v>798</v>
      </c>
      <c r="I113" s="355"/>
      <c r="J113" s="355"/>
      <c r="K113" s="355"/>
      <c r="L113" s="355"/>
      <c r="M113" s="355"/>
      <c r="N113" s="355"/>
      <c r="O113" s="355"/>
      <c r="P113" s="355"/>
      <c r="Q113" s="355"/>
      <c r="R113" s="355">
        <v>1</v>
      </c>
      <c r="S113" s="355"/>
      <c r="T113" s="355"/>
      <c r="U113" s="355"/>
      <c r="V113" s="355"/>
      <c r="W113" s="355"/>
      <c r="X113" s="355"/>
      <c r="Y113" s="355"/>
      <c r="Z113" s="355"/>
      <c r="AA113" s="355" t="s">
        <v>511</v>
      </c>
      <c r="AB113" s="355">
        <v>10</v>
      </c>
      <c r="AC113" s="355">
        <v>20</v>
      </c>
      <c r="AD113" s="355">
        <v>0</v>
      </c>
      <c r="AE113" s="355">
        <v>30</v>
      </c>
      <c r="AF113" s="431">
        <f t="shared" si="3"/>
        <v>60</v>
      </c>
    </row>
    <row r="114" spans="1:32" x14ac:dyDescent="0.25">
      <c r="A114" s="362"/>
      <c r="B114" s="362"/>
      <c r="C114" s="363"/>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431">
        <f t="shared" si="3"/>
        <v>0</v>
      </c>
    </row>
    <row r="115" spans="1:32" x14ac:dyDescent="0.25">
      <c r="A115" s="355"/>
      <c r="B115" s="362"/>
      <c r="C115" s="363"/>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431">
        <f t="shared" si="3"/>
        <v>0</v>
      </c>
    </row>
    <row r="116" spans="1:32" x14ac:dyDescent="0.25">
      <c r="A116" s="362"/>
      <c r="B116" s="362"/>
      <c r="C116" s="363"/>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431">
        <f t="shared" si="3"/>
        <v>0</v>
      </c>
    </row>
    <row r="117" spans="1:32" x14ac:dyDescent="0.25">
      <c r="A117" s="362"/>
      <c r="B117" s="362"/>
      <c r="C117" s="363"/>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431">
        <f t="shared" si="3"/>
        <v>0</v>
      </c>
    </row>
    <row r="118" spans="1:32" x14ac:dyDescent="0.25">
      <c r="A118" s="362"/>
      <c r="B118" s="362"/>
      <c r="C118" s="363"/>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431">
        <f t="shared" si="3"/>
        <v>0</v>
      </c>
    </row>
    <row r="119" spans="1:32" x14ac:dyDescent="0.25">
      <c r="A119" s="362"/>
      <c r="B119" s="362"/>
      <c r="C119" s="363"/>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431">
        <f t="shared" si="3"/>
        <v>0</v>
      </c>
    </row>
    <row r="120" spans="1:32" x14ac:dyDescent="0.25">
      <c r="A120" s="362"/>
      <c r="B120" s="362"/>
      <c r="C120" s="363"/>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431">
        <f t="shared" si="3"/>
        <v>0</v>
      </c>
    </row>
    <row r="121" spans="1:32" x14ac:dyDescent="0.25">
      <c r="A121" s="362"/>
      <c r="B121" s="362"/>
      <c r="C121" s="363"/>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431">
        <f t="shared" si="3"/>
        <v>0</v>
      </c>
    </row>
    <row r="122" spans="1:32" x14ac:dyDescent="0.25">
      <c r="A122" s="362"/>
      <c r="B122" s="362"/>
      <c r="C122" s="363"/>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431">
        <f t="shared" si="3"/>
        <v>0</v>
      </c>
    </row>
    <row r="123" spans="1:32" x14ac:dyDescent="0.25">
      <c r="A123" s="362"/>
      <c r="B123" s="362"/>
      <c r="C123" s="363"/>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431">
        <f t="shared" si="3"/>
        <v>0</v>
      </c>
    </row>
    <row r="124" spans="1:32" x14ac:dyDescent="0.25">
      <c r="A124" s="362"/>
      <c r="B124" s="362"/>
      <c r="C124" s="363"/>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55"/>
      <c r="AA124" s="355"/>
      <c r="AB124" s="355"/>
      <c r="AC124" s="355"/>
      <c r="AD124" s="355"/>
      <c r="AE124" s="355"/>
      <c r="AF124" s="431">
        <f t="shared" si="3"/>
        <v>0</v>
      </c>
    </row>
    <row r="125" spans="1:32" x14ac:dyDescent="0.25">
      <c r="A125" s="362"/>
      <c r="B125" s="362"/>
      <c r="C125" s="363"/>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55"/>
      <c r="AA125" s="355"/>
      <c r="AB125" s="355"/>
      <c r="AC125" s="355"/>
      <c r="AD125" s="355"/>
      <c r="AE125" s="355"/>
      <c r="AF125" s="431">
        <f t="shared" si="3"/>
        <v>0</v>
      </c>
    </row>
    <row r="126" spans="1:32" ht="15.75" thickBot="1" x14ac:dyDescent="0.3">
      <c r="A126" s="364"/>
      <c r="B126" s="364"/>
      <c r="C126" s="365"/>
      <c r="D126" s="356"/>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c r="AA126" s="356"/>
      <c r="AB126" s="356"/>
      <c r="AC126" s="356"/>
      <c r="AD126" s="356"/>
      <c r="AE126" s="356"/>
      <c r="AF126" s="431">
        <f t="shared" si="3"/>
        <v>0</v>
      </c>
    </row>
  </sheetData>
  <autoFilter ref="A2:AF126" xr:uid="{7C717F9F-D1AD-4153-BDEC-F96F3F40B03C}">
    <sortState xmlns:xlrd2="http://schemas.microsoft.com/office/spreadsheetml/2017/richdata2" ref="A3:AF126">
      <sortCondition ref="A2:A126"/>
    </sortState>
  </autoFilter>
  <mergeCells count="1">
    <mergeCell ref="E1:H1"/>
  </mergeCells>
  <conditionalFormatting sqref="A3:AF126 AG3:XFD21">
    <cfRule type="expression" dxfId="29" priority="7">
      <formula>MOD(ROW(),2)</formula>
    </cfRule>
  </conditionalFormatting>
  <conditionalFormatting sqref="D3:D126">
    <cfRule type="containsText" dxfId="28" priority="3" operator="containsText" text="OUI">
      <formula>NOT(ISERROR(SEARCH("OUI",D3)))</formula>
    </cfRule>
  </conditionalFormatting>
  <conditionalFormatting sqref="AF3:AF126">
    <cfRule type="colorScale" priority="411">
      <colorScale>
        <cfvo type="min"/>
        <cfvo type="percentile" val="50"/>
        <cfvo type="max"/>
        <color rgb="FF01DDB3"/>
        <color rgb="FFFF9900"/>
        <color rgb="FFFF0000"/>
      </colorScale>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filterMode="1">
    <tabColor rgb="FF993300"/>
  </sheetPr>
  <dimension ref="A1:JT101"/>
  <sheetViews>
    <sheetView topLeftCell="B1" zoomScaleNormal="100" workbookViewId="0">
      <pane xSplit="4" topLeftCell="F1" activePane="topRight" state="frozen"/>
      <selection activeCell="B1" sqref="B1"/>
      <selection pane="topRight" activeCell="J60" sqref="J60"/>
    </sheetView>
  </sheetViews>
  <sheetFormatPr baseColWidth="10" defaultColWidth="11.5703125" defaultRowHeight="15" x14ac:dyDescent="0.25"/>
  <cols>
    <col min="1" max="3" width="11.5703125" style="5"/>
    <col min="4" max="4" width="15" style="5" bestFit="1" customWidth="1"/>
    <col min="5" max="5" width="22.85546875" style="151" customWidth="1"/>
    <col min="6" max="6" width="11.7109375" style="5" customWidth="1"/>
    <col min="7" max="11" width="10.7109375" style="5" customWidth="1"/>
    <col min="12" max="12" width="10.7109375" style="5" customWidth="1" collapsed="1"/>
    <col min="13" max="17" width="10.7109375" style="5" customWidth="1"/>
    <col min="18" max="18" width="14.28515625" style="5" customWidth="1"/>
    <col min="19" max="31" width="11.5703125" style="5"/>
    <col min="32" max="32" width="17.7109375" style="5" customWidth="1"/>
    <col min="33" max="16384" width="11.5703125" style="5"/>
  </cols>
  <sheetData>
    <row r="1" spans="1:280" s="12" customFormat="1" ht="49.9" customHeight="1" thickBot="1" x14ac:dyDescent="0.3">
      <c r="A1" s="1" t="s">
        <v>470</v>
      </c>
      <c r="B1" s="153"/>
      <c r="C1" s="154" t="s">
        <v>475</v>
      </c>
      <c r="D1" s="155">
        <f ca="1">TODAY()</f>
        <v>46161</v>
      </c>
      <c r="E1" s="156"/>
      <c r="F1" s="511" t="s">
        <v>799</v>
      </c>
      <c r="G1" s="512"/>
      <c r="H1" s="512"/>
      <c r="I1" s="512"/>
      <c r="J1" s="512"/>
      <c r="K1" s="512"/>
      <c r="L1" s="512"/>
      <c r="M1" s="512"/>
      <c r="N1" s="512"/>
      <c r="O1" s="512"/>
      <c r="P1" s="512"/>
      <c r="Q1" s="512"/>
      <c r="R1" s="509" t="s">
        <v>800</v>
      </c>
      <c r="S1" s="510"/>
      <c r="T1" s="513" t="s">
        <v>801</v>
      </c>
      <c r="U1" s="513"/>
      <c r="V1" s="513"/>
      <c r="W1" s="513"/>
      <c r="X1" s="513"/>
      <c r="Y1" s="513"/>
      <c r="Z1" s="513"/>
      <c r="AA1" s="513"/>
      <c r="AB1" s="513"/>
      <c r="AC1" s="513"/>
      <c r="AD1" s="513"/>
      <c r="AE1" s="513"/>
      <c r="AF1" s="514" t="s">
        <v>800</v>
      </c>
      <c r="AG1" s="515"/>
    </row>
    <row r="2" spans="1:280" s="12" customFormat="1" ht="43.5" thickBot="1" x14ac:dyDescent="0.3">
      <c r="A2" s="4" t="s">
        <v>141</v>
      </c>
      <c r="B2" s="147" t="s">
        <v>140</v>
      </c>
      <c r="C2" s="147" t="s">
        <v>802</v>
      </c>
      <c r="D2" s="147" t="s">
        <v>803</v>
      </c>
      <c r="E2" s="147" t="s">
        <v>804</v>
      </c>
      <c r="F2" s="148" t="s">
        <v>144</v>
      </c>
      <c r="G2" s="149" t="s">
        <v>438</v>
      </c>
      <c r="H2" s="149" t="s">
        <v>439</v>
      </c>
      <c r="I2" s="149" t="s">
        <v>147</v>
      </c>
      <c r="J2" s="149" t="s">
        <v>148</v>
      </c>
      <c r="K2" s="149" t="s">
        <v>149</v>
      </c>
      <c r="L2" s="149" t="s">
        <v>150</v>
      </c>
      <c r="M2" s="149" t="s">
        <v>151</v>
      </c>
      <c r="N2" s="136" t="s">
        <v>152</v>
      </c>
      <c r="O2" s="149" t="s">
        <v>153</v>
      </c>
      <c r="P2" s="149" t="s">
        <v>154</v>
      </c>
      <c r="Q2" s="307" t="s">
        <v>155</v>
      </c>
      <c r="R2" s="346" t="s">
        <v>805</v>
      </c>
      <c r="S2" s="347" t="s">
        <v>806</v>
      </c>
      <c r="T2" s="148" t="s">
        <v>144</v>
      </c>
      <c r="U2" s="149" t="s">
        <v>438</v>
      </c>
      <c r="V2" s="149" t="s">
        <v>439</v>
      </c>
      <c r="W2" s="149" t="s">
        <v>147</v>
      </c>
      <c r="X2" s="149" t="s">
        <v>148</v>
      </c>
      <c r="Y2" s="149" t="s">
        <v>149</v>
      </c>
      <c r="Z2" s="149" t="s">
        <v>150</v>
      </c>
      <c r="AA2" s="149" t="s">
        <v>151</v>
      </c>
      <c r="AB2" s="136" t="s">
        <v>152</v>
      </c>
      <c r="AC2" s="149" t="s">
        <v>153</v>
      </c>
      <c r="AD2" s="149" t="s">
        <v>154</v>
      </c>
      <c r="AE2" s="307" t="s">
        <v>155</v>
      </c>
      <c r="AF2" s="149" t="s">
        <v>807</v>
      </c>
      <c r="AG2" s="399" t="s">
        <v>806</v>
      </c>
    </row>
    <row r="3" spans="1:280" s="13" customFormat="1" ht="13.9" hidden="1" customHeight="1" x14ac:dyDescent="0.25">
      <c r="A3" s="16"/>
      <c r="B3" s="144" t="s">
        <v>54</v>
      </c>
      <c r="C3" s="144" t="s">
        <v>34</v>
      </c>
      <c r="D3" s="144" t="s">
        <v>299</v>
      </c>
      <c r="E3" s="144" t="s">
        <v>300</v>
      </c>
      <c r="F3" s="145">
        <v>1</v>
      </c>
      <c r="G3" s="34">
        <v>2</v>
      </c>
      <c r="H3" s="34">
        <v>0</v>
      </c>
      <c r="I3" s="34">
        <v>1</v>
      </c>
      <c r="J3" s="34"/>
      <c r="K3" s="34"/>
      <c r="L3" s="34"/>
      <c r="M3" s="34"/>
      <c r="N3" s="34"/>
      <c r="O3" s="34"/>
      <c r="P3" s="34"/>
      <c r="Q3" s="35"/>
      <c r="R3" s="176">
        <f t="shared" ref="R3:R34" si="0">F3+G3+H3+I3+J3+K3+L3+M3+N3+O3+P3+Q3</f>
        <v>4</v>
      </c>
      <c r="S3" s="348">
        <v>12</v>
      </c>
      <c r="T3" s="145"/>
      <c r="U3" s="34"/>
      <c r="V3" s="34"/>
      <c r="W3" s="34"/>
      <c r="X3" s="34"/>
      <c r="Y3" s="34"/>
      <c r="Z3" s="34"/>
      <c r="AA3" s="34"/>
      <c r="AB3" s="34"/>
      <c r="AC3" s="34"/>
      <c r="AD3" s="34"/>
      <c r="AE3" s="35"/>
      <c r="AF3" s="176">
        <f t="shared" ref="AF3:AF34" si="1">T3+U3+V3+W3+X3+Y3+Z3+AA3+AB3+AC3+AD3+AE3</f>
        <v>0</v>
      </c>
      <c r="AG3" s="400">
        <v>12</v>
      </c>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row>
    <row r="4" spans="1:280" s="13" customFormat="1" ht="14.65" customHeight="1" thickBot="1" x14ac:dyDescent="0.3">
      <c r="A4" s="17"/>
      <c r="B4" s="94" t="s">
        <v>159</v>
      </c>
      <c r="C4" s="94" t="s">
        <v>45</v>
      </c>
      <c r="D4" s="94" t="s">
        <v>301</v>
      </c>
      <c r="E4" s="94" t="s">
        <v>302</v>
      </c>
      <c r="F4" s="146">
        <v>1</v>
      </c>
      <c r="G4" s="33">
        <v>1</v>
      </c>
      <c r="H4" s="33">
        <v>1</v>
      </c>
      <c r="I4" s="33">
        <v>1</v>
      </c>
      <c r="J4" s="33"/>
      <c r="K4" s="33"/>
      <c r="L4" s="33"/>
      <c r="M4" s="33"/>
      <c r="N4" s="33"/>
      <c r="O4" s="33"/>
      <c r="P4" s="33"/>
      <c r="Q4" s="35"/>
      <c r="R4" s="176">
        <f t="shared" si="0"/>
        <v>4</v>
      </c>
      <c r="S4" s="349">
        <v>12</v>
      </c>
      <c r="T4" s="146"/>
      <c r="U4" s="33"/>
      <c r="V4" s="33">
        <v>1</v>
      </c>
      <c r="W4" s="33">
        <v>1</v>
      </c>
      <c r="X4" s="33"/>
      <c r="Y4" s="33"/>
      <c r="Z4" s="33"/>
      <c r="AA4" s="33"/>
      <c r="AB4" s="33"/>
      <c r="AC4" s="33"/>
      <c r="AD4" s="33"/>
      <c r="AE4" s="35"/>
      <c r="AF4" s="176">
        <f t="shared" si="1"/>
        <v>2</v>
      </c>
      <c r="AG4" s="177">
        <v>12</v>
      </c>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row>
    <row r="5" spans="1:280" hidden="1" x14ac:dyDescent="0.25">
      <c r="A5" s="9"/>
      <c r="B5" s="94" t="s">
        <v>168</v>
      </c>
      <c r="C5" s="94" t="s">
        <v>168</v>
      </c>
      <c r="D5" s="94" t="s">
        <v>301</v>
      </c>
      <c r="E5" s="94" t="s">
        <v>303</v>
      </c>
      <c r="F5" s="146"/>
      <c r="G5" s="33">
        <v>1</v>
      </c>
      <c r="H5" s="33"/>
      <c r="I5" s="33">
        <v>2</v>
      </c>
      <c r="J5" s="33"/>
      <c r="K5" s="33"/>
      <c r="L5" s="33"/>
      <c r="M5" s="33"/>
      <c r="N5" s="33"/>
      <c r="O5" s="33"/>
      <c r="P5" s="33"/>
      <c r="Q5" s="35"/>
      <c r="R5" s="176">
        <f t="shared" si="0"/>
        <v>3</v>
      </c>
      <c r="S5" s="349">
        <v>12</v>
      </c>
      <c r="T5" s="146"/>
      <c r="U5" s="33"/>
      <c r="V5" s="33"/>
      <c r="W5" s="33"/>
      <c r="X5" s="33"/>
      <c r="Y5" s="33"/>
      <c r="Z5" s="33"/>
      <c r="AA5" s="33"/>
      <c r="AB5" s="33"/>
      <c r="AC5" s="33"/>
      <c r="AD5" s="33"/>
      <c r="AE5" s="35"/>
      <c r="AF5" s="176">
        <f t="shared" si="1"/>
        <v>0</v>
      </c>
      <c r="AG5" s="177">
        <v>12</v>
      </c>
    </row>
    <row r="6" spans="1:280" s="13" customFormat="1" hidden="1" x14ac:dyDescent="0.25">
      <c r="A6" s="14" t="s">
        <v>82</v>
      </c>
      <c r="B6" s="94" t="s">
        <v>109</v>
      </c>
      <c r="C6" s="94" t="s">
        <v>34</v>
      </c>
      <c r="D6" s="94" t="s">
        <v>301</v>
      </c>
      <c r="E6" s="94" t="s">
        <v>304</v>
      </c>
      <c r="F6" s="146">
        <v>1</v>
      </c>
      <c r="G6" s="33">
        <v>0</v>
      </c>
      <c r="H6" s="33">
        <v>1</v>
      </c>
      <c r="I6" s="33">
        <v>2</v>
      </c>
      <c r="J6" s="33"/>
      <c r="K6" s="33"/>
      <c r="L6" s="33"/>
      <c r="M6" s="33"/>
      <c r="N6" s="33"/>
      <c r="O6" s="33"/>
      <c r="P6" s="33"/>
      <c r="Q6" s="35"/>
      <c r="R6" s="176">
        <f t="shared" si="0"/>
        <v>4</v>
      </c>
      <c r="S6" s="349">
        <v>12</v>
      </c>
      <c r="T6" s="146">
        <v>10</v>
      </c>
      <c r="U6" s="33"/>
      <c r="V6" s="33">
        <v>1</v>
      </c>
      <c r="W6" s="33">
        <v>4</v>
      </c>
      <c r="X6" s="33"/>
      <c r="Y6" s="33"/>
      <c r="Z6" s="33"/>
      <c r="AA6" s="33"/>
      <c r="AB6" s="33"/>
      <c r="AC6" s="33"/>
      <c r="AD6" s="33"/>
      <c r="AE6" s="35"/>
      <c r="AF6" s="176">
        <f t="shared" si="1"/>
        <v>15</v>
      </c>
      <c r="AG6" s="177">
        <v>12</v>
      </c>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row>
    <row r="7" spans="1:280" s="13" customFormat="1" hidden="1" x14ac:dyDescent="0.25">
      <c r="A7" s="15"/>
      <c r="B7" s="94" t="s">
        <v>305</v>
      </c>
      <c r="C7" s="94" t="s">
        <v>34</v>
      </c>
      <c r="D7" s="94" t="s">
        <v>306</v>
      </c>
      <c r="E7" s="94" t="s">
        <v>307</v>
      </c>
      <c r="F7" s="146">
        <v>2</v>
      </c>
      <c r="G7" s="33">
        <v>1</v>
      </c>
      <c r="H7" s="33">
        <v>1</v>
      </c>
      <c r="I7" s="33">
        <v>2</v>
      </c>
      <c r="J7" s="33"/>
      <c r="K7" s="33"/>
      <c r="L7" s="33"/>
      <c r="M7" s="33"/>
      <c r="N7" s="33"/>
      <c r="O7" s="33"/>
      <c r="P7" s="33"/>
      <c r="Q7" s="35"/>
      <c r="R7" s="176">
        <f t="shared" si="0"/>
        <v>6</v>
      </c>
      <c r="S7" s="349">
        <v>12</v>
      </c>
      <c r="T7" s="146"/>
      <c r="U7" s="33"/>
      <c r="V7" s="33"/>
      <c r="W7" s="33"/>
      <c r="X7" s="33"/>
      <c r="Y7" s="33"/>
      <c r="Z7" s="33"/>
      <c r="AA7" s="33"/>
      <c r="AB7" s="33"/>
      <c r="AC7" s="33"/>
      <c r="AD7" s="33"/>
      <c r="AE7" s="35"/>
      <c r="AF7" s="176">
        <f t="shared" si="1"/>
        <v>0</v>
      </c>
      <c r="AG7" s="177">
        <v>12</v>
      </c>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row>
    <row r="8" spans="1:280" s="13" customFormat="1" hidden="1" x14ac:dyDescent="0.25">
      <c r="A8" s="15"/>
      <c r="B8" s="94" t="s">
        <v>168</v>
      </c>
      <c r="C8" s="94" t="s">
        <v>168</v>
      </c>
      <c r="D8" s="94" t="s">
        <v>301</v>
      </c>
      <c r="E8" s="94" t="s">
        <v>808</v>
      </c>
      <c r="F8" s="146">
        <v>1</v>
      </c>
      <c r="G8" s="33">
        <v>1</v>
      </c>
      <c r="H8" s="33">
        <v>1</v>
      </c>
      <c r="I8" s="33">
        <v>5</v>
      </c>
      <c r="J8" s="33"/>
      <c r="K8" s="33"/>
      <c r="L8" s="33"/>
      <c r="M8" s="33"/>
      <c r="N8" s="33"/>
      <c r="O8" s="33"/>
      <c r="P8" s="33"/>
      <c r="Q8" s="35"/>
      <c r="R8" s="176">
        <f t="shared" si="0"/>
        <v>8</v>
      </c>
      <c r="S8" s="349">
        <v>12</v>
      </c>
      <c r="T8" s="146"/>
      <c r="U8" s="33"/>
      <c r="V8" s="33"/>
      <c r="W8" s="33"/>
      <c r="X8" s="33"/>
      <c r="Y8" s="33"/>
      <c r="Z8" s="33"/>
      <c r="AA8" s="33"/>
      <c r="AB8" s="33"/>
      <c r="AC8" s="33"/>
      <c r="AD8" s="33"/>
      <c r="AE8" s="35"/>
      <c r="AF8" s="176">
        <f t="shared" si="1"/>
        <v>0</v>
      </c>
      <c r="AG8" s="177">
        <v>12</v>
      </c>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row>
    <row r="9" spans="1:280" s="13" customFormat="1" hidden="1" x14ac:dyDescent="0.25">
      <c r="A9" s="15"/>
      <c r="B9" s="94" t="s">
        <v>181</v>
      </c>
      <c r="C9" s="94" t="s">
        <v>168</v>
      </c>
      <c r="D9" s="94" t="s">
        <v>306</v>
      </c>
      <c r="E9" s="94" t="s">
        <v>809</v>
      </c>
      <c r="F9" s="146">
        <v>1</v>
      </c>
      <c r="G9" s="33">
        <v>1</v>
      </c>
      <c r="H9" s="33">
        <v>2</v>
      </c>
      <c r="I9" s="33">
        <v>2</v>
      </c>
      <c r="J9" s="33"/>
      <c r="K9" s="33"/>
      <c r="L9" s="33"/>
      <c r="M9" s="33"/>
      <c r="N9" s="33"/>
      <c r="O9" s="33"/>
      <c r="P9" s="33"/>
      <c r="Q9" s="35"/>
      <c r="R9" s="176">
        <f t="shared" si="0"/>
        <v>6</v>
      </c>
      <c r="S9" s="349">
        <v>12</v>
      </c>
      <c r="T9" s="146"/>
      <c r="U9" s="33"/>
      <c r="V9" s="33"/>
      <c r="W9" s="33"/>
      <c r="X9" s="33"/>
      <c r="Y9" s="33"/>
      <c r="Z9" s="33"/>
      <c r="AA9" s="33"/>
      <c r="AB9" s="33"/>
      <c r="AC9" s="33"/>
      <c r="AD9" s="33"/>
      <c r="AE9" s="35"/>
      <c r="AF9" s="176">
        <f t="shared" si="1"/>
        <v>0</v>
      </c>
      <c r="AG9" s="177">
        <v>12</v>
      </c>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row>
    <row r="10" spans="1:280" s="13" customFormat="1" hidden="1" x14ac:dyDescent="0.25">
      <c r="A10" s="15"/>
      <c r="B10" s="144" t="s">
        <v>192</v>
      </c>
      <c r="C10" s="94" t="s">
        <v>34</v>
      </c>
      <c r="D10" s="94" t="s">
        <v>301</v>
      </c>
      <c r="E10" s="94" t="s">
        <v>308</v>
      </c>
      <c r="F10" s="146">
        <v>1</v>
      </c>
      <c r="G10" s="33"/>
      <c r="H10" s="33"/>
      <c r="I10" s="33"/>
      <c r="J10" s="33"/>
      <c r="K10" s="33"/>
      <c r="L10" s="33"/>
      <c r="M10" s="33"/>
      <c r="N10" s="33"/>
      <c r="O10" s="33"/>
      <c r="P10" s="33"/>
      <c r="Q10" s="35"/>
      <c r="R10" s="176">
        <f t="shared" si="0"/>
        <v>1</v>
      </c>
      <c r="S10" s="349">
        <v>12</v>
      </c>
      <c r="T10" s="146"/>
      <c r="U10" s="33"/>
      <c r="V10" s="33"/>
      <c r="W10" s="33"/>
      <c r="X10" s="33"/>
      <c r="Y10" s="33"/>
      <c r="Z10" s="33"/>
      <c r="AA10" s="33"/>
      <c r="AB10" s="33"/>
      <c r="AC10" s="33"/>
      <c r="AD10" s="33"/>
      <c r="AE10" s="35"/>
      <c r="AF10" s="176">
        <f t="shared" si="1"/>
        <v>0</v>
      </c>
      <c r="AG10" s="177">
        <v>12</v>
      </c>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row>
    <row r="11" spans="1:280" s="13" customFormat="1" hidden="1" x14ac:dyDescent="0.25">
      <c r="A11" s="15"/>
      <c r="B11" s="94" t="s">
        <v>54</v>
      </c>
      <c r="C11" s="94" t="s">
        <v>34</v>
      </c>
      <c r="D11" s="94" t="s">
        <v>301</v>
      </c>
      <c r="E11" s="94" t="s">
        <v>309</v>
      </c>
      <c r="F11" s="146">
        <v>1</v>
      </c>
      <c r="G11" s="33">
        <v>1</v>
      </c>
      <c r="H11" s="33">
        <v>1</v>
      </c>
      <c r="I11" s="33">
        <v>1</v>
      </c>
      <c r="J11" s="33"/>
      <c r="K11" s="33"/>
      <c r="L11" s="33"/>
      <c r="M11" s="33"/>
      <c r="N11" s="33"/>
      <c r="O11" s="33"/>
      <c r="P11" s="33"/>
      <c r="Q11" s="35"/>
      <c r="R11" s="176">
        <f t="shared" si="0"/>
        <v>4</v>
      </c>
      <c r="S11" s="349">
        <v>12</v>
      </c>
      <c r="T11" s="146"/>
      <c r="U11" s="33"/>
      <c r="V11" s="33">
        <v>4</v>
      </c>
      <c r="W11" s="33"/>
      <c r="X11" s="33"/>
      <c r="Y11" s="33"/>
      <c r="Z11" s="33"/>
      <c r="AA11" s="33"/>
      <c r="AB11" s="33"/>
      <c r="AC11" s="33"/>
      <c r="AD11" s="33"/>
      <c r="AE11" s="35"/>
      <c r="AF11" s="176">
        <f t="shared" si="1"/>
        <v>4</v>
      </c>
      <c r="AG11" s="177">
        <v>12</v>
      </c>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row>
    <row r="12" spans="1:280" s="13" customFormat="1" hidden="1" x14ac:dyDescent="0.25">
      <c r="A12" s="15"/>
      <c r="B12" s="94" t="s">
        <v>192</v>
      </c>
      <c r="C12" s="94" t="s">
        <v>34</v>
      </c>
      <c r="D12" s="94" t="s">
        <v>301</v>
      </c>
      <c r="E12" s="94" t="s">
        <v>310</v>
      </c>
      <c r="F12" s="146"/>
      <c r="G12" s="33"/>
      <c r="H12" s="33"/>
      <c r="I12" s="33"/>
      <c r="J12" s="33"/>
      <c r="K12" s="33"/>
      <c r="L12" s="33"/>
      <c r="M12" s="33"/>
      <c r="N12" s="33"/>
      <c r="O12" s="33"/>
      <c r="P12" s="33"/>
      <c r="Q12" s="35"/>
      <c r="R12" s="176">
        <f t="shared" si="0"/>
        <v>0</v>
      </c>
      <c r="S12" s="349">
        <v>12</v>
      </c>
      <c r="T12" s="146"/>
      <c r="U12" s="33"/>
      <c r="V12" s="33"/>
      <c r="W12" s="33"/>
      <c r="X12" s="33"/>
      <c r="Y12" s="33"/>
      <c r="Z12" s="33"/>
      <c r="AA12" s="33"/>
      <c r="AB12" s="33"/>
      <c r="AC12" s="33"/>
      <c r="AD12" s="33"/>
      <c r="AE12" s="35"/>
      <c r="AF12" s="176">
        <f t="shared" si="1"/>
        <v>0</v>
      </c>
      <c r="AG12" s="177">
        <v>12</v>
      </c>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row>
    <row r="13" spans="1:280" s="13" customFormat="1" hidden="1" x14ac:dyDescent="0.25">
      <c r="A13" s="15"/>
      <c r="B13" s="94" t="s">
        <v>100</v>
      </c>
      <c r="C13" s="94" t="s">
        <v>34</v>
      </c>
      <c r="D13" s="94" t="s">
        <v>311</v>
      </c>
      <c r="E13" s="94" t="s">
        <v>312</v>
      </c>
      <c r="F13" s="146">
        <v>1</v>
      </c>
      <c r="G13" s="33">
        <v>1</v>
      </c>
      <c r="H13" s="33">
        <v>1</v>
      </c>
      <c r="I13" s="33">
        <v>1</v>
      </c>
      <c r="J13" s="33"/>
      <c r="K13" s="33"/>
      <c r="L13" s="33"/>
      <c r="M13" s="33"/>
      <c r="N13" s="33"/>
      <c r="O13" s="33"/>
      <c r="P13" s="33"/>
      <c r="Q13" s="35"/>
      <c r="R13" s="176">
        <f t="shared" si="0"/>
        <v>4</v>
      </c>
      <c r="S13" s="349">
        <v>12</v>
      </c>
      <c r="T13" s="146"/>
      <c r="U13" s="33"/>
      <c r="V13" s="33"/>
      <c r="W13" s="33"/>
      <c r="X13" s="33"/>
      <c r="Y13" s="33"/>
      <c r="Z13" s="33"/>
      <c r="AA13" s="33"/>
      <c r="AB13" s="33"/>
      <c r="AC13" s="33"/>
      <c r="AD13" s="33"/>
      <c r="AE13" s="35"/>
      <c r="AF13" s="176">
        <f t="shared" si="1"/>
        <v>0</v>
      </c>
      <c r="AG13" s="177">
        <v>12</v>
      </c>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row>
    <row r="14" spans="1:280" s="13" customFormat="1" hidden="1" x14ac:dyDescent="0.25">
      <c r="A14" s="15"/>
      <c r="B14" s="94" t="s">
        <v>168</v>
      </c>
      <c r="C14" s="94" t="s">
        <v>168</v>
      </c>
      <c r="D14" s="94" t="s">
        <v>299</v>
      </c>
      <c r="E14" s="94" t="s">
        <v>336</v>
      </c>
      <c r="F14" s="146"/>
      <c r="G14" s="33">
        <v>1</v>
      </c>
      <c r="H14" s="33">
        <v>1</v>
      </c>
      <c r="I14" s="33">
        <v>0</v>
      </c>
      <c r="J14" s="33"/>
      <c r="K14" s="33"/>
      <c r="L14" s="33"/>
      <c r="M14" s="33"/>
      <c r="N14" s="33"/>
      <c r="O14" s="33"/>
      <c r="P14" s="33"/>
      <c r="Q14" s="35"/>
      <c r="R14" s="176">
        <f t="shared" si="0"/>
        <v>2</v>
      </c>
      <c r="S14" s="349">
        <v>12</v>
      </c>
      <c r="T14" s="146"/>
      <c r="U14" s="33"/>
      <c r="V14" s="33"/>
      <c r="W14" s="33"/>
      <c r="X14" s="33"/>
      <c r="Y14" s="33"/>
      <c r="Z14" s="33"/>
      <c r="AA14" s="33"/>
      <c r="AB14" s="33"/>
      <c r="AC14" s="33"/>
      <c r="AD14" s="33"/>
      <c r="AE14" s="35"/>
      <c r="AF14" s="176">
        <f t="shared" si="1"/>
        <v>0</v>
      </c>
      <c r="AG14" s="177">
        <v>12</v>
      </c>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row>
    <row r="15" spans="1:280" s="13" customFormat="1" hidden="1" x14ac:dyDescent="0.25">
      <c r="A15" s="15"/>
      <c r="B15" s="94" t="s">
        <v>168</v>
      </c>
      <c r="C15" s="94" t="s">
        <v>168</v>
      </c>
      <c r="D15" s="94" t="s">
        <v>301</v>
      </c>
      <c r="E15" s="94" t="s">
        <v>314</v>
      </c>
      <c r="F15" s="146">
        <v>4</v>
      </c>
      <c r="G15" s="33">
        <v>4</v>
      </c>
      <c r="H15" s="33">
        <v>4</v>
      </c>
      <c r="I15" s="33">
        <v>3</v>
      </c>
      <c r="J15" s="33"/>
      <c r="K15" s="33"/>
      <c r="L15" s="33"/>
      <c r="M15" s="33"/>
      <c r="N15" s="33"/>
      <c r="O15" s="33"/>
      <c r="P15" s="33"/>
      <c r="Q15" s="35"/>
      <c r="R15" s="176">
        <f t="shared" si="0"/>
        <v>15</v>
      </c>
      <c r="S15" s="349">
        <v>12</v>
      </c>
      <c r="T15" s="146"/>
      <c r="U15" s="33"/>
      <c r="V15" s="33"/>
      <c r="W15" s="33"/>
      <c r="X15" s="33"/>
      <c r="Y15" s="33"/>
      <c r="Z15" s="33"/>
      <c r="AA15" s="33"/>
      <c r="AB15" s="33"/>
      <c r="AC15" s="33"/>
      <c r="AD15" s="33"/>
      <c r="AE15" s="35"/>
      <c r="AF15" s="176">
        <f t="shared" si="1"/>
        <v>0</v>
      </c>
      <c r="AG15" s="177">
        <v>12</v>
      </c>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row>
    <row r="16" spans="1:280" s="13" customFormat="1" hidden="1" x14ac:dyDescent="0.25">
      <c r="A16" s="15"/>
      <c r="B16" s="94" t="s">
        <v>164</v>
      </c>
      <c r="C16" s="94" t="s">
        <v>34</v>
      </c>
      <c r="D16" s="94" t="s">
        <v>315</v>
      </c>
      <c r="E16" s="94" t="s">
        <v>316</v>
      </c>
      <c r="F16" s="146"/>
      <c r="G16" s="33"/>
      <c r="H16" s="33"/>
      <c r="I16" s="33"/>
      <c r="J16" s="33"/>
      <c r="K16" s="33"/>
      <c r="L16" s="33"/>
      <c r="M16" s="33"/>
      <c r="N16" s="33"/>
      <c r="O16" s="33"/>
      <c r="P16" s="33"/>
      <c r="Q16" s="35"/>
      <c r="R16" s="176">
        <f t="shared" si="0"/>
        <v>0</v>
      </c>
      <c r="S16" s="349">
        <v>12</v>
      </c>
      <c r="T16" s="146"/>
      <c r="U16" s="33"/>
      <c r="V16" s="33"/>
      <c r="W16" s="33"/>
      <c r="X16" s="33"/>
      <c r="Y16" s="33"/>
      <c r="Z16" s="33"/>
      <c r="AA16" s="33"/>
      <c r="AB16" s="33"/>
      <c r="AC16" s="33"/>
      <c r="AD16" s="33"/>
      <c r="AE16" s="35"/>
      <c r="AF16" s="176">
        <f t="shared" si="1"/>
        <v>0</v>
      </c>
      <c r="AG16" s="177">
        <v>12</v>
      </c>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row>
    <row r="17" spans="1:280" s="13" customFormat="1" hidden="1" x14ac:dyDescent="0.25">
      <c r="A17" s="15"/>
      <c r="B17" s="94" t="s">
        <v>168</v>
      </c>
      <c r="C17" s="94" t="s">
        <v>168</v>
      </c>
      <c r="D17" s="94" t="s">
        <v>299</v>
      </c>
      <c r="E17" s="94" t="s">
        <v>318</v>
      </c>
      <c r="F17" s="146">
        <v>1</v>
      </c>
      <c r="G17" s="33">
        <v>1</v>
      </c>
      <c r="H17" s="33">
        <v>2</v>
      </c>
      <c r="I17" s="33">
        <v>4</v>
      </c>
      <c r="J17" s="33"/>
      <c r="K17" s="33"/>
      <c r="L17" s="33"/>
      <c r="M17" s="33"/>
      <c r="N17" s="33"/>
      <c r="O17" s="33"/>
      <c r="P17" s="33"/>
      <c r="Q17" s="35"/>
      <c r="R17" s="176">
        <f t="shared" si="0"/>
        <v>8</v>
      </c>
      <c r="S17" s="349">
        <v>12</v>
      </c>
      <c r="T17" s="146"/>
      <c r="U17" s="33"/>
      <c r="V17" s="33"/>
      <c r="W17" s="33"/>
      <c r="X17" s="33"/>
      <c r="Y17" s="33"/>
      <c r="Z17" s="33"/>
      <c r="AA17" s="33"/>
      <c r="AB17" s="33"/>
      <c r="AC17" s="33"/>
      <c r="AD17" s="33"/>
      <c r="AE17" s="35"/>
      <c r="AF17" s="176">
        <f t="shared" si="1"/>
        <v>0</v>
      </c>
      <c r="AG17" s="177">
        <v>12</v>
      </c>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row>
    <row r="18" spans="1:280" s="13" customFormat="1" hidden="1" x14ac:dyDescent="0.25">
      <c r="A18" s="15"/>
      <c r="B18" s="94" t="s">
        <v>100</v>
      </c>
      <c r="C18" s="94" t="s">
        <v>34</v>
      </c>
      <c r="D18" s="94" t="s">
        <v>301</v>
      </c>
      <c r="E18" s="94" t="s">
        <v>319</v>
      </c>
      <c r="F18" s="146">
        <v>1</v>
      </c>
      <c r="G18" s="33">
        <v>2</v>
      </c>
      <c r="H18" s="33">
        <v>1</v>
      </c>
      <c r="I18" s="33"/>
      <c r="J18" s="33">
        <v>1</v>
      </c>
      <c r="K18" s="33"/>
      <c r="L18" s="33"/>
      <c r="M18" s="33"/>
      <c r="N18" s="33"/>
      <c r="O18" s="33"/>
      <c r="P18" s="33"/>
      <c r="Q18" s="35"/>
      <c r="R18" s="176">
        <f t="shared" si="0"/>
        <v>5</v>
      </c>
      <c r="S18" s="349">
        <v>12</v>
      </c>
      <c r="T18" s="146"/>
      <c r="U18" s="33"/>
      <c r="V18" s="33">
        <v>1</v>
      </c>
      <c r="W18" s="33"/>
      <c r="X18" s="33"/>
      <c r="Y18" s="33"/>
      <c r="Z18" s="33"/>
      <c r="AA18" s="33"/>
      <c r="AB18" s="33"/>
      <c r="AC18" s="33"/>
      <c r="AD18" s="33"/>
      <c r="AE18" s="35"/>
      <c r="AF18" s="176">
        <f t="shared" si="1"/>
        <v>1</v>
      </c>
      <c r="AG18" s="177">
        <v>12</v>
      </c>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row>
    <row r="19" spans="1:280" s="13" customFormat="1" hidden="1" x14ac:dyDescent="0.25">
      <c r="A19" s="15"/>
      <c r="B19" s="94" t="s">
        <v>168</v>
      </c>
      <c r="C19" s="94" t="s">
        <v>168</v>
      </c>
      <c r="D19" s="94" t="s">
        <v>320</v>
      </c>
      <c r="E19" s="94" t="s">
        <v>321</v>
      </c>
      <c r="F19" s="146">
        <v>1</v>
      </c>
      <c r="G19" s="33">
        <v>1</v>
      </c>
      <c r="H19" s="33">
        <v>2</v>
      </c>
      <c r="I19" s="33">
        <v>1</v>
      </c>
      <c r="J19" s="33"/>
      <c r="K19" s="33"/>
      <c r="L19" s="33"/>
      <c r="M19" s="33"/>
      <c r="N19" s="33"/>
      <c r="O19" s="33"/>
      <c r="P19" s="33"/>
      <c r="Q19" s="35"/>
      <c r="R19" s="176">
        <f t="shared" si="0"/>
        <v>5</v>
      </c>
      <c r="S19" s="349">
        <v>12</v>
      </c>
      <c r="T19" s="146"/>
      <c r="U19" s="33"/>
      <c r="V19" s="33"/>
      <c r="W19" s="33"/>
      <c r="X19" s="33"/>
      <c r="Y19" s="33"/>
      <c r="Z19" s="33"/>
      <c r="AA19" s="33"/>
      <c r="AB19" s="33"/>
      <c r="AC19" s="33"/>
      <c r="AD19" s="33"/>
      <c r="AE19" s="35"/>
      <c r="AF19" s="176">
        <f t="shared" si="1"/>
        <v>0</v>
      </c>
      <c r="AG19" s="177">
        <v>12</v>
      </c>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row>
    <row r="20" spans="1:280" s="13" customFormat="1" hidden="1" x14ac:dyDescent="0.25">
      <c r="A20" s="15"/>
      <c r="B20" s="94" t="s">
        <v>322</v>
      </c>
      <c r="C20" s="94" t="s">
        <v>34</v>
      </c>
      <c r="D20" s="94" t="s">
        <v>311</v>
      </c>
      <c r="E20" s="94" t="s">
        <v>323</v>
      </c>
      <c r="F20" s="146">
        <v>0</v>
      </c>
      <c r="G20" s="33">
        <v>0</v>
      </c>
      <c r="H20" s="33">
        <v>0</v>
      </c>
      <c r="I20" s="33"/>
      <c r="J20" s="33"/>
      <c r="K20" s="33"/>
      <c r="L20" s="33"/>
      <c r="M20" s="33"/>
      <c r="N20" s="33"/>
      <c r="O20" s="33"/>
      <c r="P20" s="33"/>
      <c r="Q20" s="35"/>
      <c r="R20" s="176">
        <f t="shared" si="0"/>
        <v>0</v>
      </c>
      <c r="S20" s="349">
        <v>12</v>
      </c>
      <c r="T20" s="146"/>
      <c r="U20" s="33"/>
      <c r="V20" s="33"/>
      <c r="W20" s="33"/>
      <c r="X20" s="33"/>
      <c r="Y20" s="33"/>
      <c r="Z20" s="33"/>
      <c r="AA20" s="33"/>
      <c r="AB20" s="33"/>
      <c r="AC20" s="33"/>
      <c r="AD20" s="33"/>
      <c r="AE20" s="35"/>
      <c r="AF20" s="176">
        <f t="shared" si="1"/>
        <v>0</v>
      </c>
      <c r="AG20" s="177">
        <v>12</v>
      </c>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row>
    <row r="21" spans="1:280" s="13" customFormat="1" hidden="1" x14ac:dyDescent="0.25">
      <c r="A21" s="15"/>
      <c r="B21" s="94" t="s">
        <v>178</v>
      </c>
      <c r="C21" s="94" t="s">
        <v>34</v>
      </c>
      <c r="D21" s="94" t="s">
        <v>299</v>
      </c>
      <c r="E21" s="94" t="s">
        <v>324</v>
      </c>
      <c r="F21" s="146">
        <v>1</v>
      </c>
      <c r="G21" s="33">
        <v>1</v>
      </c>
      <c r="H21" s="33">
        <v>1</v>
      </c>
      <c r="I21" s="33">
        <v>0</v>
      </c>
      <c r="J21" s="33"/>
      <c r="K21" s="33"/>
      <c r="L21" s="33"/>
      <c r="M21" s="33"/>
      <c r="N21" s="33"/>
      <c r="O21" s="33"/>
      <c r="P21" s="33"/>
      <c r="Q21" s="35"/>
      <c r="R21" s="176">
        <f t="shared" si="0"/>
        <v>3</v>
      </c>
      <c r="S21" s="349">
        <v>12</v>
      </c>
      <c r="T21" s="146"/>
      <c r="U21" s="33"/>
      <c r="V21" s="33"/>
      <c r="W21" s="33"/>
      <c r="X21" s="33"/>
      <c r="Y21" s="33"/>
      <c r="Z21" s="33"/>
      <c r="AA21" s="33"/>
      <c r="AB21" s="33"/>
      <c r="AC21" s="33"/>
      <c r="AD21" s="33"/>
      <c r="AE21" s="35"/>
      <c r="AF21" s="176">
        <f t="shared" si="1"/>
        <v>0</v>
      </c>
      <c r="AG21" s="177">
        <v>12</v>
      </c>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row>
    <row r="22" spans="1:280" s="13" customFormat="1" hidden="1" x14ac:dyDescent="0.25">
      <c r="A22" s="15"/>
      <c r="B22" s="144" t="s">
        <v>181</v>
      </c>
      <c r="C22" s="94" t="s">
        <v>34</v>
      </c>
      <c r="D22" s="94" t="s">
        <v>301</v>
      </c>
      <c r="E22" s="94" t="s">
        <v>325</v>
      </c>
      <c r="F22" s="146">
        <v>2</v>
      </c>
      <c r="G22" s="33">
        <v>1</v>
      </c>
      <c r="H22" s="33">
        <v>1</v>
      </c>
      <c r="I22" s="33">
        <v>0</v>
      </c>
      <c r="J22" s="33"/>
      <c r="K22" s="33"/>
      <c r="L22" s="33"/>
      <c r="M22" s="33"/>
      <c r="N22" s="33"/>
      <c r="O22" s="33"/>
      <c r="P22" s="33"/>
      <c r="Q22" s="35"/>
      <c r="R22" s="176">
        <f t="shared" si="0"/>
        <v>4</v>
      </c>
      <c r="S22" s="349">
        <v>12</v>
      </c>
      <c r="T22" s="146"/>
      <c r="U22" s="33"/>
      <c r="V22" s="33"/>
      <c r="W22" s="33"/>
      <c r="X22" s="33"/>
      <c r="Y22" s="33"/>
      <c r="Z22" s="33"/>
      <c r="AA22" s="33"/>
      <c r="AB22" s="33"/>
      <c r="AC22" s="33"/>
      <c r="AD22" s="33"/>
      <c r="AE22" s="35"/>
      <c r="AF22" s="176">
        <f t="shared" si="1"/>
        <v>0</v>
      </c>
      <c r="AG22" s="177">
        <v>12</v>
      </c>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row>
    <row r="23" spans="1:280" s="13" customFormat="1" hidden="1" x14ac:dyDescent="0.25">
      <c r="A23" s="15"/>
      <c r="B23" s="94" t="s">
        <v>54</v>
      </c>
      <c r="C23" s="94" t="s">
        <v>34</v>
      </c>
      <c r="D23" s="94" t="s">
        <v>301</v>
      </c>
      <c r="E23" s="94" t="s">
        <v>327</v>
      </c>
      <c r="F23" s="146">
        <v>1</v>
      </c>
      <c r="G23" s="33">
        <v>1</v>
      </c>
      <c r="H23" s="33">
        <v>2</v>
      </c>
      <c r="I23" s="33">
        <v>2</v>
      </c>
      <c r="J23" s="33"/>
      <c r="K23" s="33"/>
      <c r="L23" s="33"/>
      <c r="M23" s="33"/>
      <c r="N23" s="33"/>
      <c r="O23" s="33"/>
      <c r="P23" s="33"/>
      <c r="Q23" s="35"/>
      <c r="R23" s="176">
        <f t="shared" si="0"/>
        <v>6</v>
      </c>
      <c r="S23" s="349">
        <v>12</v>
      </c>
      <c r="T23" s="146"/>
      <c r="U23" s="33"/>
      <c r="V23" s="33">
        <v>1</v>
      </c>
      <c r="W23" s="33"/>
      <c r="X23" s="33"/>
      <c r="Y23" s="33"/>
      <c r="Z23" s="33"/>
      <c r="AA23" s="33"/>
      <c r="AB23" s="33"/>
      <c r="AC23" s="33"/>
      <c r="AD23" s="33"/>
      <c r="AE23" s="35"/>
      <c r="AF23" s="176">
        <f t="shared" si="1"/>
        <v>1</v>
      </c>
      <c r="AG23" s="177">
        <v>12</v>
      </c>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row>
    <row r="24" spans="1:280" s="13" customFormat="1" x14ac:dyDescent="0.25">
      <c r="A24" s="15"/>
      <c r="B24" s="94" t="s">
        <v>159</v>
      </c>
      <c r="C24" s="94" t="s">
        <v>45</v>
      </c>
      <c r="D24" s="94" t="s">
        <v>311</v>
      </c>
      <c r="E24" s="94" t="s">
        <v>328</v>
      </c>
      <c r="F24" s="146">
        <v>1</v>
      </c>
      <c r="G24" s="33">
        <v>1</v>
      </c>
      <c r="H24" s="33">
        <v>1</v>
      </c>
      <c r="I24" s="33">
        <v>1</v>
      </c>
      <c r="J24" s="33"/>
      <c r="K24" s="33"/>
      <c r="L24" s="33"/>
      <c r="M24" s="33"/>
      <c r="N24" s="33"/>
      <c r="O24" s="33"/>
      <c r="P24" s="33"/>
      <c r="Q24" s="35"/>
      <c r="R24" s="176">
        <f t="shared" si="0"/>
        <v>4</v>
      </c>
      <c r="S24" s="349">
        <v>12</v>
      </c>
      <c r="T24" s="146"/>
      <c r="U24" s="33"/>
      <c r="V24" s="33"/>
      <c r="W24" s="33"/>
      <c r="X24" s="33"/>
      <c r="Y24" s="33"/>
      <c r="Z24" s="33"/>
      <c r="AA24" s="33"/>
      <c r="AB24" s="33"/>
      <c r="AC24" s="33"/>
      <c r="AD24" s="33"/>
      <c r="AE24" s="35"/>
      <c r="AF24" s="176">
        <f t="shared" si="1"/>
        <v>0</v>
      </c>
      <c r="AG24" s="177">
        <v>12</v>
      </c>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row>
    <row r="25" spans="1:280" s="13" customFormat="1" x14ac:dyDescent="0.25">
      <c r="A25" s="15"/>
      <c r="B25" s="94" t="s">
        <v>159</v>
      </c>
      <c r="C25" s="94" t="s">
        <v>34</v>
      </c>
      <c r="D25" s="94" t="s">
        <v>315</v>
      </c>
      <c r="E25" s="94" t="s">
        <v>329</v>
      </c>
      <c r="F25" s="146">
        <v>1</v>
      </c>
      <c r="G25" s="33">
        <v>2</v>
      </c>
      <c r="H25" s="33"/>
      <c r="I25" s="33">
        <v>2</v>
      </c>
      <c r="J25" s="33"/>
      <c r="K25" s="33"/>
      <c r="L25" s="33"/>
      <c r="M25" s="33"/>
      <c r="N25" s="33"/>
      <c r="O25" s="33"/>
      <c r="P25" s="33"/>
      <c r="Q25" s="35"/>
      <c r="R25" s="176">
        <f t="shared" si="0"/>
        <v>5</v>
      </c>
      <c r="S25" s="349">
        <v>12</v>
      </c>
      <c r="T25" s="146">
        <v>1</v>
      </c>
      <c r="U25" s="33"/>
      <c r="V25" s="33"/>
      <c r="W25" s="33"/>
      <c r="X25" s="33"/>
      <c r="Y25" s="33"/>
      <c r="Z25" s="33"/>
      <c r="AA25" s="33"/>
      <c r="AB25" s="33"/>
      <c r="AC25" s="33"/>
      <c r="AD25" s="33"/>
      <c r="AE25" s="35"/>
      <c r="AF25" s="176">
        <f t="shared" si="1"/>
        <v>1</v>
      </c>
      <c r="AG25" s="177">
        <v>12</v>
      </c>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row>
    <row r="26" spans="1:280" s="13" customFormat="1" hidden="1" x14ac:dyDescent="0.25">
      <c r="A26" s="15"/>
      <c r="B26" s="94" t="s">
        <v>168</v>
      </c>
      <c r="C26" s="94" t="s">
        <v>168</v>
      </c>
      <c r="D26" s="94" t="s">
        <v>299</v>
      </c>
      <c r="E26" s="94" t="s">
        <v>330</v>
      </c>
      <c r="F26" s="146"/>
      <c r="G26" s="33"/>
      <c r="H26" s="33">
        <v>1</v>
      </c>
      <c r="I26" s="33">
        <v>1</v>
      </c>
      <c r="J26" s="33"/>
      <c r="K26" s="33"/>
      <c r="L26" s="33"/>
      <c r="M26" s="33"/>
      <c r="N26" s="33"/>
      <c r="O26" s="33"/>
      <c r="P26" s="33"/>
      <c r="Q26" s="35"/>
      <c r="R26" s="176">
        <f t="shared" si="0"/>
        <v>2</v>
      </c>
      <c r="S26" s="349">
        <v>12</v>
      </c>
      <c r="T26" s="146"/>
      <c r="U26" s="33"/>
      <c r="V26" s="33"/>
      <c r="W26" s="33"/>
      <c r="X26" s="33"/>
      <c r="Y26" s="33"/>
      <c r="Z26" s="33"/>
      <c r="AA26" s="33"/>
      <c r="AB26" s="33"/>
      <c r="AC26" s="33"/>
      <c r="AD26" s="33"/>
      <c r="AE26" s="35"/>
      <c r="AF26" s="176">
        <f t="shared" si="1"/>
        <v>0</v>
      </c>
      <c r="AG26" s="177">
        <v>12</v>
      </c>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row>
    <row r="27" spans="1:280" s="13" customFormat="1" hidden="1" x14ac:dyDescent="0.25">
      <c r="A27" s="15"/>
      <c r="B27" s="94" t="s">
        <v>100</v>
      </c>
      <c r="C27" s="94" t="s">
        <v>34</v>
      </c>
      <c r="D27" s="94" t="s">
        <v>301</v>
      </c>
      <c r="E27" s="94" t="s">
        <v>331</v>
      </c>
      <c r="F27" s="146">
        <v>1</v>
      </c>
      <c r="G27" s="33">
        <v>2</v>
      </c>
      <c r="H27" s="33">
        <v>3</v>
      </c>
      <c r="I27" s="33">
        <v>2</v>
      </c>
      <c r="J27" s="33"/>
      <c r="K27" s="33"/>
      <c r="L27" s="33"/>
      <c r="M27" s="33"/>
      <c r="N27" s="33"/>
      <c r="O27" s="33"/>
      <c r="P27" s="33"/>
      <c r="Q27" s="35"/>
      <c r="R27" s="176">
        <f t="shared" si="0"/>
        <v>8</v>
      </c>
      <c r="S27" s="349">
        <v>12</v>
      </c>
      <c r="T27" s="146"/>
      <c r="U27" s="33"/>
      <c r="V27" s="33">
        <v>1</v>
      </c>
      <c r="W27" s="33">
        <v>2</v>
      </c>
      <c r="X27" s="33"/>
      <c r="Y27" s="33"/>
      <c r="Z27" s="33"/>
      <c r="AA27" s="33"/>
      <c r="AB27" s="33"/>
      <c r="AC27" s="33"/>
      <c r="AD27" s="33"/>
      <c r="AE27" s="35"/>
      <c r="AF27" s="176">
        <f t="shared" si="1"/>
        <v>3</v>
      </c>
      <c r="AG27" s="177">
        <v>12</v>
      </c>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row>
    <row r="28" spans="1:280" s="13" customFormat="1" hidden="1" x14ac:dyDescent="0.25">
      <c r="A28" s="15"/>
      <c r="B28" s="94" t="s">
        <v>181</v>
      </c>
      <c r="C28" s="94" t="s">
        <v>179</v>
      </c>
      <c r="D28" s="94" t="s">
        <v>301</v>
      </c>
      <c r="E28" s="94" t="s">
        <v>332</v>
      </c>
      <c r="F28" s="146">
        <v>1</v>
      </c>
      <c r="G28" s="33">
        <v>1</v>
      </c>
      <c r="H28" s="33">
        <v>1</v>
      </c>
      <c r="I28" s="33">
        <v>1</v>
      </c>
      <c r="J28" s="33"/>
      <c r="K28" s="33"/>
      <c r="L28" s="33"/>
      <c r="M28" s="33"/>
      <c r="N28" s="33"/>
      <c r="O28" s="33"/>
      <c r="P28" s="33"/>
      <c r="Q28" s="35"/>
      <c r="R28" s="176">
        <f t="shared" si="0"/>
        <v>4</v>
      </c>
      <c r="S28" s="349">
        <v>12</v>
      </c>
      <c r="T28" s="146"/>
      <c r="U28" s="33"/>
      <c r="V28" s="33">
        <v>1</v>
      </c>
      <c r="W28" s="33">
        <v>1</v>
      </c>
      <c r="X28" s="33"/>
      <c r="Y28" s="33"/>
      <c r="Z28" s="33"/>
      <c r="AA28" s="33"/>
      <c r="AB28" s="33"/>
      <c r="AC28" s="33"/>
      <c r="AD28" s="33"/>
      <c r="AE28" s="35"/>
      <c r="AF28" s="176">
        <f t="shared" si="1"/>
        <v>2</v>
      </c>
      <c r="AG28" s="177">
        <v>12</v>
      </c>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row>
    <row r="29" spans="1:280" s="13" customFormat="1" hidden="1" x14ac:dyDescent="0.25">
      <c r="A29" s="15"/>
      <c r="B29" s="144" t="s">
        <v>54</v>
      </c>
      <c r="C29" s="94" t="s">
        <v>34</v>
      </c>
      <c r="D29" s="94" t="s">
        <v>301</v>
      </c>
      <c r="E29" s="94" t="s">
        <v>333</v>
      </c>
      <c r="F29" s="146">
        <v>1</v>
      </c>
      <c r="G29" s="33">
        <v>0</v>
      </c>
      <c r="H29" s="33">
        <v>1</v>
      </c>
      <c r="I29" s="33">
        <v>1</v>
      </c>
      <c r="J29" s="33"/>
      <c r="K29" s="33"/>
      <c r="L29" s="33"/>
      <c r="M29" s="33"/>
      <c r="N29" s="33"/>
      <c r="O29" s="33"/>
      <c r="P29" s="33"/>
      <c r="Q29" s="35"/>
      <c r="R29" s="176">
        <f t="shared" si="0"/>
        <v>3</v>
      </c>
      <c r="S29" s="349">
        <v>12</v>
      </c>
      <c r="T29" s="146"/>
      <c r="U29" s="33"/>
      <c r="V29" s="33"/>
      <c r="W29" s="33"/>
      <c r="X29" s="33"/>
      <c r="Y29" s="33"/>
      <c r="Z29" s="33"/>
      <c r="AA29" s="33"/>
      <c r="AB29" s="33"/>
      <c r="AC29" s="33"/>
      <c r="AD29" s="33"/>
      <c r="AE29" s="35"/>
      <c r="AF29" s="176">
        <f t="shared" si="1"/>
        <v>0</v>
      </c>
      <c r="AG29" s="177">
        <v>12</v>
      </c>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row>
    <row r="30" spans="1:280" s="13" customFormat="1" hidden="1" x14ac:dyDescent="0.25">
      <c r="A30" s="15"/>
      <c r="B30" s="94" t="s">
        <v>100</v>
      </c>
      <c r="C30" s="94" t="s">
        <v>34</v>
      </c>
      <c r="D30" s="94" t="s">
        <v>299</v>
      </c>
      <c r="E30" s="94" t="s">
        <v>334</v>
      </c>
      <c r="F30" s="146"/>
      <c r="G30" s="33"/>
      <c r="H30" s="33"/>
      <c r="I30" s="33">
        <v>1</v>
      </c>
      <c r="J30" s="33"/>
      <c r="K30" s="33"/>
      <c r="L30" s="33"/>
      <c r="M30" s="33"/>
      <c r="N30" s="33"/>
      <c r="O30" s="33"/>
      <c r="P30" s="33"/>
      <c r="Q30" s="35"/>
      <c r="R30" s="176">
        <f t="shared" si="0"/>
        <v>1</v>
      </c>
      <c r="S30" s="349">
        <v>12</v>
      </c>
      <c r="T30" s="146"/>
      <c r="U30" s="33"/>
      <c r="V30" s="33"/>
      <c r="W30" s="33"/>
      <c r="X30" s="33"/>
      <c r="Y30" s="33"/>
      <c r="Z30" s="33"/>
      <c r="AA30" s="33"/>
      <c r="AB30" s="33"/>
      <c r="AC30" s="33"/>
      <c r="AD30" s="33"/>
      <c r="AE30" s="35"/>
      <c r="AF30" s="176">
        <f t="shared" si="1"/>
        <v>0</v>
      </c>
      <c r="AG30" s="177">
        <v>12</v>
      </c>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row>
    <row r="31" spans="1:280" s="13" customFormat="1" hidden="1" x14ac:dyDescent="0.25">
      <c r="A31" s="15"/>
      <c r="B31" s="94" t="s">
        <v>181</v>
      </c>
      <c r="C31" s="94" t="s">
        <v>34</v>
      </c>
      <c r="D31" s="94" t="s">
        <v>301</v>
      </c>
      <c r="E31" s="94" t="s">
        <v>335</v>
      </c>
      <c r="F31" s="146">
        <v>2</v>
      </c>
      <c r="G31" s="33">
        <v>1</v>
      </c>
      <c r="H31" s="33">
        <v>1</v>
      </c>
      <c r="I31" s="33">
        <v>0</v>
      </c>
      <c r="J31" s="33"/>
      <c r="K31" s="33"/>
      <c r="L31" s="33"/>
      <c r="M31" s="33"/>
      <c r="N31" s="33"/>
      <c r="O31" s="33"/>
      <c r="P31" s="33"/>
      <c r="Q31" s="35"/>
      <c r="R31" s="176">
        <f t="shared" si="0"/>
        <v>4</v>
      </c>
      <c r="S31" s="349">
        <v>12</v>
      </c>
      <c r="T31" s="146"/>
      <c r="U31" s="33"/>
      <c r="V31" s="33"/>
      <c r="W31" s="33"/>
      <c r="X31" s="33"/>
      <c r="Y31" s="33"/>
      <c r="Z31" s="33"/>
      <c r="AA31" s="33"/>
      <c r="AB31" s="33"/>
      <c r="AC31" s="33"/>
      <c r="AD31" s="33"/>
      <c r="AE31" s="35"/>
      <c r="AF31" s="176">
        <f t="shared" si="1"/>
        <v>0</v>
      </c>
      <c r="AG31" s="177">
        <v>12</v>
      </c>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row>
    <row r="32" spans="1:280" s="13" customFormat="1" hidden="1" x14ac:dyDescent="0.25">
      <c r="A32" s="15"/>
      <c r="B32" s="94" t="s">
        <v>168</v>
      </c>
      <c r="C32" s="94" t="s">
        <v>168</v>
      </c>
      <c r="D32" s="94" t="s">
        <v>301</v>
      </c>
      <c r="E32" s="94" t="s">
        <v>337</v>
      </c>
      <c r="F32" s="146">
        <v>2</v>
      </c>
      <c r="G32" s="33">
        <v>1</v>
      </c>
      <c r="H32" s="33">
        <v>2</v>
      </c>
      <c r="I32" s="33">
        <v>7</v>
      </c>
      <c r="J32" s="33"/>
      <c r="K32" s="33"/>
      <c r="L32" s="33"/>
      <c r="M32" s="33"/>
      <c r="N32" s="33"/>
      <c r="O32" s="33"/>
      <c r="P32" s="33"/>
      <c r="Q32" s="35"/>
      <c r="R32" s="176">
        <f t="shared" si="0"/>
        <v>12</v>
      </c>
      <c r="S32" s="349">
        <v>12</v>
      </c>
      <c r="T32" s="146"/>
      <c r="U32" s="33"/>
      <c r="V32" s="33"/>
      <c r="W32" s="33"/>
      <c r="X32" s="33"/>
      <c r="Y32" s="33"/>
      <c r="Z32" s="33"/>
      <c r="AA32" s="33"/>
      <c r="AB32" s="33"/>
      <c r="AC32" s="33"/>
      <c r="AD32" s="33"/>
      <c r="AE32" s="35"/>
      <c r="AF32" s="176">
        <f t="shared" si="1"/>
        <v>0</v>
      </c>
      <c r="AG32" s="177">
        <v>12</v>
      </c>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row>
    <row r="33" spans="1:280" s="13" customFormat="1" hidden="1" x14ac:dyDescent="0.25">
      <c r="A33" s="15"/>
      <c r="B33" s="94" t="s">
        <v>269</v>
      </c>
      <c r="C33" s="94" t="s">
        <v>230</v>
      </c>
      <c r="D33" s="94" t="s">
        <v>301</v>
      </c>
      <c r="E33" s="94" t="s">
        <v>338</v>
      </c>
      <c r="F33" s="146" t="s">
        <v>162</v>
      </c>
      <c r="G33" s="33" t="s">
        <v>162</v>
      </c>
      <c r="H33" s="33" t="s">
        <v>162</v>
      </c>
      <c r="I33" s="33"/>
      <c r="J33" s="33"/>
      <c r="K33" s="33"/>
      <c r="L33" s="33"/>
      <c r="M33" s="33"/>
      <c r="N33" s="33"/>
      <c r="O33" s="33"/>
      <c r="P33" s="33"/>
      <c r="Q33" s="35"/>
      <c r="R33" s="176" t="e">
        <f t="shared" si="0"/>
        <v>#VALUE!</v>
      </c>
      <c r="S33" s="349">
        <v>12</v>
      </c>
      <c r="T33" s="146"/>
      <c r="U33" s="33"/>
      <c r="V33" s="33"/>
      <c r="W33" s="33"/>
      <c r="X33" s="33"/>
      <c r="Y33" s="33"/>
      <c r="Z33" s="33"/>
      <c r="AA33" s="33"/>
      <c r="AB33" s="33"/>
      <c r="AC33" s="33"/>
      <c r="AD33" s="33"/>
      <c r="AE33" s="35"/>
      <c r="AF33" s="176">
        <f t="shared" si="1"/>
        <v>0</v>
      </c>
      <c r="AG33" s="177">
        <v>12</v>
      </c>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row>
    <row r="34" spans="1:280" s="13" customFormat="1" hidden="1" x14ac:dyDescent="0.25">
      <c r="A34" s="15"/>
      <c r="B34" s="94" t="s">
        <v>192</v>
      </c>
      <c r="C34" s="94" t="s">
        <v>34</v>
      </c>
      <c r="D34" s="94" t="s">
        <v>315</v>
      </c>
      <c r="E34" s="94" t="s">
        <v>339</v>
      </c>
      <c r="F34" s="146"/>
      <c r="G34" s="33">
        <v>1</v>
      </c>
      <c r="H34" s="33"/>
      <c r="I34" s="33"/>
      <c r="J34" s="33"/>
      <c r="K34" s="33"/>
      <c r="L34" s="33"/>
      <c r="M34" s="33"/>
      <c r="N34" s="33"/>
      <c r="O34" s="33"/>
      <c r="P34" s="33"/>
      <c r="Q34" s="35"/>
      <c r="R34" s="176">
        <f t="shared" si="0"/>
        <v>1</v>
      </c>
      <c r="S34" s="349">
        <v>12</v>
      </c>
      <c r="T34" s="146"/>
      <c r="U34" s="33"/>
      <c r="V34" s="33"/>
      <c r="W34" s="33"/>
      <c r="X34" s="33"/>
      <c r="Y34" s="33"/>
      <c r="Z34" s="33"/>
      <c r="AA34" s="33"/>
      <c r="AB34" s="33"/>
      <c r="AC34" s="33"/>
      <c r="AD34" s="33"/>
      <c r="AE34" s="35"/>
      <c r="AF34" s="176">
        <f t="shared" si="1"/>
        <v>0</v>
      </c>
      <c r="AG34" s="177">
        <v>12</v>
      </c>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row>
    <row r="35" spans="1:280" s="13" customFormat="1" x14ac:dyDescent="0.25">
      <c r="A35" s="15"/>
      <c r="B35" s="94" t="s">
        <v>159</v>
      </c>
      <c r="C35" s="94" t="s">
        <v>45</v>
      </c>
      <c r="D35" s="94" t="s">
        <v>301</v>
      </c>
      <c r="E35" s="94" t="s">
        <v>340</v>
      </c>
      <c r="F35" s="146">
        <v>1</v>
      </c>
      <c r="G35" s="33">
        <v>1</v>
      </c>
      <c r="H35" s="33">
        <v>1</v>
      </c>
      <c r="I35" s="33">
        <v>1</v>
      </c>
      <c r="J35" s="33"/>
      <c r="K35" s="33"/>
      <c r="L35" s="33"/>
      <c r="M35" s="33"/>
      <c r="N35" s="33"/>
      <c r="O35" s="33"/>
      <c r="P35" s="33"/>
      <c r="Q35" s="35"/>
      <c r="R35" s="176">
        <f t="shared" ref="R35:R66" si="2">F35+G35+H35+I35+J35+K35+L35+M35+N35+O35+P35+Q35</f>
        <v>4</v>
      </c>
      <c r="S35" s="349">
        <v>12</v>
      </c>
      <c r="T35" s="146"/>
      <c r="U35" s="33"/>
      <c r="V35" s="33">
        <v>1</v>
      </c>
      <c r="W35" s="33"/>
      <c r="X35" s="33"/>
      <c r="Y35" s="33"/>
      <c r="Z35" s="33"/>
      <c r="AA35" s="33"/>
      <c r="AB35" s="33"/>
      <c r="AC35" s="33"/>
      <c r="AD35" s="33"/>
      <c r="AE35" s="35"/>
      <c r="AF35" s="176">
        <f t="shared" ref="AF35:AF66" si="3">T35+U35+V35+W35+X35+Y35+Z35+AA35+AB35+AC35+AD35+AE35</f>
        <v>1</v>
      </c>
      <c r="AG35" s="177">
        <v>12</v>
      </c>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row>
    <row r="36" spans="1:280" s="13" customFormat="1" hidden="1" x14ac:dyDescent="0.25">
      <c r="A36" s="15"/>
      <c r="B36" s="94" t="s">
        <v>269</v>
      </c>
      <c r="C36" s="94" t="s">
        <v>45</v>
      </c>
      <c r="D36" s="94" t="s">
        <v>301</v>
      </c>
      <c r="E36" s="94" t="s">
        <v>341</v>
      </c>
      <c r="F36" s="146">
        <v>1</v>
      </c>
      <c r="G36" s="33"/>
      <c r="H36" s="33">
        <v>2</v>
      </c>
      <c r="I36" s="33">
        <v>1</v>
      </c>
      <c r="J36" s="33"/>
      <c r="K36" s="33"/>
      <c r="L36" s="33"/>
      <c r="M36" s="33"/>
      <c r="N36" s="33"/>
      <c r="O36" s="33"/>
      <c r="P36" s="33"/>
      <c r="Q36" s="35"/>
      <c r="R36" s="176">
        <f t="shared" si="2"/>
        <v>4</v>
      </c>
      <c r="S36" s="349">
        <v>12</v>
      </c>
      <c r="T36" s="146"/>
      <c r="U36" s="33"/>
      <c r="V36" s="33"/>
      <c r="W36" s="33"/>
      <c r="X36" s="33"/>
      <c r="Y36" s="33"/>
      <c r="Z36" s="33"/>
      <c r="AA36" s="33"/>
      <c r="AB36" s="33"/>
      <c r="AC36" s="33"/>
      <c r="AD36" s="33"/>
      <c r="AE36" s="35"/>
      <c r="AF36" s="176">
        <f t="shared" si="3"/>
        <v>0</v>
      </c>
      <c r="AG36" s="177">
        <v>12</v>
      </c>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row>
    <row r="37" spans="1:280" s="13" customFormat="1" hidden="1" x14ac:dyDescent="0.25">
      <c r="A37" s="15"/>
      <c r="B37" s="94" t="s">
        <v>168</v>
      </c>
      <c r="C37" s="94" t="s">
        <v>168</v>
      </c>
      <c r="D37" s="94" t="s">
        <v>301</v>
      </c>
      <c r="E37" s="94" t="s">
        <v>342</v>
      </c>
      <c r="F37" s="146">
        <v>1</v>
      </c>
      <c r="G37" s="33">
        <v>1</v>
      </c>
      <c r="H37" s="33">
        <v>1</v>
      </c>
      <c r="I37" s="33">
        <v>2</v>
      </c>
      <c r="J37" s="33"/>
      <c r="K37" s="33"/>
      <c r="L37" s="33"/>
      <c r="M37" s="33"/>
      <c r="N37" s="33"/>
      <c r="O37" s="33"/>
      <c r="P37" s="33"/>
      <c r="Q37" s="35"/>
      <c r="R37" s="176">
        <f t="shared" si="2"/>
        <v>5</v>
      </c>
      <c r="S37" s="349">
        <v>12</v>
      </c>
      <c r="T37" s="146"/>
      <c r="U37" s="33"/>
      <c r="V37" s="33"/>
      <c r="W37" s="33"/>
      <c r="X37" s="33"/>
      <c r="Y37" s="33"/>
      <c r="Z37" s="33"/>
      <c r="AA37" s="33"/>
      <c r="AB37" s="33"/>
      <c r="AC37" s="33"/>
      <c r="AD37" s="33"/>
      <c r="AE37" s="35"/>
      <c r="AF37" s="176">
        <f t="shared" si="3"/>
        <v>0</v>
      </c>
      <c r="AG37" s="177">
        <v>12</v>
      </c>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row>
    <row r="38" spans="1:280" s="13" customFormat="1" hidden="1" x14ac:dyDescent="0.25">
      <c r="A38" s="15"/>
      <c r="B38" s="94" t="s">
        <v>181</v>
      </c>
      <c r="C38" s="94" t="s">
        <v>34</v>
      </c>
      <c r="D38" s="94" t="s">
        <v>320</v>
      </c>
      <c r="E38" s="94" t="s">
        <v>343</v>
      </c>
      <c r="F38" s="146">
        <v>1</v>
      </c>
      <c r="G38" s="33">
        <v>1</v>
      </c>
      <c r="H38" s="33">
        <v>1</v>
      </c>
      <c r="I38" s="33">
        <v>0</v>
      </c>
      <c r="J38" s="33"/>
      <c r="K38" s="33"/>
      <c r="L38" s="33"/>
      <c r="M38" s="33"/>
      <c r="N38" s="33"/>
      <c r="O38" s="33"/>
      <c r="P38" s="33"/>
      <c r="Q38" s="35"/>
      <c r="R38" s="176">
        <f t="shared" si="2"/>
        <v>3</v>
      </c>
      <c r="S38" s="349">
        <v>12</v>
      </c>
      <c r="T38" s="146"/>
      <c r="U38" s="33"/>
      <c r="V38" s="33"/>
      <c r="W38" s="33"/>
      <c r="X38" s="33"/>
      <c r="Y38" s="33"/>
      <c r="Z38" s="33"/>
      <c r="AA38" s="33"/>
      <c r="AB38" s="33"/>
      <c r="AC38" s="33"/>
      <c r="AD38" s="33"/>
      <c r="AE38" s="35"/>
      <c r="AF38" s="176">
        <f t="shared" si="3"/>
        <v>0</v>
      </c>
      <c r="AG38" s="177">
        <v>12</v>
      </c>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row>
    <row r="39" spans="1:280" s="13" customFormat="1" hidden="1" x14ac:dyDescent="0.25">
      <c r="A39" s="15"/>
      <c r="B39" s="94" t="s">
        <v>168</v>
      </c>
      <c r="C39" s="94" t="s">
        <v>168</v>
      </c>
      <c r="D39" s="94" t="s">
        <v>301</v>
      </c>
      <c r="E39" s="94" t="s">
        <v>344</v>
      </c>
      <c r="F39" s="146">
        <v>1</v>
      </c>
      <c r="G39" s="33">
        <v>1</v>
      </c>
      <c r="H39" s="33">
        <v>1</v>
      </c>
      <c r="I39" s="33">
        <v>1</v>
      </c>
      <c r="J39" s="33"/>
      <c r="K39" s="33"/>
      <c r="L39" s="33"/>
      <c r="M39" s="33"/>
      <c r="N39" s="33"/>
      <c r="O39" s="33"/>
      <c r="P39" s="33"/>
      <c r="Q39" s="35"/>
      <c r="R39" s="176">
        <f t="shared" si="2"/>
        <v>4</v>
      </c>
      <c r="S39" s="349">
        <v>12</v>
      </c>
      <c r="T39" s="146"/>
      <c r="U39" s="33"/>
      <c r="V39" s="33"/>
      <c r="W39" s="33"/>
      <c r="X39" s="33"/>
      <c r="Y39" s="33"/>
      <c r="Z39" s="33"/>
      <c r="AA39" s="33"/>
      <c r="AB39" s="33"/>
      <c r="AC39" s="33"/>
      <c r="AD39" s="33"/>
      <c r="AE39" s="35"/>
      <c r="AF39" s="176">
        <f t="shared" si="3"/>
        <v>0</v>
      </c>
      <c r="AG39" s="177">
        <v>12</v>
      </c>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row>
    <row r="40" spans="1:280" s="13" customFormat="1" hidden="1" x14ac:dyDescent="0.25">
      <c r="A40" s="15"/>
      <c r="B40" s="94" t="s">
        <v>168</v>
      </c>
      <c r="C40" s="94" t="s">
        <v>168</v>
      </c>
      <c r="D40" s="94" t="s">
        <v>810</v>
      </c>
      <c r="E40" s="94" t="s">
        <v>236</v>
      </c>
      <c r="F40" s="146">
        <v>10</v>
      </c>
      <c r="G40" s="33">
        <v>6</v>
      </c>
      <c r="H40" s="33">
        <v>12</v>
      </c>
      <c r="I40" s="33">
        <v>15</v>
      </c>
      <c r="J40" s="33"/>
      <c r="K40" s="33"/>
      <c r="L40" s="33"/>
      <c r="M40" s="33"/>
      <c r="N40" s="33"/>
      <c r="O40" s="33"/>
      <c r="P40" s="33"/>
      <c r="Q40" s="35"/>
      <c r="R40" s="176">
        <f t="shared" si="2"/>
        <v>43</v>
      </c>
      <c r="S40" s="349">
        <v>120</v>
      </c>
      <c r="T40" s="146"/>
      <c r="U40" s="33"/>
      <c r="V40" s="33"/>
      <c r="W40" s="33"/>
      <c r="X40" s="33"/>
      <c r="Y40" s="33"/>
      <c r="Z40" s="33"/>
      <c r="AA40" s="33"/>
      <c r="AB40" s="33"/>
      <c r="AC40" s="33"/>
      <c r="AD40" s="33"/>
      <c r="AE40" s="35"/>
      <c r="AF40" s="176">
        <f t="shared" si="3"/>
        <v>0</v>
      </c>
      <c r="AG40" s="177">
        <v>12</v>
      </c>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row>
    <row r="41" spans="1:280" s="13" customFormat="1" hidden="1" x14ac:dyDescent="0.25">
      <c r="A41" s="15"/>
      <c r="B41" s="94" t="s">
        <v>54</v>
      </c>
      <c r="C41" s="94" t="s">
        <v>34</v>
      </c>
      <c r="D41" s="94" t="s">
        <v>299</v>
      </c>
      <c r="E41" s="94" t="s">
        <v>345</v>
      </c>
      <c r="F41" s="146">
        <v>1</v>
      </c>
      <c r="G41" s="33">
        <v>1</v>
      </c>
      <c r="H41" s="33">
        <v>0</v>
      </c>
      <c r="I41" s="33"/>
      <c r="J41" s="33"/>
      <c r="K41" s="33"/>
      <c r="L41" s="33"/>
      <c r="M41" s="33"/>
      <c r="N41" s="33"/>
      <c r="O41" s="33"/>
      <c r="P41" s="33"/>
      <c r="Q41" s="35"/>
      <c r="R41" s="176">
        <f t="shared" si="2"/>
        <v>2</v>
      </c>
      <c r="S41" s="349">
        <v>11</v>
      </c>
      <c r="T41" s="146"/>
      <c r="U41" s="33"/>
      <c r="V41" s="33"/>
      <c r="W41" s="33"/>
      <c r="X41" s="33"/>
      <c r="Y41" s="33"/>
      <c r="Z41" s="33"/>
      <c r="AA41" s="33"/>
      <c r="AB41" s="33"/>
      <c r="AC41" s="33"/>
      <c r="AD41" s="33"/>
      <c r="AE41" s="35"/>
      <c r="AF41" s="176">
        <f t="shared" si="3"/>
        <v>0</v>
      </c>
      <c r="AG41" s="177">
        <v>12</v>
      </c>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row>
    <row r="42" spans="1:280" s="13" customFormat="1" hidden="1" x14ac:dyDescent="0.25">
      <c r="A42" s="15"/>
      <c r="B42" s="94" t="s">
        <v>109</v>
      </c>
      <c r="C42" s="94" t="s">
        <v>34</v>
      </c>
      <c r="D42" s="94" t="s">
        <v>301</v>
      </c>
      <c r="E42" s="94" t="s">
        <v>346</v>
      </c>
      <c r="F42" s="146">
        <v>1</v>
      </c>
      <c r="G42" s="33">
        <v>2</v>
      </c>
      <c r="H42" s="33">
        <v>1</v>
      </c>
      <c r="I42" s="33">
        <v>1</v>
      </c>
      <c r="J42" s="33"/>
      <c r="K42" s="33"/>
      <c r="L42" s="33"/>
      <c r="M42" s="33"/>
      <c r="N42" s="33"/>
      <c r="O42" s="33"/>
      <c r="P42" s="33"/>
      <c r="Q42" s="35"/>
      <c r="R42" s="176">
        <f t="shared" si="2"/>
        <v>5</v>
      </c>
      <c r="S42" s="349">
        <v>12</v>
      </c>
      <c r="T42" s="146">
        <v>2</v>
      </c>
      <c r="U42" s="33"/>
      <c r="V42" s="33">
        <v>1</v>
      </c>
      <c r="W42" s="33">
        <v>9</v>
      </c>
      <c r="X42" s="33"/>
      <c r="Y42" s="33"/>
      <c r="Z42" s="33"/>
      <c r="AA42" s="33"/>
      <c r="AB42" s="33"/>
      <c r="AC42" s="33"/>
      <c r="AD42" s="33"/>
      <c r="AE42" s="35"/>
      <c r="AF42" s="176">
        <f t="shared" si="3"/>
        <v>12</v>
      </c>
      <c r="AG42" s="177">
        <v>12</v>
      </c>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row>
    <row r="43" spans="1:280" s="13" customFormat="1" hidden="1" x14ac:dyDescent="0.25">
      <c r="A43" s="15"/>
      <c r="B43" s="144" t="s">
        <v>181</v>
      </c>
      <c r="C43" s="94" t="s">
        <v>45</v>
      </c>
      <c r="D43" s="94" t="s">
        <v>301</v>
      </c>
      <c r="E43" s="94" t="s">
        <v>347</v>
      </c>
      <c r="F43" s="146">
        <v>0</v>
      </c>
      <c r="G43" s="33">
        <v>1</v>
      </c>
      <c r="H43" s="33">
        <v>0</v>
      </c>
      <c r="I43" s="33">
        <v>0</v>
      </c>
      <c r="J43" s="33"/>
      <c r="K43" s="33"/>
      <c r="L43" s="33"/>
      <c r="M43" s="33"/>
      <c r="N43" s="33"/>
      <c r="O43" s="33"/>
      <c r="P43" s="33"/>
      <c r="Q43" s="35"/>
      <c r="R43" s="176">
        <f t="shared" si="2"/>
        <v>1</v>
      </c>
      <c r="S43" s="349">
        <v>12</v>
      </c>
      <c r="T43" s="146"/>
      <c r="U43" s="33"/>
      <c r="V43" s="33"/>
      <c r="W43" s="33"/>
      <c r="X43" s="33"/>
      <c r="Y43" s="33"/>
      <c r="Z43" s="33"/>
      <c r="AA43" s="33"/>
      <c r="AB43" s="33"/>
      <c r="AC43" s="33"/>
      <c r="AD43" s="33"/>
      <c r="AE43" s="35"/>
      <c r="AF43" s="176">
        <f t="shared" si="3"/>
        <v>0</v>
      </c>
      <c r="AG43" s="177">
        <v>12</v>
      </c>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row>
    <row r="44" spans="1:280" s="13" customFormat="1" hidden="1" x14ac:dyDescent="0.25">
      <c r="A44" s="15"/>
      <c r="B44" s="94" t="s">
        <v>54</v>
      </c>
      <c r="C44" s="94" t="s">
        <v>34</v>
      </c>
      <c r="D44" s="94" t="s">
        <v>301</v>
      </c>
      <c r="E44" s="94" t="s">
        <v>349</v>
      </c>
      <c r="F44" s="146">
        <v>1</v>
      </c>
      <c r="G44" s="33">
        <v>1</v>
      </c>
      <c r="H44" s="33">
        <v>1</v>
      </c>
      <c r="I44" s="33">
        <v>1</v>
      </c>
      <c r="J44" s="33"/>
      <c r="K44" s="33"/>
      <c r="L44" s="33"/>
      <c r="M44" s="33"/>
      <c r="N44" s="33"/>
      <c r="O44" s="33"/>
      <c r="P44" s="33"/>
      <c r="Q44" s="35"/>
      <c r="R44" s="176">
        <f t="shared" si="2"/>
        <v>4</v>
      </c>
      <c r="S44" s="349">
        <v>12</v>
      </c>
      <c r="T44" s="146"/>
      <c r="U44" s="33"/>
      <c r="V44" s="33"/>
      <c r="W44" s="33">
        <v>1</v>
      </c>
      <c r="X44" s="33"/>
      <c r="Y44" s="33"/>
      <c r="Z44" s="33"/>
      <c r="AA44" s="33"/>
      <c r="AB44" s="33"/>
      <c r="AC44" s="33"/>
      <c r="AD44" s="33"/>
      <c r="AE44" s="35"/>
      <c r="AF44" s="176">
        <f t="shared" si="3"/>
        <v>1</v>
      </c>
      <c r="AG44" s="177">
        <v>12</v>
      </c>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row>
    <row r="45" spans="1:280" s="13" customFormat="1" hidden="1" x14ac:dyDescent="0.25">
      <c r="A45" s="15"/>
      <c r="B45" s="94" t="s">
        <v>269</v>
      </c>
      <c r="C45" s="94" t="s">
        <v>34</v>
      </c>
      <c r="D45" s="94" t="s">
        <v>301</v>
      </c>
      <c r="E45" s="94" t="s">
        <v>350</v>
      </c>
      <c r="F45" s="146">
        <v>1</v>
      </c>
      <c r="G45" s="33"/>
      <c r="H45" s="33"/>
      <c r="I45" s="33"/>
      <c r="J45" s="33"/>
      <c r="K45" s="33"/>
      <c r="L45" s="33"/>
      <c r="M45" s="33"/>
      <c r="N45" s="33"/>
      <c r="O45" s="33"/>
      <c r="P45" s="33"/>
      <c r="Q45" s="35"/>
      <c r="R45" s="176">
        <f t="shared" si="2"/>
        <v>1</v>
      </c>
      <c r="S45" s="349">
        <v>12</v>
      </c>
      <c r="T45" s="146"/>
      <c r="U45" s="33"/>
      <c r="V45" s="33"/>
      <c r="W45" s="33"/>
      <c r="X45" s="33"/>
      <c r="Y45" s="33"/>
      <c r="Z45" s="33"/>
      <c r="AA45" s="33"/>
      <c r="AB45" s="33"/>
      <c r="AC45" s="33"/>
      <c r="AD45" s="33"/>
      <c r="AE45" s="35"/>
      <c r="AF45" s="176">
        <f t="shared" si="3"/>
        <v>0</v>
      </c>
      <c r="AG45" s="177">
        <v>12</v>
      </c>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row>
    <row r="46" spans="1:280" s="13" customFormat="1" hidden="1" x14ac:dyDescent="0.25">
      <c r="A46" s="15"/>
      <c r="B46" s="94" t="s">
        <v>168</v>
      </c>
      <c r="C46" s="94" t="s">
        <v>168</v>
      </c>
      <c r="D46" s="94" t="s">
        <v>301</v>
      </c>
      <c r="E46" s="94" t="s">
        <v>351</v>
      </c>
      <c r="F46" s="146">
        <v>1</v>
      </c>
      <c r="G46" s="33">
        <v>1</v>
      </c>
      <c r="H46" s="33">
        <v>1</v>
      </c>
      <c r="I46" s="33">
        <v>0</v>
      </c>
      <c r="J46" s="33"/>
      <c r="K46" s="33"/>
      <c r="L46" s="33"/>
      <c r="M46" s="33"/>
      <c r="N46" s="33"/>
      <c r="O46" s="33"/>
      <c r="P46" s="33"/>
      <c r="Q46" s="35"/>
      <c r="R46" s="176">
        <f t="shared" si="2"/>
        <v>3</v>
      </c>
      <c r="S46" s="349">
        <v>12</v>
      </c>
      <c r="T46" s="146"/>
      <c r="U46" s="33"/>
      <c r="V46" s="33"/>
      <c r="W46" s="33"/>
      <c r="X46" s="33"/>
      <c r="Y46" s="33"/>
      <c r="Z46" s="33"/>
      <c r="AA46" s="33"/>
      <c r="AB46" s="33"/>
      <c r="AC46" s="33"/>
      <c r="AD46" s="33"/>
      <c r="AE46" s="35"/>
      <c r="AF46" s="176">
        <f t="shared" si="3"/>
        <v>0</v>
      </c>
      <c r="AG46" s="177">
        <v>12</v>
      </c>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row>
    <row r="47" spans="1:280" s="13" customFormat="1" hidden="1" x14ac:dyDescent="0.25">
      <c r="A47" s="15"/>
      <c r="B47" s="144" t="s">
        <v>181</v>
      </c>
      <c r="C47" s="94" t="s">
        <v>230</v>
      </c>
      <c r="D47" s="94" t="s">
        <v>299</v>
      </c>
      <c r="E47" s="94" t="s">
        <v>352</v>
      </c>
      <c r="F47" s="146">
        <v>1</v>
      </c>
      <c r="G47" s="33">
        <v>1</v>
      </c>
      <c r="H47" s="33">
        <v>0</v>
      </c>
      <c r="I47" s="33">
        <v>1</v>
      </c>
      <c r="J47" s="33"/>
      <c r="K47" s="33"/>
      <c r="L47" s="33"/>
      <c r="M47" s="33"/>
      <c r="N47" s="33"/>
      <c r="O47" s="33"/>
      <c r="P47" s="33"/>
      <c r="Q47" s="35"/>
      <c r="R47" s="176">
        <f t="shared" si="2"/>
        <v>3</v>
      </c>
      <c r="S47" s="349">
        <v>12</v>
      </c>
      <c r="T47" s="146"/>
      <c r="U47" s="33"/>
      <c r="V47" s="33"/>
      <c r="W47" s="33"/>
      <c r="X47" s="33"/>
      <c r="Y47" s="33"/>
      <c r="Z47" s="33"/>
      <c r="AA47" s="33"/>
      <c r="AB47" s="33"/>
      <c r="AC47" s="33"/>
      <c r="AD47" s="33"/>
      <c r="AE47" s="35"/>
      <c r="AF47" s="176">
        <f t="shared" si="3"/>
        <v>0</v>
      </c>
      <c r="AG47" s="177">
        <v>12</v>
      </c>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row>
    <row r="48" spans="1:280" s="13" customFormat="1" hidden="1" x14ac:dyDescent="0.25">
      <c r="A48" s="15"/>
      <c r="B48" s="94" t="s">
        <v>181</v>
      </c>
      <c r="C48" s="94" t="s">
        <v>34</v>
      </c>
      <c r="D48" s="94" t="s">
        <v>301</v>
      </c>
      <c r="E48" s="94" t="s">
        <v>353</v>
      </c>
      <c r="F48" s="146">
        <v>2</v>
      </c>
      <c r="G48" s="33">
        <v>1</v>
      </c>
      <c r="H48" s="33">
        <v>1</v>
      </c>
      <c r="I48" s="33">
        <v>0</v>
      </c>
      <c r="J48" s="33"/>
      <c r="K48" s="33"/>
      <c r="L48" s="33"/>
      <c r="M48" s="33"/>
      <c r="N48" s="33"/>
      <c r="O48" s="33"/>
      <c r="P48" s="33"/>
      <c r="Q48" s="35"/>
      <c r="R48" s="176">
        <f t="shared" si="2"/>
        <v>4</v>
      </c>
      <c r="S48" s="349">
        <v>12</v>
      </c>
      <c r="T48" s="146">
        <v>1</v>
      </c>
      <c r="U48" s="33">
        <v>1</v>
      </c>
      <c r="V48" s="33"/>
      <c r="W48" s="33"/>
      <c r="X48" s="33"/>
      <c r="Y48" s="33"/>
      <c r="Z48" s="33"/>
      <c r="AA48" s="33"/>
      <c r="AB48" s="33"/>
      <c r="AC48" s="33"/>
      <c r="AD48" s="33"/>
      <c r="AE48" s="35"/>
      <c r="AF48" s="176">
        <f t="shared" si="3"/>
        <v>2</v>
      </c>
      <c r="AG48" s="177">
        <v>12</v>
      </c>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row>
    <row r="49" spans="1:280" s="13" customFormat="1" hidden="1" x14ac:dyDescent="0.25">
      <c r="A49" s="15"/>
      <c r="B49" s="94" t="s">
        <v>181</v>
      </c>
      <c r="C49" s="94" t="s">
        <v>34</v>
      </c>
      <c r="D49" s="94" t="s">
        <v>301</v>
      </c>
      <c r="E49" s="94" t="s">
        <v>354</v>
      </c>
      <c r="F49" s="146">
        <v>2</v>
      </c>
      <c r="G49" s="33">
        <v>1</v>
      </c>
      <c r="H49" s="33">
        <v>3</v>
      </c>
      <c r="I49" s="33">
        <v>0</v>
      </c>
      <c r="J49" s="33"/>
      <c r="K49" s="33"/>
      <c r="L49" s="33"/>
      <c r="M49" s="33"/>
      <c r="N49" s="33"/>
      <c r="O49" s="33"/>
      <c r="P49" s="33"/>
      <c r="Q49" s="35"/>
      <c r="R49" s="176">
        <f t="shared" si="2"/>
        <v>6</v>
      </c>
      <c r="S49" s="349">
        <v>12</v>
      </c>
      <c r="T49" s="146">
        <v>1</v>
      </c>
      <c r="U49" s="33">
        <v>2</v>
      </c>
      <c r="V49" s="33"/>
      <c r="W49" s="33"/>
      <c r="X49" s="33"/>
      <c r="Y49" s="33"/>
      <c r="Z49" s="33"/>
      <c r="AA49" s="33"/>
      <c r="AB49" s="33"/>
      <c r="AC49" s="33"/>
      <c r="AD49" s="33"/>
      <c r="AE49" s="35"/>
      <c r="AF49" s="176">
        <f t="shared" si="3"/>
        <v>3</v>
      </c>
      <c r="AG49" s="177">
        <v>12</v>
      </c>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row>
    <row r="50" spans="1:280" s="13" customFormat="1" hidden="1" x14ac:dyDescent="0.25">
      <c r="A50" s="15"/>
      <c r="B50" s="94" t="s">
        <v>181</v>
      </c>
      <c r="C50" s="94" t="s">
        <v>34</v>
      </c>
      <c r="D50" s="94" t="s">
        <v>299</v>
      </c>
      <c r="E50" s="94" t="s">
        <v>355</v>
      </c>
      <c r="F50" s="146">
        <v>1</v>
      </c>
      <c r="G50" s="33">
        <v>1</v>
      </c>
      <c r="H50" s="33">
        <v>1</v>
      </c>
      <c r="I50" s="33">
        <v>0</v>
      </c>
      <c r="J50" s="33"/>
      <c r="K50" s="33"/>
      <c r="L50" s="33"/>
      <c r="M50" s="33"/>
      <c r="N50" s="33"/>
      <c r="O50" s="33"/>
      <c r="P50" s="33"/>
      <c r="Q50" s="35"/>
      <c r="R50" s="176">
        <f t="shared" si="2"/>
        <v>3</v>
      </c>
      <c r="S50" s="349">
        <v>12</v>
      </c>
      <c r="T50" s="146">
        <v>1</v>
      </c>
      <c r="U50" s="33"/>
      <c r="V50" s="33">
        <v>3</v>
      </c>
      <c r="W50" s="33"/>
      <c r="X50" s="33"/>
      <c r="Y50" s="33"/>
      <c r="Z50" s="33"/>
      <c r="AA50" s="33"/>
      <c r="AB50" s="33"/>
      <c r="AC50" s="33"/>
      <c r="AD50" s="33"/>
      <c r="AE50" s="35"/>
      <c r="AF50" s="176">
        <f t="shared" si="3"/>
        <v>4</v>
      </c>
      <c r="AG50" s="177">
        <v>12</v>
      </c>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row>
    <row r="51" spans="1:280" s="13" customFormat="1" hidden="1" x14ac:dyDescent="0.25">
      <c r="A51" s="15"/>
      <c r="B51" s="94" t="s">
        <v>181</v>
      </c>
      <c r="C51" s="94" t="s">
        <v>34</v>
      </c>
      <c r="D51" s="94" t="s">
        <v>315</v>
      </c>
      <c r="E51" s="94" t="s">
        <v>356</v>
      </c>
      <c r="F51" s="146">
        <v>1</v>
      </c>
      <c r="G51" s="33">
        <v>1</v>
      </c>
      <c r="H51" s="33">
        <v>2</v>
      </c>
      <c r="I51" s="33">
        <v>0</v>
      </c>
      <c r="J51" s="33"/>
      <c r="K51" s="33"/>
      <c r="L51" s="33"/>
      <c r="M51" s="33"/>
      <c r="N51" s="33"/>
      <c r="O51" s="33"/>
      <c r="P51" s="33"/>
      <c r="Q51" s="35"/>
      <c r="R51" s="176">
        <f t="shared" si="2"/>
        <v>4</v>
      </c>
      <c r="S51" s="349">
        <v>12</v>
      </c>
      <c r="T51" s="146"/>
      <c r="U51" s="33"/>
      <c r="V51" s="33"/>
      <c r="W51" s="33"/>
      <c r="X51" s="33"/>
      <c r="Y51" s="33"/>
      <c r="Z51" s="33"/>
      <c r="AA51" s="33"/>
      <c r="AB51" s="33"/>
      <c r="AC51" s="33"/>
      <c r="AD51" s="33"/>
      <c r="AE51" s="35"/>
      <c r="AF51" s="176">
        <f t="shared" si="3"/>
        <v>0</v>
      </c>
      <c r="AG51" s="177">
        <v>12</v>
      </c>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row>
    <row r="52" spans="1:280" s="13" customFormat="1" hidden="1" x14ac:dyDescent="0.25">
      <c r="A52" s="15"/>
      <c r="B52" s="94" t="s">
        <v>109</v>
      </c>
      <c r="C52" s="94" t="s">
        <v>230</v>
      </c>
      <c r="D52" s="94" t="s">
        <v>301</v>
      </c>
      <c r="E52" s="94" t="s">
        <v>358</v>
      </c>
      <c r="F52" s="146">
        <v>1</v>
      </c>
      <c r="G52" s="33">
        <v>1</v>
      </c>
      <c r="H52" s="33">
        <v>2</v>
      </c>
      <c r="I52" s="33">
        <v>1</v>
      </c>
      <c r="J52" s="33"/>
      <c r="K52" s="33"/>
      <c r="L52" s="33"/>
      <c r="M52" s="33"/>
      <c r="N52" s="33"/>
      <c r="O52" s="33"/>
      <c r="P52" s="33"/>
      <c r="Q52" s="35"/>
      <c r="R52" s="176">
        <f t="shared" si="2"/>
        <v>5</v>
      </c>
      <c r="S52" s="349">
        <v>12</v>
      </c>
      <c r="T52" s="146">
        <v>1</v>
      </c>
      <c r="U52" s="33">
        <v>1</v>
      </c>
      <c r="V52" s="33">
        <v>2</v>
      </c>
      <c r="W52" s="33">
        <v>1</v>
      </c>
      <c r="X52" s="33"/>
      <c r="Y52" s="33"/>
      <c r="Z52" s="33"/>
      <c r="AA52" s="33"/>
      <c r="AB52" s="33"/>
      <c r="AC52" s="33"/>
      <c r="AD52" s="33"/>
      <c r="AE52" s="35"/>
      <c r="AF52" s="176">
        <f t="shared" si="3"/>
        <v>5</v>
      </c>
      <c r="AG52" s="177">
        <v>12</v>
      </c>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row>
    <row r="53" spans="1:280" s="13" customFormat="1" hidden="1" x14ac:dyDescent="0.25">
      <c r="A53" s="15"/>
      <c r="B53" s="94" t="s">
        <v>181</v>
      </c>
      <c r="C53" s="94" t="s">
        <v>45</v>
      </c>
      <c r="D53" s="94" t="s">
        <v>311</v>
      </c>
      <c r="E53" s="94" t="s">
        <v>357</v>
      </c>
      <c r="F53" s="146">
        <v>0</v>
      </c>
      <c r="G53" s="33">
        <v>0</v>
      </c>
      <c r="H53" s="33">
        <v>0</v>
      </c>
      <c r="I53" s="33">
        <v>0</v>
      </c>
      <c r="J53" s="33"/>
      <c r="K53" s="33"/>
      <c r="L53" s="33"/>
      <c r="M53" s="33"/>
      <c r="N53" s="33"/>
      <c r="O53" s="33"/>
      <c r="P53" s="33"/>
      <c r="Q53" s="35"/>
      <c r="R53" s="176">
        <f t="shared" si="2"/>
        <v>0</v>
      </c>
      <c r="S53" s="349">
        <v>12</v>
      </c>
      <c r="T53" s="146"/>
      <c r="U53" s="33"/>
      <c r="V53" s="33"/>
      <c r="W53" s="33"/>
      <c r="X53" s="33"/>
      <c r="Y53" s="33"/>
      <c r="Z53" s="33"/>
      <c r="AA53" s="33"/>
      <c r="AB53" s="33"/>
      <c r="AC53" s="33"/>
      <c r="AD53" s="33"/>
      <c r="AE53" s="35"/>
      <c r="AF53" s="176">
        <f t="shared" si="3"/>
        <v>0</v>
      </c>
      <c r="AG53" s="177">
        <v>12</v>
      </c>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row>
    <row r="54" spans="1:280" s="13" customFormat="1" hidden="1" x14ac:dyDescent="0.25">
      <c r="A54" s="15"/>
      <c r="B54" s="94" t="s">
        <v>168</v>
      </c>
      <c r="C54" s="94" t="s">
        <v>168</v>
      </c>
      <c r="D54" s="94" t="s">
        <v>311</v>
      </c>
      <c r="E54" s="94" t="s">
        <v>360</v>
      </c>
      <c r="F54" s="146"/>
      <c r="G54" s="33">
        <v>1</v>
      </c>
      <c r="H54" s="33">
        <v>2</v>
      </c>
      <c r="I54" s="33">
        <v>0</v>
      </c>
      <c r="J54" s="33"/>
      <c r="K54" s="33"/>
      <c r="L54" s="33"/>
      <c r="M54" s="33"/>
      <c r="N54" s="33"/>
      <c r="O54" s="33"/>
      <c r="P54" s="33"/>
      <c r="Q54" s="35"/>
      <c r="R54" s="176">
        <f t="shared" si="2"/>
        <v>3</v>
      </c>
      <c r="S54" s="349">
        <v>12</v>
      </c>
      <c r="T54" s="146"/>
      <c r="U54" s="33"/>
      <c r="V54" s="33"/>
      <c r="W54" s="33"/>
      <c r="X54" s="33"/>
      <c r="Y54" s="33"/>
      <c r="Z54" s="33"/>
      <c r="AA54" s="33"/>
      <c r="AB54" s="33"/>
      <c r="AC54" s="33"/>
      <c r="AD54" s="33"/>
      <c r="AE54" s="35"/>
      <c r="AF54" s="176">
        <f t="shared" si="3"/>
        <v>0</v>
      </c>
      <c r="AG54" s="177">
        <v>12</v>
      </c>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row>
    <row r="55" spans="1:280" s="13" customFormat="1" hidden="1" x14ac:dyDescent="0.25">
      <c r="A55" s="15"/>
      <c r="B55" s="94" t="s">
        <v>168</v>
      </c>
      <c r="C55" s="94" t="s">
        <v>168</v>
      </c>
      <c r="D55" s="94" t="s">
        <v>301</v>
      </c>
      <c r="E55" s="94" t="s">
        <v>811</v>
      </c>
      <c r="F55" s="146">
        <v>1</v>
      </c>
      <c r="G55" s="33">
        <v>1</v>
      </c>
      <c r="H55" s="33">
        <v>1</v>
      </c>
      <c r="I55" s="33">
        <v>1</v>
      </c>
      <c r="J55" s="33"/>
      <c r="K55" s="33"/>
      <c r="L55" s="33"/>
      <c r="M55" s="33"/>
      <c r="N55" s="33"/>
      <c r="O55" s="33"/>
      <c r="P55" s="33"/>
      <c r="Q55" s="35"/>
      <c r="R55" s="176">
        <f t="shared" si="2"/>
        <v>4</v>
      </c>
      <c r="S55" s="349">
        <v>12</v>
      </c>
      <c r="T55" s="146"/>
      <c r="U55" s="33"/>
      <c r="V55" s="33"/>
      <c r="W55" s="33"/>
      <c r="X55" s="33"/>
      <c r="Y55" s="33"/>
      <c r="Z55" s="33"/>
      <c r="AA55" s="33"/>
      <c r="AB55" s="33"/>
      <c r="AC55" s="33"/>
      <c r="AD55" s="33"/>
      <c r="AE55" s="35"/>
      <c r="AF55" s="176">
        <f t="shared" si="3"/>
        <v>0</v>
      </c>
      <c r="AG55" s="177">
        <v>12</v>
      </c>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row>
    <row r="56" spans="1:280" s="13" customFormat="1" hidden="1" x14ac:dyDescent="0.25">
      <c r="A56" s="15"/>
      <c r="B56" s="94" t="s">
        <v>54</v>
      </c>
      <c r="C56" s="94" t="s">
        <v>34</v>
      </c>
      <c r="D56" s="94" t="s">
        <v>301</v>
      </c>
      <c r="E56" s="94" t="s">
        <v>361</v>
      </c>
      <c r="F56" s="146">
        <v>1</v>
      </c>
      <c r="G56" s="33">
        <v>1</v>
      </c>
      <c r="H56" s="33">
        <v>1</v>
      </c>
      <c r="I56" s="33">
        <v>1</v>
      </c>
      <c r="J56" s="33"/>
      <c r="K56" s="33"/>
      <c r="L56" s="33"/>
      <c r="M56" s="33"/>
      <c r="N56" s="33"/>
      <c r="O56" s="33"/>
      <c r="P56" s="33"/>
      <c r="Q56" s="35"/>
      <c r="R56" s="176">
        <f t="shared" si="2"/>
        <v>4</v>
      </c>
      <c r="S56" s="349">
        <v>12</v>
      </c>
      <c r="T56" s="146"/>
      <c r="U56" s="33"/>
      <c r="V56" s="33">
        <v>1</v>
      </c>
      <c r="W56" s="33">
        <v>1</v>
      </c>
      <c r="X56" s="33"/>
      <c r="Y56" s="33"/>
      <c r="Z56" s="33"/>
      <c r="AA56" s="33"/>
      <c r="AB56" s="33"/>
      <c r="AC56" s="33"/>
      <c r="AD56" s="33"/>
      <c r="AE56" s="35"/>
      <c r="AF56" s="176">
        <f t="shared" si="3"/>
        <v>2</v>
      </c>
      <c r="AG56" s="177">
        <v>12</v>
      </c>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row>
    <row r="57" spans="1:280" s="13" customFormat="1" hidden="1" x14ac:dyDescent="0.25">
      <c r="A57" s="15"/>
      <c r="B57" s="94" t="s">
        <v>100</v>
      </c>
      <c r="C57" s="94" t="s">
        <v>34</v>
      </c>
      <c r="D57" s="94" t="s">
        <v>301</v>
      </c>
      <c r="E57" s="94" t="s">
        <v>362</v>
      </c>
      <c r="F57" s="146">
        <v>1</v>
      </c>
      <c r="G57" s="33">
        <v>2</v>
      </c>
      <c r="H57" s="33">
        <v>1</v>
      </c>
      <c r="I57" s="33"/>
      <c r="J57" s="33"/>
      <c r="K57" s="33"/>
      <c r="L57" s="33"/>
      <c r="M57" s="33"/>
      <c r="N57" s="33"/>
      <c r="O57" s="33"/>
      <c r="P57" s="33"/>
      <c r="Q57" s="35"/>
      <c r="R57" s="176">
        <f t="shared" si="2"/>
        <v>4</v>
      </c>
      <c r="S57" s="349">
        <v>12</v>
      </c>
      <c r="T57" s="146">
        <v>1</v>
      </c>
      <c r="U57" s="33"/>
      <c r="V57" s="33"/>
      <c r="W57" s="33">
        <v>1</v>
      </c>
      <c r="X57" s="33"/>
      <c r="Y57" s="33"/>
      <c r="Z57" s="33"/>
      <c r="AA57" s="33"/>
      <c r="AB57" s="33"/>
      <c r="AC57" s="33"/>
      <c r="AD57" s="33"/>
      <c r="AE57" s="35"/>
      <c r="AF57" s="176">
        <f t="shared" si="3"/>
        <v>2</v>
      </c>
      <c r="AG57" s="177">
        <v>12</v>
      </c>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row>
    <row r="58" spans="1:280" s="13" customFormat="1" hidden="1" x14ac:dyDescent="0.25">
      <c r="A58" s="15"/>
      <c r="B58" s="94" t="s">
        <v>100</v>
      </c>
      <c r="C58" s="94" t="s">
        <v>34</v>
      </c>
      <c r="D58" s="94" t="s">
        <v>301</v>
      </c>
      <c r="E58" s="94" t="s">
        <v>363</v>
      </c>
      <c r="F58" s="146">
        <v>1</v>
      </c>
      <c r="G58" s="33">
        <v>1</v>
      </c>
      <c r="H58" s="33"/>
      <c r="I58" s="33">
        <v>2</v>
      </c>
      <c r="J58" s="33"/>
      <c r="K58" s="33"/>
      <c r="L58" s="33"/>
      <c r="M58" s="33"/>
      <c r="N58" s="33"/>
      <c r="O58" s="33"/>
      <c r="P58" s="33"/>
      <c r="Q58" s="35"/>
      <c r="R58" s="176">
        <f t="shared" si="2"/>
        <v>4</v>
      </c>
      <c r="S58" s="349">
        <v>12</v>
      </c>
      <c r="T58" s="146"/>
      <c r="U58" s="33"/>
      <c r="V58" s="33"/>
      <c r="W58" s="33"/>
      <c r="X58" s="33"/>
      <c r="Y58" s="33"/>
      <c r="Z58" s="33"/>
      <c r="AA58" s="33"/>
      <c r="AB58" s="33"/>
      <c r="AC58" s="33"/>
      <c r="AD58" s="33"/>
      <c r="AE58" s="35"/>
      <c r="AF58" s="176">
        <f t="shared" si="3"/>
        <v>0</v>
      </c>
      <c r="AG58" s="177">
        <v>12</v>
      </c>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row>
    <row r="59" spans="1:280" s="13" customFormat="1" hidden="1" x14ac:dyDescent="0.25">
      <c r="A59" s="15"/>
      <c r="B59" s="94" t="s">
        <v>54</v>
      </c>
      <c r="C59" s="94" t="s">
        <v>34</v>
      </c>
      <c r="D59" s="94" t="s">
        <v>311</v>
      </c>
      <c r="E59" s="94" t="s">
        <v>364</v>
      </c>
      <c r="F59" s="146">
        <v>1</v>
      </c>
      <c r="G59" s="33">
        <v>0</v>
      </c>
      <c r="H59" s="33">
        <v>0</v>
      </c>
      <c r="I59" s="33">
        <v>1</v>
      </c>
      <c r="J59" s="33"/>
      <c r="K59" s="33"/>
      <c r="L59" s="33"/>
      <c r="M59" s="33"/>
      <c r="N59" s="33"/>
      <c r="O59" s="33"/>
      <c r="P59" s="33"/>
      <c r="Q59" s="35"/>
      <c r="R59" s="176">
        <f t="shared" si="2"/>
        <v>2</v>
      </c>
      <c r="S59" s="349">
        <v>12</v>
      </c>
      <c r="T59" s="146"/>
      <c r="U59" s="33"/>
      <c r="V59" s="33"/>
      <c r="W59" s="33"/>
      <c r="X59" s="33"/>
      <c r="Y59" s="33"/>
      <c r="Z59" s="33"/>
      <c r="AA59" s="33"/>
      <c r="AB59" s="33"/>
      <c r="AC59" s="33"/>
      <c r="AD59" s="33"/>
      <c r="AE59" s="35"/>
      <c r="AF59" s="176">
        <f t="shared" si="3"/>
        <v>0</v>
      </c>
      <c r="AG59" s="177">
        <v>12</v>
      </c>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row>
    <row r="60" spans="1:280" s="13" customFormat="1" x14ac:dyDescent="0.25">
      <c r="A60" s="15"/>
      <c r="B60" s="94" t="s">
        <v>159</v>
      </c>
      <c r="C60" s="94" t="s">
        <v>45</v>
      </c>
      <c r="D60" s="94" t="s">
        <v>301</v>
      </c>
      <c r="E60" s="94" t="s">
        <v>365</v>
      </c>
      <c r="F60" s="146">
        <v>2</v>
      </c>
      <c r="G60" s="33">
        <v>1</v>
      </c>
      <c r="H60" s="33">
        <v>1</v>
      </c>
      <c r="I60" s="33">
        <v>1</v>
      </c>
      <c r="J60" s="33">
        <v>1</v>
      </c>
      <c r="K60" s="33"/>
      <c r="L60" s="33"/>
      <c r="M60" s="33"/>
      <c r="N60" s="33"/>
      <c r="O60" s="33"/>
      <c r="P60" s="33"/>
      <c r="Q60" s="35"/>
      <c r="R60" s="176">
        <f t="shared" si="2"/>
        <v>6</v>
      </c>
      <c r="S60" s="349">
        <v>12</v>
      </c>
      <c r="T60" s="146"/>
      <c r="U60" s="33"/>
      <c r="V60" s="33">
        <v>1</v>
      </c>
      <c r="W60" s="33"/>
      <c r="X60" s="33"/>
      <c r="Y60" s="33"/>
      <c r="Z60" s="33"/>
      <c r="AA60" s="33"/>
      <c r="AB60" s="33"/>
      <c r="AC60" s="33"/>
      <c r="AD60" s="33"/>
      <c r="AE60" s="35"/>
      <c r="AF60" s="176">
        <f t="shared" si="3"/>
        <v>1</v>
      </c>
      <c r="AG60" s="177">
        <v>12</v>
      </c>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row>
    <row r="61" spans="1:280" s="13" customFormat="1" hidden="1" x14ac:dyDescent="0.25">
      <c r="A61" s="15"/>
      <c r="B61" s="94" t="s">
        <v>168</v>
      </c>
      <c r="C61" s="94" t="s">
        <v>168</v>
      </c>
      <c r="D61" s="94" t="s">
        <v>301</v>
      </c>
      <c r="E61" s="94" t="s">
        <v>812</v>
      </c>
      <c r="F61" s="146"/>
      <c r="G61" s="33"/>
      <c r="H61" s="33"/>
      <c r="I61" s="33">
        <v>1</v>
      </c>
      <c r="J61" s="33"/>
      <c r="K61" s="33"/>
      <c r="L61" s="33"/>
      <c r="M61" s="33"/>
      <c r="N61" s="33"/>
      <c r="O61" s="33"/>
      <c r="P61" s="33"/>
      <c r="Q61" s="35"/>
      <c r="R61" s="176">
        <f t="shared" si="2"/>
        <v>1</v>
      </c>
      <c r="S61" s="349">
        <v>13</v>
      </c>
      <c r="T61" s="146"/>
      <c r="U61" s="33"/>
      <c r="V61" s="33"/>
      <c r="W61" s="33"/>
      <c r="X61" s="33"/>
      <c r="Y61" s="33"/>
      <c r="Z61" s="33"/>
      <c r="AA61" s="33"/>
      <c r="AB61" s="33"/>
      <c r="AC61" s="33"/>
      <c r="AD61" s="33"/>
      <c r="AE61" s="35"/>
      <c r="AF61" s="176">
        <f t="shared" si="3"/>
        <v>0</v>
      </c>
      <c r="AG61" s="177">
        <v>9</v>
      </c>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row>
    <row r="62" spans="1:280" s="13" customFormat="1" hidden="1" x14ac:dyDescent="0.25">
      <c r="A62" s="15"/>
      <c r="B62" s="94" t="s">
        <v>168</v>
      </c>
      <c r="C62" s="94" t="s">
        <v>168</v>
      </c>
      <c r="D62" s="94" t="s">
        <v>299</v>
      </c>
      <c r="E62" s="94" t="s">
        <v>459</v>
      </c>
      <c r="F62" s="146"/>
      <c r="G62" s="33"/>
      <c r="H62" s="33"/>
      <c r="I62" s="33">
        <v>0</v>
      </c>
      <c r="J62" s="33"/>
      <c r="K62" s="33"/>
      <c r="L62" s="33"/>
      <c r="M62" s="33"/>
      <c r="N62" s="33"/>
      <c r="O62" s="33"/>
      <c r="P62" s="33"/>
      <c r="Q62" s="35"/>
      <c r="R62" s="176">
        <f t="shared" si="2"/>
        <v>0</v>
      </c>
      <c r="S62" s="349">
        <v>12</v>
      </c>
      <c r="T62" s="146"/>
      <c r="U62" s="33"/>
      <c r="V62" s="33"/>
      <c r="W62" s="33"/>
      <c r="X62" s="33"/>
      <c r="Y62" s="33"/>
      <c r="Z62" s="33"/>
      <c r="AA62" s="33"/>
      <c r="AB62" s="33"/>
      <c r="AC62" s="33"/>
      <c r="AD62" s="33"/>
      <c r="AE62" s="35"/>
      <c r="AF62" s="176">
        <f t="shared" si="3"/>
        <v>0</v>
      </c>
      <c r="AG62" s="177">
        <v>12</v>
      </c>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row>
    <row r="63" spans="1:280" s="13" customFormat="1" hidden="1" x14ac:dyDescent="0.25">
      <c r="A63" s="15"/>
      <c r="B63" s="94" t="s">
        <v>181</v>
      </c>
      <c r="C63" s="94" t="s">
        <v>71</v>
      </c>
      <c r="D63" s="94" t="s">
        <v>301</v>
      </c>
      <c r="E63" s="94" t="s">
        <v>359</v>
      </c>
      <c r="F63" s="146">
        <v>1</v>
      </c>
      <c r="G63" s="33">
        <v>1</v>
      </c>
      <c r="H63" s="33">
        <v>1</v>
      </c>
      <c r="I63" s="33">
        <v>1</v>
      </c>
      <c r="J63" s="33"/>
      <c r="K63" s="33"/>
      <c r="L63" s="33"/>
      <c r="M63" s="33"/>
      <c r="N63" s="33"/>
      <c r="O63" s="33"/>
      <c r="P63" s="33"/>
      <c r="Q63" s="35"/>
      <c r="R63" s="176">
        <f t="shared" si="2"/>
        <v>4</v>
      </c>
      <c r="S63" s="349">
        <v>12</v>
      </c>
      <c r="T63" s="146"/>
      <c r="U63" s="33"/>
      <c r="V63" s="33"/>
      <c r="W63" s="33"/>
      <c r="X63" s="33"/>
      <c r="Y63" s="33"/>
      <c r="Z63" s="33"/>
      <c r="AA63" s="33"/>
      <c r="AB63" s="33"/>
      <c r="AC63" s="33"/>
      <c r="AD63" s="33"/>
      <c r="AE63" s="35"/>
      <c r="AF63" s="176">
        <f t="shared" si="3"/>
        <v>0</v>
      </c>
      <c r="AG63" s="177">
        <v>12</v>
      </c>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row>
    <row r="64" spans="1:280" s="13" customFormat="1" hidden="1" x14ac:dyDescent="0.25">
      <c r="A64" s="15"/>
      <c r="B64" s="94" t="s">
        <v>109</v>
      </c>
      <c r="C64" s="94" t="s">
        <v>34</v>
      </c>
      <c r="D64" s="94" t="s">
        <v>311</v>
      </c>
      <c r="E64" s="94" t="s">
        <v>368</v>
      </c>
      <c r="F64" s="146">
        <v>2</v>
      </c>
      <c r="G64" s="33">
        <v>1</v>
      </c>
      <c r="H64" s="33">
        <v>1</v>
      </c>
      <c r="I64" s="33">
        <v>1</v>
      </c>
      <c r="J64" s="33"/>
      <c r="K64" s="33"/>
      <c r="L64" s="33"/>
      <c r="M64" s="33"/>
      <c r="N64" s="33"/>
      <c r="O64" s="33"/>
      <c r="P64" s="33"/>
      <c r="Q64" s="35"/>
      <c r="R64" s="176">
        <f t="shared" si="2"/>
        <v>5</v>
      </c>
      <c r="S64" s="349">
        <v>12</v>
      </c>
      <c r="T64" s="146"/>
      <c r="U64" s="33"/>
      <c r="V64" s="33"/>
      <c r="W64" s="33"/>
      <c r="X64" s="33"/>
      <c r="Y64" s="33"/>
      <c r="Z64" s="33"/>
      <c r="AA64" s="33"/>
      <c r="AB64" s="33"/>
      <c r="AC64" s="33"/>
      <c r="AD64" s="33"/>
      <c r="AE64" s="35"/>
      <c r="AF64" s="176">
        <f t="shared" si="3"/>
        <v>0</v>
      </c>
      <c r="AG64" s="177">
        <v>12</v>
      </c>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row>
    <row r="65" spans="1:280" s="13" customFormat="1" hidden="1" x14ac:dyDescent="0.25">
      <c r="A65" s="15"/>
      <c r="B65" s="94" t="s">
        <v>181</v>
      </c>
      <c r="C65" s="94" t="s">
        <v>34</v>
      </c>
      <c r="D65" s="94" t="s">
        <v>320</v>
      </c>
      <c r="E65" s="94" t="s">
        <v>813</v>
      </c>
      <c r="F65" s="146">
        <v>1</v>
      </c>
      <c r="G65" s="33">
        <v>1</v>
      </c>
      <c r="H65" s="33">
        <v>1</v>
      </c>
      <c r="I65" s="33">
        <v>0</v>
      </c>
      <c r="J65" s="33"/>
      <c r="K65" s="33"/>
      <c r="L65" s="33"/>
      <c r="M65" s="33"/>
      <c r="N65" s="33"/>
      <c r="O65" s="33"/>
      <c r="P65" s="33"/>
      <c r="Q65" s="35"/>
      <c r="R65" s="176">
        <f t="shared" si="2"/>
        <v>3</v>
      </c>
      <c r="S65" s="349">
        <v>12</v>
      </c>
      <c r="T65" s="146"/>
      <c r="U65" s="33"/>
      <c r="V65" s="33"/>
      <c r="W65" s="33"/>
      <c r="X65" s="33"/>
      <c r="Y65" s="33"/>
      <c r="Z65" s="33"/>
      <c r="AA65" s="33"/>
      <c r="AB65" s="33"/>
      <c r="AC65" s="33"/>
      <c r="AD65" s="33"/>
      <c r="AE65" s="35"/>
      <c r="AF65" s="176">
        <f t="shared" si="3"/>
        <v>0</v>
      </c>
      <c r="AG65" s="177">
        <v>12</v>
      </c>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row>
    <row r="66" spans="1:280" s="13" customFormat="1" hidden="1" x14ac:dyDescent="0.25">
      <c r="A66" s="15"/>
      <c r="B66" s="94" t="s">
        <v>168</v>
      </c>
      <c r="C66" s="94" t="s">
        <v>168</v>
      </c>
      <c r="D66" s="94" t="s">
        <v>315</v>
      </c>
      <c r="E66" s="94" t="s">
        <v>369</v>
      </c>
      <c r="F66" s="146">
        <v>2</v>
      </c>
      <c r="G66" s="33">
        <v>1</v>
      </c>
      <c r="H66" s="33">
        <v>1</v>
      </c>
      <c r="I66" s="33">
        <v>1</v>
      </c>
      <c r="J66" s="33"/>
      <c r="K66" s="33"/>
      <c r="L66" s="33"/>
      <c r="M66" s="33"/>
      <c r="N66" s="33"/>
      <c r="O66" s="33"/>
      <c r="P66" s="33"/>
      <c r="Q66" s="35"/>
      <c r="R66" s="176">
        <f t="shared" si="2"/>
        <v>5</v>
      </c>
      <c r="S66" s="349">
        <v>12</v>
      </c>
      <c r="T66" s="146"/>
      <c r="U66" s="33"/>
      <c r="V66" s="33"/>
      <c r="W66" s="33"/>
      <c r="X66" s="33"/>
      <c r="Y66" s="33"/>
      <c r="Z66" s="33"/>
      <c r="AA66" s="33"/>
      <c r="AB66" s="33"/>
      <c r="AC66" s="33"/>
      <c r="AD66" s="33"/>
      <c r="AE66" s="35"/>
      <c r="AF66" s="176">
        <f t="shared" si="3"/>
        <v>0</v>
      </c>
      <c r="AG66" s="177">
        <v>12</v>
      </c>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row>
    <row r="67" spans="1:280" s="13" customFormat="1" hidden="1" x14ac:dyDescent="0.25">
      <c r="A67" s="15"/>
      <c r="B67" s="94" t="s">
        <v>109</v>
      </c>
      <c r="C67" s="94" t="s">
        <v>34</v>
      </c>
      <c r="D67" s="94" t="s">
        <v>301</v>
      </c>
      <c r="E67" s="94" t="s">
        <v>370</v>
      </c>
      <c r="F67" s="146">
        <v>1</v>
      </c>
      <c r="G67" s="33">
        <v>1</v>
      </c>
      <c r="H67" s="33">
        <v>1</v>
      </c>
      <c r="I67" s="33">
        <v>2</v>
      </c>
      <c r="J67" s="33"/>
      <c r="K67" s="33"/>
      <c r="L67" s="33"/>
      <c r="M67" s="33"/>
      <c r="N67" s="33"/>
      <c r="O67" s="33"/>
      <c r="P67" s="33"/>
      <c r="Q67" s="35"/>
      <c r="R67" s="176">
        <f t="shared" ref="R67:R77" si="4">F67+G67+H67+I67+J67+K67+L67+M67+N67+O67+P67+Q67</f>
        <v>5</v>
      </c>
      <c r="S67" s="349">
        <v>12</v>
      </c>
      <c r="T67" s="146"/>
      <c r="U67" s="33"/>
      <c r="V67" s="33"/>
      <c r="W67" s="33"/>
      <c r="X67" s="33"/>
      <c r="Y67" s="33"/>
      <c r="Z67" s="33"/>
      <c r="AA67" s="33"/>
      <c r="AB67" s="33"/>
      <c r="AC67" s="33"/>
      <c r="AD67" s="33"/>
      <c r="AE67" s="35"/>
      <c r="AF67" s="176">
        <f t="shared" ref="AF67:AF77" si="5">T67+U67+V67+W67+X67+Y67+Z67+AA67+AB67+AC67+AD67+AE67</f>
        <v>0</v>
      </c>
      <c r="AG67" s="177">
        <v>12</v>
      </c>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row>
    <row r="68" spans="1:280" s="13" customFormat="1" hidden="1" x14ac:dyDescent="0.25">
      <c r="A68" s="15"/>
      <c r="B68" s="94" t="s">
        <v>168</v>
      </c>
      <c r="C68" s="94" t="s">
        <v>168</v>
      </c>
      <c r="D68" s="94" t="s">
        <v>320</v>
      </c>
      <c r="E68" s="94" t="s">
        <v>371</v>
      </c>
      <c r="F68" s="146">
        <v>4</v>
      </c>
      <c r="G68" s="33">
        <v>2</v>
      </c>
      <c r="H68" s="33">
        <v>5</v>
      </c>
      <c r="I68" s="33">
        <v>2</v>
      </c>
      <c r="J68" s="33"/>
      <c r="K68" s="33"/>
      <c r="L68" s="33"/>
      <c r="M68" s="33"/>
      <c r="N68" s="33"/>
      <c r="O68" s="33"/>
      <c r="P68" s="33"/>
      <c r="Q68" s="35"/>
      <c r="R68" s="176">
        <f t="shared" si="4"/>
        <v>13</v>
      </c>
      <c r="S68" s="349">
        <v>12</v>
      </c>
      <c r="T68" s="146"/>
      <c r="U68" s="33"/>
      <c r="V68" s="33"/>
      <c r="W68" s="33"/>
      <c r="X68" s="33"/>
      <c r="Y68" s="33"/>
      <c r="Z68" s="33"/>
      <c r="AA68" s="33"/>
      <c r="AB68" s="33"/>
      <c r="AC68" s="33"/>
      <c r="AD68" s="33"/>
      <c r="AE68" s="35"/>
      <c r="AF68" s="176">
        <f t="shared" si="5"/>
        <v>0</v>
      </c>
      <c r="AG68" s="177">
        <v>12</v>
      </c>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row>
    <row r="69" spans="1:280" s="13" customFormat="1" hidden="1" x14ac:dyDescent="0.25">
      <c r="A69" s="15"/>
      <c r="B69" s="94" t="s">
        <v>94</v>
      </c>
      <c r="C69" s="94" t="s">
        <v>94</v>
      </c>
      <c r="D69" s="94" t="s">
        <v>301</v>
      </c>
      <c r="E69" s="94" t="s">
        <v>372</v>
      </c>
      <c r="F69" s="146"/>
      <c r="G69" s="33"/>
      <c r="H69" s="33"/>
      <c r="I69" s="33"/>
      <c r="J69" s="33"/>
      <c r="K69" s="33"/>
      <c r="L69" s="33"/>
      <c r="M69" s="33"/>
      <c r="N69" s="33"/>
      <c r="O69" s="33"/>
      <c r="P69" s="33"/>
      <c r="Q69" s="35"/>
      <c r="R69" s="176">
        <f t="shared" si="4"/>
        <v>0</v>
      </c>
      <c r="S69" s="349">
        <v>12</v>
      </c>
      <c r="T69" s="146"/>
      <c r="U69" s="33"/>
      <c r="V69" s="33"/>
      <c r="W69" s="33"/>
      <c r="X69" s="33"/>
      <c r="Y69" s="33"/>
      <c r="Z69" s="33"/>
      <c r="AA69" s="33"/>
      <c r="AB69" s="33"/>
      <c r="AC69" s="33"/>
      <c r="AD69" s="33"/>
      <c r="AE69" s="35"/>
      <c r="AF69" s="176">
        <f t="shared" si="5"/>
        <v>0</v>
      </c>
      <c r="AG69" s="177">
        <v>12</v>
      </c>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row>
    <row r="70" spans="1:280" s="13" customFormat="1" x14ac:dyDescent="0.25">
      <c r="A70" s="15"/>
      <c r="B70" s="94" t="s">
        <v>159</v>
      </c>
      <c r="C70" s="94" t="s">
        <v>45</v>
      </c>
      <c r="D70" s="94" t="s">
        <v>301</v>
      </c>
      <c r="E70" s="94" t="s">
        <v>373</v>
      </c>
      <c r="F70" s="146">
        <v>1</v>
      </c>
      <c r="G70" s="33">
        <v>2</v>
      </c>
      <c r="H70" s="33">
        <v>1</v>
      </c>
      <c r="I70" s="33"/>
      <c r="J70" s="33"/>
      <c r="K70" s="33"/>
      <c r="L70" s="33"/>
      <c r="M70" s="33"/>
      <c r="N70" s="33"/>
      <c r="O70" s="33"/>
      <c r="P70" s="33"/>
      <c r="Q70" s="35"/>
      <c r="R70" s="176">
        <f t="shared" si="4"/>
        <v>4</v>
      </c>
      <c r="S70" s="349">
        <v>12</v>
      </c>
      <c r="T70" s="146"/>
      <c r="U70" s="33"/>
      <c r="V70" s="33"/>
      <c r="W70" s="33"/>
      <c r="X70" s="33"/>
      <c r="Y70" s="33"/>
      <c r="Z70" s="33"/>
      <c r="AA70" s="33"/>
      <c r="AB70" s="33"/>
      <c r="AC70" s="33"/>
      <c r="AD70" s="33"/>
      <c r="AE70" s="35"/>
      <c r="AF70" s="176">
        <f t="shared" si="5"/>
        <v>0</v>
      </c>
      <c r="AG70" s="177">
        <v>12</v>
      </c>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row>
    <row r="71" spans="1:280" s="13" customFormat="1" hidden="1" x14ac:dyDescent="0.25">
      <c r="A71" s="15"/>
      <c r="B71" s="94" t="s">
        <v>192</v>
      </c>
      <c r="C71" s="94" t="s">
        <v>34</v>
      </c>
      <c r="D71" s="94" t="s">
        <v>301</v>
      </c>
      <c r="E71" s="94" t="s">
        <v>381</v>
      </c>
      <c r="F71" s="146"/>
      <c r="G71" s="33">
        <v>1</v>
      </c>
      <c r="H71" s="33"/>
      <c r="I71" s="33"/>
      <c r="J71" s="33"/>
      <c r="K71" s="33"/>
      <c r="L71" s="33"/>
      <c r="M71" s="33"/>
      <c r="N71" s="33"/>
      <c r="O71" s="33"/>
      <c r="P71" s="33"/>
      <c r="Q71" s="35"/>
      <c r="R71" s="176">
        <f t="shared" si="4"/>
        <v>1</v>
      </c>
      <c r="S71" s="349">
        <v>12</v>
      </c>
      <c r="T71" s="146"/>
      <c r="U71" s="33"/>
      <c r="V71" s="33"/>
      <c r="W71" s="33">
        <v>1</v>
      </c>
      <c r="X71" s="33"/>
      <c r="Y71" s="33"/>
      <c r="Z71" s="33"/>
      <c r="AA71" s="33"/>
      <c r="AB71" s="33"/>
      <c r="AC71" s="33"/>
      <c r="AD71" s="33"/>
      <c r="AE71" s="35"/>
      <c r="AF71" s="176">
        <f t="shared" si="5"/>
        <v>1</v>
      </c>
      <c r="AG71" s="177">
        <v>13</v>
      </c>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row>
    <row r="72" spans="1:280" s="13" customFormat="1" hidden="1" x14ac:dyDescent="0.25">
      <c r="A72" s="15"/>
      <c r="B72" s="94" t="s">
        <v>181</v>
      </c>
      <c r="C72" s="94" t="s">
        <v>71</v>
      </c>
      <c r="D72" s="94" t="s">
        <v>315</v>
      </c>
      <c r="E72" s="94" t="s">
        <v>374</v>
      </c>
      <c r="F72" s="146">
        <v>0</v>
      </c>
      <c r="G72" s="33">
        <v>1</v>
      </c>
      <c r="H72" s="33">
        <v>0</v>
      </c>
      <c r="I72" s="33">
        <v>1</v>
      </c>
      <c r="J72" s="33"/>
      <c r="K72" s="33"/>
      <c r="L72" s="33"/>
      <c r="M72" s="33"/>
      <c r="N72" s="33"/>
      <c r="O72" s="33"/>
      <c r="P72" s="33"/>
      <c r="Q72" s="35"/>
      <c r="R72" s="176">
        <f t="shared" si="4"/>
        <v>2</v>
      </c>
      <c r="S72" s="349">
        <v>12</v>
      </c>
      <c r="T72" s="146"/>
      <c r="U72" s="33"/>
      <c r="V72" s="33"/>
      <c r="W72" s="33"/>
      <c r="X72" s="33"/>
      <c r="Y72" s="33"/>
      <c r="Z72" s="33"/>
      <c r="AA72" s="33"/>
      <c r="AB72" s="33"/>
      <c r="AC72" s="33"/>
      <c r="AD72" s="33"/>
      <c r="AE72" s="35"/>
      <c r="AF72" s="176">
        <f t="shared" si="5"/>
        <v>0</v>
      </c>
      <c r="AG72" s="177">
        <v>12</v>
      </c>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row>
    <row r="73" spans="1:280" s="13" customFormat="1" hidden="1" x14ac:dyDescent="0.25">
      <c r="A73" s="15"/>
      <c r="B73" s="94" t="s">
        <v>109</v>
      </c>
      <c r="C73" s="94" t="s">
        <v>34</v>
      </c>
      <c r="D73" s="94" t="s">
        <v>301</v>
      </c>
      <c r="E73" s="94" t="s">
        <v>375</v>
      </c>
      <c r="F73" s="146">
        <v>1</v>
      </c>
      <c r="G73" s="33">
        <v>1</v>
      </c>
      <c r="H73" s="33">
        <v>1</v>
      </c>
      <c r="I73" s="33">
        <v>2</v>
      </c>
      <c r="J73" s="33"/>
      <c r="K73" s="33"/>
      <c r="L73" s="33"/>
      <c r="M73" s="33"/>
      <c r="N73" s="33"/>
      <c r="O73" s="33"/>
      <c r="P73" s="33"/>
      <c r="Q73" s="35"/>
      <c r="R73" s="176">
        <f t="shared" si="4"/>
        <v>5</v>
      </c>
      <c r="S73" s="349">
        <v>12</v>
      </c>
      <c r="T73" s="146"/>
      <c r="U73" s="33"/>
      <c r="V73" s="33">
        <v>2</v>
      </c>
      <c r="W73" s="33"/>
      <c r="X73" s="33"/>
      <c r="Y73" s="33"/>
      <c r="Z73" s="33"/>
      <c r="AA73" s="33"/>
      <c r="AB73" s="33"/>
      <c r="AC73" s="33"/>
      <c r="AD73" s="33"/>
      <c r="AE73" s="35"/>
      <c r="AF73" s="176">
        <f t="shared" si="5"/>
        <v>2</v>
      </c>
      <c r="AG73" s="177">
        <v>12</v>
      </c>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row>
    <row r="74" spans="1:280" s="13" customFormat="1" x14ac:dyDescent="0.25">
      <c r="A74" s="15"/>
      <c r="B74" s="94" t="s">
        <v>159</v>
      </c>
      <c r="C74" s="94" t="s">
        <v>45</v>
      </c>
      <c r="D74" s="94" t="s">
        <v>301</v>
      </c>
      <c r="E74" s="94" t="s">
        <v>376</v>
      </c>
      <c r="F74" s="146">
        <v>1</v>
      </c>
      <c r="G74" s="33">
        <v>1</v>
      </c>
      <c r="H74" s="33">
        <v>1</v>
      </c>
      <c r="I74" s="33">
        <v>1</v>
      </c>
      <c r="J74" s="33"/>
      <c r="K74" s="33"/>
      <c r="L74" s="33"/>
      <c r="M74" s="33"/>
      <c r="N74" s="33"/>
      <c r="O74" s="33"/>
      <c r="P74" s="33"/>
      <c r="Q74" s="35"/>
      <c r="R74" s="176">
        <f t="shared" si="4"/>
        <v>4</v>
      </c>
      <c r="S74" s="349">
        <v>12</v>
      </c>
      <c r="T74" s="146"/>
      <c r="U74" s="33"/>
      <c r="V74" s="33">
        <v>1</v>
      </c>
      <c r="W74" s="33"/>
      <c r="X74" s="33"/>
      <c r="Y74" s="33"/>
      <c r="Z74" s="33"/>
      <c r="AA74" s="33"/>
      <c r="AB74" s="33"/>
      <c r="AC74" s="33"/>
      <c r="AD74" s="33"/>
      <c r="AE74" s="35"/>
      <c r="AF74" s="176">
        <f t="shared" si="5"/>
        <v>1</v>
      </c>
      <c r="AG74" s="177">
        <v>12</v>
      </c>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row>
    <row r="75" spans="1:280" s="13" customFormat="1" hidden="1" x14ac:dyDescent="0.25">
      <c r="A75" s="15"/>
      <c r="B75" s="94" t="s">
        <v>168</v>
      </c>
      <c r="C75" s="94" t="s">
        <v>168</v>
      </c>
      <c r="D75" s="94" t="s">
        <v>814</v>
      </c>
      <c r="E75" s="94" t="s">
        <v>377</v>
      </c>
      <c r="F75" s="146">
        <v>1</v>
      </c>
      <c r="G75" s="33">
        <v>1</v>
      </c>
      <c r="H75" s="33">
        <v>1</v>
      </c>
      <c r="I75" s="33">
        <v>0</v>
      </c>
      <c r="J75" s="33"/>
      <c r="K75" s="33"/>
      <c r="L75" s="33"/>
      <c r="M75" s="33"/>
      <c r="N75" s="33"/>
      <c r="O75" s="33"/>
      <c r="P75" s="33"/>
      <c r="Q75" s="35"/>
      <c r="R75" s="176">
        <f t="shared" si="4"/>
        <v>3</v>
      </c>
      <c r="S75" s="349">
        <v>12</v>
      </c>
      <c r="T75" s="146"/>
      <c r="U75" s="33"/>
      <c r="V75" s="33"/>
      <c r="W75" s="33"/>
      <c r="X75" s="33"/>
      <c r="Y75" s="33"/>
      <c r="Z75" s="33"/>
      <c r="AA75" s="33"/>
      <c r="AB75" s="33"/>
      <c r="AC75" s="33"/>
      <c r="AD75" s="33"/>
      <c r="AE75" s="35"/>
      <c r="AF75" s="176">
        <f t="shared" si="5"/>
        <v>0</v>
      </c>
      <c r="AG75" s="177">
        <v>12</v>
      </c>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row>
    <row r="76" spans="1:280" hidden="1" x14ac:dyDescent="0.25">
      <c r="A76" s="7" t="s">
        <v>473</v>
      </c>
      <c r="B76" s="94" t="s">
        <v>269</v>
      </c>
      <c r="C76" s="94" t="s">
        <v>34</v>
      </c>
      <c r="D76" s="94" t="s">
        <v>301</v>
      </c>
      <c r="E76" s="94" t="s">
        <v>379</v>
      </c>
      <c r="F76" s="146">
        <v>1</v>
      </c>
      <c r="G76" s="33">
        <v>1</v>
      </c>
      <c r="H76" s="33"/>
      <c r="I76" s="33"/>
      <c r="J76" s="33">
        <v>1</v>
      </c>
      <c r="K76" s="33"/>
      <c r="L76" s="33"/>
      <c r="M76" s="33"/>
      <c r="N76" s="33"/>
      <c r="O76" s="33"/>
      <c r="P76" s="33"/>
      <c r="Q76" s="35"/>
      <c r="R76" s="176">
        <f t="shared" si="4"/>
        <v>3</v>
      </c>
      <c r="S76" s="349">
        <v>12</v>
      </c>
      <c r="T76" s="146"/>
      <c r="U76" s="33"/>
      <c r="V76" s="33"/>
      <c r="W76" s="33"/>
      <c r="X76" s="33"/>
      <c r="Y76" s="33"/>
      <c r="Z76" s="33"/>
      <c r="AA76" s="33"/>
      <c r="AB76" s="33"/>
      <c r="AC76" s="33"/>
      <c r="AD76" s="33"/>
      <c r="AE76" s="35"/>
      <c r="AF76" s="176">
        <f t="shared" si="5"/>
        <v>0</v>
      </c>
      <c r="AG76" s="177">
        <v>12</v>
      </c>
    </row>
    <row r="77" spans="1:280" s="13" customFormat="1" ht="15.75" hidden="1" thickBot="1" x14ac:dyDescent="0.3">
      <c r="A77" s="15" t="s">
        <v>82</v>
      </c>
      <c r="B77" s="103" t="s">
        <v>181</v>
      </c>
      <c r="C77" s="103" t="s">
        <v>34</v>
      </c>
      <c r="D77" s="103" t="s">
        <v>299</v>
      </c>
      <c r="E77" s="103" t="s">
        <v>380</v>
      </c>
      <c r="F77" s="146">
        <v>1</v>
      </c>
      <c r="G77" s="33">
        <v>1</v>
      </c>
      <c r="H77" s="33">
        <v>1</v>
      </c>
      <c r="I77" s="33">
        <v>0</v>
      </c>
      <c r="J77" s="33"/>
      <c r="K77" s="33"/>
      <c r="L77" s="33"/>
      <c r="M77" s="33"/>
      <c r="N77" s="33"/>
      <c r="O77" s="33"/>
      <c r="P77" s="33"/>
      <c r="Q77" s="35"/>
      <c r="R77" s="100">
        <f t="shared" si="4"/>
        <v>3</v>
      </c>
      <c r="S77" s="350">
        <v>12</v>
      </c>
      <c r="T77" s="401"/>
      <c r="U77" s="186"/>
      <c r="V77" s="186"/>
      <c r="W77" s="186">
        <v>1</v>
      </c>
      <c r="X77" s="186"/>
      <c r="Y77" s="186"/>
      <c r="Z77" s="186"/>
      <c r="AA77" s="186"/>
      <c r="AB77" s="186"/>
      <c r="AC77" s="186"/>
      <c r="AD77" s="186"/>
      <c r="AE77" s="402"/>
      <c r="AF77" s="100">
        <f t="shared" si="5"/>
        <v>1</v>
      </c>
      <c r="AG77" s="178">
        <v>12</v>
      </c>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row>
    <row r="78" spans="1:280" s="10" customFormat="1" hidden="1" x14ac:dyDescent="0.25">
      <c r="E78" s="150"/>
      <c r="F78" s="38">
        <f t="shared" ref="F78:Q78" si="6">SUM(COUNTIF(F4:F77,$G$100)+COUNTIF(F4:F77,$G$101))/18</f>
        <v>0.44444444444444442</v>
      </c>
      <c r="G78" s="38">
        <f t="shared" si="6"/>
        <v>0.55555555555555558</v>
      </c>
      <c r="H78" s="38">
        <f t="shared" si="6"/>
        <v>0.77777777777777779</v>
      </c>
      <c r="I78" s="38">
        <f t="shared" si="6"/>
        <v>1.8888888888888888</v>
      </c>
      <c r="J78" s="38">
        <f t="shared" si="6"/>
        <v>0</v>
      </c>
      <c r="K78" s="38">
        <f t="shared" si="6"/>
        <v>0</v>
      </c>
      <c r="L78" s="38">
        <f t="shared" si="6"/>
        <v>0</v>
      </c>
      <c r="M78" s="38">
        <f t="shared" si="6"/>
        <v>0</v>
      </c>
      <c r="N78" s="38">
        <f t="shared" si="6"/>
        <v>0</v>
      </c>
      <c r="O78" s="38">
        <f t="shared" si="6"/>
        <v>0</v>
      </c>
      <c r="P78" s="38">
        <f t="shared" si="6"/>
        <v>0</v>
      </c>
      <c r="Q78" s="38">
        <f t="shared" si="6"/>
        <v>0</v>
      </c>
      <c r="R78" s="39"/>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c r="BF78" s="190"/>
      <c r="BG78" s="190"/>
      <c r="BH78" s="190"/>
      <c r="BI78" s="190"/>
      <c r="BJ78" s="190"/>
      <c r="BK78" s="190"/>
      <c r="BL78" s="190"/>
      <c r="BM78" s="190"/>
      <c r="BN78" s="190"/>
      <c r="BO78" s="190"/>
      <c r="BP78" s="190"/>
      <c r="BQ78" s="190"/>
      <c r="BR78" s="190"/>
      <c r="BS78" s="190"/>
      <c r="BT78" s="190"/>
      <c r="BU78" s="190"/>
      <c r="BV78" s="190"/>
      <c r="BW78" s="190"/>
      <c r="BX78" s="190"/>
      <c r="BY78" s="190"/>
      <c r="BZ78" s="190"/>
      <c r="CA78" s="190"/>
      <c r="CB78" s="190"/>
      <c r="CC78" s="190"/>
      <c r="CD78" s="190"/>
      <c r="CE78" s="190"/>
      <c r="CF78" s="190"/>
      <c r="CG78" s="190"/>
      <c r="CH78" s="190"/>
      <c r="CI78" s="190"/>
      <c r="CJ78" s="190"/>
      <c r="CK78" s="190"/>
      <c r="CL78" s="190"/>
      <c r="CM78" s="190"/>
      <c r="CN78" s="190"/>
      <c r="CO78" s="190"/>
      <c r="CP78" s="190"/>
      <c r="CQ78" s="190"/>
      <c r="CR78" s="190"/>
      <c r="CS78" s="190"/>
      <c r="CT78" s="190"/>
      <c r="CU78" s="190"/>
      <c r="CV78" s="190"/>
      <c r="CW78" s="190"/>
      <c r="CX78" s="190"/>
      <c r="CY78" s="190"/>
      <c r="CZ78" s="190"/>
      <c r="DA78" s="190"/>
      <c r="DB78" s="190"/>
      <c r="DC78" s="190"/>
      <c r="DD78" s="190"/>
      <c r="DE78" s="190"/>
      <c r="DF78" s="190"/>
      <c r="DG78" s="190"/>
      <c r="DH78" s="190"/>
      <c r="DI78" s="190"/>
      <c r="DJ78" s="190"/>
      <c r="DK78" s="190"/>
      <c r="DL78" s="190"/>
      <c r="DM78" s="190"/>
      <c r="DN78" s="190"/>
      <c r="DO78" s="190"/>
      <c r="DP78" s="190"/>
      <c r="DQ78" s="190"/>
      <c r="DR78" s="190"/>
      <c r="DS78" s="190"/>
      <c r="DT78" s="190"/>
      <c r="DU78" s="190"/>
      <c r="DV78" s="190"/>
      <c r="DW78" s="190"/>
      <c r="DX78" s="190"/>
      <c r="DY78" s="190"/>
      <c r="DZ78" s="190"/>
      <c r="EA78" s="190"/>
      <c r="EB78" s="190"/>
      <c r="EC78" s="190"/>
      <c r="ED78" s="190"/>
      <c r="EE78" s="190"/>
      <c r="EF78" s="190"/>
      <c r="EG78" s="190"/>
      <c r="EH78" s="190"/>
      <c r="EI78" s="190"/>
      <c r="EJ78" s="190"/>
      <c r="EK78" s="190"/>
      <c r="EL78" s="190"/>
      <c r="EM78" s="190"/>
      <c r="EN78" s="190"/>
      <c r="EO78" s="190"/>
      <c r="EP78" s="190"/>
      <c r="EQ78" s="190"/>
      <c r="ER78" s="190"/>
      <c r="ES78" s="190"/>
      <c r="ET78" s="190"/>
      <c r="EU78" s="190"/>
      <c r="EV78" s="190"/>
      <c r="EW78" s="190"/>
      <c r="EX78" s="190"/>
      <c r="EY78" s="190"/>
      <c r="EZ78" s="190"/>
      <c r="FA78" s="190"/>
      <c r="FB78" s="190"/>
      <c r="FC78" s="190"/>
      <c r="FD78" s="190"/>
      <c r="FE78" s="190"/>
      <c r="FF78" s="190"/>
      <c r="FG78" s="190"/>
      <c r="FH78" s="190"/>
      <c r="FI78" s="190"/>
      <c r="FJ78" s="190"/>
      <c r="FK78" s="190"/>
      <c r="FL78" s="190"/>
      <c r="FM78" s="190"/>
      <c r="FN78" s="190"/>
      <c r="FO78" s="190"/>
      <c r="FP78" s="190"/>
      <c r="FQ78" s="190"/>
      <c r="FR78" s="190"/>
      <c r="FS78" s="190"/>
      <c r="FT78" s="190"/>
      <c r="FU78" s="190"/>
      <c r="FV78" s="190"/>
      <c r="FW78" s="190"/>
      <c r="FX78" s="190"/>
      <c r="FY78" s="190"/>
      <c r="FZ78" s="190"/>
      <c r="GA78" s="190"/>
      <c r="GB78" s="190"/>
      <c r="GC78" s="190"/>
      <c r="GD78" s="190"/>
      <c r="GE78" s="190"/>
      <c r="GF78" s="190"/>
      <c r="GG78" s="190"/>
      <c r="GH78" s="190"/>
      <c r="GI78" s="190"/>
      <c r="GJ78" s="190"/>
      <c r="GK78" s="190"/>
      <c r="GL78" s="190"/>
      <c r="GM78" s="190"/>
      <c r="GN78" s="190"/>
      <c r="GO78" s="190"/>
      <c r="GP78" s="190"/>
      <c r="GQ78" s="190"/>
      <c r="GR78" s="190"/>
      <c r="GS78" s="190"/>
      <c r="GT78" s="190"/>
      <c r="GU78" s="190"/>
      <c r="GV78" s="190"/>
      <c r="GW78" s="190"/>
      <c r="GX78" s="190"/>
      <c r="GY78" s="190"/>
      <c r="GZ78" s="190"/>
      <c r="HA78" s="190"/>
      <c r="HB78" s="190"/>
      <c r="HC78" s="190"/>
      <c r="HD78" s="190"/>
      <c r="HE78" s="190"/>
      <c r="HF78" s="190"/>
      <c r="HG78" s="190"/>
      <c r="HH78" s="190"/>
      <c r="HI78" s="190"/>
      <c r="HJ78" s="190"/>
      <c r="HK78" s="190"/>
      <c r="HL78" s="190"/>
      <c r="HM78" s="190"/>
      <c r="HN78" s="190"/>
      <c r="HO78" s="190"/>
      <c r="HP78" s="190"/>
      <c r="HQ78" s="190"/>
      <c r="HR78" s="190"/>
      <c r="HS78" s="190"/>
      <c r="HT78" s="190"/>
      <c r="HU78" s="190"/>
      <c r="HV78" s="190"/>
      <c r="HW78" s="190"/>
      <c r="HX78" s="190"/>
      <c r="HY78" s="190"/>
      <c r="HZ78" s="190"/>
      <c r="IA78" s="190"/>
      <c r="IB78" s="190"/>
      <c r="IC78" s="190"/>
      <c r="ID78" s="190"/>
      <c r="IE78" s="190"/>
      <c r="IF78" s="190"/>
      <c r="IG78" s="190"/>
      <c r="IH78" s="190"/>
      <c r="II78" s="190"/>
      <c r="IJ78" s="190"/>
      <c r="IK78" s="190"/>
      <c r="IL78" s="190"/>
      <c r="IM78" s="190"/>
      <c r="IN78" s="190"/>
      <c r="IO78" s="190"/>
      <c r="IP78" s="190"/>
      <c r="IQ78" s="190"/>
      <c r="IR78" s="190"/>
      <c r="IS78" s="190"/>
      <c r="IT78" s="190"/>
      <c r="IU78" s="190"/>
      <c r="IV78" s="190"/>
      <c r="IW78" s="190"/>
      <c r="IX78" s="190"/>
      <c r="IY78" s="190"/>
      <c r="IZ78" s="190"/>
      <c r="JA78" s="190"/>
      <c r="JB78" s="190"/>
      <c r="JC78" s="190"/>
      <c r="JD78" s="190"/>
      <c r="JE78" s="190"/>
      <c r="JF78" s="190"/>
      <c r="JG78" s="190"/>
      <c r="JH78" s="190"/>
      <c r="JI78" s="190"/>
      <c r="JJ78" s="190"/>
      <c r="JK78" s="190"/>
      <c r="JL78" s="190"/>
      <c r="JM78" s="190"/>
      <c r="JN78" s="190"/>
      <c r="JO78" s="190"/>
      <c r="JP78" s="190"/>
      <c r="JQ78" s="190"/>
      <c r="JR78" s="190"/>
      <c r="JS78" s="190"/>
      <c r="JT78" s="190"/>
    </row>
    <row r="79" spans="1:280" ht="15.75" hidden="1" thickBot="1" x14ac:dyDescent="0.3">
      <c r="F79" s="37">
        <f t="shared" ref="F79:Q79" si="7">100%-F78</f>
        <v>0.55555555555555558</v>
      </c>
      <c r="G79" s="37">
        <f t="shared" si="7"/>
        <v>0.44444444444444442</v>
      </c>
      <c r="H79" s="37">
        <f t="shared" si="7"/>
        <v>0.22222222222222221</v>
      </c>
      <c r="I79" s="37">
        <f t="shared" si="7"/>
        <v>-0.88888888888888884</v>
      </c>
      <c r="J79" s="37">
        <f t="shared" si="7"/>
        <v>1</v>
      </c>
      <c r="K79" s="37">
        <f t="shared" si="7"/>
        <v>1</v>
      </c>
      <c r="L79" s="37">
        <f t="shared" si="7"/>
        <v>1</v>
      </c>
      <c r="M79" s="37">
        <f t="shared" si="7"/>
        <v>1</v>
      </c>
      <c r="N79" s="37">
        <f t="shared" si="7"/>
        <v>1</v>
      </c>
      <c r="O79" s="37">
        <f t="shared" si="7"/>
        <v>1</v>
      </c>
      <c r="P79" s="37">
        <f t="shared" si="7"/>
        <v>1</v>
      </c>
      <c r="Q79" s="37">
        <f t="shared" si="7"/>
        <v>1</v>
      </c>
      <c r="R79" s="11"/>
    </row>
    <row r="80" spans="1:280" x14ac:dyDescent="0.25">
      <c r="G80" s="11"/>
      <c r="H80" s="11"/>
      <c r="I80" s="11"/>
      <c r="J80" s="11"/>
      <c r="K80" s="11"/>
      <c r="L80" s="11"/>
      <c r="M80" s="11"/>
      <c r="N80" s="11"/>
      <c r="O80" s="11"/>
      <c r="P80" s="11"/>
      <c r="Q80" s="11"/>
      <c r="R80" s="11"/>
    </row>
    <row r="81" spans="18:18" x14ac:dyDescent="0.25">
      <c r="R81" s="11"/>
    </row>
    <row r="82" spans="18:18" x14ac:dyDescent="0.25">
      <c r="R82" s="11"/>
    </row>
    <row r="83" spans="18:18" x14ac:dyDescent="0.25">
      <c r="R83" s="11"/>
    </row>
    <row r="84" spans="18:18" x14ac:dyDescent="0.25">
      <c r="R84" s="11"/>
    </row>
    <row r="85" spans="18:18" x14ac:dyDescent="0.25">
      <c r="R85" s="11"/>
    </row>
    <row r="86" spans="18:18" x14ac:dyDescent="0.25">
      <c r="R86" s="11"/>
    </row>
    <row r="87" spans="18:18" x14ac:dyDescent="0.25">
      <c r="R87" s="11"/>
    </row>
    <row r="88" spans="18:18" x14ac:dyDescent="0.25">
      <c r="R88" s="11"/>
    </row>
    <row r="89" spans="18:18" x14ac:dyDescent="0.25">
      <c r="R89" s="11"/>
    </row>
    <row r="99" spans="7:7" x14ac:dyDescent="0.25">
      <c r="G99" s="11"/>
    </row>
    <row r="100" spans="7:7" x14ac:dyDescent="0.25">
      <c r="G100" s="11"/>
    </row>
    <row r="101" spans="7:7" x14ac:dyDescent="0.25">
      <c r="G101" s="11"/>
    </row>
  </sheetData>
  <autoFilter ref="A2:AG79" xr:uid="{00000000-0001-0000-0200-000000000000}">
    <filterColumn colId="1">
      <filters>
        <filter val="EHTP RAL"/>
      </filters>
    </filterColumn>
  </autoFilter>
  <sortState xmlns:xlrd2="http://schemas.microsoft.com/office/spreadsheetml/2017/richdata2" ref="A3:JT77">
    <sortCondition ref="E3:E77"/>
  </sortState>
  <mergeCells count="4">
    <mergeCell ref="R1:S1"/>
    <mergeCell ref="F1:Q1"/>
    <mergeCell ref="T1:AE1"/>
    <mergeCell ref="AF1:AG1"/>
  </mergeCells>
  <conditionalFormatting sqref="F78:Q79">
    <cfRule type="containsText" dxfId="27" priority="12" operator="containsText" text="Arrêt Maladie ">
      <formula>NOT(ISERROR(SEARCH("Arrêt Maladie ",F78)))</formula>
    </cfRule>
    <cfRule type="containsText" dxfId="26" priority="13" operator="containsText" text="NC">
      <formula>NOT(ISERROR(SEARCH("NC",F78)))</formula>
    </cfRule>
    <cfRule type="containsText" dxfId="25" priority="14" operator="containsText" text="0">
      <formula>NOT(ISERROR(SEARCH("0",F78)))</formula>
    </cfRule>
  </conditionalFormatting>
  <conditionalFormatting sqref="F3:R77 T3:AF77 R78:R89">
    <cfRule type="containsText" dxfId="24" priority="19" operator="containsText" text="Arrêt Maladie ">
      <formula>NOT(ISERROR(SEARCH("Arrêt Maladie ",F3)))</formula>
    </cfRule>
    <cfRule type="containsText" dxfId="23" priority="20" operator="containsText" text="NC">
      <formula>NOT(ISERROR(SEARCH("NC",F3)))</formula>
    </cfRule>
  </conditionalFormatting>
  <conditionalFormatting sqref="F3:AG77 R4:R89">
    <cfRule type="containsText" dxfId="22" priority="21" operator="containsText" text="0">
      <formula>NOT(ISERROR(SEARCH("0",F3)))</formula>
    </cfRule>
  </conditionalFormatting>
  <conditionalFormatting sqref="G99">
    <cfRule type="colorScale" priority="29">
      <colorScale>
        <cfvo type="num" val="0"/>
        <cfvo type="num" val="1"/>
        <color rgb="FFFF0000"/>
        <color rgb="FF00B050"/>
      </colorScale>
    </cfRule>
  </conditionalFormatting>
  <conditionalFormatting sqref="G100:G101">
    <cfRule type="colorScale" priority="28">
      <colorScale>
        <cfvo type="num" val="0"/>
        <cfvo type="num" val="1"/>
        <color rgb="FFFF0000"/>
        <color rgb="FF00B050"/>
      </colorScale>
    </cfRule>
  </conditionalFormatting>
  <pageMargins left="0.7" right="0.7" top="0.75" bottom="0.75" header="0.3" footer="0.3"/>
  <pageSetup paperSize="9" orientation="portrait" horizontalDpi="300" verticalDpi="3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E798-B56D-4EAD-BCA5-10CD13E38EF1}">
  <sheetPr>
    <tabColor rgb="FF92D050"/>
  </sheetPr>
  <dimension ref="A1:H128"/>
  <sheetViews>
    <sheetView zoomScale="80" zoomScaleNormal="80" workbookViewId="0">
      <pane ySplit="2" topLeftCell="A29" activePane="bottomLeft" state="frozen"/>
      <selection pane="bottomLeft" activeCell="G40" sqref="G40"/>
    </sheetView>
  </sheetViews>
  <sheetFormatPr baseColWidth="10" defaultColWidth="11.5703125" defaultRowHeight="15" x14ac:dyDescent="0.25"/>
  <cols>
    <col min="1" max="1" width="12.28515625" style="306" bestFit="1" customWidth="1"/>
    <col min="2" max="2" width="11.5703125" style="306" bestFit="1" customWidth="1"/>
    <col min="3" max="3" width="23.42578125" style="306" customWidth="1"/>
    <col min="4" max="4" width="90.7109375" style="306" customWidth="1"/>
    <col min="5" max="5" width="10.28515625" style="330" bestFit="1" customWidth="1"/>
    <col min="6" max="7" width="47.28515625" style="306" customWidth="1"/>
    <col min="8" max="8" width="30.7109375" style="306" bestFit="1" customWidth="1"/>
    <col min="9" max="15" width="11.5703125" style="306" bestFit="1" customWidth="1"/>
    <col min="16" max="16384" width="11.5703125" style="306"/>
  </cols>
  <sheetData>
    <row r="1" spans="1:8" s="311" customFormat="1" ht="49.9" customHeight="1" thickBot="1" x14ac:dyDescent="0.3">
      <c r="A1" s="323"/>
      <c r="B1" s="324" t="s">
        <v>138</v>
      </c>
      <c r="C1" s="325">
        <f ca="1">TODAY()</f>
        <v>46161</v>
      </c>
      <c r="D1" s="516" t="s">
        <v>815</v>
      </c>
      <c r="E1" s="517"/>
      <c r="F1" s="517"/>
      <c r="G1" s="517"/>
      <c r="H1" s="517"/>
    </row>
    <row r="2" spans="1:8" s="311" customFormat="1" ht="29.25" thickBot="1" x14ac:dyDescent="0.3">
      <c r="A2" s="18" t="s">
        <v>475</v>
      </c>
      <c r="B2" s="18" t="s">
        <v>140</v>
      </c>
      <c r="C2" s="195" t="s">
        <v>479</v>
      </c>
      <c r="D2" s="196" t="s">
        <v>478</v>
      </c>
      <c r="E2" s="321" t="s">
        <v>816</v>
      </c>
      <c r="F2" s="196" t="s">
        <v>817</v>
      </c>
      <c r="G2" s="195" t="s">
        <v>481</v>
      </c>
      <c r="H2" s="195" t="s">
        <v>818</v>
      </c>
    </row>
    <row r="3" spans="1:8" ht="28.5" x14ac:dyDescent="0.25">
      <c r="A3" s="312">
        <v>46003</v>
      </c>
      <c r="B3" s="303" t="s">
        <v>54</v>
      </c>
      <c r="C3" s="301" t="s">
        <v>104</v>
      </c>
      <c r="D3" s="381" t="s">
        <v>819</v>
      </c>
      <c r="E3" s="326" t="s">
        <v>820</v>
      </c>
      <c r="F3" s="301" t="s">
        <v>821</v>
      </c>
      <c r="G3" s="301" t="s">
        <v>822</v>
      </c>
      <c r="H3" s="301" t="s">
        <v>823</v>
      </c>
    </row>
    <row r="4" spans="1:8" s="316" customFormat="1" ht="28.5" x14ac:dyDescent="0.25">
      <c r="A4" s="312">
        <v>46028</v>
      </c>
      <c r="B4" s="303" t="s">
        <v>100</v>
      </c>
      <c r="C4" s="301" t="s">
        <v>617</v>
      </c>
      <c r="D4" s="380" t="s">
        <v>824</v>
      </c>
      <c r="E4" s="322"/>
      <c r="F4" s="302"/>
      <c r="G4" s="301" t="s">
        <v>619</v>
      </c>
      <c r="H4" s="302" t="s">
        <v>825</v>
      </c>
    </row>
    <row r="5" spans="1:8" s="316" customFormat="1" ht="57" x14ac:dyDescent="0.25">
      <c r="A5" s="334">
        <v>46035</v>
      </c>
      <c r="B5" s="302" t="s">
        <v>100</v>
      </c>
      <c r="C5" s="302" t="s">
        <v>584</v>
      </c>
      <c r="D5" s="380" t="s">
        <v>826</v>
      </c>
      <c r="E5" s="322"/>
      <c r="F5" s="302"/>
      <c r="G5" s="302" t="s">
        <v>200</v>
      </c>
      <c r="H5" s="302" t="s">
        <v>827</v>
      </c>
    </row>
    <row r="6" spans="1:8" ht="156.75" x14ac:dyDescent="0.25">
      <c r="A6" s="312">
        <v>46038</v>
      </c>
      <c r="B6" s="303" t="s">
        <v>501</v>
      </c>
      <c r="C6" s="302" t="s">
        <v>828</v>
      </c>
      <c r="D6" s="380" t="s">
        <v>829</v>
      </c>
      <c r="E6" s="322" t="s">
        <v>830</v>
      </c>
      <c r="F6" s="302" t="s">
        <v>831</v>
      </c>
      <c r="G6" s="302" t="s">
        <v>832</v>
      </c>
      <c r="H6" s="302" t="s">
        <v>833</v>
      </c>
    </row>
    <row r="7" spans="1:8" s="316" customFormat="1" ht="42.75" x14ac:dyDescent="0.25">
      <c r="A7" s="334">
        <v>46042</v>
      </c>
      <c r="B7" s="303" t="s">
        <v>501</v>
      </c>
      <c r="C7" s="302" t="s">
        <v>513</v>
      </c>
      <c r="D7" s="302" t="s">
        <v>834</v>
      </c>
      <c r="E7" s="322" t="s">
        <v>835</v>
      </c>
      <c r="F7" s="302" t="s">
        <v>836</v>
      </c>
      <c r="G7" s="302" t="s">
        <v>837</v>
      </c>
      <c r="H7" s="302" t="s">
        <v>838</v>
      </c>
    </row>
    <row r="8" spans="1:8" ht="42.75" x14ac:dyDescent="0.25">
      <c r="A8" s="312">
        <v>46043</v>
      </c>
      <c r="B8" s="303" t="s">
        <v>54</v>
      </c>
      <c r="C8" s="302" t="s">
        <v>104</v>
      </c>
      <c r="D8" s="380" t="s">
        <v>839</v>
      </c>
      <c r="E8" s="322" t="s">
        <v>840</v>
      </c>
      <c r="F8" s="302" t="s">
        <v>841</v>
      </c>
      <c r="G8" s="302" t="s">
        <v>822</v>
      </c>
      <c r="H8" s="302" t="s">
        <v>842</v>
      </c>
    </row>
    <row r="9" spans="1:8" s="316" customFormat="1" ht="28.5" x14ac:dyDescent="0.25">
      <c r="A9" s="312">
        <v>46044</v>
      </c>
      <c r="B9" s="303" t="s">
        <v>54</v>
      </c>
      <c r="C9" s="302" t="s">
        <v>715</v>
      </c>
      <c r="D9" s="380" t="s">
        <v>843</v>
      </c>
      <c r="E9" s="322"/>
      <c r="F9" s="302"/>
      <c r="G9" s="302" t="s">
        <v>196</v>
      </c>
      <c r="H9" s="302" t="s">
        <v>844</v>
      </c>
    </row>
    <row r="10" spans="1:8" s="316" customFormat="1" ht="57" x14ac:dyDescent="0.25">
      <c r="A10" s="312">
        <v>46045</v>
      </c>
      <c r="B10" s="303" t="s">
        <v>269</v>
      </c>
      <c r="C10" s="302" t="s">
        <v>563</v>
      </c>
      <c r="D10" s="380" t="s">
        <v>845</v>
      </c>
      <c r="E10" s="322"/>
      <c r="F10" s="302"/>
      <c r="G10" s="302" t="s">
        <v>177</v>
      </c>
      <c r="H10" s="302" t="s">
        <v>846</v>
      </c>
    </row>
    <row r="11" spans="1:8" ht="28.5" x14ac:dyDescent="0.25">
      <c r="A11" s="334">
        <v>46051</v>
      </c>
      <c r="B11" s="302" t="s">
        <v>54</v>
      </c>
      <c r="C11" s="302" t="s">
        <v>77</v>
      </c>
      <c r="D11" s="380" t="s">
        <v>847</v>
      </c>
      <c r="E11" s="322"/>
      <c r="F11" s="302"/>
      <c r="G11" s="302" t="s">
        <v>252</v>
      </c>
      <c r="H11" s="302" t="s">
        <v>848</v>
      </c>
    </row>
    <row r="12" spans="1:8" ht="42.75" x14ac:dyDescent="0.25">
      <c r="A12" s="312">
        <v>46051</v>
      </c>
      <c r="B12" s="303" t="s">
        <v>100</v>
      </c>
      <c r="C12" s="302" t="s">
        <v>446</v>
      </c>
      <c r="D12" s="380" t="s">
        <v>849</v>
      </c>
      <c r="E12" s="322"/>
      <c r="F12" s="302"/>
      <c r="G12" s="302" t="s">
        <v>170</v>
      </c>
      <c r="H12" s="302" t="s">
        <v>850</v>
      </c>
    </row>
    <row r="13" spans="1:8" ht="57" x14ac:dyDescent="0.25">
      <c r="A13" s="312">
        <v>46052</v>
      </c>
      <c r="B13" s="303" t="s">
        <v>159</v>
      </c>
      <c r="C13" s="302" t="s">
        <v>589</v>
      </c>
      <c r="D13" s="380" t="s">
        <v>851</v>
      </c>
      <c r="E13" s="322"/>
      <c r="F13" s="302" t="s">
        <v>852</v>
      </c>
      <c r="G13" s="302" t="s">
        <v>853</v>
      </c>
      <c r="H13" s="302" t="s">
        <v>854</v>
      </c>
    </row>
    <row r="14" spans="1:8" ht="85.5" x14ac:dyDescent="0.25">
      <c r="A14" s="334">
        <v>46062</v>
      </c>
      <c r="B14" s="302" t="s">
        <v>501</v>
      </c>
      <c r="C14" s="302" t="s">
        <v>855</v>
      </c>
      <c r="D14" s="302" t="s">
        <v>856</v>
      </c>
      <c r="E14" s="322" t="s">
        <v>857</v>
      </c>
      <c r="F14" s="302"/>
      <c r="G14" s="302" t="s">
        <v>858</v>
      </c>
      <c r="H14" s="302" t="s">
        <v>859</v>
      </c>
    </row>
    <row r="15" spans="1:8" ht="42.75" x14ac:dyDescent="0.25">
      <c r="A15" s="334">
        <v>46064</v>
      </c>
      <c r="B15" s="302" t="s">
        <v>54</v>
      </c>
      <c r="C15" s="302" t="s">
        <v>77</v>
      </c>
      <c r="D15" s="302" t="s">
        <v>860</v>
      </c>
      <c r="E15" s="322"/>
      <c r="F15" s="302"/>
      <c r="G15" s="302" t="s">
        <v>214</v>
      </c>
      <c r="H15" s="302" t="s">
        <v>861</v>
      </c>
    </row>
    <row r="16" spans="1:8" ht="42.75" x14ac:dyDescent="0.25">
      <c r="A16" s="334">
        <v>46065</v>
      </c>
      <c r="B16" s="302" t="s">
        <v>100</v>
      </c>
      <c r="C16" s="302" t="s">
        <v>603</v>
      </c>
      <c r="D16" s="302" t="s">
        <v>862</v>
      </c>
      <c r="E16" s="322"/>
      <c r="F16" s="302"/>
      <c r="G16" s="302" t="s">
        <v>170</v>
      </c>
      <c r="H16" s="302" t="s">
        <v>863</v>
      </c>
    </row>
    <row r="17" spans="1:8" ht="42.75" x14ac:dyDescent="0.25">
      <c r="A17" s="334">
        <v>46072</v>
      </c>
      <c r="B17" s="302" t="s">
        <v>501</v>
      </c>
      <c r="C17" s="303" t="s">
        <v>749</v>
      </c>
      <c r="D17" s="303" t="s">
        <v>864</v>
      </c>
      <c r="E17" s="327"/>
      <c r="F17" s="303"/>
      <c r="G17" s="303" t="s">
        <v>751</v>
      </c>
      <c r="H17" s="303" t="s">
        <v>865</v>
      </c>
    </row>
    <row r="18" spans="1:8" ht="71.25" x14ac:dyDescent="0.25">
      <c r="A18" s="334">
        <v>46052</v>
      </c>
      <c r="B18" s="302" t="s">
        <v>159</v>
      </c>
      <c r="C18" s="302" t="s">
        <v>589</v>
      </c>
      <c r="D18" s="302" t="s">
        <v>866</v>
      </c>
      <c r="E18" s="322"/>
      <c r="F18" s="302"/>
      <c r="G18" s="302" t="s">
        <v>867</v>
      </c>
      <c r="H18" s="302" t="s">
        <v>868</v>
      </c>
    </row>
    <row r="19" spans="1:8" ht="28.5" x14ac:dyDescent="0.25">
      <c r="A19" s="334">
        <v>46076</v>
      </c>
      <c r="B19" s="302" t="s">
        <v>269</v>
      </c>
      <c r="C19" s="302" t="s">
        <v>563</v>
      </c>
      <c r="D19" s="302" t="s">
        <v>869</v>
      </c>
      <c r="E19" s="322"/>
      <c r="F19" s="302" t="s">
        <v>870</v>
      </c>
      <c r="G19" s="302" t="s">
        <v>198</v>
      </c>
      <c r="H19" s="302" t="s">
        <v>871</v>
      </c>
    </row>
    <row r="20" spans="1:8" s="316" customFormat="1" ht="71.25" x14ac:dyDescent="0.25">
      <c r="A20" s="334">
        <v>46065</v>
      </c>
      <c r="B20" s="302" t="s">
        <v>269</v>
      </c>
      <c r="C20" s="302" t="s">
        <v>563</v>
      </c>
      <c r="D20" s="302" t="s">
        <v>872</v>
      </c>
      <c r="E20" s="322"/>
      <c r="F20" s="302" t="s">
        <v>873</v>
      </c>
      <c r="G20" s="302" t="s">
        <v>177</v>
      </c>
      <c r="H20" s="302" t="s">
        <v>874</v>
      </c>
    </row>
    <row r="21" spans="1:8" s="316" customFormat="1" ht="28.5" x14ac:dyDescent="0.25">
      <c r="A21" s="312">
        <v>46092</v>
      </c>
      <c r="B21" s="303" t="s">
        <v>109</v>
      </c>
      <c r="C21" s="302" t="s">
        <v>875</v>
      </c>
      <c r="D21" s="302" t="s">
        <v>876</v>
      </c>
      <c r="E21" s="322"/>
      <c r="F21" s="302"/>
      <c r="G21" s="302" t="s">
        <v>389</v>
      </c>
      <c r="H21" s="302" t="s">
        <v>877</v>
      </c>
    </row>
    <row r="22" spans="1:8" s="316" customFormat="1" ht="28.5" x14ac:dyDescent="0.25">
      <c r="A22" s="334">
        <v>46099</v>
      </c>
      <c r="B22" s="302" t="s">
        <v>269</v>
      </c>
      <c r="C22" s="302" t="s">
        <v>563</v>
      </c>
      <c r="D22" s="302" t="s">
        <v>878</v>
      </c>
      <c r="E22" s="322"/>
      <c r="F22" s="302"/>
      <c r="G22" s="302" t="s">
        <v>663</v>
      </c>
      <c r="H22" s="302" t="s">
        <v>879</v>
      </c>
    </row>
    <row r="23" spans="1:8" ht="28.5" x14ac:dyDescent="0.25">
      <c r="A23" s="334">
        <v>46099</v>
      </c>
      <c r="B23" s="302" t="s">
        <v>269</v>
      </c>
      <c r="C23" s="302" t="s">
        <v>563</v>
      </c>
      <c r="D23" s="302" t="s">
        <v>880</v>
      </c>
      <c r="E23" s="322"/>
      <c r="F23" s="302"/>
      <c r="G23" s="302" t="s">
        <v>663</v>
      </c>
      <c r="H23" s="302" t="s">
        <v>879</v>
      </c>
    </row>
    <row r="24" spans="1:8" ht="57" x14ac:dyDescent="0.25">
      <c r="A24" s="334">
        <v>46069</v>
      </c>
      <c r="B24" s="302" t="s">
        <v>54</v>
      </c>
      <c r="C24" s="302" t="s">
        <v>104</v>
      </c>
      <c r="D24" s="302" t="s">
        <v>881</v>
      </c>
      <c r="E24" s="322"/>
      <c r="F24" s="302"/>
      <c r="G24" s="302" t="s">
        <v>822</v>
      </c>
      <c r="H24" s="302" t="s">
        <v>882</v>
      </c>
    </row>
    <row r="25" spans="1:8" ht="28.5" x14ac:dyDescent="0.25">
      <c r="A25" s="312">
        <v>46077</v>
      </c>
      <c r="B25" s="303" t="s">
        <v>54</v>
      </c>
      <c r="C25" s="302" t="s">
        <v>581</v>
      </c>
      <c r="D25" s="302" t="s">
        <v>883</v>
      </c>
      <c r="E25" s="322"/>
      <c r="F25" s="302"/>
      <c r="G25" s="302" t="s">
        <v>231</v>
      </c>
      <c r="H25" s="302" t="s">
        <v>884</v>
      </c>
    </row>
    <row r="26" spans="1:8" ht="28.5" x14ac:dyDescent="0.25">
      <c r="A26" s="334">
        <v>46080</v>
      </c>
      <c r="B26" s="303" t="s">
        <v>54</v>
      </c>
      <c r="C26" s="302" t="s">
        <v>560</v>
      </c>
      <c r="D26" s="302" t="s">
        <v>885</v>
      </c>
      <c r="E26" s="322"/>
      <c r="F26" s="302"/>
      <c r="G26" s="302" t="s">
        <v>196</v>
      </c>
      <c r="H26" s="302" t="s">
        <v>886</v>
      </c>
    </row>
    <row r="27" spans="1:8" ht="28.5" x14ac:dyDescent="0.25">
      <c r="A27" s="312">
        <v>46104</v>
      </c>
      <c r="B27" s="303" t="s">
        <v>501</v>
      </c>
      <c r="C27" s="302" t="s">
        <v>60</v>
      </c>
      <c r="D27" s="302" t="s">
        <v>887</v>
      </c>
      <c r="E27" s="322"/>
      <c r="F27" s="302"/>
      <c r="G27" s="302" t="s">
        <v>222</v>
      </c>
      <c r="H27" s="302" t="s">
        <v>888</v>
      </c>
    </row>
    <row r="28" spans="1:8" ht="28.5" x14ac:dyDescent="0.25">
      <c r="A28" s="312">
        <v>46104</v>
      </c>
      <c r="B28" s="303" t="s">
        <v>100</v>
      </c>
      <c r="C28" s="302" t="s">
        <v>617</v>
      </c>
      <c r="D28" s="302" t="s">
        <v>889</v>
      </c>
      <c r="E28" s="322"/>
      <c r="F28" s="302"/>
      <c r="G28" s="302" t="s">
        <v>286</v>
      </c>
      <c r="H28" s="302" t="s">
        <v>890</v>
      </c>
    </row>
    <row r="29" spans="1:8" ht="71.25" x14ac:dyDescent="0.25">
      <c r="A29" s="417">
        <v>46111</v>
      </c>
      <c r="B29" s="303" t="s">
        <v>501</v>
      </c>
      <c r="C29" s="304" t="s">
        <v>891</v>
      </c>
      <c r="D29" s="304" t="s">
        <v>892</v>
      </c>
      <c r="E29" s="328" t="s">
        <v>893</v>
      </c>
      <c r="F29" s="304" t="s">
        <v>894</v>
      </c>
      <c r="G29" s="304" t="s">
        <v>354</v>
      </c>
      <c r="H29" s="304" t="s">
        <v>895</v>
      </c>
    </row>
    <row r="30" spans="1:8" ht="42.75" x14ac:dyDescent="0.25">
      <c r="A30" s="417">
        <v>46106</v>
      </c>
      <c r="B30" s="317" t="s">
        <v>100</v>
      </c>
      <c r="C30" s="304" t="s">
        <v>551</v>
      </c>
      <c r="D30" s="304" t="s">
        <v>896</v>
      </c>
      <c r="E30" s="328"/>
      <c r="F30" s="304"/>
      <c r="G30" s="304" t="s">
        <v>402</v>
      </c>
      <c r="H30" s="304" t="s">
        <v>897</v>
      </c>
    </row>
    <row r="31" spans="1:8" ht="28.5" x14ac:dyDescent="0.25">
      <c r="A31" s="417">
        <v>46112</v>
      </c>
      <c r="B31" s="303" t="s">
        <v>269</v>
      </c>
      <c r="C31" s="304" t="s">
        <v>898</v>
      </c>
      <c r="D31" s="304" t="s">
        <v>899</v>
      </c>
      <c r="E31" s="328"/>
      <c r="F31" s="304"/>
      <c r="G31" s="304" t="s">
        <v>281</v>
      </c>
      <c r="H31" s="304" t="s">
        <v>900</v>
      </c>
    </row>
    <row r="32" spans="1:8" ht="28.5" x14ac:dyDescent="0.25">
      <c r="A32" s="417">
        <v>46119</v>
      </c>
      <c r="B32" s="303" t="s">
        <v>269</v>
      </c>
      <c r="C32" s="304" t="s">
        <v>589</v>
      </c>
      <c r="D32" s="304" t="s">
        <v>901</v>
      </c>
      <c r="E32" s="328"/>
      <c r="F32" s="304"/>
      <c r="G32" s="304" t="s">
        <v>281</v>
      </c>
      <c r="H32" s="304" t="s">
        <v>902</v>
      </c>
    </row>
    <row r="33" spans="1:8" ht="28.5" x14ac:dyDescent="0.25">
      <c r="A33" s="417">
        <v>46104</v>
      </c>
      <c r="B33" s="317" t="s">
        <v>54</v>
      </c>
      <c r="C33" s="304" t="s">
        <v>667</v>
      </c>
      <c r="D33" s="304" t="s">
        <v>903</v>
      </c>
      <c r="E33" s="328"/>
      <c r="F33" s="304"/>
      <c r="G33" s="304" t="s">
        <v>255</v>
      </c>
      <c r="H33" s="304" t="s">
        <v>904</v>
      </c>
    </row>
    <row r="34" spans="1:8" ht="28.5" x14ac:dyDescent="0.25">
      <c r="A34" s="417">
        <v>46129</v>
      </c>
      <c r="B34" s="317" t="s">
        <v>192</v>
      </c>
      <c r="C34" s="304" t="s">
        <v>905</v>
      </c>
      <c r="D34" s="304" t="s">
        <v>906</v>
      </c>
      <c r="E34" s="328"/>
      <c r="F34" s="304" t="s">
        <v>907</v>
      </c>
      <c r="G34" s="304" t="s">
        <v>908</v>
      </c>
      <c r="H34" s="304"/>
    </row>
    <row r="35" spans="1:8" ht="28.5" x14ac:dyDescent="0.25">
      <c r="A35" s="417">
        <v>46129</v>
      </c>
      <c r="B35" s="317" t="s">
        <v>159</v>
      </c>
      <c r="C35" s="304" t="s">
        <v>909</v>
      </c>
      <c r="D35" s="304" t="s">
        <v>910</v>
      </c>
      <c r="E35" s="328"/>
      <c r="F35" s="304"/>
      <c r="G35" s="304" t="s">
        <v>221</v>
      </c>
      <c r="H35" s="304" t="s">
        <v>911</v>
      </c>
    </row>
    <row r="36" spans="1:8" ht="57" x14ac:dyDescent="0.25">
      <c r="A36" s="417">
        <v>46129</v>
      </c>
      <c r="B36" s="317" t="s">
        <v>269</v>
      </c>
      <c r="C36" s="304" t="s">
        <v>563</v>
      </c>
      <c r="D36" s="304" t="s">
        <v>912</v>
      </c>
      <c r="E36" s="328"/>
      <c r="F36" s="304"/>
      <c r="G36" s="304" t="s">
        <v>913</v>
      </c>
      <c r="H36" s="304" t="s">
        <v>914</v>
      </c>
    </row>
    <row r="37" spans="1:8" ht="28.5" x14ac:dyDescent="0.25">
      <c r="A37" s="417">
        <v>46134</v>
      </c>
      <c r="B37" s="317" t="s">
        <v>54</v>
      </c>
      <c r="C37" s="304" t="s">
        <v>581</v>
      </c>
      <c r="D37" s="304" t="s">
        <v>915</v>
      </c>
      <c r="E37" s="328"/>
      <c r="F37" s="304"/>
      <c r="G37" s="304" t="s">
        <v>333</v>
      </c>
      <c r="H37" s="304" t="s">
        <v>916</v>
      </c>
    </row>
    <row r="38" spans="1:8" ht="28.5" x14ac:dyDescent="0.25">
      <c r="A38" s="417">
        <v>46140</v>
      </c>
      <c r="B38" s="317" t="s">
        <v>109</v>
      </c>
      <c r="C38" s="304" t="s">
        <v>917</v>
      </c>
      <c r="D38" s="304" t="s">
        <v>918</v>
      </c>
      <c r="E38" s="328" t="s">
        <v>919</v>
      </c>
      <c r="F38" s="304" t="s">
        <v>920</v>
      </c>
      <c r="G38" s="304" t="s">
        <v>766</v>
      </c>
      <c r="H38" s="304" t="s">
        <v>921</v>
      </c>
    </row>
    <row r="39" spans="1:8" ht="85.5" x14ac:dyDescent="0.25">
      <c r="A39" s="417">
        <v>46132</v>
      </c>
      <c r="B39" s="317" t="s">
        <v>109</v>
      </c>
      <c r="C39" s="304" t="s">
        <v>578</v>
      </c>
      <c r="D39" s="304" t="s">
        <v>922</v>
      </c>
      <c r="E39" s="328" t="s">
        <v>919</v>
      </c>
      <c r="F39" s="304" t="s">
        <v>923</v>
      </c>
      <c r="G39" s="304" t="s">
        <v>766</v>
      </c>
      <c r="H39" s="304" t="s">
        <v>924</v>
      </c>
    </row>
    <row r="40" spans="1:8" ht="42.75" x14ac:dyDescent="0.25">
      <c r="A40" s="417">
        <v>46069</v>
      </c>
      <c r="B40" s="317" t="s">
        <v>109</v>
      </c>
      <c r="C40" s="304" t="s">
        <v>578</v>
      </c>
      <c r="D40" s="304" t="s">
        <v>925</v>
      </c>
      <c r="E40" s="328" t="s">
        <v>919</v>
      </c>
      <c r="F40" s="304" t="s">
        <v>926</v>
      </c>
      <c r="G40" s="304" t="s">
        <v>389</v>
      </c>
      <c r="H40" s="304" t="s">
        <v>927</v>
      </c>
    </row>
    <row r="41" spans="1:8" ht="28.5" x14ac:dyDescent="0.25">
      <c r="A41" s="417">
        <v>46139</v>
      </c>
      <c r="B41" s="317" t="s">
        <v>100</v>
      </c>
      <c r="C41" s="304" t="s">
        <v>99</v>
      </c>
      <c r="D41" s="304" t="s">
        <v>928</v>
      </c>
      <c r="E41" s="328"/>
      <c r="F41" s="304"/>
      <c r="G41" s="304" t="s">
        <v>286</v>
      </c>
      <c r="H41" s="304" t="s">
        <v>929</v>
      </c>
    </row>
    <row r="42" spans="1:8" ht="28.5" x14ac:dyDescent="0.25">
      <c r="A42" s="417">
        <v>46139</v>
      </c>
      <c r="B42" s="317" t="s">
        <v>100</v>
      </c>
      <c r="C42" s="304" t="s">
        <v>99</v>
      </c>
      <c r="D42" s="304" t="s">
        <v>930</v>
      </c>
      <c r="E42" s="328"/>
      <c r="F42" s="304"/>
      <c r="G42" s="304" t="s">
        <v>931</v>
      </c>
      <c r="H42" s="304" t="s">
        <v>932</v>
      </c>
    </row>
    <row r="43" spans="1:8" ht="57" x14ac:dyDescent="0.25">
      <c r="A43" s="417">
        <v>46149</v>
      </c>
      <c r="B43" s="317" t="s">
        <v>100</v>
      </c>
      <c r="C43" s="304" t="s">
        <v>603</v>
      </c>
      <c r="D43" s="304" t="s">
        <v>933</v>
      </c>
      <c r="E43" s="328"/>
      <c r="F43" s="304"/>
      <c r="G43" s="304" t="s">
        <v>934</v>
      </c>
      <c r="H43" s="304" t="s">
        <v>935</v>
      </c>
    </row>
    <row r="44" spans="1:8" ht="42.75" x14ac:dyDescent="0.25">
      <c r="A44" s="417">
        <v>46133</v>
      </c>
      <c r="B44" s="317" t="s">
        <v>159</v>
      </c>
      <c r="C44" s="304" t="s">
        <v>517</v>
      </c>
      <c r="D44" s="304" t="s">
        <v>936</v>
      </c>
      <c r="E44" s="328" t="s">
        <v>937</v>
      </c>
      <c r="F44" s="304" t="s">
        <v>938</v>
      </c>
      <c r="G44" s="304" t="s">
        <v>161</v>
      </c>
      <c r="H44" s="304" t="s">
        <v>939</v>
      </c>
    </row>
    <row r="45" spans="1:8" ht="42.75" x14ac:dyDescent="0.25">
      <c r="A45" s="417">
        <v>46135</v>
      </c>
      <c r="B45" s="317" t="s">
        <v>159</v>
      </c>
      <c r="C45" s="304" t="s">
        <v>517</v>
      </c>
      <c r="D45" s="304" t="s">
        <v>940</v>
      </c>
      <c r="E45" s="328"/>
      <c r="F45" s="304" t="s">
        <v>941</v>
      </c>
      <c r="G45" s="304" t="s">
        <v>161</v>
      </c>
      <c r="H45" s="304" t="s">
        <v>942</v>
      </c>
    </row>
    <row r="46" spans="1:8" ht="28.5" x14ac:dyDescent="0.25">
      <c r="A46" s="417">
        <v>46141</v>
      </c>
      <c r="B46" s="317" t="s">
        <v>269</v>
      </c>
      <c r="C46" s="304" t="s">
        <v>943</v>
      </c>
      <c r="D46" s="304" t="s">
        <v>944</v>
      </c>
      <c r="E46" s="328"/>
      <c r="F46" s="304"/>
      <c r="G46" s="304" t="s">
        <v>177</v>
      </c>
      <c r="H46" s="304" t="s">
        <v>945</v>
      </c>
    </row>
    <row r="47" spans="1:8" x14ac:dyDescent="0.25">
      <c r="A47" s="317"/>
      <c r="B47" s="317"/>
      <c r="C47" s="304"/>
      <c r="D47" s="304"/>
      <c r="E47" s="328"/>
      <c r="F47" s="304"/>
      <c r="G47" s="304"/>
      <c r="H47" s="304"/>
    </row>
    <row r="48" spans="1:8" x14ac:dyDescent="0.25">
      <c r="A48" s="317"/>
      <c r="B48" s="303"/>
      <c r="C48" s="304"/>
      <c r="D48" s="304"/>
      <c r="E48" s="328"/>
      <c r="F48" s="304"/>
      <c r="G48" s="304"/>
      <c r="H48" s="304"/>
    </row>
    <row r="49" spans="1:8" x14ac:dyDescent="0.25">
      <c r="A49" s="317"/>
      <c r="B49" s="317"/>
      <c r="C49" s="304"/>
      <c r="D49" s="304"/>
      <c r="E49" s="328"/>
      <c r="F49" s="304"/>
      <c r="G49" s="304"/>
      <c r="H49" s="304"/>
    </row>
    <row r="50" spans="1:8" x14ac:dyDescent="0.25">
      <c r="A50" s="317"/>
      <c r="B50" s="317"/>
      <c r="C50" s="304"/>
      <c r="D50" s="304"/>
      <c r="E50" s="328"/>
      <c r="F50" s="304"/>
      <c r="G50" s="304"/>
      <c r="H50" s="304"/>
    </row>
    <row r="51" spans="1:8" x14ac:dyDescent="0.25">
      <c r="A51" s="317"/>
      <c r="B51" s="317"/>
      <c r="C51" s="304"/>
      <c r="D51" s="304"/>
      <c r="E51" s="328"/>
      <c r="F51" s="304"/>
      <c r="G51" s="304"/>
      <c r="H51" s="304"/>
    </row>
    <row r="52" spans="1:8" x14ac:dyDescent="0.25">
      <c r="A52" s="317"/>
      <c r="B52" s="317"/>
      <c r="C52" s="304"/>
      <c r="D52" s="304"/>
      <c r="E52" s="328"/>
      <c r="F52" s="304"/>
      <c r="G52" s="304"/>
      <c r="H52" s="304"/>
    </row>
    <row r="53" spans="1:8" x14ac:dyDescent="0.25">
      <c r="A53" s="317"/>
      <c r="B53" s="317"/>
      <c r="C53" s="304"/>
      <c r="D53" s="304"/>
      <c r="E53" s="328"/>
      <c r="F53" s="304"/>
      <c r="G53" s="304"/>
      <c r="H53" s="304"/>
    </row>
    <row r="54" spans="1:8" x14ac:dyDescent="0.25">
      <c r="A54" s="317"/>
      <c r="B54" s="317"/>
      <c r="C54" s="304"/>
      <c r="D54" s="304"/>
      <c r="E54" s="328"/>
      <c r="F54" s="304"/>
      <c r="G54" s="304"/>
      <c r="H54" s="304"/>
    </row>
    <row r="55" spans="1:8" x14ac:dyDescent="0.25">
      <c r="A55" s="317"/>
      <c r="B55" s="317"/>
      <c r="C55" s="304"/>
      <c r="D55" s="304"/>
      <c r="E55" s="328"/>
      <c r="F55" s="304"/>
      <c r="G55" s="304"/>
      <c r="H55" s="304"/>
    </row>
    <row r="56" spans="1:8" x14ac:dyDescent="0.25">
      <c r="A56" s="317"/>
      <c r="B56" s="317"/>
      <c r="C56" s="304"/>
      <c r="D56" s="304"/>
      <c r="E56" s="328"/>
      <c r="F56" s="304"/>
      <c r="G56" s="304"/>
      <c r="H56" s="304"/>
    </row>
    <row r="57" spans="1:8" x14ac:dyDescent="0.25">
      <c r="A57" s="317"/>
      <c r="B57" s="317"/>
      <c r="C57" s="304"/>
      <c r="D57" s="304"/>
      <c r="E57" s="328"/>
      <c r="F57" s="304"/>
      <c r="G57" s="304"/>
      <c r="H57" s="304"/>
    </row>
    <row r="58" spans="1:8" x14ac:dyDescent="0.25">
      <c r="A58" s="317"/>
      <c r="B58" s="303"/>
      <c r="C58" s="304"/>
      <c r="D58" s="304"/>
      <c r="E58" s="328"/>
      <c r="F58" s="304"/>
      <c r="G58" s="304"/>
      <c r="H58" s="304"/>
    </row>
    <row r="59" spans="1:8" x14ac:dyDescent="0.25">
      <c r="A59" s="317"/>
      <c r="B59" s="317"/>
      <c r="C59" s="304"/>
      <c r="D59" s="304"/>
      <c r="E59" s="328"/>
      <c r="F59" s="304"/>
      <c r="G59" s="304"/>
      <c r="H59" s="304"/>
    </row>
    <row r="60" spans="1:8" x14ac:dyDescent="0.25">
      <c r="A60" s="317"/>
      <c r="B60" s="317"/>
      <c r="C60" s="304"/>
      <c r="D60" s="304"/>
      <c r="E60" s="328"/>
      <c r="F60" s="304"/>
      <c r="G60" s="304"/>
      <c r="H60" s="304"/>
    </row>
    <row r="61" spans="1:8" x14ac:dyDescent="0.25">
      <c r="A61" s="304"/>
      <c r="B61" s="317"/>
      <c r="C61" s="304"/>
      <c r="D61" s="304"/>
      <c r="E61" s="328"/>
      <c r="F61" s="304"/>
      <c r="G61" s="304"/>
      <c r="H61" s="304"/>
    </row>
    <row r="62" spans="1:8" x14ac:dyDescent="0.25">
      <c r="A62" s="317"/>
      <c r="B62" s="317"/>
      <c r="C62" s="304"/>
      <c r="D62" s="304"/>
      <c r="E62" s="328"/>
      <c r="F62" s="304"/>
      <c r="G62" s="304"/>
      <c r="H62" s="304"/>
    </row>
    <row r="63" spans="1:8" x14ac:dyDescent="0.25">
      <c r="A63" s="317"/>
      <c r="B63" s="317"/>
      <c r="C63" s="304"/>
      <c r="D63" s="304"/>
      <c r="E63" s="328"/>
      <c r="F63" s="304"/>
      <c r="G63" s="304"/>
      <c r="H63" s="304"/>
    </row>
    <row r="64" spans="1:8" x14ac:dyDescent="0.25">
      <c r="A64" s="317"/>
      <c r="B64" s="317"/>
      <c r="C64" s="304"/>
      <c r="D64" s="304"/>
      <c r="E64" s="328"/>
      <c r="F64" s="304"/>
      <c r="G64" s="304"/>
      <c r="H64" s="304"/>
    </row>
    <row r="65" spans="1:8" x14ac:dyDescent="0.25">
      <c r="A65" s="317"/>
      <c r="B65" s="317"/>
      <c r="C65" s="304"/>
      <c r="D65" s="304"/>
      <c r="E65" s="328"/>
      <c r="F65" s="304"/>
      <c r="G65" s="304"/>
      <c r="H65" s="304"/>
    </row>
    <row r="66" spans="1:8" x14ac:dyDescent="0.25">
      <c r="A66" s="317"/>
      <c r="B66" s="317"/>
      <c r="C66" s="304"/>
      <c r="D66" s="304"/>
      <c r="E66" s="328"/>
      <c r="F66" s="304"/>
      <c r="G66" s="304"/>
      <c r="H66" s="304"/>
    </row>
    <row r="67" spans="1:8" x14ac:dyDescent="0.25">
      <c r="A67" s="317"/>
      <c r="B67" s="317"/>
      <c r="C67" s="304"/>
      <c r="D67" s="304"/>
      <c r="E67" s="328"/>
      <c r="F67" s="304"/>
      <c r="G67" s="304"/>
      <c r="H67" s="304"/>
    </row>
    <row r="68" spans="1:8" x14ac:dyDescent="0.25">
      <c r="A68" s="317"/>
      <c r="B68" s="317"/>
      <c r="C68" s="304"/>
      <c r="D68" s="304"/>
      <c r="E68" s="328"/>
      <c r="F68" s="304"/>
      <c r="G68" s="304"/>
      <c r="H68" s="304"/>
    </row>
    <row r="69" spans="1:8" x14ac:dyDescent="0.25">
      <c r="A69" s="317"/>
      <c r="B69" s="317"/>
      <c r="C69" s="304"/>
      <c r="D69" s="304"/>
      <c r="E69" s="328"/>
      <c r="F69" s="304"/>
      <c r="G69" s="304"/>
      <c r="H69" s="304"/>
    </row>
    <row r="70" spans="1:8" x14ac:dyDescent="0.25">
      <c r="A70" s="317"/>
      <c r="B70" s="317"/>
      <c r="C70" s="304"/>
      <c r="D70" s="304"/>
      <c r="E70" s="328"/>
      <c r="F70" s="304"/>
      <c r="G70" s="304"/>
      <c r="H70" s="304"/>
    </row>
    <row r="71" spans="1:8" x14ac:dyDescent="0.25">
      <c r="A71" s="317"/>
      <c r="B71" s="303"/>
      <c r="C71" s="304"/>
      <c r="D71" s="304"/>
      <c r="E71" s="328"/>
      <c r="F71" s="304"/>
      <c r="G71" s="304"/>
      <c r="H71" s="304"/>
    </row>
    <row r="72" spans="1:8" x14ac:dyDescent="0.25">
      <c r="A72" s="317"/>
      <c r="B72" s="303"/>
      <c r="C72" s="304"/>
      <c r="D72" s="304"/>
      <c r="E72" s="328"/>
      <c r="F72" s="304"/>
      <c r="G72" s="304"/>
      <c r="H72" s="304"/>
    </row>
    <row r="73" spans="1:8" x14ac:dyDescent="0.25">
      <c r="A73" s="317"/>
      <c r="B73" s="317"/>
      <c r="C73" s="304"/>
      <c r="D73" s="304"/>
      <c r="E73" s="328"/>
      <c r="F73" s="304"/>
      <c r="G73" s="304"/>
      <c r="H73" s="304"/>
    </row>
    <row r="74" spans="1:8" x14ac:dyDescent="0.25">
      <c r="A74" s="317"/>
      <c r="B74" s="317"/>
      <c r="C74" s="304"/>
      <c r="D74" s="304"/>
      <c r="E74" s="328"/>
      <c r="F74" s="304"/>
      <c r="G74" s="304"/>
      <c r="H74" s="304"/>
    </row>
    <row r="75" spans="1:8" x14ac:dyDescent="0.25">
      <c r="A75" s="317"/>
      <c r="B75" s="303"/>
      <c r="C75" s="304"/>
      <c r="D75" s="304"/>
      <c r="E75" s="328"/>
      <c r="F75" s="304"/>
      <c r="G75" s="304"/>
      <c r="H75" s="304"/>
    </row>
    <row r="76" spans="1:8" x14ac:dyDescent="0.25">
      <c r="A76" s="317"/>
      <c r="B76" s="317"/>
      <c r="C76" s="304"/>
      <c r="D76" s="304"/>
      <c r="E76" s="328"/>
      <c r="F76" s="304"/>
      <c r="G76" s="304"/>
      <c r="H76" s="304"/>
    </row>
    <row r="77" spans="1:8" x14ac:dyDescent="0.25">
      <c r="A77" s="317"/>
      <c r="B77" s="317"/>
      <c r="C77" s="304"/>
      <c r="D77" s="304"/>
      <c r="E77" s="328"/>
      <c r="F77" s="304"/>
      <c r="G77" s="304"/>
      <c r="H77" s="304"/>
    </row>
    <row r="78" spans="1:8" x14ac:dyDescent="0.25">
      <c r="A78" s="317"/>
      <c r="B78" s="317"/>
      <c r="C78" s="304"/>
      <c r="D78" s="304"/>
      <c r="E78" s="328"/>
      <c r="F78" s="304"/>
      <c r="G78" s="304"/>
      <c r="H78" s="304"/>
    </row>
    <row r="79" spans="1:8" x14ac:dyDescent="0.25">
      <c r="A79" s="317"/>
      <c r="B79" s="317"/>
      <c r="C79" s="304"/>
      <c r="D79" s="304"/>
      <c r="E79" s="328"/>
      <c r="F79" s="304"/>
      <c r="G79" s="304"/>
      <c r="H79" s="304"/>
    </row>
    <row r="80" spans="1:8" x14ac:dyDescent="0.25">
      <c r="A80" s="317"/>
      <c r="B80" s="317"/>
      <c r="C80" s="304"/>
      <c r="D80" s="304"/>
      <c r="E80" s="328"/>
      <c r="F80" s="304"/>
      <c r="G80" s="304"/>
      <c r="H80" s="304"/>
    </row>
    <row r="81" spans="1:8" x14ac:dyDescent="0.25">
      <c r="A81" s="317"/>
      <c r="B81" s="317"/>
      <c r="C81" s="304"/>
      <c r="D81" s="304"/>
      <c r="E81" s="328"/>
      <c r="F81" s="304"/>
      <c r="G81" s="304"/>
      <c r="H81" s="304"/>
    </row>
    <row r="82" spans="1:8" x14ac:dyDescent="0.25">
      <c r="A82" s="317"/>
      <c r="B82" s="317"/>
      <c r="C82" s="304"/>
      <c r="D82" s="304"/>
      <c r="E82" s="328"/>
      <c r="F82" s="304"/>
      <c r="G82" s="304"/>
      <c r="H82" s="304"/>
    </row>
    <row r="83" spans="1:8" x14ac:dyDescent="0.25">
      <c r="A83" s="304"/>
      <c r="B83" s="317"/>
      <c r="C83" s="304"/>
      <c r="D83" s="304"/>
      <c r="E83" s="328"/>
      <c r="F83" s="304"/>
      <c r="G83" s="304"/>
      <c r="H83" s="304"/>
    </row>
    <row r="84" spans="1:8" x14ac:dyDescent="0.25">
      <c r="A84" s="317"/>
      <c r="B84" s="317"/>
      <c r="C84" s="304"/>
      <c r="D84" s="304"/>
      <c r="E84" s="328"/>
      <c r="F84" s="304"/>
      <c r="G84" s="304"/>
      <c r="H84" s="304"/>
    </row>
    <row r="85" spans="1:8" x14ac:dyDescent="0.25">
      <c r="A85" s="317"/>
      <c r="B85" s="317"/>
      <c r="C85" s="304"/>
      <c r="D85" s="304"/>
      <c r="E85" s="328"/>
      <c r="F85" s="304"/>
      <c r="G85" s="304"/>
      <c r="H85" s="304"/>
    </row>
    <row r="86" spans="1:8" x14ac:dyDescent="0.25">
      <c r="A86" s="317"/>
      <c r="B86" s="317"/>
      <c r="C86" s="304"/>
      <c r="D86" s="304"/>
      <c r="E86" s="328"/>
      <c r="F86" s="304"/>
      <c r="G86" s="304"/>
      <c r="H86" s="304"/>
    </row>
    <row r="87" spans="1:8" x14ac:dyDescent="0.25">
      <c r="A87" s="317"/>
      <c r="B87" s="317"/>
      <c r="C87" s="304"/>
      <c r="D87" s="304"/>
      <c r="E87" s="328"/>
      <c r="F87" s="304"/>
      <c r="G87" s="304"/>
      <c r="H87" s="304"/>
    </row>
    <row r="88" spans="1:8" x14ac:dyDescent="0.25">
      <c r="A88" s="317"/>
      <c r="B88" s="317"/>
      <c r="C88" s="304"/>
      <c r="D88" s="304"/>
      <c r="E88" s="328"/>
      <c r="F88" s="304"/>
      <c r="G88" s="304"/>
      <c r="H88" s="304"/>
    </row>
    <row r="89" spans="1:8" x14ac:dyDescent="0.25">
      <c r="A89" s="317"/>
      <c r="B89" s="317"/>
      <c r="C89" s="304"/>
      <c r="D89" s="304"/>
      <c r="E89" s="328"/>
      <c r="F89" s="304"/>
      <c r="G89" s="304"/>
      <c r="H89" s="304"/>
    </row>
    <row r="90" spans="1:8" x14ac:dyDescent="0.25">
      <c r="A90" s="317"/>
      <c r="B90" s="317"/>
      <c r="C90" s="304"/>
      <c r="D90" s="304"/>
      <c r="E90" s="328"/>
      <c r="F90" s="304"/>
      <c r="G90" s="304"/>
      <c r="H90" s="304"/>
    </row>
    <row r="91" spans="1:8" x14ac:dyDescent="0.25">
      <c r="A91" s="317"/>
      <c r="B91" s="317"/>
      <c r="C91" s="304"/>
      <c r="D91" s="304"/>
      <c r="E91" s="328"/>
      <c r="F91" s="304"/>
      <c r="G91" s="304"/>
      <c r="H91" s="304"/>
    </row>
    <row r="92" spans="1:8" x14ac:dyDescent="0.25">
      <c r="A92" s="317"/>
      <c r="B92" s="317"/>
      <c r="C92" s="304"/>
      <c r="D92" s="304"/>
      <c r="E92" s="328"/>
      <c r="F92" s="304"/>
      <c r="G92" s="304"/>
      <c r="H92" s="304"/>
    </row>
    <row r="93" spans="1:8" x14ac:dyDescent="0.25">
      <c r="A93" s="317"/>
      <c r="B93" s="317"/>
      <c r="C93" s="304"/>
      <c r="D93" s="304"/>
      <c r="E93" s="328"/>
      <c r="F93" s="304"/>
      <c r="G93" s="304"/>
      <c r="H93" s="304"/>
    </row>
    <row r="94" spans="1:8" x14ac:dyDescent="0.25">
      <c r="A94" s="317"/>
      <c r="B94" s="317"/>
      <c r="C94" s="304"/>
      <c r="D94" s="304"/>
      <c r="E94" s="328"/>
      <c r="F94" s="304"/>
      <c r="G94" s="304"/>
      <c r="H94" s="304"/>
    </row>
    <row r="95" spans="1:8" x14ac:dyDescent="0.25">
      <c r="A95" s="317"/>
      <c r="B95" s="317"/>
      <c r="C95" s="304"/>
      <c r="D95" s="304"/>
      <c r="E95" s="328"/>
      <c r="F95" s="304"/>
      <c r="G95" s="304"/>
      <c r="H95" s="304"/>
    </row>
    <row r="96" spans="1:8" x14ac:dyDescent="0.25">
      <c r="A96" s="317"/>
      <c r="B96" s="317"/>
      <c r="C96" s="304"/>
      <c r="D96" s="304"/>
      <c r="E96" s="328"/>
      <c r="F96" s="304"/>
      <c r="G96" s="304"/>
      <c r="H96" s="304"/>
    </row>
    <row r="97" spans="1:8" x14ac:dyDescent="0.25">
      <c r="A97" s="317"/>
      <c r="B97" s="317"/>
      <c r="C97" s="304"/>
      <c r="D97" s="304"/>
      <c r="E97" s="328"/>
      <c r="F97" s="304"/>
      <c r="G97" s="304"/>
      <c r="H97" s="304"/>
    </row>
    <row r="98" spans="1:8" x14ac:dyDescent="0.25">
      <c r="A98" s="317"/>
      <c r="B98" s="317"/>
      <c r="C98" s="304"/>
      <c r="D98" s="304"/>
      <c r="E98" s="328"/>
      <c r="F98" s="304"/>
      <c r="G98" s="304"/>
      <c r="H98" s="304"/>
    </row>
    <row r="99" spans="1:8" x14ac:dyDescent="0.25">
      <c r="A99" s="317"/>
      <c r="B99" s="317"/>
      <c r="C99" s="304"/>
      <c r="D99" s="304"/>
      <c r="E99" s="328"/>
      <c r="F99" s="304"/>
      <c r="G99" s="304"/>
      <c r="H99" s="304"/>
    </row>
    <row r="100" spans="1:8" x14ac:dyDescent="0.25">
      <c r="A100" s="317"/>
      <c r="B100" s="317"/>
      <c r="C100" s="304"/>
      <c r="D100" s="304"/>
      <c r="E100" s="328"/>
      <c r="F100" s="304"/>
      <c r="G100" s="304"/>
      <c r="H100" s="304"/>
    </row>
    <row r="101" spans="1:8" x14ac:dyDescent="0.25">
      <c r="A101" s="317"/>
      <c r="B101" s="317"/>
      <c r="C101" s="304"/>
      <c r="D101" s="304"/>
      <c r="E101" s="328"/>
      <c r="F101" s="304"/>
      <c r="G101" s="304"/>
      <c r="H101" s="304"/>
    </row>
    <row r="102" spans="1:8" x14ac:dyDescent="0.25">
      <c r="A102" s="317"/>
      <c r="B102" s="317"/>
      <c r="C102" s="304"/>
      <c r="D102" s="304"/>
      <c r="E102" s="328"/>
      <c r="F102" s="304"/>
      <c r="G102" s="304"/>
      <c r="H102" s="304"/>
    </row>
    <row r="103" spans="1:8" x14ac:dyDescent="0.25">
      <c r="A103" s="317"/>
      <c r="B103" s="317"/>
      <c r="C103" s="304"/>
      <c r="D103" s="304"/>
      <c r="E103" s="328"/>
      <c r="F103" s="304"/>
      <c r="G103" s="304"/>
      <c r="H103" s="304"/>
    </row>
    <row r="104" spans="1:8" x14ac:dyDescent="0.25">
      <c r="A104" s="317"/>
      <c r="B104" s="317"/>
      <c r="C104" s="304"/>
      <c r="D104" s="304"/>
      <c r="E104" s="328"/>
      <c r="F104" s="304"/>
      <c r="G104" s="304"/>
      <c r="H104" s="304"/>
    </row>
    <row r="105" spans="1:8" x14ac:dyDescent="0.25">
      <c r="A105" s="317"/>
      <c r="B105" s="317"/>
      <c r="C105" s="304"/>
      <c r="D105" s="304"/>
      <c r="E105" s="328"/>
      <c r="F105" s="304"/>
      <c r="G105" s="304"/>
      <c r="H105" s="304"/>
    </row>
    <row r="106" spans="1:8" x14ac:dyDescent="0.25">
      <c r="A106" s="317"/>
      <c r="B106" s="317"/>
      <c r="C106" s="304"/>
      <c r="D106" s="304"/>
      <c r="E106" s="328"/>
      <c r="F106" s="304"/>
      <c r="G106" s="304"/>
      <c r="H106" s="304"/>
    </row>
    <row r="107" spans="1:8" x14ac:dyDescent="0.25">
      <c r="A107" s="317"/>
      <c r="B107" s="317"/>
      <c r="C107" s="304"/>
      <c r="D107" s="304"/>
      <c r="E107" s="328"/>
      <c r="F107" s="304"/>
      <c r="G107" s="304"/>
      <c r="H107" s="304"/>
    </row>
    <row r="108" spans="1:8" x14ac:dyDescent="0.25">
      <c r="A108" s="317"/>
      <c r="B108" s="317"/>
      <c r="C108" s="304"/>
      <c r="D108" s="304"/>
      <c r="E108" s="328"/>
      <c r="F108" s="304"/>
      <c r="G108" s="304"/>
      <c r="H108" s="304"/>
    </row>
    <row r="109" spans="1:8" x14ac:dyDescent="0.25">
      <c r="A109" s="317"/>
      <c r="B109" s="317"/>
      <c r="C109" s="304"/>
      <c r="D109" s="304"/>
      <c r="E109" s="328"/>
      <c r="F109" s="304"/>
      <c r="G109" s="304"/>
      <c r="H109" s="304"/>
    </row>
    <row r="110" spans="1:8" x14ac:dyDescent="0.25">
      <c r="A110" s="317"/>
      <c r="B110" s="317"/>
      <c r="C110" s="304"/>
      <c r="D110" s="304"/>
      <c r="E110" s="328"/>
      <c r="F110" s="304"/>
      <c r="G110" s="304"/>
      <c r="H110" s="304"/>
    </row>
    <row r="111" spans="1:8" x14ac:dyDescent="0.25">
      <c r="A111" s="317"/>
      <c r="B111" s="317"/>
      <c r="C111" s="304"/>
      <c r="D111" s="304"/>
      <c r="E111" s="328"/>
      <c r="F111" s="304"/>
      <c r="G111" s="304"/>
      <c r="H111" s="304"/>
    </row>
    <row r="112" spans="1:8" x14ac:dyDescent="0.25">
      <c r="A112" s="317"/>
      <c r="B112" s="317"/>
      <c r="C112" s="304"/>
      <c r="D112" s="304"/>
      <c r="E112" s="328"/>
      <c r="F112" s="304"/>
      <c r="G112" s="304"/>
      <c r="H112" s="304"/>
    </row>
    <row r="113" spans="1:8" x14ac:dyDescent="0.25">
      <c r="A113" s="317"/>
      <c r="B113" s="317"/>
      <c r="C113" s="304"/>
      <c r="D113" s="304"/>
      <c r="E113" s="328"/>
      <c r="F113" s="304"/>
      <c r="G113" s="304"/>
      <c r="H113" s="304"/>
    </row>
    <row r="114" spans="1:8" x14ac:dyDescent="0.25">
      <c r="A114" s="317"/>
      <c r="B114" s="317"/>
      <c r="C114" s="304"/>
      <c r="D114" s="304"/>
      <c r="E114" s="328"/>
      <c r="F114" s="304"/>
      <c r="G114" s="304"/>
      <c r="H114" s="304"/>
    </row>
    <row r="115" spans="1:8" x14ac:dyDescent="0.25">
      <c r="A115" s="317"/>
      <c r="B115" s="317"/>
      <c r="C115" s="304"/>
      <c r="D115" s="304"/>
      <c r="E115" s="328"/>
      <c r="F115" s="304"/>
      <c r="G115" s="304"/>
      <c r="H115" s="304"/>
    </row>
    <row r="116" spans="1:8" x14ac:dyDescent="0.25">
      <c r="A116" s="317"/>
      <c r="B116" s="317"/>
      <c r="C116" s="304"/>
      <c r="D116" s="304"/>
      <c r="E116" s="328"/>
      <c r="F116" s="304"/>
      <c r="G116" s="304"/>
      <c r="H116" s="304"/>
    </row>
    <row r="117" spans="1:8" x14ac:dyDescent="0.25">
      <c r="A117" s="304"/>
      <c r="B117" s="317"/>
      <c r="C117" s="304"/>
      <c r="D117" s="304"/>
      <c r="E117" s="328"/>
      <c r="F117" s="304"/>
      <c r="G117" s="304"/>
      <c r="H117" s="304"/>
    </row>
    <row r="118" spans="1:8" x14ac:dyDescent="0.25">
      <c r="A118" s="317"/>
      <c r="B118" s="317"/>
      <c r="C118" s="304"/>
      <c r="D118" s="304"/>
      <c r="E118" s="328"/>
      <c r="F118" s="304"/>
      <c r="G118" s="304"/>
      <c r="H118" s="304"/>
    </row>
    <row r="119" spans="1:8" x14ac:dyDescent="0.25">
      <c r="A119" s="317"/>
      <c r="B119" s="317"/>
      <c r="C119" s="304"/>
      <c r="D119" s="304"/>
      <c r="E119" s="328"/>
      <c r="F119" s="304"/>
      <c r="G119" s="304"/>
      <c r="H119" s="304"/>
    </row>
    <row r="120" spans="1:8" x14ac:dyDescent="0.25">
      <c r="A120" s="317"/>
      <c r="B120" s="317"/>
      <c r="C120" s="304"/>
      <c r="D120" s="304"/>
      <c r="E120" s="328"/>
      <c r="F120" s="304"/>
      <c r="G120" s="304"/>
      <c r="H120" s="304"/>
    </row>
    <row r="121" spans="1:8" x14ac:dyDescent="0.25">
      <c r="A121" s="317"/>
      <c r="B121" s="317"/>
      <c r="C121" s="304"/>
      <c r="D121" s="304"/>
      <c r="E121" s="328"/>
      <c r="F121" s="304"/>
      <c r="G121" s="304"/>
      <c r="H121" s="304"/>
    </row>
    <row r="122" spans="1:8" x14ac:dyDescent="0.25">
      <c r="A122" s="317"/>
      <c r="B122" s="317"/>
      <c r="C122" s="304"/>
      <c r="D122" s="304"/>
      <c r="E122" s="328"/>
      <c r="F122" s="304"/>
      <c r="G122" s="304"/>
      <c r="H122" s="304"/>
    </row>
    <row r="123" spans="1:8" x14ac:dyDescent="0.25">
      <c r="A123" s="317"/>
      <c r="B123" s="317"/>
      <c r="C123" s="304"/>
      <c r="D123" s="304"/>
      <c r="E123" s="328"/>
      <c r="F123" s="304"/>
      <c r="G123" s="304"/>
      <c r="H123" s="304"/>
    </row>
    <row r="124" spans="1:8" x14ac:dyDescent="0.25">
      <c r="A124" s="317"/>
      <c r="B124" s="317"/>
      <c r="C124" s="304"/>
      <c r="D124" s="304"/>
      <c r="E124" s="328"/>
      <c r="F124" s="304"/>
      <c r="G124" s="304"/>
      <c r="H124" s="304"/>
    </row>
    <row r="125" spans="1:8" x14ac:dyDescent="0.25">
      <c r="A125" s="317"/>
      <c r="B125" s="317"/>
      <c r="C125" s="304"/>
      <c r="D125" s="304"/>
      <c r="E125" s="328"/>
      <c r="F125" s="304"/>
      <c r="G125" s="304"/>
      <c r="H125" s="304"/>
    </row>
    <row r="126" spans="1:8" x14ac:dyDescent="0.25">
      <c r="A126" s="317"/>
      <c r="B126" s="317"/>
      <c r="C126" s="304"/>
      <c r="D126" s="304"/>
      <c r="E126" s="328"/>
      <c r="F126" s="304"/>
      <c r="G126" s="304"/>
      <c r="H126" s="304"/>
    </row>
    <row r="127" spans="1:8" x14ac:dyDescent="0.25">
      <c r="A127" s="317"/>
      <c r="B127" s="317"/>
      <c r="C127" s="304"/>
      <c r="D127" s="304"/>
      <c r="E127" s="328"/>
      <c r="F127" s="304"/>
      <c r="G127" s="304"/>
      <c r="H127" s="304"/>
    </row>
    <row r="128" spans="1:8" ht="15.75" thickBot="1" x14ac:dyDescent="0.3">
      <c r="A128" s="319"/>
      <c r="B128" s="319"/>
      <c r="C128" s="305"/>
      <c r="D128" s="305"/>
      <c r="E128" s="329"/>
      <c r="F128" s="305"/>
      <c r="G128" s="305"/>
      <c r="H128" s="305"/>
    </row>
  </sheetData>
  <autoFilter ref="A2:H40" xr:uid="{7C717F9F-D1AD-4153-BDEC-F96F3F40B03C}">
    <sortState xmlns:xlrd2="http://schemas.microsoft.com/office/spreadsheetml/2017/richdata2" ref="A4:H30">
      <sortCondition ref="A2:A30"/>
    </sortState>
  </autoFilter>
  <mergeCells count="1">
    <mergeCell ref="D1:H1"/>
  </mergeCells>
  <conditionalFormatting sqref="I3:XFD22 A3:H128">
    <cfRule type="expression" dxfId="21" priority="2">
      <formula>MOD(ROW(),2)</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CE1B-9825-403E-92EF-3DBD990B76CE}">
  <sheetPr>
    <tabColor rgb="FF01DDB3"/>
  </sheetPr>
  <dimension ref="A1:IO128"/>
  <sheetViews>
    <sheetView zoomScale="70" zoomScaleNormal="70" workbookViewId="0">
      <pane ySplit="2" topLeftCell="A3" activePane="bottomLeft" state="frozen"/>
      <selection pane="bottomLeft" activeCell="E9" sqref="E9"/>
    </sheetView>
  </sheetViews>
  <sheetFormatPr baseColWidth="10" defaultColWidth="11.5703125" defaultRowHeight="15" x14ac:dyDescent="0.25"/>
  <cols>
    <col min="1" max="1" width="12.28515625" style="306" bestFit="1" customWidth="1"/>
    <col min="2" max="2" width="10.42578125" style="306" customWidth="1"/>
    <col min="3" max="3" width="20.85546875" style="306" customWidth="1"/>
    <col min="4" max="4" width="57.7109375" style="306" customWidth="1"/>
    <col min="5" max="5" width="28.85546875" style="306" customWidth="1"/>
    <col min="6" max="6" width="57.7109375" style="306" customWidth="1"/>
    <col min="7" max="7" width="23.85546875" style="306" customWidth="1"/>
    <col min="8" max="8" width="12.7109375" style="306" bestFit="1" customWidth="1"/>
    <col min="9" max="9" width="24.85546875" style="306" bestFit="1" customWidth="1"/>
    <col min="10" max="10" width="19.28515625" style="306" customWidth="1"/>
    <col min="11" max="11" width="18.7109375" style="306" customWidth="1"/>
    <col min="12" max="18" width="11.5703125" style="383" bestFit="1" customWidth="1"/>
    <col min="19" max="249" width="11.5703125" style="383"/>
    <col min="250" max="16384" width="11.5703125" style="306"/>
  </cols>
  <sheetData>
    <row r="1" spans="1:249" s="311" customFormat="1" ht="49.9" customHeight="1" thickBot="1" x14ac:dyDescent="0.3">
      <c r="A1" s="331"/>
      <c r="B1" s="332" t="s">
        <v>138</v>
      </c>
      <c r="C1" s="333">
        <f ca="1">TODAY()</f>
        <v>46161</v>
      </c>
      <c r="D1" s="518" t="s">
        <v>946</v>
      </c>
      <c r="E1" s="519"/>
      <c r="F1" s="519"/>
      <c r="G1" s="519"/>
      <c r="H1" s="519"/>
      <c r="I1" s="519"/>
      <c r="J1" s="519"/>
      <c r="K1" s="520"/>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c r="CF1" s="382"/>
      <c r="CG1" s="382"/>
      <c r="CH1" s="382"/>
      <c r="CI1" s="382"/>
      <c r="CJ1" s="382"/>
      <c r="CK1" s="382"/>
      <c r="CL1" s="382"/>
      <c r="CM1" s="382"/>
      <c r="CN1" s="382"/>
      <c r="CO1" s="382"/>
      <c r="CP1" s="382"/>
      <c r="CQ1" s="382"/>
      <c r="CR1" s="382"/>
      <c r="CS1" s="382"/>
      <c r="CT1" s="382"/>
      <c r="CU1" s="382"/>
      <c r="CV1" s="382"/>
      <c r="CW1" s="382"/>
      <c r="CX1" s="382"/>
      <c r="CY1" s="382"/>
      <c r="CZ1" s="382"/>
      <c r="DA1" s="382"/>
      <c r="DB1" s="382"/>
      <c r="DC1" s="382"/>
      <c r="DD1" s="382"/>
      <c r="DE1" s="382"/>
      <c r="DF1" s="382"/>
      <c r="DG1" s="382"/>
      <c r="DH1" s="382"/>
      <c r="DI1" s="382"/>
      <c r="DJ1" s="382"/>
      <c r="DK1" s="382"/>
      <c r="DL1" s="382"/>
      <c r="DM1" s="382"/>
      <c r="DN1" s="382"/>
      <c r="DO1" s="382"/>
      <c r="DP1" s="382"/>
      <c r="DQ1" s="382"/>
      <c r="DR1" s="382"/>
      <c r="DS1" s="382"/>
      <c r="DT1" s="382"/>
      <c r="DU1" s="382"/>
      <c r="DV1" s="382"/>
      <c r="DW1" s="382"/>
      <c r="DX1" s="382"/>
      <c r="DY1" s="382"/>
      <c r="DZ1" s="382"/>
      <c r="EA1" s="382"/>
      <c r="EB1" s="382"/>
      <c r="EC1" s="382"/>
      <c r="ED1" s="382"/>
      <c r="EE1" s="382"/>
      <c r="EF1" s="382"/>
      <c r="EG1" s="382"/>
      <c r="EH1" s="382"/>
      <c r="EI1" s="382"/>
      <c r="EJ1" s="382"/>
      <c r="EK1" s="382"/>
      <c r="EL1" s="382"/>
      <c r="EM1" s="382"/>
      <c r="EN1" s="382"/>
      <c r="EO1" s="382"/>
      <c r="EP1" s="382"/>
      <c r="EQ1" s="382"/>
      <c r="ER1" s="382"/>
      <c r="ES1" s="382"/>
      <c r="ET1" s="382"/>
      <c r="EU1" s="382"/>
      <c r="EV1" s="382"/>
      <c r="EW1" s="382"/>
      <c r="EX1" s="382"/>
      <c r="EY1" s="382"/>
      <c r="EZ1" s="382"/>
      <c r="FA1" s="382"/>
      <c r="FB1" s="382"/>
      <c r="FC1" s="382"/>
      <c r="FD1" s="382"/>
      <c r="FE1" s="382"/>
      <c r="FF1" s="382"/>
      <c r="FG1" s="382"/>
      <c r="FH1" s="382"/>
      <c r="FI1" s="382"/>
      <c r="FJ1" s="382"/>
      <c r="FK1" s="382"/>
      <c r="FL1" s="382"/>
      <c r="FM1" s="382"/>
      <c r="FN1" s="382"/>
      <c r="FO1" s="382"/>
      <c r="FP1" s="382"/>
      <c r="FQ1" s="382"/>
      <c r="FR1" s="382"/>
      <c r="FS1" s="382"/>
      <c r="FT1" s="382"/>
      <c r="FU1" s="382"/>
      <c r="FV1" s="382"/>
      <c r="FW1" s="382"/>
      <c r="FX1" s="382"/>
      <c r="FY1" s="382"/>
      <c r="FZ1" s="382"/>
      <c r="GA1" s="382"/>
      <c r="GB1" s="382"/>
      <c r="GC1" s="382"/>
      <c r="GD1" s="382"/>
      <c r="GE1" s="382"/>
      <c r="GF1" s="382"/>
      <c r="GG1" s="382"/>
      <c r="GH1" s="382"/>
      <c r="GI1" s="382"/>
      <c r="GJ1" s="382"/>
      <c r="GK1" s="382"/>
      <c r="GL1" s="382"/>
      <c r="GM1" s="382"/>
      <c r="GN1" s="382"/>
      <c r="GO1" s="382"/>
      <c r="GP1" s="382"/>
      <c r="GQ1" s="382"/>
      <c r="GR1" s="382"/>
      <c r="GS1" s="382"/>
      <c r="GT1" s="382"/>
      <c r="GU1" s="382"/>
      <c r="GV1" s="382"/>
      <c r="GW1" s="382"/>
      <c r="GX1" s="382"/>
      <c r="GY1" s="382"/>
      <c r="GZ1" s="382"/>
      <c r="HA1" s="382"/>
      <c r="HB1" s="382"/>
      <c r="HC1" s="382"/>
      <c r="HD1" s="382"/>
      <c r="HE1" s="382"/>
      <c r="HF1" s="382"/>
      <c r="HG1" s="382"/>
      <c r="HH1" s="382"/>
      <c r="HI1" s="382"/>
      <c r="HJ1" s="382"/>
      <c r="HK1" s="382"/>
      <c r="HL1" s="382"/>
      <c r="HM1" s="382"/>
      <c r="HN1" s="382"/>
      <c r="HO1" s="382"/>
      <c r="HP1" s="382"/>
      <c r="HQ1" s="382"/>
      <c r="HR1" s="382"/>
      <c r="HS1" s="382"/>
      <c r="HT1" s="382"/>
      <c r="HU1" s="382"/>
      <c r="HV1" s="382"/>
      <c r="HW1" s="382"/>
      <c r="HX1" s="382"/>
      <c r="HY1" s="382"/>
      <c r="HZ1" s="382"/>
      <c r="IA1" s="382"/>
      <c r="IB1" s="382"/>
      <c r="IC1" s="382"/>
      <c r="ID1" s="382"/>
      <c r="IE1" s="382"/>
      <c r="IF1" s="382"/>
      <c r="IG1" s="382"/>
      <c r="IH1" s="382"/>
      <c r="II1" s="382"/>
      <c r="IJ1" s="382"/>
      <c r="IK1" s="382"/>
      <c r="IL1" s="382"/>
      <c r="IM1" s="382"/>
      <c r="IN1" s="382"/>
      <c r="IO1" s="382"/>
    </row>
    <row r="2" spans="1:249" s="311" customFormat="1" ht="57.75" thickBot="1" x14ac:dyDescent="0.3">
      <c r="A2" s="18" t="s">
        <v>475</v>
      </c>
      <c r="B2" s="18" t="s">
        <v>140</v>
      </c>
      <c r="C2" s="139" t="s">
        <v>947</v>
      </c>
      <c r="D2" s="196" t="s">
        <v>478</v>
      </c>
      <c r="E2" s="300" t="s">
        <v>948</v>
      </c>
      <c r="F2" s="193" t="s">
        <v>949</v>
      </c>
      <c r="G2" s="195" t="s">
        <v>479</v>
      </c>
      <c r="H2" s="195" t="s">
        <v>816</v>
      </c>
      <c r="I2" s="195" t="s">
        <v>950</v>
      </c>
      <c r="J2" s="195" t="s">
        <v>818</v>
      </c>
      <c r="K2" s="195" t="s">
        <v>481</v>
      </c>
      <c r="L2" s="382"/>
      <c r="M2" s="382"/>
      <c r="N2" s="382"/>
      <c r="O2" s="382"/>
      <c r="P2" s="382"/>
      <c r="Q2" s="382"/>
      <c r="R2" s="382"/>
      <c r="S2" s="382"/>
      <c r="T2" s="382"/>
      <c r="U2" s="382"/>
      <c r="V2" s="382"/>
      <c r="W2" s="382"/>
      <c r="X2" s="382"/>
      <c r="Y2" s="382"/>
      <c r="Z2" s="382"/>
      <c r="AA2" s="382"/>
      <c r="AB2" s="382"/>
      <c r="AC2" s="382"/>
      <c r="AD2" s="382"/>
      <c r="AE2" s="382"/>
      <c r="AF2" s="382"/>
      <c r="AG2" s="382"/>
      <c r="AH2" s="382"/>
      <c r="AI2" s="382"/>
      <c r="AJ2" s="382"/>
      <c r="AK2" s="382"/>
      <c r="AL2" s="382"/>
      <c r="AM2" s="382"/>
      <c r="AN2" s="382"/>
      <c r="AO2" s="382"/>
      <c r="AP2" s="382"/>
      <c r="AQ2" s="382"/>
      <c r="AR2" s="382"/>
      <c r="AS2" s="382"/>
      <c r="AT2" s="382"/>
      <c r="AU2" s="382"/>
      <c r="AV2" s="382"/>
      <c r="AW2" s="382"/>
      <c r="AX2" s="382"/>
      <c r="AY2" s="382"/>
      <c r="AZ2" s="382"/>
      <c r="BA2" s="382"/>
      <c r="BB2" s="382"/>
      <c r="BC2" s="382"/>
      <c r="BD2" s="382"/>
      <c r="BE2" s="382"/>
      <c r="BF2" s="382"/>
      <c r="BG2" s="382"/>
      <c r="BH2" s="382"/>
      <c r="BI2" s="382"/>
      <c r="BJ2" s="382"/>
      <c r="BK2" s="382"/>
      <c r="BL2" s="382"/>
      <c r="BM2" s="382"/>
      <c r="BN2" s="382"/>
      <c r="BO2" s="382"/>
      <c r="BP2" s="382"/>
      <c r="BQ2" s="382"/>
      <c r="BR2" s="382"/>
      <c r="BS2" s="382"/>
      <c r="BT2" s="382"/>
      <c r="BU2" s="382"/>
      <c r="BV2" s="382"/>
      <c r="BW2" s="382"/>
      <c r="BX2" s="382"/>
      <c r="BY2" s="382"/>
      <c r="BZ2" s="382"/>
      <c r="CA2" s="382"/>
      <c r="CB2" s="382"/>
      <c r="CC2" s="382"/>
      <c r="CD2" s="382"/>
      <c r="CE2" s="382"/>
      <c r="CF2" s="382"/>
      <c r="CG2" s="382"/>
      <c r="CH2" s="382"/>
      <c r="CI2" s="382"/>
      <c r="CJ2" s="382"/>
      <c r="CK2" s="382"/>
      <c r="CL2" s="382"/>
      <c r="CM2" s="382"/>
      <c r="CN2" s="382"/>
      <c r="CO2" s="382"/>
      <c r="CP2" s="382"/>
      <c r="CQ2" s="382"/>
      <c r="CR2" s="382"/>
      <c r="CS2" s="382"/>
      <c r="CT2" s="382"/>
      <c r="CU2" s="382"/>
      <c r="CV2" s="382"/>
      <c r="CW2" s="382"/>
      <c r="CX2" s="382"/>
      <c r="CY2" s="382"/>
      <c r="CZ2" s="382"/>
      <c r="DA2" s="382"/>
      <c r="DB2" s="382"/>
      <c r="DC2" s="382"/>
      <c r="DD2" s="382"/>
      <c r="DE2" s="382"/>
      <c r="DF2" s="382"/>
      <c r="DG2" s="382"/>
      <c r="DH2" s="382"/>
      <c r="DI2" s="382"/>
      <c r="DJ2" s="382"/>
      <c r="DK2" s="382"/>
      <c r="DL2" s="382"/>
      <c r="DM2" s="382"/>
      <c r="DN2" s="382"/>
      <c r="DO2" s="382"/>
      <c r="DP2" s="382"/>
      <c r="DQ2" s="382"/>
      <c r="DR2" s="382"/>
      <c r="DS2" s="382"/>
      <c r="DT2" s="382"/>
      <c r="DU2" s="382"/>
      <c r="DV2" s="382"/>
      <c r="DW2" s="382"/>
      <c r="DX2" s="382"/>
      <c r="DY2" s="382"/>
      <c r="DZ2" s="382"/>
      <c r="EA2" s="382"/>
      <c r="EB2" s="382"/>
      <c r="EC2" s="382"/>
      <c r="ED2" s="382"/>
      <c r="EE2" s="382"/>
      <c r="EF2" s="382"/>
      <c r="EG2" s="382"/>
      <c r="EH2" s="382"/>
      <c r="EI2" s="382"/>
      <c r="EJ2" s="382"/>
      <c r="EK2" s="382"/>
      <c r="EL2" s="382"/>
      <c r="EM2" s="382"/>
      <c r="EN2" s="382"/>
      <c r="EO2" s="382"/>
      <c r="EP2" s="382"/>
      <c r="EQ2" s="382"/>
      <c r="ER2" s="382"/>
      <c r="ES2" s="382"/>
      <c r="ET2" s="382"/>
      <c r="EU2" s="382"/>
      <c r="EV2" s="382"/>
      <c r="EW2" s="382"/>
      <c r="EX2" s="382"/>
      <c r="EY2" s="382"/>
      <c r="EZ2" s="382"/>
      <c r="FA2" s="382"/>
      <c r="FB2" s="382"/>
      <c r="FC2" s="382"/>
      <c r="FD2" s="382"/>
      <c r="FE2" s="382"/>
      <c r="FF2" s="382"/>
      <c r="FG2" s="382"/>
      <c r="FH2" s="382"/>
      <c r="FI2" s="382"/>
      <c r="FJ2" s="382"/>
      <c r="FK2" s="382"/>
      <c r="FL2" s="382"/>
      <c r="FM2" s="382"/>
      <c r="FN2" s="382"/>
      <c r="FO2" s="382"/>
      <c r="FP2" s="382"/>
      <c r="FQ2" s="382"/>
      <c r="FR2" s="382"/>
      <c r="FS2" s="382"/>
      <c r="FT2" s="382"/>
      <c r="FU2" s="382"/>
      <c r="FV2" s="382"/>
      <c r="FW2" s="382"/>
      <c r="FX2" s="382"/>
      <c r="FY2" s="382"/>
      <c r="FZ2" s="382"/>
      <c r="GA2" s="382"/>
      <c r="GB2" s="382"/>
      <c r="GC2" s="382"/>
      <c r="GD2" s="382"/>
      <c r="GE2" s="382"/>
      <c r="GF2" s="382"/>
      <c r="GG2" s="382"/>
      <c r="GH2" s="382"/>
      <c r="GI2" s="382"/>
      <c r="GJ2" s="382"/>
      <c r="GK2" s="382"/>
      <c r="GL2" s="382"/>
      <c r="GM2" s="382"/>
      <c r="GN2" s="382"/>
      <c r="GO2" s="382"/>
      <c r="GP2" s="382"/>
      <c r="GQ2" s="382"/>
      <c r="GR2" s="382"/>
      <c r="GS2" s="382"/>
      <c r="GT2" s="382"/>
      <c r="GU2" s="382"/>
      <c r="GV2" s="382"/>
      <c r="GW2" s="382"/>
      <c r="GX2" s="382"/>
      <c r="GY2" s="382"/>
      <c r="GZ2" s="382"/>
      <c r="HA2" s="382"/>
      <c r="HB2" s="382"/>
      <c r="HC2" s="382"/>
      <c r="HD2" s="382"/>
      <c r="HE2" s="382"/>
      <c r="HF2" s="382"/>
      <c r="HG2" s="382"/>
      <c r="HH2" s="382"/>
      <c r="HI2" s="382"/>
      <c r="HJ2" s="382"/>
      <c r="HK2" s="382"/>
      <c r="HL2" s="382"/>
      <c r="HM2" s="382"/>
      <c r="HN2" s="382"/>
      <c r="HO2" s="382"/>
      <c r="HP2" s="382"/>
      <c r="HQ2" s="382"/>
      <c r="HR2" s="382"/>
      <c r="HS2" s="382"/>
      <c r="HT2" s="382"/>
      <c r="HU2" s="382"/>
      <c r="HV2" s="382"/>
      <c r="HW2" s="382"/>
      <c r="HX2" s="382"/>
      <c r="HY2" s="382"/>
      <c r="HZ2" s="382"/>
      <c r="IA2" s="382"/>
      <c r="IB2" s="382"/>
      <c r="IC2" s="382"/>
      <c r="ID2" s="382"/>
      <c r="IE2" s="382"/>
      <c r="IF2" s="382"/>
      <c r="IG2" s="382"/>
      <c r="IH2" s="382"/>
      <c r="II2" s="382"/>
      <c r="IJ2" s="382"/>
      <c r="IK2" s="382"/>
      <c r="IL2" s="382"/>
      <c r="IM2" s="382"/>
      <c r="IN2" s="382"/>
      <c r="IO2" s="382"/>
    </row>
    <row r="3" spans="1:249" ht="42.75" x14ac:dyDescent="0.25">
      <c r="A3" s="312">
        <v>46036</v>
      </c>
      <c r="B3" s="303" t="s">
        <v>269</v>
      </c>
      <c r="C3" s="315" t="s">
        <v>951</v>
      </c>
      <c r="D3" s="301" t="s">
        <v>952</v>
      </c>
      <c r="E3" s="301"/>
      <c r="F3" s="302"/>
      <c r="G3" s="301" t="s">
        <v>953</v>
      </c>
      <c r="H3" s="301"/>
      <c r="I3" s="339">
        <v>46036</v>
      </c>
      <c r="J3" s="301" t="s">
        <v>954</v>
      </c>
      <c r="K3" s="301" t="s">
        <v>281</v>
      </c>
    </row>
    <row r="4" spans="1:249" s="316" customFormat="1" ht="71.25" x14ac:dyDescent="0.25">
      <c r="A4" s="312">
        <v>46044</v>
      </c>
      <c r="B4" s="303" t="s">
        <v>54</v>
      </c>
      <c r="C4" s="313" t="s">
        <v>951</v>
      </c>
      <c r="D4" s="302" t="s">
        <v>955</v>
      </c>
      <c r="E4" s="302"/>
      <c r="F4" s="303" t="s">
        <v>956</v>
      </c>
      <c r="G4" s="302" t="s">
        <v>715</v>
      </c>
      <c r="H4" s="387">
        <v>25</v>
      </c>
      <c r="I4" s="334">
        <v>46044</v>
      </c>
      <c r="J4" s="302" t="s">
        <v>957</v>
      </c>
      <c r="K4" s="302" t="s">
        <v>196</v>
      </c>
      <c r="L4" s="383"/>
      <c r="M4" s="383"/>
      <c r="N4" s="383"/>
      <c r="O4" s="383"/>
      <c r="P4" s="383"/>
      <c r="Q4" s="383"/>
      <c r="R4" s="383"/>
      <c r="S4" s="383"/>
      <c r="T4" s="383"/>
      <c r="U4" s="383"/>
      <c r="V4" s="383"/>
      <c r="W4" s="383"/>
      <c r="X4" s="383"/>
      <c r="Y4" s="383"/>
      <c r="Z4" s="383"/>
      <c r="AA4" s="383"/>
      <c r="AB4" s="383"/>
      <c r="AC4" s="383"/>
      <c r="AD4" s="383"/>
      <c r="AE4" s="383"/>
      <c r="AF4" s="383"/>
      <c r="AG4" s="383"/>
      <c r="AH4" s="383"/>
      <c r="AI4" s="383"/>
      <c r="AJ4" s="383"/>
      <c r="AK4" s="383"/>
      <c r="AL4" s="383"/>
      <c r="AM4" s="383"/>
      <c r="AN4" s="383"/>
      <c r="AO4" s="383"/>
      <c r="AP4" s="383"/>
      <c r="AQ4" s="383"/>
      <c r="AR4" s="383"/>
      <c r="AS4" s="383"/>
      <c r="AT4" s="383"/>
      <c r="AU4" s="383"/>
      <c r="AV4" s="383"/>
      <c r="AW4" s="383"/>
      <c r="AX4" s="383"/>
      <c r="AY4" s="383"/>
      <c r="AZ4" s="383"/>
      <c r="BA4" s="383"/>
      <c r="BB4" s="383"/>
      <c r="BC4" s="383"/>
      <c r="BD4" s="383"/>
      <c r="BE4" s="383"/>
      <c r="BF4" s="383"/>
      <c r="BG4" s="383"/>
      <c r="BH4" s="383"/>
      <c r="BI4" s="383"/>
      <c r="BJ4" s="383"/>
      <c r="BK4" s="383"/>
      <c r="BL4" s="383"/>
      <c r="BM4" s="383"/>
      <c r="BN4" s="383"/>
      <c r="BO4" s="383"/>
      <c r="BP4" s="383"/>
      <c r="BQ4" s="383"/>
      <c r="BR4" s="383"/>
      <c r="BS4" s="383"/>
      <c r="BT4" s="383"/>
      <c r="BU4" s="383"/>
      <c r="BV4" s="383"/>
      <c r="BW4" s="383"/>
      <c r="BX4" s="383"/>
      <c r="BY4" s="383"/>
      <c r="BZ4" s="383"/>
      <c r="CA4" s="383"/>
      <c r="CB4" s="383"/>
      <c r="CC4" s="383"/>
      <c r="CD4" s="383"/>
      <c r="CE4" s="383"/>
      <c r="CF4" s="383"/>
      <c r="CG4" s="383"/>
      <c r="CH4" s="383"/>
      <c r="CI4" s="383"/>
      <c r="CJ4" s="383"/>
      <c r="CK4" s="383"/>
      <c r="CL4" s="383"/>
      <c r="CM4" s="383"/>
      <c r="CN4" s="383"/>
      <c r="CO4" s="383"/>
      <c r="CP4" s="383"/>
      <c r="CQ4" s="383"/>
      <c r="CR4" s="383"/>
      <c r="CS4" s="383"/>
      <c r="CT4" s="383"/>
      <c r="CU4" s="383"/>
      <c r="CV4" s="383"/>
      <c r="CW4" s="383"/>
      <c r="CX4" s="383"/>
      <c r="CY4" s="383"/>
      <c r="CZ4" s="383"/>
      <c r="DA4" s="383"/>
      <c r="DB4" s="383"/>
      <c r="DC4" s="383"/>
      <c r="DD4" s="383"/>
      <c r="DE4" s="383"/>
      <c r="DF4" s="383"/>
      <c r="DG4" s="383"/>
      <c r="DH4" s="383"/>
      <c r="DI4" s="383"/>
      <c r="DJ4" s="383"/>
      <c r="DK4" s="383"/>
      <c r="DL4" s="383"/>
      <c r="DM4" s="383"/>
      <c r="DN4" s="383"/>
      <c r="DO4" s="383"/>
      <c r="DP4" s="383"/>
      <c r="DQ4" s="383"/>
      <c r="DR4" s="383"/>
      <c r="DS4" s="383"/>
      <c r="DT4" s="383"/>
      <c r="DU4" s="383"/>
      <c r="DV4" s="383"/>
      <c r="DW4" s="383"/>
      <c r="DX4" s="383"/>
      <c r="DY4" s="383"/>
      <c r="DZ4" s="383"/>
      <c r="EA4" s="383"/>
      <c r="EB4" s="383"/>
      <c r="EC4" s="383"/>
      <c r="ED4" s="383"/>
      <c r="EE4" s="383"/>
      <c r="EF4" s="383"/>
      <c r="EG4" s="383"/>
      <c r="EH4" s="383"/>
      <c r="EI4" s="383"/>
      <c r="EJ4" s="383"/>
      <c r="EK4" s="383"/>
      <c r="EL4" s="383"/>
      <c r="EM4" s="383"/>
      <c r="EN4" s="383"/>
      <c r="EO4" s="383"/>
      <c r="EP4" s="383"/>
      <c r="EQ4" s="383"/>
      <c r="ER4" s="383"/>
      <c r="ES4" s="383"/>
      <c r="ET4" s="383"/>
      <c r="EU4" s="383"/>
      <c r="EV4" s="383"/>
      <c r="EW4" s="383"/>
      <c r="EX4" s="383"/>
      <c r="EY4" s="383"/>
      <c r="EZ4" s="383"/>
      <c r="FA4" s="383"/>
      <c r="FB4" s="383"/>
      <c r="FC4" s="383"/>
      <c r="FD4" s="383"/>
      <c r="FE4" s="383"/>
      <c r="FF4" s="383"/>
      <c r="FG4" s="383"/>
      <c r="FH4" s="383"/>
      <c r="FI4" s="383"/>
      <c r="FJ4" s="383"/>
      <c r="FK4" s="383"/>
      <c r="FL4" s="383"/>
      <c r="FM4" s="383"/>
      <c r="FN4" s="383"/>
      <c r="FO4" s="383"/>
      <c r="FP4" s="383"/>
      <c r="FQ4" s="383"/>
      <c r="FR4" s="383"/>
      <c r="FS4" s="383"/>
      <c r="FT4" s="383"/>
      <c r="FU4" s="383"/>
      <c r="FV4" s="383"/>
      <c r="FW4" s="383"/>
      <c r="FX4" s="383"/>
      <c r="FY4" s="383"/>
      <c r="FZ4" s="383"/>
      <c r="GA4" s="383"/>
      <c r="GB4" s="383"/>
      <c r="GC4" s="383"/>
      <c r="GD4" s="383"/>
      <c r="GE4" s="383"/>
      <c r="GF4" s="383"/>
      <c r="GG4" s="383"/>
      <c r="GH4" s="383"/>
      <c r="GI4" s="383"/>
      <c r="GJ4" s="383"/>
      <c r="GK4" s="383"/>
      <c r="GL4" s="383"/>
      <c r="GM4" s="383"/>
      <c r="GN4" s="383"/>
      <c r="GO4" s="383"/>
      <c r="GP4" s="383"/>
      <c r="GQ4" s="383"/>
      <c r="GR4" s="383"/>
      <c r="GS4" s="383"/>
      <c r="GT4" s="383"/>
      <c r="GU4" s="383"/>
      <c r="GV4" s="383"/>
      <c r="GW4" s="383"/>
      <c r="GX4" s="383"/>
      <c r="GY4" s="383"/>
      <c r="GZ4" s="383"/>
      <c r="HA4" s="383"/>
      <c r="HB4" s="383"/>
      <c r="HC4" s="383"/>
      <c r="HD4" s="383"/>
      <c r="HE4" s="383"/>
      <c r="HF4" s="383"/>
      <c r="HG4" s="383"/>
      <c r="HH4" s="383"/>
      <c r="HI4" s="383"/>
      <c r="HJ4" s="383"/>
      <c r="HK4" s="383"/>
      <c r="HL4" s="383"/>
      <c r="HM4" s="383"/>
      <c r="HN4" s="383"/>
      <c r="HO4" s="383"/>
      <c r="HP4" s="383"/>
      <c r="HQ4" s="383"/>
      <c r="HR4" s="383"/>
      <c r="HS4" s="383"/>
      <c r="HT4" s="383"/>
      <c r="HU4" s="383"/>
      <c r="HV4" s="383"/>
      <c r="HW4" s="383"/>
      <c r="HX4" s="383"/>
      <c r="HY4" s="383"/>
      <c r="HZ4" s="383"/>
      <c r="IA4" s="383"/>
      <c r="IB4" s="383"/>
      <c r="IC4" s="383"/>
      <c r="ID4" s="383"/>
      <c r="IE4" s="383"/>
      <c r="IF4" s="383"/>
      <c r="IG4" s="383"/>
      <c r="IH4" s="383"/>
      <c r="II4" s="383"/>
      <c r="IJ4" s="383"/>
      <c r="IK4" s="383"/>
      <c r="IL4" s="383"/>
      <c r="IM4" s="383"/>
      <c r="IN4" s="383"/>
      <c r="IO4" s="383"/>
    </row>
    <row r="5" spans="1:249" s="316" customFormat="1" ht="57" x14ac:dyDescent="0.25">
      <c r="A5" s="312">
        <v>46065</v>
      </c>
      <c r="B5" s="303" t="s">
        <v>109</v>
      </c>
      <c r="C5" s="313" t="s">
        <v>958</v>
      </c>
      <c r="D5" s="302" t="s">
        <v>959</v>
      </c>
      <c r="E5" s="302"/>
      <c r="F5" s="303" t="s">
        <v>960</v>
      </c>
      <c r="G5" s="302" t="s">
        <v>578</v>
      </c>
      <c r="H5" s="387"/>
      <c r="I5" s="334">
        <v>46065</v>
      </c>
      <c r="J5" s="302" t="s">
        <v>961</v>
      </c>
      <c r="K5" s="302" t="s">
        <v>389</v>
      </c>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383"/>
      <c r="AK5" s="383"/>
      <c r="AL5" s="383"/>
      <c r="AM5" s="383"/>
      <c r="AN5" s="383"/>
      <c r="AO5" s="383"/>
      <c r="AP5" s="383"/>
      <c r="AQ5" s="383"/>
      <c r="AR5" s="383"/>
      <c r="AS5" s="383"/>
      <c r="AT5" s="383"/>
      <c r="AU5" s="383"/>
      <c r="AV5" s="383"/>
      <c r="AW5" s="383"/>
      <c r="AX5" s="383"/>
      <c r="AY5" s="383"/>
      <c r="AZ5" s="383"/>
      <c r="BA5" s="383"/>
      <c r="BB5" s="383"/>
      <c r="BC5" s="383"/>
      <c r="BD5" s="383"/>
      <c r="BE5" s="383"/>
      <c r="BF5" s="383"/>
      <c r="BG5" s="383"/>
      <c r="BH5" s="383"/>
      <c r="BI5" s="383"/>
      <c r="BJ5" s="383"/>
      <c r="BK5" s="383"/>
      <c r="BL5" s="383"/>
      <c r="BM5" s="383"/>
      <c r="BN5" s="383"/>
      <c r="BO5" s="383"/>
      <c r="BP5" s="383"/>
      <c r="BQ5" s="383"/>
      <c r="BR5" s="383"/>
      <c r="BS5" s="383"/>
      <c r="BT5" s="383"/>
      <c r="BU5" s="383"/>
      <c r="BV5" s="383"/>
      <c r="BW5" s="383"/>
      <c r="BX5" s="383"/>
      <c r="BY5" s="383"/>
      <c r="BZ5" s="383"/>
      <c r="CA5" s="383"/>
      <c r="CB5" s="383"/>
      <c r="CC5" s="383"/>
      <c r="CD5" s="383"/>
      <c r="CE5" s="383"/>
      <c r="CF5" s="383"/>
      <c r="CG5" s="383"/>
      <c r="CH5" s="383"/>
      <c r="CI5" s="383"/>
      <c r="CJ5" s="383"/>
      <c r="CK5" s="383"/>
      <c r="CL5" s="383"/>
      <c r="CM5" s="383"/>
      <c r="CN5" s="383"/>
      <c r="CO5" s="383"/>
      <c r="CP5" s="383"/>
      <c r="CQ5" s="383"/>
      <c r="CR5" s="383"/>
      <c r="CS5" s="383"/>
      <c r="CT5" s="383"/>
      <c r="CU5" s="383"/>
      <c r="CV5" s="383"/>
      <c r="CW5" s="383"/>
      <c r="CX5" s="383"/>
      <c r="CY5" s="383"/>
      <c r="CZ5" s="383"/>
      <c r="DA5" s="383"/>
      <c r="DB5" s="383"/>
      <c r="DC5" s="383"/>
      <c r="DD5" s="383"/>
      <c r="DE5" s="383"/>
      <c r="DF5" s="383"/>
      <c r="DG5" s="383"/>
      <c r="DH5" s="383"/>
      <c r="DI5" s="383"/>
      <c r="DJ5" s="383"/>
      <c r="DK5" s="383"/>
      <c r="DL5" s="383"/>
      <c r="DM5" s="383"/>
      <c r="DN5" s="383"/>
      <c r="DO5" s="383"/>
      <c r="DP5" s="383"/>
      <c r="DQ5" s="383"/>
      <c r="DR5" s="383"/>
      <c r="DS5" s="383"/>
      <c r="DT5" s="383"/>
      <c r="DU5" s="383"/>
      <c r="DV5" s="383"/>
      <c r="DW5" s="383"/>
      <c r="DX5" s="383"/>
      <c r="DY5" s="383"/>
      <c r="DZ5" s="383"/>
      <c r="EA5" s="383"/>
      <c r="EB5" s="383"/>
      <c r="EC5" s="383"/>
      <c r="ED5" s="383"/>
      <c r="EE5" s="383"/>
      <c r="EF5" s="383"/>
      <c r="EG5" s="383"/>
      <c r="EH5" s="383"/>
      <c r="EI5" s="383"/>
      <c r="EJ5" s="383"/>
      <c r="EK5" s="383"/>
      <c r="EL5" s="383"/>
      <c r="EM5" s="383"/>
      <c r="EN5" s="383"/>
      <c r="EO5" s="383"/>
      <c r="EP5" s="383"/>
      <c r="EQ5" s="383"/>
      <c r="ER5" s="383"/>
      <c r="ES5" s="383"/>
      <c r="ET5" s="383"/>
      <c r="EU5" s="383"/>
      <c r="EV5" s="383"/>
      <c r="EW5" s="383"/>
      <c r="EX5" s="383"/>
      <c r="EY5" s="383"/>
      <c r="EZ5" s="383"/>
      <c r="FA5" s="383"/>
      <c r="FB5" s="383"/>
      <c r="FC5" s="383"/>
      <c r="FD5" s="383"/>
      <c r="FE5" s="383"/>
      <c r="FF5" s="383"/>
      <c r="FG5" s="383"/>
      <c r="FH5" s="383"/>
      <c r="FI5" s="383"/>
      <c r="FJ5" s="383"/>
      <c r="FK5" s="383"/>
      <c r="FL5" s="383"/>
      <c r="FM5" s="383"/>
      <c r="FN5" s="383"/>
      <c r="FO5" s="383"/>
      <c r="FP5" s="383"/>
      <c r="FQ5" s="383"/>
      <c r="FR5" s="383"/>
      <c r="FS5" s="383"/>
      <c r="FT5" s="383"/>
      <c r="FU5" s="383"/>
      <c r="FV5" s="383"/>
      <c r="FW5" s="383"/>
      <c r="FX5" s="383"/>
      <c r="FY5" s="383"/>
      <c r="FZ5" s="383"/>
      <c r="GA5" s="383"/>
      <c r="GB5" s="383"/>
      <c r="GC5" s="383"/>
      <c r="GD5" s="383"/>
      <c r="GE5" s="383"/>
      <c r="GF5" s="383"/>
      <c r="GG5" s="383"/>
      <c r="GH5" s="383"/>
      <c r="GI5" s="383"/>
      <c r="GJ5" s="383"/>
      <c r="GK5" s="383"/>
      <c r="GL5" s="383"/>
      <c r="GM5" s="383"/>
      <c r="GN5" s="383"/>
      <c r="GO5" s="383"/>
      <c r="GP5" s="383"/>
      <c r="GQ5" s="383"/>
      <c r="GR5" s="383"/>
      <c r="GS5" s="383"/>
      <c r="GT5" s="383"/>
      <c r="GU5" s="383"/>
      <c r="GV5" s="383"/>
      <c r="GW5" s="383"/>
      <c r="GX5" s="383"/>
      <c r="GY5" s="383"/>
      <c r="GZ5" s="383"/>
      <c r="HA5" s="383"/>
      <c r="HB5" s="383"/>
      <c r="HC5" s="383"/>
      <c r="HD5" s="383"/>
      <c r="HE5" s="383"/>
      <c r="HF5" s="383"/>
      <c r="HG5" s="383"/>
      <c r="HH5" s="383"/>
      <c r="HI5" s="383"/>
      <c r="HJ5" s="383"/>
      <c r="HK5" s="383"/>
      <c r="HL5" s="383"/>
      <c r="HM5" s="383"/>
      <c r="HN5" s="383"/>
      <c r="HO5" s="383"/>
      <c r="HP5" s="383"/>
      <c r="HQ5" s="383"/>
      <c r="HR5" s="383"/>
      <c r="HS5" s="383"/>
      <c r="HT5" s="383"/>
      <c r="HU5" s="383"/>
      <c r="HV5" s="383"/>
      <c r="HW5" s="383"/>
      <c r="HX5" s="383"/>
      <c r="HY5" s="383"/>
      <c r="HZ5" s="383"/>
      <c r="IA5" s="383"/>
      <c r="IB5" s="383"/>
      <c r="IC5" s="383"/>
      <c r="ID5" s="383"/>
      <c r="IE5" s="383"/>
      <c r="IF5" s="383"/>
      <c r="IG5" s="383"/>
      <c r="IH5" s="383"/>
      <c r="II5" s="383"/>
      <c r="IJ5" s="383"/>
      <c r="IK5" s="383"/>
      <c r="IL5" s="383"/>
      <c r="IM5" s="383"/>
      <c r="IN5" s="383"/>
      <c r="IO5" s="383"/>
    </row>
    <row r="6" spans="1:249" ht="71.25" x14ac:dyDescent="0.25">
      <c r="A6" s="334">
        <v>46069</v>
      </c>
      <c r="B6" s="302" t="s">
        <v>54</v>
      </c>
      <c r="C6" s="315" t="s">
        <v>958</v>
      </c>
      <c r="D6" s="302" t="s">
        <v>962</v>
      </c>
      <c r="E6" s="302" t="s">
        <v>963</v>
      </c>
      <c r="F6" s="302"/>
      <c r="G6" s="302" t="s">
        <v>53</v>
      </c>
      <c r="H6" s="387"/>
      <c r="I6" s="302"/>
      <c r="J6" s="302" t="s">
        <v>964</v>
      </c>
      <c r="K6" s="302" t="s">
        <v>239</v>
      </c>
    </row>
    <row r="7" spans="1:249" s="316" customFormat="1" ht="57" x14ac:dyDescent="0.25">
      <c r="A7" s="312">
        <v>46069</v>
      </c>
      <c r="B7" s="303" t="s">
        <v>54</v>
      </c>
      <c r="C7" s="313" t="s">
        <v>958</v>
      </c>
      <c r="D7" s="302" t="s">
        <v>965</v>
      </c>
      <c r="E7" s="302" t="s">
        <v>966</v>
      </c>
      <c r="F7" s="303" t="s">
        <v>967</v>
      </c>
      <c r="G7" s="302" t="s">
        <v>572</v>
      </c>
      <c r="H7" s="387">
        <v>50</v>
      </c>
      <c r="I7" s="334">
        <v>46073</v>
      </c>
      <c r="J7" s="302" t="s">
        <v>968</v>
      </c>
      <c r="K7" s="302" t="s">
        <v>282</v>
      </c>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c r="BI7" s="383"/>
      <c r="BJ7" s="383"/>
      <c r="BK7" s="383"/>
      <c r="BL7" s="383"/>
      <c r="BM7" s="383"/>
      <c r="BN7" s="383"/>
      <c r="BO7" s="383"/>
      <c r="BP7" s="383"/>
      <c r="BQ7" s="383"/>
      <c r="BR7" s="383"/>
      <c r="BS7" s="383"/>
      <c r="BT7" s="383"/>
      <c r="BU7" s="383"/>
      <c r="BV7" s="383"/>
      <c r="BW7" s="383"/>
      <c r="BX7" s="383"/>
      <c r="BY7" s="383"/>
      <c r="BZ7" s="383"/>
      <c r="CA7" s="383"/>
      <c r="CB7" s="383"/>
      <c r="CC7" s="383"/>
      <c r="CD7" s="383"/>
      <c r="CE7" s="383"/>
      <c r="CF7" s="383"/>
      <c r="CG7" s="383"/>
      <c r="CH7" s="383"/>
      <c r="CI7" s="383"/>
      <c r="CJ7" s="383"/>
      <c r="CK7" s="383"/>
      <c r="CL7" s="383"/>
      <c r="CM7" s="383"/>
      <c r="CN7" s="383"/>
      <c r="CO7" s="383"/>
      <c r="CP7" s="383"/>
      <c r="CQ7" s="383"/>
      <c r="CR7" s="383"/>
      <c r="CS7" s="383"/>
      <c r="CT7" s="383"/>
      <c r="CU7" s="383"/>
      <c r="CV7" s="383"/>
      <c r="CW7" s="383"/>
      <c r="CX7" s="383"/>
      <c r="CY7" s="383"/>
      <c r="CZ7" s="383"/>
      <c r="DA7" s="383"/>
      <c r="DB7" s="383"/>
      <c r="DC7" s="383"/>
      <c r="DD7" s="383"/>
      <c r="DE7" s="383"/>
      <c r="DF7" s="383"/>
      <c r="DG7" s="383"/>
      <c r="DH7" s="383"/>
      <c r="DI7" s="383"/>
      <c r="DJ7" s="383"/>
      <c r="DK7" s="383"/>
      <c r="DL7" s="383"/>
      <c r="DM7" s="383"/>
      <c r="DN7" s="383"/>
      <c r="DO7" s="383"/>
      <c r="DP7" s="383"/>
      <c r="DQ7" s="383"/>
      <c r="DR7" s="383"/>
      <c r="DS7" s="383"/>
      <c r="DT7" s="383"/>
      <c r="DU7" s="383"/>
      <c r="DV7" s="383"/>
      <c r="DW7" s="383"/>
      <c r="DX7" s="383"/>
      <c r="DY7" s="383"/>
      <c r="DZ7" s="383"/>
      <c r="EA7" s="383"/>
      <c r="EB7" s="383"/>
      <c r="EC7" s="383"/>
      <c r="ED7" s="383"/>
      <c r="EE7" s="383"/>
      <c r="EF7" s="383"/>
      <c r="EG7" s="383"/>
      <c r="EH7" s="383"/>
      <c r="EI7" s="383"/>
      <c r="EJ7" s="383"/>
      <c r="EK7" s="383"/>
      <c r="EL7" s="383"/>
      <c r="EM7" s="383"/>
      <c r="EN7" s="383"/>
      <c r="EO7" s="383"/>
      <c r="EP7" s="383"/>
      <c r="EQ7" s="383"/>
      <c r="ER7" s="383"/>
      <c r="ES7" s="383"/>
      <c r="ET7" s="383"/>
      <c r="EU7" s="383"/>
      <c r="EV7" s="383"/>
      <c r="EW7" s="383"/>
      <c r="EX7" s="383"/>
      <c r="EY7" s="383"/>
      <c r="EZ7" s="383"/>
      <c r="FA7" s="383"/>
      <c r="FB7" s="383"/>
      <c r="FC7" s="383"/>
      <c r="FD7" s="383"/>
      <c r="FE7" s="383"/>
      <c r="FF7" s="383"/>
      <c r="FG7" s="383"/>
      <c r="FH7" s="383"/>
      <c r="FI7" s="383"/>
      <c r="FJ7" s="383"/>
      <c r="FK7" s="383"/>
      <c r="FL7" s="383"/>
      <c r="FM7" s="383"/>
      <c r="FN7" s="383"/>
      <c r="FO7" s="383"/>
      <c r="FP7" s="383"/>
      <c r="FQ7" s="383"/>
      <c r="FR7" s="383"/>
      <c r="FS7" s="383"/>
      <c r="FT7" s="383"/>
      <c r="FU7" s="383"/>
      <c r="FV7" s="383"/>
      <c r="FW7" s="383"/>
      <c r="FX7" s="383"/>
      <c r="FY7" s="383"/>
      <c r="FZ7" s="383"/>
      <c r="GA7" s="383"/>
      <c r="GB7" s="383"/>
      <c r="GC7" s="383"/>
      <c r="GD7" s="383"/>
      <c r="GE7" s="383"/>
      <c r="GF7" s="383"/>
      <c r="GG7" s="383"/>
      <c r="GH7" s="383"/>
      <c r="GI7" s="383"/>
      <c r="GJ7" s="383"/>
      <c r="GK7" s="383"/>
      <c r="GL7" s="383"/>
      <c r="GM7" s="383"/>
      <c r="GN7" s="383"/>
      <c r="GO7" s="383"/>
      <c r="GP7" s="383"/>
      <c r="GQ7" s="383"/>
      <c r="GR7" s="383"/>
      <c r="GS7" s="383"/>
      <c r="GT7" s="383"/>
      <c r="GU7" s="383"/>
      <c r="GV7" s="383"/>
      <c r="GW7" s="383"/>
      <c r="GX7" s="383"/>
      <c r="GY7" s="383"/>
      <c r="GZ7" s="383"/>
      <c r="HA7" s="383"/>
      <c r="HB7" s="383"/>
      <c r="HC7" s="383"/>
      <c r="HD7" s="383"/>
      <c r="HE7" s="383"/>
      <c r="HF7" s="383"/>
      <c r="HG7" s="383"/>
      <c r="HH7" s="383"/>
      <c r="HI7" s="383"/>
      <c r="HJ7" s="383"/>
      <c r="HK7" s="383"/>
      <c r="HL7" s="383"/>
      <c r="HM7" s="383"/>
      <c r="HN7" s="383"/>
      <c r="HO7" s="383"/>
      <c r="HP7" s="383"/>
      <c r="HQ7" s="383"/>
      <c r="HR7" s="383"/>
      <c r="HS7" s="383"/>
      <c r="HT7" s="383"/>
      <c r="HU7" s="383"/>
      <c r="HV7" s="383"/>
      <c r="HW7" s="383"/>
      <c r="HX7" s="383"/>
      <c r="HY7" s="383"/>
      <c r="HZ7" s="383"/>
      <c r="IA7" s="383"/>
      <c r="IB7" s="383"/>
      <c r="IC7" s="383"/>
      <c r="ID7" s="383"/>
      <c r="IE7" s="383"/>
      <c r="IF7" s="383"/>
      <c r="IG7" s="383"/>
      <c r="IH7" s="383"/>
      <c r="II7" s="383"/>
      <c r="IJ7" s="383"/>
      <c r="IK7" s="383"/>
      <c r="IL7" s="383"/>
      <c r="IM7" s="383"/>
      <c r="IN7" s="383"/>
      <c r="IO7" s="383"/>
    </row>
    <row r="8" spans="1:249" ht="228" x14ac:dyDescent="0.25">
      <c r="A8" s="334">
        <v>46079</v>
      </c>
      <c r="B8" s="302" t="s">
        <v>269</v>
      </c>
      <c r="C8" s="315" t="s">
        <v>951</v>
      </c>
      <c r="D8" s="302" t="s">
        <v>969</v>
      </c>
      <c r="E8" s="302" t="s">
        <v>970</v>
      </c>
      <c r="F8" s="302" t="s">
        <v>971</v>
      </c>
      <c r="G8" s="302" t="s">
        <v>563</v>
      </c>
      <c r="H8" s="387">
        <v>600</v>
      </c>
      <c r="I8" s="334">
        <v>46079</v>
      </c>
      <c r="J8" s="302" t="s">
        <v>972</v>
      </c>
      <c r="K8" s="302" t="s">
        <v>350</v>
      </c>
    </row>
    <row r="9" spans="1:249" s="316" customFormat="1" ht="57" x14ac:dyDescent="0.25">
      <c r="A9" s="312">
        <v>46105</v>
      </c>
      <c r="B9" s="303" t="s">
        <v>54</v>
      </c>
      <c r="C9" s="313" t="s">
        <v>951</v>
      </c>
      <c r="D9" s="302" t="s">
        <v>973</v>
      </c>
      <c r="E9" s="302" t="s">
        <v>970</v>
      </c>
      <c r="F9" s="303" t="s">
        <v>974</v>
      </c>
      <c r="G9" s="302" t="s">
        <v>715</v>
      </c>
      <c r="H9" s="387">
        <v>40</v>
      </c>
      <c r="I9" s="334">
        <v>46105</v>
      </c>
      <c r="J9" s="302" t="s">
        <v>430</v>
      </c>
      <c r="K9" s="302" t="s">
        <v>196</v>
      </c>
      <c r="L9" s="383"/>
      <c r="M9" s="383"/>
      <c r="N9" s="383"/>
      <c r="O9" s="383"/>
      <c r="P9" s="383"/>
      <c r="Q9" s="383"/>
      <c r="R9" s="383"/>
      <c r="S9" s="383"/>
      <c r="T9" s="383"/>
      <c r="U9" s="383"/>
      <c r="V9" s="383"/>
      <c r="W9" s="383"/>
      <c r="X9" s="383"/>
      <c r="Y9" s="383"/>
      <c r="Z9" s="383"/>
      <c r="AA9" s="383"/>
      <c r="AB9" s="383"/>
      <c r="AC9" s="383"/>
      <c r="AD9" s="383"/>
      <c r="AE9" s="383"/>
      <c r="AF9" s="383"/>
      <c r="AG9" s="383"/>
      <c r="AH9" s="383"/>
      <c r="AI9" s="383"/>
      <c r="AJ9" s="383"/>
      <c r="AK9" s="383"/>
      <c r="AL9" s="383"/>
      <c r="AM9" s="383"/>
      <c r="AN9" s="383"/>
      <c r="AO9" s="383"/>
      <c r="AP9" s="383"/>
      <c r="AQ9" s="383"/>
      <c r="AR9" s="383"/>
      <c r="AS9" s="383"/>
      <c r="AT9" s="383"/>
      <c r="AU9" s="383"/>
      <c r="AV9" s="383"/>
      <c r="AW9" s="383"/>
      <c r="AX9" s="383"/>
      <c r="AY9" s="383"/>
      <c r="AZ9" s="383"/>
      <c r="BA9" s="383"/>
      <c r="BB9" s="383"/>
      <c r="BC9" s="383"/>
      <c r="BD9" s="383"/>
      <c r="BE9" s="383"/>
      <c r="BF9" s="383"/>
      <c r="BG9" s="383"/>
      <c r="BH9" s="383"/>
      <c r="BI9" s="383"/>
      <c r="BJ9" s="383"/>
      <c r="BK9" s="383"/>
      <c r="BL9" s="383"/>
      <c r="BM9" s="383"/>
      <c r="BN9" s="383"/>
      <c r="BO9" s="383"/>
      <c r="BP9" s="383"/>
      <c r="BQ9" s="383"/>
      <c r="BR9" s="383"/>
      <c r="BS9" s="383"/>
      <c r="BT9" s="383"/>
      <c r="BU9" s="383"/>
      <c r="BV9" s="383"/>
      <c r="BW9" s="383"/>
      <c r="BX9" s="383"/>
      <c r="BY9" s="383"/>
      <c r="BZ9" s="383"/>
      <c r="CA9" s="383"/>
      <c r="CB9" s="383"/>
      <c r="CC9" s="383"/>
      <c r="CD9" s="383"/>
      <c r="CE9" s="383"/>
      <c r="CF9" s="383"/>
      <c r="CG9" s="383"/>
      <c r="CH9" s="383"/>
      <c r="CI9" s="383"/>
      <c r="CJ9" s="383"/>
      <c r="CK9" s="383"/>
      <c r="CL9" s="383"/>
      <c r="CM9" s="383"/>
      <c r="CN9" s="383"/>
      <c r="CO9" s="383"/>
      <c r="CP9" s="383"/>
      <c r="CQ9" s="383"/>
      <c r="CR9" s="383"/>
      <c r="CS9" s="383"/>
      <c r="CT9" s="383"/>
      <c r="CU9" s="383"/>
      <c r="CV9" s="383"/>
      <c r="CW9" s="383"/>
      <c r="CX9" s="383"/>
      <c r="CY9" s="383"/>
      <c r="CZ9" s="383"/>
      <c r="DA9" s="383"/>
      <c r="DB9" s="383"/>
      <c r="DC9" s="383"/>
      <c r="DD9" s="383"/>
      <c r="DE9" s="383"/>
      <c r="DF9" s="383"/>
      <c r="DG9" s="383"/>
      <c r="DH9" s="383"/>
      <c r="DI9" s="383"/>
      <c r="DJ9" s="383"/>
      <c r="DK9" s="383"/>
      <c r="DL9" s="383"/>
      <c r="DM9" s="383"/>
      <c r="DN9" s="383"/>
      <c r="DO9" s="383"/>
      <c r="DP9" s="383"/>
      <c r="DQ9" s="383"/>
      <c r="DR9" s="383"/>
      <c r="DS9" s="383"/>
      <c r="DT9" s="383"/>
      <c r="DU9" s="383"/>
      <c r="DV9" s="383"/>
      <c r="DW9" s="383"/>
      <c r="DX9" s="383"/>
      <c r="DY9" s="383"/>
      <c r="DZ9" s="383"/>
      <c r="EA9" s="383"/>
      <c r="EB9" s="383"/>
      <c r="EC9" s="383"/>
      <c r="ED9" s="383"/>
      <c r="EE9" s="383"/>
      <c r="EF9" s="383"/>
      <c r="EG9" s="383"/>
      <c r="EH9" s="383"/>
      <c r="EI9" s="383"/>
      <c r="EJ9" s="383"/>
      <c r="EK9" s="383"/>
      <c r="EL9" s="383"/>
      <c r="EM9" s="383"/>
      <c r="EN9" s="383"/>
      <c r="EO9" s="383"/>
      <c r="EP9" s="383"/>
      <c r="EQ9" s="383"/>
      <c r="ER9" s="383"/>
      <c r="ES9" s="383"/>
      <c r="ET9" s="383"/>
      <c r="EU9" s="383"/>
      <c r="EV9" s="383"/>
      <c r="EW9" s="383"/>
      <c r="EX9" s="383"/>
      <c r="EY9" s="383"/>
      <c r="EZ9" s="383"/>
      <c r="FA9" s="383"/>
      <c r="FB9" s="383"/>
      <c r="FC9" s="383"/>
      <c r="FD9" s="383"/>
      <c r="FE9" s="383"/>
      <c r="FF9" s="383"/>
      <c r="FG9" s="383"/>
      <c r="FH9" s="383"/>
      <c r="FI9" s="383"/>
      <c r="FJ9" s="383"/>
      <c r="FK9" s="383"/>
      <c r="FL9" s="383"/>
      <c r="FM9" s="383"/>
      <c r="FN9" s="383"/>
      <c r="FO9" s="383"/>
      <c r="FP9" s="383"/>
      <c r="FQ9" s="383"/>
      <c r="FR9" s="383"/>
      <c r="FS9" s="383"/>
      <c r="FT9" s="383"/>
      <c r="FU9" s="383"/>
      <c r="FV9" s="383"/>
      <c r="FW9" s="383"/>
      <c r="FX9" s="383"/>
      <c r="FY9" s="383"/>
      <c r="FZ9" s="383"/>
      <c r="GA9" s="383"/>
      <c r="GB9" s="383"/>
      <c r="GC9" s="383"/>
      <c r="GD9" s="383"/>
      <c r="GE9" s="383"/>
      <c r="GF9" s="383"/>
      <c r="GG9" s="383"/>
      <c r="GH9" s="383"/>
      <c r="GI9" s="383"/>
      <c r="GJ9" s="383"/>
      <c r="GK9" s="383"/>
      <c r="GL9" s="383"/>
      <c r="GM9" s="383"/>
      <c r="GN9" s="383"/>
      <c r="GO9" s="383"/>
      <c r="GP9" s="383"/>
      <c r="GQ9" s="383"/>
      <c r="GR9" s="383"/>
      <c r="GS9" s="383"/>
      <c r="GT9" s="383"/>
      <c r="GU9" s="383"/>
      <c r="GV9" s="383"/>
      <c r="GW9" s="383"/>
      <c r="GX9" s="383"/>
      <c r="GY9" s="383"/>
      <c r="GZ9" s="383"/>
      <c r="HA9" s="383"/>
      <c r="HB9" s="383"/>
      <c r="HC9" s="383"/>
      <c r="HD9" s="383"/>
      <c r="HE9" s="383"/>
      <c r="HF9" s="383"/>
      <c r="HG9" s="383"/>
      <c r="HH9" s="383"/>
      <c r="HI9" s="383"/>
      <c r="HJ9" s="383"/>
      <c r="HK9" s="383"/>
      <c r="HL9" s="383"/>
      <c r="HM9" s="383"/>
      <c r="HN9" s="383"/>
      <c r="HO9" s="383"/>
      <c r="HP9" s="383"/>
      <c r="HQ9" s="383"/>
      <c r="HR9" s="383"/>
      <c r="HS9" s="383"/>
      <c r="HT9" s="383"/>
      <c r="HU9" s="383"/>
      <c r="HV9" s="383"/>
      <c r="HW9" s="383"/>
      <c r="HX9" s="383"/>
      <c r="HY9" s="383"/>
      <c r="HZ9" s="383"/>
      <c r="IA9" s="383"/>
      <c r="IB9" s="383"/>
      <c r="IC9" s="383"/>
      <c r="ID9" s="383"/>
      <c r="IE9" s="383"/>
      <c r="IF9" s="383"/>
      <c r="IG9" s="383"/>
      <c r="IH9" s="383"/>
      <c r="II9" s="383"/>
      <c r="IJ9" s="383"/>
      <c r="IK9" s="383"/>
      <c r="IL9" s="383"/>
      <c r="IM9" s="383"/>
      <c r="IN9" s="383"/>
      <c r="IO9" s="383"/>
    </row>
    <row r="10" spans="1:249" s="316" customFormat="1" ht="71.25" x14ac:dyDescent="0.25">
      <c r="A10" s="312">
        <v>46112</v>
      </c>
      <c r="B10" s="303" t="s">
        <v>54</v>
      </c>
      <c r="C10" s="313" t="s">
        <v>951</v>
      </c>
      <c r="D10" s="302" t="s">
        <v>975</v>
      </c>
      <c r="E10" s="302" t="s">
        <v>970</v>
      </c>
      <c r="F10" s="303" t="s">
        <v>974</v>
      </c>
      <c r="G10" s="302" t="s">
        <v>572</v>
      </c>
      <c r="H10" s="387">
        <v>40</v>
      </c>
      <c r="I10" s="334">
        <v>46108</v>
      </c>
      <c r="J10" s="302" t="s">
        <v>976</v>
      </c>
      <c r="K10" s="302" t="s">
        <v>282</v>
      </c>
      <c r="L10" s="383"/>
      <c r="M10" s="383"/>
      <c r="N10" s="383"/>
      <c r="O10" s="383"/>
      <c r="P10" s="383"/>
      <c r="Q10" s="383"/>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3"/>
      <c r="BW10" s="383"/>
      <c r="BX10" s="383"/>
      <c r="BY10" s="383"/>
      <c r="BZ10" s="383"/>
      <c r="CA10" s="383"/>
      <c r="CB10" s="383"/>
      <c r="CC10" s="383"/>
      <c r="CD10" s="383"/>
      <c r="CE10" s="383"/>
      <c r="CF10" s="383"/>
      <c r="CG10" s="383"/>
      <c r="CH10" s="383"/>
      <c r="CI10" s="383"/>
      <c r="CJ10" s="383"/>
      <c r="CK10" s="383"/>
      <c r="CL10" s="383"/>
      <c r="CM10" s="383"/>
      <c r="CN10" s="383"/>
      <c r="CO10" s="383"/>
      <c r="CP10" s="383"/>
      <c r="CQ10" s="383"/>
      <c r="CR10" s="383"/>
      <c r="CS10" s="383"/>
      <c r="CT10" s="383"/>
      <c r="CU10" s="383"/>
      <c r="CV10" s="383"/>
      <c r="CW10" s="383"/>
      <c r="CX10" s="383"/>
      <c r="CY10" s="383"/>
      <c r="CZ10" s="383"/>
      <c r="DA10" s="383"/>
      <c r="DB10" s="383"/>
      <c r="DC10" s="383"/>
      <c r="DD10" s="383"/>
      <c r="DE10" s="383"/>
      <c r="DF10" s="383"/>
      <c r="DG10" s="383"/>
      <c r="DH10" s="383"/>
      <c r="DI10" s="383"/>
      <c r="DJ10" s="383"/>
      <c r="DK10" s="383"/>
      <c r="DL10" s="383"/>
      <c r="DM10" s="383"/>
      <c r="DN10" s="383"/>
      <c r="DO10" s="383"/>
      <c r="DP10" s="383"/>
      <c r="DQ10" s="383"/>
      <c r="DR10" s="383"/>
      <c r="DS10" s="383"/>
      <c r="DT10" s="383"/>
      <c r="DU10" s="383"/>
      <c r="DV10" s="383"/>
      <c r="DW10" s="383"/>
      <c r="DX10" s="383"/>
      <c r="DY10" s="383"/>
      <c r="DZ10" s="383"/>
      <c r="EA10" s="383"/>
      <c r="EB10" s="383"/>
      <c r="EC10" s="383"/>
      <c r="ED10" s="383"/>
      <c r="EE10" s="383"/>
      <c r="EF10" s="383"/>
      <c r="EG10" s="383"/>
      <c r="EH10" s="383"/>
      <c r="EI10" s="383"/>
      <c r="EJ10" s="383"/>
      <c r="EK10" s="383"/>
      <c r="EL10" s="383"/>
      <c r="EM10" s="383"/>
      <c r="EN10" s="383"/>
      <c r="EO10" s="383"/>
      <c r="EP10" s="383"/>
      <c r="EQ10" s="383"/>
      <c r="ER10" s="383"/>
      <c r="ES10" s="383"/>
      <c r="ET10" s="383"/>
      <c r="EU10" s="383"/>
      <c r="EV10" s="383"/>
      <c r="EW10" s="383"/>
      <c r="EX10" s="383"/>
      <c r="EY10" s="383"/>
      <c r="EZ10" s="383"/>
      <c r="FA10" s="383"/>
      <c r="FB10" s="383"/>
      <c r="FC10" s="383"/>
      <c r="FD10" s="383"/>
      <c r="FE10" s="383"/>
      <c r="FF10" s="383"/>
      <c r="FG10" s="383"/>
      <c r="FH10" s="383"/>
      <c r="FI10" s="383"/>
      <c r="FJ10" s="383"/>
      <c r="FK10" s="383"/>
      <c r="FL10" s="383"/>
      <c r="FM10" s="383"/>
      <c r="FN10" s="383"/>
      <c r="FO10" s="383"/>
      <c r="FP10" s="383"/>
      <c r="FQ10" s="383"/>
      <c r="FR10" s="383"/>
      <c r="FS10" s="383"/>
      <c r="FT10" s="383"/>
      <c r="FU10" s="383"/>
      <c r="FV10" s="383"/>
      <c r="FW10" s="383"/>
      <c r="FX10" s="383"/>
      <c r="FY10" s="383"/>
      <c r="FZ10" s="383"/>
      <c r="GA10" s="383"/>
      <c r="GB10" s="383"/>
      <c r="GC10" s="383"/>
      <c r="GD10" s="383"/>
      <c r="GE10" s="383"/>
      <c r="GF10" s="383"/>
      <c r="GG10" s="383"/>
      <c r="GH10" s="383"/>
      <c r="GI10" s="383"/>
      <c r="GJ10" s="383"/>
      <c r="GK10" s="383"/>
      <c r="GL10" s="383"/>
      <c r="GM10" s="383"/>
      <c r="GN10" s="383"/>
      <c r="GO10" s="383"/>
      <c r="GP10" s="383"/>
      <c r="GQ10" s="383"/>
      <c r="GR10" s="383"/>
      <c r="GS10" s="383"/>
      <c r="GT10" s="383"/>
      <c r="GU10" s="383"/>
      <c r="GV10" s="383"/>
      <c r="GW10" s="383"/>
      <c r="GX10" s="383"/>
      <c r="GY10" s="383"/>
      <c r="GZ10" s="383"/>
      <c r="HA10" s="383"/>
      <c r="HB10" s="383"/>
      <c r="HC10" s="383"/>
      <c r="HD10" s="383"/>
      <c r="HE10" s="383"/>
      <c r="HF10" s="383"/>
      <c r="HG10" s="383"/>
      <c r="HH10" s="383"/>
      <c r="HI10" s="383"/>
      <c r="HJ10" s="383"/>
      <c r="HK10" s="383"/>
      <c r="HL10" s="383"/>
      <c r="HM10" s="383"/>
      <c r="HN10" s="383"/>
      <c r="HO10" s="383"/>
      <c r="HP10" s="383"/>
      <c r="HQ10" s="383"/>
      <c r="HR10" s="383"/>
      <c r="HS10" s="383"/>
      <c r="HT10" s="383"/>
      <c r="HU10" s="383"/>
      <c r="HV10" s="383"/>
      <c r="HW10" s="383"/>
      <c r="HX10" s="383"/>
      <c r="HY10" s="383"/>
      <c r="HZ10" s="383"/>
      <c r="IA10" s="383"/>
      <c r="IB10" s="383"/>
      <c r="IC10" s="383"/>
      <c r="ID10" s="383"/>
      <c r="IE10" s="383"/>
      <c r="IF10" s="383"/>
      <c r="IG10" s="383"/>
      <c r="IH10" s="383"/>
      <c r="II10" s="383"/>
      <c r="IJ10" s="383"/>
      <c r="IK10" s="383"/>
      <c r="IL10" s="383"/>
      <c r="IM10" s="383"/>
      <c r="IN10" s="383"/>
      <c r="IO10" s="383"/>
    </row>
    <row r="11" spans="1:249" ht="57" x14ac:dyDescent="0.25">
      <c r="A11" s="312">
        <v>46090</v>
      </c>
      <c r="B11" s="303" t="s">
        <v>109</v>
      </c>
      <c r="C11" s="315" t="s">
        <v>951</v>
      </c>
      <c r="D11" s="302" t="s">
        <v>977</v>
      </c>
      <c r="E11" s="302" t="s">
        <v>970</v>
      </c>
      <c r="F11" s="303" t="s">
        <v>974</v>
      </c>
      <c r="G11" s="302" t="s">
        <v>108</v>
      </c>
      <c r="H11" s="387">
        <v>40</v>
      </c>
      <c r="I11" s="334">
        <v>46091</v>
      </c>
      <c r="J11" s="302" t="s">
        <v>978</v>
      </c>
      <c r="K11" s="302" t="s">
        <v>393</v>
      </c>
    </row>
    <row r="12" spans="1:249" ht="85.5" x14ac:dyDescent="0.25">
      <c r="A12" s="312">
        <v>46147</v>
      </c>
      <c r="B12" s="303" t="s">
        <v>36</v>
      </c>
      <c r="C12" s="315" t="s">
        <v>958</v>
      </c>
      <c r="D12" s="302" t="s">
        <v>2405</v>
      </c>
      <c r="E12" s="302"/>
      <c r="F12" s="302" t="s">
        <v>2408</v>
      </c>
      <c r="G12" s="302" t="s">
        <v>2406</v>
      </c>
      <c r="H12" s="387">
        <v>0</v>
      </c>
      <c r="I12" s="334">
        <v>46149</v>
      </c>
      <c r="J12" s="302" t="s">
        <v>2407</v>
      </c>
      <c r="K12" s="302" t="s">
        <v>747</v>
      </c>
    </row>
    <row r="13" spans="1:249" x14ac:dyDescent="0.25">
      <c r="A13" s="302"/>
      <c r="B13" s="303"/>
      <c r="C13" s="315"/>
      <c r="D13" s="302"/>
      <c r="E13" s="302"/>
      <c r="F13" s="302"/>
      <c r="G13" s="302"/>
      <c r="H13" s="387"/>
      <c r="I13" s="302"/>
      <c r="J13" s="302"/>
      <c r="K13" s="302"/>
    </row>
    <row r="14" spans="1:249" x14ac:dyDescent="0.25">
      <c r="A14" s="302"/>
      <c r="B14" s="302"/>
      <c r="C14" s="315"/>
      <c r="D14" s="302"/>
      <c r="E14" s="302"/>
      <c r="F14" s="302"/>
      <c r="G14" s="302"/>
      <c r="H14" s="387"/>
      <c r="I14" s="302"/>
      <c r="J14" s="302"/>
      <c r="K14" s="302"/>
    </row>
    <row r="15" spans="1:249" x14ac:dyDescent="0.25">
      <c r="A15" s="302"/>
      <c r="B15" s="302"/>
      <c r="C15" s="315"/>
      <c r="D15" s="302"/>
      <c r="E15" s="302"/>
      <c r="F15" s="302"/>
      <c r="G15" s="302"/>
      <c r="H15" s="302"/>
      <c r="I15" s="302"/>
      <c r="J15" s="302"/>
      <c r="K15" s="302"/>
    </row>
    <row r="16" spans="1:249" x14ac:dyDescent="0.25">
      <c r="A16" s="302"/>
      <c r="B16" s="302"/>
      <c r="C16" s="315"/>
      <c r="D16" s="302"/>
      <c r="E16" s="302"/>
      <c r="F16" s="302"/>
      <c r="G16" s="302"/>
      <c r="H16" s="302"/>
      <c r="I16" s="302"/>
      <c r="J16" s="302"/>
      <c r="K16" s="302"/>
    </row>
    <row r="17" spans="1:249" x14ac:dyDescent="0.25">
      <c r="A17" s="302"/>
      <c r="B17" s="302"/>
      <c r="C17" s="315"/>
      <c r="D17" s="303"/>
      <c r="E17" s="303"/>
      <c r="F17" s="302"/>
      <c r="G17" s="303"/>
      <c r="H17" s="303"/>
      <c r="I17" s="303"/>
      <c r="J17" s="303"/>
      <c r="K17" s="303"/>
    </row>
    <row r="18" spans="1:249" x14ac:dyDescent="0.25">
      <c r="A18" s="302"/>
      <c r="B18" s="302"/>
      <c r="C18" s="315"/>
      <c r="D18" s="302"/>
      <c r="E18" s="302"/>
      <c r="F18" s="302"/>
      <c r="G18" s="302"/>
      <c r="H18" s="302"/>
      <c r="I18" s="302"/>
      <c r="J18" s="302"/>
      <c r="K18" s="302"/>
    </row>
    <row r="19" spans="1:249" x14ac:dyDescent="0.25">
      <c r="A19" s="302"/>
      <c r="B19" s="302"/>
      <c r="C19" s="315"/>
      <c r="D19" s="302"/>
      <c r="E19" s="302"/>
      <c r="F19" s="302"/>
      <c r="G19" s="302"/>
      <c r="H19" s="302"/>
      <c r="I19" s="302"/>
      <c r="J19" s="302"/>
      <c r="K19" s="302"/>
    </row>
    <row r="20" spans="1:249" s="316" customFormat="1" x14ac:dyDescent="0.25">
      <c r="A20" s="302"/>
      <c r="B20" s="302"/>
      <c r="C20" s="315"/>
      <c r="D20" s="302"/>
      <c r="E20" s="302"/>
      <c r="F20" s="302"/>
      <c r="G20" s="302"/>
      <c r="H20" s="302"/>
      <c r="I20" s="302"/>
      <c r="J20" s="302"/>
      <c r="K20" s="302"/>
      <c r="L20" s="383"/>
      <c r="M20" s="383"/>
      <c r="N20" s="383"/>
      <c r="O20" s="383"/>
      <c r="P20" s="383"/>
      <c r="Q20" s="383"/>
      <c r="R20" s="383"/>
      <c r="S20" s="383"/>
      <c r="T20" s="383"/>
      <c r="U20" s="383"/>
      <c r="V20" s="383"/>
      <c r="W20" s="383"/>
      <c r="X20" s="383"/>
      <c r="Y20" s="383"/>
      <c r="Z20" s="383"/>
      <c r="AA20" s="383"/>
      <c r="AB20" s="383"/>
      <c r="AC20" s="383"/>
      <c r="AD20" s="383"/>
      <c r="AE20" s="383"/>
      <c r="AF20" s="383"/>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3"/>
      <c r="BK20" s="383"/>
      <c r="BL20" s="383"/>
      <c r="BM20" s="383"/>
      <c r="BN20" s="383"/>
      <c r="BO20" s="383"/>
      <c r="BP20" s="383"/>
      <c r="BQ20" s="383"/>
      <c r="BR20" s="383"/>
      <c r="BS20" s="383"/>
      <c r="BT20" s="383"/>
      <c r="BU20" s="383"/>
      <c r="BV20" s="383"/>
      <c r="BW20" s="383"/>
      <c r="BX20" s="383"/>
      <c r="BY20" s="383"/>
      <c r="BZ20" s="383"/>
      <c r="CA20" s="383"/>
      <c r="CB20" s="383"/>
      <c r="CC20" s="383"/>
      <c r="CD20" s="383"/>
      <c r="CE20" s="383"/>
      <c r="CF20" s="383"/>
      <c r="CG20" s="383"/>
      <c r="CH20" s="383"/>
      <c r="CI20" s="383"/>
      <c r="CJ20" s="383"/>
      <c r="CK20" s="383"/>
      <c r="CL20" s="383"/>
      <c r="CM20" s="383"/>
      <c r="CN20" s="383"/>
      <c r="CO20" s="383"/>
      <c r="CP20" s="383"/>
      <c r="CQ20" s="383"/>
      <c r="CR20" s="383"/>
      <c r="CS20" s="383"/>
      <c r="CT20" s="383"/>
      <c r="CU20" s="383"/>
      <c r="CV20" s="383"/>
      <c r="CW20" s="383"/>
      <c r="CX20" s="383"/>
      <c r="CY20" s="383"/>
      <c r="CZ20" s="383"/>
      <c r="DA20" s="383"/>
      <c r="DB20" s="383"/>
      <c r="DC20" s="383"/>
      <c r="DD20" s="383"/>
      <c r="DE20" s="383"/>
      <c r="DF20" s="383"/>
      <c r="DG20" s="383"/>
      <c r="DH20" s="383"/>
      <c r="DI20" s="383"/>
      <c r="DJ20" s="383"/>
      <c r="DK20" s="383"/>
      <c r="DL20" s="383"/>
      <c r="DM20" s="383"/>
      <c r="DN20" s="383"/>
      <c r="DO20" s="383"/>
      <c r="DP20" s="383"/>
      <c r="DQ20" s="383"/>
      <c r="DR20" s="383"/>
      <c r="DS20" s="383"/>
      <c r="DT20" s="383"/>
      <c r="DU20" s="383"/>
      <c r="DV20" s="383"/>
      <c r="DW20" s="383"/>
      <c r="DX20" s="383"/>
      <c r="DY20" s="383"/>
      <c r="DZ20" s="383"/>
      <c r="EA20" s="383"/>
      <c r="EB20" s="383"/>
      <c r="EC20" s="383"/>
      <c r="ED20" s="383"/>
      <c r="EE20" s="383"/>
      <c r="EF20" s="383"/>
      <c r="EG20" s="383"/>
      <c r="EH20" s="383"/>
      <c r="EI20" s="383"/>
      <c r="EJ20" s="383"/>
      <c r="EK20" s="383"/>
      <c r="EL20" s="383"/>
      <c r="EM20" s="383"/>
      <c r="EN20" s="383"/>
      <c r="EO20" s="383"/>
      <c r="EP20" s="383"/>
      <c r="EQ20" s="383"/>
      <c r="ER20" s="383"/>
      <c r="ES20" s="383"/>
      <c r="ET20" s="383"/>
      <c r="EU20" s="383"/>
      <c r="EV20" s="383"/>
      <c r="EW20" s="383"/>
      <c r="EX20" s="383"/>
      <c r="EY20" s="383"/>
      <c r="EZ20" s="383"/>
      <c r="FA20" s="383"/>
      <c r="FB20" s="383"/>
      <c r="FC20" s="383"/>
      <c r="FD20" s="383"/>
      <c r="FE20" s="383"/>
      <c r="FF20" s="383"/>
      <c r="FG20" s="383"/>
      <c r="FH20" s="383"/>
      <c r="FI20" s="383"/>
      <c r="FJ20" s="383"/>
      <c r="FK20" s="383"/>
      <c r="FL20" s="383"/>
      <c r="FM20" s="383"/>
      <c r="FN20" s="383"/>
      <c r="FO20" s="383"/>
      <c r="FP20" s="383"/>
      <c r="FQ20" s="383"/>
      <c r="FR20" s="383"/>
      <c r="FS20" s="383"/>
      <c r="FT20" s="383"/>
      <c r="FU20" s="383"/>
      <c r="FV20" s="383"/>
      <c r="FW20" s="383"/>
      <c r="FX20" s="383"/>
      <c r="FY20" s="383"/>
      <c r="FZ20" s="383"/>
      <c r="GA20" s="383"/>
      <c r="GB20" s="383"/>
      <c r="GC20" s="383"/>
      <c r="GD20" s="383"/>
      <c r="GE20" s="383"/>
      <c r="GF20" s="383"/>
      <c r="GG20" s="383"/>
      <c r="GH20" s="383"/>
      <c r="GI20" s="383"/>
      <c r="GJ20" s="383"/>
      <c r="GK20" s="383"/>
      <c r="GL20" s="383"/>
      <c r="GM20" s="383"/>
      <c r="GN20" s="383"/>
      <c r="GO20" s="383"/>
      <c r="GP20" s="383"/>
      <c r="GQ20" s="383"/>
      <c r="GR20" s="383"/>
      <c r="GS20" s="383"/>
      <c r="GT20" s="383"/>
      <c r="GU20" s="383"/>
      <c r="GV20" s="383"/>
      <c r="GW20" s="383"/>
      <c r="GX20" s="383"/>
      <c r="GY20" s="383"/>
      <c r="GZ20" s="383"/>
      <c r="HA20" s="383"/>
      <c r="HB20" s="383"/>
      <c r="HC20" s="383"/>
      <c r="HD20" s="383"/>
      <c r="HE20" s="383"/>
      <c r="HF20" s="383"/>
      <c r="HG20" s="383"/>
      <c r="HH20" s="383"/>
      <c r="HI20" s="383"/>
      <c r="HJ20" s="383"/>
      <c r="HK20" s="383"/>
      <c r="HL20" s="383"/>
      <c r="HM20" s="383"/>
      <c r="HN20" s="383"/>
      <c r="HO20" s="383"/>
      <c r="HP20" s="383"/>
      <c r="HQ20" s="383"/>
      <c r="HR20" s="383"/>
      <c r="HS20" s="383"/>
      <c r="HT20" s="383"/>
      <c r="HU20" s="383"/>
      <c r="HV20" s="383"/>
      <c r="HW20" s="383"/>
      <c r="HX20" s="383"/>
      <c r="HY20" s="383"/>
      <c r="HZ20" s="383"/>
      <c r="IA20" s="383"/>
      <c r="IB20" s="383"/>
      <c r="IC20" s="383"/>
      <c r="ID20" s="383"/>
      <c r="IE20" s="383"/>
      <c r="IF20" s="383"/>
      <c r="IG20" s="383"/>
      <c r="IH20" s="383"/>
      <c r="II20" s="383"/>
      <c r="IJ20" s="383"/>
      <c r="IK20" s="383"/>
      <c r="IL20" s="383"/>
      <c r="IM20" s="383"/>
      <c r="IN20" s="383"/>
      <c r="IO20" s="383"/>
    </row>
    <row r="21" spans="1:249" s="316" customFormat="1" x14ac:dyDescent="0.25">
      <c r="A21" s="303"/>
      <c r="B21" s="303"/>
      <c r="C21" s="315"/>
      <c r="D21" s="302"/>
      <c r="E21" s="302"/>
      <c r="F21" s="302"/>
      <c r="G21" s="302"/>
      <c r="H21" s="302"/>
      <c r="I21" s="302"/>
      <c r="J21" s="302"/>
      <c r="K21" s="302"/>
      <c r="L21" s="383"/>
      <c r="M21" s="383"/>
      <c r="N21" s="383"/>
      <c r="O21" s="383"/>
      <c r="P21" s="383"/>
      <c r="Q21" s="383"/>
      <c r="R21" s="383"/>
      <c r="S21" s="383"/>
      <c r="T21" s="383"/>
      <c r="U21" s="383"/>
      <c r="V21" s="383"/>
      <c r="W21" s="383"/>
      <c r="X21" s="383"/>
      <c r="Y21" s="383"/>
      <c r="Z21" s="383"/>
      <c r="AA21" s="383"/>
      <c r="AB21" s="383"/>
      <c r="AC21" s="383"/>
      <c r="AD21" s="383"/>
      <c r="AE21" s="383"/>
      <c r="AF21" s="383"/>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3"/>
      <c r="BK21" s="383"/>
      <c r="BL21" s="383"/>
      <c r="BM21" s="383"/>
      <c r="BN21" s="383"/>
      <c r="BO21" s="383"/>
      <c r="BP21" s="383"/>
      <c r="BQ21" s="383"/>
      <c r="BR21" s="383"/>
      <c r="BS21" s="383"/>
      <c r="BT21" s="383"/>
      <c r="BU21" s="383"/>
      <c r="BV21" s="383"/>
      <c r="BW21" s="383"/>
      <c r="BX21" s="383"/>
      <c r="BY21" s="383"/>
      <c r="BZ21" s="383"/>
      <c r="CA21" s="383"/>
      <c r="CB21" s="383"/>
      <c r="CC21" s="383"/>
      <c r="CD21" s="383"/>
      <c r="CE21" s="383"/>
      <c r="CF21" s="383"/>
      <c r="CG21" s="383"/>
      <c r="CH21" s="383"/>
      <c r="CI21" s="383"/>
      <c r="CJ21" s="383"/>
      <c r="CK21" s="383"/>
      <c r="CL21" s="383"/>
      <c r="CM21" s="383"/>
      <c r="CN21" s="383"/>
      <c r="CO21" s="383"/>
      <c r="CP21" s="383"/>
      <c r="CQ21" s="383"/>
      <c r="CR21" s="383"/>
      <c r="CS21" s="383"/>
      <c r="CT21" s="383"/>
      <c r="CU21" s="383"/>
      <c r="CV21" s="383"/>
      <c r="CW21" s="383"/>
      <c r="CX21" s="383"/>
      <c r="CY21" s="383"/>
      <c r="CZ21" s="383"/>
      <c r="DA21" s="383"/>
      <c r="DB21" s="383"/>
      <c r="DC21" s="383"/>
      <c r="DD21" s="383"/>
      <c r="DE21" s="383"/>
      <c r="DF21" s="383"/>
      <c r="DG21" s="383"/>
      <c r="DH21" s="383"/>
      <c r="DI21" s="383"/>
      <c r="DJ21" s="383"/>
      <c r="DK21" s="383"/>
      <c r="DL21" s="383"/>
      <c r="DM21" s="383"/>
      <c r="DN21" s="383"/>
      <c r="DO21" s="383"/>
      <c r="DP21" s="383"/>
      <c r="DQ21" s="383"/>
      <c r="DR21" s="383"/>
      <c r="DS21" s="383"/>
      <c r="DT21" s="383"/>
      <c r="DU21" s="383"/>
      <c r="DV21" s="383"/>
      <c r="DW21" s="383"/>
      <c r="DX21" s="383"/>
      <c r="DY21" s="383"/>
      <c r="DZ21" s="383"/>
      <c r="EA21" s="383"/>
      <c r="EB21" s="383"/>
      <c r="EC21" s="383"/>
      <c r="ED21" s="383"/>
      <c r="EE21" s="383"/>
      <c r="EF21" s="383"/>
      <c r="EG21" s="383"/>
      <c r="EH21" s="383"/>
      <c r="EI21" s="383"/>
      <c r="EJ21" s="383"/>
      <c r="EK21" s="383"/>
      <c r="EL21" s="383"/>
      <c r="EM21" s="383"/>
      <c r="EN21" s="383"/>
      <c r="EO21" s="383"/>
      <c r="EP21" s="383"/>
      <c r="EQ21" s="383"/>
      <c r="ER21" s="383"/>
      <c r="ES21" s="383"/>
      <c r="ET21" s="383"/>
      <c r="EU21" s="383"/>
      <c r="EV21" s="383"/>
      <c r="EW21" s="383"/>
      <c r="EX21" s="383"/>
      <c r="EY21" s="383"/>
      <c r="EZ21" s="383"/>
      <c r="FA21" s="383"/>
      <c r="FB21" s="383"/>
      <c r="FC21" s="383"/>
      <c r="FD21" s="383"/>
      <c r="FE21" s="383"/>
      <c r="FF21" s="383"/>
      <c r="FG21" s="383"/>
      <c r="FH21" s="383"/>
      <c r="FI21" s="383"/>
      <c r="FJ21" s="383"/>
      <c r="FK21" s="383"/>
      <c r="FL21" s="383"/>
      <c r="FM21" s="383"/>
      <c r="FN21" s="383"/>
      <c r="FO21" s="383"/>
      <c r="FP21" s="383"/>
      <c r="FQ21" s="383"/>
      <c r="FR21" s="383"/>
      <c r="FS21" s="383"/>
      <c r="FT21" s="383"/>
      <c r="FU21" s="383"/>
      <c r="FV21" s="383"/>
      <c r="FW21" s="383"/>
      <c r="FX21" s="383"/>
      <c r="FY21" s="383"/>
      <c r="FZ21" s="383"/>
      <c r="GA21" s="383"/>
      <c r="GB21" s="383"/>
      <c r="GC21" s="383"/>
      <c r="GD21" s="383"/>
      <c r="GE21" s="383"/>
      <c r="GF21" s="383"/>
      <c r="GG21" s="383"/>
      <c r="GH21" s="383"/>
      <c r="GI21" s="383"/>
      <c r="GJ21" s="383"/>
      <c r="GK21" s="383"/>
      <c r="GL21" s="383"/>
      <c r="GM21" s="383"/>
      <c r="GN21" s="383"/>
      <c r="GO21" s="383"/>
      <c r="GP21" s="383"/>
      <c r="GQ21" s="383"/>
      <c r="GR21" s="383"/>
      <c r="GS21" s="383"/>
      <c r="GT21" s="383"/>
      <c r="GU21" s="383"/>
      <c r="GV21" s="383"/>
      <c r="GW21" s="383"/>
      <c r="GX21" s="383"/>
      <c r="GY21" s="383"/>
      <c r="GZ21" s="383"/>
      <c r="HA21" s="383"/>
      <c r="HB21" s="383"/>
      <c r="HC21" s="383"/>
      <c r="HD21" s="383"/>
      <c r="HE21" s="383"/>
      <c r="HF21" s="383"/>
      <c r="HG21" s="383"/>
      <c r="HH21" s="383"/>
      <c r="HI21" s="383"/>
      <c r="HJ21" s="383"/>
      <c r="HK21" s="383"/>
      <c r="HL21" s="383"/>
      <c r="HM21" s="383"/>
      <c r="HN21" s="383"/>
      <c r="HO21" s="383"/>
      <c r="HP21" s="383"/>
      <c r="HQ21" s="383"/>
      <c r="HR21" s="383"/>
      <c r="HS21" s="383"/>
      <c r="HT21" s="383"/>
      <c r="HU21" s="383"/>
      <c r="HV21" s="383"/>
      <c r="HW21" s="383"/>
      <c r="HX21" s="383"/>
      <c r="HY21" s="383"/>
      <c r="HZ21" s="383"/>
      <c r="IA21" s="383"/>
      <c r="IB21" s="383"/>
      <c r="IC21" s="383"/>
      <c r="ID21" s="383"/>
      <c r="IE21" s="383"/>
      <c r="IF21" s="383"/>
      <c r="IG21" s="383"/>
      <c r="IH21" s="383"/>
      <c r="II21" s="383"/>
      <c r="IJ21" s="383"/>
      <c r="IK21" s="383"/>
      <c r="IL21" s="383"/>
      <c r="IM21" s="383"/>
      <c r="IN21" s="383"/>
      <c r="IO21" s="383"/>
    </row>
    <row r="22" spans="1:249" s="316" customFormat="1" x14ac:dyDescent="0.25">
      <c r="A22" s="302"/>
      <c r="B22" s="302"/>
      <c r="C22" s="315"/>
      <c r="D22" s="302"/>
      <c r="E22" s="302"/>
      <c r="F22" s="302"/>
      <c r="G22" s="302"/>
      <c r="H22" s="302"/>
      <c r="I22" s="302"/>
      <c r="J22" s="302"/>
      <c r="K22" s="302"/>
      <c r="L22" s="383"/>
      <c r="M22" s="383"/>
      <c r="N22" s="383"/>
      <c r="O22" s="383"/>
      <c r="P22" s="383"/>
      <c r="Q22" s="383"/>
      <c r="R22" s="383"/>
      <c r="S22" s="383"/>
      <c r="T22" s="383"/>
      <c r="U22" s="383"/>
      <c r="V22" s="383"/>
      <c r="W22" s="383"/>
      <c r="X22" s="383"/>
      <c r="Y22" s="383"/>
      <c r="Z22" s="383"/>
      <c r="AA22" s="383"/>
      <c r="AB22" s="383"/>
      <c r="AC22" s="383"/>
      <c r="AD22" s="383"/>
      <c r="AE22" s="383"/>
      <c r="AF22" s="383"/>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3"/>
      <c r="BK22" s="383"/>
      <c r="BL22" s="383"/>
      <c r="BM22" s="383"/>
      <c r="BN22" s="383"/>
      <c r="BO22" s="383"/>
      <c r="BP22" s="383"/>
      <c r="BQ22" s="383"/>
      <c r="BR22" s="383"/>
      <c r="BS22" s="383"/>
      <c r="BT22" s="383"/>
      <c r="BU22" s="383"/>
      <c r="BV22" s="383"/>
      <c r="BW22" s="383"/>
      <c r="BX22" s="383"/>
      <c r="BY22" s="383"/>
      <c r="BZ22" s="383"/>
      <c r="CA22" s="383"/>
      <c r="CB22" s="383"/>
      <c r="CC22" s="383"/>
      <c r="CD22" s="383"/>
      <c r="CE22" s="383"/>
      <c r="CF22" s="383"/>
      <c r="CG22" s="383"/>
      <c r="CH22" s="383"/>
      <c r="CI22" s="383"/>
      <c r="CJ22" s="383"/>
      <c r="CK22" s="383"/>
      <c r="CL22" s="383"/>
      <c r="CM22" s="383"/>
      <c r="CN22" s="383"/>
      <c r="CO22" s="383"/>
      <c r="CP22" s="383"/>
      <c r="CQ22" s="383"/>
      <c r="CR22" s="383"/>
      <c r="CS22" s="383"/>
      <c r="CT22" s="383"/>
      <c r="CU22" s="383"/>
      <c r="CV22" s="383"/>
      <c r="CW22" s="383"/>
      <c r="CX22" s="383"/>
      <c r="CY22" s="383"/>
      <c r="CZ22" s="383"/>
      <c r="DA22" s="383"/>
      <c r="DB22" s="383"/>
      <c r="DC22" s="383"/>
      <c r="DD22" s="383"/>
      <c r="DE22" s="383"/>
      <c r="DF22" s="383"/>
      <c r="DG22" s="383"/>
      <c r="DH22" s="383"/>
      <c r="DI22" s="383"/>
      <c r="DJ22" s="383"/>
      <c r="DK22" s="383"/>
      <c r="DL22" s="383"/>
      <c r="DM22" s="383"/>
      <c r="DN22" s="383"/>
      <c r="DO22" s="383"/>
      <c r="DP22" s="383"/>
      <c r="DQ22" s="383"/>
      <c r="DR22" s="383"/>
      <c r="DS22" s="383"/>
      <c r="DT22" s="383"/>
      <c r="DU22" s="383"/>
      <c r="DV22" s="383"/>
      <c r="DW22" s="383"/>
      <c r="DX22" s="383"/>
      <c r="DY22" s="383"/>
      <c r="DZ22" s="383"/>
      <c r="EA22" s="383"/>
      <c r="EB22" s="383"/>
      <c r="EC22" s="383"/>
      <c r="ED22" s="383"/>
      <c r="EE22" s="383"/>
      <c r="EF22" s="383"/>
      <c r="EG22" s="383"/>
      <c r="EH22" s="383"/>
      <c r="EI22" s="383"/>
      <c r="EJ22" s="383"/>
      <c r="EK22" s="383"/>
      <c r="EL22" s="383"/>
      <c r="EM22" s="383"/>
      <c r="EN22" s="383"/>
      <c r="EO22" s="383"/>
      <c r="EP22" s="383"/>
      <c r="EQ22" s="383"/>
      <c r="ER22" s="383"/>
      <c r="ES22" s="383"/>
      <c r="ET22" s="383"/>
      <c r="EU22" s="383"/>
      <c r="EV22" s="383"/>
      <c r="EW22" s="383"/>
      <c r="EX22" s="383"/>
      <c r="EY22" s="383"/>
      <c r="EZ22" s="383"/>
      <c r="FA22" s="383"/>
      <c r="FB22" s="383"/>
      <c r="FC22" s="383"/>
      <c r="FD22" s="383"/>
      <c r="FE22" s="383"/>
      <c r="FF22" s="383"/>
      <c r="FG22" s="383"/>
      <c r="FH22" s="383"/>
      <c r="FI22" s="383"/>
      <c r="FJ22" s="383"/>
      <c r="FK22" s="383"/>
      <c r="FL22" s="383"/>
      <c r="FM22" s="383"/>
      <c r="FN22" s="383"/>
      <c r="FO22" s="383"/>
      <c r="FP22" s="383"/>
      <c r="FQ22" s="383"/>
      <c r="FR22" s="383"/>
      <c r="FS22" s="383"/>
      <c r="FT22" s="383"/>
      <c r="FU22" s="383"/>
      <c r="FV22" s="383"/>
      <c r="FW22" s="383"/>
      <c r="FX22" s="383"/>
      <c r="FY22" s="383"/>
      <c r="FZ22" s="383"/>
      <c r="GA22" s="383"/>
      <c r="GB22" s="383"/>
      <c r="GC22" s="383"/>
      <c r="GD22" s="383"/>
      <c r="GE22" s="383"/>
      <c r="GF22" s="383"/>
      <c r="GG22" s="383"/>
      <c r="GH22" s="383"/>
      <c r="GI22" s="383"/>
      <c r="GJ22" s="383"/>
      <c r="GK22" s="383"/>
      <c r="GL22" s="383"/>
      <c r="GM22" s="383"/>
      <c r="GN22" s="383"/>
      <c r="GO22" s="383"/>
      <c r="GP22" s="383"/>
      <c r="GQ22" s="383"/>
      <c r="GR22" s="383"/>
      <c r="GS22" s="383"/>
      <c r="GT22" s="383"/>
      <c r="GU22" s="383"/>
      <c r="GV22" s="383"/>
      <c r="GW22" s="383"/>
      <c r="GX22" s="383"/>
      <c r="GY22" s="383"/>
      <c r="GZ22" s="383"/>
      <c r="HA22" s="383"/>
      <c r="HB22" s="383"/>
      <c r="HC22" s="383"/>
      <c r="HD22" s="383"/>
      <c r="HE22" s="383"/>
      <c r="HF22" s="383"/>
      <c r="HG22" s="383"/>
      <c r="HH22" s="383"/>
      <c r="HI22" s="383"/>
      <c r="HJ22" s="383"/>
      <c r="HK22" s="383"/>
      <c r="HL22" s="383"/>
      <c r="HM22" s="383"/>
      <c r="HN22" s="383"/>
      <c r="HO22" s="383"/>
      <c r="HP22" s="383"/>
      <c r="HQ22" s="383"/>
      <c r="HR22" s="383"/>
      <c r="HS22" s="383"/>
      <c r="HT22" s="383"/>
      <c r="HU22" s="383"/>
      <c r="HV22" s="383"/>
      <c r="HW22" s="383"/>
      <c r="HX22" s="383"/>
      <c r="HY22" s="383"/>
      <c r="HZ22" s="383"/>
      <c r="IA22" s="383"/>
      <c r="IB22" s="383"/>
      <c r="IC22" s="383"/>
      <c r="ID22" s="383"/>
      <c r="IE22" s="383"/>
      <c r="IF22" s="383"/>
      <c r="IG22" s="383"/>
      <c r="IH22" s="383"/>
      <c r="II22" s="383"/>
      <c r="IJ22" s="383"/>
      <c r="IK22" s="383"/>
      <c r="IL22" s="383"/>
      <c r="IM22" s="383"/>
      <c r="IN22" s="383"/>
      <c r="IO22" s="383"/>
    </row>
    <row r="23" spans="1:249" x14ac:dyDescent="0.25">
      <c r="A23" s="302"/>
      <c r="B23" s="302"/>
      <c r="C23" s="315"/>
      <c r="D23" s="302"/>
      <c r="E23" s="302"/>
      <c r="F23" s="302"/>
      <c r="G23" s="302"/>
      <c r="H23" s="302"/>
      <c r="I23" s="302"/>
      <c r="J23" s="302"/>
      <c r="K23" s="302"/>
    </row>
    <row r="24" spans="1:249" x14ac:dyDescent="0.25">
      <c r="A24" s="302"/>
      <c r="B24" s="302"/>
      <c r="C24" s="315"/>
      <c r="D24" s="302"/>
      <c r="E24" s="302"/>
      <c r="F24" s="302"/>
      <c r="G24" s="302"/>
      <c r="H24" s="302"/>
      <c r="I24" s="302"/>
      <c r="J24" s="302"/>
      <c r="K24" s="302"/>
    </row>
    <row r="25" spans="1:249" x14ac:dyDescent="0.25">
      <c r="A25" s="303"/>
      <c r="B25" s="303"/>
      <c r="C25" s="313"/>
      <c r="D25" s="302"/>
      <c r="E25" s="302"/>
      <c r="F25" s="303"/>
      <c r="G25" s="302"/>
      <c r="H25" s="302"/>
      <c r="I25" s="302"/>
      <c r="J25" s="302"/>
      <c r="K25" s="302"/>
    </row>
    <row r="26" spans="1:249" x14ac:dyDescent="0.25">
      <c r="A26" s="302"/>
      <c r="B26" s="302"/>
      <c r="C26" s="315"/>
      <c r="D26" s="302"/>
      <c r="E26" s="302"/>
      <c r="F26" s="302"/>
      <c r="G26" s="302"/>
      <c r="H26" s="302"/>
      <c r="I26" s="302"/>
      <c r="J26" s="302"/>
      <c r="K26" s="302"/>
    </row>
    <row r="27" spans="1:249" x14ac:dyDescent="0.25">
      <c r="A27" s="303"/>
      <c r="B27" s="303"/>
      <c r="C27" s="315"/>
      <c r="D27" s="302"/>
      <c r="E27" s="302"/>
      <c r="F27" s="302"/>
      <c r="G27" s="302"/>
      <c r="H27" s="302"/>
      <c r="I27" s="302"/>
      <c r="J27" s="302"/>
      <c r="K27" s="302"/>
    </row>
    <row r="28" spans="1:249" x14ac:dyDescent="0.25">
      <c r="A28" s="303"/>
      <c r="B28" s="303"/>
      <c r="C28" s="315"/>
      <c r="D28" s="302"/>
      <c r="E28" s="302"/>
      <c r="F28" s="302"/>
      <c r="G28" s="302"/>
      <c r="H28" s="302"/>
      <c r="I28" s="302"/>
      <c r="J28" s="302"/>
      <c r="K28" s="302"/>
    </row>
    <row r="29" spans="1:249" x14ac:dyDescent="0.25">
      <c r="A29" s="317"/>
      <c r="B29" s="303"/>
      <c r="C29" s="318"/>
      <c r="D29" s="304"/>
      <c r="E29" s="304"/>
      <c r="F29" s="304"/>
      <c r="G29" s="304"/>
      <c r="H29" s="304"/>
      <c r="I29" s="304"/>
      <c r="J29" s="304"/>
      <c r="K29" s="304"/>
    </row>
    <row r="30" spans="1:249" x14ac:dyDescent="0.25">
      <c r="A30" s="317"/>
      <c r="B30" s="317"/>
      <c r="C30" s="318"/>
      <c r="D30" s="304"/>
      <c r="E30" s="304"/>
      <c r="F30" s="304"/>
      <c r="G30" s="304"/>
      <c r="H30" s="304"/>
      <c r="I30" s="304"/>
      <c r="J30" s="304"/>
      <c r="K30" s="304"/>
    </row>
    <row r="31" spans="1:249" x14ac:dyDescent="0.25">
      <c r="A31" s="317"/>
      <c r="B31" s="303"/>
      <c r="C31" s="318"/>
      <c r="D31" s="304"/>
      <c r="E31" s="304"/>
      <c r="F31" s="304"/>
      <c r="G31" s="304"/>
      <c r="H31" s="304"/>
      <c r="I31" s="304"/>
      <c r="J31" s="304"/>
      <c r="K31" s="304"/>
    </row>
    <row r="32" spans="1:249" x14ac:dyDescent="0.25">
      <c r="A32" s="317"/>
      <c r="B32" s="303"/>
      <c r="C32" s="318"/>
      <c r="D32" s="304"/>
      <c r="E32" s="304"/>
      <c r="F32" s="304"/>
      <c r="G32" s="304"/>
      <c r="H32" s="304"/>
      <c r="I32" s="304"/>
      <c r="J32" s="304"/>
      <c r="K32" s="304"/>
    </row>
    <row r="33" spans="1:11" x14ac:dyDescent="0.25">
      <c r="A33" s="317"/>
      <c r="B33" s="317"/>
      <c r="C33" s="318"/>
      <c r="D33" s="304"/>
      <c r="E33" s="304"/>
      <c r="F33" s="304"/>
      <c r="G33" s="304"/>
      <c r="H33" s="304"/>
      <c r="I33" s="304"/>
      <c r="J33" s="304"/>
      <c r="K33" s="304"/>
    </row>
    <row r="34" spans="1:11" x14ac:dyDescent="0.25">
      <c r="A34" s="317"/>
      <c r="B34" s="317"/>
      <c r="C34" s="318"/>
      <c r="D34" s="304"/>
      <c r="E34" s="304"/>
      <c r="F34" s="304"/>
      <c r="G34" s="304"/>
      <c r="H34" s="304"/>
      <c r="I34" s="304"/>
      <c r="J34" s="304"/>
      <c r="K34" s="304"/>
    </row>
    <row r="35" spans="1:11" x14ac:dyDescent="0.25">
      <c r="A35" s="317"/>
      <c r="B35" s="317"/>
      <c r="C35" s="318"/>
      <c r="D35" s="304"/>
      <c r="E35" s="304"/>
      <c r="F35" s="304"/>
      <c r="G35" s="304"/>
      <c r="H35" s="304"/>
      <c r="I35" s="304"/>
      <c r="J35" s="304"/>
      <c r="K35" s="304"/>
    </row>
    <row r="36" spans="1:11" x14ac:dyDescent="0.25">
      <c r="A36" s="317"/>
      <c r="B36" s="317"/>
      <c r="C36" s="318"/>
      <c r="D36" s="304"/>
      <c r="E36" s="304"/>
      <c r="F36" s="304"/>
      <c r="G36" s="304"/>
      <c r="H36" s="304"/>
      <c r="I36" s="304"/>
      <c r="J36" s="304"/>
      <c r="K36" s="304"/>
    </row>
    <row r="37" spans="1:11" x14ac:dyDescent="0.25">
      <c r="A37" s="317"/>
      <c r="B37" s="317"/>
      <c r="C37" s="318"/>
      <c r="D37" s="304"/>
      <c r="E37" s="304"/>
      <c r="F37" s="304"/>
      <c r="G37" s="304"/>
      <c r="H37" s="304"/>
      <c r="I37" s="304"/>
      <c r="J37" s="304"/>
      <c r="K37" s="304"/>
    </row>
    <row r="38" spans="1:11" x14ac:dyDescent="0.25">
      <c r="A38" s="317"/>
      <c r="B38" s="317"/>
      <c r="C38" s="318"/>
      <c r="D38" s="304"/>
      <c r="E38" s="304"/>
      <c r="F38" s="304"/>
      <c r="G38" s="304"/>
      <c r="H38" s="304"/>
      <c r="I38" s="304"/>
      <c r="J38" s="304"/>
      <c r="K38" s="304"/>
    </row>
    <row r="39" spans="1:11" x14ac:dyDescent="0.25">
      <c r="A39" s="317"/>
      <c r="B39" s="317"/>
      <c r="C39" s="318"/>
      <c r="D39" s="304"/>
      <c r="E39" s="304"/>
      <c r="F39" s="304"/>
      <c r="G39" s="304"/>
      <c r="H39" s="304"/>
      <c r="I39" s="304"/>
      <c r="J39" s="304"/>
      <c r="K39" s="304"/>
    </row>
    <row r="40" spans="1:11" x14ac:dyDescent="0.25">
      <c r="A40" s="317"/>
      <c r="B40" s="317"/>
      <c r="C40" s="318"/>
      <c r="D40" s="304"/>
      <c r="E40" s="304"/>
      <c r="F40" s="304"/>
      <c r="G40" s="304"/>
      <c r="H40" s="304"/>
      <c r="I40" s="304"/>
      <c r="J40" s="304"/>
      <c r="K40" s="304"/>
    </row>
    <row r="41" spans="1:11" x14ac:dyDescent="0.25">
      <c r="A41" s="317"/>
      <c r="B41" s="317"/>
      <c r="C41" s="318"/>
      <c r="D41" s="304"/>
      <c r="E41" s="304"/>
      <c r="F41" s="304"/>
      <c r="G41" s="304"/>
      <c r="H41" s="304"/>
      <c r="I41" s="304"/>
      <c r="J41" s="304"/>
      <c r="K41" s="304"/>
    </row>
    <row r="42" spans="1:11" x14ac:dyDescent="0.25">
      <c r="A42" s="317"/>
      <c r="B42" s="317"/>
      <c r="C42" s="318"/>
      <c r="D42" s="304"/>
      <c r="E42" s="304"/>
      <c r="F42" s="304"/>
      <c r="G42" s="304"/>
      <c r="H42" s="304"/>
      <c r="I42" s="304"/>
      <c r="J42" s="304"/>
      <c r="K42" s="304"/>
    </row>
    <row r="43" spans="1:11" x14ac:dyDescent="0.25">
      <c r="A43" s="317"/>
      <c r="B43" s="317"/>
      <c r="C43" s="318"/>
      <c r="D43" s="304"/>
      <c r="E43" s="304"/>
      <c r="F43" s="304"/>
      <c r="G43" s="304"/>
      <c r="H43" s="304"/>
      <c r="I43" s="304"/>
      <c r="J43" s="304"/>
      <c r="K43" s="304"/>
    </row>
    <row r="44" spans="1:11" x14ac:dyDescent="0.25">
      <c r="A44" s="317"/>
      <c r="B44" s="317"/>
      <c r="C44" s="318"/>
      <c r="D44" s="304"/>
      <c r="E44" s="304"/>
      <c r="F44" s="304"/>
      <c r="G44" s="304"/>
      <c r="H44" s="304"/>
      <c r="I44" s="304"/>
      <c r="J44" s="304"/>
      <c r="K44" s="304"/>
    </row>
    <row r="45" spans="1:11" x14ac:dyDescent="0.25">
      <c r="A45" s="317"/>
      <c r="B45" s="317"/>
      <c r="C45" s="318"/>
      <c r="D45" s="304"/>
      <c r="E45" s="304"/>
      <c r="F45" s="304"/>
      <c r="G45" s="304"/>
      <c r="H45" s="304"/>
      <c r="I45" s="304"/>
      <c r="J45" s="304"/>
      <c r="K45" s="304"/>
    </row>
    <row r="46" spans="1:11" x14ac:dyDescent="0.25">
      <c r="A46" s="317"/>
      <c r="B46" s="317"/>
      <c r="C46" s="318"/>
      <c r="D46" s="304"/>
      <c r="E46" s="304"/>
      <c r="F46" s="304"/>
      <c r="G46" s="304"/>
      <c r="H46" s="304"/>
      <c r="I46" s="304"/>
      <c r="J46" s="304"/>
      <c r="K46" s="304"/>
    </row>
    <row r="47" spans="1:11" x14ac:dyDescent="0.25">
      <c r="A47" s="317"/>
      <c r="B47" s="317"/>
      <c r="C47" s="318"/>
      <c r="D47" s="304"/>
      <c r="E47" s="304"/>
      <c r="F47" s="304"/>
      <c r="G47" s="304"/>
      <c r="H47" s="304"/>
      <c r="I47" s="304"/>
      <c r="J47" s="304"/>
      <c r="K47" s="304"/>
    </row>
    <row r="48" spans="1:11" x14ac:dyDescent="0.25">
      <c r="A48" s="317"/>
      <c r="B48" s="303"/>
      <c r="C48" s="318"/>
      <c r="D48" s="304"/>
      <c r="E48" s="304"/>
      <c r="F48" s="304"/>
      <c r="G48" s="304"/>
      <c r="H48" s="304"/>
      <c r="I48" s="304"/>
      <c r="J48" s="304"/>
      <c r="K48" s="304"/>
    </row>
    <row r="49" spans="1:11" x14ac:dyDescent="0.25">
      <c r="A49" s="317"/>
      <c r="B49" s="317"/>
      <c r="C49" s="318"/>
      <c r="D49" s="304"/>
      <c r="E49" s="304"/>
      <c r="F49" s="304"/>
      <c r="G49" s="304"/>
      <c r="H49" s="304"/>
      <c r="I49" s="304"/>
      <c r="J49" s="304"/>
      <c r="K49" s="304"/>
    </row>
    <row r="50" spans="1:11" x14ac:dyDescent="0.25">
      <c r="A50" s="317"/>
      <c r="B50" s="317"/>
      <c r="C50" s="318"/>
      <c r="D50" s="304"/>
      <c r="E50" s="304"/>
      <c r="F50" s="304"/>
      <c r="G50" s="304"/>
      <c r="H50" s="304"/>
      <c r="I50" s="304"/>
      <c r="J50" s="304"/>
      <c r="K50" s="304"/>
    </row>
    <row r="51" spans="1:11" x14ac:dyDescent="0.25">
      <c r="A51" s="317"/>
      <c r="B51" s="317"/>
      <c r="C51" s="318"/>
      <c r="D51" s="304"/>
      <c r="E51" s="304"/>
      <c r="F51" s="304"/>
      <c r="G51" s="304"/>
      <c r="H51" s="304"/>
      <c r="I51" s="304"/>
      <c r="J51" s="304"/>
      <c r="K51" s="304"/>
    </row>
    <row r="52" spans="1:11" x14ac:dyDescent="0.25">
      <c r="A52" s="317"/>
      <c r="B52" s="317"/>
      <c r="C52" s="318"/>
      <c r="D52" s="304"/>
      <c r="E52" s="304"/>
      <c r="F52" s="304"/>
      <c r="G52" s="304"/>
      <c r="H52" s="304"/>
      <c r="I52" s="304"/>
      <c r="J52" s="304"/>
      <c r="K52" s="304"/>
    </row>
    <row r="53" spans="1:11" x14ac:dyDescent="0.25">
      <c r="A53" s="317"/>
      <c r="B53" s="317"/>
      <c r="C53" s="318"/>
      <c r="D53" s="304"/>
      <c r="E53" s="304"/>
      <c r="F53" s="304"/>
      <c r="G53" s="304"/>
      <c r="H53" s="304"/>
      <c r="I53" s="304"/>
      <c r="J53" s="304"/>
      <c r="K53" s="304"/>
    </row>
    <row r="54" spans="1:11" x14ac:dyDescent="0.25">
      <c r="A54" s="317"/>
      <c r="B54" s="317"/>
      <c r="C54" s="318"/>
      <c r="D54" s="304"/>
      <c r="E54" s="304"/>
      <c r="F54" s="304"/>
      <c r="G54" s="304"/>
      <c r="H54" s="304"/>
      <c r="I54" s="304"/>
      <c r="J54" s="304"/>
      <c r="K54" s="304"/>
    </row>
    <row r="55" spans="1:11" x14ac:dyDescent="0.25">
      <c r="A55" s="317"/>
      <c r="B55" s="317"/>
      <c r="C55" s="318"/>
      <c r="D55" s="304"/>
      <c r="E55" s="304"/>
      <c r="F55" s="304"/>
      <c r="G55" s="304"/>
      <c r="H55" s="304"/>
      <c r="I55" s="304"/>
      <c r="J55" s="304"/>
      <c r="K55" s="304"/>
    </row>
    <row r="56" spans="1:11" x14ac:dyDescent="0.25">
      <c r="A56" s="317"/>
      <c r="B56" s="317"/>
      <c r="C56" s="318"/>
      <c r="D56" s="304"/>
      <c r="E56" s="304"/>
      <c r="F56" s="304"/>
      <c r="G56" s="304"/>
      <c r="H56" s="304"/>
      <c r="I56" s="304"/>
      <c r="J56" s="304"/>
      <c r="K56" s="304"/>
    </row>
    <row r="57" spans="1:11" x14ac:dyDescent="0.25">
      <c r="A57" s="317"/>
      <c r="B57" s="317"/>
      <c r="C57" s="318"/>
      <c r="D57" s="304"/>
      <c r="E57" s="304"/>
      <c r="F57" s="304"/>
      <c r="G57" s="304"/>
      <c r="H57" s="304"/>
      <c r="I57" s="304"/>
      <c r="J57" s="304"/>
      <c r="K57" s="304"/>
    </row>
    <row r="58" spans="1:11" x14ac:dyDescent="0.25">
      <c r="A58" s="317"/>
      <c r="B58" s="303"/>
      <c r="C58" s="318"/>
      <c r="D58" s="304"/>
      <c r="E58" s="304"/>
      <c r="F58" s="304"/>
      <c r="G58" s="304"/>
      <c r="H58" s="304"/>
      <c r="I58" s="304"/>
      <c r="J58" s="304"/>
      <c r="K58" s="304"/>
    </row>
    <row r="59" spans="1:11" x14ac:dyDescent="0.25">
      <c r="A59" s="317"/>
      <c r="B59" s="317"/>
      <c r="C59" s="318"/>
      <c r="D59" s="304"/>
      <c r="E59" s="304"/>
      <c r="F59" s="304"/>
      <c r="G59" s="304"/>
      <c r="H59" s="304"/>
      <c r="I59" s="304"/>
      <c r="J59" s="304"/>
      <c r="K59" s="304"/>
    </row>
    <row r="60" spans="1:11" x14ac:dyDescent="0.25">
      <c r="A60" s="317"/>
      <c r="B60" s="317"/>
      <c r="C60" s="318"/>
      <c r="D60" s="304"/>
      <c r="E60" s="304"/>
      <c r="F60" s="304"/>
      <c r="G60" s="304"/>
      <c r="H60" s="304"/>
      <c r="I60" s="304"/>
      <c r="J60" s="304"/>
      <c r="K60" s="304"/>
    </row>
    <row r="61" spans="1:11" x14ac:dyDescent="0.25">
      <c r="A61" s="304"/>
      <c r="B61" s="317"/>
      <c r="C61" s="318"/>
      <c r="D61" s="304"/>
      <c r="E61" s="304"/>
      <c r="F61" s="317"/>
      <c r="G61" s="304"/>
      <c r="H61" s="304"/>
      <c r="I61" s="304"/>
      <c r="J61" s="304"/>
      <c r="K61" s="304"/>
    </row>
    <row r="62" spans="1:11" x14ac:dyDescent="0.25">
      <c r="A62" s="317"/>
      <c r="B62" s="317"/>
      <c r="C62" s="318"/>
      <c r="D62" s="304"/>
      <c r="E62" s="304"/>
      <c r="F62" s="304"/>
      <c r="G62" s="304"/>
      <c r="H62" s="304"/>
      <c r="I62" s="304"/>
      <c r="J62" s="304"/>
      <c r="K62" s="304"/>
    </row>
    <row r="63" spans="1:11" x14ac:dyDescent="0.25">
      <c r="A63" s="317"/>
      <c r="B63" s="317"/>
      <c r="C63" s="318"/>
      <c r="D63" s="304"/>
      <c r="E63" s="304"/>
      <c r="F63" s="304"/>
      <c r="G63" s="304"/>
      <c r="H63" s="304"/>
      <c r="I63" s="304"/>
      <c r="J63" s="304"/>
      <c r="K63" s="304"/>
    </row>
    <row r="64" spans="1:11" x14ac:dyDescent="0.25">
      <c r="A64" s="317"/>
      <c r="B64" s="317"/>
      <c r="C64" s="318"/>
      <c r="D64" s="304"/>
      <c r="E64" s="304"/>
      <c r="F64" s="304"/>
      <c r="G64" s="304"/>
      <c r="H64" s="304"/>
      <c r="I64" s="304"/>
      <c r="J64" s="304"/>
      <c r="K64" s="304"/>
    </row>
    <row r="65" spans="1:11" x14ac:dyDescent="0.25">
      <c r="A65" s="317"/>
      <c r="B65" s="317"/>
      <c r="C65" s="318"/>
      <c r="D65" s="304"/>
      <c r="E65" s="304"/>
      <c r="F65" s="304"/>
      <c r="G65" s="304"/>
      <c r="H65" s="304"/>
      <c r="I65" s="304"/>
      <c r="J65" s="304"/>
      <c r="K65" s="304"/>
    </row>
    <row r="66" spans="1:11" x14ac:dyDescent="0.25">
      <c r="A66" s="317"/>
      <c r="B66" s="317"/>
      <c r="C66" s="318"/>
      <c r="D66" s="304"/>
      <c r="E66" s="304"/>
      <c r="F66" s="304"/>
      <c r="G66" s="304"/>
      <c r="H66" s="304"/>
      <c r="I66" s="304"/>
      <c r="J66" s="304"/>
      <c r="K66" s="304"/>
    </row>
    <row r="67" spans="1:11" x14ac:dyDescent="0.25">
      <c r="A67" s="317"/>
      <c r="B67" s="317"/>
      <c r="C67" s="318"/>
      <c r="D67" s="304"/>
      <c r="E67" s="304"/>
      <c r="F67" s="304"/>
      <c r="G67" s="304"/>
      <c r="H67" s="304"/>
      <c r="I67" s="304"/>
      <c r="J67" s="304"/>
      <c r="K67" s="304"/>
    </row>
    <row r="68" spans="1:11" x14ac:dyDescent="0.25">
      <c r="A68" s="317"/>
      <c r="B68" s="317"/>
      <c r="C68" s="318"/>
      <c r="D68" s="304"/>
      <c r="E68" s="304"/>
      <c r="F68" s="304"/>
      <c r="G68" s="304"/>
      <c r="H68" s="304"/>
      <c r="I68" s="304"/>
      <c r="J68" s="304"/>
      <c r="K68" s="304"/>
    </row>
    <row r="69" spans="1:11" x14ac:dyDescent="0.25">
      <c r="A69" s="317"/>
      <c r="B69" s="317"/>
      <c r="C69" s="318"/>
      <c r="D69" s="304"/>
      <c r="E69" s="304"/>
      <c r="F69" s="304"/>
      <c r="G69" s="304"/>
      <c r="H69" s="304"/>
      <c r="I69" s="304"/>
      <c r="J69" s="304"/>
      <c r="K69" s="304"/>
    </row>
    <row r="70" spans="1:11" x14ac:dyDescent="0.25">
      <c r="A70" s="317"/>
      <c r="B70" s="317"/>
      <c r="C70" s="318"/>
      <c r="D70" s="304"/>
      <c r="E70" s="304"/>
      <c r="F70" s="304"/>
      <c r="G70" s="304"/>
      <c r="H70" s="304"/>
      <c r="I70" s="304"/>
      <c r="J70" s="304"/>
      <c r="K70" s="304"/>
    </row>
    <row r="71" spans="1:11" x14ac:dyDescent="0.25">
      <c r="A71" s="317"/>
      <c r="B71" s="303"/>
      <c r="C71" s="318"/>
      <c r="D71" s="304"/>
      <c r="E71" s="304"/>
      <c r="F71" s="304"/>
      <c r="G71" s="304"/>
      <c r="H71" s="304"/>
      <c r="I71" s="304"/>
      <c r="J71" s="304"/>
      <c r="K71" s="304"/>
    </row>
    <row r="72" spans="1:11" x14ac:dyDescent="0.25">
      <c r="A72" s="317"/>
      <c r="B72" s="303"/>
      <c r="C72" s="318"/>
      <c r="D72" s="304"/>
      <c r="E72" s="304"/>
      <c r="F72" s="304"/>
      <c r="G72" s="304"/>
      <c r="H72" s="304"/>
      <c r="I72" s="304"/>
      <c r="J72" s="304"/>
      <c r="K72" s="304"/>
    </row>
    <row r="73" spans="1:11" x14ac:dyDescent="0.25">
      <c r="A73" s="317"/>
      <c r="B73" s="317"/>
      <c r="C73" s="318"/>
      <c r="D73" s="304"/>
      <c r="E73" s="304"/>
      <c r="F73" s="304"/>
      <c r="G73" s="304"/>
      <c r="H73" s="304"/>
      <c r="I73" s="304"/>
      <c r="J73" s="304"/>
      <c r="K73" s="304"/>
    </row>
    <row r="74" spans="1:11" x14ac:dyDescent="0.25">
      <c r="A74" s="317"/>
      <c r="B74" s="317"/>
      <c r="C74" s="318"/>
      <c r="D74" s="304"/>
      <c r="E74" s="304"/>
      <c r="F74" s="304"/>
      <c r="G74" s="304"/>
      <c r="H74" s="304"/>
      <c r="I74" s="304"/>
      <c r="J74" s="304"/>
      <c r="K74" s="304"/>
    </row>
    <row r="75" spans="1:11" x14ac:dyDescent="0.25">
      <c r="A75" s="317"/>
      <c r="B75" s="303"/>
      <c r="C75" s="318"/>
      <c r="D75" s="304"/>
      <c r="E75" s="304"/>
      <c r="F75" s="304"/>
      <c r="G75" s="304"/>
      <c r="H75" s="304"/>
      <c r="I75" s="304"/>
      <c r="J75" s="304"/>
      <c r="K75" s="304"/>
    </row>
    <row r="76" spans="1:11" x14ac:dyDescent="0.25">
      <c r="A76" s="317"/>
      <c r="B76" s="317"/>
      <c r="C76" s="318"/>
      <c r="D76" s="304"/>
      <c r="E76" s="304"/>
      <c r="F76" s="304"/>
      <c r="G76" s="304"/>
      <c r="H76" s="304"/>
      <c r="I76" s="304"/>
      <c r="J76" s="304"/>
      <c r="K76" s="304"/>
    </row>
    <row r="77" spans="1:11" x14ac:dyDescent="0.25">
      <c r="A77" s="317"/>
      <c r="B77" s="317"/>
      <c r="C77" s="318"/>
      <c r="D77" s="304"/>
      <c r="E77" s="304"/>
      <c r="F77" s="304"/>
      <c r="G77" s="304"/>
      <c r="H77" s="304"/>
      <c r="I77" s="304"/>
      <c r="J77" s="304"/>
      <c r="K77" s="304"/>
    </row>
    <row r="78" spans="1:11" x14ac:dyDescent="0.25">
      <c r="A78" s="317"/>
      <c r="B78" s="317"/>
      <c r="C78" s="318"/>
      <c r="D78" s="304"/>
      <c r="E78" s="304"/>
      <c r="F78" s="304"/>
      <c r="G78" s="304"/>
      <c r="H78" s="304"/>
      <c r="I78" s="304"/>
      <c r="J78" s="304"/>
      <c r="K78" s="304"/>
    </row>
    <row r="79" spans="1:11" x14ac:dyDescent="0.25">
      <c r="A79" s="317"/>
      <c r="B79" s="317"/>
      <c r="C79" s="318"/>
      <c r="D79" s="304"/>
      <c r="E79" s="304"/>
      <c r="F79" s="304"/>
      <c r="G79" s="304"/>
      <c r="H79" s="304"/>
      <c r="I79" s="304"/>
      <c r="J79" s="304"/>
      <c r="K79" s="304"/>
    </row>
    <row r="80" spans="1:11" x14ac:dyDescent="0.25">
      <c r="A80" s="317"/>
      <c r="B80" s="317"/>
      <c r="C80" s="318"/>
      <c r="D80" s="304"/>
      <c r="E80" s="304"/>
      <c r="F80" s="304"/>
      <c r="G80" s="304"/>
      <c r="H80" s="304"/>
      <c r="I80" s="304"/>
      <c r="J80" s="304"/>
      <c r="K80" s="304"/>
    </row>
    <row r="81" spans="1:11" x14ac:dyDescent="0.25">
      <c r="A81" s="317"/>
      <c r="B81" s="317"/>
      <c r="C81" s="318"/>
      <c r="D81" s="304"/>
      <c r="E81" s="304"/>
      <c r="F81" s="304"/>
      <c r="G81" s="304"/>
      <c r="H81" s="304"/>
      <c r="I81" s="304"/>
      <c r="J81" s="304"/>
      <c r="K81" s="304"/>
    </row>
    <row r="82" spans="1:11" x14ac:dyDescent="0.25">
      <c r="A82" s="317"/>
      <c r="B82" s="317"/>
      <c r="C82" s="318"/>
      <c r="D82" s="304"/>
      <c r="E82" s="304"/>
      <c r="F82" s="304"/>
      <c r="G82" s="304"/>
      <c r="H82" s="304"/>
      <c r="I82" s="304"/>
      <c r="J82" s="304"/>
      <c r="K82" s="304"/>
    </row>
    <row r="83" spans="1:11" x14ac:dyDescent="0.25">
      <c r="A83" s="304"/>
      <c r="B83" s="317"/>
      <c r="C83" s="318"/>
      <c r="D83" s="304"/>
      <c r="E83" s="304"/>
      <c r="F83" s="317"/>
      <c r="G83" s="304"/>
      <c r="H83" s="304"/>
      <c r="I83" s="304"/>
      <c r="J83" s="304"/>
      <c r="K83" s="304"/>
    </row>
    <row r="84" spans="1:11" x14ac:dyDescent="0.25">
      <c r="A84" s="317"/>
      <c r="B84" s="317"/>
      <c r="C84" s="318"/>
      <c r="D84" s="304"/>
      <c r="E84" s="304"/>
      <c r="F84" s="304"/>
      <c r="G84" s="304"/>
      <c r="H84" s="304"/>
      <c r="I84" s="304"/>
      <c r="J84" s="304"/>
      <c r="K84" s="304"/>
    </row>
    <row r="85" spans="1:11" x14ac:dyDescent="0.25">
      <c r="A85" s="317"/>
      <c r="B85" s="317"/>
      <c r="C85" s="318"/>
      <c r="D85" s="304"/>
      <c r="E85" s="304"/>
      <c r="F85" s="304"/>
      <c r="G85" s="304"/>
      <c r="H85" s="304"/>
      <c r="I85" s="304"/>
      <c r="J85" s="304"/>
      <c r="K85" s="304"/>
    </row>
    <row r="86" spans="1:11" x14ac:dyDescent="0.25">
      <c r="A86" s="317"/>
      <c r="B86" s="317"/>
      <c r="C86" s="318"/>
      <c r="D86" s="304"/>
      <c r="E86" s="304"/>
      <c r="F86" s="304"/>
      <c r="G86" s="304"/>
      <c r="H86" s="304"/>
      <c r="I86" s="304"/>
      <c r="J86" s="304"/>
      <c r="K86" s="304"/>
    </row>
    <row r="87" spans="1:11" x14ac:dyDescent="0.25">
      <c r="A87" s="317"/>
      <c r="B87" s="317"/>
      <c r="C87" s="318"/>
      <c r="D87" s="304"/>
      <c r="E87" s="304"/>
      <c r="F87" s="304"/>
      <c r="G87" s="304"/>
      <c r="H87" s="304"/>
      <c r="I87" s="304"/>
      <c r="J87" s="304"/>
      <c r="K87" s="304"/>
    </row>
    <row r="88" spans="1:11" x14ac:dyDescent="0.25">
      <c r="A88" s="317"/>
      <c r="B88" s="317"/>
      <c r="C88" s="318"/>
      <c r="D88" s="304"/>
      <c r="E88" s="304"/>
      <c r="F88" s="304"/>
      <c r="G88" s="304"/>
      <c r="H88" s="304"/>
      <c r="I88" s="304"/>
      <c r="J88" s="304"/>
      <c r="K88" s="304"/>
    </row>
    <row r="89" spans="1:11" x14ac:dyDescent="0.25">
      <c r="A89" s="317"/>
      <c r="B89" s="317"/>
      <c r="C89" s="318"/>
      <c r="D89" s="304"/>
      <c r="E89" s="304"/>
      <c r="F89" s="304"/>
      <c r="G89" s="304"/>
      <c r="H89" s="304"/>
      <c r="I89" s="304"/>
      <c r="J89" s="304"/>
      <c r="K89" s="304"/>
    </row>
    <row r="90" spans="1:11" x14ac:dyDescent="0.25">
      <c r="A90" s="317"/>
      <c r="B90" s="317"/>
      <c r="C90" s="318"/>
      <c r="D90" s="304"/>
      <c r="E90" s="304"/>
      <c r="F90" s="304"/>
      <c r="G90" s="304"/>
      <c r="H90" s="304"/>
      <c r="I90" s="304"/>
      <c r="J90" s="304"/>
      <c r="K90" s="304"/>
    </row>
    <row r="91" spans="1:11" x14ac:dyDescent="0.25">
      <c r="A91" s="317"/>
      <c r="B91" s="317"/>
      <c r="C91" s="318"/>
      <c r="D91" s="304"/>
      <c r="E91" s="304"/>
      <c r="F91" s="304"/>
      <c r="G91" s="304"/>
      <c r="H91" s="304"/>
      <c r="I91" s="304"/>
      <c r="J91" s="304"/>
      <c r="K91" s="304"/>
    </row>
    <row r="92" spans="1:11" x14ac:dyDescent="0.25">
      <c r="A92" s="317"/>
      <c r="B92" s="317"/>
      <c r="C92" s="318"/>
      <c r="D92" s="304"/>
      <c r="E92" s="304"/>
      <c r="F92" s="304"/>
      <c r="G92" s="304"/>
      <c r="H92" s="304"/>
      <c r="I92" s="304"/>
      <c r="J92" s="304"/>
      <c r="K92" s="304"/>
    </row>
    <row r="93" spans="1:11" x14ac:dyDescent="0.25">
      <c r="A93" s="317"/>
      <c r="B93" s="317"/>
      <c r="C93" s="318"/>
      <c r="D93" s="304"/>
      <c r="E93" s="304"/>
      <c r="F93" s="304"/>
      <c r="G93" s="304"/>
      <c r="H93" s="304"/>
      <c r="I93" s="304"/>
      <c r="J93" s="304"/>
      <c r="K93" s="304"/>
    </row>
    <row r="94" spans="1:11" x14ac:dyDescent="0.25">
      <c r="A94" s="317"/>
      <c r="B94" s="317"/>
      <c r="C94" s="318"/>
      <c r="D94" s="304"/>
      <c r="E94" s="304"/>
      <c r="F94" s="304"/>
      <c r="G94" s="304"/>
      <c r="H94" s="304"/>
      <c r="I94" s="304"/>
      <c r="J94" s="304"/>
      <c r="K94" s="304"/>
    </row>
    <row r="95" spans="1:11" x14ac:dyDescent="0.25">
      <c r="A95" s="317"/>
      <c r="B95" s="317"/>
      <c r="C95" s="318"/>
      <c r="D95" s="304"/>
      <c r="E95" s="304"/>
      <c r="F95" s="304"/>
      <c r="G95" s="304"/>
      <c r="H95" s="304"/>
      <c r="I95" s="304"/>
      <c r="J95" s="304"/>
      <c r="K95" s="304"/>
    </row>
    <row r="96" spans="1:11" x14ac:dyDescent="0.25">
      <c r="A96" s="317"/>
      <c r="B96" s="317"/>
      <c r="C96" s="318"/>
      <c r="D96" s="304"/>
      <c r="E96" s="304"/>
      <c r="F96" s="304"/>
      <c r="G96" s="304"/>
      <c r="H96" s="304"/>
      <c r="I96" s="304"/>
      <c r="J96" s="304"/>
      <c r="K96" s="304"/>
    </row>
    <row r="97" spans="1:11" x14ac:dyDescent="0.25">
      <c r="A97" s="317"/>
      <c r="B97" s="317"/>
      <c r="C97" s="318"/>
      <c r="D97" s="304"/>
      <c r="E97" s="304"/>
      <c r="F97" s="304"/>
      <c r="G97" s="304"/>
      <c r="H97" s="304"/>
      <c r="I97" s="304"/>
      <c r="J97" s="304"/>
      <c r="K97" s="304"/>
    </row>
    <row r="98" spans="1:11" x14ac:dyDescent="0.25">
      <c r="A98" s="317"/>
      <c r="B98" s="317"/>
      <c r="C98" s="318"/>
      <c r="D98" s="304"/>
      <c r="E98" s="304"/>
      <c r="F98" s="304"/>
      <c r="G98" s="304"/>
      <c r="H98" s="304"/>
      <c r="I98" s="304"/>
      <c r="J98" s="304"/>
      <c r="K98" s="304"/>
    </row>
    <row r="99" spans="1:11" x14ac:dyDescent="0.25">
      <c r="A99" s="317"/>
      <c r="B99" s="317"/>
      <c r="C99" s="318"/>
      <c r="D99" s="304"/>
      <c r="E99" s="304"/>
      <c r="F99" s="304"/>
      <c r="G99" s="304"/>
      <c r="H99" s="304"/>
      <c r="I99" s="304"/>
      <c r="J99" s="304"/>
      <c r="K99" s="304"/>
    </row>
    <row r="100" spans="1:11" x14ac:dyDescent="0.25">
      <c r="A100" s="317"/>
      <c r="B100" s="317"/>
      <c r="C100" s="318"/>
      <c r="D100" s="304"/>
      <c r="E100" s="304"/>
      <c r="F100" s="304"/>
      <c r="G100" s="304"/>
      <c r="H100" s="304"/>
      <c r="I100" s="304"/>
      <c r="J100" s="304"/>
      <c r="K100" s="304"/>
    </row>
    <row r="101" spans="1:11" x14ac:dyDescent="0.25">
      <c r="A101" s="317"/>
      <c r="B101" s="317"/>
      <c r="C101" s="318"/>
      <c r="D101" s="304"/>
      <c r="E101" s="304"/>
      <c r="F101" s="304"/>
      <c r="G101" s="304"/>
      <c r="H101" s="304"/>
      <c r="I101" s="304"/>
      <c r="J101" s="304"/>
      <c r="K101" s="304"/>
    </row>
    <row r="102" spans="1:11" x14ac:dyDescent="0.25">
      <c r="A102" s="317"/>
      <c r="B102" s="317"/>
      <c r="C102" s="318"/>
      <c r="D102" s="304"/>
      <c r="E102" s="304"/>
      <c r="F102" s="304"/>
      <c r="G102" s="304"/>
      <c r="H102" s="304"/>
      <c r="I102" s="304"/>
      <c r="J102" s="304"/>
      <c r="K102" s="304"/>
    </row>
    <row r="103" spans="1:11" x14ac:dyDescent="0.25">
      <c r="A103" s="317"/>
      <c r="B103" s="317"/>
      <c r="C103" s="318"/>
      <c r="D103" s="304"/>
      <c r="E103" s="304"/>
      <c r="F103" s="304"/>
      <c r="G103" s="304"/>
      <c r="H103" s="304"/>
      <c r="I103" s="304"/>
      <c r="J103" s="304"/>
      <c r="K103" s="304"/>
    </row>
    <row r="104" spans="1:11" x14ac:dyDescent="0.25">
      <c r="A104" s="317"/>
      <c r="B104" s="317"/>
      <c r="C104" s="318"/>
      <c r="D104" s="304"/>
      <c r="E104" s="304"/>
      <c r="F104" s="304"/>
      <c r="G104" s="304"/>
      <c r="H104" s="304"/>
      <c r="I104" s="304"/>
      <c r="J104" s="304"/>
      <c r="K104" s="304"/>
    </row>
    <row r="105" spans="1:11" x14ac:dyDescent="0.25">
      <c r="A105" s="317"/>
      <c r="B105" s="317"/>
      <c r="C105" s="318"/>
      <c r="D105" s="304"/>
      <c r="E105" s="304"/>
      <c r="F105" s="304"/>
      <c r="G105" s="304"/>
      <c r="H105" s="304"/>
      <c r="I105" s="304"/>
      <c r="J105" s="304"/>
      <c r="K105" s="304"/>
    </row>
    <row r="106" spans="1:11" x14ac:dyDescent="0.25">
      <c r="A106" s="317"/>
      <c r="B106" s="317"/>
      <c r="C106" s="318"/>
      <c r="D106" s="304"/>
      <c r="E106" s="304"/>
      <c r="F106" s="304"/>
      <c r="G106" s="304"/>
      <c r="H106" s="304"/>
      <c r="I106" s="304"/>
      <c r="J106" s="304"/>
      <c r="K106" s="304"/>
    </row>
    <row r="107" spans="1:11" x14ac:dyDescent="0.25">
      <c r="A107" s="317"/>
      <c r="B107" s="317"/>
      <c r="C107" s="318"/>
      <c r="D107" s="304"/>
      <c r="E107" s="304"/>
      <c r="F107" s="304"/>
      <c r="G107" s="304"/>
      <c r="H107" s="304"/>
      <c r="I107" s="304"/>
      <c r="J107" s="304"/>
      <c r="K107" s="304"/>
    </row>
    <row r="108" spans="1:11" x14ac:dyDescent="0.25">
      <c r="A108" s="317"/>
      <c r="B108" s="317"/>
      <c r="C108" s="318"/>
      <c r="D108" s="304"/>
      <c r="E108" s="304"/>
      <c r="F108" s="304"/>
      <c r="G108" s="304"/>
      <c r="H108" s="304"/>
      <c r="I108" s="304"/>
      <c r="J108" s="304"/>
      <c r="K108" s="304"/>
    </row>
    <row r="109" spans="1:11" x14ac:dyDescent="0.25">
      <c r="A109" s="317"/>
      <c r="B109" s="317"/>
      <c r="C109" s="318"/>
      <c r="D109" s="304"/>
      <c r="E109" s="304"/>
      <c r="F109" s="304"/>
      <c r="G109" s="304"/>
      <c r="H109" s="304"/>
      <c r="I109" s="304"/>
      <c r="J109" s="304"/>
      <c r="K109" s="304"/>
    </row>
    <row r="110" spans="1:11" x14ac:dyDescent="0.25">
      <c r="A110" s="317"/>
      <c r="B110" s="317"/>
      <c r="C110" s="318"/>
      <c r="D110" s="304"/>
      <c r="E110" s="304"/>
      <c r="F110" s="304"/>
      <c r="G110" s="304"/>
      <c r="H110" s="304"/>
      <c r="I110" s="304"/>
      <c r="J110" s="304"/>
      <c r="K110" s="304"/>
    </row>
    <row r="111" spans="1:11" x14ac:dyDescent="0.25">
      <c r="A111" s="317"/>
      <c r="B111" s="317"/>
      <c r="C111" s="318"/>
      <c r="D111" s="304"/>
      <c r="E111" s="304"/>
      <c r="F111" s="304"/>
      <c r="G111" s="304"/>
      <c r="H111" s="304"/>
      <c r="I111" s="304"/>
      <c r="J111" s="304"/>
      <c r="K111" s="304"/>
    </row>
    <row r="112" spans="1:11" x14ac:dyDescent="0.25">
      <c r="A112" s="317"/>
      <c r="B112" s="317"/>
      <c r="C112" s="318"/>
      <c r="D112" s="304"/>
      <c r="E112" s="304"/>
      <c r="F112" s="304"/>
      <c r="G112" s="304"/>
      <c r="H112" s="304"/>
      <c r="I112" s="304"/>
      <c r="J112" s="304"/>
      <c r="K112" s="304"/>
    </row>
    <row r="113" spans="1:11" x14ac:dyDescent="0.25">
      <c r="A113" s="317"/>
      <c r="B113" s="317"/>
      <c r="C113" s="318"/>
      <c r="D113" s="304"/>
      <c r="E113" s="304"/>
      <c r="F113" s="304"/>
      <c r="G113" s="304"/>
      <c r="H113" s="304"/>
      <c r="I113" s="304"/>
      <c r="J113" s="304"/>
      <c r="K113" s="304"/>
    </row>
    <row r="114" spans="1:11" x14ac:dyDescent="0.25">
      <c r="A114" s="317"/>
      <c r="B114" s="317"/>
      <c r="C114" s="318"/>
      <c r="D114" s="304"/>
      <c r="E114" s="304"/>
      <c r="F114" s="304"/>
      <c r="G114" s="304"/>
      <c r="H114" s="304"/>
      <c r="I114" s="304"/>
      <c r="J114" s="304"/>
      <c r="K114" s="304"/>
    </row>
    <row r="115" spans="1:11" x14ac:dyDescent="0.25">
      <c r="A115" s="317"/>
      <c r="B115" s="317"/>
      <c r="C115" s="318"/>
      <c r="D115" s="304"/>
      <c r="E115" s="304"/>
      <c r="F115" s="304"/>
      <c r="G115" s="304"/>
      <c r="H115" s="304"/>
      <c r="I115" s="304"/>
      <c r="J115" s="304"/>
      <c r="K115" s="304"/>
    </row>
    <row r="116" spans="1:11" x14ac:dyDescent="0.25">
      <c r="A116" s="317"/>
      <c r="B116" s="317"/>
      <c r="C116" s="318"/>
      <c r="D116" s="304"/>
      <c r="E116" s="304"/>
      <c r="F116" s="304"/>
      <c r="G116" s="304"/>
      <c r="H116" s="304"/>
      <c r="I116" s="304"/>
      <c r="J116" s="304"/>
      <c r="K116" s="304"/>
    </row>
    <row r="117" spans="1:11" x14ac:dyDescent="0.25">
      <c r="A117" s="304"/>
      <c r="B117" s="317"/>
      <c r="C117" s="318"/>
      <c r="D117" s="304"/>
      <c r="E117" s="304"/>
      <c r="F117" s="304"/>
      <c r="G117" s="304"/>
      <c r="H117" s="304"/>
      <c r="I117" s="304"/>
      <c r="J117" s="304"/>
      <c r="K117" s="304"/>
    </row>
    <row r="118" spans="1:11" x14ac:dyDescent="0.25">
      <c r="A118" s="317"/>
      <c r="B118" s="317"/>
      <c r="C118" s="318"/>
      <c r="D118" s="304"/>
      <c r="E118" s="304"/>
      <c r="F118" s="304"/>
      <c r="G118" s="304"/>
      <c r="H118" s="304"/>
      <c r="I118" s="304"/>
      <c r="J118" s="304"/>
      <c r="K118" s="304"/>
    </row>
    <row r="119" spans="1:11" x14ac:dyDescent="0.25">
      <c r="A119" s="317"/>
      <c r="B119" s="317"/>
      <c r="C119" s="318"/>
      <c r="D119" s="304"/>
      <c r="E119" s="304"/>
      <c r="F119" s="304"/>
      <c r="G119" s="304"/>
      <c r="H119" s="304"/>
      <c r="I119" s="304"/>
      <c r="J119" s="304"/>
      <c r="K119" s="304"/>
    </row>
    <row r="120" spans="1:11" x14ac:dyDescent="0.25">
      <c r="A120" s="317"/>
      <c r="B120" s="317"/>
      <c r="C120" s="318"/>
      <c r="D120" s="304"/>
      <c r="E120" s="304"/>
      <c r="F120" s="304"/>
      <c r="G120" s="304"/>
      <c r="H120" s="304"/>
      <c r="I120" s="304"/>
      <c r="J120" s="304"/>
      <c r="K120" s="304"/>
    </row>
    <row r="121" spans="1:11" x14ac:dyDescent="0.25">
      <c r="A121" s="317"/>
      <c r="B121" s="317"/>
      <c r="C121" s="318"/>
      <c r="D121" s="304"/>
      <c r="E121" s="304"/>
      <c r="F121" s="304"/>
      <c r="G121" s="304"/>
      <c r="H121" s="304"/>
      <c r="I121" s="304"/>
      <c r="J121" s="304"/>
      <c r="K121" s="304"/>
    </row>
    <row r="122" spans="1:11" x14ac:dyDescent="0.25">
      <c r="A122" s="317"/>
      <c r="B122" s="317"/>
      <c r="C122" s="318"/>
      <c r="D122" s="304"/>
      <c r="E122" s="304"/>
      <c r="F122" s="304"/>
      <c r="G122" s="304"/>
      <c r="H122" s="304"/>
      <c r="I122" s="304"/>
      <c r="J122" s="304"/>
      <c r="K122" s="304"/>
    </row>
    <row r="123" spans="1:11" x14ac:dyDescent="0.25">
      <c r="A123" s="317"/>
      <c r="B123" s="317"/>
      <c r="C123" s="318"/>
      <c r="D123" s="304"/>
      <c r="E123" s="304"/>
      <c r="F123" s="304"/>
      <c r="G123" s="304"/>
      <c r="H123" s="304"/>
      <c r="I123" s="304"/>
      <c r="J123" s="304"/>
      <c r="K123" s="304"/>
    </row>
    <row r="124" spans="1:11" x14ac:dyDescent="0.25">
      <c r="A124" s="317"/>
      <c r="B124" s="317"/>
      <c r="C124" s="318"/>
      <c r="D124" s="304"/>
      <c r="E124" s="304"/>
      <c r="F124" s="304"/>
      <c r="G124" s="304"/>
      <c r="H124" s="304"/>
      <c r="I124" s="304"/>
      <c r="J124" s="304"/>
      <c r="K124" s="304"/>
    </row>
    <row r="125" spans="1:11" x14ac:dyDescent="0.25">
      <c r="A125" s="317"/>
      <c r="B125" s="317"/>
      <c r="C125" s="318"/>
      <c r="D125" s="304"/>
      <c r="E125" s="304"/>
      <c r="F125" s="304"/>
      <c r="G125" s="304"/>
      <c r="H125" s="304"/>
      <c r="I125" s="304"/>
      <c r="J125" s="304"/>
      <c r="K125" s="304"/>
    </row>
    <row r="126" spans="1:11" x14ac:dyDescent="0.25">
      <c r="A126" s="317"/>
      <c r="B126" s="317"/>
      <c r="C126" s="318"/>
      <c r="D126" s="304"/>
      <c r="E126" s="304"/>
      <c r="F126" s="304"/>
      <c r="G126" s="304"/>
      <c r="H126" s="304"/>
      <c r="I126" s="304"/>
      <c r="J126" s="304"/>
      <c r="K126" s="304"/>
    </row>
    <row r="127" spans="1:11" x14ac:dyDescent="0.25">
      <c r="A127" s="317"/>
      <c r="B127" s="317"/>
      <c r="C127" s="318"/>
      <c r="D127" s="304"/>
      <c r="E127" s="304"/>
      <c r="F127" s="304"/>
      <c r="G127" s="304"/>
      <c r="H127" s="304"/>
      <c r="I127" s="304"/>
      <c r="J127" s="304"/>
      <c r="K127" s="304"/>
    </row>
    <row r="128" spans="1:11" ht="15.75" thickBot="1" x14ac:dyDescent="0.3">
      <c r="A128" s="319"/>
      <c r="B128" s="319"/>
      <c r="C128" s="320"/>
      <c r="D128" s="305"/>
      <c r="E128" s="305"/>
      <c r="F128" s="305"/>
      <c r="G128" s="305"/>
      <c r="H128" s="305"/>
      <c r="I128" s="305"/>
      <c r="J128" s="305"/>
      <c r="K128" s="305"/>
    </row>
  </sheetData>
  <autoFilter ref="A2:K2" xr:uid="{7C717F9F-D1AD-4153-BDEC-F96F3F40B03C}">
    <sortState xmlns:xlrd2="http://schemas.microsoft.com/office/spreadsheetml/2017/richdata2" ref="A3:K4">
      <sortCondition ref="A2"/>
    </sortState>
  </autoFilter>
  <mergeCells count="1">
    <mergeCell ref="D1:K1"/>
  </mergeCells>
  <conditionalFormatting sqref="A3:K128">
    <cfRule type="expression" dxfId="20" priority="2">
      <formula>MOD(ROW(),2)</formula>
    </cfRule>
  </conditionalFormatting>
  <conditionalFormatting sqref="NZ3:XFD22">
    <cfRule type="expression" dxfId="19" priority="3">
      <formula>MOD(ROW(),2)</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8066-D35D-40C1-8ADF-9F948F9FA8EA}">
  <sheetPr>
    <tabColor rgb="FF01DDB3"/>
  </sheetPr>
  <dimension ref="A1:M128"/>
  <sheetViews>
    <sheetView zoomScale="85" zoomScaleNormal="85" workbookViewId="0">
      <pane ySplit="2" topLeftCell="A4" activePane="bottomLeft" state="frozen"/>
      <selection pane="bottomLeft" activeCell="H10" sqref="H10"/>
    </sheetView>
  </sheetViews>
  <sheetFormatPr baseColWidth="10" defaultColWidth="11.5703125" defaultRowHeight="15" x14ac:dyDescent="0.25"/>
  <cols>
    <col min="1" max="1" width="12.28515625" style="306" bestFit="1" customWidth="1"/>
    <col min="2" max="2" width="11.5703125" style="306" bestFit="1" customWidth="1"/>
    <col min="3" max="3" width="23.42578125" style="306" customWidth="1"/>
    <col min="4" max="4" width="25.28515625" style="306" customWidth="1"/>
    <col min="5" max="6" width="57.7109375" style="306" customWidth="1"/>
    <col min="7" max="8" width="31.7109375" style="306" bestFit="1" customWidth="1"/>
    <col min="9" max="9" width="31" style="306" bestFit="1" customWidth="1"/>
    <col min="10" max="10" width="25.28515625" style="473" customWidth="1"/>
    <col min="11" max="11" width="19.28515625" style="306" customWidth="1"/>
    <col min="12" max="12" width="18.7109375" style="306" customWidth="1"/>
    <col min="13" max="13" width="14.28515625" style="306" customWidth="1"/>
    <col min="14" max="20" width="11.5703125" style="306" bestFit="1" customWidth="1"/>
    <col min="21" max="16384" width="11.5703125" style="306"/>
  </cols>
  <sheetData>
    <row r="1" spans="1:13" s="311" customFormat="1" ht="49.9" customHeight="1" thickBot="1" x14ac:dyDescent="0.3">
      <c r="A1" s="331"/>
      <c r="B1" s="332" t="s">
        <v>138</v>
      </c>
      <c r="C1" s="333">
        <f ca="1">TODAY()</f>
        <v>46161</v>
      </c>
      <c r="D1" s="518" t="s">
        <v>979</v>
      </c>
      <c r="E1" s="519"/>
      <c r="F1" s="519"/>
      <c r="G1" s="389"/>
      <c r="H1" s="403"/>
      <c r="I1" s="403"/>
      <c r="J1" s="403"/>
      <c r="K1" s="403"/>
      <c r="L1" s="404"/>
      <c r="M1" s="405"/>
    </row>
    <row r="2" spans="1:13" s="311" customFormat="1" ht="43.5" thickBot="1" x14ac:dyDescent="0.3">
      <c r="A2" s="18" t="s">
        <v>475</v>
      </c>
      <c r="B2" s="18" t="s">
        <v>140</v>
      </c>
      <c r="C2" s="139" t="s">
        <v>980</v>
      </c>
      <c r="D2" s="195" t="s">
        <v>479</v>
      </c>
      <c r="E2" s="196" t="s">
        <v>478</v>
      </c>
      <c r="F2" s="193" t="s">
        <v>949</v>
      </c>
      <c r="G2" s="193" t="s">
        <v>981</v>
      </c>
      <c r="H2" s="195" t="s">
        <v>982</v>
      </c>
      <c r="I2" s="195" t="s">
        <v>983</v>
      </c>
      <c r="J2" s="195" t="s">
        <v>816</v>
      </c>
      <c r="K2" s="195" t="s">
        <v>818</v>
      </c>
      <c r="L2" s="195" t="s">
        <v>481</v>
      </c>
      <c r="M2" s="191" t="s">
        <v>29</v>
      </c>
    </row>
    <row r="3" spans="1:13" ht="384.75" x14ac:dyDescent="0.25">
      <c r="A3" s="312">
        <v>46043</v>
      </c>
      <c r="B3" s="303" t="s">
        <v>36</v>
      </c>
      <c r="C3" s="315" t="s">
        <v>984</v>
      </c>
      <c r="D3" s="301" t="s">
        <v>985</v>
      </c>
      <c r="E3" s="301" t="s">
        <v>986</v>
      </c>
      <c r="F3" s="302" t="s">
        <v>987</v>
      </c>
      <c r="G3" s="301" t="s">
        <v>988</v>
      </c>
      <c r="H3" s="301" t="s">
        <v>989</v>
      </c>
      <c r="I3" s="301" t="s">
        <v>990</v>
      </c>
      <c r="J3" s="468"/>
      <c r="K3" s="301" t="s">
        <v>991</v>
      </c>
      <c r="L3" s="301" t="s">
        <v>992</v>
      </c>
      <c r="M3" s="301"/>
    </row>
    <row r="4" spans="1:13" s="316" customFormat="1" ht="57" x14ac:dyDescent="0.25">
      <c r="A4" s="312">
        <v>46044</v>
      </c>
      <c r="B4" s="303" t="s">
        <v>109</v>
      </c>
      <c r="C4" s="313" t="s">
        <v>993</v>
      </c>
      <c r="D4" s="302" t="s">
        <v>578</v>
      </c>
      <c r="E4" s="302" t="s">
        <v>994</v>
      </c>
      <c r="F4" s="303"/>
      <c r="G4" s="303" t="s">
        <v>995</v>
      </c>
      <c r="H4" s="302"/>
      <c r="I4" s="302"/>
      <c r="J4" s="469"/>
      <c r="K4" s="302" t="s">
        <v>996</v>
      </c>
      <c r="L4" s="302"/>
      <c r="M4" s="302"/>
    </row>
    <row r="5" spans="1:13" s="316" customFormat="1" ht="57" x14ac:dyDescent="0.25">
      <c r="A5" s="312">
        <v>46055</v>
      </c>
      <c r="B5" s="303" t="s">
        <v>269</v>
      </c>
      <c r="C5" s="313" t="s">
        <v>208</v>
      </c>
      <c r="D5" s="302" t="s">
        <v>627</v>
      </c>
      <c r="E5" s="302" t="s">
        <v>997</v>
      </c>
      <c r="F5" s="303" t="s">
        <v>998</v>
      </c>
      <c r="G5" s="303" t="s">
        <v>988</v>
      </c>
      <c r="H5" s="302" t="s">
        <v>999</v>
      </c>
      <c r="I5" s="302"/>
      <c r="J5" s="469"/>
      <c r="K5" s="302" t="s">
        <v>1000</v>
      </c>
      <c r="L5" s="302" t="s">
        <v>281</v>
      </c>
      <c r="M5" s="302"/>
    </row>
    <row r="6" spans="1:13" ht="142.5" x14ac:dyDescent="0.25">
      <c r="A6" s="334">
        <v>46111</v>
      </c>
      <c r="B6" s="302" t="s">
        <v>36</v>
      </c>
      <c r="C6" s="315" t="s">
        <v>1001</v>
      </c>
      <c r="D6" s="302" t="s">
        <v>985</v>
      </c>
      <c r="E6" s="302" t="s">
        <v>1002</v>
      </c>
      <c r="F6" s="302" t="s">
        <v>1003</v>
      </c>
      <c r="G6" s="302" t="s">
        <v>1004</v>
      </c>
      <c r="H6" s="302" t="s">
        <v>1005</v>
      </c>
      <c r="I6" s="302" t="s">
        <v>990</v>
      </c>
      <c r="J6" s="469"/>
      <c r="K6" s="302" t="s">
        <v>1006</v>
      </c>
      <c r="L6" s="302" t="s">
        <v>751</v>
      </c>
      <c r="M6" s="302"/>
    </row>
    <row r="7" spans="1:13" s="316" customFormat="1" ht="57" x14ac:dyDescent="0.25">
      <c r="A7" s="312">
        <v>46108</v>
      </c>
      <c r="B7" s="303" t="s">
        <v>109</v>
      </c>
      <c r="C7" s="313" t="s">
        <v>1007</v>
      </c>
      <c r="D7" s="302" t="s">
        <v>578</v>
      </c>
      <c r="E7" s="302" t="s">
        <v>1008</v>
      </c>
      <c r="F7" s="303" t="s">
        <v>1009</v>
      </c>
      <c r="G7" s="303" t="s">
        <v>988</v>
      </c>
      <c r="H7" s="302" t="s">
        <v>999</v>
      </c>
      <c r="I7" s="302" t="s">
        <v>1010</v>
      </c>
      <c r="J7" s="469"/>
      <c r="K7" s="302" t="s">
        <v>1011</v>
      </c>
      <c r="L7" s="302" t="s">
        <v>375</v>
      </c>
      <c r="M7" s="302"/>
    </row>
    <row r="8" spans="1:13" ht="85.5" x14ac:dyDescent="0.25">
      <c r="A8" s="334">
        <v>46118</v>
      </c>
      <c r="B8" s="302" t="s">
        <v>109</v>
      </c>
      <c r="C8" s="315" t="s">
        <v>1012</v>
      </c>
      <c r="D8" s="302" t="s">
        <v>108</v>
      </c>
      <c r="E8" s="302" t="s">
        <v>1013</v>
      </c>
      <c r="F8" s="302" t="s">
        <v>1014</v>
      </c>
      <c r="G8" s="302" t="s">
        <v>1015</v>
      </c>
      <c r="H8" s="302" t="s">
        <v>1016</v>
      </c>
      <c r="I8" s="302" t="s">
        <v>1017</v>
      </c>
      <c r="J8" s="469">
        <v>2500</v>
      </c>
      <c r="K8" s="302" t="s">
        <v>1018</v>
      </c>
      <c r="L8" s="302" t="s">
        <v>393</v>
      </c>
      <c r="M8" s="302"/>
    </row>
    <row r="9" spans="1:13" s="316" customFormat="1" ht="71.25" x14ac:dyDescent="0.25">
      <c r="A9" s="312">
        <v>46139</v>
      </c>
      <c r="B9" s="303" t="s">
        <v>269</v>
      </c>
      <c r="C9" s="313" t="s">
        <v>1019</v>
      </c>
      <c r="D9" s="302" t="s">
        <v>943</v>
      </c>
      <c r="E9" s="302" t="s">
        <v>1020</v>
      </c>
      <c r="F9" s="303"/>
      <c r="G9" s="303" t="s">
        <v>988</v>
      </c>
      <c r="H9" s="302"/>
      <c r="I9" s="302"/>
      <c r="J9" s="469"/>
      <c r="K9" s="302" t="s">
        <v>1021</v>
      </c>
      <c r="L9" s="302" t="s">
        <v>1022</v>
      </c>
      <c r="M9" s="302"/>
    </row>
    <row r="10" spans="1:13" s="316" customFormat="1" x14ac:dyDescent="0.25">
      <c r="A10" s="303"/>
      <c r="B10" s="303"/>
      <c r="C10" s="313"/>
      <c r="D10" s="302"/>
      <c r="E10" s="302"/>
      <c r="F10" s="303"/>
      <c r="G10" s="303"/>
      <c r="H10" s="302"/>
      <c r="I10" s="302"/>
      <c r="J10" s="469"/>
      <c r="K10" s="302"/>
      <c r="L10" s="302"/>
      <c r="M10" s="302"/>
    </row>
    <row r="11" spans="1:13" x14ac:dyDescent="0.25">
      <c r="A11" s="303"/>
      <c r="B11" s="303"/>
      <c r="C11" s="315"/>
      <c r="D11" s="302"/>
      <c r="E11" s="302"/>
      <c r="F11" s="302"/>
      <c r="G11" s="302"/>
      <c r="H11" s="302"/>
      <c r="I11" s="302"/>
      <c r="J11" s="469"/>
      <c r="K11" s="302"/>
      <c r="L11" s="302"/>
      <c r="M11" s="302"/>
    </row>
    <row r="12" spans="1:13" x14ac:dyDescent="0.25">
      <c r="A12" s="303"/>
      <c r="B12" s="303"/>
      <c r="C12" s="315"/>
      <c r="D12" s="302"/>
      <c r="E12" s="302"/>
      <c r="F12" s="302"/>
      <c r="G12" s="302"/>
      <c r="H12" s="302"/>
      <c r="I12" s="302"/>
      <c r="J12" s="469"/>
      <c r="K12" s="302"/>
      <c r="L12" s="302"/>
      <c r="M12" s="302"/>
    </row>
    <row r="13" spans="1:13" x14ac:dyDescent="0.25">
      <c r="A13" s="302"/>
      <c r="B13" s="303"/>
      <c r="C13" s="315"/>
      <c r="D13" s="302"/>
      <c r="E13" s="302"/>
      <c r="F13" s="302"/>
      <c r="G13" s="302"/>
      <c r="H13" s="302"/>
      <c r="I13" s="302"/>
      <c r="J13" s="469"/>
      <c r="K13" s="302"/>
      <c r="L13" s="302"/>
      <c r="M13" s="302"/>
    </row>
    <row r="14" spans="1:13" x14ac:dyDescent="0.25">
      <c r="A14" s="302"/>
      <c r="B14" s="302"/>
      <c r="C14" s="315"/>
      <c r="D14" s="302"/>
      <c r="E14" s="302"/>
      <c r="F14" s="302"/>
      <c r="G14" s="302"/>
      <c r="H14" s="302"/>
      <c r="I14" s="302"/>
      <c r="J14" s="469"/>
      <c r="K14" s="302"/>
      <c r="L14" s="302"/>
      <c r="M14" s="302"/>
    </row>
    <row r="15" spans="1:13" x14ac:dyDescent="0.25">
      <c r="A15" s="302"/>
      <c r="B15" s="302"/>
      <c r="C15" s="315"/>
      <c r="D15" s="302"/>
      <c r="E15" s="302"/>
      <c r="F15" s="302"/>
      <c r="G15" s="302"/>
      <c r="H15" s="302"/>
      <c r="I15" s="302"/>
      <c r="J15" s="469"/>
      <c r="K15" s="302"/>
      <c r="L15" s="302"/>
      <c r="M15" s="302"/>
    </row>
    <row r="16" spans="1:13" x14ac:dyDescent="0.25">
      <c r="A16" s="302"/>
      <c r="B16" s="302"/>
      <c r="C16" s="315"/>
      <c r="D16" s="302"/>
      <c r="E16" s="302"/>
      <c r="F16" s="302"/>
      <c r="G16" s="302"/>
      <c r="H16" s="302"/>
      <c r="I16" s="302"/>
      <c r="J16" s="469"/>
      <c r="K16" s="302"/>
      <c r="L16" s="302"/>
      <c r="M16" s="302"/>
    </row>
    <row r="17" spans="1:13" x14ac:dyDescent="0.25">
      <c r="A17" s="302"/>
      <c r="B17" s="302"/>
      <c r="C17" s="315"/>
      <c r="D17" s="303"/>
      <c r="E17" s="303"/>
      <c r="F17" s="302"/>
      <c r="G17" s="302"/>
      <c r="H17" s="303"/>
      <c r="I17" s="303"/>
      <c r="J17" s="470"/>
      <c r="K17" s="303"/>
      <c r="L17" s="303"/>
      <c r="M17" s="302"/>
    </row>
    <row r="18" spans="1:13" x14ac:dyDescent="0.25">
      <c r="A18" s="302"/>
      <c r="B18" s="302"/>
      <c r="C18" s="315"/>
      <c r="D18" s="302"/>
      <c r="E18" s="302"/>
      <c r="F18" s="302"/>
      <c r="G18" s="302"/>
      <c r="H18" s="302"/>
      <c r="I18" s="302"/>
      <c r="J18" s="469"/>
      <c r="K18" s="302"/>
      <c r="L18" s="302"/>
      <c r="M18" s="302"/>
    </row>
    <row r="19" spans="1:13" x14ac:dyDescent="0.25">
      <c r="A19" s="302"/>
      <c r="B19" s="302"/>
      <c r="C19" s="315"/>
      <c r="D19" s="302"/>
      <c r="E19" s="302"/>
      <c r="F19" s="302"/>
      <c r="G19" s="302"/>
      <c r="H19" s="302"/>
      <c r="I19" s="302"/>
      <c r="J19" s="469"/>
      <c r="K19" s="302"/>
      <c r="L19" s="302"/>
      <c r="M19" s="302"/>
    </row>
    <row r="20" spans="1:13" s="316" customFormat="1" x14ac:dyDescent="0.25">
      <c r="A20" s="302"/>
      <c r="B20" s="302"/>
      <c r="C20" s="315"/>
      <c r="D20" s="302"/>
      <c r="E20" s="302"/>
      <c r="F20" s="302"/>
      <c r="G20" s="302"/>
      <c r="H20" s="302"/>
      <c r="I20" s="302"/>
      <c r="J20" s="469"/>
      <c r="K20" s="302"/>
      <c r="L20" s="302"/>
      <c r="M20" s="302"/>
    </row>
    <row r="21" spans="1:13" s="316" customFormat="1" x14ac:dyDescent="0.25">
      <c r="A21" s="303"/>
      <c r="B21" s="303"/>
      <c r="C21" s="315"/>
      <c r="D21" s="302"/>
      <c r="E21" s="302"/>
      <c r="F21" s="302"/>
      <c r="G21" s="302"/>
      <c r="H21" s="302"/>
      <c r="I21" s="302"/>
      <c r="J21" s="469"/>
      <c r="K21" s="302"/>
      <c r="L21" s="302"/>
      <c r="M21" s="302"/>
    </row>
    <row r="22" spans="1:13" s="316" customFormat="1" x14ac:dyDescent="0.25">
      <c r="A22" s="302"/>
      <c r="B22" s="302"/>
      <c r="C22" s="315"/>
      <c r="D22" s="302"/>
      <c r="E22" s="302"/>
      <c r="F22" s="302"/>
      <c r="G22" s="302"/>
      <c r="H22" s="302"/>
      <c r="I22" s="302"/>
      <c r="J22" s="469"/>
      <c r="K22" s="302"/>
      <c r="L22" s="302"/>
      <c r="M22" s="302"/>
    </row>
    <row r="23" spans="1:13" x14ac:dyDescent="0.25">
      <c r="A23" s="302"/>
      <c r="B23" s="302"/>
      <c r="C23" s="315"/>
      <c r="D23" s="302"/>
      <c r="E23" s="302"/>
      <c r="F23" s="302"/>
      <c r="G23" s="302"/>
      <c r="H23" s="302"/>
      <c r="I23" s="302"/>
      <c r="J23" s="469"/>
      <c r="K23" s="302"/>
      <c r="L23" s="302"/>
      <c r="M23" s="302"/>
    </row>
    <row r="24" spans="1:13" x14ac:dyDescent="0.25">
      <c r="A24" s="302"/>
      <c r="B24" s="302"/>
      <c r="C24" s="315"/>
      <c r="D24" s="302"/>
      <c r="E24" s="302"/>
      <c r="F24" s="302"/>
      <c r="G24" s="302"/>
      <c r="H24" s="302"/>
      <c r="I24" s="302"/>
      <c r="J24" s="469"/>
      <c r="K24" s="302"/>
      <c r="L24" s="302"/>
      <c r="M24" s="302"/>
    </row>
    <row r="25" spans="1:13" x14ac:dyDescent="0.25">
      <c r="A25" s="303"/>
      <c r="B25" s="303"/>
      <c r="C25" s="313"/>
      <c r="D25" s="302"/>
      <c r="E25" s="302"/>
      <c r="F25" s="303"/>
      <c r="G25" s="303"/>
      <c r="H25" s="302"/>
      <c r="I25" s="302"/>
      <c r="J25" s="469"/>
      <c r="K25" s="302"/>
      <c r="L25" s="302"/>
      <c r="M25" s="302"/>
    </row>
    <row r="26" spans="1:13" x14ac:dyDescent="0.25">
      <c r="A26" s="302"/>
      <c r="B26" s="302"/>
      <c r="C26" s="315"/>
      <c r="D26" s="302"/>
      <c r="E26" s="302"/>
      <c r="F26" s="302"/>
      <c r="G26" s="302"/>
      <c r="H26" s="302"/>
      <c r="I26" s="302"/>
      <c r="J26" s="469"/>
      <c r="K26" s="302"/>
      <c r="L26" s="302"/>
      <c r="M26" s="302"/>
    </row>
    <row r="27" spans="1:13" x14ac:dyDescent="0.25">
      <c r="A27" s="303"/>
      <c r="B27" s="303"/>
      <c r="C27" s="315"/>
      <c r="D27" s="302"/>
      <c r="E27" s="302"/>
      <c r="F27" s="302"/>
      <c r="G27" s="302"/>
      <c r="H27" s="302"/>
      <c r="I27" s="302"/>
      <c r="J27" s="469"/>
      <c r="K27" s="302"/>
      <c r="L27" s="302"/>
      <c r="M27" s="302"/>
    </row>
    <row r="28" spans="1:13" x14ac:dyDescent="0.25">
      <c r="A28" s="303"/>
      <c r="B28" s="303"/>
      <c r="C28" s="315"/>
      <c r="D28" s="302"/>
      <c r="E28" s="302"/>
      <c r="F28" s="302"/>
      <c r="G28" s="302"/>
      <c r="H28" s="302"/>
      <c r="I28" s="302"/>
      <c r="J28" s="469"/>
      <c r="K28" s="302"/>
      <c r="L28" s="302"/>
      <c r="M28" s="302"/>
    </row>
    <row r="29" spans="1:13" x14ac:dyDescent="0.25">
      <c r="A29" s="317"/>
      <c r="B29" s="303"/>
      <c r="C29" s="318"/>
      <c r="D29" s="304"/>
      <c r="E29" s="304"/>
      <c r="F29" s="304"/>
      <c r="G29" s="304"/>
      <c r="H29" s="304"/>
      <c r="I29" s="304"/>
      <c r="J29" s="471"/>
      <c r="K29" s="304"/>
      <c r="L29" s="304"/>
      <c r="M29" s="304"/>
    </row>
    <row r="30" spans="1:13" x14ac:dyDescent="0.25">
      <c r="A30" s="317"/>
      <c r="B30" s="317"/>
      <c r="C30" s="318"/>
      <c r="D30" s="304"/>
      <c r="E30" s="304"/>
      <c r="F30" s="304"/>
      <c r="G30" s="304"/>
      <c r="H30" s="304"/>
      <c r="I30" s="304"/>
      <c r="J30" s="471"/>
      <c r="K30" s="304"/>
      <c r="L30" s="304"/>
      <c r="M30" s="304"/>
    </row>
    <row r="31" spans="1:13" x14ac:dyDescent="0.25">
      <c r="A31" s="317"/>
      <c r="B31" s="303"/>
      <c r="C31" s="318"/>
      <c r="D31" s="304"/>
      <c r="E31" s="304"/>
      <c r="F31" s="304"/>
      <c r="G31" s="304"/>
      <c r="H31" s="304"/>
      <c r="I31" s="304"/>
      <c r="J31" s="471"/>
      <c r="K31" s="304"/>
      <c r="L31" s="304"/>
      <c r="M31" s="304"/>
    </row>
    <row r="32" spans="1:13" x14ac:dyDescent="0.25">
      <c r="A32" s="317"/>
      <c r="B32" s="303"/>
      <c r="C32" s="318"/>
      <c r="D32" s="304"/>
      <c r="E32" s="304"/>
      <c r="F32" s="304"/>
      <c r="G32" s="304"/>
      <c r="H32" s="304"/>
      <c r="I32" s="304"/>
      <c r="J32" s="471"/>
      <c r="K32" s="304"/>
      <c r="L32" s="304"/>
      <c r="M32" s="304"/>
    </row>
    <row r="33" spans="1:13" x14ac:dyDescent="0.25">
      <c r="A33" s="317"/>
      <c r="B33" s="317"/>
      <c r="C33" s="318"/>
      <c r="D33" s="304"/>
      <c r="E33" s="304"/>
      <c r="F33" s="304"/>
      <c r="G33" s="304"/>
      <c r="H33" s="304"/>
      <c r="I33" s="304"/>
      <c r="J33" s="471"/>
      <c r="K33" s="304"/>
      <c r="L33" s="304"/>
      <c r="M33" s="304"/>
    </row>
    <row r="34" spans="1:13" x14ac:dyDescent="0.25">
      <c r="A34" s="317"/>
      <c r="B34" s="317"/>
      <c r="C34" s="318"/>
      <c r="D34" s="304"/>
      <c r="E34" s="304"/>
      <c r="F34" s="304"/>
      <c r="G34" s="304"/>
      <c r="H34" s="304"/>
      <c r="I34" s="304"/>
      <c r="J34" s="471"/>
      <c r="K34" s="304"/>
      <c r="L34" s="304"/>
      <c r="M34" s="304"/>
    </row>
    <row r="35" spans="1:13" x14ac:dyDescent="0.25">
      <c r="A35" s="317"/>
      <c r="B35" s="317"/>
      <c r="C35" s="318"/>
      <c r="D35" s="304"/>
      <c r="E35" s="304"/>
      <c r="F35" s="304"/>
      <c r="G35" s="304"/>
      <c r="H35" s="304"/>
      <c r="I35" s="304"/>
      <c r="J35" s="471"/>
      <c r="K35" s="304"/>
      <c r="L35" s="304"/>
      <c r="M35" s="304"/>
    </row>
    <row r="36" spans="1:13" x14ac:dyDescent="0.25">
      <c r="A36" s="317"/>
      <c r="B36" s="317"/>
      <c r="C36" s="318"/>
      <c r="D36" s="304"/>
      <c r="E36" s="304"/>
      <c r="F36" s="304"/>
      <c r="G36" s="304"/>
      <c r="H36" s="304"/>
      <c r="I36" s="304"/>
      <c r="J36" s="471"/>
      <c r="K36" s="304"/>
      <c r="L36" s="304"/>
      <c r="M36" s="304"/>
    </row>
    <row r="37" spans="1:13" x14ac:dyDescent="0.25">
      <c r="A37" s="317"/>
      <c r="B37" s="317"/>
      <c r="C37" s="318"/>
      <c r="D37" s="304"/>
      <c r="E37" s="304"/>
      <c r="F37" s="304"/>
      <c r="G37" s="304"/>
      <c r="H37" s="304"/>
      <c r="I37" s="304"/>
      <c r="J37" s="471"/>
      <c r="K37" s="304"/>
      <c r="L37" s="304"/>
      <c r="M37" s="304"/>
    </row>
    <row r="38" spans="1:13" x14ac:dyDescent="0.25">
      <c r="A38" s="317"/>
      <c r="B38" s="317"/>
      <c r="C38" s="318"/>
      <c r="D38" s="304"/>
      <c r="E38" s="304"/>
      <c r="F38" s="304"/>
      <c r="G38" s="304"/>
      <c r="H38" s="304"/>
      <c r="I38" s="304"/>
      <c r="J38" s="471"/>
      <c r="K38" s="304"/>
      <c r="L38" s="304"/>
      <c r="M38" s="304"/>
    </row>
    <row r="39" spans="1:13" x14ac:dyDescent="0.25">
      <c r="A39" s="317"/>
      <c r="B39" s="317"/>
      <c r="C39" s="318"/>
      <c r="D39" s="304"/>
      <c r="E39" s="304"/>
      <c r="F39" s="304"/>
      <c r="G39" s="304"/>
      <c r="H39" s="304"/>
      <c r="I39" s="304"/>
      <c r="J39" s="471"/>
      <c r="K39" s="304"/>
      <c r="L39" s="304"/>
      <c r="M39" s="304"/>
    </row>
    <row r="40" spans="1:13" x14ac:dyDescent="0.25">
      <c r="A40" s="317"/>
      <c r="B40" s="317"/>
      <c r="C40" s="318"/>
      <c r="D40" s="304"/>
      <c r="E40" s="304"/>
      <c r="F40" s="304"/>
      <c r="G40" s="304"/>
      <c r="H40" s="304"/>
      <c r="I40" s="304"/>
      <c r="J40" s="471"/>
      <c r="K40" s="304"/>
      <c r="L40" s="304"/>
      <c r="M40" s="304"/>
    </row>
    <row r="41" spans="1:13" x14ac:dyDescent="0.25">
      <c r="A41" s="317"/>
      <c r="B41" s="317"/>
      <c r="C41" s="318"/>
      <c r="D41" s="304"/>
      <c r="E41" s="304"/>
      <c r="F41" s="304"/>
      <c r="G41" s="304"/>
      <c r="H41" s="304"/>
      <c r="I41" s="304"/>
      <c r="J41" s="471"/>
      <c r="K41" s="304"/>
      <c r="L41" s="304"/>
      <c r="M41" s="304"/>
    </row>
    <row r="42" spans="1:13" x14ac:dyDescent="0.25">
      <c r="A42" s="317"/>
      <c r="B42" s="317"/>
      <c r="C42" s="318"/>
      <c r="D42" s="304"/>
      <c r="E42" s="304"/>
      <c r="F42" s="304"/>
      <c r="G42" s="304"/>
      <c r="H42" s="304"/>
      <c r="I42" s="304"/>
      <c r="J42" s="471"/>
      <c r="K42" s="304"/>
      <c r="L42" s="304"/>
      <c r="M42" s="304"/>
    </row>
    <row r="43" spans="1:13" x14ac:dyDescent="0.25">
      <c r="A43" s="317"/>
      <c r="B43" s="317"/>
      <c r="C43" s="318"/>
      <c r="D43" s="304"/>
      <c r="E43" s="304"/>
      <c r="F43" s="304"/>
      <c r="G43" s="304"/>
      <c r="H43" s="304"/>
      <c r="I43" s="304"/>
      <c r="J43" s="471"/>
      <c r="K43" s="304"/>
      <c r="L43" s="304"/>
      <c r="M43" s="304"/>
    </row>
    <row r="44" spans="1:13" x14ac:dyDescent="0.25">
      <c r="A44" s="317"/>
      <c r="B44" s="317"/>
      <c r="C44" s="318"/>
      <c r="D44" s="304"/>
      <c r="E44" s="304"/>
      <c r="F44" s="304"/>
      <c r="G44" s="304"/>
      <c r="H44" s="304"/>
      <c r="I44" s="304"/>
      <c r="J44" s="471"/>
      <c r="K44" s="304"/>
      <c r="L44" s="304"/>
      <c r="M44" s="304"/>
    </row>
    <row r="45" spans="1:13" x14ac:dyDescent="0.25">
      <c r="A45" s="317"/>
      <c r="B45" s="317"/>
      <c r="C45" s="318"/>
      <c r="D45" s="304"/>
      <c r="E45" s="304"/>
      <c r="F45" s="304"/>
      <c r="G45" s="304"/>
      <c r="H45" s="304"/>
      <c r="I45" s="304"/>
      <c r="J45" s="471"/>
      <c r="K45" s="304"/>
      <c r="L45" s="304"/>
      <c r="M45" s="304"/>
    </row>
    <row r="46" spans="1:13" x14ac:dyDescent="0.25">
      <c r="A46" s="317"/>
      <c r="B46" s="317"/>
      <c r="C46" s="318"/>
      <c r="D46" s="304"/>
      <c r="E46" s="304"/>
      <c r="F46" s="304"/>
      <c r="G46" s="304"/>
      <c r="H46" s="304"/>
      <c r="I46" s="304"/>
      <c r="J46" s="471"/>
      <c r="K46" s="304"/>
      <c r="L46" s="304"/>
      <c r="M46" s="304"/>
    </row>
    <row r="47" spans="1:13" x14ac:dyDescent="0.25">
      <c r="A47" s="317"/>
      <c r="B47" s="317"/>
      <c r="C47" s="318"/>
      <c r="D47" s="304"/>
      <c r="E47" s="304"/>
      <c r="F47" s="304"/>
      <c r="G47" s="304"/>
      <c r="H47" s="304"/>
      <c r="I47" s="304"/>
      <c r="J47" s="471"/>
      <c r="K47" s="304"/>
      <c r="L47" s="304"/>
      <c r="M47" s="304"/>
    </row>
    <row r="48" spans="1:13" x14ac:dyDescent="0.25">
      <c r="A48" s="317"/>
      <c r="B48" s="303"/>
      <c r="C48" s="318"/>
      <c r="D48" s="304"/>
      <c r="E48" s="304"/>
      <c r="F48" s="304"/>
      <c r="G48" s="304"/>
      <c r="H48" s="304"/>
      <c r="I48" s="304"/>
      <c r="J48" s="471"/>
      <c r="K48" s="304"/>
      <c r="L48" s="304"/>
      <c r="M48" s="304"/>
    </row>
    <row r="49" spans="1:13" x14ac:dyDescent="0.25">
      <c r="A49" s="317"/>
      <c r="B49" s="317"/>
      <c r="C49" s="318"/>
      <c r="D49" s="304"/>
      <c r="E49" s="304"/>
      <c r="F49" s="304"/>
      <c r="G49" s="304"/>
      <c r="H49" s="304"/>
      <c r="I49" s="304"/>
      <c r="J49" s="471"/>
      <c r="K49" s="304"/>
      <c r="L49" s="304"/>
      <c r="M49" s="304"/>
    </row>
    <row r="50" spans="1:13" x14ac:dyDescent="0.25">
      <c r="A50" s="317"/>
      <c r="B50" s="317"/>
      <c r="C50" s="318"/>
      <c r="D50" s="304"/>
      <c r="E50" s="304"/>
      <c r="F50" s="304"/>
      <c r="G50" s="304"/>
      <c r="H50" s="304"/>
      <c r="I50" s="304"/>
      <c r="J50" s="471"/>
      <c r="K50" s="304"/>
      <c r="L50" s="304"/>
      <c r="M50" s="304"/>
    </row>
    <row r="51" spans="1:13" x14ac:dyDescent="0.25">
      <c r="A51" s="317"/>
      <c r="B51" s="317"/>
      <c r="C51" s="318"/>
      <c r="D51" s="304"/>
      <c r="E51" s="304"/>
      <c r="F51" s="304"/>
      <c r="G51" s="304"/>
      <c r="H51" s="304"/>
      <c r="I51" s="304"/>
      <c r="J51" s="471"/>
      <c r="K51" s="304"/>
      <c r="L51" s="304"/>
      <c r="M51" s="304"/>
    </row>
    <row r="52" spans="1:13" x14ac:dyDescent="0.25">
      <c r="A52" s="317"/>
      <c r="B52" s="317"/>
      <c r="C52" s="318"/>
      <c r="D52" s="304"/>
      <c r="E52" s="304"/>
      <c r="F52" s="304"/>
      <c r="G52" s="304"/>
      <c r="H52" s="304"/>
      <c r="I52" s="304"/>
      <c r="J52" s="471"/>
      <c r="K52" s="304"/>
      <c r="L52" s="304"/>
      <c r="M52" s="304"/>
    </row>
    <row r="53" spans="1:13" x14ac:dyDescent="0.25">
      <c r="A53" s="317"/>
      <c r="B53" s="317"/>
      <c r="C53" s="318"/>
      <c r="D53" s="304"/>
      <c r="E53" s="304"/>
      <c r="F53" s="304"/>
      <c r="G53" s="304"/>
      <c r="H53" s="304"/>
      <c r="I53" s="304"/>
      <c r="J53" s="471"/>
      <c r="K53" s="304"/>
      <c r="L53" s="304"/>
      <c r="M53" s="304"/>
    </row>
    <row r="54" spans="1:13" x14ac:dyDescent="0.25">
      <c r="A54" s="317"/>
      <c r="B54" s="317"/>
      <c r="C54" s="318"/>
      <c r="D54" s="304"/>
      <c r="E54" s="304"/>
      <c r="F54" s="304"/>
      <c r="G54" s="304"/>
      <c r="H54" s="304"/>
      <c r="I54" s="304"/>
      <c r="J54" s="471"/>
      <c r="K54" s="304"/>
      <c r="L54" s="304"/>
      <c r="M54" s="304"/>
    </row>
    <row r="55" spans="1:13" x14ac:dyDescent="0.25">
      <c r="A55" s="317"/>
      <c r="B55" s="317"/>
      <c r="C55" s="318"/>
      <c r="D55" s="304"/>
      <c r="E55" s="304"/>
      <c r="F55" s="304"/>
      <c r="G55" s="304"/>
      <c r="H55" s="304"/>
      <c r="I55" s="304"/>
      <c r="J55" s="471"/>
      <c r="K55" s="304"/>
      <c r="L55" s="304"/>
      <c r="M55" s="304"/>
    </row>
    <row r="56" spans="1:13" x14ac:dyDescent="0.25">
      <c r="A56" s="317"/>
      <c r="B56" s="317"/>
      <c r="C56" s="318"/>
      <c r="D56" s="304"/>
      <c r="E56" s="304"/>
      <c r="F56" s="304"/>
      <c r="G56" s="304"/>
      <c r="H56" s="304"/>
      <c r="I56" s="304"/>
      <c r="J56" s="471"/>
      <c r="K56" s="304"/>
      <c r="L56" s="304"/>
      <c r="M56" s="304"/>
    </row>
    <row r="57" spans="1:13" x14ac:dyDescent="0.25">
      <c r="A57" s="317"/>
      <c r="B57" s="317"/>
      <c r="C57" s="318"/>
      <c r="D57" s="304"/>
      <c r="E57" s="304"/>
      <c r="F57" s="304"/>
      <c r="G57" s="304"/>
      <c r="H57" s="304"/>
      <c r="I57" s="304"/>
      <c r="J57" s="471"/>
      <c r="K57" s="304"/>
      <c r="L57" s="304"/>
      <c r="M57" s="304"/>
    </row>
    <row r="58" spans="1:13" x14ac:dyDescent="0.25">
      <c r="A58" s="317"/>
      <c r="B58" s="303"/>
      <c r="C58" s="318"/>
      <c r="D58" s="304"/>
      <c r="E58" s="304"/>
      <c r="F58" s="304"/>
      <c r="G58" s="304"/>
      <c r="H58" s="304"/>
      <c r="I58" s="304"/>
      <c r="J58" s="471"/>
      <c r="K58" s="304"/>
      <c r="L58" s="304"/>
      <c r="M58" s="304"/>
    </row>
    <row r="59" spans="1:13" x14ac:dyDescent="0.25">
      <c r="A59" s="317"/>
      <c r="B59" s="317"/>
      <c r="C59" s="318"/>
      <c r="D59" s="304"/>
      <c r="E59" s="304"/>
      <c r="F59" s="304"/>
      <c r="G59" s="304"/>
      <c r="H59" s="304"/>
      <c r="I59" s="304"/>
      <c r="J59" s="471"/>
      <c r="K59" s="304"/>
      <c r="L59" s="304"/>
      <c r="M59" s="304"/>
    </row>
    <row r="60" spans="1:13" x14ac:dyDescent="0.25">
      <c r="A60" s="317"/>
      <c r="B60" s="317"/>
      <c r="C60" s="318"/>
      <c r="D60" s="304"/>
      <c r="E60" s="304"/>
      <c r="F60" s="304"/>
      <c r="G60" s="304"/>
      <c r="H60" s="304"/>
      <c r="I60" s="304"/>
      <c r="J60" s="471"/>
      <c r="K60" s="304"/>
      <c r="L60" s="304"/>
      <c r="M60" s="304"/>
    </row>
    <row r="61" spans="1:13" x14ac:dyDescent="0.25">
      <c r="A61" s="304"/>
      <c r="B61" s="317"/>
      <c r="C61" s="318"/>
      <c r="D61" s="304"/>
      <c r="E61" s="304"/>
      <c r="F61" s="317"/>
      <c r="G61" s="317"/>
      <c r="H61" s="304"/>
      <c r="I61" s="304"/>
      <c r="J61" s="471"/>
      <c r="K61" s="304"/>
      <c r="L61" s="304"/>
      <c r="M61" s="304"/>
    </row>
    <row r="62" spans="1:13" x14ac:dyDescent="0.25">
      <c r="A62" s="317"/>
      <c r="B62" s="317"/>
      <c r="C62" s="318"/>
      <c r="D62" s="304"/>
      <c r="E62" s="304"/>
      <c r="F62" s="304"/>
      <c r="G62" s="304"/>
      <c r="H62" s="304"/>
      <c r="I62" s="304"/>
      <c r="J62" s="471"/>
      <c r="K62" s="304"/>
      <c r="L62" s="304"/>
      <c r="M62" s="304"/>
    </row>
    <row r="63" spans="1:13" x14ac:dyDescent="0.25">
      <c r="A63" s="317"/>
      <c r="B63" s="317"/>
      <c r="C63" s="318"/>
      <c r="D63" s="304"/>
      <c r="E63" s="304"/>
      <c r="F63" s="304"/>
      <c r="G63" s="304"/>
      <c r="H63" s="304"/>
      <c r="I63" s="304"/>
      <c r="J63" s="471"/>
      <c r="K63" s="304"/>
      <c r="L63" s="304"/>
      <c r="M63" s="304"/>
    </row>
    <row r="64" spans="1:13" x14ac:dyDescent="0.25">
      <c r="A64" s="317"/>
      <c r="B64" s="317"/>
      <c r="C64" s="318"/>
      <c r="D64" s="304"/>
      <c r="E64" s="304"/>
      <c r="F64" s="304"/>
      <c r="G64" s="304"/>
      <c r="H64" s="304"/>
      <c r="I64" s="304"/>
      <c r="J64" s="471"/>
      <c r="K64" s="304"/>
      <c r="L64" s="304"/>
      <c r="M64" s="304"/>
    </row>
    <row r="65" spans="1:13" x14ac:dyDescent="0.25">
      <c r="A65" s="317"/>
      <c r="B65" s="317"/>
      <c r="C65" s="318"/>
      <c r="D65" s="304"/>
      <c r="E65" s="304"/>
      <c r="F65" s="304"/>
      <c r="G65" s="304"/>
      <c r="H65" s="304"/>
      <c r="I65" s="304"/>
      <c r="J65" s="471"/>
      <c r="K65" s="304"/>
      <c r="L65" s="304"/>
      <c r="M65" s="304"/>
    </row>
    <row r="66" spans="1:13" x14ac:dyDescent="0.25">
      <c r="A66" s="317"/>
      <c r="B66" s="317"/>
      <c r="C66" s="318"/>
      <c r="D66" s="304"/>
      <c r="E66" s="304"/>
      <c r="F66" s="304"/>
      <c r="G66" s="304"/>
      <c r="H66" s="304"/>
      <c r="I66" s="304"/>
      <c r="J66" s="471"/>
      <c r="K66" s="304"/>
      <c r="L66" s="304"/>
      <c r="M66" s="304"/>
    </row>
    <row r="67" spans="1:13" x14ac:dyDescent="0.25">
      <c r="A67" s="317"/>
      <c r="B67" s="317"/>
      <c r="C67" s="318"/>
      <c r="D67" s="304"/>
      <c r="E67" s="304"/>
      <c r="F67" s="304"/>
      <c r="G67" s="304"/>
      <c r="H67" s="304"/>
      <c r="I67" s="304"/>
      <c r="J67" s="471"/>
      <c r="K67" s="304"/>
      <c r="L67" s="304"/>
      <c r="M67" s="304"/>
    </row>
    <row r="68" spans="1:13" x14ac:dyDescent="0.25">
      <c r="A68" s="317"/>
      <c r="B68" s="317"/>
      <c r="C68" s="318"/>
      <c r="D68" s="304"/>
      <c r="E68" s="304"/>
      <c r="F68" s="304"/>
      <c r="G68" s="304"/>
      <c r="H68" s="304"/>
      <c r="I68" s="304"/>
      <c r="J68" s="471"/>
      <c r="K68" s="304"/>
      <c r="L68" s="304"/>
      <c r="M68" s="304"/>
    </row>
    <row r="69" spans="1:13" x14ac:dyDescent="0.25">
      <c r="A69" s="317"/>
      <c r="B69" s="317"/>
      <c r="C69" s="318"/>
      <c r="D69" s="304"/>
      <c r="E69" s="304"/>
      <c r="F69" s="304"/>
      <c r="G69" s="304"/>
      <c r="H69" s="304"/>
      <c r="I69" s="304"/>
      <c r="J69" s="471"/>
      <c r="K69" s="304"/>
      <c r="L69" s="304"/>
      <c r="M69" s="304"/>
    </row>
    <row r="70" spans="1:13" x14ac:dyDescent="0.25">
      <c r="A70" s="317"/>
      <c r="B70" s="317"/>
      <c r="C70" s="318"/>
      <c r="D70" s="304"/>
      <c r="E70" s="304"/>
      <c r="F70" s="304"/>
      <c r="G70" s="304"/>
      <c r="H70" s="304"/>
      <c r="I70" s="304"/>
      <c r="J70" s="471"/>
      <c r="K70" s="304"/>
      <c r="L70" s="304"/>
      <c r="M70" s="304"/>
    </row>
    <row r="71" spans="1:13" x14ac:dyDescent="0.25">
      <c r="A71" s="317"/>
      <c r="B71" s="303"/>
      <c r="C71" s="318"/>
      <c r="D71" s="304"/>
      <c r="E71" s="304"/>
      <c r="F71" s="304"/>
      <c r="G71" s="304"/>
      <c r="H71" s="304"/>
      <c r="I71" s="304"/>
      <c r="J71" s="471"/>
      <c r="K71" s="304"/>
      <c r="L71" s="304"/>
      <c r="M71" s="304"/>
    </row>
    <row r="72" spans="1:13" x14ac:dyDescent="0.25">
      <c r="A72" s="317"/>
      <c r="B72" s="303"/>
      <c r="C72" s="318"/>
      <c r="D72" s="304"/>
      <c r="E72" s="304"/>
      <c r="F72" s="304"/>
      <c r="G72" s="304"/>
      <c r="H72" s="304"/>
      <c r="I72" s="304"/>
      <c r="J72" s="471"/>
      <c r="K72" s="304"/>
      <c r="L72" s="304"/>
      <c r="M72" s="304"/>
    </row>
    <row r="73" spans="1:13" x14ac:dyDescent="0.25">
      <c r="A73" s="317"/>
      <c r="B73" s="317"/>
      <c r="C73" s="318"/>
      <c r="D73" s="304"/>
      <c r="E73" s="304"/>
      <c r="F73" s="304"/>
      <c r="G73" s="304"/>
      <c r="H73" s="304"/>
      <c r="I73" s="304"/>
      <c r="J73" s="471"/>
      <c r="K73" s="304"/>
      <c r="L73" s="304"/>
      <c r="M73" s="304"/>
    </row>
    <row r="74" spans="1:13" x14ac:dyDescent="0.25">
      <c r="A74" s="317"/>
      <c r="B74" s="317"/>
      <c r="C74" s="318"/>
      <c r="D74" s="304"/>
      <c r="E74" s="304"/>
      <c r="F74" s="304"/>
      <c r="G74" s="304"/>
      <c r="H74" s="304"/>
      <c r="I74" s="304"/>
      <c r="J74" s="471"/>
      <c r="K74" s="304"/>
      <c r="L74" s="304"/>
      <c r="M74" s="304"/>
    </row>
    <row r="75" spans="1:13" x14ac:dyDescent="0.25">
      <c r="A75" s="317"/>
      <c r="B75" s="303"/>
      <c r="C75" s="318"/>
      <c r="D75" s="304"/>
      <c r="E75" s="304"/>
      <c r="F75" s="304"/>
      <c r="G75" s="304"/>
      <c r="H75" s="304"/>
      <c r="I75" s="304"/>
      <c r="J75" s="471"/>
      <c r="K75" s="304"/>
      <c r="L75" s="304"/>
      <c r="M75" s="304"/>
    </row>
    <row r="76" spans="1:13" x14ac:dyDescent="0.25">
      <c r="A76" s="317"/>
      <c r="B76" s="317"/>
      <c r="C76" s="318"/>
      <c r="D76" s="304"/>
      <c r="E76" s="304"/>
      <c r="F76" s="304"/>
      <c r="G76" s="304"/>
      <c r="H76" s="304"/>
      <c r="I76" s="304"/>
      <c r="J76" s="471"/>
      <c r="K76" s="304"/>
      <c r="L76" s="304"/>
      <c r="M76" s="304"/>
    </row>
    <row r="77" spans="1:13" x14ac:dyDescent="0.25">
      <c r="A77" s="317"/>
      <c r="B77" s="317"/>
      <c r="C77" s="318"/>
      <c r="D77" s="304"/>
      <c r="E77" s="304"/>
      <c r="F77" s="304"/>
      <c r="G77" s="304"/>
      <c r="H77" s="304"/>
      <c r="I77" s="304"/>
      <c r="J77" s="471"/>
      <c r="K77" s="304"/>
      <c r="L77" s="304"/>
      <c r="M77" s="304"/>
    </row>
    <row r="78" spans="1:13" x14ac:dyDescent="0.25">
      <c r="A78" s="317"/>
      <c r="B78" s="317"/>
      <c r="C78" s="318"/>
      <c r="D78" s="304"/>
      <c r="E78" s="304"/>
      <c r="F78" s="304"/>
      <c r="G78" s="304"/>
      <c r="H78" s="304"/>
      <c r="I78" s="304"/>
      <c r="J78" s="471"/>
      <c r="K78" s="304"/>
      <c r="L78" s="304"/>
      <c r="M78" s="304"/>
    </row>
    <row r="79" spans="1:13" x14ac:dyDescent="0.25">
      <c r="A79" s="317"/>
      <c r="B79" s="317"/>
      <c r="C79" s="318"/>
      <c r="D79" s="304"/>
      <c r="E79" s="304"/>
      <c r="F79" s="304"/>
      <c r="G79" s="304"/>
      <c r="H79" s="304"/>
      <c r="I79" s="304"/>
      <c r="J79" s="471"/>
      <c r="K79" s="304"/>
      <c r="L79" s="304"/>
      <c r="M79" s="304"/>
    </row>
    <row r="80" spans="1:13" x14ac:dyDescent="0.25">
      <c r="A80" s="317"/>
      <c r="B80" s="317"/>
      <c r="C80" s="318"/>
      <c r="D80" s="304"/>
      <c r="E80" s="304"/>
      <c r="F80" s="304"/>
      <c r="G80" s="304"/>
      <c r="H80" s="304"/>
      <c r="I80" s="304"/>
      <c r="J80" s="471"/>
      <c r="K80" s="304"/>
      <c r="L80" s="304"/>
      <c r="M80" s="304"/>
    </row>
    <row r="81" spans="1:13" x14ac:dyDescent="0.25">
      <c r="A81" s="317"/>
      <c r="B81" s="317"/>
      <c r="C81" s="318"/>
      <c r="D81" s="304"/>
      <c r="E81" s="304"/>
      <c r="F81" s="304"/>
      <c r="G81" s="304"/>
      <c r="H81" s="304"/>
      <c r="I81" s="304"/>
      <c r="J81" s="471"/>
      <c r="K81" s="304"/>
      <c r="L81" s="304"/>
      <c r="M81" s="304"/>
    </row>
    <row r="82" spans="1:13" x14ac:dyDescent="0.25">
      <c r="A82" s="317"/>
      <c r="B82" s="317"/>
      <c r="C82" s="318"/>
      <c r="D82" s="304"/>
      <c r="E82" s="304"/>
      <c r="F82" s="304"/>
      <c r="G82" s="304"/>
      <c r="H82" s="304"/>
      <c r="I82" s="304"/>
      <c r="J82" s="471"/>
      <c r="K82" s="304"/>
      <c r="L82" s="304"/>
      <c r="M82" s="304"/>
    </row>
    <row r="83" spans="1:13" x14ac:dyDescent="0.25">
      <c r="A83" s="304"/>
      <c r="B83" s="317"/>
      <c r="C83" s="318"/>
      <c r="D83" s="304"/>
      <c r="E83" s="304"/>
      <c r="F83" s="317"/>
      <c r="G83" s="317"/>
      <c r="H83" s="304"/>
      <c r="I83" s="304"/>
      <c r="J83" s="471"/>
      <c r="K83" s="304"/>
      <c r="L83" s="304"/>
      <c r="M83" s="304"/>
    </row>
    <row r="84" spans="1:13" x14ac:dyDescent="0.25">
      <c r="A84" s="317"/>
      <c r="B84" s="317"/>
      <c r="C84" s="318"/>
      <c r="D84" s="304"/>
      <c r="E84" s="304"/>
      <c r="F84" s="304"/>
      <c r="G84" s="304"/>
      <c r="H84" s="304"/>
      <c r="I84" s="304"/>
      <c r="J84" s="471"/>
      <c r="K84" s="304"/>
      <c r="L84" s="304"/>
      <c r="M84" s="304"/>
    </row>
    <row r="85" spans="1:13" x14ac:dyDescent="0.25">
      <c r="A85" s="317"/>
      <c r="B85" s="317"/>
      <c r="C85" s="318"/>
      <c r="D85" s="304"/>
      <c r="E85" s="304"/>
      <c r="F85" s="304"/>
      <c r="G85" s="304"/>
      <c r="H85" s="304"/>
      <c r="I85" s="304"/>
      <c r="J85" s="471"/>
      <c r="K85" s="304"/>
      <c r="L85" s="304"/>
      <c r="M85" s="304"/>
    </row>
    <row r="86" spans="1:13" x14ac:dyDescent="0.25">
      <c r="A86" s="317"/>
      <c r="B86" s="317"/>
      <c r="C86" s="318"/>
      <c r="D86" s="304"/>
      <c r="E86" s="304"/>
      <c r="F86" s="304"/>
      <c r="G86" s="304"/>
      <c r="H86" s="304"/>
      <c r="I86" s="304"/>
      <c r="J86" s="471"/>
      <c r="K86" s="304"/>
      <c r="L86" s="304"/>
      <c r="M86" s="304"/>
    </row>
    <row r="87" spans="1:13" x14ac:dyDescent="0.25">
      <c r="A87" s="317"/>
      <c r="B87" s="317"/>
      <c r="C87" s="318"/>
      <c r="D87" s="304"/>
      <c r="E87" s="304"/>
      <c r="F87" s="304"/>
      <c r="G87" s="304"/>
      <c r="H87" s="304"/>
      <c r="I87" s="304"/>
      <c r="J87" s="471"/>
      <c r="K87" s="304"/>
      <c r="L87" s="304"/>
      <c r="M87" s="304"/>
    </row>
    <row r="88" spans="1:13" x14ac:dyDescent="0.25">
      <c r="A88" s="317"/>
      <c r="B88" s="317"/>
      <c r="C88" s="318"/>
      <c r="D88" s="304"/>
      <c r="E88" s="304"/>
      <c r="F88" s="304"/>
      <c r="G88" s="304"/>
      <c r="H88" s="304"/>
      <c r="I88" s="304"/>
      <c r="J88" s="471"/>
      <c r="K88" s="304"/>
      <c r="L88" s="304"/>
      <c r="M88" s="304"/>
    </row>
    <row r="89" spans="1:13" x14ac:dyDescent="0.25">
      <c r="A89" s="317"/>
      <c r="B89" s="317"/>
      <c r="C89" s="318"/>
      <c r="D89" s="304"/>
      <c r="E89" s="304"/>
      <c r="F89" s="304"/>
      <c r="G89" s="304"/>
      <c r="H89" s="304"/>
      <c r="I89" s="304"/>
      <c r="J89" s="471"/>
      <c r="K89" s="304"/>
      <c r="L89" s="304"/>
      <c r="M89" s="304"/>
    </row>
    <row r="90" spans="1:13" x14ac:dyDescent="0.25">
      <c r="A90" s="317"/>
      <c r="B90" s="317"/>
      <c r="C90" s="318"/>
      <c r="D90" s="304"/>
      <c r="E90" s="304"/>
      <c r="F90" s="304"/>
      <c r="G90" s="304"/>
      <c r="H90" s="304"/>
      <c r="I90" s="304"/>
      <c r="J90" s="471"/>
      <c r="K90" s="304"/>
      <c r="L90" s="304"/>
      <c r="M90" s="304"/>
    </row>
    <row r="91" spans="1:13" x14ac:dyDescent="0.25">
      <c r="A91" s="317"/>
      <c r="B91" s="317"/>
      <c r="C91" s="318"/>
      <c r="D91" s="304"/>
      <c r="E91" s="304"/>
      <c r="F91" s="304"/>
      <c r="G91" s="304"/>
      <c r="H91" s="304"/>
      <c r="I91" s="304"/>
      <c r="J91" s="471"/>
      <c r="K91" s="304"/>
      <c r="L91" s="304"/>
      <c r="M91" s="304"/>
    </row>
    <row r="92" spans="1:13" x14ac:dyDescent="0.25">
      <c r="A92" s="317"/>
      <c r="B92" s="317"/>
      <c r="C92" s="318"/>
      <c r="D92" s="304"/>
      <c r="E92" s="304"/>
      <c r="F92" s="304"/>
      <c r="G92" s="304"/>
      <c r="H92" s="304"/>
      <c r="I92" s="304"/>
      <c r="J92" s="471"/>
      <c r="K92" s="304"/>
      <c r="L92" s="304"/>
      <c r="M92" s="304"/>
    </row>
    <row r="93" spans="1:13" x14ac:dyDescent="0.25">
      <c r="A93" s="317"/>
      <c r="B93" s="317"/>
      <c r="C93" s="318"/>
      <c r="D93" s="304"/>
      <c r="E93" s="304"/>
      <c r="F93" s="304"/>
      <c r="G93" s="304"/>
      <c r="H93" s="304"/>
      <c r="I93" s="304"/>
      <c r="J93" s="471"/>
      <c r="K93" s="304"/>
      <c r="L93" s="304"/>
      <c r="M93" s="304"/>
    </row>
    <row r="94" spans="1:13" x14ac:dyDescent="0.25">
      <c r="A94" s="317"/>
      <c r="B94" s="317"/>
      <c r="C94" s="318"/>
      <c r="D94" s="304"/>
      <c r="E94" s="304"/>
      <c r="F94" s="304"/>
      <c r="G94" s="304"/>
      <c r="H94" s="304"/>
      <c r="I94" s="304"/>
      <c r="J94" s="471"/>
      <c r="K94" s="304"/>
      <c r="L94" s="304"/>
      <c r="M94" s="304"/>
    </row>
    <row r="95" spans="1:13" x14ac:dyDescent="0.25">
      <c r="A95" s="317"/>
      <c r="B95" s="317"/>
      <c r="C95" s="318"/>
      <c r="D95" s="304"/>
      <c r="E95" s="304"/>
      <c r="F95" s="304"/>
      <c r="G95" s="304"/>
      <c r="H95" s="304"/>
      <c r="I95" s="304"/>
      <c r="J95" s="471"/>
      <c r="K95" s="304"/>
      <c r="L95" s="304"/>
      <c r="M95" s="304"/>
    </row>
    <row r="96" spans="1:13" x14ac:dyDescent="0.25">
      <c r="A96" s="317"/>
      <c r="B96" s="317"/>
      <c r="C96" s="318"/>
      <c r="D96" s="304"/>
      <c r="E96" s="304"/>
      <c r="F96" s="304"/>
      <c r="G96" s="304"/>
      <c r="H96" s="304"/>
      <c r="I96" s="304"/>
      <c r="J96" s="471"/>
      <c r="K96" s="304"/>
      <c r="L96" s="304"/>
      <c r="M96" s="304"/>
    </row>
    <row r="97" spans="1:13" x14ac:dyDescent="0.25">
      <c r="A97" s="317"/>
      <c r="B97" s="317"/>
      <c r="C97" s="318"/>
      <c r="D97" s="304"/>
      <c r="E97" s="304"/>
      <c r="F97" s="304"/>
      <c r="G97" s="304"/>
      <c r="H97" s="304"/>
      <c r="I97" s="304"/>
      <c r="J97" s="471"/>
      <c r="K97" s="304"/>
      <c r="L97" s="304"/>
      <c r="M97" s="304"/>
    </row>
    <row r="98" spans="1:13" x14ac:dyDescent="0.25">
      <c r="A98" s="317"/>
      <c r="B98" s="317"/>
      <c r="C98" s="318"/>
      <c r="D98" s="304"/>
      <c r="E98" s="304"/>
      <c r="F98" s="304"/>
      <c r="G98" s="304"/>
      <c r="H98" s="304"/>
      <c r="I98" s="304"/>
      <c r="J98" s="471"/>
      <c r="K98" s="304"/>
      <c r="L98" s="304"/>
      <c r="M98" s="304"/>
    </row>
    <row r="99" spans="1:13" x14ac:dyDescent="0.25">
      <c r="A99" s="317"/>
      <c r="B99" s="317"/>
      <c r="C99" s="318"/>
      <c r="D99" s="304"/>
      <c r="E99" s="304"/>
      <c r="F99" s="304"/>
      <c r="G99" s="304"/>
      <c r="H99" s="304"/>
      <c r="I99" s="304"/>
      <c r="J99" s="471"/>
      <c r="K99" s="304"/>
      <c r="L99" s="304"/>
      <c r="M99" s="304"/>
    </row>
    <row r="100" spans="1:13" x14ac:dyDescent="0.25">
      <c r="A100" s="317"/>
      <c r="B100" s="317"/>
      <c r="C100" s="318"/>
      <c r="D100" s="304"/>
      <c r="E100" s="304"/>
      <c r="F100" s="304"/>
      <c r="G100" s="304"/>
      <c r="H100" s="304"/>
      <c r="I100" s="304"/>
      <c r="J100" s="471"/>
      <c r="K100" s="304"/>
      <c r="L100" s="304"/>
      <c r="M100" s="304"/>
    </row>
    <row r="101" spans="1:13" x14ac:dyDescent="0.25">
      <c r="A101" s="317"/>
      <c r="B101" s="317"/>
      <c r="C101" s="318"/>
      <c r="D101" s="304"/>
      <c r="E101" s="304"/>
      <c r="F101" s="304"/>
      <c r="G101" s="304"/>
      <c r="H101" s="304"/>
      <c r="I101" s="304"/>
      <c r="J101" s="471"/>
      <c r="K101" s="304"/>
      <c r="L101" s="304"/>
      <c r="M101" s="304"/>
    </row>
    <row r="102" spans="1:13" x14ac:dyDescent="0.25">
      <c r="A102" s="317"/>
      <c r="B102" s="317"/>
      <c r="C102" s="318"/>
      <c r="D102" s="304"/>
      <c r="E102" s="304"/>
      <c r="F102" s="304"/>
      <c r="G102" s="304"/>
      <c r="H102" s="304"/>
      <c r="I102" s="304"/>
      <c r="J102" s="471"/>
      <c r="K102" s="304"/>
      <c r="L102" s="304"/>
      <c r="M102" s="304"/>
    </row>
    <row r="103" spans="1:13" x14ac:dyDescent="0.25">
      <c r="A103" s="317"/>
      <c r="B103" s="317"/>
      <c r="C103" s="318"/>
      <c r="D103" s="304"/>
      <c r="E103" s="304"/>
      <c r="F103" s="304"/>
      <c r="G103" s="304"/>
      <c r="H103" s="304"/>
      <c r="I103" s="304"/>
      <c r="J103" s="471"/>
      <c r="K103" s="304"/>
      <c r="L103" s="304"/>
      <c r="M103" s="304"/>
    </row>
    <row r="104" spans="1:13" x14ac:dyDescent="0.25">
      <c r="A104" s="317"/>
      <c r="B104" s="317"/>
      <c r="C104" s="318"/>
      <c r="D104" s="304"/>
      <c r="E104" s="304"/>
      <c r="F104" s="304"/>
      <c r="G104" s="304"/>
      <c r="H104" s="304"/>
      <c r="I104" s="304"/>
      <c r="J104" s="471"/>
      <c r="K104" s="304"/>
      <c r="L104" s="304"/>
      <c r="M104" s="304"/>
    </row>
    <row r="105" spans="1:13" x14ac:dyDescent="0.25">
      <c r="A105" s="317"/>
      <c r="B105" s="317"/>
      <c r="C105" s="318"/>
      <c r="D105" s="304"/>
      <c r="E105" s="304"/>
      <c r="F105" s="304"/>
      <c r="G105" s="304"/>
      <c r="H105" s="304"/>
      <c r="I105" s="304"/>
      <c r="J105" s="471"/>
      <c r="K105" s="304"/>
      <c r="L105" s="304"/>
      <c r="M105" s="304"/>
    </row>
    <row r="106" spans="1:13" x14ac:dyDescent="0.25">
      <c r="A106" s="317"/>
      <c r="B106" s="317"/>
      <c r="C106" s="318"/>
      <c r="D106" s="304"/>
      <c r="E106" s="304"/>
      <c r="F106" s="304"/>
      <c r="G106" s="304"/>
      <c r="H106" s="304"/>
      <c r="I106" s="304"/>
      <c r="J106" s="471"/>
      <c r="K106" s="304"/>
      <c r="L106" s="304"/>
      <c r="M106" s="304"/>
    </row>
    <row r="107" spans="1:13" x14ac:dyDescent="0.25">
      <c r="A107" s="317"/>
      <c r="B107" s="317"/>
      <c r="C107" s="318"/>
      <c r="D107" s="304"/>
      <c r="E107" s="304"/>
      <c r="F107" s="304"/>
      <c r="G107" s="304"/>
      <c r="H107" s="304"/>
      <c r="I107" s="304"/>
      <c r="J107" s="471"/>
      <c r="K107" s="304"/>
      <c r="L107" s="304"/>
      <c r="M107" s="304"/>
    </row>
    <row r="108" spans="1:13" x14ac:dyDescent="0.25">
      <c r="A108" s="317"/>
      <c r="B108" s="317"/>
      <c r="C108" s="318"/>
      <c r="D108" s="304"/>
      <c r="E108" s="304"/>
      <c r="F108" s="304"/>
      <c r="G108" s="304"/>
      <c r="H108" s="304"/>
      <c r="I108" s="304"/>
      <c r="J108" s="471"/>
      <c r="K108" s="304"/>
      <c r="L108" s="304"/>
      <c r="M108" s="304"/>
    </row>
    <row r="109" spans="1:13" x14ac:dyDescent="0.25">
      <c r="A109" s="317"/>
      <c r="B109" s="317"/>
      <c r="C109" s="318"/>
      <c r="D109" s="304"/>
      <c r="E109" s="304"/>
      <c r="F109" s="304"/>
      <c r="G109" s="304"/>
      <c r="H109" s="304"/>
      <c r="I109" s="304"/>
      <c r="J109" s="471"/>
      <c r="K109" s="304"/>
      <c r="L109" s="304"/>
      <c r="M109" s="304"/>
    </row>
    <row r="110" spans="1:13" x14ac:dyDescent="0.25">
      <c r="A110" s="317"/>
      <c r="B110" s="317"/>
      <c r="C110" s="318"/>
      <c r="D110" s="304"/>
      <c r="E110" s="304"/>
      <c r="F110" s="304"/>
      <c r="G110" s="304"/>
      <c r="H110" s="304"/>
      <c r="I110" s="304"/>
      <c r="J110" s="471"/>
      <c r="K110" s="304"/>
      <c r="L110" s="304"/>
      <c r="M110" s="304"/>
    </row>
    <row r="111" spans="1:13" x14ac:dyDescent="0.25">
      <c r="A111" s="317"/>
      <c r="B111" s="317"/>
      <c r="C111" s="318"/>
      <c r="D111" s="304"/>
      <c r="E111" s="304"/>
      <c r="F111" s="304"/>
      <c r="G111" s="304"/>
      <c r="H111" s="304"/>
      <c r="I111" s="304"/>
      <c r="J111" s="471"/>
      <c r="K111" s="304"/>
      <c r="L111" s="304"/>
      <c r="M111" s="304"/>
    </row>
    <row r="112" spans="1:13" x14ac:dyDescent="0.25">
      <c r="A112" s="317"/>
      <c r="B112" s="317"/>
      <c r="C112" s="318"/>
      <c r="D112" s="304"/>
      <c r="E112" s="304"/>
      <c r="F112" s="304"/>
      <c r="G112" s="304"/>
      <c r="H112" s="304"/>
      <c r="I112" s="304"/>
      <c r="J112" s="471"/>
      <c r="K112" s="304"/>
      <c r="L112" s="304"/>
      <c r="M112" s="304"/>
    </row>
    <row r="113" spans="1:13" x14ac:dyDescent="0.25">
      <c r="A113" s="317"/>
      <c r="B113" s="317"/>
      <c r="C113" s="318"/>
      <c r="D113" s="304"/>
      <c r="E113" s="304"/>
      <c r="F113" s="304"/>
      <c r="G113" s="304"/>
      <c r="H113" s="304"/>
      <c r="I113" s="304"/>
      <c r="J113" s="471"/>
      <c r="K113" s="304"/>
      <c r="L113" s="304"/>
      <c r="M113" s="304"/>
    </row>
    <row r="114" spans="1:13" x14ac:dyDescent="0.25">
      <c r="A114" s="317"/>
      <c r="B114" s="317"/>
      <c r="C114" s="318"/>
      <c r="D114" s="304"/>
      <c r="E114" s="304"/>
      <c r="F114" s="304"/>
      <c r="G114" s="304"/>
      <c r="H114" s="304"/>
      <c r="I114" s="304"/>
      <c r="J114" s="471"/>
      <c r="K114" s="304"/>
      <c r="L114" s="304"/>
      <c r="M114" s="304"/>
    </row>
    <row r="115" spans="1:13" x14ac:dyDescent="0.25">
      <c r="A115" s="317"/>
      <c r="B115" s="317"/>
      <c r="C115" s="318"/>
      <c r="D115" s="304"/>
      <c r="E115" s="304"/>
      <c r="F115" s="304"/>
      <c r="G115" s="304"/>
      <c r="H115" s="304"/>
      <c r="I115" s="304"/>
      <c r="J115" s="471"/>
      <c r="K115" s="304"/>
      <c r="L115" s="304"/>
      <c r="M115" s="304"/>
    </row>
    <row r="116" spans="1:13" x14ac:dyDescent="0.25">
      <c r="A116" s="317"/>
      <c r="B116" s="317"/>
      <c r="C116" s="318"/>
      <c r="D116" s="304"/>
      <c r="E116" s="304"/>
      <c r="F116" s="304"/>
      <c r="G116" s="304"/>
      <c r="H116" s="304"/>
      <c r="I116" s="304"/>
      <c r="J116" s="471"/>
      <c r="K116" s="304"/>
      <c r="L116" s="304"/>
      <c r="M116" s="304"/>
    </row>
    <row r="117" spans="1:13" x14ac:dyDescent="0.25">
      <c r="A117" s="304"/>
      <c r="B117" s="317"/>
      <c r="C117" s="318"/>
      <c r="D117" s="304"/>
      <c r="E117" s="304"/>
      <c r="F117" s="304"/>
      <c r="G117" s="304"/>
      <c r="H117" s="304"/>
      <c r="I117" s="304"/>
      <c r="J117" s="471"/>
      <c r="K117" s="304"/>
      <c r="L117" s="304"/>
      <c r="M117" s="304"/>
    </row>
    <row r="118" spans="1:13" x14ac:dyDescent="0.25">
      <c r="A118" s="317"/>
      <c r="B118" s="317"/>
      <c r="C118" s="318"/>
      <c r="D118" s="304"/>
      <c r="E118" s="304"/>
      <c r="F118" s="304"/>
      <c r="G118" s="304"/>
      <c r="H118" s="304"/>
      <c r="I118" s="304"/>
      <c r="J118" s="471"/>
      <c r="K118" s="304"/>
      <c r="L118" s="304"/>
      <c r="M118" s="304"/>
    </row>
    <row r="119" spans="1:13" x14ac:dyDescent="0.25">
      <c r="A119" s="317"/>
      <c r="B119" s="317"/>
      <c r="C119" s="318"/>
      <c r="D119" s="304"/>
      <c r="E119" s="304"/>
      <c r="F119" s="304"/>
      <c r="G119" s="304"/>
      <c r="H119" s="304"/>
      <c r="I119" s="304"/>
      <c r="J119" s="471"/>
      <c r="K119" s="304"/>
      <c r="L119" s="304"/>
      <c r="M119" s="304"/>
    </row>
    <row r="120" spans="1:13" x14ac:dyDescent="0.25">
      <c r="A120" s="317"/>
      <c r="B120" s="317"/>
      <c r="C120" s="318"/>
      <c r="D120" s="304"/>
      <c r="E120" s="304"/>
      <c r="F120" s="304"/>
      <c r="G120" s="304"/>
      <c r="H120" s="304"/>
      <c r="I120" s="304"/>
      <c r="J120" s="471"/>
      <c r="K120" s="304"/>
      <c r="L120" s="304"/>
      <c r="M120" s="304"/>
    </row>
    <row r="121" spans="1:13" x14ac:dyDescent="0.25">
      <c r="A121" s="317"/>
      <c r="B121" s="317"/>
      <c r="C121" s="318"/>
      <c r="D121" s="304"/>
      <c r="E121" s="304"/>
      <c r="F121" s="304"/>
      <c r="G121" s="304"/>
      <c r="H121" s="304"/>
      <c r="I121" s="304"/>
      <c r="J121" s="471"/>
      <c r="K121" s="304"/>
      <c r="L121" s="304"/>
      <c r="M121" s="304"/>
    </row>
    <row r="122" spans="1:13" x14ac:dyDescent="0.25">
      <c r="A122" s="317"/>
      <c r="B122" s="317"/>
      <c r="C122" s="318"/>
      <c r="D122" s="304"/>
      <c r="E122" s="304"/>
      <c r="F122" s="304"/>
      <c r="G122" s="304"/>
      <c r="H122" s="304"/>
      <c r="I122" s="304"/>
      <c r="J122" s="471"/>
      <c r="K122" s="304"/>
      <c r="L122" s="304"/>
      <c r="M122" s="304"/>
    </row>
    <row r="123" spans="1:13" x14ac:dyDescent="0.25">
      <c r="A123" s="317"/>
      <c r="B123" s="317"/>
      <c r="C123" s="318"/>
      <c r="D123" s="304"/>
      <c r="E123" s="304"/>
      <c r="F123" s="304"/>
      <c r="G123" s="304"/>
      <c r="H123" s="304"/>
      <c r="I123" s="304"/>
      <c r="J123" s="471"/>
      <c r="K123" s="304"/>
      <c r="L123" s="304"/>
      <c r="M123" s="304"/>
    </row>
    <row r="124" spans="1:13" x14ac:dyDescent="0.25">
      <c r="A124" s="317"/>
      <c r="B124" s="317"/>
      <c r="C124" s="318"/>
      <c r="D124" s="304"/>
      <c r="E124" s="304"/>
      <c r="F124" s="304"/>
      <c r="G124" s="304"/>
      <c r="H124" s="304"/>
      <c r="I124" s="304"/>
      <c r="J124" s="471"/>
      <c r="K124" s="304"/>
      <c r="L124" s="304"/>
      <c r="M124" s="304"/>
    </row>
    <row r="125" spans="1:13" x14ac:dyDescent="0.25">
      <c r="A125" s="317"/>
      <c r="B125" s="317"/>
      <c r="C125" s="318"/>
      <c r="D125" s="304"/>
      <c r="E125" s="304"/>
      <c r="F125" s="304"/>
      <c r="G125" s="304"/>
      <c r="H125" s="304"/>
      <c r="I125" s="304"/>
      <c r="J125" s="471"/>
      <c r="K125" s="304"/>
      <c r="L125" s="304"/>
      <c r="M125" s="304"/>
    </row>
    <row r="126" spans="1:13" x14ac:dyDescent="0.25">
      <c r="A126" s="317"/>
      <c r="B126" s="317"/>
      <c r="C126" s="318"/>
      <c r="D126" s="304"/>
      <c r="E126" s="304"/>
      <c r="F126" s="304"/>
      <c r="G126" s="304"/>
      <c r="H126" s="304"/>
      <c r="I126" s="304"/>
      <c r="J126" s="471"/>
      <c r="K126" s="304"/>
      <c r="L126" s="304"/>
      <c r="M126" s="304"/>
    </row>
    <row r="127" spans="1:13" x14ac:dyDescent="0.25">
      <c r="A127" s="317"/>
      <c r="B127" s="317"/>
      <c r="C127" s="318"/>
      <c r="D127" s="304"/>
      <c r="E127" s="304"/>
      <c r="F127" s="304"/>
      <c r="G127" s="304"/>
      <c r="H127" s="304"/>
      <c r="I127" s="304"/>
      <c r="J127" s="471"/>
      <c r="K127" s="304"/>
      <c r="L127" s="304"/>
      <c r="M127" s="304"/>
    </row>
    <row r="128" spans="1:13" ht="15.75" thickBot="1" x14ac:dyDescent="0.3">
      <c r="A128" s="319"/>
      <c r="B128" s="319"/>
      <c r="C128" s="320"/>
      <c r="D128" s="305"/>
      <c r="E128" s="305"/>
      <c r="F128" s="305"/>
      <c r="G128" s="305"/>
      <c r="H128" s="305"/>
      <c r="I128" s="305"/>
      <c r="J128" s="472"/>
      <c r="K128" s="305"/>
      <c r="L128" s="305"/>
      <c r="M128" s="305"/>
    </row>
  </sheetData>
  <autoFilter ref="A2:M5" xr:uid="{7C717F9F-D1AD-4153-BDEC-F96F3F40B03C}">
    <sortState xmlns:xlrd2="http://schemas.microsoft.com/office/spreadsheetml/2017/richdata2" ref="A3:M4">
      <sortCondition ref="A2"/>
    </sortState>
  </autoFilter>
  <mergeCells count="1">
    <mergeCell ref="D1:F1"/>
  </mergeCells>
  <conditionalFormatting sqref="A3:M128">
    <cfRule type="expression" dxfId="18" priority="4">
      <formula>MOD(ROW(),2)</formula>
    </cfRule>
  </conditionalFormatting>
  <conditionalFormatting sqref="CD3:XFD22">
    <cfRule type="expression" dxfId="17" priority="5">
      <formula>MOD(ROW(),2)</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35109-8BCB-4C45-8D2B-F08648349A4B}">
  <sheetPr codeName="Feuil9">
    <tabColor rgb="FFFFC000"/>
  </sheetPr>
  <dimension ref="A1:AD73"/>
  <sheetViews>
    <sheetView zoomScale="85" zoomScaleNormal="85" workbookViewId="0">
      <selection activeCell="M44" sqref="M44"/>
    </sheetView>
  </sheetViews>
  <sheetFormatPr baseColWidth="10" defaultColWidth="11.5703125" defaultRowHeight="15" x14ac:dyDescent="0.25"/>
  <cols>
    <col min="1" max="1" width="12.28515625" style="5" bestFit="1" customWidth="1"/>
    <col min="2" max="2" width="11.28515625" style="5" bestFit="1" customWidth="1"/>
    <col min="3" max="3" width="29.28515625" style="5" customWidth="1"/>
    <col min="4" max="4" width="25.28515625" style="5" customWidth="1"/>
    <col min="5" max="9" width="10.7109375" style="5" customWidth="1"/>
    <col min="10" max="10" width="10.7109375" style="5" customWidth="1" collapsed="1"/>
    <col min="11" max="15" width="10.7109375" style="5" customWidth="1"/>
    <col min="16" max="16" width="15.7109375" style="5" bestFit="1" customWidth="1"/>
    <col min="17" max="16384" width="11.5703125" style="5"/>
  </cols>
  <sheetData>
    <row r="1" spans="1:30" s="12" customFormat="1" ht="49.9" customHeight="1" thickBot="1" x14ac:dyDescent="0.3">
      <c r="A1" s="170"/>
      <c r="B1" s="171" t="s">
        <v>475</v>
      </c>
      <c r="C1" s="172">
        <f ca="1">TODAY()</f>
        <v>46161</v>
      </c>
      <c r="D1" s="173"/>
      <c r="E1" s="523" t="s">
        <v>1023</v>
      </c>
      <c r="F1" s="523"/>
      <c r="G1" s="523"/>
      <c r="H1" s="523"/>
      <c r="I1" s="523"/>
      <c r="J1" s="523"/>
      <c r="K1" s="523"/>
      <c r="L1" s="523"/>
      <c r="M1" s="523"/>
      <c r="N1" s="523"/>
      <c r="O1" s="523"/>
      <c r="P1" s="523"/>
      <c r="Q1" s="521" t="s">
        <v>1024</v>
      </c>
      <c r="R1" s="522"/>
    </row>
    <row r="2" spans="1:30" s="12" customFormat="1" ht="29.25" thickBot="1" x14ac:dyDescent="0.3">
      <c r="A2" s="165" t="s">
        <v>140</v>
      </c>
      <c r="B2" s="165" t="s">
        <v>802</v>
      </c>
      <c r="C2" s="165" t="s">
        <v>803</v>
      </c>
      <c r="D2" s="165" t="s">
        <v>804</v>
      </c>
      <c r="E2" s="166" t="s">
        <v>144</v>
      </c>
      <c r="F2" s="167" t="s">
        <v>438</v>
      </c>
      <c r="G2" s="167" t="s">
        <v>439</v>
      </c>
      <c r="H2" s="167" t="s">
        <v>147</v>
      </c>
      <c r="I2" s="167" t="s">
        <v>148</v>
      </c>
      <c r="J2" s="167" t="s">
        <v>149</v>
      </c>
      <c r="K2" s="167" t="s">
        <v>150</v>
      </c>
      <c r="L2" s="167" t="s">
        <v>151</v>
      </c>
      <c r="M2" s="168" t="s">
        <v>152</v>
      </c>
      <c r="N2" s="167" t="s">
        <v>153</v>
      </c>
      <c r="O2" s="167" t="s">
        <v>154</v>
      </c>
      <c r="P2" s="167" t="s">
        <v>155</v>
      </c>
      <c r="Q2" s="167" t="s">
        <v>1025</v>
      </c>
      <c r="R2" s="169" t="s">
        <v>806</v>
      </c>
    </row>
    <row r="3" spans="1:30" s="12" customFormat="1" x14ac:dyDescent="0.25">
      <c r="A3" s="144" t="s">
        <v>54</v>
      </c>
      <c r="B3" s="144" t="s">
        <v>34</v>
      </c>
      <c r="C3" s="144" t="s">
        <v>299</v>
      </c>
      <c r="D3" s="144" t="s">
        <v>300</v>
      </c>
      <c r="E3" s="180">
        <v>1</v>
      </c>
      <c r="F3" s="181">
        <v>1</v>
      </c>
      <c r="G3" s="181">
        <v>1</v>
      </c>
      <c r="H3" s="181">
        <v>1</v>
      </c>
      <c r="I3" s="181"/>
      <c r="J3" s="181"/>
      <c r="K3" s="181"/>
      <c r="L3" s="181"/>
      <c r="M3" s="181"/>
      <c r="N3" s="181"/>
      <c r="O3" s="181"/>
      <c r="P3" s="182"/>
      <c r="Q3" s="174">
        <f t="shared" ref="Q3:Q34" si="0">E3+F3+G3+H3+I3+J3+K3+L3+M3+N3+O3+P3</f>
        <v>4</v>
      </c>
      <c r="R3" s="175">
        <v>12</v>
      </c>
    </row>
    <row r="4" spans="1:30" s="13" customFormat="1" ht="14.65" customHeight="1" x14ac:dyDescent="0.25">
      <c r="A4" s="94" t="s">
        <v>159</v>
      </c>
      <c r="B4" s="94" t="s">
        <v>45</v>
      </c>
      <c r="C4" s="94" t="s">
        <v>301</v>
      </c>
      <c r="D4" s="94" t="s">
        <v>302</v>
      </c>
      <c r="E4" s="183">
        <v>1</v>
      </c>
      <c r="F4" s="33"/>
      <c r="G4" s="33"/>
      <c r="H4" s="33"/>
      <c r="I4" s="33"/>
      <c r="J4" s="33"/>
      <c r="K4" s="33"/>
      <c r="L4" s="33"/>
      <c r="M4" s="33"/>
      <c r="N4" s="33"/>
      <c r="O4" s="33"/>
      <c r="P4" s="184"/>
      <c r="Q4" s="176">
        <f t="shared" si="0"/>
        <v>1</v>
      </c>
      <c r="R4" s="177">
        <v>12</v>
      </c>
      <c r="S4" s="5"/>
      <c r="T4" s="5"/>
      <c r="U4" s="5"/>
      <c r="V4" s="5"/>
      <c r="W4" s="5"/>
      <c r="X4" s="5"/>
      <c r="Y4" s="5"/>
      <c r="Z4" s="5"/>
      <c r="AA4" s="5"/>
      <c r="AB4" s="5"/>
      <c r="AC4" s="5"/>
      <c r="AD4" s="5"/>
    </row>
    <row r="5" spans="1:30" x14ac:dyDescent="0.25">
      <c r="A5" s="94" t="s">
        <v>168</v>
      </c>
      <c r="B5" s="94" t="s">
        <v>168</v>
      </c>
      <c r="C5" s="94" t="s">
        <v>301</v>
      </c>
      <c r="D5" s="94" t="s">
        <v>303</v>
      </c>
      <c r="E5" s="183"/>
      <c r="F5" s="33"/>
      <c r="G5" s="33"/>
      <c r="H5" s="33"/>
      <c r="I5" s="33"/>
      <c r="J5" s="33"/>
      <c r="K5" s="33"/>
      <c r="L5" s="33"/>
      <c r="M5" s="33"/>
      <c r="N5" s="33"/>
      <c r="O5" s="33"/>
      <c r="P5" s="184"/>
      <c r="Q5" s="176">
        <f t="shared" si="0"/>
        <v>0</v>
      </c>
      <c r="R5" s="177">
        <v>12</v>
      </c>
    </row>
    <row r="6" spans="1:30" s="13" customFormat="1" x14ac:dyDescent="0.25">
      <c r="A6" s="94" t="s">
        <v>109</v>
      </c>
      <c r="B6" s="94" t="s">
        <v>34</v>
      </c>
      <c r="C6" s="94" t="s">
        <v>301</v>
      </c>
      <c r="D6" s="94" t="s">
        <v>304</v>
      </c>
      <c r="E6" s="183"/>
      <c r="F6" s="33"/>
      <c r="G6" s="33"/>
      <c r="H6" s="33"/>
      <c r="I6" s="33"/>
      <c r="J6" s="33"/>
      <c r="K6" s="33"/>
      <c r="L6" s="33"/>
      <c r="M6" s="33"/>
      <c r="N6" s="33"/>
      <c r="O6" s="33"/>
      <c r="P6" s="184"/>
      <c r="Q6" s="176">
        <f t="shared" si="0"/>
        <v>0</v>
      </c>
      <c r="R6" s="177">
        <v>12</v>
      </c>
      <c r="S6" s="5"/>
      <c r="T6" s="5"/>
      <c r="U6" s="5"/>
      <c r="V6" s="5"/>
      <c r="W6" s="5"/>
      <c r="X6" s="5"/>
      <c r="Y6" s="5"/>
      <c r="Z6" s="5"/>
      <c r="AA6" s="5"/>
      <c r="AB6" s="5"/>
      <c r="AC6" s="5"/>
      <c r="AD6" s="5"/>
    </row>
    <row r="7" spans="1:30" x14ac:dyDescent="0.25">
      <c r="A7" s="94" t="s">
        <v>305</v>
      </c>
      <c r="B7" s="94" t="s">
        <v>34</v>
      </c>
      <c r="C7" s="94" t="s">
        <v>306</v>
      </c>
      <c r="D7" s="94" t="s">
        <v>307</v>
      </c>
      <c r="E7" s="183"/>
      <c r="F7" s="33"/>
      <c r="G7" s="33"/>
      <c r="H7" s="33"/>
      <c r="I7" s="33"/>
      <c r="J7" s="33"/>
      <c r="K7" s="33"/>
      <c r="L7" s="33"/>
      <c r="M7" s="33"/>
      <c r="N7" s="33"/>
      <c r="O7" s="33"/>
      <c r="P7" s="184"/>
      <c r="Q7" s="176">
        <f t="shared" si="0"/>
        <v>0</v>
      </c>
      <c r="R7" s="177">
        <v>12</v>
      </c>
    </row>
    <row r="8" spans="1:30" x14ac:dyDescent="0.25">
      <c r="A8" s="94" t="s">
        <v>192</v>
      </c>
      <c r="B8" s="94" t="s">
        <v>192</v>
      </c>
      <c r="C8" s="94" t="s">
        <v>301</v>
      </c>
      <c r="D8" s="94" t="s">
        <v>308</v>
      </c>
      <c r="E8" s="183"/>
      <c r="F8" s="33"/>
      <c r="G8" s="33"/>
      <c r="H8" s="33"/>
      <c r="I8" s="33"/>
      <c r="J8" s="33"/>
      <c r="K8" s="33"/>
      <c r="L8" s="33"/>
      <c r="M8" s="33"/>
      <c r="N8" s="33"/>
      <c r="O8" s="33"/>
      <c r="P8" s="184"/>
      <c r="Q8" s="176">
        <f t="shared" si="0"/>
        <v>0</v>
      </c>
      <c r="R8" s="177">
        <v>12</v>
      </c>
    </row>
    <row r="9" spans="1:30" s="13" customFormat="1" ht="13.9" customHeight="1" x14ac:dyDescent="0.25">
      <c r="A9" s="144" t="s">
        <v>54</v>
      </c>
      <c r="B9" s="94" t="s">
        <v>34</v>
      </c>
      <c r="C9" s="94" t="s">
        <v>301</v>
      </c>
      <c r="D9" s="94" t="s">
        <v>309</v>
      </c>
      <c r="E9" s="183">
        <v>1</v>
      </c>
      <c r="F9" s="33">
        <v>1</v>
      </c>
      <c r="G9" s="33">
        <v>1</v>
      </c>
      <c r="H9" s="33">
        <v>1</v>
      </c>
      <c r="I9" s="33"/>
      <c r="J9" s="33"/>
      <c r="K9" s="33"/>
      <c r="L9" s="33"/>
      <c r="M9" s="33"/>
      <c r="N9" s="33"/>
      <c r="O9" s="33"/>
      <c r="P9" s="184"/>
      <c r="Q9" s="176">
        <f t="shared" si="0"/>
        <v>4</v>
      </c>
      <c r="R9" s="177">
        <v>12</v>
      </c>
      <c r="S9" s="5"/>
      <c r="T9" s="5"/>
      <c r="U9" s="5"/>
      <c r="V9" s="5"/>
      <c r="W9" s="5"/>
      <c r="X9" s="5"/>
      <c r="Y9" s="5"/>
      <c r="Z9" s="5"/>
      <c r="AA9" s="5"/>
      <c r="AB9" s="5"/>
      <c r="AC9" s="5"/>
      <c r="AD9" s="5"/>
    </row>
    <row r="10" spans="1:30" s="13" customFormat="1" ht="14.65" customHeight="1" x14ac:dyDescent="0.25">
      <c r="A10" s="94" t="s">
        <v>192</v>
      </c>
      <c r="B10" s="94" t="s">
        <v>192</v>
      </c>
      <c r="C10" s="94" t="s">
        <v>301</v>
      </c>
      <c r="D10" s="94" t="s">
        <v>310</v>
      </c>
      <c r="E10" s="183">
        <v>1</v>
      </c>
      <c r="F10" s="33"/>
      <c r="G10" s="33"/>
      <c r="H10" s="33"/>
      <c r="I10" s="33"/>
      <c r="J10" s="33"/>
      <c r="K10" s="33"/>
      <c r="L10" s="33"/>
      <c r="M10" s="33"/>
      <c r="N10" s="33"/>
      <c r="O10" s="33"/>
      <c r="P10" s="184"/>
      <c r="Q10" s="176">
        <f t="shared" si="0"/>
        <v>1</v>
      </c>
      <c r="R10" s="177">
        <v>12</v>
      </c>
      <c r="S10" s="5"/>
      <c r="T10" s="5"/>
      <c r="U10" s="5"/>
      <c r="V10" s="5"/>
      <c r="W10" s="5"/>
      <c r="X10" s="5"/>
      <c r="Y10" s="5"/>
      <c r="Z10" s="5"/>
      <c r="AA10" s="5"/>
      <c r="AB10" s="5"/>
      <c r="AC10" s="5"/>
      <c r="AD10" s="5"/>
    </row>
    <row r="11" spans="1:30" x14ac:dyDescent="0.25">
      <c r="A11" s="94" t="s">
        <v>168</v>
      </c>
      <c r="B11" s="94" t="s">
        <v>168</v>
      </c>
      <c r="C11" s="94" t="s">
        <v>301</v>
      </c>
      <c r="D11" s="94" t="s">
        <v>314</v>
      </c>
      <c r="E11" s="183"/>
      <c r="F11" s="33"/>
      <c r="G11" s="33"/>
      <c r="H11" s="33"/>
      <c r="I11" s="33"/>
      <c r="J11" s="33"/>
      <c r="K11" s="33"/>
      <c r="L11" s="33"/>
      <c r="M11" s="33"/>
      <c r="N11" s="33"/>
      <c r="O11" s="33"/>
      <c r="P11" s="184"/>
      <c r="Q11" s="176">
        <f t="shared" si="0"/>
        <v>0</v>
      </c>
      <c r="R11" s="177">
        <v>12</v>
      </c>
    </row>
    <row r="12" spans="1:30" x14ac:dyDescent="0.25">
      <c r="A12" s="94" t="s">
        <v>164</v>
      </c>
      <c r="B12" s="94" t="s">
        <v>34</v>
      </c>
      <c r="C12" s="94" t="s">
        <v>315</v>
      </c>
      <c r="D12" s="94" t="s">
        <v>316</v>
      </c>
      <c r="E12" s="183"/>
      <c r="F12" s="33"/>
      <c r="G12" s="33"/>
      <c r="H12" s="33"/>
      <c r="I12" s="33"/>
      <c r="J12" s="33"/>
      <c r="K12" s="33"/>
      <c r="L12" s="33"/>
      <c r="M12" s="33"/>
      <c r="N12" s="33"/>
      <c r="O12" s="33"/>
      <c r="P12" s="184"/>
      <c r="Q12" s="176">
        <f t="shared" si="0"/>
        <v>0</v>
      </c>
      <c r="R12" s="177">
        <v>12</v>
      </c>
    </row>
    <row r="13" spans="1:30" ht="15" customHeight="1" x14ac:dyDescent="0.25">
      <c r="A13" s="94" t="s">
        <v>168</v>
      </c>
      <c r="B13" s="94" t="s">
        <v>168</v>
      </c>
      <c r="C13" s="94" t="s">
        <v>299</v>
      </c>
      <c r="D13" s="94" t="s">
        <v>318</v>
      </c>
      <c r="E13" s="183"/>
      <c r="F13" s="33"/>
      <c r="G13" s="33"/>
      <c r="H13" s="33"/>
      <c r="I13" s="33"/>
      <c r="J13" s="33"/>
      <c r="K13" s="33"/>
      <c r="L13" s="33"/>
      <c r="M13" s="33"/>
      <c r="N13" s="33"/>
      <c r="O13" s="33"/>
      <c r="P13" s="184"/>
      <c r="Q13" s="176">
        <f t="shared" si="0"/>
        <v>0</v>
      </c>
      <c r="R13" s="177">
        <v>12</v>
      </c>
    </row>
    <row r="14" spans="1:30" s="13" customFormat="1" ht="14.65" customHeight="1" x14ac:dyDescent="0.25">
      <c r="A14" s="94" t="s">
        <v>100</v>
      </c>
      <c r="B14" s="94" t="s">
        <v>34</v>
      </c>
      <c r="C14" s="94" t="s">
        <v>301</v>
      </c>
      <c r="D14" s="94" t="s">
        <v>319</v>
      </c>
      <c r="E14" s="183">
        <v>1</v>
      </c>
      <c r="F14" s="33">
        <v>1</v>
      </c>
      <c r="G14" s="33">
        <v>1</v>
      </c>
      <c r="H14" s="33"/>
      <c r="I14" s="33"/>
      <c r="J14" s="33"/>
      <c r="K14" s="33"/>
      <c r="L14" s="33"/>
      <c r="M14" s="33"/>
      <c r="N14" s="33"/>
      <c r="O14" s="33"/>
      <c r="P14" s="184"/>
      <c r="Q14" s="176">
        <f t="shared" si="0"/>
        <v>3</v>
      </c>
      <c r="R14" s="177">
        <v>12</v>
      </c>
      <c r="S14" s="5"/>
      <c r="T14" s="5"/>
      <c r="U14" s="5"/>
      <c r="V14" s="5"/>
      <c r="W14" s="5"/>
      <c r="X14" s="5"/>
      <c r="Y14" s="5"/>
      <c r="Z14" s="5"/>
      <c r="AA14" s="5"/>
      <c r="AB14" s="5"/>
      <c r="AC14" s="5"/>
      <c r="AD14" s="5"/>
    </row>
    <row r="15" spans="1:30" x14ac:dyDescent="0.25">
      <c r="A15" s="94" t="s">
        <v>168</v>
      </c>
      <c r="B15" s="94" t="s">
        <v>168</v>
      </c>
      <c r="C15" s="94" t="s">
        <v>320</v>
      </c>
      <c r="D15" s="94" t="s">
        <v>321</v>
      </c>
      <c r="E15" s="183"/>
      <c r="F15" s="33"/>
      <c r="G15" s="33"/>
      <c r="H15" s="33"/>
      <c r="I15" s="33"/>
      <c r="J15" s="33"/>
      <c r="K15" s="33"/>
      <c r="L15" s="33"/>
      <c r="M15" s="33"/>
      <c r="N15" s="33"/>
      <c r="O15" s="33"/>
      <c r="P15" s="184"/>
      <c r="Q15" s="176">
        <f t="shared" si="0"/>
        <v>0</v>
      </c>
      <c r="R15" s="177">
        <v>12</v>
      </c>
    </row>
    <row r="16" spans="1:30" x14ac:dyDescent="0.25">
      <c r="A16" s="94" t="s">
        <v>322</v>
      </c>
      <c r="B16" s="94" t="s">
        <v>34</v>
      </c>
      <c r="C16" s="94" t="s">
        <v>311</v>
      </c>
      <c r="D16" s="94" t="s">
        <v>323</v>
      </c>
      <c r="E16" s="183" t="s">
        <v>208</v>
      </c>
      <c r="F16" s="33"/>
      <c r="G16" s="33"/>
      <c r="H16" s="33"/>
      <c r="I16" s="33"/>
      <c r="J16" s="33"/>
      <c r="K16" s="33"/>
      <c r="L16" s="33"/>
      <c r="M16" s="33"/>
      <c r="N16" s="33"/>
      <c r="O16" s="33"/>
      <c r="P16" s="184"/>
      <c r="Q16" s="176" t="e">
        <f t="shared" si="0"/>
        <v>#VALUE!</v>
      </c>
      <c r="R16" s="177">
        <v>12</v>
      </c>
    </row>
    <row r="17" spans="1:18" x14ac:dyDescent="0.25">
      <c r="A17" s="94" t="s">
        <v>178</v>
      </c>
      <c r="B17" s="94" t="s">
        <v>34</v>
      </c>
      <c r="C17" s="94" t="s">
        <v>299</v>
      </c>
      <c r="D17" s="94" t="s">
        <v>324</v>
      </c>
      <c r="E17" s="183"/>
      <c r="F17" s="33"/>
      <c r="G17" s="33"/>
      <c r="H17" s="33"/>
      <c r="I17" s="33"/>
      <c r="J17" s="33"/>
      <c r="K17" s="33"/>
      <c r="L17" s="33"/>
      <c r="M17" s="33"/>
      <c r="N17" s="33"/>
      <c r="O17" s="33"/>
      <c r="P17" s="184"/>
      <c r="Q17" s="176">
        <f t="shared" si="0"/>
        <v>0</v>
      </c>
      <c r="R17" s="177">
        <v>12</v>
      </c>
    </row>
    <row r="18" spans="1:18" x14ac:dyDescent="0.25">
      <c r="A18" s="94" t="s">
        <v>181</v>
      </c>
      <c r="B18" s="94" t="s">
        <v>34</v>
      </c>
      <c r="C18" s="94" t="s">
        <v>301</v>
      </c>
      <c r="D18" s="94" t="s">
        <v>325</v>
      </c>
      <c r="E18" s="183"/>
      <c r="F18" s="33">
        <v>1</v>
      </c>
      <c r="G18" s="33">
        <v>2</v>
      </c>
      <c r="H18" s="33"/>
      <c r="I18" s="33"/>
      <c r="J18" s="33"/>
      <c r="K18" s="33"/>
      <c r="L18" s="33"/>
      <c r="M18" s="33"/>
      <c r="N18" s="33"/>
      <c r="O18" s="33"/>
      <c r="P18" s="184"/>
      <c r="Q18" s="176">
        <f t="shared" si="0"/>
        <v>3</v>
      </c>
      <c r="R18" s="177">
        <v>12</v>
      </c>
    </row>
    <row r="19" spans="1:18" x14ac:dyDescent="0.25">
      <c r="A19" s="94" t="s">
        <v>54</v>
      </c>
      <c r="B19" s="94" t="s">
        <v>34</v>
      </c>
      <c r="C19" s="94" t="s">
        <v>301</v>
      </c>
      <c r="D19" s="94" t="s">
        <v>327</v>
      </c>
      <c r="E19" s="183">
        <v>1</v>
      </c>
      <c r="F19" s="33"/>
      <c r="G19" s="33"/>
      <c r="H19" s="33">
        <v>1</v>
      </c>
      <c r="I19" s="33"/>
      <c r="J19" s="33"/>
      <c r="K19" s="33"/>
      <c r="L19" s="33"/>
      <c r="M19" s="33"/>
      <c r="N19" s="33"/>
      <c r="O19" s="33"/>
      <c r="P19" s="184"/>
      <c r="Q19" s="176">
        <f t="shared" si="0"/>
        <v>2</v>
      </c>
      <c r="R19" s="177">
        <v>12</v>
      </c>
    </row>
    <row r="20" spans="1:18" x14ac:dyDescent="0.25">
      <c r="A20" s="144" t="s">
        <v>159</v>
      </c>
      <c r="B20" s="94" t="s">
        <v>45</v>
      </c>
      <c r="C20" s="94" t="s">
        <v>311</v>
      </c>
      <c r="D20" s="94" t="s">
        <v>328</v>
      </c>
      <c r="E20" s="183"/>
      <c r="F20" s="33"/>
      <c r="G20" s="33"/>
      <c r="H20" s="33"/>
      <c r="I20" s="33"/>
      <c r="J20" s="33"/>
      <c r="K20" s="33"/>
      <c r="L20" s="33"/>
      <c r="M20" s="33"/>
      <c r="N20" s="33"/>
      <c r="O20" s="33"/>
      <c r="P20" s="184"/>
      <c r="Q20" s="176">
        <f t="shared" si="0"/>
        <v>0</v>
      </c>
      <c r="R20" s="177">
        <v>12</v>
      </c>
    </row>
    <row r="21" spans="1:18" x14ac:dyDescent="0.25">
      <c r="A21" s="94" t="s">
        <v>159</v>
      </c>
      <c r="B21" s="94" t="s">
        <v>34</v>
      </c>
      <c r="C21" s="94" t="s">
        <v>315</v>
      </c>
      <c r="D21" s="94" t="s">
        <v>329</v>
      </c>
      <c r="E21" s="183"/>
      <c r="F21" s="33"/>
      <c r="G21" s="33"/>
      <c r="H21" s="33"/>
      <c r="I21" s="33"/>
      <c r="J21" s="33"/>
      <c r="K21" s="33"/>
      <c r="L21" s="33"/>
      <c r="M21" s="33"/>
      <c r="N21" s="33"/>
      <c r="O21" s="33"/>
      <c r="P21" s="184"/>
      <c r="Q21" s="176">
        <f t="shared" si="0"/>
        <v>0</v>
      </c>
      <c r="R21" s="177">
        <v>12</v>
      </c>
    </row>
    <row r="22" spans="1:18" x14ac:dyDescent="0.25">
      <c r="A22" s="94" t="s">
        <v>168</v>
      </c>
      <c r="B22" s="94" t="s">
        <v>168</v>
      </c>
      <c r="C22" s="94" t="s">
        <v>299</v>
      </c>
      <c r="D22" s="94" t="s">
        <v>330</v>
      </c>
      <c r="E22" s="183"/>
      <c r="F22" s="33"/>
      <c r="G22" s="33"/>
      <c r="H22" s="33"/>
      <c r="I22" s="33"/>
      <c r="J22" s="33"/>
      <c r="K22" s="33"/>
      <c r="L22" s="33"/>
      <c r="M22" s="33"/>
      <c r="N22" s="33"/>
      <c r="O22" s="33"/>
      <c r="P22" s="184"/>
      <c r="Q22" s="176">
        <f t="shared" si="0"/>
        <v>0</v>
      </c>
      <c r="R22" s="177">
        <v>12</v>
      </c>
    </row>
    <row r="23" spans="1:18" x14ac:dyDescent="0.25">
      <c r="A23" s="94" t="s">
        <v>100</v>
      </c>
      <c r="B23" s="94" t="s">
        <v>34</v>
      </c>
      <c r="C23" s="94" t="s">
        <v>301</v>
      </c>
      <c r="D23" s="94" t="s">
        <v>331</v>
      </c>
      <c r="E23" s="183">
        <v>1</v>
      </c>
      <c r="F23" s="33">
        <v>1</v>
      </c>
      <c r="G23" s="33">
        <v>1</v>
      </c>
      <c r="H23" s="33"/>
      <c r="I23" s="33"/>
      <c r="J23" s="33"/>
      <c r="K23" s="33"/>
      <c r="L23" s="33"/>
      <c r="M23" s="33"/>
      <c r="N23" s="33"/>
      <c r="O23" s="33"/>
      <c r="P23" s="184"/>
      <c r="Q23" s="176">
        <f t="shared" si="0"/>
        <v>3</v>
      </c>
      <c r="R23" s="177">
        <v>12</v>
      </c>
    </row>
    <row r="24" spans="1:18" x14ac:dyDescent="0.25">
      <c r="A24" s="94" t="s">
        <v>181</v>
      </c>
      <c r="B24" s="94" t="s">
        <v>179</v>
      </c>
      <c r="C24" s="94" t="s">
        <v>301</v>
      </c>
      <c r="D24" s="94" t="s">
        <v>332</v>
      </c>
      <c r="E24" s="183">
        <v>1</v>
      </c>
      <c r="F24" s="33">
        <v>1</v>
      </c>
      <c r="G24" s="33">
        <v>1</v>
      </c>
      <c r="H24" s="33"/>
      <c r="I24" s="33"/>
      <c r="J24" s="33"/>
      <c r="K24" s="33"/>
      <c r="L24" s="33"/>
      <c r="M24" s="33"/>
      <c r="N24" s="33"/>
      <c r="O24" s="33"/>
      <c r="P24" s="184"/>
      <c r="Q24" s="176">
        <f t="shared" si="0"/>
        <v>3</v>
      </c>
      <c r="R24" s="177">
        <v>12</v>
      </c>
    </row>
    <row r="25" spans="1:18" x14ac:dyDescent="0.25">
      <c r="A25" s="94" t="s">
        <v>54</v>
      </c>
      <c r="B25" s="94" t="s">
        <v>34</v>
      </c>
      <c r="C25" s="94" t="s">
        <v>301</v>
      </c>
      <c r="D25" s="94" t="s">
        <v>333</v>
      </c>
      <c r="E25" s="183">
        <v>1</v>
      </c>
      <c r="F25" s="33"/>
      <c r="G25" s="33">
        <v>1</v>
      </c>
      <c r="H25" s="33"/>
      <c r="I25" s="33"/>
      <c r="J25" s="33"/>
      <c r="K25" s="33"/>
      <c r="L25" s="33"/>
      <c r="M25" s="33"/>
      <c r="N25" s="33"/>
      <c r="O25" s="33"/>
      <c r="P25" s="184"/>
      <c r="Q25" s="176">
        <f t="shared" si="0"/>
        <v>2</v>
      </c>
      <c r="R25" s="177">
        <v>12</v>
      </c>
    </row>
    <row r="26" spans="1:18" x14ac:dyDescent="0.25">
      <c r="A26" s="144" t="s">
        <v>100</v>
      </c>
      <c r="B26" s="94" t="s">
        <v>34</v>
      </c>
      <c r="C26" s="94" t="s">
        <v>299</v>
      </c>
      <c r="D26" s="94" t="s">
        <v>334</v>
      </c>
      <c r="E26" s="183">
        <v>1</v>
      </c>
      <c r="F26" s="33">
        <v>1</v>
      </c>
      <c r="G26" s="33"/>
      <c r="H26" s="33"/>
      <c r="I26" s="33"/>
      <c r="J26" s="33"/>
      <c r="K26" s="33"/>
      <c r="L26" s="33"/>
      <c r="M26" s="33"/>
      <c r="N26" s="33"/>
      <c r="O26" s="33"/>
      <c r="P26" s="184"/>
      <c r="Q26" s="176">
        <f t="shared" si="0"/>
        <v>2</v>
      </c>
      <c r="R26" s="177">
        <v>12</v>
      </c>
    </row>
    <row r="27" spans="1:18" x14ac:dyDescent="0.25">
      <c r="A27" s="94" t="s">
        <v>181</v>
      </c>
      <c r="B27" s="94" t="s">
        <v>34</v>
      </c>
      <c r="C27" s="94" t="s">
        <v>301</v>
      </c>
      <c r="D27" s="94" t="s">
        <v>335</v>
      </c>
      <c r="E27" s="183"/>
      <c r="F27" s="33"/>
      <c r="G27" s="33"/>
      <c r="H27" s="33"/>
      <c r="I27" s="33"/>
      <c r="J27" s="33"/>
      <c r="K27" s="33"/>
      <c r="L27" s="33"/>
      <c r="M27" s="33"/>
      <c r="N27" s="33"/>
      <c r="O27" s="33"/>
      <c r="P27" s="184"/>
      <c r="Q27" s="176">
        <f t="shared" si="0"/>
        <v>0</v>
      </c>
      <c r="R27" s="177">
        <v>12</v>
      </c>
    </row>
    <row r="28" spans="1:18" x14ac:dyDescent="0.25">
      <c r="A28" s="94" t="s">
        <v>168</v>
      </c>
      <c r="B28" s="94" t="s">
        <v>168</v>
      </c>
      <c r="C28" s="94" t="s">
        <v>301</v>
      </c>
      <c r="D28" s="94" t="s">
        <v>337</v>
      </c>
      <c r="E28" s="183"/>
      <c r="F28" s="33"/>
      <c r="G28" s="33"/>
      <c r="H28" s="33"/>
      <c r="I28" s="33"/>
      <c r="J28" s="33"/>
      <c r="K28" s="33"/>
      <c r="L28" s="33"/>
      <c r="M28" s="33"/>
      <c r="N28" s="33"/>
      <c r="O28" s="33"/>
      <c r="P28" s="184"/>
      <c r="Q28" s="176">
        <f t="shared" si="0"/>
        <v>0</v>
      </c>
      <c r="R28" s="177">
        <v>12</v>
      </c>
    </row>
    <row r="29" spans="1:18" x14ac:dyDescent="0.25">
      <c r="A29" s="94" t="s">
        <v>269</v>
      </c>
      <c r="B29" s="94" t="s">
        <v>230</v>
      </c>
      <c r="C29" s="94" t="s">
        <v>301</v>
      </c>
      <c r="D29" s="94" t="s">
        <v>338</v>
      </c>
      <c r="E29" s="183"/>
      <c r="F29" s="33"/>
      <c r="G29" s="33"/>
      <c r="H29" s="33"/>
      <c r="I29" s="33"/>
      <c r="J29" s="33"/>
      <c r="K29" s="33"/>
      <c r="L29" s="33"/>
      <c r="M29" s="33"/>
      <c r="N29" s="33"/>
      <c r="O29" s="33"/>
      <c r="P29" s="184"/>
      <c r="Q29" s="176">
        <f t="shared" si="0"/>
        <v>0</v>
      </c>
      <c r="R29" s="177">
        <v>12</v>
      </c>
    </row>
    <row r="30" spans="1:18" x14ac:dyDescent="0.25">
      <c r="A30" s="94" t="s">
        <v>192</v>
      </c>
      <c r="B30" s="94" t="s">
        <v>192</v>
      </c>
      <c r="C30" s="94" t="s">
        <v>301</v>
      </c>
      <c r="D30" s="94" t="s">
        <v>339</v>
      </c>
      <c r="E30" s="183"/>
      <c r="F30" s="33"/>
      <c r="G30" s="33"/>
      <c r="H30" s="33"/>
      <c r="I30" s="33"/>
      <c r="J30" s="33"/>
      <c r="K30" s="33"/>
      <c r="L30" s="33"/>
      <c r="M30" s="33"/>
      <c r="N30" s="33"/>
      <c r="O30" s="33"/>
      <c r="P30" s="184"/>
      <c r="Q30" s="176">
        <f t="shared" si="0"/>
        <v>0</v>
      </c>
      <c r="R30" s="177">
        <v>12</v>
      </c>
    </row>
    <row r="31" spans="1:18" x14ac:dyDescent="0.25">
      <c r="A31" s="94" t="s">
        <v>159</v>
      </c>
      <c r="B31" s="94" t="s">
        <v>45</v>
      </c>
      <c r="C31" s="94" t="s">
        <v>301</v>
      </c>
      <c r="D31" s="94" t="s">
        <v>340</v>
      </c>
      <c r="E31" s="183">
        <v>1</v>
      </c>
      <c r="F31" s="33"/>
      <c r="G31" s="33">
        <v>1</v>
      </c>
      <c r="H31" s="33">
        <v>1</v>
      </c>
      <c r="I31" s="33"/>
      <c r="J31" s="33"/>
      <c r="K31" s="33"/>
      <c r="L31" s="33"/>
      <c r="M31" s="33"/>
      <c r="N31" s="33"/>
      <c r="O31" s="33"/>
      <c r="P31" s="184"/>
      <c r="Q31" s="176">
        <f t="shared" si="0"/>
        <v>3</v>
      </c>
      <c r="R31" s="177">
        <v>12</v>
      </c>
    </row>
    <row r="32" spans="1:18" x14ac:dyDescent="0.25">
      <c r="A32" s="94" t="s">
        <v>269</v>
      </c>
      <c r="B32" s="94" t="s">
        <v>45</v>
      </c>
      <c r="C32" s="94" t="s">
        <v>301</v>
      </c>
      <c r="D32" s="94" t="s">
        <v>341</v>
      </c>
      <c r="E32" s="183"/>
      <c r="F32" s="33"/>
      <c r="G32" s="33">
        <v>3</v>
      </c>
      <c r="H32" s="33">
        <v>1</v>
      </c>
      <c r="I32" s="33"/>
      <c r="J32" s="33"/>
      <c r="K32" s="33"/>
      <c r="L32" s="33"/>
      <c r="M32" s="33"/>
      <c r="N32" s="33"/>
      <c r="O32" s="33"/>
      <c r="P32" s="184"/>
      <c r="Q32" s="176">
        <f t="shared" si="0"/>
        <v>4</v>
      </c>
      <c r="R32" s="177">
        <v>12</v>
      </c>
    </row>
    <row r="33" spans="1:18" x14ac:dyDescent="0.25">
      <c r="A33" s="94" t="s">
        <v>168</v>
      </c>
      <c r="B33" s="94" t="s">
        <v>168</v>
      </c>
      <c r="C33" s="94" t="s">
        <v>301</v>
      </c>
      <c r="D33" s="94" t="s">
        <v>342</v>
      </c>
      <c r="E33" s="183"/>
      <c r="F33" s="33"/>
      <c r="G33" s="33"/>
      <c r="H33" s="33"/>
      <c r="I33" s="33"/>
      <c r="J33" s="33"/>
      <c r="K33" s="33"/>
      <c r="L33" s="33"/>
      <c r="M33" s="33"/>
      <c r="N33" s="33"/>
      <c r="O33" s="33"/>
      <c r="P33" s="184"/>
      <c r="Q33" s="176">
        <f t="shared" si="0"/>
        <v>0</v>
      </c>
      <c r="R33" s="177">
        <v>12</v>
      </c>
    </row>
    <row r="34" spans="1:18" x14ac:dyDescent="0.25">
      <c r="A34" s="94" t="s">
        <v>181</v>
      </c>
      <c r="B34" s="94" t="s">
        <v>34</v>
      </c>
      <c r="C34" s="94" t="s">
        <v>320</v>
      </c>
      <c r="D34" s="94" t="s">
        <v>343</v>
      </c>
      <c r="E34" s="183"/>
      <c r="F34" s="33"/>
      <c r="G34" s="33"/>
      <c r="H34" s="33"/>
      <c r="I34" s="33"/>
      <c r="J34" s="33"/>
      <c r="K34" s="33"/>
      <c r="L34" s="33"/>
      <c r="M34" s="33"/>
      <c r="N34" s="33"/>
      <c r="O34" s="33"/>
      <c r="P34" s="184"/>
      <c r="Q34" s="176">
        <f t="shared" si="0"/>
        <v>0</v>
      </c>
      <c r="R34" s="177">
        <v>12</v>
      </c>
    </row>
    <row r="35" spans="1:18" x14ac:dyDescent="0.25">
      <c r="A35" s="94" t="s">
        <v>168</v>
      </c>
      <c r="B35" s="94" t="s">
        <v>168</v>
      </c>
      <c r="C35" s="94" t="s">
        <v>301</v>
      </c>
      <c r="D35" s="94" t="s">
        <v>344</v>
      </c>
      <c r="E35" s="183"/>
      <c r="F35" s="33"/>
      <c r="G35" s="33"/>
      <c r="H35" s="33"/>
      <c r="I35" s="33"/>
      <c r="J35" s="33"/>
      <c r="K35" s="33"/>
      <c r="L35" s="33"/>
      <c r="M35" s="33"/>
      <c r="N35" s="33"/>
      <c r="O35" s="33"/>
      <c r="P35" s="184"/>
      <c r="Q35" s="176">
        <f t="shared" ref="Q35:Q66" si="1">E35+F35+G35+H35+I35+J35+K35+L35+M35+N35+O35+P35</f>
        <v>0</v>
      </c>
      <c r="R35" s="177">
        <v>12</v>
      </c>
    </row>
    <row r="36" spans="1:18" x14ac:dyDescent="0.25">
      <c r="A36" s="94" t="s">
        <v>54</v>
      </c>
      <c r="B36" s="94" t="s">
        <v>34</v>
      </c>
      <c r="C36" s="94" t="s">
        <v>299</v>
      </c>
      <c r="D36" s="94" t="s">
        <v>345</v>
      </c>
      <c r="E36" s="183">
        <v>1</v>
      </c>
      <c r="F36" s="33"/>
      <c r="G36" s="33"/>
      <c r="H36" s="33"/>
      <c r="I36" s="33"/>
      <c r="J36" s="33"/>
      <c r="K36" s="33"/>
      <c r="L36" s="33"/>
      <c r="M36" s="33"/>
      <c r="N36" s="33"/>
      <c r="O36" s="33"/>
      <c r="P36" s="184"/>
      <c r="Q36" s="176">
        <f t="shared" si="1"/>
        <v>1</v>
      </c>
      <c r="R36" s="177">
        <v>12</v>
      </c>
    </row>
    <row r="37" spans="1:18" x14ac:dyDescent="0.25">
      <c r="A37" s="94" t="s">
        <v>109</v>
      </c>
      <c r="B37" s="94" t="s">
        <v>34</v>
      </c>
      <c r="C37" s="94" t="s">
        <v>301</v>
      </c>
      <c r="D37" s="94" t="s">
        <v>346</v>
      </c>
      <c r="E37" s="183"/>
      <c r="F37" s="33"/>
      <c r="G37" s="33">
        <v>3</v>
      </c>
      <c r="H37" s="33">
        <v>1</v>
      </c>
      <c r="I37" s="33"/>
      <c r="J37" s="33"/>
      <c r="K37" s="33"/>
      <c r="L37" s="33"/>
      <c r="M37" s="33"/>
      <c r="N37" s="33"/>
      <c r="O37" s="33"/>
      <c r="P37" s="184"/>
      <c r="Q37" s="176">
        <f t="shared" si="1"/>
        <v>4</v>
      </c>
      <c r="R37" s="177">
        <v>12</v>
      </c>
    </row>
    <row r="38" spans="1:18" x14ac:dyDescent="0.25">
      <c r="A38" s="144" t="s">
        <v>181</v>
      </c>
      <c r="B38" s="94" t="s">
        <v>45</v>
      </c>
      <c r="C38" s="94" t="s">
        <v>301</v>
      </c>
      <c r="D38" s="94" t="s">
        <v>347</v>
      </c>
      <c r="E38" s="183">
        <v>1</v>
      </c>
      <c r="F38" s="33"/>
      <c r="G38" s="33"/>
      <c r="H38" s="33"/>
      <c r="I38" s="33"/>
      <c r="J38" s="33"/>
      <c r="K38" s="33"/>
      <c r="L38" s="33"/>
      <c r="M38" s="33"/>
      <c r="N38" s="33"/>
      <c r="O38" s="33"/>
      <c r="P38" s="184"/>
      <c r="Q38" s="176">
        <f t="shared" si="1"/>
        <v>1</v>
      </c>
      <c r="R38" s="177">
        <v>12</v>
      </c>
    </row>
    <row r="39" spans="1:18" x14ac:dyDescent="0.25">
      <c r="A39" s="94" t="s">
        <v>181</v>
      </c>
      <c r="B39" s="94" t="s">
        <v>34</v>
      </c>
      <c r="C39" s="94" t="s">
        <v>311</v>
      </c>
      <c r="D39" s="94" t="s">
        <v>348</v>
      </c>
      <c r="E39" s="183"/>
      <c r="F39" s="33"/>
      <c r="G39" s="33"/>
      <c r="H39" s="33"/>
      <c r="I39" s="33"/>
      <c r="J39" s="33"/>
      <c r="K39" s="33"/>
      <c r="L39" s="33"/>
      <c r="M39" s="33"/>
      <c r="N39" s="33"/>
      <c r="O39" s="33"/>
      <c r="P39" s="184"/>
      <c r="Q39" s="176">
        <f t="shared" si="1"/>
        <v>0</v>
      </c>
      <c r="R39" s="177">
        <v>12</v>
      </c>
    </row>
    <row r="40" spans="1:18" x14ac:dyDescent="0.25">
      <c r="A40" s="94" t="s">
        <v>168</v>
      </c>
      <c r="B40" s="94" t="s">
        <v>168</v>
      </c>
      <c r="C40" s="94" t="s">
        <v>301</v>
      </c>
      <c r="D40" s="94" t="s">
        <v>1026</v>
      </c>
      <c r="E40" s="183"/>
      <c r="F40" s="33"/>
      <c r="G40" s="33"/>
      <c r="H40" s="33"/>
      <c r="I40" s="33"/>
      <c r="J40" s="33"/>
      <c r="K40" s="33"/>
      <c r="L40" s="33"/>
      <c r="M40" s="33"/>
      <c r="N40" s="33"/>
      <c r="O40" s="33"/>
      <c r="P40" s="184"/>
      <c r="Q40" s="176">
        <f t="shared" si="1"/>
        <v>0</v>
      </c>
      <c r="R40" s="177">
        <v>12</v>
      </c>
    </row>
    <row r="41" spans="1:18" x14ac:dyDescent="0.25">
      <c r="A41" s="94" t="s">
        <v>54</v>
      </c>
      <c r="B41" s="94" t="s">
        <v>34</v>
      </c>
      <c r="C41" s="94" t="s">
        <v>301</v>
      </c>
      <c r="D41" s="94" t="s">
        <v>349</v>
      </c>
      <c r="E41" s="183">
        <v>1</v>
      </c>
      <c r="F41" s="33">
        <v>2</v>
      </c>
      <c r="G41" s="33">
        <v>1</v>
      </c>
      <c r="H41" s="33">
        <v>1</v>
      </c>
      <c r="I41" s="33"/>
      <c r="J41" s="33"/>
      <c r="K41" s="33"/>
      <c r="L41" s="33"/>
      <c r="M41" s="33"/>
      <c r="N41" s="33"/>
      <c r="O41" s="33"/>
      <c r="P41" s="184"/>
      <c r="Q41" s="176">
        <f t="shared" si="1"/>
        <v>5</v>
      </c>
      <c r="R41" s="177">
        <v>12</v>
      </c>
    </row>
    <row r="42" spans="1:18" x14ac:dyDescent="0.25">
      <c r="A42" s="94" t="s">
        <v>269</v>
      </c>
      <c r="B42" s="94" t="s">
        <v>34</v>
      </c>
      <c r="C42" s="94" t="s">
        <v>301</v>
      </c>
      <c r="D42" s="94" t="s">
        <v>350</v>
      </c>
      <c r="E42" s="183">
        <v>1</v>
      </c>
      <c r="F42" s="33">
        <v>1</v>
      </c>
      <c r="G42" s="33"/>
      <c r="H42" s="33"/>
      <c r="I42" s="33"/>
      <c r="J42" s="33"/>
      <c r="K42" s="33"/>
      <c r="L42" s="33"/>
      <c r="M42" s="33"/>
      <c r="N42" s="33"/>
      <c r="O42" s="33"/>
      <c r="P42" s="184"/>
      <c r="Q42" s="176">
        <f t="shared" si="1"/>
        <v>2</v>
      </c>
      <c r="R42" s="177">
        <v>12</v>
      </c>
    </row>
    <row r="43" spans="1:18" x14ac:dyDescent="0.25">
      <c r="A43" s="144" t="s">
        <v>168</v>
      </c>
      <c r="B43" s="94" t="s">
        <v>168</v>
      </c>
      <c r="C43" s="94" t="s">
        <v>301</v>
      </c>
      <c r="D43" s="94" t="s">
        <v>351</v>
      </c>
      <c r="E43" s="183"/>
      <c r="F43" s="33"/>
      <c r="G43" s="33"/>
      <c r="H43" s="33"/>
      <c r="I43" s="33"/>
      <c r="J43" s="33"/>
      <c r="K43" s="33"/>
      <c r="L43" s="33"/>
      <c r="M43" s="33"/>
      <c r="N43" s="33"/>
      <c r="O43" s="33"/>
      <c r="P43" s="184"/>
      <c r="Q43" s="176">
        <f t="shared" si="1"/>
        <v>0</v>
      </c>
      <c r="R43" s="177">
        <v>12</v>
      </c>
    </row>
    <row r="44" spans="1:18" x14ac:dyDescent="0.25">
      <c r="A44" s="94" t="s">
        <v>181</v>
      </c>
      <c r="B44" s="94" t="s">
        <v>230</v>
      </c>
      <c r="C44" s="94" t="s">
        <v>299</v>
      </c>
      <c r="D44" s="94" t="s">
        <v>352</v>
      </c>
      <c r="E44" s="183"/>
      <c r="F44" s="33"/>
      <c r="G44" s="33"/>
      <c r="H44" s="33"/>
      <c r="I44" s="33"/>
      <c r="J44" s="33"/>
      <c r="K44" s="33"/>
      <c r="L44" s="33"/>
      <c r="M44" s="33"/>
      <c r="N44" s="33"/>
      <c r="O44" s="33"/>
      <c r="P44" s="184"/>
      <c r="Q44" s="176">
        <f t="shared" si="1"/>
        <v>0</v>
      </c>
      <c r="R44" s="177">
        <v>12</v>
      </c>
    </row>
    <row r="45" spans="1:18" x14ac:dyDescent="0.25">
      <c r="A45" s="94" t="s">
        <v>181</v>
      </c>
      <c r="B45" s="94" t="s">
        <v>34</v>
      </c>
      <c r="C45" s="94" t="s">
        <v>301</v>
      </c>
      <c r="D45" s="94" t="s">
        <v>353</v>
      </c>
      <c r="E45" s="183"/>
      <c r="F45" s="33">
        <v>1</v>
      </c>
      <c r="G45" s="33">
        <v>1</v>
      </c>
      <c r="H45" s="33"/>
      <c r="I45" s="33"/>
      <c r="J45" s="33"/>
      <c r="K45" s="33"/>
      <c r="L45" s="33"/>
      <c r="M45" s="33"/>
      <c r="N45" s="33"/>
      <c r="O45" s="33"/>
      <c r="P45" s="184"/>
      <c r="Q45" s="176">
        <f t="shared" si="1"/>
        <v>2</v>
      </c>
      <c r="R45" s="177">
        <v>12</v>
      </c>
    </row>
    <row r="46" spans="1:18" x14ac:dyDescent="0.25">
      <c r="A46" s="94" t="s">
        <v>181</v>
      </c>
      <c r="B46" s="94" t="s">
        <v>34</v>
      </c>
      <c r="C46" s="94" t="s">
        <v>301</v>
      </c>
      <c r="D46" s="94" t="s">
        <v>354</v>
      </c>
      <c r="E46" s="183"/>
      <c r="F46" s="33">
        <v>1</v>
      </c>
      <c r="G46" s="33">
        <v>1</v>
      </c>
      <c r="H46" s="33"/>
      <c r="I46" s="33"/>
      <c r="J46" s="33"/>
      <c r="K46" s="33"/>
      <c r="L46" s="33"/>
      <c r="M46" s="33"/>
      <c r="N46" s="33"/>
      <c r="O46" s="33"/>
      <c r="P46" s="184"/>
      <c r="Q46" s="176">
        <f t="shared" si="1"/>
        <v>2</v>
      </c>
      <c r="R46" s="177">
        <v>12</v>
      </c>
    </row>
    <row r="47" spans="1:18" x14ac:dyDescent="0.25">
      <c r="A47" s="94" t="s">
        <v>181</v>
      </c>
      <c r="B47" s="94" t="s">
        <v>34</v>
      </c>
      <c r="C47" s="94" t="s">
        <v>299</v>
      </c>
      <c r="D47" s="94" t="s">
        <v>355</v>
      </c>
      <c r="E47" s="183"/>
      <c r="F47" s="33"/>
      <c r="G47" s="33"/>
      <c r="H47" s="33">
        <v>1</v>
      </c>
      <c r="I47" s="33"/>
      <c r="J47" s="33"/>
      <c r="K47" s="33"/>
      <c r="L47" s="33"/>
      <c r="M47" s="33"/>
      <c r="N47" s="33"/>
      <c r="O47" s="33"/>
      <c r="P47" s="184"/>
      <c r="Q47" s="176">
        <f t="shared" si="1"/>
        <v>1</v>
      </c>
      <c r="R47" s="177">
        <v>12</v>
      </c>
    </row>
    <row r="48" spans="1:18" x14ac:dyDescent="0.25">
      <c r="A48" s="94" t="s">
        <v>181</v>
      </c>
      <c r="B48" s="94" t="s">
        <v>34</v>
      </c>
      <c r="C48" s="94" t="s">
        <v>315</v>
      </c>
      <c r="D48" s="94" t="s">
        <v>356</v>
      </c>
      <c r="E48" s="183"/>
      <c r="F48" s="33"/>
      <c r="G48" s="33"/>
      <c r="H48" s="33"/>
      <c r="I48" s="33"/>
      <c r="J48" s="33"/>
      <c r="K48" s="33"/>
      <c r="L48" s="33"/>
      <c r="M48" s="33"/>
      <c r="N48" s="33"/>
      <c r="O48" s="33"/>
      <c r="P48" s="184"/>
      <c r="Q48" s="176">
        <f t="shared" si="1"/>
        <v>0</v>
      </c>
      <c r="R48" s="177">
        <v>12</v>
      </c>
    </row>
    <row r="49" spans="1:18" x14ac:dyDescent="0.25">
      <c r="A49" s="94" t="s">
        <v>109</v>
      </c>
      <c r="B49" s="94" t="s">
        <v>230</v>
      </c>
      <c r="C49" s="94" t="s">
        <v>301</v>
      </c>
      <c r="D49" s="94" t="s">
        <v>358</v>
      </c>
      <c r="E49" s="183">
        <v>1</v>
      </c>
      <c r="F49" s="33">
        <v>1</v>
      </c>
      <c r="G49" s="33">
        <v>1</v>
      </c>
      <c r="H49" s="33">
        <v>2</v>
      </c>
      <c r="I49" s="33"/>
      <c r="J49" s="33"/>
      <c r="K49" s="33"/>
      <c r="L49" s="33"/>
      <c r="M49" s="33"/>
      <c r="N49" s="33"/>
      <c r="O49" s="33"/>
      <c r="P49" s="184"/>
      <c r="Q49" s="176">
        <f t="shared" si="1"/>
        <v>5</v>
      </c>
      <c r="R49" s="177">
        <v>12</v>
      </c>
    </row>
    <row r="50" spans="1:18" x14ac:dyDescent="0.25">
      <c r="A50" s="94" t="s">
        <v>181</v>
      </c>
      <c r="B50" s="94" t="s">
        <v>45</v>
      </c>
      <c r="C50" s="94" t="s">
        <v>311</v>
      </c>
      <c r="D50" s="94" t="s">
        <v>357</v>
      </c>
      <c r="E50" s="183"/>
      <c r="F50" s="33">
        <v>1</v>
      </c>
      <c r="G50" s="33">
        <v>1</v>
      </c>
      <c r="H50" s="33"/>
      <c r="I50" s="33"/>
      <c r="J50" s="33"/>
      <c r="K50" s="33"/>
      <c r="L50" s="33"/>
      <c r="M50" s="33"/>
      <c r="N50" s="33"/>
      <c r="O50" s="33"/>
      <c r="P50" s="184"/>
      <c r="Q50" s="176">
        <f t="shared" si="1"/>
        <v>2</v>
      </c>
      <c r="R50" s="177">
        <v>12</v>
      </c>
    </row>
    <row r="51" spans="1:18" x14ac:dyDescent="0.25">
      <c r="A51" s="94" t="s">
        <v>168</v>
      </c>
      <c r="B51" s="94" t="s">
        <v>168</v>
      </c>
      <c r="C51" s="94" t="s">
        <v>311</v>
      </c>
      <c r="D51" s="94" t="s">
        <v>360</v>
      </c>
      <c r="E51" s="183"/>
      <c r="F51" s="33"/>
      <c r="G51" s="33"/>
      <c r="H51" s="33"/>
      <c r="I51" s="33"/>
      <c r="J51" s="33"/>
      <c r="K51" s="33"/>
      <c r="L51" s="33"/>
      <c r="M51" s="33"/>
      <c r="N51" s="33"/>
      <c r="O51" s="33"/>
      <c r="P51" s="184"/>
      <c r="Q51" s="176">
        <f t="shared" si="1"/>
        <v>0</v>
      </c>
      <c r="R51" s="177">
        <v>12</v>
      </c>
    </row>
    <row r="52" spans="1:18" x14ac:dyDescent="0.25">
      <c r="A52" s="94" t="s">
        <v>168</v>
      </c>
      <c r="B52" s="94" t="s">
        <v>168</v>
      </c>
      <c r="C52" s="94" t="s">
        <v>301</v>
      </c>
      <c r="D52" s="94" t="s">
        <v>811</v>
      </c>
      <c r="E52" s="183"/>
      <c r="F52" s="33"/>
      <c r="G52" s="33"/>
      <c r="H52" s="33"/>
      <c r="I52" s="33"/>
      <c r="J52" s="33"/>
      <c r="K52" s="33"/>
      <c r="L52" s="33"/>
      <c r="M52" s="33"/>
      <c r="N52" s="33"/>
      <c r="O52" s="33"/>
      <c r="P52" s="184"/>
      <c r="Q52" s="176">
        <f t="shared" si="1"/>
        <v>0</v>
      </c>
      <c r="R52" s="177">
        <v>12</v>
      </c>
    </row>
    <row r="53" spans="1:18" x14ac:dyDescent="0.25">
      <c r="A53" s="94" t="s">
        <v>54</v>
      </c>
      <c r="B53" s="94" t="s">
        <v>34</v>
      </c>
      <c r="C53" s="94" t="s">
        <v>301</v>
      </c>
      <c r="D53" s="94" t="s">
        <v>361</v>
      </c>
      <c r="E53" s="183">
        <v>1</v>
      </c>
      <c r="F53" s="33">
        <v>1</v>
      </c>
      <c r="G53" s="33">
        <v>2</v>
      </c>
      <c r="H53" s="33">
        <v>1</v>
      </c>
      <c r="I53" s="33"/>
      <c r="J53" s="33"/>
      <c r="K53" s="33"/>
      <c r="L53" s="33"/>
      <c r="M53" s="33"/>
      <c r="N53" s="33"/>
      <c r="O53" s="33"/>
      <c r="P53" s="184"/>
      <c r="Q53" s="176">
        <f t="shared" si="1"/>
        <v>5</v>
      </c>
      <c r="R53" s="177">
        <v>12</v>
      </c>
    </row>
    <row r="54" spans="1:18" x14ac:dyDescent="0.25">
      <c r="A54" s="144" t="s">
        <v>100</v>
      </c>
      <c r="B54" s="94" t="s">
        <v>34</v>
      </c>
      <c r="C54" s="94" t="s">
        <v>301</v>
      </c>
      <c r="D54" s="94" t="s">
        <v>362</v>
      </c>
      <c r="E54" s="183">
        <v>1</v>
      </c>
      <c r="F54" s="33">
        <v>1</v>
      </c>
      <c r="G54" s="33">
        <v>1</v>
      </c>
      <c r="H54" s="33"/>
      <c r="I54" s="33"/>
      <c r="J54" s="33"/>
      <c r="K54" s="33"/>
      <c r="L54" s="33"/>
      <c r="M54" s="33"/>
      <c r="N54" s="33"/>
      <c r="O54" s="33"/>
      <c r="P54" s="184"/>
      <c r="Q54" s="176">
        <f t="shared" si="1"/>
        <v>3</v>
      </c>
      <c r="R54" s="177">
        <v>12</v>
      </c>
    </row>
    <row r="55" spans="1:18" x14ac:dyDescent="0.25">
      <c r="A55" s="94" t="s">
        <v>54</v>
      </c>
      <c r="B55" s="94" t="s">
        <v>34</v>
      </c>
      <c r="C55" s="94" t="s">
        <v>311</v>
      </c>
      <c r="D55" s="94" t="s">
        <v>364</v>
      </c>
      <c r="E55" s="183">
        <v>0</v>
      </c>
      <c r="F55" s="33">
        <v>0</v>
      </c>
      <c r="G55" s="33">
        <v>0</v>
      </c>
      <c r="H55" s="33"/>
      <c r="I55" s="33"/>
      <c r="J55" s="33"/>
      <c r="K55" s="33"/>
      <c r="L55" s="33"/>
      <c r="M55" s="33"/>
      <c r="N55" s="33"/>
      <c r="O55" s="33"/>
      <c r="P55" s="184"/>
      <c r="Q55" s="176">
        <f t="shared" si="1"/>
        <v>0</v>
      </c>
      <c r="R55" s="177">
        <v>0</v>
      </c>
    </row>
    <row r="56" spans="1:18" x14ac:dyDescent="0.25">
      <c r="A56" s="144" t="s">
        <v>159</v>
      </c>
      <c r="B56" s="94" t="s">
        <v>45</v>
      </c>
      <c r="C56" s="94" t="s">
        <v>301</v>
      </c>
      <c r="D56" s="94" t="s">
        <v>365</v>
      </c>
      <c r="E56" s="183">
        <v>1</v>
      </c>
      <c r="F56" s="183">
        <v>1</v>
      </c>
      <c r="G56" s="183">
        <v>1</v>
      </c>
      <c r="H56" s="33"/>
      <c r="I56" s="33"/>
      <c r="J56" s="33"/>
      <c r="K56" s="33"/>
      <c r="L56" s="33"/>
      <c r="M56" s="33"/>
      <c r="N56" s="33"/>
      <c r="O56" s="33"/>
      <c r="P56" s="184"/>
      <c r="Q56" s="176">
        <f t="shared" si="1"/>
        <v>3</v>
      </c>
      <c r="R56" s="177">
        <v>12</v>
      </c>
    </row>
    <row r="57" spans="1:18" x14ac:dyDescent="0.25">
      <c r="A57" s="94" t="s">
        <v>181</v>
      </c>
      <c r="B57" s="94" t="s">
        <v>71</v>
      </c>
      <c r="C57" s="94" t="s">
        <v>301</v>
      </c>
      <c r="D57" s="94" t="s">
        <v>359</v>
      </c>
      <c r="E57" s="183"/>
      <c r="F57" s="33"/>
      <c r="G57" s="33"/>
      <c r="H57" s="33"/>
      <c r="I57" s="33"/>
      <c r="J57" s="33"/>
      <c r="K57" s="33"/>
      <c r="L57" s="33"/>
      <c r="M57" s="33"/>
      <c r="N57" s="33"/>
      <c r="O57" s="33"/>
      <c r="P57" s="184"/>
      <c r="Q57" s="176">
        <f t="shared" si="1"/>
        <v>0</v>
      </c>
      <c r="R57" s="177">
        <v>12</v>
      </c>
    </row>
    <row r="58" spans="1:18" x14ac:dyDescent="0.25">
      <c r="A58" s="94" t="s">
        <v>109</v>
      </c>
      <c r="B58" s="94" t="s">
        <v>34</v>
      </c>
      <c r="C58" s="94" t="s">
        <v>311</v>
      </c>
      <c r="D58" s="94" t="s">
        <v>368</v>
      </c>
      <c r="E58" s="183">
        <v>0</v>
      </c>
      <c r="F58" s="33">
        <v>0</v>
      </c>
      <c r="G58" s="33">
        <v>0</v>
      </c>
      <c r="H58" s="33"/>
      <c r="I58" s="33"/>
      <c r="J58" s="33"/>
      <c r="K58" s="33"/>
      <c r="L58" s="33"/>
      <c r="M58" s="33"/>
      <c r="N58" s="33"/>
      <c r="O58" s="33"/>
      <c r="P58" s="184"/>
      <c r="Q58" s="176">
        <f t="shared" si="1"/>
        <v>0</v>
      </c>
      <c r="R58" s="177">
        <v>0</v>
      </c>
    </row>
    <row r="59" spans="1:18" x14ac:dyDescent="0.25">
      <c r="A59" s="94" t="s">
        <v>181</v>
      </c>
      <c r="B59" s="94" t="s">
        <v>34</v>
      </c>
      <c r="C59" s="94" t="s">
        <v>315</v>
      </c>
      <c r="D59" s="94" t="s">
        <v>813</v>
      </c>
      <c r="E59" s="183">
        <v>1</v>
      </c>
      <c r="F59" s="33">
        <v>1</v>
      </c>
      <c r="G59" s="33">
        <v>1</v>
      </c>
      <c r="H59" s="33"/>
      <c r="I59" s="33"/>
      <c r="J59" s="33"/>
      <c r="K59" s="33"/>
      <c r="L59" s="33"/>
      <c r="M59" s="33"/>
      <c r="N59" s="33"/>
      <c r="O59" s="33"/>
      <c r="P59" s="184"/>
      <c r="Q59" s="176">
        <f t="shared" si="1"/>
        <v>3</v>
      </c>
      <c r="R59" s="177">
        <v>12</v>
      </c>
    </row>
    <row r="60" spans="1:18" x14ac:dyDescent="0.25">
      <c r="A60" s="94" t="s">
        <v>168</v>
      </c>
      <c r="B60" s="94" t="s">
        <v>168</v>
      </c>
      <c r="C60" s="94" t="s">
        <v>315</v>
      </c>
      <c r="D60" s="94" t="s">
        <v>369</v>
      </c>
      <c r="E60" s="183"/>
      <c r="F60" s="33"/>
      <c r="G60" s="33"/>
      <c r="H60" s="33"/>
      <c r="I60" s="33"/>
      <c r="J60" s="33"/>
      <c r="K60" s="33"/>
      <c r="L60" s="33"/>
      <c r="M60" s="33"/>
      <c r="N60" s="33"/>
      <c r="O60" s="33"/>
      <c r="P60" s="184"/>
      <c r="Q60" s="176">
        <f t="shared" si="1"/>
        <v>0</v>
      </c>
      <c r="R60" s="177">
        <v>12</v>
      </c>
    </row>
    <row r="61" spans="1:18" x14ac:dyDescent="0.25">
      <c r="A61" s="94" t="s">
        <v>109</v>
      </c>
      <c r="B61" s="94" t="s">
        <v>34</v>
      </c>
      <c r="C61" s="94" t="s">
        <v>301</v>
      </c>
      <c r="D61" s="94" t="s">
        <v>370</v>
      </c>
      <c r="E61" s="183">
        <v>10</v>
      </c>
      <c r="F61" s="33">
        <v>50</v>
      </c>
      <c r="G61" s="33">
        <v>12</v>
      </c>
      <c r="H61" s="33">
        <v>0</v>
      </c>
      <c r="I61" s="33"/>
      <c r="J61" s="33"/>
      <c r="K61" s="33"/>
      <c r="L61" s="33"/>
      <c r="M61" s="33"/>
      <c r="N61" s="33"/>
      <c r="O61" s="33"/>
      <c r="P61" s="184"/>
      <c r="Q61" s="176">
        <f t="shared" si="1"/>
        <v>72</v>
      </c>
      <c r="R61" s="177">
        <v>12</v>
      </c>
    </row>
    <row r="62" spans="1:18" x14ac:dyDescent="0.25">
      <c r="A62" s="94" t="s">
        <v>168</v>
      </c>
      <c r="B62" s="94" t="s">
        <v>168</v>
      </c>
      <c r="C62" s="94" t="s">
        <v>320</v>
      </c>
      <c r="D62" s="94" t="s">
        <v>371</v>
      </c>
      <c r="E62" s="183"/>
      <c r="F62" s="33"/>
      <c r="G62" s="33"/>
      <c r="H62" s="33"/>
      <c r="I62" s="33"/>
      <c r="J62" s="33"/>
      <c r="K62" s="33"/>
      <c r="L62" s="33"/>
      <c r="M62" s="33"/>
      <c r="N62" s="33"/>
      <c r="O62" s="33"/>
      <c r="P62" s="184"/>
      <c r="Q62" s="176">
        <f t="shared" si="1"/>
        <v>0</v>
      </c>
      <c r="R62" s="177">
        <v>12</v>
      </c>
    </row>
    <row r="63" spans="1:18" x14ac:dyDescent="0.25">
      <c r="A63" s="94" t="s">
        <v>94</v>
      </c>
      <c r="B63" s="94" t="s">
        <v>94</v>
      </c>
      <c r="C63" s="94" t="s">
        <v>301</v>
      </c>
      <c r="D63" s="94" t="s">
        <v>372</v>
      </c>
      <c r="E63" s="183"/>
      <c r="F63" s="33"/>
      <c r="G63" s="33"/>
      <c r="H63" s="33"/>
      <c r="I63" s="33"/>
      <c r="J63" s="33"/>
      <c r="K63" s="33"/>
      <c r="L63" s="33"/>
      <c r="M63" s="33"/>
      <c r="N63" s="33"/>
      <c r="O63" s="33"/>
      <c r="P63" s="184"/>
      <c r="Q63" s="176">
        <f t="shared" si="1"/>
        <v>0</v>
      </c>
      <c r="R63" s="177">
        <v>12</v>
      </c>
    </row>
    <row r="64" spans="1:18" x14ac:dyDescent="0.25">
      <c r="A64" s="94" t="s">
        <v>159</v>
      </c>
      <c r="B64" s="94" t="s">
        <v>45</v>
      </c>
      <c r="C64" s="94" t="s">
        <v>301</v>
      </c>
      <c r="D64" s="94" t="s">
        <v>373</v>
      </c>
      <c r="E64" s="183">
        <v>2</v>
      </c>
      <c r="F64" s="33">
        <v>2</v>
      </c>
      <c r="G64" s="33"/>
      <c r="H64" s="33"/>
      <c r="I64" s="33"/>
      <c r="J64" s="33"/>
      <c r="K64" s="33"/>
      <c r="L64" s="33"/>
      <c r="M64" s="33"/>
      <c r="N64" s="33"/>
      <c r="O64" s="33"/>
      <c r="P64" s="184"/>
      <c r="Q64" s="176">
        <f t="shared" si="1"/>
        <v>4</v>
      </c>
      <c r="R64" s="177">
        <v>12</v>
      </c>
    </row>
    <row r="65" spans="1:18" x14ac:dyDescent="0.25">
      <c r="A65" s="94" t="s">
        <v>192</v>
      </c>
      <c r="B65" s="94" t="s">
        <v>34</v>
      </c>
      <c r="C65" s="94" t="s">
        <v>301</v>
      </c>
      <c r="D65" s="94" t="s">
        <v>381</v>
      </c>
      <c r="E65" s="183">
        <v>1</v>
      </c>
      <c r="F65" s="33"/>
      <c r="G65" s="33"/>
      <c r="H65" s="33"/>
      <c r="I65" s="33"/>
      <c r="J65" s="33"/>
      <c r="K65" s="33"/>
      <c r="L65" s="33"/>
      <c r="M65" s="33"/>
      <c r="N65" s="33"/>
      <c r="O65" s="33"/>
      <c r="P65" s="184"/>
      <c r="Q65" s="176">
        <f t="shared" si="1"/>
        <v>1</v>
      </c>
      <c r="R65" s="177">
        <v>12</v>
      </c>
    </row>
    <row r="66" spans="1:18" x14ac:dyDescent="0.25">
      <c r="A66" s="94" t="s">
        <v>181</v>
      </c>
      <c r="B66" s="94" t="s">
        <v>71</v>
      </c>
      <c r="C66" s="94" t="s">
        <v>315</v>
      </c>
      <c r="D66" s="94" t="s">
        <v>374</v>
      </c>
      <c r="E66" s="183"/>
      <c r="F66" s="33"/>
      <c r="G66" s="33"/>
      <c r="H66" s="33"/>
      <c r="I66" s="33"/>
      <c r="J66" s="33"/>
      <c r="K66" s="33"/>
      <c r="L66" s="33"/>
      <c r="M66" s="33"/>
      <c r="N66" s="33"/>
      <c r="O66" s="33"/>
      <c r="P66" s="184"/>
      <c r="Q66" s="176">
        <f t="shared" si="1"/>
        <v>0</v>
      </c>
      <c r="R66" s="177">
        <v>12</v>
      </c>
    </row>
    <row r="67" spans="1:18" x14ac:dyDescent="0.25">
      <c r="A67" s="94" t="s">
        <v>109</v>
      </c>
      <c r="B67" s="94" t="s">
        <v>34</v>
      </c>
      <c r="C67" s="94" t="s">
        <v>301</v>
      </c>
      <c r="D67" s="94" t="s">
        <v>375</v>
      </c>
      <c r="E67" s="183"/>
      <c r="F67" s="33"/>
      <c r="G67" s="33"/>
      <c r="H67" s="33"/>
      <c r="I67" s="33"/>
      <c r="J67" s="33"/>
      <c r="K67" s="33"/>
      <c r="L67" s="33"/>
      <c r="M67" s="33"/>
      <c r="N67" s="33"/>
      <c r="O67" s="33"/>
      <c r="P67" s="184"/>
      <c r="Q67" s="176">
        <f t="shared" ref="Q67:Q71" si="2">E67+F67+G67+H67+I67+J67+K67+L67+M67+N67+O67+P67</f>
        <v>0</v>
      </c>
      <c r="R67" s="177">
        <v>12</v>
      </c>
    </row>
    <row r="68" spans="1:18" x14ac:dyDescent="0.25">
      <c r="A68" s="94" t="s">
        <v>159</v>
      </c>
      <c r="B68" s="94" t="s">
        <v>45</v>
      </c>
      <c r="C68" s="94" t="s">
        <v>301</v>
      </c>
      <c r="D68" s="94" t="s">
        <v>376</v>
      </c>
      <c r="E68" s="183">
        <v>1</v>
      </c>
      <c r="F68" s="33">
        <v>1</v>
      </c>
      <c r="G68" s="33">
        <v>1</v>
      </c>
      <c r="H68" s="33">
        <v>1</v>
      </c>
      <c r="I68" s="33"/>
      <c r="J68" s="33"/>
      <c r="K68" s="33"/>
      <c r="L68" s="33"/>
      <c r="M68" s="33"/>
      <c r="N68" s="33"/>
      <c r="O68" s="33"/>
      <c r="P68" s="184"/>
      <c r="Q68" s="176">
        <f t="shared" si="2"/>
        <v>4</v>
      </c>
      <c r="R68" s="177">
        <v>12</v>
      </c>
    </row>
    <row r="69" spans="1:18" x14ac:dyDescent="0.25">
      <c r="A69" s="94" t="s">
        <v>168</v>
      </c>
      <c r="B69" s="94" t="s">
        <v>168</v>
      </c>
      <c r="C69" s="94" t="s">
        <v>814</v>
      </c>
      <c r="D69" s="94" t="s">
        <v>377</v>
      </c>
      <c r="E69" s="183"/>
      <c r="F69" s="33"/>
      <c r="G69" s="33"/>
      <c r="H69" s="33"/>
      <c r="I69" s="33"/>
      <c r="J69" s="33"/>
      <c r="K69" s="33"/>
      <c r="L69" s="33"/>
      <c r="M69" s="33"/>
      <c r="N69" s="33"/>
      <c r="O69" s="33"/>
      <c r="P69" s="184"/>
      <c r="Q69" s="176">
        <f t="shared" si="2"/>
        <v>0</v>
      </c>
      <c r="R69" s="177">
        <v>12</v>
      </c>
    </row>
    <row r="70" spans="1:18" x14ac:dyDescent="0.25">
      <c r="A70" s="94" t="s">
        <v>269</v>
      </c>
      <c r="B70" s="94" t="s">
        <v>34</v>
      </c>
      <c r="C70" s="94" t="s">
        <v>301</v>
      </c>
      <c r="D70" s="94" t="s">
        <v>379</v>
      </c>
      <c r="E70" s="183">
        <v>2</v>
      </c>
      <c r="F70" s="33">
        <v>1</v>
      </c>
      <c r="G70" s="33"/>
      <c r="H70" s="33">
        <v>1</v>
      </c>
      <c r="I70" s="33"/>
      <c r="J70" s="33"/>
      <c r="K70" s="33"/>
      <c r="L70" s="33"/>
      <c r="M70" s="33"/>
      <c r="N70" s="33"/>
      <c r="O70" s="33"/>
      <c r="P70" s="184"/>
      <c r="Q70" s="176">
        <f t="shared" si="2"/>
        <v>4</v>
      </c>
      <c r="R70" s="177">
        <v>12</v>
      </c>
    </row>
    <row r="71" spans="1:18" ht="15.75" thickBot="1" x14ac:dyDescent="0.3">
      <c r="A71" s="103" t="s">
        <v>181</v>
      </c>
      <c r="B71" s="103" t="s">
        <v>34</v>
      </c>
      <c r="C71" s="103" t="s">
        <v>299</v>
      </c>
      <c r="D71" s="103" t="s">
        <v>380</v>
      </c>
      <c r="E71" s="185"/>
      <c r="F71" s="186">
        <v>1</v>
      </c>
      <c r="G71" s="186"/>
      <c r="H71" s="186"/>
      <c r="I71" s="186"/>
      <c r="J71" s="186"/>
      <c r="K71" s="186"/>
      <c r="L71" s="186"/>
      <c r="M71" s="186"/>
      <c r="N71" s="186"/>
      <c r="O71" s="186"/>
      <c r="P71" s="187"/>
      <c r="Q71" s="100">
        <f t="shared" si="2"/>
        <v>1</v>
      </c>
      <c r="R71" s="178">
        <v>12</v>
      </c>
    </row>
    <row r="72" spans="1:18" x14ac:dyDescent="0.25">
      <c r="A72" s="10"/>
      <c r="B72" s="10"/>
      <c r="C72" s="10"/>
      <c r="D72" s="150"/>
      <c r="E72" s="179">
        <f t="shared" ref="E72:P72" si="3">SUM(COUNTIF(E4:E71,$G$94)+COUNTIF(E4:E71,$G$95))/18</f>
        <v>0.22222222222222221</v>
      </c>
      <c r="F72" s="179">
        <f t="shared" si="3"/>
        <v>0.22222222222222221</v>
      </c>
      <c r="G72" s="179">
        <f t="shared" si="3"/>
        <v>0.22222222222222221</v>
      </c>
      <c r="H72" s="179">
        <f t="shared" si="3"/>
        <v>0.1111111111111111</v>
      </c>
      <c r="I72" s="179">
        <f t="shared" si="3"/>
        <v>0</v>
      </c>
      <c r="J72" s="179">
        <f t="shared" si="3"/>
        <v>0</v>
      </c>
      <c r="K72" s="179">
        <f t="shared" si="3"/>
        <v>0</v>
      </c>
      <c r="L72" s="179">
        <f t="shared" si="3"/>
        <v>0</v>
      </c>
      <c r="M72" s="179">
        <f t="shared" si="3"/>
        <v>0</v>
      </c>
      <c r="N72" s="179">
        <f t="shared" si="3"/>
        <v>0</v>
      </c>
      <c r="O72" s="179">
        <f t="shared" si="3"/>
        <v>0</v>
      </c>
      <c r="P72" s="179">
        <f t="shared" si="3"/>
        <v>0</v>
      </c>
      <c r="Q72" s="39"/>
      <c r="R72" s="10"/>
    </row>
    <row r="73" spans="1:18" ht="15.75" thickBot="1" x14ac:dyDescent="0.3">
      <c r="D73" s="151"/>
      <c r="E73" s="37">
        <f t="shared" ref="E73:P73" si="4">100%-E72</f>
        <v>0.77777777777777779</v>
      </c>
      <c r="F73" s="37">
        <f t="shared" si="4"/>
        <v>0.77777777777777779</v>
      </c>
      <c r="G73" s="37">
        <f t="shared" si="4"/>
        <v>0.77777777777777779</v>
      </c>
      <c r="H73" s="37">
        <f t="shared" si="4"/>
        <v>0.88888888888888884</v>
      </c>
      <c r="I73" s="37">
        <f t="shared" si="4"/>
        <v>1</v>
      </c>
      <c r="J73" s="37">
        <f t="shared" si="4"/>
        <v>1</v>
      </c>
      <c r="K73" s="37">
        <f t="shared" si="4"/>
        <v>1</v>
      </c>
      <c r="L73" s="37">
        <f t="shared" si="4"/>
        <v>1</v>
      </c>
      <c r="M73" s="37">
        <f t="shared" si="4"/>
        <v>1</v>
      </c>
      <c r="N73" s="37">
        <f t="shared" si="4"/>
        <v>1</v>
      </c>
      <c r="O73" s="37">
        <f t="shared" si="4"/>
        <v>1</v>
      </c>
      <c r="P73" s="37">
        <f t="shared" si="4"/>
        <v>1</v>
      </c>
      <c r="Q73" s="11"/>
    </row>
  </sheetData>
  <autoFilter ref="A2:R73" xr:uid="{0FE35109-8BCB-4C45-8D2B-F08648349A4B}">
    <sortState xmlns:xlrd2="http://schemas.microsoft.com/office/spreadsheetml/2017/richdata2" ref="A3:R73">
      <sortCondition ref="D2:D73"/>
    </sortState>
  </autoFilter>
  <mergeCells count="2">
    <mergeCell ref="Q1:R1"/>
    <mergeCell ref="E1:P1"/>
  </mergeCells>
  <conditionalFormatting sqref="E3:Q73">
    <cfRule type="containsText" dxfId="16" priority="1" operator="containsText" text="Arrêt Maladie ">
      <formula>NOT(ISERROR(SEARCH("Arrêt Maladie ",E3)))</formula>
    </cfRule>
    <cfRule type="containsText" dxfId="15" priority="2" operator="containsText" text="NC">
      <formula>NOT(ISERROR(SEARCH("NC",E3)))</formula>
    </cfRule>
  </conditionalFormatting>
  <conditionalFormatting sqref="E3:R71 E72:Q73">
    <cfRule type="containsText" dxfId="14" priority="3" operator="containsText" text="0">
      <formula>NOT(ISERROR(SEARCH("0",E3)))</formula>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C9F5-7576-4F95-B208-6CF3F5408766}">
  <sheetPr filterMode="1">
    <tabColor rgb="FFFFC000"/>
  </sheetPr>
  <dimension ref="A1:X440"/>
  <sheetViews>
    <sheetView tabSelected="1" zoomScale="70" zoomScaleNormal="70" workbookViewId="0">
      <pane ySplit="3" topLeftCell="A109" activePane="bottomLeft" state="frozen"/>
      <selection pane="bottomLeft" activeCell="P140" sqref="P140"/>
    </sheetView>
  </sheetViews>
  <sheetFormatPr baseColWidth="10" defaultColWidth="11.5703125" defaultRowHeight="15" x14ac:dyDescent="0.25"/>
  <cols>
    <col min="1" max="1" width="13.28515625" style="306" customWidth="1"/>
    <col min="2" max="2" width="11.5703125" style="306" bestFit="1" customWidth="1"/>
    <col min="3" max="3" width="23.42578125" style="306" customWidth="1"/>
    <col min="4" max="4" width="25.28515625" style="306" customWidth="1"/>
    <col min="5" max="5" width="57.7109375" style="306" customWidth="1"/>
    <col min="6" max="8" width="42.7109375" style="306" customWidth="1"/>
    <col min="9" max="9" width="25.28515625" style="345" customWidth="1"/>
    <col min="10" max="11" width="25.28515625" style="306" customWidth="1"/>
    <col min="12" max="12" width="19.28515625" style="306" customWidth="1"/>
    <col min="13" max="13" width="18.7109375" style="306" customWidth="1"/>
    <col min="14" max="15" width="13.85546875" style="306" customWidth="1"/>
    <col min="16" max="20" width="11.5703125" style="306" bestFit="1" customWidth="1"/>
    <col min="21" max="23" width="11.5703125" style="306"/>
    <col min="24" max="24" width="46.7109375" style="306" bestFit="1" customWidth="1"/>
    <col min="25" max="16384" width="11.5703125" style="306"/>
  </cols>
  <sheetData>
    <row r="1" spans="1:24" s="311" customFormat="1" ht="49.9" customHeight="1" thickBot="1" x14ac:dyDescent="0.3">
      <c r="A1" s="335"/>
      <c r="B1" s="336" t="s">
        <v>138</v>
      </c>
      <c r="C1" s="337">
        <f ca="1">TODAY()</f>
        <v>46161</v>
      </c>
      <c r="D1" s="338"/>
      <c r="E1" s="524" t="s">
        <v>1027</v>
      </c>
      <c r="F1" s="525"/>
      <c r="G1" s="525"/>
      <c r="H1" s="525"/>
      <c r="I1" s="525"/>
      <c r="J1" s="525"/>
      <c r="K1" s="525"/>
      <c r="L1" s="525"/>
      <c r="M1" s="526"/>
    </row>
    <row r="2" spans="1:24" ht="57.75" thickBot="1" x14ac:dyDescent="0.3">
      <c r="A2" s="139" t="s">
        <v>475</v>
      </c>
      <c r="B2" s="463" t="s">
        <v>140</v>
      </c>
      <c r="C2" s="464" t="s">
        <v>1028</v>
      </c>
      <c r="D2" s="465" t="s">
        <v>479</v>
      </c>
      <c r="E2" s="466" t="s">
        <v>478</v>
      </c>
      <c r="F2" s="466" t="s">
        <v>1029</v>
      </c>
      <c r="G2" s="139" t="s">
        <v>949</v>
      </c>
      <c r="H2" s="139" t="s">
        <v>1030</v>
      </c>
      <c r="I2" s="467" t="s">
        <v>816</v>
      </c>
      <c r="J2" s="466" t="s">
        <v>950</v>
      </c>
      <c r="K2" s="466" t="s">
        <v>1031</v>
      </c>
      <c r="L2" s="466" t="s">
        <v>818</v>
      </c>
      <c r="M2" s="465" t="s">
        <v>481</v>
      </c>
      <c r="N2" s="311"/>
      <c r="O2" s="311"/>
    </row>
    <row r="3" spans="1:24" ht="57.75" hidden="1" thickBot="1" x14ac:dyDescent="0.3">
      <c r="A3" s="312">
        <v>46028</v>
      </c>
      <c r="B3" s="302" t="s">
        <v>54</v>
      </c>
      <c r="C3" s="315" t="s">
        <v>1032</v>
      </c>
      <c r="D3" s="302" t="s">
        <v>1033</v>
      </c>
      <c r="E3" s="302" t="s">
        <v>1034</v>
      </c>
      <c r="F3" s="302" t="s">
        <v>1035</v>
      </c>
      <c r="G3" s="302" t="s">
        <v>1036</v>
      </c>
      <c r="H3" s="302"/>
      <c r="I3" s="342">
        <v>50</v>
      </c>
      <c r="J3" s="334">
        <v>46037</v>
      </c>
      <c r="K3" s="302" t="s">
        <v>1037</v>
      </c>
      <c r="L3" s="302" t="s">
        <v>1038</v>
      </c>
      <c r="M3" s="302" t="s">
        <v>309</v>
      </c>
    </row>
    <row r="4" spans="1:24" ht="57.75" hidden="1" thickBot="1" x14ac:dyDescent="0.3">
      <c r="A4" s="312">
        <v>46029</v>
      </c>
      <c r="B4" s="302" t="s">
        <v>192</v>
      </c>
      <c r="C4" s="315" t="s">
        <v>1032</v>
      </c>
      <c r="D4" s="302" t="s">
        <v>606</v>
      </c>
      <c r="E4" s="302" t="s">
        <v>1039</v>
      </c>
      <c r="F4" s="302" t="s">
        <v>1040</v>
      </c>
      <c r="G4" s="302" t="s">
        <v>1041</v>
      </c>
      <c r="H4" s="302" t="s">
        <v>1042</v>
      </c>
      <c r="I4" s="342"/>
      <c r="J4" s="334">
        <v>46029</v>
      </c>
      <c r="K4" s="302"/>
      <c r="L4" s="302" t="s">
        <v>1043</v>
      </c>
      <c r="M4" s="302" t="s">
        <v>381</v>
      </c>
      <c r="X4" s="479" t="s">
        <v>1044</v>
      </c>
    </row>
    <row r="5" spans="1:24" ht="71.25" x14ac:dyDescent="0.25">
      <c r="A5" s="312">
        <v>46032</v>
      </c>
      <c r="B5" s="302" t="s">
        <v>109</v>
      </c>
      <c r="C5" s="315" t="s">
        <v>1032</v>
      </c>
      <c r="D5" s="302" t="s">
        <v>578</v>
      </c>
      <c r="E5" s="302" t="s">
        <v>1045</v>
      </c>
      <c r="F5" s="302" t="s">
        <v>1046</v>
      </c>
      <c r="G5" s="302" t="s">
        <v>1047</v>
      </c>
      <c r="H5" s="302"/>
      <c r="I5" s="342">
        <f>(1500+630+684)*5</f>
        <v>14070</v>
      </c>
      <c r="J5" s="334" t="s">
        <v>1048</v>
      </c>
      <c r="K5" s="302" t="s">
        <v>1037</v>
      </c>
      <c r="L5" s="302" t="s">
        <v>1049</v>
      </c>
      <c r="M5" s="302" t="s">
        <v>370</v>
      </c>
      <c r="W5" s="477" t="s">
        <v>1037</v>
      </c>
      <c r="X5" s="480" t="s">
        <v>1050</v>
      </c>
    </row>
    <row r="6" spans="1:24" ht="114.75" hidden="1" thickBot="1" x14ac:dyDescent="0.3">
      <c r="A6" s="312">
        <v>46034</v>
      </c>
      <c r="B6" s="302" t="s">
        <v>192</v>
      </c>
      <c r="C6" s="315" t="s">
        <v>1051</v>
      </c>
      <c r="D6" s="302" t="s">
        <v>606</v>
      </c>
      <c r="E6" s="302" t="s">
        <v>1052</v>
      </c>
      <c r="F6" s="302" t="s">
        <v>1053</v>
      </c>
      <c r="G6" s="302" t="s">
        <v>1054</v>
      </c>
      <c r="H6" s="302"/>
      <c r="I6" s="342"/>
      <c r="J6" s="334">
        <v>46041</v>
      </c>
      <c r="K6" s="302"/>
      <c r="L6" s="302" t="s">
        <v>1055</v>
      </c>
      <c r="M6" s="302" t="s">
        <v>310</v>
      </c>
      <c r="W6" s="478" t="s">
        <v>1056</v>
      </c>
      <c r="X6" s="480" t="s">
        <v>1057</v>
      </c>
    </row>
    <row r="7" spans="1:24" ht="85.5" hidden="1" x14ac:dyDescent="0.25">
      <c r="A7" s="312">
        <v>46034</v>
      </c>
      <c r="B7" s="302" t="s">
        <v>269</v>
      </c>
      <c r="C7" s="315" t="s">
        <v>1058</v>
      </c>
      <c r="D7" s="302" t="s">
        <v>563</v>
      </c>
      <c r="E7" s="302" t="s">
        <v>1059</v>
      </c>
      <c r="F7" s="302" t="s">
        <v>1060</v>
      </c>
      <c r="G7" s="302" t="s">
        <v>1061</v>
      </c>
      <c r="H7" s="302"/>
      <c r="I7" s="342">
        <v>550</v>
      </c>
      <c r="J7" s="334"/>
      <c r="K7" s="302" t="s">
        <v>1056</v>
      </c>
      <c r="L7" s="302" t="s">
        <v>1062</v>
      </c>
      <c r="M7" s="302" t="s">
        <v>1063</v>
      </c>
      <c r="X7" s="480" t="s">
        <v>1064</v>
      </c>
    </row>
    <row r="8" spans="1:24" ht="60" hidden="1" x14ac:dyDescent="0.25">
      <c r="A8" s="312">
        <v>46036</v>
      </c>
      <c r="B8" s="302" t="s">
        <v>54</v>
      </c>
      <c r="C8" s="315" t="s">
        <v>1032</v>
      </c>
      <c r="D8" s="302" t="s">
        <v>1033</v>
      </c>
      <c r="E8" s="302" t="s">
        <v>1065</v>
      </c>
      <c r="F8" s="302" t="s">
        <v>1066</v>
      </c>
      <c r="G8" s="302" t="s">
        <v>1067</v>
      </c>
      <c r="H8" s="302"/>
      <c r="I8" s="342">
        <v>0</v>
      </c>
      <c r="J8" s="334">
        <v>46045</v>
      </c>
      <c r="K8" s="302" t="s">
        <v>1056</v>
      </c>
      <c r="L8" s="302" t="s">
        <v>1068</v>
      </c>
      <c r="M8" s="302" t="s">
        <v>300</v>
      </c>
      <c r="N8" s="306" t="s">
        <v>1069</v>
      </c>
      <c r="O8" s="306" t="s">
        <v>1070</v>
      </c>
      <c r="X8" s="480" t="s">
        <v>1071</v>
      </c>
    </row>
    <row r="9" spans="1:24" ht="42.75" hidden="1" x14ac:dyDescent="0.25">
      <c r="A9" s="312">
        <v>46038</v>
      </c>
      <c r="B9" s="302" t="s">
        <v>109</v>
      </c>
      <c r="C9" s="315" t="s">
        <v>1051</v>
      </c>
      <c r="D9" s="302" t="s">
        <v>1072</v>
      </c>
      <c r="E9" s="302" t="s">
        <v>1073</v>
      </c>
      <c r="F9" s="302" t="s">
        <v>1074</v>
      </c>
      <c r="G9" s="302"/>
      <c r="H9" s="302" t="s">
        <v>1075</v>
      </c>
      <c r="I9" s="342"/>
      <c r="J9" s="334">
        <v>46038</v>
      </c>
      <c r="K9" s="302" t="s">
        <v>1037</v>
      </c>
      <c r="L9" s="302" t="s">
        <v>1076</v>
      </c>
      <c r="M9" s="302" t="s">
        <v>358</v>
      </c>
      <c r="X9" s="480" t="s">
        <v>1077</v>
      </c>
    </row>
    <row r="10" spans="1:24" ht="42.75" hidden="1" x14ac:dyDescent="0.25">
      <c r="A10" s="312">
        <v>46042</v>
      </c>
      <c r="B10" s="302" t="s">
        <v>159</v>
      </c>
      <c r="C10" s="315" t="s">
        <v>1032</v>
      </c>
      <c r="D10" s="302" t="s">
        <v>1078</v>
      </c>
      <c r="E10" s="302" t="s">
        <v>1079</v>
      </c>
      <c r="F10" s="302" t="s">
        <v>1080</v>
      </c>
      <c r="G10" s="302" t="s">
        <v>1081</v>
      </c>
      <c r="H10" s="302"/>
      <c r="I10" s="342"/>
      <c r="J10" s="334">
        <v>46042</v>
      </c>
      <c r="K10" s="302"/>
      <c r="L10" s="302" t="s">
        <v>1082</v>
      </c>
      <c r="M10" s="302" t="s">
        <v>365</v>
      </c>
      <c r="X10" s="480" t="s">
        <v>1083</v>
      </c>
    </row>
    <row r="11" spans="1:24" ht="57" x14ac:dyDescent="0.25">
      <c r="A11" s="312">
        <v>46043</v>
      </c>
      <c r="B11" s="302" t="s">
        <v>109</v>
      </c>
      <c r="C11" s="315" t="s">
        <v>1032</v>
      </c>
      <c r="D11" s="302" t="s">
        <v>578</v>
      </c>
      <c r="E11" s="302" t="s">
        <v>1084</v>
      </c>
      <c r="F11" s="302" t="s">
        <v>1085</v>
      </c>
      <c r="G11" s="302" t="s">
        <v>1086</v>
      </c>
      <c r="H11" s="302"/>
      <c r="I11" s="342"/>
      <c r="J11" s="334">
        <v>46043</v>
      </c>
      <c r="K11" s="302" t="s">
        <v>1037</v>
      </c>
      <c r="L11" s="302" t="s">
        <v>1087</v>
      </c>
      <c r="M11" s="302" t="s">
        <v>389</v>
      </c>
      <c r="X11" s="480" t="s">
        <v>1088</v>
      </c>
    </row>
    <row r="12" spans="1:24" ht="57.75" hidden="1" thickBot="1" x14ac:dyDescent="0.3">
      <c r="A12" s="312">
        <v>46044</v>
      </c>
      <c r="B12" s="302" t="s">
        <v>54</v>
      </c>
      <c r="C12" s="315" t="s">
        <v>1089</v>
      </c>
      <c r="D12" s="302" t="s">
        <v>560</v>
      </c>
      <c r="E12" s="302" t="s">
        <v>1090</v>
      </c>
      <c r="F12" s="302" t="s">
        <v>1091</v>
      </c>
      <c r="G12" s="302" t="s">
        <v>1092</v>
      </c>
      <c r="H12" s="302" t="s">
        <v>1093</v>
      </c>
      <c r="I12" s="342">
        <v>350</v>
      </c>
      <c r="J12" s="334">
        <v>46054</v>
      </c>
      <c r="K12" s="302" t="s">
        <v>1037</v>
      </c>
      <c r="L12" s="302" t="s">
        <v>1094</v>
      </c>
      <c r="M12" s="302" t="s">
        <v>333</v>
      </c>
      <c r="N12" s="306" t="s">
        <v>1095</v>
      </c>
      <c r="X12" s="481" t="s">
        <v>1096</v>
      </c>
    </row>
    <row r="13" spans="1:24" ht="71.25" hidden="1" x14ac:dyDescent="0.25">
      <c r="A13" s="312">
        <v>46044</v>
      </c>
      <c r="B13" s="302" t="s">
        <v>54</v>
      </c>
      <c r="C13" s="315" t="s">
        <v>1032</v>
      </c>
      <c r="D13" s="302" t="s">
        <v>53</v>
      </c>
      <c r="E13" s="302" t="s">
        <v>1097</v>
      </c>
      <c r="F13" s="302" t="s">
        <v>1098</v>
      </c>
      <c r="G13" s="302" t="s">
        <v>1099</v>
      </c>
      <c r="H13" s="302" t="s">
        <v>1100</v>
      </c>
      <c r="I13" s="342">
        <v>800</v>
      </c>
      <c r="J13" s="334">
        <v>46052</v>
      </c>
      <c r="K13" s="302"/>
      <c r="L13" s="302" t="s">
        <v>1101</v>
      </c>
      <c r="M13" s="302" t="s">
        <v>345</v>
      </c>
    </row>
    <row r="14" spans="1:24" ht="57" hidden="1" x14ac:dyDescent="0.25">
      <c r="A14" s="312">
        <v>46045</v>
      </c>
      <c r="B14" s="302" t="s">
        <v>269</v>
      </c>
      <c r="C14" s="315" t="s">
        <v>1051</v>
      </c>
      <c r="D14" s="302" t="s">
        <v>563</v>
      </c>
      <c r="E14" s="302" t="s">
        <v>1102</v>
      </c>
      <c r="F14" s="302" t="s">
        <v>1103</v>
      </c>
      <c r="G14" s="302"/>
      <c r="H14" s="302" t="s">
        <v>1104</v>
      </c>
      <c r="I14" s="342"/>
      <c r="J14" s="334"/>
      <c r="K14" s="302"/>
      <c r="L14" s="302" t="s">
        <v>1105</v>
      </c>
      <c r="M14" s="302" t="s">
        <v>373</v>
      </c>
    </row>
    <row r="15" spans="1:24" ht="99.75" hidden="1" x14ac:dyDescent="0.25">
      <c r="A15" s="312">
        <v>46045</v>
      </c>
      <c r="B15" s="302" t="s">
        <v>100</v>
      </c>
      <c r="C15" s="315" t="s">
        <v>1051</v>
      </c>
      <c r="D15" s="302" t="s">
        <v>584</v>
      </c>
      <c r="E15" s="302" t="s">
        <v>1106</v>
      </c>
      <c r="F15" s="302" t="s">
        <v>1107</v>
      </c>
      <c r="G15" s="302" t="s">
        <v>1108</v>
      </c>
      <c r="H15" s="302"/>
      <c r="I15" s="342">
        <v>1800</v>
      </c>
      <c r="J15" s="334">
        <v>46045</v>
      </c>
      <c r="K15" s="302"/>
      <c r="L15" s="302" t="s">
        <v>1109</v>
      </c>
      <c r="M15" s="302" t="s">
        <v>1110</v>
      </c>
    </row>
    <row r="16" spans="1:24" ht="128.25" hidden="1" x14ac:dyDescent="0.25">
      <c r="A16" s="312">
        <v>46048</v>
      </c>
      <c r="B16" s="302" t="s">
        <v>100</v>
      </c>
      <c r="C16" s="315" t="s">
        <v>1051</v>
      </c>
      <c r="D16" s="302" t="s">
        <v>617</v>
      </c>
      <c r="E16" s="302" t="s">
        <v>1111</v>
      </c>
      <c r="F16" s="302" t="s">
        <v>1112</v>
      </c>
      <c r="G16" s="302" t="s">
        <v>1113</v>
      </c>
      <c r="H16" s="302" t="s">
        <v>1114</v>
      </c>
      <c r="I16" s="342"/>
      <c r="J16" s="334">
        <v>46048</v>
      </c>
      <c r="K16" s="302"/>
      <c r="L16" s="302" t="s">
        <v>1115</v>
      </c>
      <c r="M16" s="302" t="s">
        <v>334</v>
      </c>
      <c r="Q16" s="306" t="s">
        <v>1116</v>
      </c>
    </row>
    <row r="17" spans="1:15" ht="128.25" hidden="1" x14ac:dyDescent="0.25">
      <c r="A17" s="312">
        <v>46048</v>
      </c>
      <c r="B17" s="302" t="s">
        <v>54</v>
      </c>
      <c r="C17" s="315" t="s">
        <v>1032</v>
      </c>
      <c r="D17" s="302" t="s">
        <v>77</v>
      </c>
      <c r="E17" s="302" t="s">
        <v>1117</v>
      </c>
      <c r="F17" s="302" t="s">
        <v>1118</v>
      </c>
      <c r="G17" s="302" t="s">
        <v>1119</v>
      </c>
      <c r="H17" s="302" t="s">
        <v>1120</v>
      </c>
      <c r="I17" s="342">
        <v>250</v>
      </c>
      <c r="J17" s="334">
        <v>46048</v>
      </c>
      <c r="K17" s="302" t="s">
        <v>1037</v>
      </c>
      <c r="L17" s="302" t="s">
        <v>1121</v>
      </c>
      <c r="M17" s="302" t="s">
        <v>361</v>
      </c>
      <c r="N17" s="306" t="s">
        <v>1122</v>
      </c>
      <c r="O17" s="306" t="s">
        <v>1123</v>
      </c>
    </row>
    <row r="18" spans="1:15" ht="42.75" hidden="1" x14ac:dyDescent="0.25">
      <c r="A18" s="312">
        <v>46049</v>
      </c>
      <c r="B18" s="302" t="s">
        <v>159</v>
      </c>
      <c r="C18" s="315" t="s">
        <v>1032</v>
      </c>
      <c r="D18" s="302" t="s">
        <v>517</v>
      </c>
      <c r="E18" s="302" t="s">
        <v>1124</v>
      </c>
      <c r="F18" s="302" t="s">
        <v>1125</v>
      </c>
      <c r="G18" s="302" t="s">
        <v>1126</v>
      </c>
      <c r="H18" s="302"/>
      <c r="I18" s="342">
        <v>100</v>
      </c>
      <c r="J18" s="334">
        <v>46049</v>
      </c>
      <c r="K18" s="302"/>
      <c r="L18" s="302" t="s">
        <v>1127</v>
      </c>
      <c r="M18" s="302" t="s">
        <v>302</v>
      </c>
    </row>
    <row r="19" spans="1:15" ht="57" hidden="1" x14ac:dyDescent="0.25">
      <c r="A19" s="312">
        <v>46049</v>
      </c>
      <c r="B19" s="302" t="s">
        <v>100</v>
      </c>
      <c r="C19" s="315" t="s">
        <v>1032</v>
      </c>
      <c r="D19" s="302" t="s">
        <v>551</v>
      </c>
      <c r="E19" s="302" t="s">
        <v>1128</v>
      </c>
      <c r="F19" s="302" t="s">
        <v>1129</v>
      </c>
      <c r="G19" s="302" t="s">
        <v>1130</v>
      </c>
      <c r="H19" s="302" t="s">
        <v>1131</v>
      </c>
      <c r="I19" s="342"/>
      <c r="J19" s="334">
        <v>46049</v>
      </c>
      <c r="K19" s="302"/>
      <c r="L19" s="302" t="s">
        <v>1132</v>
      </c>
      <c r="M19" s="302" t="s">
        <v>331</v>
      </c>
    </row>
    <row r="20" spans="1:15" ht="142.5" hidden="1" x14ac:dyDescent="0.25">
      <c r="A20" s="312">
        <v>46049</v>
      </c>
      <c r="B20" s="302" t="s">
        <v>100</v>
      </c>
      <c r="C20" s="315" t="s">
        <v>1032</v>
      </c>
      <c r="D20" s="302" t="s">
        <v>99</v>
      </c>
      <c r="E20" s="302" t="s">
        <v>1133</v>
      </c>
      <c r="F20" s="302" t="s">
        <v>1134</v>
      </c>
      <c r="G20" s="302" t="s">
        <v>1135</v>
      </c>
      <c r="H20" s="302"/>
      <c r="I20" s="342">
        <v>2500</v>
      </c>
      <c r="J20" s="334">
        <v>46056</v>
      </c>
      <c r="K20" s="302"/>
      <c r="L20" s="302" t="s">
        <v>1136</v>
      </c>
      <c r="M20" s="302" t="s">
        <v>1137</v>
      </c>
    </row>
    <row r="21" spans="1:15" ht="57" x14ac:dyDescent="0.25">
      <c r="A21" s="312">
        <v>46050</v>
      </c>
      <c r="B21" s="302" t="s">
        <v>109</v>
      </c>
      <c r="C21" s="315" t="s">
        <v>1032</v>
      </c>
      <c r="D21" s="302" t="s">
        <v>578</v>
      </c>
      <c r="E21" s="302" t="s">
        <v>1138</v>
      </c>
      <c r="F21" s="302" t="s">
        <v>1139</v>
      </c>
      <c r="G21" s="302" t="s">
        <v>1140</v>
      </c>
      <c r="H21" s="302"/>
      <c r="I21" s="342"/>
      <c r="J21" s="334">
        <v>46050</v>
      </c>
      <c r="K21" s="302" t="s">
        <v>1037</v>
      </c>
      <c r="L21" s="302" t="s">
        <v>1141</v>
      </c>
      <c r="M21" s="302" t="s">
        <v>389</v>
      </c>
    </row>
    <row r="22" spans="1:15" ht="85.5" hidden="1" x14ac:dyDescent="0.25">
      <c r="A22" s="312">
        <v>46050</v>
      </c>
      <c r="B22" s="302" t="s">
        <v>36</v>
      </c>
      <c r="C22" s="315" t="s">
        <v>1142</v>
      </c>
      <c r="D22" s="302" t="s">
        <v>1143</v>
      </c>
      <c r="E22" s="302" t="s">
        <v>1144</v>
      </c>
      <c r="F22" s="302" t="s">
        <v>1145</v>
      </c>
      <c r="G22" s="302" t="s">
        <v>1146</v>
      </c>
      <c r="H22" s="302" t="s">
        <v>1147</v>
      </c>
      <c r="I22" s="342">
        <v>600</v>
      </c>
      <c r="J22" s="334"/>
      <c r="K22" s="302" t="s">
        <v>1037</v>
      </c>
      <c r="L22" s="302" t="s">
        <v>1148</v>
      </c>
      <c r="M22" s="302" t="s">
        <v>813</v>
      </c>
    </row>
    <row r="23" spans="1:15" ht="242.25" hidden="1" x14ac:dyDescent="0.25">
      <c r="A23" s="312">
        <v>46050</v>
      </c>
      <c r="B23" s="302" t="s">
        <v>36</v>
      </c>
      <c r="C23" s="315" t="s">
        <v>1058</v>
      </c>
      <c r="D23" s="302" t="s">
        <v>60</v>
      </c>
      <c r="E23" s="302" t="s">
        <v>1149</v>
      </c>
      <c r="F23" s="302" t="s">
        <v>1150</v>
      </c>
      <c r="G23" s="302" t="s">
        <v>1151</v>
      </c>
      <c r="H23" s="302" t="s">
        <v>1152</v>
      </c>
      <c r="I23" s="342">
        <v>1375</v>
      </c>
      <c r="J23" s="334">
        <v>46055</v>
      </c>
      <c r="K23" s="302" t="s">
        <v>1037</v>
      </c>
      <c r="L23" s="302" t="s">
        <v>1153</v>
      </c>
      <c r="M23" s="302" t="s">
        <v>1154</v>
      </c>
    </row>
    <row r="24" spans="1:15" ht="71.25" hidden="1" x14ac:dyDescent="0.25">
      <c r="A24" s="312">
        <v>46051</v>
      </c>
      <c r="B24" s="302" t="s">
        <v>159</v>
      </c>
      <c r="C24" s="315" t="s">
        <v>1032</v>
      </c>
      <c r="D24" s="302" t="s">
        <v>93</v>
      </c>
      <c r="E24" s="302" t="s">
        <v>1155</v>
      </c>
      <c r="F24" s="302" t="s">
        <v>1156</v>
      </c>
      <c r="G24" s="302" t="s">
        <v>1157</v>
      </c>
      <c r="H24" s="302" t="s">
        <v>1158</v>
      </c>
      <c r="I24" s="342">
        <v>0</v>
      </c>
      <c r="J24" s="334">
        <v>46051</v>
      </c>
      <c r="K24" s="302"/>
      <c r="L24" s="302" t="s">
        <v>1159</v>
      </c>
      <c r="M24" s="302" t="s">
        <v>340</v>
      </c>
    </row>
    <row r="25" spans="1:15" ht="75" hidden="1" x14ac:dyDescent="0.25">
      <c r="A25" s="432">
        <v>46051</v>
      </c>
      <c r="B25" s="433" t="s">
        <v>54</v>
      </c>
      <c r="C25" s="434" t="s">
        <v>1032</v>
      </c>
      <c r="D25" s="435" t="s">
        <v>104</v>
      </c>
      <c r="E25" s="435" t="s">
        <v>1160</v>
      </c>
      <c r="F25" s="435" t="s">
        <v>1161</v>
      </c>
      <c r="G25" s="433" t="s">
        <v>1162</v>
      </c>
      <c r="H25" s="433"/>
      <c r="I25" s="436">
        <v>4000</v>
      </c>
      <c r="J25" s="437">
        <v>46051</v>
      </c>
      <c r="K25" s="437" t="s">
        <v>1056</v>
      </c>
      <c r="L25" s="435" t="s">
        <v>1163</v>
      </c>
      <c r="M25" s="435" t="s">
        <v>822</v>
      </c>
      <c r="N25" s="438" t="s">
        <v>1164</v>
      </c>
      <c r="O25" s="438"/>
    </row>
    <row r="26" spans="1:15" ht="71.25" hidden="1" x14ac:dyDescent="0.25">
      <c r="A26" s="312">
        <v>46052</v>
      </c>
      <c r="B26" s="302" t="s">
        <v>159</v>
      </c>
      <c r="C26" s="315" t="s">
        <v>1032</v>
      </c>
      <c r="D26" s="302" t="s">
        <v>589</v>
      </c>
      <c r="E26" s="302" t="s">
        <v>1165</v>
      </c>
      <c r="F26" s="302" t="s">
        <v>1166</v>
      </c>
      <c r="G26" s="302" t="s">
        <v>1167</v>
      </c>
      <c r="H26" s="302" t="s">
        <v>1168</v>
      </c>
      <c r="I26" s="342">
        <v>250</v>
      </c>
      <c r="J26" s="334">
        <v>46049</v>
      </c>
      <c r="K26" s="302"/>
      <c r="L26" s="302" t="s">
        <v>1169</v>
      </c>
      <c r="M26" s="302" t="s">
        <v>376</v>
      </c>
    </row>
    <row r="27" spans="1:15" ht="57" x14ac:dyDescent="0.25">
      <c r="A27" s="312">
        <v>46052</v>
      </c>
      <c r="B27" s="302" t="s">
        <v>109</v>
      </c>
      <c r="C27" s="315" t="s">
        <v>1032</v>
      </c>
      <c r="D27" s="302" t="s">
        <v>578</v>
      </c>
      <c r="E27" s="302" t="s">
        <v>1170</v>
      </c>
      <c r="F27" s="302" t="s">
        <v>1171</v>
      </c>
      <c r="G27" s="302" t="s">
        <v>1172</v>
      </c>
      <c r="H27" s="302"/>
      <c r="I27" s="342">
        <f>8500</f>
        <v>8500</v>
      </c>
      <c r="J27" s="334">
        <v>46052</v>
      </c>
      <c r="K27" s="302" t="s">
        <v>1037</v>
      </c>
      <c r="L27" s="302" t="s">
        <v>1049</v>
      </c>
      <c r="M27" s="302" t="s">
        <v>370</v>
      </c>
    </row>
    <row r="28" spans="1:15" ht="57" x14ac:dyDescent="0.25">
      <c r="A28" s="312">
        <v>46052</v>
      </c>
      <c r="B28" s="302" t="s">
        <v>109</v>
      </c>
      <c r="C28" s="315" t="s">
        <v>1032</v>
      </c>
      <c r="D28" s="302" t="s">
        <v>578</v>
      </c>
      <c r="E28" s="302" t="s">
        <v>1173</v>
      </c>
      <c r="F28" s="302" t="s">
        <v>1174</v>
      </c>
      <c r="G28" s="302" t="s">
        <v>1175</v>
      </c>
      <c r="H28" s="302"/>
      <c r="I28" s="342">
        <f>(303+38*8+130+50)*10</f>
        <v>7870</v>
      </c>
      <c r="J28" s="334">
        <v>46111</v>
      </c>
      <c r="K28" s="302" t="s">
        <v>1037</v>
      </c>
      <c r="L28" s="302" t="s">
        <v>1049</v>
      </c>
      <c r="M28" s="302" t="s">
        <v>370</v>
      </c>
    </row>
    <row r="29" spans="1:15" ht="71.25" x14ac:dyDescent="0.25">
      <c r="A29" s="312">
        <v>46052</v>
      </c>
      <c r="B29" s="302" t="s">
        <v>109</v>
      </c>
      <c r="C29" s="315" t="s">
        <v>1032</v>
      </c>
      <c r="D29" s="302" t="s">
        <v>578</v>
      </c>
      <c r="E29" s="302" t="s">
        <v>1176</v>
      </c>
      <c r="F29" s="302" t="s">
        <v>1177</v>
      </c>
      <c r="G29" s="302" t="s">
        <v>1178</v>
      </c>
      <c r="H29" s="302"/>
      <c r="I29" s="342">
        <v>6400</v>
      </c>
      <c r="J29" s="334">
        <v>46111</v>
      </c>
      <c r="K29" s="302" t="s">
        <v>1037</v>
      </c>
      <c r="L29" s="302" t="s">
        <v>1049</v>
      </c>
      <c r="M29" s="302" t="s">
        <v>370</v>
      </c>
    </row>
    <row r="30" spans="1:15" ht="71.25" x14ac:dyDescent="0.25">
      <c r="A30" s="312">
        <v>46054</v>
      </c>
      <c r="B30" s="302" t="s">
        <v>109</v>
      </c>
      <c r="C30" s="315" t="s">
        <v>1032</v>
      </c>
      <c r="D30" s="302" t="s">
        <v>578</v>
      </c>
      <c r="E30" s="302" t="s">
        <v>1179</v>
      </c>
      <c r="F30" s="302" t="s">
        <v>1180</v>
      </c>
      <c r="G30" s="302" t="s">
        <v>1181</v>
      </c>
      <c r="H30" s="302"/>
      <c r="I30" s="342">
        <f>1200*3*7+1800*3</f>
        <v>30600</v>
      </c>
      <c r="J30" s="334">
        <v>46111</v>
      </c>
      <c r="K30" s="302" t="s">
        <v>1037</v>
      </c>
      <c r="L30" s="302" t="s">
        <v>1049</v>
      </c>
      <c r="M30" s="302" t="s">
        <v>370</v>
      </c>
    </row>
    <row r="31" spans="1:15" ht="57" x14ac:dyDescent="0.25">
      <c r="A31" s="312">
        <v>46054</v>
      </c>
      <c r="B31" s="302" t="s">
        <v>109</v>
      </c>
      <c r="C31" s="315" t="s">
        <v>1032</v>
      </c>
      <c r="D31" s="302" t="s">
        <v>578</v>
      </c>
      <c r="E31" s="302" t="s">
        <v>1182</v>
      </c>
      <c r="F31" s="302" t="s">
        <v>1183</v>
      </c>
      <c r="G31" s="302" t="s">
        <v>1184</v>
      </c>
      <c r="H31" s="302"/>
      <c r="I31" s="342">
        <f>1500*3</f>
        <v>4500</v>
      </c>
      <c r="J31" s="334">
        <v>46111</v>
      </c>
      <c r="K31" s="302" t="s">
        <v>1037</v>
      </c>
      <c r="L31" s="302" t="s">
        <v>1049</v>
      </c>
      <c r="M31" s="302" t="s">
        <v>370</v>
      </c>
    </row>
    <row r="32" spans="1:15" ht="57" x14ac:dyDescent="0.25">
      <c r="A32" s="312">
        <v>46054</v>
      </c>
      <c r="B32" s="302" t="s">
        <v>109</v>
      </c>
      <c r="C32" s="315" t="s">
        <v>1032</v>
      </c>
      <c r="D32" s="302" t="s">
        <v>578</v>
      </c>
      <c r="E32" s="302" t="s">
        <v>1185</v>
      </c>
      <c r="F32" s="302" t="s">
        <v>1183</v>
      </c>
      <c r="G32" s="302" t="s">
        <v>1186</v>
      </c>
      <c r="H32" s="302"/>
      <c r="I32" s="342">
        <f>(330+8*38+130)*1.5+1800*0.3</f>
        <v>1686</v>
      </c>
      <c r="J32" s="334">
        <v>46078</v>
      </c>
      <c r="K32" s="302" t="s">
        <v>1037</v>
      </c>
      <c r="L32" s="302" t="s">
        <v>1049</v>
      </c>
      <c r="M32" s="302" t="s">
        <v>370</v>
      </c>
    </row>
    <row r="33" spans="1:13" ht="57" x14ac:dyDescent="0.25">
      <c r="A33" s="312">
        <v>46054</v>
      </c>
      <c r="B33" s="302" t="s">
        <v>109</v>
      </c>
      <c r="C33" s="315" t="s">
        <v>1032</v>
      </c>
      <c r="D33" s="302" t="s">
        <v>578</v>
      </c>
      <c r="E33" s="302" t="s">
        <v>1187</v>
      </c>
      <c r="F33" s="302" t="s">
        <v>1183</v>
      </c>
      <c r="G33" s="302" t="s">
        <v>1188</v>
      </c>
      <c r="H33" s="302"/>
      <c r="I33" s="342"/>
      <c r="J33" s="334" t="s">
        <v>1189</v>
      </c>
      <c r="K33" s="302" t="s">
        <v>1037</v>
      </c>
      <c r="L33" s="302" t="s">
        <v>1049</v>
      </c>
      <c r="M33" s="302" t="s">
        <v>370</v>
      </c>
    </row>
    <row r="34" spans="1:13" ht="171" hidden="1" x14ac:dyDescent="0.25">
      <c r="A34" s="312">
        <v>46055</v>
      </c>
      <c r="B34" s="302" t="s">
        <v>100</v>
      </c>
      <c r="C34" s="315" t="s">
        <v>1058</v>
      </c>
      <c r="D34" s="302" t="s">
        <v>617</v>
      </c>
      <c r="E34" s="302" t="s">
        <v>1190</v>
      </c>
      <c r="F34" s="302" t="s">
        <v>1191</v>
      </c>
      <c r="G34" s="302" t="s">
        <v>1192</v>
      </c>
      <c r="H34" s="302" t="s">
        <v>1193</v>
      </c>
      <c r="I34" s="342"/>
      <c r="J34" s="334">
        <v>46071</v>
      </c>
      <c r="K34" s="302"/>
      <c r="L34" s="302" t="s">
        <v>1194</v>
      </c>
      <c r="M34" s="302" t="s">
        <v>334</v>
      </c>
    </row>
    <row r="35" spans="1:13" ht="71.25" hidden="1" x14ac:dyDescent="0.25">
      <c r="A35" s="312">
        <v>46055</v>
      </c>
      <c r="B35" s="302" t="s">
        <v>54</v>
      </c>
      <c r="C35" s="315" t="s">
        <v>1058</v>
      </c>
      <c r="D35" s="302" t="s">
        <v>104</v>
      </c>
      <c r="E35" s="302" t="s">
        <v>1195</v>
      </c>
      <c r="F35" s="302"/>
      <c r="G35" s="302" t="s">
        <v>1196</v>
      </c>
      <c r="H35" s="302"/>
      <c r="I35" s="342">
        <v>400</v>
      </c>
      <c r="J35" s="334">
        <v>46064</v>
      </c>
      <c r="K35" s="302" t="s">
        <v>1037</v>
      </c>
      <c r="L35" s="302" t="s">
        <v>1197</v>
      </c>
      <c r="M35" s="302" t="s">
        <v>822</v>
      </c>
    </row>
    <row r="36" spans="1:13" ht="57" x14ac:dyDescent="0.25">
      <c r="A36" s="312">
        <v>46062</v>
      </c>
      <c r="B36" s="302" t="s">
        <v>109</v>
      </c>
      <c r="C36" s="315" t="s">
        <v>1058</v>
      </c>
      <c r="D36" s="302" t="s">
        <v>578</v>
      </c>
      <c r="E36" s="302" t="s">
        <v>1198</v>
      </c>
      <c r="F36" s="302" t="s">
        <v>1199</v>
      </c>
      <c r="G36" s="302" t="s">
        <v>1200</v>
      </c>
      <c r="H36" s="302"/>
      <c r="I36" s="342">
        <v>1000</v>
      </c>
      <c r="J36" s="334">
        <v>46064</v>
      </c>
      <c r="K36" s="302" t="s">
        <v>1037</v>
      </c>
      <c r="L36" s="302" t="s">
        <v>1201</v>
      </c>
      <c r="M36" s="302" t="s">
        <v>358</v>
      </c>
    </row>
    <row r="37" spans="1:13" ht="199.5" hidden="1" x14ac:dyDescent="0.25">
      <c r="A37" s="312">
        <v>46063</v>
      </c>
      <c r="B37" s="302" t="s">
        <v>100</v>
      </c>
      <c r="C37" s="315" t="s">
        <v>1202</v>
      </c>
      <c r="D37" s="302" t="s">
        <v>99</v>
      </c>
      <c r="E37" s="302" t="s">
        <v>1203</v>
      </c>
      <c r="F37" s="302" t="s">
        <v>1204</v>
      </c>
      <c r="G37" s="302" t="s">
        <v>1205</v>
      </c>
      <c r="H37" s="302" t="s">
        <v>1206</v>
      </c>
      <c r="I37" s="342">
        <v>3200</v>
      </c>
      <c r="J37" s="334">
        <v>46078</v>
      </c>
      <c r="K37" s="302"/>
      <c r="L37" s="302" t="s">
        <v>1207</v>
      </c>
      <c r="M37" s="302" t="s">
        <v>1137</v>
      </c>
    </row>
    <row r="38" spans="1:13" ht="57" hidden="1" x14ac:dyDescent="0.25">
      <c r="A38" s="312">
        <v>46064</v>
      </c>
      <c r="B38" s="302" t="s">
        <v>54</v>
      </c>
      <c r="C38" s="315" t="s">
        <v>1202</v>
      </c>
      <c r="D38" s="302" t="s">
        <v>1033</v>
      </c>
      <c r="E38" s="302" t="s">
        <v>1208</v>
      </c>
      <c r="F38" s="302" t="s">
        <v>1209</v>
      </c>
      <c r="G38" s="302" t="s">
        <v>1210</v>
      </c>
      <c r="H38" s="302"/>
      <c r="I38" s="342">
        <v>100</v>
      </c>
      <c r="J38" s="334">
        <v>46064</v>
      </c>
      <c r="K38" s="302" t="s">
        <v>1037</v>
      </c>
      <c r="L38" s="302" t="s">
        <v>1211</v>
      </c>
      <c r="M38" s="302" t="s">
        <v>300</v>
      </c>
    </row>
    <row r="39" spans="1:13" ht="256.5" hidden="1" x14ac:dyDescent="0.25">
      <c r="A39" s="312">
        <v>46067</v>
      </c>
      <c r="B39" s="302" t="s">
        <v>1212</v>
      </c>
      <c r="C39" s="315" t="s">
        <v>1213</v>
      </c>
      <c r="D39" s="302" t="s">
        <v>505</v>
      </c>
      <c r="E39" s="302" t="s">
        <v>1214</v>
      </c>
      <c r="F39" s="302" t="s">
        <v>1215</v>
      </c>
      <c r="G39" s="302" t="s">
        <v>1216</v>
      </c>
      <c r="H39" s="302" t="s">
        <v>1217</v>
      </c>
      <c r="I39" s="342">
        <v>7500</v>
      </c>
      <c r="J39" s="334"/>
      <c r="K39" s="302" t="s">
        <v>1037</v>
      </c>
      <c r="L39" s="302" t="s">
        <v>1218</v>
      </c>
      <c r="M39" s="302" t="s">
        <v>1219</v>
      </c>
    </row>
    <row r="40" spans="1:13" ht="71.25" hidden="1" x14ac:dyDescent="0.25">
      <c r="A40" s="312">
        <v>46069</v>
      </c>
      <c r="B40" s="302" t="s">
        <v>54</v>
      </c>
      <c r="C40" s="315" t="s">
        <v>1220</v>
      </c>
      <c r="D40" s="302" t="s">
        <v>104</v>
      </c>
      <c r="E40" s="302" t="s">
        <v>1221</v>
      </c>
      <c r="F40" s="302" t="s">
        <v>1222</v>
      </c>
      <c r="G40" s="302"/>
      <c r="H40" s="302" t="s">
        <v>1223</v>
      </c>
      <c r="I40" s="342"/>
      <c r="J40" s="334"/>
      <c r="K40" s="302" t="s">
        <v>1037</v>
      </c>
      <c r="L40" s="302" t="s">
        <v>1224</v>
      </c>
      <c r="M40" s="302" t="s">
        <v>822</v>
      </c>
    </row>
    <row r="41" spans="1:13" ht="409.5" hidden="1" x14ac:dyDescent="0.25">
      <c r="A41" s="312">
        <v>46069</v>
      </c>
      <c r="B41" s="302" t="s">
        <v>1212</v>
      </c>
      <c r="C41" s="315" t="s">
        <v>1220</v>
      </c>
      <c r="D41" s="302" t="s">
        <v>1225</v>
      </c>
      <c r="E41" s="302" t="s">
        <v>1226</v>
      </c>
      <c r="F41" s="302" t="s">
        <v>1227</v>
      </c>
      <c r="G41" s="302" t="s">
        <v>1228</v>
      </c>
      <c r="H41" s="302" t="s">
        <v>1229</v>
      </c>
      <c r="I41" s="342">
        <v>0</v>
      </c>
      <c r="J41" s="334"/>
      <c r="K41" s="302" t="s">
        <v>1056</v>
      </c>
      <c r="L41" s="302" t="s">
        <v>1230</v>
      </c>
      <c r="M41" s="302" t="s">
        <v>1231</v>
      </c>
    </row>
    <row r="42" spans="1:13" ht="57" hidden="1" x14ac:dyDescent="0.25">
      <c r="A42" s="312">
        <v>46070</v>
      </c>
      <c r="B42" s="302" t="s">
        <v>100</v>
      </c>
      <c r="C42" s="315" t="s">
        <v>1058</v>
      </c>
      <c r="D42" s="302" t="s">
        <v>584</v>
      </c>
      <c r="E42" s="302" t="s">
        <v>1232</v>
      </c>
      <c r="F42" s="302"/>
      <c r="G42" s="302" t="s">
        <v>1233</v>
      </c>
      <c r="H42" s="302"/>
      <c r="I42" s="342">
        <v>100</v>
      </c>
      <c r="J42" s="334">
        <v>46070</v>
      </c>
      <c r="K42" s="302"/>
      <c r="L42" s="302" t="s">
        <v>1234</v>
      </c>
      <c r="M42" s="302" t="s">
        <v>1110</v>
      </c>
    </row>
    <row r="43" spans="1:13" ht="85.5" hidden="1" x14ac:dyDescent="0.25">
      <c r="A43" s="312">
        <v>46071</v>
      </c>
      <c r="B43" s="302" t="s">
        <v>159</v>
      </c>
      <c r="C43" s="315" t="s">
        <v>1058</v>
      </c>
      <c r="D43" s="302" t="s">
        <v>1235</v>
      </c>
      <c r="E43" s="302" t="s">
        <v>1236</v>
      </c>
      <c r="F43" s="302" t="s">
        <v>1237</v>
      </c>
      <c r="G43" s="302" t="s">
        <v>1238</v>
      </c>
      <c r="H43" s="302" t="s">
        <v>1239</v>
      </c>
      <c r="I43" s="342"/>
      <c r="J43" s="334">
        <v>46073</v>
      </c>
      <c r="K43" s="302"/>
      <c r="L43" s="302" t="s">
        <v>1240</v>
      </c>
      <c r="M43" s="302" t="s">
        <v>365</v>
      </c>
    </row>
    <row r="44" spans="1:13" ht="57" x14ac:dyDescent="0.25">
      <c r="A44" s="312">
        <v>46073</v>
      </c>
      <c r="B44" s="302" t="s">
        <v>109</v>
      </c>
      <c r="C44" s="315" t="s">
        <v>1058</v>
      </c>
      <c r="D44" s="302" t="s">
        <v>578</v>
      </c>
      <c r="E44" s="302" t="s">
        <v>1241</v>
      </c>
      <c r="F44" s="302" t="s">
        <v>1242</v>
      </c>
      <c r="G44" s="302" t="s">
        <v>1243</v>
      </c>
      <c r="H44" s="302"/>
      <c r="I44" s="342"/>
      <c r="J44" s="334">
        <v>46073</v>
      </c>
      <c r="K44" s="302" t="s">
        <v>1037</v>
      </c>
      <c r="L44" s="302" t="s">
        <v>1244</v>
      </c>
      <c r="M44" s="302" t="s">
        <v>389</v>
      </c>
    </row>
    <row r="45" spans="1:13" ht="228" hidden="1" x14ac:dyDescent="0.25">
      <c r="A45" s="312">
        <v>46073</v>
      </c>
      <c r="B45" s="302" t="s">
        <v>1212</v>
      </c>
      <c r="C45" s="315" t="s">
        <v>1089</v>
      </c>
      <c r="D45" s="302" t="s">
        <v>1245</v>
      </c>
      <c r="E45" s="302" t="s">
        <v>1246</v>
      </c>
      <c r="F45" s="302" t="s">
        <v>1247</v>
      </c>
      <c r="G45" s="302" t="s">
        <v>1248</v>
      </c>
      <c r="H45" s="302" t="s">
        <v>1249</v>
      </c>
      <c r="I45" s="342">
        <v>25000</v>
      </c>
      <c r="J45" s="334">
        <v>46105</v>
      </c>
      <c r="K45" s="302" t="s">
        <v>1056</v>
      </c>
      <c r="L45" s="302" t="s">
        <v>1250</v>
      </c>
      <c r="M45" s="302" t="s">
        <v>1219</v>
      </c>
    </row>
    <row r="46" spans="1:13" ht="57" hidden="1" x14ac:dyDescent="0.25">
      <c r="A46" s="312">
        <v>46076</v>
      </c>
      <c r="B46" s="302" t="s">
        <v>54</v>
      </c>
      <c r="C46" s="315" t="s">
        <v>1058</v>
      </c>
      <c r="D46" s="302" t="s">
        <v>77</v>
      </c>
      <c r="E46" s="302" t="s">
        <v>1251</v>
      </c>
      <c r="F46" s="302" t="s">
        <v>1252</v>
      </c>
      <c r="G46" s="302" t="s">
        <v>1253</v>
      </c>
      <c r="H46" s="302" t="s">
        <v>1254</v>
      </c>
      <c r="I46" s="342">
        <v>100</v>
      </c>
      <c r="J46" s="334">
        <v>46076</v>
      </c>
      <c r="K46" s="302" t="s">
        <v>1037</v>
      </c>
      <c r="L46" s="302" t="s">
        <v>1255</v>
      </c>
      <c r="M46" s="302" t="s">
        <v>361</v>
      </c>
    </row>
    <row r="47" spans="1:13" ht="99.75" hidden="1" x14ac:dyDescent="0.25">
      <c r="A47" s="312">
        <v>46076</v>
      </c>
      <c r="B47" s="302" t="s">
        <v>269</v>
      </c>
      <c r="C47" s="315" t="s">
        <v>1202</v>
      </c>
      <c r="D47" s="302" t="s">
        <v>563</v>
      </c>
      <c r="E47" s="302" t="s">
        <v>1256</v>
      </c>
      <c r="F47" s="302" t="s">
        <v>1257</v>
      </c>
      <c r="G47" s="302" t="s">
        <v>1258</v>
      </c>
      <c r="H47" s="302"/>
      <c r="I47" s="342">
        <v>20000</v>
      </c>
      <c r="J47" s="334"/>
      <c r="K47" s="302" t="s">
        <v>1037</v>
      </c>
      <c r="L47" s="302" t="s">
        <v>1259</v>
      </c>
      <c r="M47" s="302" t="s">
        <v>1063</v>
      </c>
    </row>
    <row r="48" spans="1:13" ht="85.5" hidden="1" x14ac:dyDescent="0.25">
      <c r="A48" s="312">
        <v>46077</v>
      </c>
      <c r="B48" s="302" t="s">
        <v>159</v>
      </c>
      <c r="C48" s="315" t="s">
        <v>1142</v>
      </c>
      <c r="D48" s="302" t="s">
        <v>589</v>
      </c>
      <c r="E48" s="302" t="s">
        <v>1260</v>
      </c>
      <c r="F48" s="302" t="s">
        <v>1261</v>
      </c>
      <c r="G48" s="302" t="s">
        <v>1262</v>
      </c>
      <c r="H48" s="302"/>
      <c r="I48" s="342"/>
      <c r="J48" s="334"/>
      <c r="K48" s="302"/>
      <c r="L48" s="302" t="s">
        <v>1263</v>
      </c>
      <c r="M48" s="302" t="s">
        <v>376</v>
      </c>
    </row>
    <row r="49" spans="1:13" ht="57" hidden="1" x14ac:dyDescent="0.25">
      <c r="A49" s="312">
        <v>46077</v>
      </c>
      <c r="B49" s="302" t="s">
        <v>36</v>
      </c>
      <c r="C49" s="315" t="s">
        <v>1142</v>
      </c>
      <c r="D49" s="302" t="s">
        <v>513</v>
      </c>
      <c r="E49" s="302" t="s">
        <v>1264</v>
      </c>
      <c r="F49" s="302" t="s">
        <v>1265</v>
      </c>
      <c r="G49" s="302" t="s">
        <v>1266</v>
      </c>
      <c r="H49" s="302" t="s">
        <v>1267</v>
      </c>
      <c r="I49" s="342">
        <v>2500</v>
      </c>
      <c r="J49" s="334">
        <v>46077</v>
      </c>
      <c r="K49" s="302" t="s">
        <v>1037</v>
      </c>
      <c r="L49" s="302" t="s">
        <v>1268</v>
      </c>
      <c r="M49" s="302" t="s">
        <v>380</v>
      </c>
    </row>
    <row r="50" spans="1:13" ht="57" hidden="1" x14ac:dyDescent="0.25">
      <c r="A50" s="312">
        <v>46078</v>
      </c>
      <c r="B50" s="302" t="s">
        <v>100</v>
      </c>
      <c r="C50" s="315" t="s">
        <v>1142</v>
      </c>
      <c r="D50" s="302" t="s">
        <v>551</v>
      </c>
      <c r="E50" s="302" t="s">
        <v>1269</v>
      </c>
      <c r="F50" s="302" t="s">
        <v>1270</v>
      </c>
      <c r="G50" s="302" t="s">
        <v>1271</v>
      </c>
      <c r="H50" s="302" t="s">
        <v>1272</v>
      </c>
      <c r="I50" s="342"/>
      <c r="J50" s="334">
        <v>46078</v>
      </c>
      <c r="K50" s="302"/>
      <c r="L50" s="302" t="s">
        <v>1273</v>
      </c>
      <c r="M50" s="302" t="s">
        <v>331</v>
      </c>
    </row>
    <row r="51" spans="1:13" ht="71.25" hidden="1" x14ac:dyDescent="0.25">
      <c r="A51" s="312">
        <v>46078</v>
      </c>
      <c r="B51" s="302" t="s">
        <v>269</v>
      </c>
      <c r="C51" s="315" t="s">
        <v>1220</v>
      </c>
      <c r="D51" s="302" t="s">
        <v>563</v>
      </c>
      <c r="E51" s="302" t="s">
        <v>1274</v>
      </c>
      <c r="F51" s="302" t="s">
        <v>1275</v>
      </c>
      <c r="G51" s="302" t="s">
        <v>1276</v>
      </c>
      <c r="H51" s="302" t="s">
        <v>1277</v>
      </c>
      <c r="I51" s="342"/>
      <c r="J51" s="334"/>
      <c r="K51" s="302"/>
      <c r="L51" s="302" t="s">
        <v>1278</v>
      </c>
      <c r="M51" s="302" t="s">
        <v>373</v>
      </c>
    </row>
    <row r="52" spans="1:13" ht="57" hidden="1" x14ac:dyDescent="0.25">
      <c r="A52" s="312">
        <v>46078</v>
      </c>
      <c r="B52" s="302" t="s">
        <v>87</v>
      </c>
      <c r="C52" s="315" t="s">
        <v>1279</v>
      </c>
      <c r="D52" s="302" t="s">
        <v>1280</v>
      </c>
      <c r="E52" s="302" t="s">
        <v>1281</v>
      </c>
      <c r="F52" s="302" t="s">
        <v>1282</v>
      </c>
      <c r="G52" s="302" t="s">
        <v>1283</v>
      </c>
      <c r="H52" s="302" t="s">
        <v>1284</v>
      </c>
      <c r="I52" s="342">
        <v>5000</v>
      </c>
      <c r="J52" s="334"/>
      <c r="K52" s="302" t="s">
        <v>1037</v>
      </c>
      <c r="L52" s="302"/>
      <c r="M52" s="302" t="s">
        <v>1285</v>
      </c>
    </row>
    <row r="53" spans="1:13" ht="57" x14ac:dyDescent="0.25">
      <c r="A53" s="312">
        <v>46079</v>
      </c>
      <c r="B53" s="302" t="s">
        <v>109</v>
      </c>
      <c r="C53" s="315" t="s">
        <v>1032</v>
      </c>
      <c r="D53" s="302" t="s">
        <v>578</v>
      </c>
      <c r="E53" s="302" t="s">
        <v>1286</v>
      </c>
      <c r="F53" s="302" t="s">
        <v>1287</v>
      </c>
      <c r="G53" s="302" t="s">
        <v>1288</v>
      </c>
      <c r="H53" s="302"/>
      <c r="I53" s="342">
        <f>(1500+150+630+684)*5+2000</f>
        <v>16820</v>
      </c>
      <c r="J53" s="334">
        <v>46022</v>
      </c>
      <c r="K53" s="302" t="s">
        <v>1056</v>
      </c>
      <c r="L53" s="302" t="s">
        <v>1049</v>
      </c>
      <c r="M53" s="302" t="s">
        <v>370</v>
      </c>
    </row>
    <row r="54" spans="1:13" ht="57" x14ac:dyDescent="0.25">
      <c r="A54" s="312">
        <v>46079</v>
      </c>
      <c r="B54" s="302" t="s">
        <v>109</v>
      </c>
      <c r="C54" s="315" t="s">
        <v>1032</v>
      </c>
      <c r="D54" s="302" t="s">
        <v>578</v>
      </c>
      <c r="E54" s="302" t="s">
        <v>1289</v>
      </c>
      <c r="F54" s="302" t="s">
        <v>1290</v>
      </c>
      <c r="G54" s="302" t="s">
        <v>1291</v>
      </c>
      <c r="H54" s="302"/>
      <c r="I54" s="342">
        <f>5*700+300*3.5+684*2</f>
        <v>5918</v>
      </c>
      <c r="J54" s="334">
        <v>46022</v>
      </c>
      <c r="K54" s="302" t="s">
        <v>1037</v>
      </c>
      <c r="L54" s="302" t="s">
        <v>1049</v>
      </c>
      <c r="M54" s="302" t="s">
        <v>370</v>
      </c>
    </row>
    <row r="55" spans="1:13" ht="57" x14ac:dyDescent="0.25">
      <c r="A55" s="312">
        <v>46079</v>
      </c>
      <c r="B55" s="302" t="s">
        <v>109</v>
      </c>
      <c r="C55" s="315" t="s">
        <v>1032</v>
      </c>
      <c r="D55" s="302" t="s">
        <v>578</v>
      </c>
      <c r="E55" s="302" t="s">
        <v>1292</v>
      </c>
      <c r="F55" s="302" t="s">
        <v>1293</v>
      </c>
      <c r="G55" s="302" t="s">
        <v>1294</v>
      </c>
      <c r="H55" s="302"/>
      <c r="I55" s="342">
        <v>5000</v>
      </c>
      <c r="J55" s="334">
        <v>46022</v>
      </c>
      <c r="K55" s="302" t="s">
        <v>1056</v>
      </c>
      <c r="L55" s="302" t="s">
        <v>1049</v>
      </c>
      <c r="M55" s="302" t="s">
        <v>370</v>
      </c>
    </row>
    <row r="56" spans="1:13" ht="128.25" x14ac:dyDescent="0.25">
      <c r="A56" s="312">
        <v>46079</v>
      </c>
      <c r="B56" s="302" t="s">
        <v>109</v>
      </c>
      <c r="C56" s="315" t="s">
        <v>1032</v>
      </c>
      <c r="D56" s="302" t="s">
        <v>578</v>
      </c>
      <c r="E56" s="302" t="s">
        <v>1295</v>
      </c>
      <c r="F56" s="302" t="s">
        <v>1296</v>
      </c>
      <c r="G56" s="302" t="s">
        <v>1297</v>
      </c>
      <c r="H56" s="302"/>
      <c r="I56" s="342">
        <f>1500*20+684*10+630*10</f>
        <v>43140</v>
      </c>
      <c r="J56" s="334">
        <v>46022</v>
      </c>
      <c r="K56" s="302" t="s">
        <v>1037</v>
      </c>
      <c r="L56" s="302" t="s">
        <v>1049</v>
      </c>
      <c r="M56" s="302" t="s">
        <v>370</v>
      </c>
    </row>
    <row r="57" spans="1:13" ht="71.25" x14ac:dyDescent="0.25">
      <c r="A57" s="312">
        <v>46079</v>
      </c>
      <c r="B57" s="302" t="s">
        <v>109</v>
      </c>
      <c r="C57" s="315" t="s">
        <v>1032</v>
      </c>
      <c r="D57" s="302" t="s">
        <v>578</v>
      </c>
      <c r="E57" s="302" t="s">
        <v>1298</v>
      </c>
      <c r="F57" s="302" t="s">
        <v>1299</v>
      </c>
      <c r="G57" s="302" t="s">
        <v>1300</v>
      </c>
      <c r="H57" s="302"/>
      <c r="I57" s="342">
        <f>1500*5</f>
        <v>7500</v>
      </c>
      <c r="J57" s="334">
        <v>46022</v>
      </c>
      <c r="K57" s="302" t="s">
        <v>1037</v>
      </c>
      <c r="L57" s="302" t="s">
        <v>1049</v>
      </c>
      <c r="M57" s="302" t="s">
        <v>370</v>
      </c>
    </row>
    <row r="58" spans="1:13" ht="57" x14ac:dyDescent="0.25">
      <c r="A58" s="312">
        <v>46079</v>
      </c>
      <c r="B58" s="302" t="s">
        <v>109</v>
      </c>
      <c r="C58" s="315" t="s">
        <v>1032</v>
      </c>
      <c r="D58" s="302" t="s">
        <v>578</v>
      </c>
      <c r="E58" s="302" t="s">
        <v>1301</v>
      </c>
      <c r="F58" s="302" t="s">
        <v>1302</v>
      </c>
      <c r="G58" s="302" t="s">
        <v>1303</v>
      </c>
      <c r="H58" s="302"/>
      <c r="I58" s="342">
        <f>1500*5+1800+2000</f>
        <v>11300</v>
      </c>
      <c r="J58" s="334">
        <v>46022</v>
      </c>
      <c r="K58" s="302" t="s">
        <v>1037</v>
      </c>
      <c r="L58" s="302" t="s">
        <v>1049</v>
      </c>
      <c r="M58" s="302" t="s">
        <v>370</v>
      </c>
    </row>
    <row r="59" spans="1:13" ht="57" x14ac:dyDescent="0.25">
      <c r="A59" s="312">
        <v>46079</v>
      </c>
      <c r="B59" s="302" t="s">
        <v>109</v>
      </c>
      <c r="C59" s="315" t="s">
        <v>1032</v>
      </c>
      <c r="D59" s="302" t="s">
        <v>578</v>
      </c>
      <c r="E59" s="302" t="s">
        <v>1304</v>
      </c>
      <c r="F59" s="302" t="s">
        <v>1305</v>
      </c>
      <c r="G59" s="302" t="s">
        <v>1306</v>
      </c>
      <c r="H59" s="302"/>
      <c r="I59" s="342">
        <f>1500*4</f>
        <v>6000</v>
      </c>
      <c r="J59" s="334">
        <v>46022</v>
      </c>
      <c r="K59" s="302" t="s">
        <v>1037</v>
      </c>
      <c r="L59" s="302" t="s">
        <v>1049</v>
      </c>
      <c r="M59" s="302" t="s">
        <v>370</v>
      </c>
    </row>
    <row r="60" spans="1:13" ht="57" x14ac:dyDescent="0.25">
      <c r="A60" s="312">
        <v>46079</v>
      </c>
      <c r="B60" s="302" t="s">
        <v>109</v>
      </c>
      <c r="C60" s="315" t="s">
        <v>1032</v>
      </c>
      <c r="D60" s="302" t="s">
        <v>578</v>
      </c>
      <c r="E60" s="302" t="s">
        <v>1307</v>
      </c>
      <c r="F60" s="302" t="s">
        <v>1308</v>
      </c>
      <c r="G60" s="302" t="s">
        <v>1309</v>
      </c>
      <c r="H60" s="302"/>
      <c r="I60" s="342">
        <f>1500+2000</f>
        <v>3500</v>
      </c>
      <c r="J60" s="334">
        <v>46022</v>
      </c>
      <c r="K60" s="302" t="s">
        <v>1037</v>
      </c>
      <c r="L60" s="302" t="s">
        <v>1049</v>
      </c>
      <c r="M60" s="302" t="s">
        <v>370</v>
      </c>
    </row>
    <row r="61" spans="1:13" ht="57" x14ac:dyDescent="0.25">
      <c r="A61" s="312">
        <v>46079</v>
      </c>
      <c r="B61" s="302" t="s">
        <v>109</v>
      </c>
      <c r="C61" s="315" t="s">
        <v>1032</v>
      </c>
      <c r="D61" s="302" t="s">
        <v>578</v>
      </c>
      <c r="E61" s="302" t="s">
        <v>1310</v>
      </c>
      <c r="F61" s="302" t="s">
        <v>1302</v>
      </c>
      <c r="G61" s="302" t="s">
        <v>1311</v>
      </c>
      <c r="H61" s="302"/>
      <c r="I61" s="342">
        <v>3000</v>
      </c>
      <c r="J61" s="334">
        <v>46022</v>
      </c>
      <c r="K61" s="302" t="s">
        <v>1037</v>
      </c>
      <c r="L61" s="302" t="s">
        <v>1049</v>
      </c>
      <c r="M61" s="302" t="s">
        <v>370</v>
      </c>
    </row>
    <row r="62" spans="1:13" ht="57" x14ac:dyDescent="0.25">
      <c r="A62" s="312">
        <v>46079</v>
      </c>
      <c r="B62" s="302" t="s">
        <v>109</v>
      </c>
      <c r="C62" s="315" t="s">
        <v>1032</v>
      </c>
      <c r="D62" s="302" t="s">
        <v>578</v>
      </c>
      <c r="E62" s="302" t="s">
        <v>1312</v>
      </c>
      <c r="F62" s="302" t="s">
        <v>1308</v>
      </c>
      <c r="G62" s="302" t="s">
        <v>1313</v>
      </c>
      <c r="H62" s="302"/>
      <c r="I62" s="342">
        <v>2000</v>
      </c>
      <c r="J62" s="334">
        <v>46022</v>
      </c>
      <c r="K62" s="302" t="s">
        <v>1037</v>
      </c>
      <c r="L62" s="302" t="s">
        <v>1049</v>
      </c>
      <c r="M62" s="302" t="s">
        <v>370</v>
      </c>
    </row>
    <row r="63" spans="1:13" ht="57" x14ac:dyDescent="0.25">
      <c r="A63" s="312">
        <v>46079</v>
      </c>
      <c r="B63" s="302" t="s">
        <v>109</v>
      </c>
      <c r="C63" s="315" t="s">
        <v>1032</v>
      </c>
      <c r="D63" s="302" t="s">
        <v>578</v>
      </c>
      <c r="E63" s="302" t="s">
        <v>1314</v>
      </c>
      <c r="F63" s="302" t="s">
        <v>1315</v>
      </c>
      <c r="G63" s="302" t="s">
        <v>1316</v>
      </c>
      <c r="H63" s="302"/>
      <c r="I63" s="342">
        <f>1500*2+684*2+630*2</f>
        <v>5628</v>
      </c>
      <c r="J63" s="334">
        <v>46022</v>
      </c>
      <c r="K63" s="302" t="s">
        <v>1037</v>
      </c>
      <c r="L63" s="302" t="s">
        <v>1049</v>
      </c>
      <c r="M63" s="302" t="s">
        <v>370</v>
      </c>
    </row>
    <row r="64" spans="1:13" ht="57" x14ac:dyDescent="0.25">
      <c r="A64" s="312">
        <v>46079</v>
      </c>
      <c r="B64" s="302" t="s">
        <v>109</v>
      </c>
      <c r="C64" s="315" t="s">
        <v>1032</v>
      </c>
      <c r="D64" s="302" t="s">
        <v>578</v>
      </c>
      <c r="E64" s="302" t="s">
        <v>1317</v>
      </c>
      <c r="F64" s="302" t="s">
        <v>1318</v>
      </c>
      <c r="G64" s="302" t="s">
        <v>1319</v>
      </c>
      <c r="H64" s="302"/>
      <c r="I64" s="342">
        <f>1500+1800/2</f>
        <v>2400</v>
      </c>
      <c r="J64" s="334">
        <v>46022</v>
      </c>
      <c r="K64" s="302" t="s">
        <v>1037</v>
      </c>
      <c r="L64" s="302" t="s">
        <v>1049</v>
      </c>
      <c r="M64" s="302" t="s">
        <v>370</v>
      </c>
    </row>
    <row r="65" spans="1:13" ht="57" x14ac:dyDescent="0.25">
      <c r="A65" s="312">
        <v>46079</v>
      </c>
      <c r="B65" s="302" t="s">
        <v>109</v>
      </c>
      <c r="C65" s="315" t="s">
        <v>1032</v>
      </c>
      <c r="D65" s="302" t="s">
        <v>578</v>
      </c>
      <c r="E65" s="302" t="s">
        <v>1320</v>
      </c>
      <c r="F65" s="302" t="s">
        <v>1321</v>
      </c>
      <c r="G65" s="302" t="s">
        <v>1322</v>
      </c>
      <c r="H65" s="302"/>
      <c r="I65" s="342">
        <f>40/5*(1500+150)+40*0.5*120+630*8</f>
        <v>20640</v>
      </c>
      <c r="J65" s="334">
        <v>46022</v>
      </c>
      <c r="K65" s="302" t="s">
        <v>1037</v>
      </c>
      <c r="L65" s="302" t="s">
        <v>1049</v>
      </c>
      <c r="M65" s="302" t="s">
        <v>370</v>
      </c>
    </row>
    <row r="66" spans="1:13" ht="67.5" hidden="1" x14ac:dyDescent="0.25">
      <c r="A66" s="418">
        <v>46079</v>
      </c>
      <c r="B66" s="419" t="s">
        <v>54</v>
      </c>
      <c r="C66" s="420" t="s">
        <v>1202</v>
      </c>
      <c r="D66" s="421" t="s">
        <v>1323</v>
      </c>
      <c r="E66" s="421" t="s">
        <v>1324</v>
      </c>
      <c r="F66" s="421" t="s">
        <v>1325</v>
      </c>
      <c r="G66" s="421" t="s">
        <v>1326</v>
      </c>
      <c r="H66" s="421" t="s">
        <v>1327</v>
      </c>
      <c r="I66" s="422"/>
      <c r="J66" s="423">
        <v>46079</v>
      </c>
      <c r="K66" s="423" t="s">
        <v>1056</v>
      </c>
      <c r="L66" s="421" t="s">
        <v>1328</v>
      </c>
      <c r="M66" s="421" t="s">
        <v>309</v>
      </c>
    </row>
    <row r="67" spans="1:13" ht="57" x14ac:dyDescent="0.25">
      <c r="A67" s="312">
        <v>46079</v>
      </c>
      <c r="B67" s="302" t="s">
        <v>109</v>
      </c>
      <c r="C67" s="315" t="s">
        <v>1032</v>
      </c>
      <c r="D67" s="302" t="s">
        <v>578</v>
      </c>
      <c r="E67" s="302" t="s">
        <v>1329</v>
      </c>
      <c r="F67" s="302" t="s">
        <v>1330</v>
      </c>
      <c r="G67" s="302" t="s">
        <v>1331</v>
      </c>
      <c r="H67" s="302"/>
      <c r="I67" s="342">
        <f>3*1500+684*3+1800+1500</f>
        <v>9852</v>
      </c>
      <c r="J67" s="334">
        <v>46022</v>
      </c>
      <c r="K67" s="302" t="s">
        <v>1037</v>
      </c>
      <c r="L67" s="302" t="s">
        <v>1049</v>
      </c>
      <c r="M67" s="302" t="s">
        <v>370</v>
      </c>
    </row>
    <row r="68" spans="1:13" ht="57" x14ac:dyDescent="0.25">
      <c r="A68" s="312">
        <v>46079</v>
      </c>
      <c r="B68" s="302" t="s">
        <v>109</v>
      </c>
      <c r="C68" s="315" t="s">
        <v>1032</v>
      </c>
      <c r="D68" s="302" t="s">
        <v>578</v>
      </c>
      <c r="E68" s="302" t="s">
        <v>1332</v>
      </c>
      <c r="F68" s="302" t="s">
        <v>1333</v>
      </c>
      <c r="G68" s="302" t="s">
        <v>1334</v>
      </c>
      <c r="H68" s="302"/>
      <c r="I68" s="342">
        <f>1500*2+150*2+1800*0.5</f>
        <v>4200</v>
      </c>
      <c r="J68" s="334">
        <v>46022</v>
      </c>
      <c r="K68" s="302" t="s">
        <v>1037</v>
      </c>
      <c r="L68" s="302" t="s">
        <v>1049</v>
      </c>
      <c r="M68" s="302" t="s">
        <v>370</v>
      </c>
    </row>
    <row r="69" spans="1:13" ht="57" x14ac:dyDescent="0.25">
      <c r="A69" s="312">
        <v>46079</v>
      </c>
      <c r="B69" s="302" t="s">
        <v>109</v>
      </c>
      <c r="C69" s="315" t="s">
        <v>1032</v>
      </c>
      <c r="D69" s="302" t="s">
        <v>578</v>
      </c>
      <c r="E69" s="302" t="s">
        <v>1335</v>
      </c>
      <c r="F69" s="302" t="s">
        <v>1336</v>
      </c>
      <c r="G69" s="302" t="s">
        <v>1337</v>
      </c>
      <c r="H69" s="302"/>
      <c r="I69" s="342">
        <f>1500+684</f>
        <v>2184</v>
      </c>
      <c r="J69" s="334">
        <v>46022</v>
      </c>
      <c r="K69" s="302" t="s">
        <v>1037</v>
      </c>
      <c r="L69" s="302" t="s">
        <v>1049</v>
      </c>
      <c r="M69" s="302" t="s">
        <v>370</v>
      </c>
    </row>
    <row r="70" spans="1:13" ht="57" x14ac:dyDescent="0.25">
      <c r="A70" s="312">
        <v>46079</v>
      </c>
      <c r="B70" s="302" t="s">
        <v>109</v>
      </c>
      <c r="C70" s="315" t="s">
        <v>1032</v>
      </c>
      <c r="D70" s="302" t="s">
        <v>578</v>
      </c>
      <c r="E70" s="302" t="s">
        <v>1338</v>
      </c>
      <c r="F70" s="302" t="s">
        <v>1339</v>
      </c>
      <c r="G70" s="302" t="s">
        <v>1340</v>
      </c>
      <c r="H70" s="302"/>
      <c r="I70" s="342">
        <v>2000</v>
      </c>
      <c r="J70" s="334">
        <v>46022</v>
      </c>
      <c r="K70" s="302" t="s">
        <v>1037</v>
      </c>
      <c r="L70" s="302" t="s">
        <v>1049</v>
      </c>
      <c r="M70" s="302" t="s">
        <v>370</v>
      </c>
    </row>
    <row r="71" spans="1:13" ht="57" x14ac:dyDescent="0.25">
      <c r="A71" s="312">
        <v>46079</v>
      </c>
      <c r="B71" s="302" t="s">
        <v>109</v>
      </c>
      <c r="C71" s="315" t="s">
        <v>1032</v>
      </c>
      <c r="D71" s="302" t="s">
        <v>578</v>
      </c>
      <c r="E71" s="302" t="s">
        <v>1341</v>
      </c>
      <c r="F71" s="302" t="s">
        <v>1342</v>
      </c>
      <c r="G71" s="302" t="s">
        <v>1343</v>
      </c>
      <c r="H71" s="302"/>
      <c r="I71" s="342">
        <f>1500*3+2000</f>
        <v>6500</v>
      </c>
      <c r="J71" s="334">
        <v>46022</v>
      </c>
      <c r="K71" s="302" t="s">
        <v>1037</v>
      </c>
      <c r="L71" s="302" t="s">
        <v>1049</v>
      </c>
      <c r="M71" s="302" t="s">
        <v>370</v>
      </c>
    </row>
    <row r="72" spans="1:13" ht="57" x14ac:dyDescent="0.25">
      <c r="A72" s="312">
        <v>46079</v>
      </c>
      <c r="B72" s="302" t="s">
        <v>109</v>
      </c>
      <c r="C72" s="315" t="s">
        <v>1032</v>
      </c>
      <c r="D72" s="302" t="s">
        <v>578</v>
      </c>
      <c r="E72" s="302" t="s">
        <v>1344</v>
      </c>
      <c r="F72" s="302" t="s">
        <v>1345</v>
      </c>
      <c r="G72" s="302" t="s">
        <v>1346</v>
      </c>
      <c r="H72" s="302"/>
      <c r="I72" s="342">
        <f>1500*2+1800+1500*2</f>
        <v>7800</v>
      </c>
      <c r="J72" s="334">
        <v>46022</v>
      </c>
      <c r="K72" s="302" t="s">
        <v>1037</v>
      </c>
      <c r="L72" s="302" t="s">
        <v>1049</v>
      </c>
      <c r="M72" s="302" t="s">
        <v>370</v>
      </c>
    </row>
    <row r="73" spans="1:13" ht="57" x14ac:dyDescent="0.25">
      <c r="A73" s="312">
        <v>46079</v>
      </c>
      <c r="B73" s="302" t="s">
        <v>109</v>
      </c>
      <c r="C73" s="315" t="s">
        <v>1032</v>
      </c>
      <c r="D73" s="302" t="s">
        <v>578</v>
      </c>
      <c r="E73" s="302" t="s">
        <v>1347</v>
      </c>
      <c r="F73" s="302" t="s">
        <v>1348</v>
      </c>
      <c r="G73" s="302" t="s">
        <v>1349</v>
      </c>
      <c r="H73" s="302"/>
      <c r="I73" s="342">
        <f>1500*3+150+4.5*110+684*3</f>
        <v>7197</v>
      </c>
      <c r="J73" s="334">
        <v>46022</v>
      </c>
      <c r="K73" s="302" t="s">
        <v>1037</v>
      </c>
      <c r="L73" s="302" t="s">
        <v>1049</v>
      </c>
      <c r="M73" s="302" t="s">
        <v>370</v>
      </c>
    </row>
    <row r="74" spans="1:13" ht="57" x14ac:dyDescent="0.25">
      <c r="A74" s="312">
        <v>46079</v>
      </c>
      <c r="B74" s="302" t="s">
        <v>109</v>
      </c>
      <c r="C74" s="315" t="s">
        <v>1350</v>
      </c>
      <c r="D74" s="302" t="s">
        <v>578</v>
      </c>
      <c r="E74" s="302" t="s">
        <v>1351</v>
      </c>
      <c r="F74" s="302" t="s">
        <v>1352</v>
      </c>
      <c r="G74" s="302" t="s">
        <v>1353</v>
      </c>
      <c r="H74" s="302"/>
      <c r="I74" s="342">
        <v>6500</v>
      </c>
      <c r="J74" s="334">
        <v>46022</v>
      </c>
      <c r="K74" s="302" t="s">
        <v>1037</v>
      </c>
      <c r="L74" s="302" t="s">
        <v>1049</v>
      </c>
      <c r="M74" s="302" t="s">
        <v>370</v>
      </c>
    </row>
    <row r="75" spans="1:13" ht="57" x14ac:dyDescent="0.25">
      <c r="A75" s="312">
        <v>46079</v>
      </c>
      <c r="B75" s="302" t="s">
        <v>109</v>
      </c>
      <c r="C75" s="315" t="s">
        <v>1032</v>
      </c>
      <c r="D75" s="302" t="s">
        <v>578</v>
      </c>
      <c r="E75" s="302" t="s">
        <v>1354</v>
      </c>
      <c r="F75" s="302" t="s">
        <v>1355</v>
      </c>
      <c r="G75" s="302" t="s">
        <v>1356</v>
      </c>
      <c r="H75" s="302"/>
      <c r="I75" s="342">
        <f>68*50</f>
        <v>3400</v>
      </c>
      <c r="J75" s="334">
        <v>46022</v>
      </c>
      <c r="K75" s="302" t="s">
        <v>1037</v>
      </c>
      <c r="L75" s="302" t="s">
        <v>1049</v>
      </c>
      <c r="M75" s="302" t="s">
        <v>370</v>
      </c>
    </row>
    <row r="76" spans="1:13" ht="57" x14ac:dyDescent="0.25">
      <c r="A76" s="312">
        <v>46079</v>
      </c>
      <c r="B76" s="302" t="s">
        <v>109</v>
      </c>
      <c r="C76" s="315" t="s">
        <v>1032</v>
      </c>
      <c r="D76" s="302" t="s">
        <v>578</v>
      </c>
      <c r="E76" s="302" t="s">
        <v>1357</v>
      </c>
      <c r="F76" s="302" t="s">
        <v>1318</v>
      </c>
      <c r="G76" s="302" t="s">
        <v>1358</v>
      </c>
      <c r="H76" s="302"/>
      <c r="I76" s="342">
        <v>2000</v>
      </c>
      <c r="J76" s="334">
        <v>46022</v>
      </c>
      <c r="K76" s="302" t="s">
        <v>1037</v>
      </c>
      <c r="L76" s="302" t="s">
        <v>1049</v>
      </c>
      <c r="M76" s="302" t="s">
        <v>370</v>
      </c>
    </row>
    <row r="77" spans="1:13" ht="57" x14ac:dyDescent="0.25">
      <c r="A77" s="312">
        <v>46079</v>
      </c>
      <c r="B77" s="302" t="s">
        <v>109</v>
      </c>
      <c r="C77" s="315" t="s">
        <v>1032</v>
      </c>
      <c r="D77" s="302" t="s">
        <v>578</v>
      </c>
      <c r="E77" s="302" t="s">
        <v>1359</v>
      </c>
      <c r="F77" s="302" t="s">
        <v>1360</v>
      </c>
      <c r="G77" s="302" t="s">
        <v>1361</v>
      </c>
      <c r="H77" s="302"/>
      <c r="I77" s="342">
        <v>0</v>
      </c>
      <c r="J77" s="334">
        <v>46022</v>
      </c>
      <c r="K77" s="302" t="s">
        <v>1037</v>
      </c>
      <c r="L77" s="302" t="s">
        <v>1049</v>
      </c>
      <c r="M77" s="302" t="s">
        <v>370</v>
      </c>
    </row>
    <row r="78" spans="1:13" ht="57" x14ac:dyDescent="0.25">
      <c r="A78" s="312">
        <v>46079</v>
      </c>
      <c r="B78" s="302" t="s">
        <v>109</v>
      </c>
      <c r="C78" s="315" t="s">
        <v>1032</v>
      </c>
      <c r="D78" s="302" t="s">
        <v>578</v>
      </c>
      <c r="E78" s="302" t="s">
        <v>1362</v>
      </c>
      <c r="F78" s="302" t="s">
        <v>1308</v>
      </c>
      <c r="G78" s="302" t="s">
        <v>1313</v>
      </c>
      <c r="H78" s="302"/>
      <c r="I78" s="342">
        <v>2000</v>
      </c>
      <c r="J78" s="334">
        <v>46022</v>
      </c>
      <c r="K78" s="302" t="s">
        <v>1037</v>
      </c>
      <c r="L78" s="302" t="s">
        <v>1049</v>
      </c>
      <c r="M78" s="302" t="s">
        <v>370</v>
      </c>
    </row>
    <row r="79" spans="1:13" ht="57" x14ac:dyDescent="0.25">
      <c r="A79" s="312">
        <v>46079</v>
      </c>
      <c r="B79" s="302" t="s">
        <v>109</v>
      </c>
      <c r="C79" s="315" t="s">
        <v>1032</v>
      </c>
      <c r="D79" s="302" t="s">
        <v>578</v>
      </c>
      <c r="E79" s="302" t="s">
        <v>1363</v>
      </c>
      <c r="F79" s="302" t="s">
        <v>1364</v>
      </c>
      <c r="G79" s="302" t="s">
        <v>1365</v>
      </c>
      <c r="H79" s="302"/>
      <c r="I79" s="342">
        <v>12500</v>
      </c>
      <c r="J79" s="334">
        <v>46022</v>
      </c>
      <c r="K79" s="302" t="s">
        <v>1037</v>
      </c>
      <c r="L79" s="302" t="s">
        <v>1049</v>
      </c>
      <c r="M79" s="302" t="s">
        <v>370</v>
      </c>
    </row>
    <row r="80" spans="1:13" ht="57" x14ac:dyDescent="0.25">
      <c r="A80" s="312">
        <v>46079</v>
      </c>
      <c r="B80" s="302" t="s">
        <v>109</v>
      </c>
      <c r="C80" s="315" t="s">
        <v>1032</v>
      </c>
      <c r="D80" s="302" t="s">
        <v>578</v>
      </c>
      <c r="E80" s="302" t="s">
        <v>1366</v>
      </c>
      <c r="F80" s="302" t="s">
        <v>1367</v>
      </c>
      <c r="G80" s="302" t="s">
        <v>1368</v>
      </c>
      <c r="H80" s="302"/>
      <c r="I80" s="342">
        <f>1500*3</f>
        <v>4500</v>
      </c>
      <c r="J80" s="334">
        <v>46022</v>
      </c>
      <c r="K80" s="302" t="s">
        <v>1037</v>
      </c>
      <c r="L80" s="302" t="s">
        <v>1049</v>
      </c>
      <c r="M80" s="302" t="s">
        <v>370</v>
      </c>
    </row>
    <row r="81" spans="1:13" ht="57" x14ac:dyDescent="0.25">
      <c r="A81" s="312">
        <v>46079</v>
      </c>
      <c r="B81" s="302" t="s">
        <v>109</v>
      </c>
      <c r="C81" s="315" t="s">
        <v>1032</v>
      </c>
      <c r="D81" s="302" t="s">
        <v>578</v>
      </c>
      <c r="E81" s="302" t="s">
        <v>1369</v>
      </c>
      <c r="F81" s="302" t="s">
        <v>1370</v>
      </c>
      <c r="G81" s="302" t="s">
        <v>1368</v>
      </c>
      <c r="H81" s="302"/>
      <c r="I81" s="342">
        <v>1500</v>
      </c>
      <c r="J81" s="334">
        <v>46022</v>
      </c>
      <c r="K81" s="302" t="s">
        <v>1037</v>
      </c>
      <c r="L81" s="302" t="s">
        <v>1049</v>
      </c>
      <c r="M81" s="302" t="s">
        <v>370</v>
      </c>
    </row>
    <row r="82" spans="1:13" ht="57" x14ac:dyDescent="0.25">
      <c r="A82" s="312">
        <v>46079</v>
      </c>
      <c r="B82" s="302" t="s">
        <v>109</v>
      </c>
      <c r="C82" s="315" t="s">
        <v>1032</v>
      </c>
      <c r="D82" s="302" t="s">
        <v>578</v>
      </c>
      <c r="E82" s="302" t="s">
        <v>1371</v>
      </c>
      <c r="F82" s="302" t="s">
        <v>1372</v>
      </c>
      <c r="G82" s="302" t="s">
        <v>1373</v>
      </c>
      <c r="H82" s="302"/>
      <c r="I82" s="342">
        <f>3000+7.5*110+150</f>
        <v>3975</v>
      </c>
      <c r="J82" s="334">
        <v>46022</v>
      </c>
      <c r="K82" s="302" t="s">
        <v>1037</v>
      </c>
      <c r="L82" s="302" t="s">
        <v>1049</v>
      </c>
      <c r="M82" s="302" t="s">
        <v>370</v>
      </c>
    </row>
    <row r="83" spans="1:13" ht="57" x14ac:dyDescent="0.25">
      <c r="A83" s="312">
        <v>46079</v>
      </c>
      <c r="B83" s="302" t="s">
        <v>109</v>
      </c>
      <c r="C83" s="315" t="s">
        <v>1350</v>
      </c>
      <c r="D83" s="302" t="s">
        <v>578</v>
      </c>
      <c r="E83" s="302" t="s">
        <v>1374</v>
      </c>
      <c r="F83" s="302" t="s">
        <v>1375</v>
      </c>
      <c r="G83" s="302" t="s">
        <v>1376</v>
      </c>
      <c r="H83" s="302" t="s">
        <v>1377</v>
      </c>
      <c r="I83" s="342">
        <v>3000</v>
      </c>
      <c r="J83" s="334">
        <v>46022</v>
      </c>
      <c r="K83" s="302" t="s">
        <v>1037</v>
      </c>
      <c r="L83" s="302" t="s">
        <v>1049</v>
      </c>
      <c r="M83" s="302" t="s">
        <v>370</v>
      </c>
    </row>
    <row r="84" spans="1:13" ht="57" x14ac:dyDescent="0.25">
      <c r="A84" s="312">
        <v>46079</v>
      </c>
      <c r="B84" s="302" t="s">
        <v>109</v>
      </c>
      <c r="C84" s="315" t="s">
        <v>1032</v>
      </c>
      <c r="D84" s="302" t="s">
        <v>578</v>
      </c>
      <c r="E84" s="302" t="s">
        <v>1378</v>
      </c>
      <c r="F84" s="302" t="s">
        <v>1379</v>
      </c>
      <c r="G84" s="302" t="s">
        <v>1380</v>
      </c>
      <c r="H84" s="302" t="s">
        <v>1381</v>
      </c>
      <c r="I84" s="342">
        <f>1500*2</f>
        <v>3000</v>
      </c>
      <c r="J84" s="334">
        <v>46022</v>
      </c>
      <c r="K84" s="302" t="s">
        <v>1037</v>
      </c>
      <c r="L84" s="302" t="s">
        <v>1049</v>
      </c>
      <c r="M84" s="302" t="s">
        <v>370</v>
      </c>
    </row>
    <row r="85" spans="1:13" ht="57" x14ac:dyDescent="0.25">
      <c r="A85" s="312">
        <v>46079</v>
      </c>
      <c r="B85" s="302" t="s">
        <v>109</v>
      </c>
      <c r="C85" s="315" t="s">
        <v>1032</v>
      </c>
      <c r="D85" s="302" t="s">
        <v>578</v>
      </c>
      <c r="E85" s="302" t="s">
        <v>1382</v>
      </c>
      <c r="F85" s="302" t="s">
        <v>1383</v>
      </c>
      <c r="G85" s="302" t="s">
        <v>1384</v>
      </c>
      <c r="H85" s="302"/>
      <c r="I85" s="342">
        <v>1500</v>
      </c>
      <c r="J85" s="334">
        <v>46022</v>
      </c>
      <c r="K85" s="302" t="s">
        <v>1037</v>
      </c>
      <c r="L85" s="302" t="s">
        <v>1049</v>
      </c>
      <c r="M85" s="302" t="s">
        <v>370</v>
      </c>
    </row>
    <row r="86" spans="1:13" ht="57" x14ac:dyDescent="0.25">
      <c r="A86" s="312">
        <v>46079</v>
      </c>
      <c r="B86" s="302" t="s">
        <v>109</v>
      </c>
      <c r="C86" s="315" t="s">
        <v>1032</v>
      </c>
      <c r="D86" s="302" t="s">
        <v>578</v>
      </c>
      <c r="E86" s="302" t="s">
        <v>1385</v>
      </c>
      <c r="F86" s="302" t="s">
        <v>1386</v>
      </c>
      <c r="G86" s="302" t="s">
        <v>1387</v>
      </c>
      <c r="H86" s="302"/>
      <c r="I86" s="342">
        <f>1500*15+10*150+1800+3000</f>
        <v>28800</v>
      </c>
      <c r="J86" s="334">
        <v>46022</v>
      </c>
      <c r="K86" s="302" t="s">
        <v>1037</v>
      </c>
      <c r="L86" s="302" t="s">
        <v>1049</v>
      </c>
      <c r="M86" s="302" t="s">
        <v>370</v>
      </c>
    </row>
    <row r="87" spans="1:13" ht="57" x14ac:dyDescent="0.25">
      <c r="A87" s="312">
        <v>46079</v>
      </c>
      <c r="B87" s="302" t="s">
        <v>109</v>
      </c>
      <c r="C87" s="315" t="s">
        <v>1032</v>
      </c>
      <c r="D87" s="302" t="s">
        <v>578</v>
      </c>
      <c r="E87" s="302" t="s">
        <v>1388</v>
      </c>
      <c r="F87" s="302" t="s">
        <v>1389</v>
      </c>
      <c r="G87" s="302" t="s">
        <v>1390</v>
      </c>
      <c r="H87" s="302"/>
      <c r="I87" s="342">
        <f>7*1500+1800+1500</f>
        <v>13800</v>
      </c>
      <c r="J87" s="334">
        <v>46022</v>
      </c>
      <c r="K87" s="302" t="s">
        <v>1037</v>
      </c>
      <c r="L87" s="302" t="s">
        <v>1049</v>
      </c>
      <c r="M87" s="302" t="s">
        <v>370</v>
      </c>
    </row>
    <row r="88" spans="1:13" ht="57" x14ac:dyDescent="0.25">
      <c r="A88" s="312">
        <v>46079</v>
      </c>
      <c r="B88" s="302" t="s">
        <v>109</v>
      </c>
      <c r="C88" s="315" t="s">
        <v>1032</v>
      </c>
      <c r="D88" s="302" t="s">
        <v>578</v>
      </c>
      <c r="E88" s="302" t="s">
        <v>1391</v>
      </c>
      <c r="F88" s="302" t="s">
        <v>1392</v>
      </c>
      <c r="G88" s="302" t="s">
        <v>1393</v>
      </c>
      <c r="H88" s="302"/>
      <c r="I88" s="342">
        <f>1500*3</f>
        <v>4500</v>
      </c>
      <c r="J88" s="334">
        <v>46022</v>
      </c>
      <c r="K88" s="302" t="s">
        <v>1037</v>
      </c>
      <c r="L88" s="302" t="s">
        <v>1049</v>
      </c>
      <c r="M88" s="302" t="s">
        <v>370</v>
      </c>
    </row>
    <row r="89" spans="1:13" ht="57" x14ac:dyDescent="0.25">
      <c r="A89" s="312">
        <v>46079</v>
      </c>
      <c r="B89" s="302" t="s">
        <v>109</v>
      </c>
      <c r="C89" s="315" t="s">
        <v>1032</v>
      </c>
      <c r="D89" s="302" t="s">
        <v>578</v>
      </c>
      <c r="E89" s="302" t="s">
        <v>1394</v>
      </c>
      <c r="F89" s="302" t="s">
        <v>1299</v>
      </c>
      <c r="G89" s="302" t="s">
        <v>1395</v>
      </c>
      <c r="H89" s="302"/>
      <c r="I89" s="342">
        <v>2500</v>
      </c>
      <c r="J89" s="334">
        <v>46022</v>
      </c>
      <c r="K89" s="302" t="s">
        <v>1037</v>
      </c>
      <c r="L89" s="302" t="s">
        <v>1049</v>
      </c>
      <c r="M89" s="302" t="s">
        <v>370</v>
      </c>
    </row>
    <row r="90" spans="1:13" ht="57" x14ac:dyDescent="0.25">
      <c r="A90" s="312">
        <v>46079</v>
      </c>
      <c r="B90" s="302" t="s">
        <v>109</v>
      </c>
      <c r="C90" s="315" t="s">
        <v>1032</v>
      </c>
      <c r="D90" s="302" t="s">
        <v>578</v>
      </c>
      <c r="E90" s="302" t="s">
        <v>1396</v>
      </c>
      <c r="F90" s="302" t="s">
        <v>1397</v>
      </c>
      <c r="G90" s="302" t="s">
        <v>1398</v>
      </c>
      <c r="H90" s="302"/>
      <c r="I90" s="342">
        <v>1500</v>
      </c>
      <c r="J90" s="334">
        <v>46022</v>
      </c>
      <c r="K90" s="302" t="s">
        <v>1037</v>
      </c>
      <c r="L90" s="302" t="s">
        <v>1049</v>
      </c>
      <c r="M90" s="302" t="s">
        <v>370</v>
      </c>
    </row>
    <row r="91" spans="1:13" ht="71.25" x14ac:dyDescent="0.25">
      <c r="A91" s="312">
        <v>46079</v>
      </c>
      <c r="B91" s="302" t="s">
        <v>109</v>
      </c>
      <c r="C91" s="315" t="s">
        <v>1032</v>
      </c>
      <c r="D91" s="302" t="s">
        <v>578</v>
      </c>
      <c r="E91" s="302" t="s">
        <v>1399</v>
      </c>
      <c r="F91" s="302" t="s">
        <v>1400</v>
      </c>
      <c r="G91" s="302" t="s">
        <v>1401</v>
      </c>
      <c r="H91" s="302"/>
      <c r="I91" s="342">
        <f>1500+750+2770+15*80</f>
        <v>6220</v>
      </c>
      <c r="J91" s="334">
        <v>46022</v>
      </c>
      <c r="K91" s="302" t="s">
        <v>1037</v>
      </c>
      <c r="L91" s="302" t="s">
        <v>1049</v>
      </c>
      <c r="M91" s="302" t="s">
        <v>370</v>
      </c>
    </row>
    <row r="92" spans="1:13" ht="57" x14ac:dyDescent="0.25">
      <c r="A92" s="312">
        <v>46079</v>
      </c>
      <c r="B92" s="302" t="s">
        <v>109</v>
      </c>
      <c r="C92" s="315" t="s">
        <v>1032</v>
      </c>
      <c r="D92" s="302" t="s">
        <v>578</v>
      </c>
      <c r="E92" s="302" t="s">
        <v>1402</v>
      </c>
      <c r="F92" s="302" t="s">
        <v>1403</v>
      </c>
      <c r="G92" s="302" t="s">
        <v>1404</v>
      </c>
      <c r="H92" s="302"/>
      <c r="I92" s="342">
        <f>I90/2</f>
        <v>750</v>
      </c>
      <c r="J92" s="334">
        <v>46022</v>
      </c>
      <c r="K92" s="302" t="s">
        <v>1037</v>
      </c>
      <c r="L92" s="302" t="s">
        <v>1049</v>
      </c>
      <c r="M92" s="302" t="s">
        <v>370</v>
      </c>
    </row>
    <row r="93" spans="1:13" ht="57" x14ac:dyDescent="0.25">
      <c r="A93" s="312">
        <v>46079</v>
      </c>
      <c r="B93" s="302" t="s">
        <v>109</v>
      </c>
      <c r="C93" s="315" t="s">
        <v>1032</v>
      </c>
      <c r="D93" s="302" t="s">
        <v>578</v>
      </c>
      <c r="E93" s="302" t="s">
        <v>1405</v>
      </c>
      <c r="F93" s="302" t="s">
        <v>1386</v>
      </c>
      <c r="G93" s="302" t="s">
        <v>1387</v>
      </c>
      <c r="H93" s="302"/>
      <c r="I93" s="342">
        <f>1500*15+10*150+1800+3000</f>
        <v>28800</v>
      </c>
      <c r="J93" s="334">
        <v>46022</v>
      </c>
      <c r="K93" s="302" t="s">
        <v>1037</v>
      </c>
      <c r="L93" s="302" t="s">
        <v>1049</v>
      </c>
      <c r="M93" s="302" t="s">
        <v>370</v>
      </c>
    </row>
    <row r="94" spans="1:13" ht="57" x14ac:dyDescent="0.25">
      <c r="A94" s="312">
        <v>46079</v>
      </c>
      <c r="B94" s="302" t="s">
        <v>109</v>
      </c>
      <c r="C94" s="315" t="s">
        <v>1032</v>
      </c>
      <c r="D94" s="302" t="s">
        <v>578</v>
      </c>
      <c r="E94" s="302" t="s">
        <v>1406</v>
      </c>
      <c r="F94" s="302" t="s">
        <v>1407</v>
      </c>
      <c r="G94" s="302" t="s">
        <v>1408</v>
      </c>
      <c r="H94" s="302"/>
      <c r="I94" s="342">
        <f>1500*5+150*5+1800+5000</f>
        <v>15050</v>
      </c>
      <c r="J94" s="334">
        <v>46022</v>
      </c>
      <c r="K94" s="302" t="s">
        <v>1037</v>
      </c>
      <c r="L94" s="302" t="s">
        <v>1049</v>
      </c>
      <c r="M94" s="302" t="s">
        <v>370</v>
      </c>
    </row>
    <row r="95" spans="1:13" ht="57" x14ac:dyDescent="0.25">
      <c r="A95" s="312">
        <v>46079</v>
      </c>
      <c r="B95" s="302" t="s">
        <v>109</v>
      </c>
      <c r="C95" s="315" t="s">
        <v>1032</v>
      </c>
      <c r="D95" s="302" t="s">
        <v>578</v>
      </c>
      <c r="E95" s="302" t="s">
        <v>1409</v>
      </c>
      <c r="F95" s="302" t="s">
        <v>1407</v>
      </c>
      <c r="G95" s="302" t="s">
        <v>1410</v>
      </c>
      <c r="H95" s="302"/>
      <c r="I95" s="342">
        <f>1800*2+1500*7+150*7+684*3+630*3+2000</f>
        <v>21092</v>
      </c>
      <c r="J95" s="334">
        <v>46022</v>
      </c>
      <c r="K95" s="302" t="s">
        <v>1037</v>
      </c>
      <c r="L95" s="302" t="s">
        <v>1049</v>
      </c>
      <c r="M95" s="302" t="s">
        <v>370</v>
      </c>
    </row>
    <row r="96" spans="1:13" ht="57" x14ac:dyDescent="0.25">
      <c r="A96" s="312">
        <v>46079</v>
      </c>
      <c r="B96" s="302" t="s">
        <v>109</v>
      </c>
      <c r="C96" s="315" t="s">
        <v>1032</v>
      </c>
      <c r="D96" s="302" t="s">
        <v>578</v>
      </c>
      <c r="E96" s="302" t="s">
        <v>1411</v>
      </c>
      <c r="F96" s="302" t="s">
        <v>1412</v>
      </c>
      <c r="G96" s="302" t="s">
        <v>1092</v>
      </c>
      <c r="H96" s="302"/>
      <c r="I96" s="342">
        <f>1500*4</f>
        <v>6000</v>
      </c>
      <c r="J96" s="334">
        <v>46022</v>
      </c>
      <c r="K96" s="302" t="s">
        <v>1037</v>
      </c>
      <c r="L96" s="302" t="s">
        <v>1049</v>
      </c>
      <c r="M96" s="302" t="s">
        <v>370</v>
      </c>
    </row>
    <row r="97" spans="1:13" ht="85.5" x14ac:dyDescent="0.25">
      <c r="A97" s="312">
        <v>46079</v>
      </c>
      <c r="B97" s="302" t="s">
        <v>109</v>
      </c>
      <c r="C97" s="315" t="s">
        <v>1032</v>
      </c>
      <c r="D97" s="302" t="s">
        <v>578</v>
      </c>
      <c r="E97" s="302" t="s">
        <v>1413</v>
      </c>
      <c r="F97" s="302" t="s">
        <v>1414</v>
      </c>
      <c r="G97" s="302" t="s">
        <v>1415</v>
      </c>
      <c r="H97" s="302"/>
      <c r="I97" s="342">
        <f>1500*2*3+150*2*3</f>
        <v>9900</v>
      </c>
      <c r="J97" s="334">
        <v>46022</v>
      </c>
      <c r="K97" s="302" t="s">
        <v>1037</v>
      </c>
      <c r="L97" s="302" t="s">
        <v>1049</v>
      </c>
      <c r="M97" s="302" t="s">
        <v>370</v>
      </c>
    </row>
    <row r="98" spans="1:13" ht="57" x14ac:dyDescent="0.25">
      <c r="A98" s="312">
        <v>46079</v>
      </c>
      <c r="B98" s="302" t="s">
        <v>109</v>
      </c>
      <c r="C98" s="315" t="s">
        <v>1032</v>
      </c>
      <c r="D98" s="302" t="s">
        <v>578</v>
      </c>
      <c r="E98" s="302" t="s">
        <v>1416</v>
      </c>
      <c r="F98" s="302" t="s">
        <v>1417</v>
      </c>
      <c r="G98" s="302" t="s">
        <v>1418</v>
      </c>
      <c r="H98" s="302"/>
      <c r="I98" s="342">
        <f>1500*5</f>
        <v>7500</v>
      </c>
      <c r="J98" s="334">
        <v>46022</v>
      </c>
      <c r="K98" s="302" t="s">
        <v>1037</v>
      </c>
      <c r="L98" s="302" t="s">
        <v>1049</v>
      </c>
      <c r="M98" s="302" t="s">
        <v>370</v>
      </c>
    </row>
    <row r="99" spans="1:13" ht="71.25" x14ac:dyDescent="0.25">
      <c r="A99" s="312">
        <v>46079</v>
      </c>
      <c r="B99" s="302" t="s">
        <v>109</v>
      </c>
      <c r="C99" s="315" t="s">
        <v>1032</v>
      </c>
      <c r="D99" s="302" t="s">
        <v>578</v>
      </c>
      <c r="E99" s="302" t="s">
        <v>1419</v>
      </c>
      <c r="F99" s="302" t="s">
        <v>1420</v>
      </c>
      <c r="G99" s="302" t="s">
        <v>1421</v>
      </c>
      <c r="H99" s="302"/>
      <c r="I99" s="342">
        <f>1500*5</f>
        <v>7500</v>
      </c>
      <c r="J99" s="334">
        <v>46022</v>
      </c>
      <c r="K99" s="302" t="s">
        <v>1037</v>
      </c>
      <c r="L99" s="302" t="s">
        <v>1049</v>
      </c>
      <c r="M99" s="302" t="s">
        <v>370</v>
      </c>
    </row>
    <row r="100" spans="1:13" ht="99.75" x14ac:dyDescent="0.25">
      <c r="A100" s="312">
        <v>46079</v>
      </c>
      <c r="B100" s="302" t="s">
        <v>109</v>
      </c>
      <c r="C100" s="315" t="s">
        <v>1032</v>
      </c>
      <c r="D100" s="302" t="s">
        <v>578</v>
      </c>
      <c r="E100" s="302" t="s">
        <v>1422</v>
      </c>
      <c r="F100" s="302" t="s">
        <v>1423</v>
      </c>
      <c r="G100" s="302" t="s">
        <v>1424</v>
      </c>
      <c r="H100" s="302"/>
      <c r="I100" s="342">
        <f>(330+8*38*2+130)*5+1800</f>
        <v>7140</v>
      </c>
      <c r="J100" s="334">
        <v>46022</v>
      </c>
      <c r="K100" s="302" t="s">
        <v>1037</v>
      </c>
      <c r="L100" s="302" t="s">
        <v>1049</v>
      </c>
      <c r="M100" s="302" t="s">
        <v>370</v>
      </c>
    </row>
    <row r="101" spans="1:13" ht="57" x14ac:dyDescent="0.25">
      <c r="A101" s="312">
        <v>46079</v>
      </c>
      <c r="B101" s="302" t="s">
        <v>109</v>
      </c>
      <c r="C101" s="315" t="s">
        <v>1032</v>
      </c>
      <c r="D101" s="302" t="s">
        <v>578</v>
      </c>
      <c r="E101" s="302" t="s">
        <v>1425</v>
      </c>
      <c r="F101" s="302" t="s">
        <v>1426</v>
      </c>
      <c r="G101" s="302" t="s">
        <v>1427</v>
      </c>
      <c r="H101" s="302"/>
      <c r="I101" s="342">
        <v>3372</v>
      </c>
      <c r="J101" s="334">
        <v>46022</v>
      </c>
      <c r="K101" s="302" t="s">
        <v>1037</v>
      </c>
      <c r="L101" s="302" t="s">
        <v>1049</v>
      </c>
      <c r="M101" s="302" t="s">
        <v>370</v>
      </c>
    </row>
    <row r="102" spans="1:13" ht="57" x14ac:dyDescent="0.25">
      <c r="A102" s="312">
        <v>46079</v>
      </c>
      <c r="B102" s="302" t="s">
        <v>109</v>
      </c>
      <c r="C102" s="315" t="s">
        <v>1032</v>
      </c>
      <c r="D102" s="302" t="s">
        <v>578</v>
      </c>
      <c r="E102" s="302" t="s">
        <v>1428</v>
      </c>
      <c r="F102" s="302" t="s">
        <v>1429</v>
      </c>
      <c r="G102" s="302" t="s">
        <v>1430</v>
      </c>
      <c r="H102" s="302"/>
      <c r="I102" s="342">
        <v>3372</v>
      </c>
      <c r="J102" s="334">
        <v>46022</v>
      </c>
      <c r="K102" s="302" t="s">
        <v>1037</v>
      </c>
      <c r="L102" s="302" t="s">
        <v>1049</v>
      </c>
      <c r="M102" s="302" t="s">
        <v>370</v>
      </c>
    </row>
    <row r="103" spans="1:13" ht="85.5" x14ac:dyDescent="0.25">
      <c r="A103" s="312">
        <v>46079</v>
      </c>
      <c r="B103" s="302" t="s">
        <v>109</v>
      </c>
      <c r="C103" s="315" t="s">
        <v>1032</v>
      </c>
      <c r="D103" s="302" t="s">
        <v>578</v>
      </c>
      <c r="E103" s="302" t="s">
        <v>1431</v>
      </c>
      <c r="F103" s="302" t="s">
        <v>1414</v>
      </c>
      <c r="G103" s="302" t="s">
        <v>1415</v>
      </c>
      <c r="H103" s="302"/>
      <c r="I103" s="342">
        <f>1500*2+150*2</f>
        <v>3300</v>
      </c>
      <c r="J103" s="334">
        <v>46022</v>
      </c>
      <c r="K103" s="302" t="s">
        <v>1037</v>
      </c>
      <c r="L103" s="302" t="s">
        <v>1049</v>
      </c>
      <c r="M103" s="302" t="s">
        <v>370</v>
      </c>
    </row>
    <row r="104" spans="1:13" ht="57" x14ac:dyDescent="0.25">
      <c r="A104" s="312">
        <v>46079</v>
      </c>
      <c r="B104" s="302" t="s">
        <v>109</v>
      </c>
      <c r="C104" s="315" t="s">
        <v>1032</v>
      </c>
      <c r="D104" s="302" t="s">
        <v>578</v>
      </c>
      <c r="E104" s="302" t="s">
        <v>1432</v>
      </c>
      <c r="F104" s="302" t="s">
        <v>1433</v>
      </c>
      <c r="G104" s="302" t="s">
        <v>1427</v>
      </c>
      <c r="H104" s="302"/>
      <c r="I104" s="342">
        <f>(330+8*38+130)*3+1800*0.5</f>
        <v>3192</v>
      </c>
      <c r="J104" s="334">
        <v>46022</v>
      </c>
      <c r="K104" s="302" t="s">
        <v>1037</v>
      </c>
      <c r="L104" s="302" t="s">
        <v>1049</v>
      </c>
      <c r="M104" s="302" t="s">
        <v>370</v>
      </c>
    </row>
    <row r="105" spans="1:13" ht="57" x14ac:dyDescent="0.25">
      <c r="A105" s="312">
        <v>46079</v>
      </c>
      <c r="B105" s="302" t="s">
        <v>109</v>
      </c>
      <c r="C105" s="315" t="s">
        <v>1032</v>
      </c>
      <c r="D105" s="302" t="s">
        <v>578</v>
      </c>
      <c r="E105" s="302" t="s">
        <v>1434</v>
      </c>
      <c r="F105" s="302" t="s">
        <v>1433</v>
      </c>
      <c r="G105" s="302" t="s">
        <v>1435</v>
      </c>
      <c r="H105" s="302"/>
      <c r="I105" s="342">
        <f>(330+8*38+130)*3</f>
        <v>2292</v>
      </c>
      <c r="J105" s="334">
        <v>46022</v>
      </c>
      <c r="K105" s="302" t="s">
        <v>1037</v>
      </c>
      <c r="L105" s="302" t="s">
        <v>1049</v>
      </c>
      <c r="M105" s="302" t="s">
        <v>370</v>
      </c>
    </row>
    <row r="106" spans="1:13" ht="57" x14ac:dyDescent="0.25">
      <c r="A106" s="312">
        <v>46079</v>
      </c>
      <c r="B106" s="302" t="s">
        <v>109</v>
      </c>
      <c r="C106" s="315" t="s">
        <v>1032</v>
      </c>
      <c r="D106" s="302" t="s">
        <v>578</v>
      </c>
      <c r="E106" s="302" t="s">
        <v>1436</v>
      </c>
      <c r="F106" s="302" t="s">
        <v>1437</v>
      </c>
      <c r="G106" s="302" t="s">
        <v>1427</v>
      </c>
      <c r="H106" s="302"/>
      <c r="I106" s="342">
        <f t="shared" ref="I106:I112" si="0">(330+8*38+130)*1.5+1800*0.3</f>
        <v>1686</v>
      </c>
      <c r="J106" s="334">
        <v>46022</v>
      </c>
      <c r="K106" s="302" t="s">
        <v>1037</v>
      </c>
      <c r="L106" s="302" t="s">
        <v>1049</v>
      </c>
      <c r="M106" s="302" t="s">
        <v>370</v>
      </c>
    </row>
    <row r="107" spans="1:13" ht="57" x14ac:dyDescent="0.25">
      <c r="A107" s="312">
        <v>46079</v>
      </c>
      <c r="B107" s="302" t="s">
        <v>109</v>
      </c>
      <c r="C107" s="315" t="s">
        <v>1032</v>
      </c>
      <c r="D107" s="302" t="s">
        <v>578</v>
      </c>
      <c r="E107" s="302" t="s">
        <v>1438</v>
      </c>
      <c r="F107" s="302" t="s">
        <v>1437</v>
      </c>
      <c r="G107" s="302" t="s">
        <v>1427</v>
      </c>
      <c r="H107" s="302"/>
      <c r="I107" s="342">
        <f t="shared" si="0"/>
        <v>1686</v>
      </c>
      <c r="J107" s="334">
        <v>46022</v>
      </c>
      <c r="K107" s="302" t="s">
        <v>1037</v>
      </c>
      <c r="L107" s="302" t="s">
        <v>1049</v>
      </c>
      <c r="M107" s="302" t="s">
        <v>370</v>
      </c>
    </row>
    <row r="108" spans="1:13" ht="57" x14ac:dyDescent="0.25">
      <c r="A108" s="312">
        <v>46079</v>
      </c>
      <c r="B108" s="302" t="s">
        <v>109</v>
      </c>
      <c r="C108" s="315" t="s">
        <v>1032</v>
      </c>
      <c r="D108" s="302" t="s">
        <v>578</v>
      </c>
      <c r="E108" s="302" t="s">
        <v>1439</v>
      </c>
      <c r="F108" s="302" t="s">
        <v>1433</v>
      </c>
      <c r="G108" s="302" t="s">
        <v>1427</v>
      </c>
      <c r="H108" s="302"/>
      <c r="I108" s="342">
        <f t="shared" si="0"/>
        <v>1686</v>
      </c>
      <c r="J108" s="334">
        <v>46022</v>
      </c>
      <c r="K108" s="302" t="s">
        <v>1037</v>
      </c>
      <c r="L108" s="302" t="s">
        <v>1049</v>
      </c>
      <c r="M108" s="302" t="s">
        <v>370</v>
      </c>
    </row>
    <row r="109" spans="1:13" ht="57" x14ac:dyDescent="0.25">
      <c r="A109" s="312">
        <v>46079</v>
      </c>
      <c r="B109" s="302" t="s">
        <v>109</v>
      </c>
      <c r="C109" s="315" t="s">
        <v>1032</v>
      </c>
      <c r="D109" s="302" t="s">
        <v>578</v>
      </c>
      <c r="E109" s="302" t="s">
        <v>1440</v>
      </c>
      <c r="F109" s="302" t="s">
        <v>1441</v>
      </c>
      <c r="G109" s="302" t="s">
        <v>1427</v>
      </c>
      <c r="H109" s="302"/>
      <c r="I109" s="342">
        <f t="shared" si="0"/>
        <v>1686</v>
      </c>
      <c r="J109" s="334">
        <v>46022</v>
      </c>
      <c r="K109" s="302" t="s">
        <v>1037</v>
      </c>
      <c r="L109" s="302" t="s">
        <v>1049</v>
      </c>
      <c r="M109" s="302" t="s">
        <v>370</v>
      </c>
    </row>
    <row r="110" spans="1:13" ht="57" x14ac:dyDescent="0.25">
      <c r="A110" s="312">
        <v>46079</v>
      </c>
      <c r="B110" s="302" t="s">
        <v>109</v>
      </c>
      <c r="C110" s="315" t="s">
        <v>1032</v>
      </c>
      <c r="D110" s="302" t="s">
        <v>578</v>
      </c>
      <c r="E110" s="302" t="s">
        <v>1442</v>
      </c>
      <c r="F110" s="302" t="s">
        <v>1443</v>
      </c>
      <c r="G110" s="302" t="s">
        <v>1427</v>
      </c>
      <c r="H110" s="302"/>
      <c r="I110" s="342">
        <f t="shared" si="0"/>
        <v>1686</v>
      </c>
      <c r="J110" s="334">
        <v>46022</v>
      </c>
      <c r="K110" s="302" t="s">
        <v>1037</v>
      </c>
      <c r="L110" s="302" t="s">
        <v>1049</v>
      </c>
      <c r="M110" s="302" t="s">
        <v>370</v>
      </c>
    </row>
    <row r="111" spans="1:13" ht="57" x14ac:dyDescent="0.25">
      <c r="A111" s="312">
        <v>46079</v>
      </c>
      <c r="B111" s="302" t="s">
        <v>109</v>
      </c>
      <c r="C111" s="315" t="s">
        <v>1032</v>
      </c>
      <c r="D111" s="302" t="s">
        <v>578</v>
      </c>
      <c r="E111" s="302" t="s">
        <v>1444</v>
      </c>
      <c r="F111" s="302" t="s">
        <v>1443</v>
      </c>
      <c r="G111" s="302" t="s">
        <v>1427</v>
      </c>
      <c r="H111" s="302"/>
      <c r="I111" s="342">
        <f t="shared" si="0"/>
        <v>1686</v>
      </c>
      <c r="J111" s="334">
        <v>46022</v>
      </c>
      <c r="K111" s="302" t="s">
        <v>1037</v>
      </c>
      <c r="L111" s="302" t="s">
        <v>1049</v>
      </c>
      <c r="M111" s="302" t="s">
        <v>370</v>
      </c>
    </row>
    <row r="112" spans="1:13" ht="57" x14ac:dyDescent="0.25">
      <c r="A112" s="312">
        <v>46079</v>
      </c>
      <c r="B112" s="302" t="s">
        <v>109</v>
      </c>
      <c r="C112" s="315" t="s">
        <v>1032</v>
      </c>
      <c r="D112" s="302" t="s">
        <v>578</v>
      </c>
      <c r="E112" s="302" t="s">
        <v>1445</v>
      </c>
      <c r="F112" s="302" t="s">
        <v>1446</v>
      </c>
      <c r="G112" s="302" t="s">
        <v>1427</v>
      </c>
      <c r="H112" s="302"/>
      <c r="I112" s="342">
        <f t="shared" si="0"/>
        <v>1686</v>
      </c>
      <c r="J112" s="334">
        <v>46022</v>
      </c>
      <c r="K112" s="302" t="s">
        <v>1037</v>
      </c>
      <c r="L112" s="302" t="s">
        <v>1049</v>
      </c>
      <c r="M112" s="302" t="s">
        <v>370</v>
      </c>
    </row>
    <row r="113" spans="1:13" ht="57" x14ac:dyDescent="0.25">
      <c r="A113" s="312">
        <v>46079</v>
      </c>
      <c r="B113" s="302" t="s">
        <v>109</v>
      </c>
      <c r="C113" s="315" t="s">
        <v>1032</v>
      </c>
      <c r="D113" s="302" t="s">
        <v>578</v>
      </c>
      <c r="E113" s="302" t="s">
        <v>1447</v>
      </c>
      <c r="F113" s="302" t="s">
        <v>1299</v>
      </c>
      <c r="G113" s="302" t="s">
        <v>1398</v>
      </c>
      <c r="H113" s="302"/>
      <c r="I113" s="342">
        <v>0</v>
      </c>
      <c r="J113" s="334">
        <v>46022</v>
      </c>
      <c r="K113" s="302" t="s">
        <v>1037</v>
      </c>
      <c r="L113" s="302" t="s">
        <v>1049</v>
      </c>
      <c r="M113" s="302" t="s">
        <v>370</v>
      </c>
    </row>
    <row r="114" spans="1:13" ht="85.5" x14ac:dyDescent="0.25">
      <c r="A114" s="312">
        <v>46079</v>
      </c>
      <c r="B114" s="302" t="s">
        <v>109</v>
      </c>
      <c r="C114" s="315" t="s">
        <v>1032</v>
      </c>
      <c r="D114" s="302" t="s">
        <v>578</v>
      </c>
      <c r="E114" s="302" t="s">
        <v>1448</v>
      </c>
      <c r="F114" s="302" t="s">
        <v>1449</v>
      </c>
      <c r="G114" s="302" t="s">
        <v>1450</v>
      </c>
      <c r="H114" s="302"/>
      <c r="I114" s="342">
        <f>1500*5</f>
        <v>7500</v>
      </c>
      <c r="J114" s="334">
        <v>46022</v>
      </c>
      <c r="K114" s="302" t="s">
        <v>1037</v>
      </c>
      <c r="L114" s="302" t="s">
        <v>1049</v>
      </c>
      <c r="M114" s="302" t="s">
        <v>370</v>
      </c>
    </row>
    <row r="115" spans="1:13" ht="142.5" x14ac:dyDescent="0.25">
      <c r="A115" s="312">
        <v>46079</v>
      </c>
      <c r="B115" s="302" t="s">
        <v>109</v>
      </c>
      <c r="C115" s="315" t="s">
        <v>1032</v>
      </c>
      <c r="D115" s="302" t="s">
        <v>578</v>
      </c>
      <c r="E115" s="302" t="s">
        <v>1451</v>
      </c>
      <c r="F115" s="302" t="s">
        <v>1452</v>
      </c>
      <c r="G115" s="302" t="s">
        <v>1453</v>
      </c>
      <c r="H115" s="302"/>
      <c r="I115" s="342">
        <f>(330+130+38*8)*30+27.7*450+15*100+1500</f>
        <v>38385</v>
      </c>
      <c r="J115" s="334">
        <v>46113</v>
      </c>
      <c r="K115" s="302" t="s">
        <v>1037</v>
      </c>
      <c r="L115" s="302" t="s">
        <v>1049</v>
      </c>
      <c r="M115" s="302" t="s">
        <v>370</v>
      </c>
    </row>
    <row r="116" spans="1:13" ht="156.75" hidden="1" x14ac:dyDescent="0.25">
      <c r="A116" s="312">
        <v>46080</v>
      </c>
      <c r="B116" s="302" t="s">
        <v>36</v>
      </c>
      <c r="C116" s="315" t="s">
        <v>1089</v>
      </c>
      <c r="D116" s="302" t="s">
        <v>749</v>
      </c>
      <c r="E116" s="302" t="s">
        <v>1454</v>
      </c>
      <c r="F116" s="302"/>
      <c r="G116" s="302" t="s">
        <v>1455</v>
      </c>
      <c r="H116" s="302"/>
      <c r="I116" s="342">
        <v>1500</v>
      </c>
      <c r="J116" s="334">
        <v>46087</v>
      </c>
      <c r="K116" s="302" t="s">
        <v>1037</v>
      </c>
      <c r="L116" s="302" t="s">
        <v>1456</v>
      </c>
      <c r="M116" s="302" t="s">
        <v>1457</v>
      </c>
    </row>
    <row r="117" spans="1:13" ht="85.5" hidden="1" x14ac:dyDescent="0.25">
      <c r="A117" s="312">
        <v>46083</v>
      </c>
      <c r="B117" s="302" t="s">
        <v>109</v>
      </c>
      <c r="C117" s="315" t="s">
        <v>1202</v>
      </c>
      <c r="D117" s="302" t="s">
        <v>1458</v>
      </c>
      <c r="E117" s="302" t="s">
        <v>1459</v>
      </c>
      <c r="F117" s="302" t="s">
        <v>1460</v>
      </c>
      <c r="G117" s="302" t="s">
        <v>1461</v>
      </c>
      <c r="H117" s="302"/>
      <c r="I117" s="342"/>
      <c r="J117" s="334">
        <v>46098</v>
      </c>
      <c r="K117" s="302" t="s">
        <v>1037</v>
      </c>
      <c r="L117" s="302" t="s">
        <v>1462</v>
      </c>
      <c r="M117" s="302" t="s">
        <v>375</v>
      </c>
    </row>
    <row r="118" spans="1:13" ht="57" hidden="1" x14ac:dyDescent="0.25">
      <c r="A118" s="312">
        <v>46083</v>
      </c>
      <c r="B118" s="302" t="s">
        <v>54</v>
      </c>
      <c r="C118" s="315" t="s">
        <v>1058</v>
      </c>
      <c r="D118" s="302" t="s">
        <v>548</v>
      </c>
      <c r="E118" s="302" t="s">
        <v>1463</v>
      </c>
      <c r="F118" s="302" t="s">
        <v>1464</v>
      </c>
      <c r="G118" s="302" t="s">
        <v>1465</v>
      </c>
      <c r="H118" s="302"/>
      <c r="I118" s="342">
        <v>250</v>
      </c>
      <c r="J118" s="334">
        <v>46100</v>
      </c>
      <c r="K118" s="302" t="s">
        <v>1037</v>
      </c>
      <c r="L118" s="302" t="s">
        <v>1466</v>
      </c>
      <c r="M118" s="302" t="s">
        <v>300</v>
      </c>
    </row>
    <row r="119" spans="1:13" ht="299.25" hidden="1" x14ac:dyDescent="0.25">
      <c r="A119" s="312">
        <v>46084</v>
      </c>
      <c r="B119" s="302" t="s">
        <v>36</v>
      </c>
      <c r="C119" s="315" t="s">
        <v>1220</v>
      </c>
      <c r="D119" s="302" t="s">
        <v>749</v>
      </c>
      <c r="E119" s="302" t="s">
        <v>1467</v>
      </c>
      <c r="F119" s="302" t="s">
        <v>1468</v>
      </c>
      <c r="G119" s="302" t="s">
        <v>1469</v>
      </c>
      <c r="H119" s="302"/>
      <c r="I119" s="342">
        <v>0</v>
      </c>
      <c r="J119" s="334">
        <v>46087</v>
      </c>
      <c r="K119" s="302" t="s">
        <v>1056</v>
      </c>
      <c r="L119" s="302" t="s">
        <v>1470</v>
      </c>
      <c r="M119" s="302" t="s">
        <v>1457</v>
      </c>
    </row>
    <row r="120" spans="1:13" ht="199.5" hidden="1" x14ac:dyDescent="0.25">
      <c r="A120" s="312">
        <v>46087</v>
      </c>
      <c r="B120" s="302" t="s">
        <v>36</v>
      </c>
      <c r="C120" s="315" t="s">
        <v>1471</v>
      </c>
      <c r="D120" s="302" t="s">
        <v>60</v>
      </c>
      <c r="E120" s="302" t="s">
        <v>1472</v>
      </c>
      <c r="F120" s="302" t="s">
        <v>1473</v>
      </c>
      <c r="G120" s="302" t="s">
        <v>1474</v>
      </c>
      <c r="H120" s="302" t="s">
        <v>1475</v>
      </c>
      <c r="I120" s="342">
        <v>0</v>
      </c>
      <c r="J120" s="334">
        <v>46083</v>
      </c>
      <c r="K120" s="302" t="s">
        <v>1037</v>
      </c>
      <c r="L120" s="302" t="s">
        <v>1476</v>
      </c>
      <c r="M120" s="302" t="s">
        <v>1154</v>
      </c>
    </row>
    <row r="121" spans="1:13" ht="71.25" hidden="1" x14ac:dyDescent="0.25">
      <c r="A121" s="312">
        <v>46092</v>
      </c>
      <c r="B121" s="302" t="s">
        <v>100</v>
      </c>
      <c r="C121" s="315" t="s">
        <v>1058</v>
      </c>
      <c r="D121" s="302" t="s">
        <v>584</v>
      </c>
      <c r="E121" s="302" t="s">
        <v>1477</v>
      </c>
      <c r="F121" s="302"/>
      <c r="G121" s="302" t="s">
        <v>1478</v>
      </c>
      <c r="H121" s="302"/>
      <c r="I121" s="342">
        <v>200</v>
      </c>
      <c r="J121" s="334" t="s">
        <v>1479</v>
      </c>
      <c r="K121" s="302"/>
      <c r="L121" s="302" t="s">
        <v>1480</v>
      </c>
      <c r="M121" s="302" t="s">
        <v>1110</v>
      </c>
    </row>
    <row r="122" spans="1:13" ht="57" hidden="1" x14ac:dyDescent="0.25">
      <c r="A122" s="312">
        <v>46093</v>
      </c>
      <c r="B122" s="302" t="s">
        <v>54</v>
      </c>
      <c r="C122" s="315" t="s">
        <v>1202</v>
      </c>
      <c r="D122" s="302" t="s">
        <v>548</v>
      </c>
      <c r="E122" s="302" t="s">
        <v>1481</v>
      </c>
      <c r="F122" s="302" t="s">
        <v>1482</v>
      </c>
      <c r="G122" s="302" t="s">
        <v>1483</v>
      </c>
      <c r="H122" s="302"/>
      <c r="I122" s="342">
        <v>500</v>
      </c>
      <c r="J122" s="334">
        <v>46100</v>
      </c>
      <c r="K122" s="302" t="s">
        <v>1037</v>
      </c>
      <c r="L122" s="302" t="s">
        <v>1484</v>
      </c>
      <c r="M122" s="302" t="s">
        <v>309</v>
      </c>
    </row>
    <row r="123" spans="1:13" ht="57" hidden="1" x14ac:dyDescent="0.25">
      <c r="A123" s="312">
        <v>46094</v>
      </c>
      <c r="B123" s="302" t="s">
        <v>109</v>
      </c>
      <c r="C123" s="315" t="s">
        <v>1058</v>
      </c>
      <c r="D123" s="302" t="s">
        <v>108</v>
      </c>
      <c r="E123" s="302" t="s">
        <v>1485</v>
      </c>
      <c r="F123" s="302" t="s">
        <v>1486</v>
      </c>
      <c r="G123" s="302" t="s">
        <v>1487</v>
      </c>
      <c r="H123" s="302"/>
      <c r="I123" s="342">
        <v>3000</v>
      </c>
      <c r="J123" s="334">
        <v>46136</v>
      </c>
      <c r="K123" s="302" t="s">
        <v>1037</v>
      </c>
      <c r="L123" s="302" t="s">
        <v>1488</v>
      </c>
      <c r="M123" s="302" t="s">
        <v>393</v>
      </c>
    </row>
    <row r="124" spans="1:13" ht="57" hidden="1" x14ac:dyDescent="0.25">
      <c r="A124" s="312">
        <v>46094</v>
      </c>
      <c r="B124" s="302" t="s">
        <v>109</v>
      </c>
      <c r="C124" s="315" t="s">
        <v>1058</v>
      </c>
      <c r="D124" s="302" t="s">
        <v>108</v>
      </c>
      <c r="E124" s="302" t="s">
        <v>1489</v>
      </c>
      <c r="F124" s="302" t="s">
        <v>1490</v>
      </c>
      <c r="G124" s="302" t="s">
        <v>1491</v>
      </c>
      <c r="H124" s="302"/>
      <c r="I124" s="342">
        <v>2000</v>
      </c>
      <c r="J124" s="334">
        <v>46097</v>
      </c>
      <c r="K124" s="302" t="s">
        <v>1037</v>
      </c>
      <c r="L124" s="302" t="s">
        <v>1492</v>
      </c>
      <c r="M124" s="302" t="s">
        <v>393</v>
      </c>
    </row>
    <row r="125" spans="1:13" ht="128.25" hidden="1" x14ac:dyDescent="0.25">
      <c r="A125" s="312">
        <v>46094</v>
      </c>
      <c r="B125" s="302" t="s">
        <v>54</v>
      </c>
      <c r="C125" s="315" t="s">
        <v>1089</v>
      </c>
      <c r="D125" s="302" t="s">
        <v>77</v>
      </c>
      <c r="E125" s="302" t="s">
        <v>1493</v>
      </c>
      <c r="F125" s="302" t="s">
        <v>1494</v>
      </c>
      <c r="G125" s="302"/>
      <c r="H125" s="302" t="s">
        <v>1495</v>
      </c>
      <c r="I125" s="342">
        <v>2500</v>
      </c>
      <c r="J125" s="334">
        <v>46094</v>
      </c>
      <c r="K125" s="302" t="s">
        <v>1037</v>
      </c>
      <c r="L125" s="302" t="s">
        <v>1496</v>
      </c>
      <c r="M125" s="302" t="s">
        <v>361</v>
      </c>
    </row>
    <row r="126" spans="1:13" ht="57" hidden="1" x14ac:dyDescent="0.25">
      <c r="A126" s="312">
        <v>46094</v>
      </c>
      <c r="B126" s="302" t="s">
        <v>54</v>
      </c>
      <c r="C126" s="315" t="s">
        <v>1142</v>
      </c>
      <c r="D126" s="302" t="s">
        <v>77</v>
      </c>
      <c r="E126" s="302" t="s">
        <v>1497</v>
      </c>
      <c r="F126" s="302" t="s">
        <v>1498</v>
      </c>
      <c r="G126" s="302" t="s">
        <v>1499</v>
      </c>
      <c r="H126" s="302" t="s">
        <v>1500</v>
      </c>
      <c r="I126" s="342">
        <v>250</v>
      </c>
      <c r="J126" s="334">
        <v>46094</v>
      </c>
      <c r="K126" s="302" t="s">
        <v>1037</v>
      </c>
      <c r="L126" s="302" t="s">
        <v>1501</v>
      </c>
      <c r="M126" s="302" t="s">
        <v>361</v>
      </c>
    </row>
    <row r="127" spans="1:13" ht="57" hidden="1" x14ac:dyDescent="0.25">
      <c r="A127" s="312">
        <v>46094</v>
      </c>
      <c r="B127" s="302" t="s">
        <v>54</v>
      </c>
      <c r="C127" s="315" t="s">
        <v>1089</v>
      </c>
      <c r="D127" s="302" t="s">
        <v>104</v>
      </c>
      <c r="E127" s="302" t="s">
        <v>1502</v>
      </c>
      <c r="F127" s="302" t="s">
        <v>1503</v>
      </c>
      <c r="G127" s="302" t="s">
        <v>1504</v>
      </c>
      <c r="H127" s="302"/>
      <c r="I127" s="342">
        <v>900</v>
      </c>
      <c r="J127" s="334">
        <v>46094</v>
      </c>
      <c r="K127" s="302" t="s">
        <v>1037</v>
      </c>
      <c r="L127" s="302" t="s">
        <v>1505</v>
      </c>
      <c r="M127" s="302" t="s">
        <v>822</v>
      </c>
    </row>
    <row r="128" spans="1:13" ht="57" hidden="1" x14ac:dyDescent="0.25">
      <c r="A128" s="312">
        <v>46097</v>
      </c>
      <c r="B128" s="302" t="s">
        <v>109</v>
      </c>
      <c r="C128" s="315" t="s">
        <v>1058</v>
      </c>
      <c r="D128" s="302" t="s">
        <v>531</v>
      </c>
      <c r="E128" s="302" t="s">
        <v>1506</v>
      </c>
      <c r="F128" s="302" t="s">
        <v>1507</v>
      </c>
      <c r="G128" s="302" t="s">
        <v>1508</v>
      </c>
      <c r="H128" s="302"/>
      <c r="I128" s="342">
        <v>2000</v>
      </c>
      <c r="J128" s="334">
        <v>46097</v>
      </c>
      <c r="K128" s="302" t="s">
        <v>1037</v>
      </c>
      <c r="L128" s="302" t="s">
        <v>1509</v>
      </c>
      <c r="M128" s="302" t="s">
        <v>358</v>
      </c>
    </row>
    <row r="129" spans="1:13" ht="71.25" hidden="1" x14ac:dyDescent="0.25">
      <c r="A129" s="312">
        <v>46097</v>
      </c>
      <c r="B129" s="302" t="s">
        <v>269</v>
      </c>
      <c r="C129" s="315" t="s">
        <v>1220</v>
      </c>
      <c r="D129" s="302" t="s">
        <v>943</v>
      </c>
      <c r="E129" s="302" t="s">
        <v>1510</v>
      </c>
      <c r="F129" s="302" t="s">
        <v>1511</v>
      </c>
      <c r="G129" s="302" t="s">
        <v>1512</v>
      </c>
      <c r="H129" s="302" t="s">
        <v>1513</v>
      </c>
      <c r="I129" s="342"/>
      <c r="J129" s="334"/>
      <c r="K129" s="302"/>
      <c r="L129" s="302" t="s">
        <v>1514</v>
      </c>
      <c r="M129" s="302" t="s">
        <v>1515</v>
      </c>
    </row>
    <row r="130" spans="1:13" ht="57" hidden="1" x14ac:dyDescent="0.25">
      <c r="A130" s="312">
        <v>46097</v>
      </c>
      <c r="B130" s="302" t="s">
        <v>159</v>
      </c>
      <c r="C130" s="315" t="s">
        <v>1058</v>
      </c>
      <c r="D130" s="302" t="s">
        <v>685</v>
      </c>
      <c r="E130" s="302" t="s">
        <v>1516</v>
      </c>
      <c r="F130" s="302" t="s">
        <v>1517</v>
      </c>
      <c r="G130" s="302" t="s">
        <v>1518</v>
      </c>
      <c r="H130" s="302"/>
      <c r="I130" s="342"/>
      <c r="J130" s="334"/>
      <c r="K130" s="302"/>
      <c r="L130" s="302" t="s">
        <v>1519</v>
      </c>
      <c r="M130" s="302" t="s">
        <v>365</v>
      </c>
    </row>
    <row r="131" spans="1:13" ht="71.25" hidden="1" x14ac:dyDescent="0.25">
      <c r="A131" s="312">
        <v>46097</v>
      </c>
      <c r="B131" s="302" t="s">
        <v>100</v>
      </c>
      <c r="C131" s="315" t="s">
        <v>1213</v>
      </c>
      <c r="D131" s="302" t="s">
        <v>609</v>
      </c>
      <c r="E131" s="302" t="s">
        <v>1520</v>
      </c>
      <c r="F131" s="302" t="s">
        <v>1521</v>
      </c>
      <c r="G131" s="302" t="s">
        <v>1522</v>
      </c>
      <c r="H131" s="302"/>
      <c r="I131" s="342"/>
      <c r="J131" s="334"/>
      <c r="K131" s="302"/>
      <c r="L131" s="302" t="s">
        <v>1523</v>
      </c>
      <c r="M131" s="302" t="s">
        <v>331</v>
      </c>
    </row>
    <row r="132" spans="1:13" ht="171" hidden="1" x14ac:dyDescent="0.25">
      <c r="A132" s="312">
        <v>46098</v>
      </c>
      <c r="B132" s="302" t="s">
        <v>36</v>
      </c>
      <c r="C132" s="315" t="s">
        <v>1058</v>
      </c>
      <c r="D132" s="302" t="s">
        <v>855</v>
      </c>
      <c r="E132" s="302" t="s">
        <v>1524</v>
      </c>
      <c r="F132" s="302" t="s">
        <v>1525</v>
      </c>
      <c r="G132" s="302" t="s">
        <v>1526</v>
      </c>
      <c r="H132" s="302" t="s">
        <v>1527</v>
      </c>
      <c r="I132" s="342">
        <v>1500</v>
      </c>
      <c r="J132" s="334">
        <v>46098</v>
      </c>
      <c r="K132" s="302" t="s">
        <v>1037</v>
      </c>
      <c r="L132" s="302" t="s">
        <v>1528</v>
      </c>
      <c r="M132" s="302" t="s">
        <v>1529</v>
      </c>
    </row>
    <row r="133" spans="1:13" ht="213.75" hidden="1" x14ac:dyDescent="0.25">
      <c r="A133" s="312">
        <v>46098</v>
      </c>
      <c r="B133" s="302" t="s">
        <v>36</v>
      </c>
      <c r="C133" s="315" t="s">
        <v>1213</v>
      </c>
      <c r="D133" s="302" t="s">
        <v>855</v>
      </c>
      <c r="E133" s="302" t="s">
        <v>1530</v>
      </c>
      <c r="F133" s="302" t="s">
        <v>1531</v>
      </c>
      <c r="G133" s="302" t="s">
        <v>1532</v>
      </c>
      <c r="H133" s="302" t="s">
        <v>1527</v>
      </c>
      <c r="I133" s="342">
        <v>6500</v>
      </c>
      <c r="J133" s="334">
        <v>46098</v>
      </c>
      <c r="K133" s="302" t="s">
        <v>1037</v>
      </c>
      <c r="L133" s="302" t="s">
        <v>1533</v>
      </c>
      <c r="M133" s="302" t="s">
        <v>1529</v>
      </c>
    </row>
    <row r="134" spans="1:13" ht="71.25" hidden="1" x14ac:dyDescent="0.25">
      <c r="A134" s="417">
        <v>46099</v>
      </c>
      <c r="B134" s="303" t="s">
        <v>109</v>
      </c>
      <c r="C134" s="315" t="s">
        <v>1058</v>
      </c>
      <c r="D134" s="302" t="s">
        <v>108</v>
      </c>
      <c r="E134" s="304" t="s">
        <v>1534</v>
      </c>
      <c r="F134" s="458" t="s">
        <v>1535</v>
      </c>
      <c r="G134" s="304" t="s">
        <v>1536</v>
      </c>
      <c r="H134" s="304"/>
      <c r="I134" s="343">
        <v>1500</v>
      </c>
      <c r="J134" s="416">
        <v>46101</v>
      </c>
      <c r="K134" s="302" t="s">
        <v>1037</v>
      </c>
      <c r="L134" s="304" t="s">
        <v>1537</v>
      </c>
      <c r="M134" s="302" t="s">
        <v>393</v>
      </c>
    </row>
    <row r="135" spans="1:13" ht="42.75" hidden="1" x14ac:dyDescent="0.25">
      <c r="A135" s="312">
        <v>46100</v>
      </c>
      <c r="B135" s="302" t="s">
        <v>269</v>
      </c>
      <c r="C135" s="315" t="s">
        <v>1058</v>
      </c>
      <c r="D135" s="302" t="s">
        <v>627</v>
      </c>
      <c r="E135" s="302" t="s">
        <v>1538</v>
      </c>
      <c r="F135" s="302"/>
      <c r="G135" s="302" t="s">
        <v>1539</v>
      </c>
      <c r="H135" s="302"/>
      <c r="I135" s="342">
        <v>68.5</v>
      </c>
      <c r="J135" s="334">
        <v>46092</v>
      </c>
      <c r="K135" s="302"/>
      <c r="L135" s="302" t="s">
        <v>1540</v>
      </c>
      <c r="M135" s="302" t="s">
        <v>1515</v>
      </c>
    </row>
    <row r="136" spans="1:13" ht="42.75" hidden="1" x14ac:dyDescent="0.25">
      <c r="A136" s="312">
        <v>46100</v>
      </c>
      <c r="B136" s="302" t="s">
        <v>269</v>
      </c>
      <c r="C136" s="315" t="s">
        <v>1058</v>
      </c>
      <c r="D136" s="302" t="s">
        <v>627</v>
      </c>
      <c r="E136" s="302" t="s">
        <v>1541</v>
      </c>
      <c r="F136" s="302" t="s">
        <v>1542</v>
      </c>
      <c r="G136" s="302" t="s">
        <v>1543</v>
      </c>
      <c r="H136" s="302"/>
      <c r="I136" s="342"/>
      <c r="J136" s="334">
        <v>46123</v>
      </c>
      <c r="K136" s="302"/>
      <c r="L136" s="302" t="s">
        <v>1544</v>
      </c>
      <c r="M136" s="302" t="s">
        <v>1515</v>
      </c>
    </row>
    <row r="137" spans="1:13" ht="85.5" hidden="1" x14ac:dyDescent="0.25">
      <c r="A137" s="312">
        <v>46105</v>
      </c>
      <c r="B137" s="302" t="s">
        <v>159</v>
      </c>
      <c r="C137" s="315" t="s">
        <v>1142</v>
      </c>
      <c r="D137" s="302" t="s">
        <v>589</v>
      </c>
      <c r="E137" s="302" t="s">
        <v>1545</v>
      </c>
      <c r="F137" s="302" t="s">
        <v>1546</v>
      </c>
      <c r="G137" s="302" t="s">
        <v>1547</v>
      </c>
      <c r="H137" s="302" t="s">
        <v>1548</v>
      </c>
      <c r="I137" s="342"/>
      <c r="J137" s="334"/>
      <c r="K137" s="302"/>
      <c r="L137" s="302" t="s">
        <v>1549</v>
      </c>
      <c r="M137" s="302" t="s">
        <v>376</v>
      </c>
    </row>
    <row r="138" spans="1:13" ht="71.25" hidden="1" x14ac:dyDescent="0.25">
      <c r="A138" s="312">
        <v>46105</v>
      </c>
      <c r="B138" s="302" t="s">
        <v>54</v>
      </c>
      <c r="C138" s="315" t="s">
        <v>1058</v>
      </c>
      <c r="D138" s="302" t="s">
        <v>77</v>
      </c>
      <c r="E138" s="302" t="s">
        <v>1550</v>
      </c>
      <c r="F138" s="302" t="s">
        <v>1551</v>
      </c>
      <c r="G138" s="302"/>
      <c r="H138" s="302"/>
      <c r="I138" s="342"/>
      <c r="J138" s="334"/>
      <c r="K138" s="302" t="s">
        <v>1037</v>
      </c>
      <c r="L138" s="302" t="s">
        <v>1552</v>
      </c>
      <c r="M138" s="302" t="s">
        <v>238</v>
      </c>
    </row>
    <row r="139" spans="1:13" ht="57" hidden="1" x14ac:dyDescent="0.25">
      <c r="A139" s="312">
        <v>46107</v>
      </c>
      <c r="B139" s="302" t="s">
        <v>159</v>
      </c>
      <c r="C139" s="315" t="s">
        <v>1202</v>
      </c>
      <c r="D139" s="302" t="s">
        <v>93</v>
      </c>
      <c r="E139" s="302" t="s">
        <v>1553</v>
      </c>
      <c r="F139" s="302" t="s">
        <v>1554</v>
      </c>
      <c r="G139" s="302" t="s">
        <v>1555</v>
      </c>
      <c r="H139" s="302" t="s">
        <v>1556</v>
      </c>
      <c r="I139" s="342"/>
      <c r="J139" s="334">
        <v>46107</v>
      </c>
      <c r="K139" s="302"/>
      <c r="L139" s="302" t="s">
        <v>1557</v>
      </c>
      <c r="M139" s="302" t="s">
        <v>340</v>
      </c>
    </row>
    <row r="140" spans="1:13" ht="71.25" x14ac:dyDescent="0.25">
      <c r="A140" s="417">
        <v>46108</v>
      </c>
      <c r="B140" s="303" t="s">
        <v>109</v>
      </c>
      <c r="C140" s="315" t="s">
        <v>1142</v>
      </c>
      <c r="D140" s="302" t="s">
        <v>578</v>
      </c>
      <c r="E140" s="304" t="s">
        <v>1558</v>
      </c>
      <c r="F140" s="304" t="s">
        <v>1559</v>
      </c>
      <c r="G140" s="304" t="s">
        <v>1560</v>
      </c>
      <c r="H140" s="304"/>
      <c r="I140" s="460"/>
      <c r="J140" s="416">
        <v>46108</v>
      </c>
      <c r="K140" s="302" t="s">
        <v>1037</v>
      </c>
      <c r="L140" s="304" t="s">
        <v>1561</v>
      </c>
      <c r="M140" s="302" t="s">
        <v>389</v>
      </c>
    </row>
    <row r="141" spans="1:13" ht="128.25" hidden="1" x14ac:dyDescent="0.25">
      <c r="A141" s="312">
        <v>46111</v>
      </c>
      <c r="B141" s="302" t="s">
        <v>36</v>
      </c>
      <c r="C141" s="315" t="s">
        <v>1089</v>
      </c>
      <c r="D141" s="302" t="s">
        <v>855</v>
      </c>
      <c r="E141" s="302" t="s">
        <v>1562</v>
      </c>
      <c r="F141" s="302"/>
      <c r="G141" s="302" t="s">
        <v>1563</v>
      </c>
      <c r="H141" s="302" t="s">
        <v>1564</v>
      </c>
      <c r="I141" s="342">
        <v>900</v>
      </c>
      <c r="J141" s="334">
        <v>46114</v>
      </c>
      <c r="K141" s="302" t="s">
        <v>1037</v>
      </c>
      <c r="L141" s="302" t="s">
        <v>1565</v>
      </c>
      <c r="M141" s="302" t="s">
        <v>354</v>
      </c>
    </row>
    <row r="142" spans="1:13" ht="342" hidden="1" x14ac:dyDescent="0.25">
      <c r="A142" s="312">
        <v>46112</v>
      </c>
      <c r="B142" s="302" t="s">
        <v>100</v>
      </c>
      <c r="C142" s="315" t="s">
        <v>1058</v>
      </c>
      <c r="D142" s="302" t="s">
        <v>1566</v>
      </c>
      <c r="E142" s="302" t="s">
        <v>1567</v>
      </c>
      <c r="F142" s="302" t="s">
        <v>1568</v>
      </c>
      <c r="G142" s="302" t="s">
        <v>1569</v>
      </c>
      <c r="H142" s="302"/>
      <c r="I142" s="342">
        <v>600</v>
      </c>
      <c r="J142" s="334">
        <v>46112</v>
      </c>
      <c r="K142" s="302" t="s">
        <v>1037</v>
      </c>
      <c r="L142" s="302" t="s">
        <v>1570</v>
      </c>
      <c r="M142" s="302" t="s">
        <v>1137</v>
      </c>
    </row>
    <row r="143" spans="1:13" ht="57" x14ac:dyDescent="0.25">
      <c r="A143" s="312">
        <v>46112</v>
      </c>
      <c r="B143" s="302" t="s">
        <v>109</v>
      </c>
      <c r="C143" s="315" t="s">
        <v>1142</v>
      </c>
      <c r="D143" s="302" t="s">
        <v>578</v>
      </c>
      <c r="E143" s="302" t="s">
        <v>1571</v>
      </c>
      <c r="F143" s="302" t="s">
        <v>1572</v>
      </c>
      <c r="G143" s="302" t="s">
        <v>1573</v>
      </c>
      <c r="H143" s="302"/>
      <c r="I143" s="342"/>
      <c r="J143" s="334">
        <v>46112</v>
      </c>
      <c r="K143" s="302" t="s">
        <v>1037</v>
      </c>
      <c r="L143" s="302" t="s">
        <v>1574</v>
      </c>
      <c r="M143" s="302" t="s">
        <v>389</v>
      </c>
    </row>
    <row r="144" spans="1:13" ht="57" hidden="1" x14ac:dyDescent="0.25">
      <c r="A144" s="312">
        <v>46112</v>
      </c>
      <c r="B144" s="302" t="s">
        <v>54</v>
      </c>
      <c r="C144" s="315" t="s">
        <v>1058</v>
      </c>
      <c r="D144" s="302" t="s">
        <v>560</v>
      </c>
      <c r="E144" s="302" t="s">
        <v>1575</v>
      </c>
      <c r="F144" s="302" t="s">
        <v>1576</v>
      </c>
      <c r="G144" s="302" t="s">
        <v>1577</v>
      </c>
      <c r="H144" s="302"/>
      <c r="I144" s="342">
        <v>200</v>
      </c>
      <c r="J144" s="334">
        <v>46114</v>
      </c>
      <c r="K144" s="302" t="s">
        <v>1037</v>
      </c>
      <c r="L144" s="302" t="s">
        <v>1578</v>
      </c>
      <c r="M144" s="302" t="s">
        <v>333</v>
      </c>
    </row>
    <row r="145" spans="1:13" ht="57" hidden="1" x14ac:dyDescent="0.25">
      <c r="A145" s="312">
        <v>46119</v>
      </c>
      <c r="B145" s="302" t="s">
        <v>109</v>
      </c>
      <c r="C145" s="315" t="s">
        <v>1058</v>
      </c>
      <c r="D145" s="302" t="s">
        <v>108</v>
      </c>
      <c r="E145" s="302" t="s">
        <v>1579</v>
      </c>
      <c r="F145" s="302"/>
      <c r="G145" s="302" t="s">
        <v>1580</v>
      </c>
      <c r="H145" s="302"/>
      <c r="I145" s="342"/>
      <c r="J145" s="334">
        <v>46119</v>
      </c>
      <c r="K145" s="302" t="s">
        <v>1037</v>
      </c>
      <c r="L145" s="302" t="s">
        <v>1581</v>
      </c>
      <c r="M145" s="302" t="s">
        <v>358</v>
      </c>
    </row>
    <row r="146" spans="1:13" ht="42.75" hidden="1" x14ac:dyDescent="0.25">
      <c r="A146" s="312">
        <v>46120</v>
      </c>
      <c r="B146" s="302" t="s">
        <v>269</v>
      </c>
      <c r="C146" s="315" t="s">
        <v>1058</v>
      </c>
      <c r="D146" s="302" t="s">
        <v>589</v>
      </c>
      <c r="E146" s="302" t="s">
        <v>1582</v>
      </c>
      <c r="F146" s="302" t="s">
        <v>1583</v>
      </c>
      <c r="G146" s="302" t="s">
        <v>1584</v>
      </c>
      <c r="H146" s="302"/>
      <c r="I146" s="342"/>
      <c r="J146" s="334">
        <v>46120</v>
      </c>
      <c r="K146" s="302" t="s">
        <v>1037</v>
      </c>
      <c r="L146" s="302" t="s">
        <v>1585</v>
      </c>
      <c r="M146" s="302" t="s">
        <v>281</v>
      </c>
    </row>
    <row r="147" spans="1:13" ht="57" hidden="1" x14ac:dyDescent="0.25">
      <c r="A147" s="312">
        <v>46125</v>
      </c>
      <c r="B147" s="302" t="s">
        <v>54</v>
      </c>
      <c r="C147" s="315" t="s">
        <v>1058</v>
      </c>
      <c r="D147" s="302" t="s">
        <v>774</v>
      </c>
      <c r="E147" s="302" t="s">
        <v>1586</v>
      </c>
      <c r="F147" s="302" t="s">
        <v>1587</v>
      </c>
      <c r="G147" s="302" t="s">
        <v>1588</v>
      </c>
      <c r="H147" s="302" t="s">
        <v>1589</v>
      </c>
      <c r="I147" s="342">
        <v>150</v>
      </c>
      <c r="J147" s="334">
        <v>46125</v>
      </c>
      <c r="K147" s="302" t="s">
        <v>1037</v>
      </c>
      <c r="L147" s="302" t="s">
        <v>1590</v>
      </c>
      <c r="M147" s="302" t="s">
        <v>309</v>
      </c>
    </row>
    <row r="148" spans="1:13" ht="57" hidden="1" x14ac:dyDescent="0.25">
      <c r="A148" s="312">
        <v>46128</v>
      </c>
      <c r="B148" s="302" t="s">
        <v>54</v>
      </c>
      <c r="C148" s="315" t="s">
        <v>1058</v>
      </c>
      <c r="D148" s="302" t="s">
        <v>1033</v>
      </c>
      <c r="E148" s="302" t="s">
        <v>1591</v>
      </c>
      <c r="F148" s="302" t="s">
        <v>1592</v>
      </c>
      <c r="G148" s="302" t="s">
        <v>1593</v>
      </c>
      <c r="H148" s="302"/>
      <c r="I148" s="342"/>
      <c r="J148" s="334">
        <v>46134</v>
      </c>
      <c r="K148" s="302" t="s">
        <v>1037</v>
      </c>
      <c r="L148" s="302" t="s">
        <v>1594</v>
      </c>
      <c r="M148" s="302" t="s">
        <v>300</v>
      </c>
    </row>
    <row r="149" spans="1:13" ht="71.25" hidden="1" x14ac:dyDescent="0.25">
      <c r="A149" s="312">
        <v>46128</v>
      </c>
      <c r="B149" s="302" t="s">
        <v>54</v>
      </c>
      <c r="C149" s="315" t="s">
        <v>1058</v>
      </c>
      <c r="D149" s="302" t="s">
        <v>104</v>
      </c>
      <c r="E149" s="302" t="s">
        <v>1595</v>
      </c>
      <c r="F149" s="302" t="s">
        <v>1596</v>
      </c>
      <c r="G149" s="302" t="s">
        <v>1597</v>
      </c>
      <c r="H149" s="302"/>
      <c r="I149" s="342">
        <v>500</v>
      </c>
      <c r="J149" s="334">
        <v>46129</v>
      </c>
      <c r="K149" s="302" t="s">
        <v>1037</v>
      </c>
      <c r="L149" s="302" t="s">
        <v>1598</v>
      </c>
      <c r="M149" s="302" t="s">
        <v>822</v>
      </c>
    </row>
    <row r="150" spans="1:13" ht="57" x14ac:dyDescent="0.25">
      <c r="A150" s="312">
        <v>46134</v>
      </c>
      <c r="B150" s="302" t="s">
        <v>109</v>
      </c>
      <c r="C150" s="315" t="s">
        <v>1058</v>
      </c>
      <c r="D150" s="302" t="s">
        <v>578</v>
      </c>
      <c r="E150" s="302" t="s">
        <v>1599</v>
      </c>
      <c r="F150" s="302" t="s">
        <v>1600</v>
      </c>
      <c r="G150" s="302" t="s">
        <v>1601</v>
      </c>
      <c r="H150" s="302"/>
      <c r="I150" s="342">
        <v>20</v>
      </c>
      <c r="J150" s="334">
        <v>46134</v>
      </c>
      <c r="K150" s="302" t="s">
        <v>1037</v>
      </c>
      <c r="L150" s="302" t="s">
        <v>1602</v>
      </c>
      <c r="M150" s="302" t="s">
        <v>358</v>
      </c>
    </row>
    <row r="151" spans="1:13" ht="71.25" hidden="1" x14ac:dyDescent="0.25">
      <c r="A151" s="312">
        <v>46038</v>
      </c>
      <c r="B151" s="302" t="s">
        <v>269</v>
      </c>
      <c r="C151" s="315" t="s">
        <v>1088</v>
      </c>
      <c r="D151" s="302" t="s">
        <v>563</v>
      </c>
      <c r="E151" s="302" t="s">
        <v>1603</v>
      </c>
      <c r="F151" s="302" t="s">
        <v>1604</v>
      </c>
      <c r="G151" s="302" t="s">
        <v>1605</v>
      </c>
      <c r="H151" s="302" t="s">
        <v>1606</v>
      </c>
      <c r="I151" s="342"/>
      <c r="J151" s="334">
        <v>46038</v>
      </c>
      <c r="K151" s="302"/>
      <c r="L151" s="302" t="s">
        <v>1607</v>
      </c>
      <c r="M151" s="302" t="s">
        <v>379</v>
      </c>
    </row>
    <row r="152" spans="1:13" ht="71.25" hidden="1" x14ac:dyDescent="0.25">
      <c r="A152" s="312">
        <v>46136</v>
      </c>
      <c r="B152" s="302" t="s">
        <v>54</v>
      </c>
      <c r="C152" s="315" t="s">
        <v>1213</v>
      </c>
      <c r="D152" s="302" t="s">
        <v>1608</v>
      </c>
      <c r="E152" s="302" t="s">
        <v>1609</v>
      </c>
      <c r="F152" s="302" t="s">
        <v>1610</v>
      </c>
      <c r="G152" s="302" t="s">
        <v>1611</v>
      </c>
      <c r="H152" s="302" t="s">
        <v>1612</v>
      </c>
      <c r="I152" s="342">
        <v>3000</v>
      </c>
      <c r="J152" s="334">
        <v>46136</v>
      </c>
      <c r="K152" s="302" t="s">
        <v>1037</v>
      </c>
      <c r="L152" s="302" t="s">
        <v>1613</v>
      </c>
      <c r="M152" s="302" t="s">
        <v>361</v>
      </c>
    </row>
    <row r="153" spans="1:13" ht="71.25" x14ac:dyDescent="0.25">
      <c r="A153" s="312">
        <v>46139</v>
      </c>
      <c r="B153" s="302" t="s">
        <v>109</v>
      </c>
      <c r="C153" s="315" t="s">
        <v>1614</v>
      </c>
      <c r="D153" s="302" t="s">
        <v>578</v>
      </c>
      <c r="E153" s="302" t="s">
        <v>1615</v>
      </c>
      <c r="F153" s="302" t="s">
        <v>1616</v>
      </c>
      <c r="G153" s="302" t="s">
        <v>1617</v>
      </c>
      <c r="H153" s="302"/>
      <c r="I153" s="342"/>
      <c r="J153" s="334">
        <v>46139</v>
      </c>
      <c r="K153" s="302" t="s">
        <v>1037</v>
      </c>
      <c r="L153" s="302" t="s">
        <v>1618</v>
      </c>
      <c r="M153" s="302" t="s">
        <v>389</v>
      </c>
    </row>
    <row r="154" spans="1:13" ht="114" hidden="1" x14ac:dyDescent="0.25">
      <c r="A154" s="312">
        <v>46142</v>
      </c>
      <c r="B154" s="302" t="s">
        <v>54</v>
      </c>
      <c r="C154" s="315" t="s">
        <v>1058</v>
      </c>
      <c r="D154" s="302" t="s">
        <v>53</v>
      </c>
      <c r="E154" s="302" t="s">
        <v>1619</v>
      </c>
      <c r="F154" s="302" t="s">
        <v>1620</v>
      </c>
      <c r="G154" s="302" t="s">
        <v>1621</v>
      </c>
      <c r="H154" s="302" t="s">
        <v>1622</v>
      </c>
      <c r="I154" s="342"/>
      <c r="J154" s="334">
        <v>46142</v>
      </c>
      <c r="K154" s="302" t="s">
        <v>1037</v>
      </c>
      <c r="L154" s="302" t="s">
        <v>1623</v>
      </c>
      <c r="M154" s="302" t="s">
        <v>327</v>
      </c>
    </row>
    <row r="155" spans="1:13" ht="128.25" x14ac:dyDescent="0.25">
      <c r="A155" s="312">
        <v>46107</v>
      </c>
      <c r="B155" s="302" t="s">
        <v>109</v>
      </c>
      <c r="C155" s="315" t="s">
        <v>1058</v>
      </c>
      <c r="D155" s="302" t="s">
        <v>578</v>
      </c>
      <c r="E155" s="302" t="s">
        <v>1624</v>
      </c>
      <c r="F155" s="302"/>
      <c r="G155" s="302" t="s">
        <v>1625</v>
      </c>
      <c r="H155" s="302"/>
      <c r="I155" s="342">
        <v>2500</v>
      </c>
      <c r="J155" s="334"/>
      <c r="K155" s="302" t="s">
        <v>1037</v>
      </c>
      <c r="L155" s="302" t="s">
        <v>1626</v>
      </c>
      <c r="M155" s="302" t="s">
        <v>370</v>
      </c>
    </row>
    <row r="156" spans="1:13" ht="57" hidden="1" x14ac:dyDescent="0.25">
      <c r="A156" s="312">
        <v>46141</v>
      </c>
      <c r="B156" s="302" t="s">
        <v>159</v>
      </c>
      <c r="C156" s="315" t="s">
        <v>1071</v>
      </c>
      <c r="D156" s="302" t="s">
        <v>93</v>
      </c>
      <c r="E156" s="302" t="s">
        <v>1627</v>
      </c>
      <c r="F156" s="302" t="s">
        <v>1628</v>
      </c>
      <c r="G156" s="302" t="s">
        <v>1629</v>
      </c>
      <c r="H156" s="302" t="s">
        <v>1630</v>
      </c>
      <c r="I156" s="342">
        <v>600</v>
      </c>
      <c r="J156" s="334">
        <v>46142</v>
      </c>
      <c r="K156" s="302" t="s">
        <v>1037</v>
      </c>
      <c r="L156" s="302" t="s">
        <v>1631</v>
      </c>
      <c r="M156" s="302" t="s">
        <v>340</v>
      </c>
    </row>
    <row r="157" spans="1:13" ht="185.25" hidden="1" x14ac:dyDescent="0.25">
      <c r="A157" s="312">
        <v>46140</v>
      </c>
      <c r="B157" s="302" t="s">
        <v>159</v>
      </c>
      <c r="C157" s="315" t="s">
        <v>1077</v>
      </c>
      <c r="D157" s="302" t="s">
        <v>589</v>
      </c>
      <c r="E157" s="302" t="s">
        <v>1632</v>
      </c>
      <c r="F157" s="302" t="s">
        <v>1633</v>
      </c>
      <c r="G157" s="302" t="s">
        <v>1634</v>
      </c>
      <c r="H157" s="302" t="s">
        <v>1635</v>
      </c>
      <c r="I157" s="342">
        <v>2588</v>
      </c>
      <c r="J157" s="334">
        <v>46134</v>
      </c>
      <c r="K157" s="302" t="s">
        <v>1037</v>
      </c>
      <c r="L157" s="302" t="s">
        <v>1636</v>
      </c>
      <c r="M157" s="302" t="s">
        <v>376</v>
      </c>
    </row>
    <row r="158" spans="1:13" ht="99.75" hidden="1" x14ac:dyDescent="0.25">
      <c r="A158" s="312">
        <v>46135</v>
      </c>
      <c r="B158" s="302" t="s">
        <v>269</v>
      </c>
      <c r="C158" s="315" t="s">
        <v>1071</v>
      </c>
      <c r="D158" s="302" t="s">
        <v>943</v>
      </c>
      <c r="E158" s="302" t="s">
        <v>1637</v>
      </c>
      <c r="F158" s="302" t="s">
        <v>1638</v>
      </c>
      <c r="G158" s="302" t="s">
        <v>1639</v>
      </c>
      <c r="H158" s="302"/>
      <c r="I158" s="342">
        <v>25</v>
      </c>
      <c r="J158" s="334"/>
      <c r="K158" s="302" t="s">
        <v>1037</v>
      </c>
      <c r="L158" s="302" t="s">
        <v>1640</v>
      </c>
      <c r="M158" s="302" t="s">
        <v>1515</v>
      </c>
    </row>
    <row r="159" spans="1:13" ht="99.75" hidden="1" x14ac:dyDescent="0.25">
      <c r="A159" s="312">
        <v>46135</v>
      </c>
      <c r="B159" s="302" t="s">
        <v>269</v>
      </c>
      <c r="C159" s="315" t="s">
        <v>1641</v>
      </c>
      <c r="D159" s="302" t="s">
        <v>1642</v>
      </c>
      <c r="E159" s="302" t="s">
        <v>1643</v>
      </c>
      <c r="F159" s="302" t="s">
        <v>1644</v>
      </c>
      <c r="G159" s="302" t="s">
        <v>1645</v>
      </c>
      <c r="H159" s="302"/>
      <c r="I159" s="342">
        <v>150</v>
      </c>
      <c r="J159" s="334">
        <v>46134</v>
      </c>
      <c r="K159" s="302" t="s">
        <v>1056</v>
      </c>
      <c r="L159" s="302" t="s">
        <v>1646</v>
      </c>
      <c r="M159" s="302" t="s">
        <v>379</v>
      </c>
    </row>
    <row r="160" spans="1:13" ht="185.25" hidden="1" x14ac:dyDescent="0.25">
      <c r="A160" s="312">
        <v>46136</v>
      </c>
      <c r="B160" s="302" t="s">
        <v>36</v>
      </c>
      <c r="C160" s="315" t="s">
        <v>1044</v>
      </c>
      <c r="D160" s="302" t="s">
        <v>2399</v>
      </c>
      <c r="E160" s="302" t="s">
        <v>2398</v>
      </c>
      <c r="F160" s="380" t="s">
        <v>2400</v>
      </c>
      <c r="G160" s="302" t="s">
        <v>2401</v>
      </c>
      <c r="H160" s="302" t="s">
        <v>2402</v>
      </c>
      <c r="I160" s="342">
        <v>4320</v>
      </c>
      <c r="J160" s="334">
        <v>46115</v>
      </c>
      <c r="K160" s="302" t="s">
        <v>1037</v>
      </c>
      <c r="L160" s="302"/>
      <c r="M160" s="302"/>
    </row>
    <row r="161" spans="1:13" x14ac:dyDescent="0.25">
      <c r="A161" s="312"/>
      <c r="B161" s="302"/>
      <c r="C161" s="315"/>
      <c r="D161" s="302"/>
      <c r="E161" s="302"/>
      <c r="F161" s="302"/>
      <c r="G161" s="302"/>
      <c r="H161" s="302"/>
      <c r="I161" s="342"/>
      <c r="J161" s="334"/>
      <c r="K161" s="302"/>
      <c r="L161" s="302"/>
      <c r="M161" s="302"/>
    </row>
    <row r="162" spans="1:13" x14ac:dyDescent="0.25">
      <c r="A162" s="312"/>
      <c r="B162" s="302"/>
      <c r="C162" s="315"/>
      <c r="D162" s="302"/>
      <c r="E162" s="302"/>
      <c r="F162" s="302"/>
      <c r="G162" s="302"/>
      <c r="H162" s="302"/>
      <c r="I162" s="342"/>
      <c r="J162" s="334"/>
      <c r="K162" s="302"/>
      <c r="L162" s="302"/>
      <c r="M162" s="302"/>
    </row>
    <row r="163" spans="1:13" x14ac:dyDescent="0.25">
      <c r="A163" s="312"/>
      <c r="B163" s="302"/>
      <c r="C163" s="315"/>
      <c r="D163" s="302"/>
      <c r="E163" s="302"/>
      <c r="F163" s="302"/>
      <c r="G163" s="302"/>
      <c r="H163" s="302"/>
      <c r="I163" s="342"/>
      <c r="J163" s="334"/>
      <c r="K163" s="302"/>
      <c r="L163" s="302"/>
      <c r="M163" s="302"/>
    </row>
    <row r="164" spans="1:13" x14ac:dyDescent="0.25">
      <c r="A164" s="312"/>
      <c r="B164" s="302"/>
      <c r="C164" s="315"/>
      <c r="D164" s="302"/>
      <c r="E164" s="302"/>
      <c r="F164" s="302"/>
      <c r="G164" s="302"/>
      <c r="H164" s="302"/>
      <c r="I164" s="342"/>
      <c r="J164" s="334"/>
      <c r="K164" s="302"/>
      <c r="L164" s="302"/>
      <c r="M164" s="302"/>
    </row>
    <row r="165" spans="1:13" x14ac:dyDescent="0.25">
      <c r="A165" s="312"/>
      <c r="B165" s="302"/>
      <c r="C165" s="315"/>
      <c r="D165" s="302"/>
      <c r="E165" s="302"/>
      <c r="F165" s="302"/>
      <c r="G165" s="302"/>
      <c r="H165" s="302"/>
      <c r="I165" s="342"/>
      <c r="J165" s="334"/>
      <c r="K165" s="302"/>
      <c r="L165" s="302"/>
      <c r="M165" s="302"/>
    </row>
    <row r="166" spans="1:13" x14ac:dyDescent="0.25">
      <c r="A166" s="312"/>
      <c r="B166" s="302"/>
      <c r="C166" s="315"/>
      <c r="D166" s="302"/>
      <c r="E166" s="302"/>
      <c r="F166" s="302"/>
      <c r="G166" s="302"/>
      <c r="H166" s="302"/>
      <c r="I166" s="342"/>
      <c r="J166" s="334"/>
      <c r="K166" s="302"/>
      <c r="L166" s="302"/>
      <c r="M166" s="302"/>
    </row>
    <row r="167" spans="1:13" x14ac:dyDescent="0.25">
      <c r="A167" s="312"/>
      <c r="B167" s="302"/>
      <c r="C167" s="315"/>
      <c r="D167" s="302"/>
      <c r="E167" s="302"/>
      <c r="F167" s="302"/>
      <c r="G167" s="302"/>
      <c r="H167" s="302"/>
      <c r="I167" s="342"/>
      <c r="J167" s="334"/>
      <c r="K167" s="302"/>
      <c r="L167" s="302"/>
      <c r="M167" s="302"/>
    </row>
    <row r="168" spans="1:13" x14ac:dyDescent="0.25">
      <c r="A168" s="312"/>
      <c r="B168" s="302"/>
      <c r="C168" s="315"/>
      <c r="D168" s="302"/>
      <c r="E168" s="302"/>
      <c r="F168" s="302"/>
      <c r="G168" s="302"/>
      <c r="H168" s="302"/>
      <c r="I168" s="342"/>
      <c r="J168" s="334"/>
      <c r="K168" s="302"/>
      <c r="L168" s="302"/>
      <c r="M168" s="302"/>
    </row>
    <row r="169" spans="1:13" x14ac:dyDescent="0.25">
      <c r="A169" s="312"/>
      <c r="B169" s="302"/>
      <c r="C169" s="315"/>
      <c r="D169" s="302"/>
      <c r="E169" s="302"/>
      <c r="F169" s="302"/>
      <c r="G169" s="302"/>
      <c r="H169" s="302"/>
      <c r="I169" s="342"/>
      <c r="J169" s="334"/>
      <c r="K169" s="302"/>
      <c r="L169" s="302"/>
      <c r="M169" s="302"/>
    </row>
    <row r="170" spans="1:13" x14ac:dyDescent="0.25">
      <c r="A170" s="312"/>
      <c r="B170" s="302"/>
      <c r="C170" s="315"/>
      <c r="D170" s="302"/>
      <c r="E170" s="302"/>
      <c r="F170" s="302"/>
      <c r="G170" s="302"/>
      <c r="H170" s="302"/>
      <c r="I170" s="342"/>
      <c r="J170" s="334"/>
      <c r="K170" s="302"/>
      <c r="L170" s="302"/>
      <c r="M170" s="302"/>
    </row>
    <row r="171" spans="1:13" x14ac:dyDescent="0.25">
      <c r="A171" s="312"/>
      <c r="B171" s="302"/>
      <c r="C171" s="315"/>
      <c r="D171" s="302"/>
      <c r="E171" s="302"/>
      <c r="F171" s="302"/>
      <c r="G171" s="302"/>
      <c r="H171" s="302"/>
      <c r="I171" s="342"/>
      <c r="J171" s="334"/>
      <c r="K171" s="302"/>
      <c r="L171" s="302"/>
      <c r="M171" s="302"/>
    </row>
    <row r="172" spans="1:13" x14ac:dyDescent="0.25">
      <c r="A172" s="312"/>
      <c r="B172" s="302"/>
      <c r="C172" s="315"/>
      <c r="D172" s="302"/>
      <c r="E172" s="302"/>
      <c r="F172" s="302"/>
      <c r="G172" s="302"/>
      <c r="H172" s="302"/>
      <c r="I172" s="342"/>
      <c r="J172" s="334"/>
      <c r="K172" s="302"/>
      <c r="L172" s="302"/>
      <c r="M172" s="302"/>
    </row>
    <row r="173" spans="1:13" x14ac:dyDescent="0.25">
      <c r="A173" s="312"/>
      <c r="B173" s="302"/>
      <c r="C173" s="315"/>
      <c r="D173" s="302"/>
      <c r="E173" s="302"/>
      <c r="F173" s="302"/>
      <c r="G173" s="302"/>
      <c r="H173" s="302"/>
      <c r="I173" s="342"/>
      <c r="J173" s="334"/>
      <c r="K173" s="302"/>
      <c r="L173" s="302"/>
      <c r="M173" s="302"/>
    </row>
    <row r="174" spans="1:13" x14ac:dyDescent="0.25">
      <c r="A174" s="312"/>
      <c r="B174" s="302"/>
      <c r="C174" s="315"/>
      <c r="D174" s="302"/>
      <c r="E174" s="302"/>
      <c r="F174" s="302"/>
      <c r="G174" s="302"/>
      <c r="H174" s="302"/>
      <c r="I174" s="342"/>
      <c r="J174" s="334"/>
      <c r="K174" s="302"/>
      <c r="L174" s="302"/>
      <c r="M174" s="302"/>
    </row>
    <row r="175" spans="1:13" x14ac:dyDescent="0.25">
      <c r="A175" s="312"/>
      <c r="B175" s="302"/>
      <c r="C175" s="315"/>
      <c r="D175" s="302"/>
      <c r="E175" s="302"/>
      <c r="F175" s="302"/>
      <c r="G175" s="302"/>
      <c r="H175" s="302"/>
      <c r="I175" s="342"/>
      <c r="J175" s="334"/>
      <c r="K175" s="302"/>
      <c r="L175" s="302"/>
      <c r="M175" s="302"/>
    </row>
    <row r="176" spans="1:13" x14ac:dyDescent="0.25">
      <c r="A176" s="312"/>
      <c r="B176" s="302"/>
      <c r="C176" s="315"/>
      <c r="D176" s="302"/>
      <c r="E176" s="302"/>
      <c r="F176" s="302"/>
      <c r="G176" s="302"/>
      <c r="H176" s="302"/>
      <c r="I176" s="342"/>
      <c r="J176" s="334"/>
      <c r="K176" s="302"/>
      <c r="L176" s="302"/>
      <c r="M176" s="302"/>
    </row>
    <row r="177" spans="1:13" x14ac:dyDescent="0.25">
      <c r="A177" s="312"/>
      <c r="B177" s="302"/>
      <c r="C177" s="315"/>
      <c r="D177" s="302"/>
      <c r="E177" s="302"/>
      <c r="F177" s="302"/>
      <c r="G177" s="302"/>
      <c r="H177" s="302"/>
      <c r="I177" s="342"/>
      <c r="J177" s="334"/>
      <c r="K177" s="302"/>
      <c r="L177" s="302"/>
      <c r="M177" s="302"/>
    </row>
    <row r="178" spans="1:13" x14ac:dyDescent="0.25">
      <c r="A178" s="312"/>
      <c r="B178" s="302"/>
      <c r="C178" s="315"/>
      <c r="D178" s="302"/>
      <c r="E178" s="302"/>
      <c r="F178" s="302"/>
      <c r="G178" s="302"/>
      <c r="H178" s="302"/>
      <c r="I178" s="342"/>
      <c r="J178" s="334"/>
      <c r="K178" s="302"/>
      <c r="L178" s="302"/>
      <c r="M178" s="302"/>
    </row>
    <row r="179" spans="1:13" x14ac:dyDescent="0.25">
      <c r="A179" s="312"/>
      <c r="B179" s="302"/>
      <c r="C179" s="315"/>
      <c r="D179" s="302"/>
      <c r="E179" s="302"/>
      <c r="F179" s="302"/>
      <c r="G179" s="302"/>
      <c r="H179" s="302"/>
      <c r="I179" s="342"/>
      <c r="J179" s="334"/>
      <c r="K179" s="302"/>
      <c r="L179" s="302"/>
      <c r="M179" s="302"/>
    </row>
    <row r="180" spans="1:13" x14ac:dyDescent="0.25">
      <c r="A180" s="312"/>
      <c r="B180" s="302"/>
      <c r="C180" s="315"/>
      <c r="D180" s="302"/>
      <c r="E180" s="302"/>
      <c r="F180" s="302"/>
      <c r="G180" s="302"/>
      <c r="H180" s="302"/>
      <c r="I180" s="342"/>
      <c r="J180" s="334"/>
      <c r="K180" s="302"/>
      <c r="L180" s="302"/>
      <c r="M180" s="302"/>
    </row>
    <row r="181" spans="1:13" x14ac:dyDescent="0.25">
      <c r="A181" s="312"/>
      <c r="B181" s="302"/>
      <c r="C181" s="315"/>
      <c r="D181" s="302"/>
      <c r="E181" s="302"/>
      <c r="F181" s="302"/>
      <c r="G181" s="302"/>
      <c r="H181" s="302"/>
      <c r="I181" s="342"/>
      <c r="J181" s="334"/>
      <c r="K181" s="302"/>
      <c r="L181" s="302"/>
      <c r="M181" s="302"/>
    </row>
    <row r="182" spans="1:13" x14ac:dyDescent="0.25">
      <c r="A182" s="312"/>
      <c r="B182" s="302"/>
      <c r="C182" s="315"/>
      <c r="D182" s="302"/>
      <c r="E182" s="302"/>
      <c r="F182" s="302"/>
      <c r="G182" s="302"/>
      <c r="H182" s="302"/>
      <c r="I182" s="342"/>
      <c r="J182" s="334"/>
      <c r="K182" s="302"/>
      <c r="L182" s="302"/>
      <c r="M182" s="302"/>
    </row>
    <row r="183" spans="1:13" x14ac:dyDescent="0.25">
      <c r="A183" s="312"/>
      <c r="B183" s="302"/>
      <c r="C183" s="315"/>
      <c r="D183" s="302"/>
      <c r="E183" s="302"/>
      <c r="F183" s="302"/>
      <c r="G183" s="302"/>
      <c r="H183" s="302"/>
      <c r="I183" s="342"/>
      <c r="J183" s="334"/>
      <c r="K183" s="302"/>
      <c r="L183" s="302"/>
      <c r="M183" s="302"/>
    </row>
    <row r="184" spans="1:13" x14ac:dyDescent="0.25">
      <c r="A184" s="312"/>
      <c r="B184" s="302"/>
      <c r="C184" s="315"/>
      <c r="D184" s="302"/>
      <c r="E184" s="302"/>
      <c r="F184" s="302"/>
      <c r="G184" s="302"/>
      <c r="H184" s="302"/>
      <c r="I184" s="342"/>
      <c r="J184" s="334"/>
      <c r="K184" s="302"/>
      <c r="L184" s="302"/>
      <c r="M184" s="302"/>
    </row>
    <row r="185" spans="1:13" x14ac:dyDescent="0.25">
      <c r="A185" s="417"/>
      <c r="B185" s="302"/>
      <c r="C185" s="315"/>
      <c r="D185" s="302"/>
      <c r="E185" s="304"/>
      <c r="F185" s="304"/>
      <c r="G185" s="304"/>
      <c r="H185" s="304"/>
      <c r="I185" s="343"/>
      <c r="J185" s="304"/>
      <c r="K185" s="304"/>
      <c r="L185" s="304"/>
      <c r="M185" s="302"/>
    </row>
    <row r="186" spans="1:13" x14ac:dyDescent="0.25">
      <c r="A186" s="417"/>
      <c r="B186" s="302"/>
      <c r="C186" s="315"/>
      <c r="D186" s="302"/>
      <c r="E186" s="304"/>
      <c r="F186" s="304"/>
      <c r="G186" s="304"/>
      <c r="H186" s="304"/>
      <c r="I186" s="343"/>
      <c r="J186" s="304"/>
      <c r="K186" s="304"/>
      <c r="L186" s="304"/>
      <c r="M186" s="302"/>
    </row>
    <row r="187" spans="1:13" x14ac:dyDescent="0.25">
      <c r="A187" s="417"/>
      <c r="B187" s="302"/>
      <c r="C187" s="315"/>
      <c r="D187" s="302"/>
      <c r="E187" s="304"/>
      <c r="F187" s="304"/>
      <c r="G187" s="304"/>
      <c r="H187" s="304"/>
      <c r="I187" s="343"/>
      <c r="J187" s="304"/>
      <c r="K187" s="304"/>
      <c r="L187" s="304"/>
      <c r="M187" s="302"/>
    </row>
    <row r="188" spans="1:13" x14ac:dyDescent="0.25">
      <c r="A188" s="417"/>
      <c r="B188" s="302"/>
      <c r="C188" s="315"/>
      <c r="D188" s="302"/>
      <c r="E188" s="304"/>
      <c r="F188" s="304"/>
      <c r="G188" s="304"/>
      <c r="H188" s="304"/>
      <c r="I188" s="343"/>
      <c r="J188" s="304"/>
      <c r="K188" s="304"/>
      <c r="L188" s="304"/>
      <c r="M188" s="302"/>
    </row>
    <row r="189" spans="1:13" x14ac:dyDescent="0.25">
      <c r="A189" s="417"/>
      <c r="B189" s="302"/>
      <c r="C189" s="315"/>
      <c r="D189" s="302"/>
      <c r="E189" s="304"/>
      <c r="F189" s="304"/>
      <c r="G189" s="304"/>
      <c r="H189" s="304"/>
      <c r="I189" s="343"/>
      <c r="J189" s="304"/>
      <c r="K189" s="304"/>
      <c r="L189" s="304"/>
      <c r="M189" s="302"/>
    </row>
    <row r="190" spans="1:13" x14ac:dyDescent="0.25">
      <c r="A190" s="417"/>
      <c r="B190" s="302"/>
      <c r="C190" s="315"/>
      <c r="D190" s="302"/>
      <c r="E190" s="304"/>
      <c r="F190" s="304"/>
      <c r="G190" s="304"/>
      <c r="H190" s="304"/>
      <c r="I190" s="343"/>
      <c r="J190" s="304"/>
      <c r="K190" s="304"/>
      <c r="L190" s="304"/>
      <c r="M190" s="302"/>
    </row>
    <row r="191" spans="1:13" x14ac:dyDescent="0.25">
      <c r="A191" s="417"/>
      <c r="B191" s="302"/>
      <c r="C191" s="315"/>
      <c r="D191" s="302"/>
      <c r="E191" s="304"/>
      <c r="F191" s="304"/>
      <c r="G191" s="304"/>
      <c r="H191" s="304"/>
      <c r="I191" s="343"/>
      <c r="J191" s="304"/>
      <c r="K191" s="304"/>
      <c r="L191" s="304"/>
      <c r="M191" s="302"/>
    </row>
    <row r="192" spans="1:13" x14ac:dyDescent="0.25">
      <c r="A192" s="417"/>
      <c r="B192" s="302"/>
      <c r="C192" s="315"/>
      <c r="D192" s="302"/>
      <c r="E192" s="304"/>
      <c r="F192" s="304"/>
      <c r="G192" s="304"/>
      <c r="H192" s="304"/>
      <c r="I192" s="343"/>
      <c r="J192" s="304"/>
      <c r="K192" s="304"/>
      <c r="L192" s="304"/>
      <c r="M192" s="302"/>
    </row>
    <row r="193" spans="1:13" x14ac:dyDescent="0.25">
      <c r="A193" s="417"/>
      <c r="B193" s="302"/>
      <c r="C193" s="315"/>
      <c r="D193" s="302"/>
      <c r="E193" s="304"/>
      <c r="F193" s="304"/>
      <c r="G193" s="304"/>
      <c r="H193" s="304"/>
      <c r="I193" s="343"/>
      <c r="J193" s="304"/>
      <c r="K193" s="304"/>
      <c r="L193" s="304"/>
      <c r="M193" s="302"/>
    </row>
    <row r="194" spans="1:13" x14ac:dyDescent="0.25">
      <c r="A194" s="417"/>
      <c r="B194" s="302"/>
      <c r="C194" s="315"/>
      <c r="D194" s="302"/>
      <c r="E194" s="304"/>
      <c r="F194" s="304"/>
      <c r="G194" s="304"/>
      <c r="H194" s="304"/>
      <c r="I194" s="343"/>
      <c r="J194" s="304"/>
      <c r="K194" s="304"/>
      <c r="L194" s="304"/>
      <c r="M194" s="302"/>
    </row>
    <row r="195" spans="1:13" x14ac:dyDescent="0.25">
      <c r="A195" s="417"/>
      <c r="B195" s="302"/>
      <c r="C195" s="315"/>
      <c r="D195" s="302"/>
      <c r="E195" s="304"/>
      <c r="F195" s="304"/>
      <c r="G195" s="304"/>
      <c r="H195" s="304"/>
      <c r="I195" s="343"/>
      <c r="J195" s="304"/>
      <c r="K195" s="304"/>
      <c r="L195" s="304"/>
      <c r="M195" s="302"/>
    </row>
    <row r="196" spans="1:13" x14ac:dyDescent="0.25">
      <c r="A196" s="417"/>
      <c r="B196" s="302"/>
      <c r="C196" s="315"/>
      <c r="D196" s="302"/>
      <c r="E196" s="304"/>
      <c r="F196" s="304"/>
      <c r="G196" s="304"/>
      <c r="H196" s="304"/>
      <c r="I196" s="343"/>
      <c r="J196" s="304"/>
      <c r="K196" s="304"/>
      <c r="L196" s="304"/>
      <c r="M196" s="302"/>
    </row>
    <row r="197" spans="1:13" x14ac:dyDescent="0.25">
      <c r="A197" s="417"/>
      <c r="B197" s="302"/>
      <c r="C197" s="315"/>
      <c r="D197" s="302"/>
      <c r="E197" s="304"/>
      <c r="F197" s="304"/>
      <c r="G197" s="304"/>
      <c r="H197" s="304"/>
      <c r="I197" s="343"/>
      <c r="J197" s="304"/>
      <c r="K197" s="304"/>
      <c r="L197" s="304"/>
      <c r="M197" s="302"/>
    </row>
    <row r="198" spans="1:13" x14ac:dyDescent="0.25">
      <c r="A198" s="417"/>
      <c r="B198" s="302"/>
      <c r="C198" s="315"/>
      <c r="D198" s="302"/>
      <c r="E198" s="304"/>
      <c r="F198" s="304"/>
      <c r="G198" s="304"/>
      <c r="H198" s="304"/>
      <c r="I198" s="343"/>
      <c r="J198" s="304"/>
      <c r="K198" s="304"/>
      <c r="L198" s="304"/>
      <c r="M198" s="302"/>
    </row>
    <row r="199" spans="1:13" x14ac:dyDescent="0.25">
      <c r="A199" s="417"/>
      <c r="B199" s="302"/>
      <c r="C199" s="315"/>
      <c r="D199" s="302"/>
      <c r="E199" s="304"/>
      <c r="F199" s="304"/>
      <c r="G199" s="304"/>
      <c r="H199" s="304"/>
      <c r="I199" s="343"/>
      <c r="J199" s="304"/>
      <c r="K199" s="304"/>
      <c r="L199" s="304"/>
      <c r="M199" s="302"/>
    </row>
    <row r="200" spans="1:13" x14ac:dyDescent="0.25">
      <c r="A200" s="417"/>
      <c r="B200" s="302"/>
      <c r="C200" s="315"/>
      <c r="D200" s="302"/>
      <c r="E200" s="304"/>
      <c r="F200" s="304"/>
      <c r="G200" s="304"/>
      <c r="H200" s="304"/>
      <c r="I200" s="343"/>
      <c r="J200" s="304"/>
      <c r="K200" s="304"/>
      <c r="L200" s="304"/>
      <c r="M200" s="302"/>
    </row>
    <row r="201" spans="1:13" x14ac:dyDescent="0.25">
      <c r="A201" s="417"/>
      <c r="B201" s="302"/>
      <c r="C201" s="315"/>
      <c r="D201" s="302"/>
      <c r="E201" s="304"/>
      <c r="F201" s="304"/>
      <c r="G201" s="304"/>
      <c r="H201" s="304"/>
      <c r="I201" s="343"/>
      <c r="J201" s="304"/>
      <c r="K201" s="304"/>
      <c r="L201" s="304"/>
      <c r="M201" s="302"/>
    </row>
    <row r="202" spans="1:13" x14ac:dyDescent="0.25">
      <c r="A202" s="417"/>
      <c r="B202" s="302"/>
      <c r="C202" s="315"/>
      <c r="D202" s="302"/>
      <c r="E202" s="304"/>
      <c r="F202" s="304"/>
      <c r="G202" s="304"/>
      <c r="H202" s="304"/>
      <c r="I202" s="343"/>
      <c r="J202" s="304"/>
      <c r="K202" s="304"/>
      <c r="L202" s="304"/>
      <c r="M202" s="302"/>
    </row>
    <row r="203" spans="1:13" x14ac:dyDescent="0.25">
      <c r="A203" s="417"/>
      <c r="B203" s="302"/>
      <c r="C203" s="315"/>
      <c r="D203" s="302"/>
      <c r="E203" s="304"/>
      <c r="F203" s="304"/>
      <c r="G203" s="304"/>
      <c r="H203" s="304"/>
      <c r="I203" s="343"/>
      <c r="J203" s="304"/>
      <c r="K203" s="304"/>
      <c r="L203" s="304"/>
      <c r="M203" s="302"/>
    </row>
    <row r="204" spans="1:13" x14ac:dyDescent="0.25">
      <c r="A204" s="417"/>
      <c r="B204" s="302"/>
      <c r="C204" s="315"/>
      <c r="D204" s="302"/>
      <c r="E204" s="304"/>
      <c r="F204" s="304"/>
      <c r="G204" s="304"/>
      <c r="H204" s="304"/>
      <c r="I204" s="343"/>
      <c r="J204" s="304"/>
      <c r="K204" s="304"/>
      <c r="L204" s="304"/>
      <c r="M204" s="302"/>
    </row>
    <row r="205" spans="1:13" x14ac:dyDescent="0.25">
      <c r="A205" s="417"/>
      <c r="B205" s="302"/>
      <c r="C205" s="315"/>
      <c r="D205" s="302"/>
      <c r="E205" s="304"/>
      <c r="F205" s="304"/>
      <c r="G205" s="304"/>
      <c r="H205" s="304"/>
      <c r="I205" s="343"/>
      <c r="J205" s="304"/>
      <c r="K205" s="304"/>
      <c r="L205" s="304"/>
      <c r="M205" s="302"/>
    </row>
    <row r="206" spans="1:13" x14ac:dyDescent="0.25">
      <c r="A206" s="417"/>
      <c r="B206" s="302"/>
      <c r="C206" s="315"/>
      <c r="D206" s="302"/>
      <c r="E206" s="304"/>
      <c r="F206" s="304"/>
      <c r="G206" s="304"/>
      <c r="H206" s="304"/>
      <c r="I206" s="343"/>
      <c r="J206" s="304"/>
      <c r="K206" s="304"/>
      <c r="L206" s="304"/>
      <c r="M206" s="302"/>
    </row>
    <row r="207" spans="1:13" x14ac:dyDescent="0.25">
      <c r="A207" s="417"/>
      <c r="B207" s="302"/>
      <c r="C207" s="315"/>
      <c r="D207" s="302"/>
      <c r="E207" s="304"/>
      <c r="F207" s="304"/>
      <c r="G207" s="304"/>
      <c r="H207" s="304"/>
      <c r="I207" s="343"/>
      <c r="J207" s="304"/>
      <c r="K207" s="304"/>
      <c r="L207" s="304"/>
      <c r="M207" s="302"/>
    </row>
    <row r="208" spans="1:13" x14ac:dyDescent="0.25">
      <c r="A208" s="417"/>
      <c r="B208" s="302"/>
      <c r="C208" s="315"/>
      <c r="D208" s="302"/>
      <c r="E208" s="304"/>
      <c r="F208" s="304"/>
      <c r="G208" s="304"/>
      <c r="H208" s="304"/>
      <c r="I208" s="343"/>
      <c r="J208" s="304"/>
      <c r="K208" s="304"/>
      <c r="L208" s="304"/>
      <c r="M208" s="302"/>
    </row>
    <row r="209" spans="1:13" x14ac:dyDescent="0.25">
      <c r="A209" s="417"/>
      <c r="B209" s="302"/>
      <c r="C209" s="315"/>
      <c r="D209" s="302"/>
      <c r="E209" s="304"/>
      <c r="F209" s="304"/>
      <c r="G209" s="304"/>
      <c r="H209" s="304"/>
      <c r="I209" s="343"/>
      <c r="J209" s="304"/>
      <c r="K209" s="304"/>
      <c r="L209" s="304"/>
      <c r="M209" s="302"/>
    </row>
    <row r="210" spans="1:13" x14ac:dyDescent="0.25">
      <c r="A210" s="417"/>
      <c r="B210" s="302"/>
      <c r="C210" s="315"/>
      <c r="D210" s="302"/>
      <c r="E210" s="304"/>
      <c r="F210" s="304"/>
      <c r="G210" s="304"/>
      <c r="H210" s="304"/>
      <c r="I210" s="343"/>
      <c r="J210" s="304"/>
      <c r="K210" s="304"/>
      <c r="L210" s="304"/>
      <c r="M210" s="302"/>
    </row>
    <row r="211" spans="1:13" x14ac:dyDescent="0.25">
      <c r="A211" s="417"/>
      <c r="B211" s="302"/>
      <c r="C211" s="315"/>
      <c r="D211" s="302"/>
      <c r="E211" s="304"/>
      <c r="F211" s="304"/>
      <c r="G211" s="304"/>
      <c r="H211" s="304"/>
      <c r="I211" s="343"/>
      <c r="J211" s="304"/>
      <c r="K211" s="304"/>
      <c r="L211" s="304"/>
      <c r="M211" s="302"/>
    </row>
    <row r="212" spans="1:13" x14ac:dyDescent="0.25">
      <c r="A212" s="417"/>
      <c r="B212" s="302"/>
      <c r="C212" s="315"/>
      <c r="D212" s="302"/>
      <c r="E212" s="304"/>
      <c r="F212" s="304"/>
      <c r="G212" s="304"/>
      <c r="H212" s="304"/>
      <c r="I212" s="343"/>
      <c r="J212" s="304"/>
      <c r="K212" s="304"/>
      <c r="L212" s="304"/>
      <c r="M212" s="302"/>
    </row>
    <row r="213" spans="1:13" x14ac:dyDescent="0.25">
      <c r="A213" s="417"/>
      <c r="B213" s="302"/>
      <c r="C213" s="315"/>
      <c r="D213" s="302"/>
      <c r="E213" s="304"/>
      <c r="F213" s="304"/>
      <c r="G213" s="304"/>
      <c r="H213" s="304"/>
      <c r="I213" s="343"/>
      <c r="J213" s="304"/>
      <c r="K213" s="304"/>
      <c r="L213" s="304"/>
      <c r="M213" s="302"/>
    </row>
    <row r="214" spans="1:13" x14ac:dyDescent="0.25">
      <c r="A214" s="417"/>
      <c r="B214" s="302"/>
      <c r="C214" s="315"/>
      <c r="D214" s="302"/>
      <c r="E214" s="304"/>
      <c r="F214" s="304"/>
      <c r="G214" s="304"/>
      <c r="H214" s="304"/>
      <c r="I214" s="343"/>
      <c r="J214" s="304"/>
      <c r="K214" s="304"/>
      <c r="L214" s="304"/>
      <c r="M214" s="302"/>
    </row>
    <row r="215" spans="1:13" x14ac:dyDescent="0.25">
      <c r="A215" s="417"/>
      <c r="B215" s="302"/>
      <c r="C215" s="315"/>
      <c r="D215" s="302"/>
      <c r="E215" s="304"/>
      <c r="F215" s="304"/>
      <c r="G215" s="304"/>
      <c r="H215" s="304"/>
      <c r="I215" s="343"/>
      <c r="J215" s="304"/>
      <c r="K215" s="304"/>
      <c r="L215" s="304"/>
      <c r="M215" s="302"/>
    </row>
    <row r="216" spans="1:13" x14ac:dyDescent="0.25">
      <c r="A216" s="417"/>
      <c r="B216" s="302"/>
      <c r="C216" s="315"/>
      <c r="D216" s="302"/>
      <c r="E216" s="304"/>
      <c r="F216" s="304"/>
      <c r="G216" s="304"/>
      <c r="H216" s="304"/>
      <c r="I216" s="343"/>
      <c r="J216" s="304"/>
      <c r="K216" s="304"/>
      <c r="L216" s="304"/>
      <c r="M216" s="302"/>
    </row>
    <row r="217" spans="1:13" x14ac:dyDescent="0.25">
      <c r="A217" s="417"/>
      <c r="B217" s="302"/>
      <c r="C217" s="315"/>
      <c r="D217" s="302"/>
      <c r="E217" s="304"/>
      <c r="F217" s="304"/>
      <c r="G217" s="304"/>
      <c r="H217" s="304"/>
      <c r="I217" s="343"/>
      <c r="J217" s="304"/>
      <c r="K217" s="304"/>
      <c r="L217" s="304"/>
      <c r="M217" s="302"/>
    </row>
    <row r="218" spans="1:13" x14ac:dyDescent="0.25">
      <c r="A218" s="417"/>
      <c r="B218" s="302"/>
      <c r="C218" s="315"/>
      <c r="D218" s="302"/>
      <c r="E218" s="304"/>
      <c r="F218" s="304"/>
      <c r="G218" s="304"/>
      <c r="H218" s="304"/>
      <c r="I218" s="343"/>
      <c r="J218" s="304"/>
      <c r="K218" s="304"/>
      <c r="L218" s="304"/>
      <c r="M218" s="302"/>
    </row>
    <row r="219" spans="1:13" x14ac:dyDescent="0.25">
      <c r="A219" s="417"/>
      <c r="B219" s="302"/>
      <c r="C219" s="315"/>
      <c r="D219" s="302"/>
      <c r="E219" s="304"/>
      <c r="F219" s="304"/>
      <c r="G219" s="304"/>
      <c r="H219" s="304"/>
      <c r="I219" s="343"/>
      <c r="J219" s="304"/>
      <c r="K219" s="304"/>
      <c r="L219" s="304"/>
      <c r="M219" s="302"/>
    </row>
    <row r="220" spans="1:13" x14ac:dyDescent="0.25">
      <c r="A220" s="417"/>
      <c r="B220" s="302"/>
      <c r="C220" s="315"/>
      <c r="D220" s="302"/>
      <c r="E220" s="304"/>
      <c r="F220" s="304"/>
      <c r="G220" s="304"/>
      <c r="H220" s="304"/>
      <c r="I220" s="343"/>
      <c r="J220" s="304"/>
      <c r="K220" s="304"/>
      <c r="L220" s="304"/>
      <c r="M220" s="302"/>
    </row>
    <row r="221" spans="1:13" x14ac:dyDescent="0.25">
      <c r="A221" s="417"/>
      <c r="B221" s="302"/>
      <c r="C221" s="315"/>
      <c r="D221" s="302"/>
      <c r="E221" s="304"/>
      <c r="F221" s="304"/>
      <c r="G221" s="304"/>
      <c r="H221" s="304"/>
      <c r="I221" s="343"/>
      <c r="J221" s="304"/>
      <c r="K221" s="304"/>
      <c r="L221" s="304"/>
      <c r="M221" s="302"/>
    </row>
    <row r="222" spans="1:13" x14ac:dyDescent="0.25">
      <c r="A222" s="417"/>
      <c r="B222" s="302"/>
      <c r="C222" s="315"/>
      <c r="D222" s="302"/>
      <c r="E222" s="304"/>
      <c r="F222" s="304"/>
      <c r="G222" s="304"/>
      <c r="H222" s="304"/>
      <c r="I222" s="343"/>
      <c r="J222" s="304"/>
      <c r="K222" s="304"/>
      <c r="L222" s="304"/>
      <c r="M222" s="302"/>
    </row>
    <row r="223" spans="1:13" x14ac:dyDescent="0.25">
      <c r="A223" s="417"/>
      <c r="B223" s="302"/>
      <c r="C223" s="315"/>
      <c r="D223" s="302"/>
      <c r="E223" s="304"/>
      <c r="F223" s="304"/>
      <c r="G223" s="304"/>
      <c r="H223" s="304"/>
      <c r="I223" s="343"/>
      <c r="J223" s="304"/>
      <c r="K223" s="304"/>
      <c r="L223" s="304"/>
      <c r="M223" s="302"/>
    </row>
    <row r="224" spans="1:13" x14ac:dyDescent="0.25">
      <c r="A224" s="417"/>
      <c r="B224" s="302"/>
      <c r="C224" s="315"/>
      <c r="D224" s="302"/>
      <c r="E224" s="304"/>
      <c r="F224" s="304"/>
      <c r="G224" s="304"/>
      <c r="H224" s="304"/>
      <c r="I224" s="343"/>
      <c r="J224" s="304"/>
      <c r="K224" s="304"/>
      <c r="L224" s="304"/>
      <c r="M224" s="302"/>
    </row>
    <row r="225" spans="1:13" x14ac:dyDescent="0.25">
      <c r="A225" s="417"/>
      <c r="B225" s="302"/>
      <c r="C225" s="315"/>
      <c r="D225" s="302"/>
      <c r="E225" s="304"/>
      <c r="F225" s="304"/>
      <c r="G225" s="304"/>
      <c r="H225" s="304"/>
      <c r="I225" s="343"/>
      <c r="J225" s="304"/>
      <c r="K225" s="304"/>
      <c r="L225" s="304"/>
      <c r="M225" s="302"/>
    </row>
    <row r="226" spans="1:13" x14ac:dyDescent="0.25">
      <c r="A226" s="417"/>
      <c r="B226" s="302"/>
      <c r="C226" s="315"/>
      <c r="D226" s="302"/>
      <c r="E226" s="304"/>
      <c r="F226" s="304"/>
      <c r="G226" s="304"/>
      <c r="H226" s="304"/>
      <c r="I226" s="343"/>
      <c r="J226" s="304"/>
      <c r="K226" s="304"/>
      <c r="L226" s="304"/>
      <c r="M226" s="302"/>
    </row>
    <row r="227" spans="1:13" x14ac:dyDescent="0.25">
      <c r="A227" s="417"/>
      <c r="B227" s="302"/>
      <c r="C227" s="315"/>
      <c r="D227" s="302"/>
      <c r="E227" s="304"/>
      <c r="F227" s="304"/>
      <c r="G227" s="304"/>
      <c r="H227" s="304"/>
      <c r="I227" s="343"/>
      <c r="J227" s="304"/>
      <c r="K227" s="304"/>
      <c r="L227" s="304"/>
      <c r="M227" s="302"/>
    </row>
    <row r="228" spans="1:13" x14ac:dyDescent="0.25">
      <c r="A228" s="417"/>
      <c r="B228" s="302"/>
      <c r="C228" s="315"/>
      <c r="D228" s="302"/>
      <c r="E228" s="304"/>
      <c r="F228" s="304"/>
      <c r="G228" s="304"/>
      <c r="H228" s="304"/>
      <c r="I228" s="343"/>
      <c r="J228" s="304"/>
      <c r="K228" s="304"/>
      <c r="L228" s="304"/>
      <c r="M228" s="302"/>
    </row>
    <row r="229" spans="1:13" x14ac:dyDescent="0.25">
      <c r="A229" s="417"/>
      <c r="B229" s="302"/>
      <c r="C229" s="315"/>
      <c r="D229" s="302"/>
      <c r="E229" s="304"/>
      <c r="F229" s="304"/>
      <c r="G229" s="304"/>
      <c r="H229" s="304"/>
      <c r="I229" s="343"/>
      <c r="J229" s="304"/>
      <c r="K229" s="304"/>
      <c r="L229" s="304"/>
      <c r="M229" s="302"/>
    </row>
    <row r="230" spans="1:13" x14ac:dyDescent="0.25">
      <c r="A230" s="417"/>
      <c r="B230" s="302"/>
      <c r="C230" s="315"/>
      <c r="D230" s="302"/>
      <c r="E230" s="304"/>
      <c r="F230" s="304"/>
      <c r="G230" s="304"/>
      <c r="H230" s="304"/>
      <c r="I230" s="343"/>
      <c r="J230" s="304"/>
      <c r="K230" s="304"/>
      <c r="L230" s="304"/>
      <c r="M230" s="302"/>
    </row>
    <row r="231" spans="1:13" x14ac:dyDescent="0.25">
      <c r="A231" s="417"/>
      <c r="B231" s="302"/>
      <c r="C231" s="315"/>
      <c r="D231" s="302"/>
      <c r="E231" s="304"/>
      <c r="F231" s="304"/>
      <c r="G231" s="304"/>
      <c r="H231" s="304"/>
      <c r="I231" s="343"/>
      <c r="J231" s="304"/>
      <c r="K231" s="304"/>
      <c r="L231" s="304"/>
      <c r="M231" s="302"/>
    </row>
    <row r="232" spans="1:13" x14ac:dyDescent="0.25">
      <c r="A232" s="417"/>
      <c r="B232" s="302"/>
      <c r="C232" s="315"/>
      <c r="D232" s="302"/>
      <c r="E232" s="304"/>
      <c r="F232" s="304"/>
      <c r="G232" s="304"/>
      <c r="H232" s="304"/>
      <c r="I232" s="343"/>
      <c r="J232" s="304"/>
      <c r="K232" s="304"/>
      <c r="L232" s="304"/>
      <c r="M232" s="302"/>
    </row>
    <row r="233" spans="1:13" x14ac:dyDescent="0.25">
      <c r="A233" s="417"/>
      <c r="B233" s="302"/>
      <c r="C233" s="315"/>
      <c r="D233" s="302"/>
      <c r="E233" s="304"/>
      <c r="F233" s="304"/>
      <c r="G233" s="304"/>
      <c r="H233" s="304"/>
      <c r="I233" s="343"/>
      <c r="J233" s="304"/>
      <c r="K233" s="304"/>
      <c r="L233" s="304"/>
      <c r="M233" s="302"/>
    </row>
    <row r="234" spans="1:13" x14ac:dyDescent="0.25">
      <c r="A234" s="417"/>
      <c r="B234" s="302"/>
      <c r="C234" s="315"/>
      <c r="D234" s="302"/>
      <c r="E234" s="304"/>
      <c r="F234" s="304"/>
      <c r="G234" s="304"/>
      <c r="H234" s="304"/>
      <c r="I234" s="343"/>
      <c r="J234" s="304"/>
      <c r="K234" s="304"/>
      <c r="L234" s="304"/>
      <c r="M234" s="302"/>
    </row>
    <row r="235" spans="1:13" x14ac:dyDescent="0.25">
      <c r="A235" s="417"/>
      <c r="B235" s="302"/>
      <c r="C235" s="315"/>
      <c r="D235" s="302"/>
      <c r="E235" s="304"/>
      <c r="F235" s="304"/>
      <c r="G235" s="304"/>
      <c r="H235" s="304"/>
      <c r="I235" s="343"/>
      <c r="J235" s="304"/>
      <c r="K235" s="304"/>
      <c r="L235" s="304"/>
      <c r="M235" s="302"/>
    </row>
    <row r="236" spans="1:13" x14ac:dyDescent="0.25">
      <c r="A236" s="417"/>
      <c r="B236" s="302"/>
      <c r="C236" s="315"/>
      <c r="D236" s="302"/>
      <c r="E236" s="304"/>
      <c r="F236" s="304"/>
      <c r="G236" s="304"/>
      <c r="H236" s="304"/>
      <c r="I236" s="343"/>
      <c r="J236" s="304"/>
      <c r="K236" s="304"/>
      <c r="L236" s="304"/>
      <c r="M236" s="302"/>
    </row>
    <row r="237" spans="1:13" x14ac:dyDescent="0.25">
      <c r="A237" s="417"/>
      <c r="B237" s="302"/>
      <c r="C237" s="315"/>
      <c r="D237" s="302"/>
      <c r="E237" s="304"/>
      <c r="F237" s="304"/>
      <c r="G237" s="304"/>
      <c r="H237" s="304"/>
      <c r="I237" s="343"/>
      <c r="J237" s="304"/>
      <c r="K237" s="304"/>
      <c r="L237" s="304"/>
      <c r="M237" s="302"/>
    </row>
    <row r="238" spans="1:13" x14ac:dyDescent="0.25">
      <c r="A238" s="417"/>
      <c r="B238" s="302"/>
      <c r="C238" s="315"/>
      <c r="D238" s="302"/>
      <c r="E238" s="304"/>
      <c r="F238" s="304"/>
      <c r="G238" s="304"/>
      <c r="H238" s="304"/>
      <c r="I238" s="343"/>
      <c r="J238" s="304"/>
      <c r="K238" s="304"/>
      <c r="L238" s="304"/>
      <c r="M238" s="302"/>
    </row>
    <row r="239" spans="1:13" x14ac:dyDescent="0.25">
      <c r="A239" s="417"/>
      <c r="B239" s="302"/>
      <c r="C239" s="315"/>
      <c r="D239" s="302"/>
      <c r="E239" s="304"/>
      <c r="F239" s="304"/>
      <c r="G239" s="304"/>
      <c r="H239" s="304"/>
      <c r="I239" s="343"/>
      <c r="J239" s="304"/>
      <c r="K239" s="304"/>
      <c r="L239" s="304"/>
      <c r="M239" s="302"/>
    </row>
    <row r="240" spans="1:13" x14ac:dyDescent="0.25">
      <c r="A240" s="417"/>
      <c r="B240" s="302"/>
      <c r="C240" s="315"/>
      <c r="D240" s="302"/>
      <c r="E240" s="304"/>
      <c r="F240" s="304"/>
      <c r="G240" s="304"/>
      <c r="H240" s="304"/>
      <c r="I240" s="343"/>
      <c r="J240" s="304"/>
      <c r="K240" s="304"/>
      <c r="L240" s="304"/>
      <c r="M240" s="302"/>
    </row>
    <row r="241" spans="1:13" x14ac:dyDescent="0.25">
      <c r="A241" s="417"/>
      <c r="B241" s="302"/>
      <c r="C241" s="315"/>
      <c r="D241" s="302"/>
      <c r="E241" s="304"/>
      <c r="F241" s="304"/>
      <c r="G241" s="304"/>
      <c r="H241" s="304"/>
      <c r="I241" s="343"/>
      <c r="J241" s="304"/>
      <c r="K241" s="304"/>
      <c r="L241" s="304"/>
      <c r="M241" s="302"/>
    </row>
    <row r="242" spans="1:13" x14ac:dyDescent="0.25">
      <c r="A242" s="417"/>
      <c r="B242" s="302"/>
      <c r="C242" s="315"/>
      <c r="D242" s="302"/>
      <c r="E242" s="304"/>
      <c r="F242" s="304"/>
      <c r="G242" s="304"/>
      <c r="H242" s="304"/>
      <c r="I242" s="343"/>
      <c r="J242" s="304"/>
      <c r="K242" s="304"/>
      <c r="L242" s="304"/>
      <c r="M242" s="302"/>
    </row>
    <row r="243" spans="1:13" x14ac:dyDescent="0.25">
      <c r="A243" s="417"/>
      <c r="B243" s="302"/>
      <c r="C243" s="315"/>
      <c r="D243" s="302"/>
      <c r="E243" s="304"/>
      <c r="F243" s="304"/>
      <c r="G243" s="304"/>
      <c r="H243" s="304"/>
      <c r="I243" s="343"/>
      <c r="J243" s="304"/>
      <c r="K243" s="304"/>
      <c r="L243" s="304"/>
      <c r="M243" s="302"/>
    </row>
    <row r="244" spans="1:13" x14ac:dyDescent="0.25">
      <c r="A244" s="417"/>
      <c r="B244" s="302"/>
      <c r="C244" s="315"/>
      <c r="D244" s="302"/>
      <c r="E244" s="304"/>
      <c r="F244" s="304"/>
      <c r="G244" s="304"/>
      <c r="H244" s="304"/>
      <c r="I244" s="343"/>
      <c r="J244" s="304"/>
      <c r="K244" s="304"/>
      <c r="L244" s="304"/>
      <c r="M244" s="302"/>
    </row>
    <row r="245" spans="1:13" x14ac:dyDescent="0.25">
      <c r="A245" s="417"/>
      <c r="B245" s="302"/>
      <c r="C245" s="315"/>
      <c r="D245" s="302"/>
      <c r="E245" s="304"/>
      <c r="F245" s="304"/>
      <c r="G245" s="304"/>
      <c r="H245" s="304"/>
      <c r="I245" s="343"/>
      <c r="J245" s="304"/>
      <c r="K245" s="304"/>
      <c r="L245" s="304"/>
      <c r="M245" s="302"/>
    </row>
    <row r="246" spans="1:13" x14ac:dyDescent="0.25">
      <c r="A246" s="417"/>
      <c r="B246" s="302"/>
      <c r="C246" s="315"/>
      <c r="D246" s="302"/>
      <c r="E246" s="304"/>
      <c r="F246" s="304"/>
      <c r="G246" s="304"/>
      <c r="H246" s="304"/>
      <c r="I246" s="343"/>
      <c r="J246" s="304"/>
      <c r="K246" s="304"/>
      <c r="L246" s="304"/>
      <c r="M246" s="302"/>
    </row>
    <row r="247" spans="1:13" x14ac:dyDescent="0.25">
      <c r="A247" s="417"/>
      <c r="B247" s="302"/>
      <c r="C247" s="315"/>
      <c r="D247" s="302"/>
      <c r="E247" s="304"/>
      <c r="F247" s="304"/>
      <c r="G247" s="304"/>
      <c r="H247" s="304"/>
      <c r="I247" s="343"/>
      <c r="J247" s="304"/>
      <c r="K247" s="304"/>
      <c r="L247" s="304"/>
      <c r="M247" s="302"/>
    </row>
    <row r="248" spans="1:13" x14ac:dyDescent="0.25">
      <c r="A248" s="417"/>
      <c r="B248" s="302"/>
      <c r="C248" s="315"/>
      <c r="D248" s="302"/>
      <c r="E248" s="304"/>
      <c r="F248" s="304"/>
      <c r="G248" s="304"/>
      <c r="H248" s="304"/>
      <c r="I248" s="343"/>
      <c r="J248" s="304"/>
      <c r="K248" s="304"/>
      <c r="L248" s="304"/>
      <c r="M248" s="302"/>
    </row>
    <row r="249" spans="1:13" x14ac:dyDescent="0.25">
      <c r="A249" s="417"/>
      <c r="B249" s="302"/>
      <c r="C249" s="315"/>
      <c r="D249" s="302"/>
      <c r="E249" s="304"/>
      <c r="F249" s="304"/>
      <c r="G249" s="304"/>
      <c r="H249" s="304"/>
      <c r="I249" s="343"/>
      <c r="J249" s="304"/>
      <c r="K249" s="304"/>
      <c r="L249" s="304"/>
      <c r="M249" s="302"/>
    </row>
    <row r="250" spans="1:13" x14ac:dyDescent="0.25">
      <c r="A250" s="417"/>
      <c r="B250" s="302"/>
      <c r="C250" s="315"/>
      <c r="D250" s="302"/>
      <c r="E250" s="304"/>
      <c r="F250" s="304"/>
      <c r="G250" s="304"/>
      <c r="H250" s="304"/>
      <c r="I250" s="343"/>
      <c r="J250" s="304"/>
      <c r="K250" s="304"/>
      <c r="L250" s="304"/>
      <c r="M250" s="302"/>
    </row>
    <row r="251" spans="1:13" x14ac:dyDescent="0.25">
      <c r="A251" s="417"/>
      <c r="B251" s="302"/>
      <c r="C251" s="315"/>
      <c r="D251" s="302"/>
      <c r="E251" s="304"/>
      <c r="F251" s="304"/>
      <c r="G251" s="304"/>
      <c r="H251" s="304"/>
      <c r="I251" s="343"/>
      <c r="J251" s="304"/>
      <c r="K251" s="304"/>
      <c r="L251" s="304"/>
      <c r="M251" s="302"/>
    </row>
    <row r="252" spans="1:13" x14ac:dyDescent="0.25">
      <c r="A252" s="417"/>
      <c r="B252" s="302"/>
      <c r="C252" s="315"/>
      <c r="D252" s="302"/>
      <c r="E252" s="304"/>
      <c r="F252" s="304"/>
      <c r="G252" s="304"/>
      <c r="H252" s="304"/>
      <c r="I252" s="343"/>
      <c r="J252" s="304"/>
      <c r="K252" s="304"/>
      <c r="L252" s="304"/>
      <c r="M252" s="302"/>
    </row>
    <row r="253" spans="1:13" x14ac:dyDescent="0.25">
      <c r="A253" s="417"/>
      <c r="B253" s="302"/>
      <c r="C253" s="315"/>
      <c r="D253" s="302"/>
      <c r="E253" s="304"/>
      <c r="F253" s="304"/>
      <c r="G253" s="304"/>
      <c r="H253" s="304"/>
      <c r="I253" s="343"/>
      <c r="J253" s="304"/>
      <c r="K253" s="304"/>
      <c r="L253" s="304"/>
      <c r="M253" s="302"/>
    </row>
    <row r="254" spans="1:13" x14ac:dyDescent="0.25">
      <c r="A254" s="417"/>
      <c r="B254" s="302"/>
      <c r="C254" s="315"/>
      <c r="D254" s="302"/>
      <c r="E254" s="304"/>
      <c r="F254" s="304"/>
      <c r="G254" s="304"/>
      <c r="H254" s="304"/>
      <c r="I254" s="343"/>
      <c r="J254" s="304"/>
      <c r="K254" s="304"/>
      <c r="L254" s="304"/>
      <c r="M254" s="302"/>
    </row>
    <row r="255" spans="1:13" x14ac:dyDescent="0.25">
      <c r="A255" s="417"/>
      <c r="B255" s="302"/>
      <c r="C255" s="315"/>
      <c r="D255" s="302"/>
      <c r="E255" s="304"/>
      <c r="F255" s="304"/>
      <c r="G255" s="304"/>
      <c r="H255" s="304"/>
      <c r="I255" s="343"/>
      <c r="J255" s="304"/>
      <c r="K255" s="304"/>
      <c r="L255" s="304"/>
      <c r="M255" s="302"/>
    </row>
    <row r="256" spans="1:13" x14ac:dyDescent="0.25">
      <c r="A256" s="417"/>
      <c r="B256" s="302"/>
      <c r="C256" s="315"/>
      <c r="D256" s="302"/>
      <c r="E256" s="304"/>
      <c r="F256" s="304"/>
      <c r="G256" s="304"/>
      <c r="H256" s="304"/>
      <c r="I256" s="343"/>
      <c r="J256" s="304"/>
      <c r="K256" s="304"/>
      <c r="L256" s="304"/>
      <c r="M256" s="302"/>
    </row>
    <row r="257" spans="1:13" x14ac:dyDescent="0.25">
      <c r="A257" s="417"/>
      <c r="B257" s="302"/>
      <c r="C257" s="315"/>
      <c r="D257" s="302"/>
      <c r="E257" s="304"/>
      <c r="F257" s="304"/>
      <c r="G257" s="304"/>
      <c r="H257" s="304"/>
      <c r="I257" s="343"/>
      <c r="J257" s="304"/>
      <c r="K257" s="304"/>
      <c r="L257" s="304"/>
      <c r="M257" s="302"/>
    </row>
    <row r="258" spans="1:13" x14ac:dyDescent="0.25">
      <c r="A258" s="417"/>
      <c r="B258" s="302"/>
      <c r="C258" s="315"/>
      <c r="D258" s="302"/>
      <c r="E258" s="304"/>
      <c r="F258" s="304"/>
      <c r="G258" s="304"/>
      <c r="H258" s="304"/>
      <c r="I258" s="343"/>
      <c r="J258" s="304"/>
      <c r="K258" s="304"/>
      <c r="L258" s="304"/>
      <c r="M258" s="302"/>
    </row>
    <row r="259" spans="1:13" x14ac:dyDescent="0.25">
      <c r="A259" s="417"/>
      <c r="B259" s="302"/>
      <c r="C259" s="315"/>
      <c r="D259" s="302"/>
      <c r="E259" s="304"/>
      <c r="F259" s="304"/>
      <c r="G259" s="304"/>
      <c r="H259" s="304"/>
      <c r="I259" s="343"/>
      <c r="J259" s="304"/>
      <c r="K259" s="304"/>
      <c r="L259" s="304"/>
      <c r="M259" s="302"/>
    </row>
    <row r="260" spans="1:13" x14ac:dyDescent="0.25">
      <c r="A260" s="417"/>
      <c r="B260" s="302"/>
      <c r="C260" s="315"/>
      <c r="D260" s="302"/>
      <c r="E260" s="304"/>
      <c r="F260" s="304"/>
      <c r="G260" s="304"/>
      <c r="H260" s="304"/>
      <c r="I260" s="343"/>
      <c r="J260" s="304"/>
      <c r="K260" s="304"/>
      <c r="L260" s="304"/>
      <c r="M260" s="302"/>
    </row>
    <row r="261" spans="1:13" x14ac:dyDescent="0.25">
      <c r="A261" s="417"/>
      <c r="B261" s="302"/>
      <c r="C261" s="315"/>
      <c r="D261" s="302"/>
      <c r="E261" s="304"/>
      <c r="F261" s="304"/>
      <c r="G261" s="304"/>
      <c r="H261" s="304"/>
      <c r="I261" s="343"/>
      <c r="J261" s="304"/>
      <c r="K261" s="304"/>
      <c r="L261" s="304"/>
      <c r="M261" s="302"/>
    </row>
    <row r="262" spans="1:13" x14ac:dyDescent="0.25">
      <c r="A262" s="417"/>
      <c r="B262" s="302"/>
      <c r="C262" s="315"/>
      <c r="D262" s="302"/>
      <c r="E262" s="304"/>
      <c r="F262" s="304"/>
      <c r="G262" s="304"/>
      <c r="H262" s="304"/>
      <c r="I262" s="343"/>
      <c r="J262" s="304"/>
      <c r="K262" s="304"/>
      <c r="L262" s="304"/>
      <c r="M262" s="302"/>
    </row>
    <row r="263" spans="1:13" x14ac:dyDescent="0.25">
      <c r="A263" s="417"/>
      <c r="B263" s="302"/>
      <c r="C263" s="315"/>
      <c r="D263" s="302"/>
      <c r="E263" s="304"/>
      <c r="F263" s="304"/>
      <c r="G263" s="304"/>
      <c r="H263" s="304"/>
      <c r="I263" s="343"/>
      <c r="J263" s="304"/>
      <c r="K263" s="304"/>
      <c r="L263" s="304"/>
      <c r="M263" s="302"/>
    </row>
    <row r="264" spans="1:13" x14ac:dyDescent="0.25">
      <c r="A264" s="417"/>
      <c r="B264" s="302"/>
      <c r="C264" s="315"/>
      <c r="D264" s="302"/>
      <c r="E264" s="304"/>
      <c r="F264" s="304"/>
      <c r="G264" s="304"/>
      <c r="H264" s="304"/>
      <c r="I264" s="343"/>
      <c r="J264" s="304"/>
      <c r="K264" s="304"/>
      <c r="L264" s="304"/>
      <c r="M264" s="302"/>
    </row>
    <row r="265" spans="1:13" x14ac:dyDescent="0.25">
      <c r="A265" s="417"/>
      <c r="B265" s="302"/>
      <c r="C265" s="315"/>
      <c r="D265" s="302"/>
      <c r="E265" s="304"/>
      <c r="F265" s="304"/>
      <c r="G265" s="304"/>
      <c r="H265" s="304"/>
      <c r="I265" s="343"/>
      <c r="J265" s="304"/>
      <c r="K265" s="304"/>
      <c r="L265" s="304"/>
      <c r="M265" s="302"/>
    </row>
    <row r="266" spans="1:13" x14ac:dyDescent="0.25">
      <c r="A266" s="417"/>
      <c r="B266" s="302"/>
      <c r="C266" s="315"/>
      <c r="D266" s="302"/>
      <c r="E266" s="304"/>
      <c r="F266" s="304"/>
      <c r="G266" s="304"/>
      <c r="H266" s="304"/>
      <c r="I266" s="343"/>
      <c r="J266" s="304"/>
      <c r="K266" s="304"/>
      <c r="L266" s="304"/>
      <c r="M266" s="302"/>
    </row>
    <row r="267" spans="1:13" x14ac:dyDescent="0.25">
      <c r="A267" s="417"/>
      <c r="B267" s="302"/>
      <c r="C267" s="315"/>
      <c r="D267" s="302"/>
      <c r="E267" s="304"/>
      <c r="F267" s="304"/>
      <c r="G267" s="304"/>
      <c r="H267" s="304"/>
      <c r="I267" s="343"/>
      <c r="J267" s="304"/>
      <c r="K267" s="304"/>
      <c r="L267" s="304"/>
      <c r="M267" s="302"/>
    </row>
    <row r="268" spans="1:13" x14ac:dyDescent="0.25">
      <c r="A268" s="417"/>
      <c r="B268" s="302"/>
      <c r="C268" s="315"/>
      <c r="D268" s="302"/>
      <c r="E268" s="304"/>
      <c r="F268" s="304"/>
      <c r="G268" s="304"/>
      <c r="H268" s="304"/>
      <c r="I268" s="343"/>
      <c r="J268" s="304"/>
      <c r="K268" s="304"/>
      <c r="L268" s="304"/>
      <c r="M268" s="302"/>
    </row>
    <row r="269" spans="1:13" x14ac:dyDescent="0.25">
      <c r="A269" s="417"/>
      <c r="B269" s="302"/>
      <c r="C269" s="315"/>
      <c r="D269" s="302"/>
      <c r="E269" s="304"/>
      <c r="F269" s="304"/>
      <c r="G269" s="304"/>
      <c r="H269" s="304"/>
      <c r="I269" s="343"/>
      <c r="J269" s="304"/>
      <c r="K269" s="304"/>
      <c r="L269" s="304"/>
      <c r="M269" s="302"/>
    </row>
    <row r="270" spans="1:13" x14ac:dyDescent="0.25">
      <c r="A270" s="417"/>
      <c r="B270" s="302"/>
      <c r="C270" s="315"/>
      <c r="D270" s="302"/>
      <c r="E270" s="304"/>
      <c r="F270" s="304"/>
      <c r="G270" s="304"/>
      <c r="H270" s="304"/>
      <c r="I270" s="343"/>
      <c r="J270" s="304"/>
      <c r="K270" s="304"/>
      <c r="L270" s="304"/>
      <c r="M270" s="302"/>
    </row>
    <row r="271" spans="1:13" x14ac:dyDescent="0.25">
      <c r="A271" s="417"/>
      <c r="B271" s="302"/>
      <c r="C271" s="315"/>
      <c r="D271" s="302"/>
      <c r="E271" s="304"/>
      <c r="F271" s="304"/>
      <c r="G271" s="304"/>
      <c r="H271" s="304"/>
      <c r="I271" s="343"/>
      <c r="J271" s="304"/>
      <c r="K271" s="304"/>
      <c r="L271" s="304"/>
      <c r="M271" s="302"/>
    </row>
    <row r="272" spans="1:13" x14ac:dyDescent="0.25">
      <c r="A272" s="417"/>
      <c r="B272" s="302"/>
      <c r="C272" s="315"/>
      <c r="D272" s="302"/>
      <c r="E272" s="304"/>
      <c r="F272" s="304"/>
      <c r="G272" s="304"/>
      <c r="H272" s="304"/>
      <c r="I272" s="343"/>
      <c r="J272" s="304"/>
      <c r="K272" s="304"/>
      <c r="L272" s="304"/>
      <c r="M272" s="302"/>
    </row>
    <row r="273" spans="1:13" x14ac:dyDescent="0.25">
      <c r="A273" s="417"/>
      <c r="B273" s="302"/>
      <c r="C273" s="315"/>
      <c r="D273" s="302"/>
      <c r="E273" s="304"/>
      <c r="F273" s="304"/>
      <c r="G273" s="304"/>
      <c r="H273" s="304"/>
      <c r="I273" s="343"/>
      <c r="J273" s="304"/>
      <c r="K273" s="304"/>
      <c r="L273" s="304"/>
      <c r="M273" s="302"/>
    </row>
    <row r="274" spans="1:13" x14ac:dyDescent="0.25">
      <c r="A274" s="417"/>
      <c r="B274" s="302"/>
      <c r="C274" s="315"/>
      <c r="D274" s="302"/>
      <c r="E274" s="304"/>
      <c r="F274" s="304"/>
      <c r="G274" s="304"/>
      <c r="H274" s="304"/>
      <c r="I274" s="343"/>
      <c r="J274" s="304"/>
      <c r="K274" s="304"/>
      <c r="L274" s="304"/>
      <c r="M274" s="302"/>
    </row>
    <row r="275" spans="1:13" x14ac:dyDescent="0.25">
      <c r="A275" s="417"/>
      <c r="B275" s="302"/>
      <c r="C275" s="315"/>
      <c r="D275" s="302"/>
      <c r="E275" s="304"/>
      <c r="F275" s="304"/>
      <c r="G275" s="304"/>
      <c r="H275" s="304"/>
      <c r="I275" s="343"/>
      <c r="J275" s="304"/>
      <c r="K275" s="304"/>
      <c r="L275" s="304"/>
      <c r="M275" s="302"/>
    </row>
    <row r="276" spans="1:13" x14ac:dyDescent="0.25">
      <c r="A276" s="417"/>
      <c r="B276" s="302"/>
      <c r="C276" s="315"/>
      <c r="D276" s="302"/>
      <c r="E276" s="304"/>
      <c r="F276" s="304"/>
      <c r="G276" s="304"/>
      <c r="H276" s="304"/>
      <c r="I276" s="343"/>
      <c r="J276" s="304"/>
      <c r="K276" s="304"/>
      <c r="L276" s="304"/>
      <c r="M276" s="302"/>
    </row>
    <row r="277" spans="1:13" x14ac:dyDescent="0.25">
      <c r="A277" s="417"/>
      <c r="B277" s="302"/>
      <c r="C277" s="315"/>
      <c r="D277" s="302"/>
      <c r="E277" s="304"/>
      <c r="F277" s="304"/>
      <c r="G277" s="304"/>
      <c r="H277" s="304"/>
      <c r="I277" s="343"/>
      <c r="J277" s="304"/>
      <c r="K277" s="304"/>
      <c r="L277" s="304"/>
      <c r="M277" s="302"/>
    </row>
    <row r="278" spans="1:13" x14ac:dyDescent="0.25">
      <c r="A278" s="417"/>
      <c r="B278" s="302"/>
      <c r="C278" s="315"/>
      <c r="D278" s="302"/>
      <c r="E278" s="304"/>
      <c r="F278" s="304"/>
      <c r="G278" s="304"/>
      <c r="H278" s="304"/>
      <c r="I278" s="343"/>
      <c r="J278" s="304"/>
      <c r="K278" s="304"/>
      <c r="L278" s="304"/>
      <c r="M278" s="302"/>
    </row>
    <row r="279" spans="1:13" x14ac:dyDescent="0.25">
      <c r="A279" s="417"/>
      <c r="B279" s="302"/>
      <c r="C279" s="315"/>
      <c r="D279" s="302"/>
      <c r="E279" s="304"/>
      <c r="F279" s="304"/>
      <c r="G279" s="304"/>
      <c r="H279" s="304"/>
      <c r="I279" s="343"/>
      <c r="J279" s="304"/>
      <c r="K279" s="304"/>
      <c r="L279" s="304"/>
      <c r="M279" s="302"/>
    </row>
    <row r="280" spans="1:13" x14ac:dyDescent="0.25">
      <c r="A280" s="417"/>
      <c r="B280" s="302"/>
      <c r="C280" s="315"/>
      <c r="D280" s="302"/>
      <c r="E280" s="304"/>
      <c r="F280" s="304"/>
      <c r="G280" s="304"/>
      <c r="H280" s="304"/>
      <c r="I280" s="343"/>
      <c r="J280" s="304"/>
      <c r="K280" s="304"/>
      <c r="L280" s="304"/>
      <c r="M280" s="302"/>
    </row>
    <row r="281" spans="1:13" x14ac:dyDescent="0.25">
      <c r="A281" s="417"/>
      <c r="B281" s="302"/>
      <c r="C281" s="315"/>
      <c r="D281" s="302"/>
      <c r="E281" s="304"/>
      <c r="F281" s="304"/>
      <c r="G281" s="304"/>
      <c r="H281" s="304"/>
      <c r="I281" s="343"/>
      <c r="J281" s="304"/>
      <c r="K281" s="304"/>
      <c r="L281" s="304"/>
      <c r="M281" s="302"/>
    </row>
    <row r="282" spans="1:13" x14ac:dyDescent="0.25">
      <c r="A282" s="417"/>
      <c r="B282" s="302"/>
      <c r="C282" s="315"/>
      <c r="D282" s="302"/>
      <c r="E282" s="304"/>
      <c r="F282" s="304"/>
      <c r="G282" s="304"/>
      <c r="H282" s="304"/>
      <c r="I282" s="343"/>
      <c r="J282" s="304"/>
      <c r="K282" s="304"/>
      <c r="L282" s="304"/>
      <c r="M282" s="302"/>
    </row>
    <row r="283" spans="1:13" x14ac:dyDescent="0.25">
      <c r="A283" s="417"/>
      <c r="B283" s="302"/>
      <c r="C283" s="315"/>
      <c r="D283" s="302"/>
      <c r="E283" s="304"/>
      <c r="F283" s="304"/>
      <c r="G283" s="304"/>
      <c r="H283" s="304"/>
      <c r="I283" s="343"/>
      <c r="J283" s="304"/>
      <c r="K283" s="304"/>
      <c r="L283" s="304"/>
      <c r="M283" s="302"/>
    </row>
    <row r="284" spans="1:13" x14ac:dyDescent="0.25">
      <c r="A284" s="417"/>
      <c r="B284" s="302"/>
      <c r="C284" s="315"/>
      <c r="D284" s="302"/>
      <c r="E284" s="304"/>
      <c r="F284" s="304"/>
      <c r="G284" s="304"/>
      <c r="H284" s="304"/>
      <c r="I284" s="343"/>
      <c r="J284" s="304"/>
      <c r="K284" s="304"/>
      <c r="L284" s="304"/>
      <c r="M284" s="302"/>
    </row>
    <row r="285" spans="1:13" x14ac:dyDescent="0.25">
      <c r="A285" s="417"/>
      <c r="B285" s="302"/>
      <c r="C285" s="315"/>
      <c r="D285" s="302"/>
      <c r="E285" s="304"/>
      <c r="F285" s="304"/>
      <c r="G285" s="304"/>
      <c r="H285" s="304"/>
      <c r="I285" s="343"/>
      <c r="J285" s="304"/>
      <c r="K285" s="304"/>
      <c r="L285" s="304"/>
      <c r="M285" s="302"/>
    </row>
    <row r="286" spans="1:13" x14ac:dyDescent="0.25">
      <c r="A286" s="417"/>
      <c r="B286" s="302"/>
      <c r="C286" s="315"/>
      <c r="D286" s="302"/>
      <c r="E286" s="304"/>
      <c r="F286" s="304"/>
      <c r="G286" s="304"/>
      <c r="H286" s="304"/>
      <c r="I286" s="343"/>
      <c r="J286" s="304"/>
      <c r="K286" s="304"/>
      <c r="L286" s="304"/>
      <c r="M286" s="302"/>
    </row>
    <row r="287" spans="1:13" x14ac:dyDescent="0.25">
      <c r="A287" s="417"/>
      <c r="B287" s="302"/>
      <c r="C287" s="315"/>
      <c r="D287" s="302"/>
      <c r="E287" s="304"/>
      <c r="F287" s="304"/>
      <c r="G287" s="304"/>
      <c r="H287" s="304"/>
      <c r="I287" s="343"/>
      <c r="J287" s="304"/>
      <c r="K287" s="304"/>
      <c r="L287" s="304"/>
      <c r="M287" s="302"/>
    </row>
    <row r="288" spans="1:13" x14ac:dyDescent="0.25">
      <c r="A288" s="417"/>
      <c r="B288" s="302"/>
      <c r="C288" s="315"/>
      <c r="D288" s="302"/>
      <c r="E288" s="304"/>
      <c r="F288" s="304"/>
      <c r="G288" s="304"/>
      <c r="H288" s="304"/>
      <c r="I288" s="343"/>
      <c r="J288" s="304"/>
      <c r="K288" s="304"/>
      <c r="L288" s="304"/>
      <c r="M288" s="302"/>
    </row>
    <row r="289" spans="1:13" x14ac:dyDescent="0.25">
      <c r="A289" s="417"/>
      <c r="B289" s="302"/>
      <c r="C289" s="315"/>
      <c r="D289" s="302"/>
      <c r="E289" s="304"/>
      <c r="F289" s="304"/>
      <c r="G289" s="304"/>
      <c r="H289" s="304"/>
      <c r="I289" s="343"/>
      <c r="J289" s="304"/>
      <c r="K289" s="304"/>
      <c r="L289" s="304"/>
      <c r="M289" s="302"/>
    </row>
    <row r="290" spans="1:13" x14ac:dyDescent="0.25">
      <c r="A290" s="417"/>
      <c r="B290" s="302"/>
      <c r="C290" s="315"/>
      <c r="D290" s="302"/>
      <c r="E290" s="304"/>
      <c r="F290" s="304"/>
      <c r="G290" s="304"/>
      <c r="H290" s="304"/>
      <c r="I290" s="343"/>
      <c r="J290" s="304"/>
      <c r="K290" s="304"/>
      <c r="L290" s="304"/>
      <c r="M290" s="302"/>
    </row>
    <row r="291" spans="1:13" x14ac:dyDescent="0.25">
      <c r="A291" s="417"/>
      <c r="B291" s="302"/>
      <c r="C291" s="315"/>
      <c r="D291" s="302"/>
      <c r="E291" s="304"/>
      <c r="F291" s="304"/>
      <c r="G291" s="304"/>
      <c r="H291" s="304"/>
      <c r="I291" s="343"/>
      <c r="J291" s="304"/>
      <c r="K291" s="304"/>
      <c r="L291" s="304"/>
      <c r="M291" s="302"/>
    </row>
    <row r="292" spans="1:13" x14ac:dyDescent="0.25">
      <c r="A292" s="417"/>
      <c r="B292" s="302"/>
      <c r="C292" s="315"/>
      <c r="D292" s="302"/>
      <c r="E292" s="304"/>
      <c r="F292" s="304"/>
      <c r="G292" s="304"/>
      <c r="H292" s="304"/>
      <c r="I292" s="343"/>
      <c r="J292" s="304"/>
      <c r="K292" s="304"/>
      <c r="L292" s="304"/>
      <c r="M292" s="302"/>
    </row>
    <row r="293" spans="1:13" x14ac:dyDescent="0.25">
      <c r="A293" s="417"/>
      <c r="B293" s="302"/>
      <c r="C293" s="315"/>
      <c r="D293" s="302"/>
      <c r="E293" s="304"/>
      <c r="F293" s="304"/>
      <c r="G293" s="304"/>
      <c r="H293" s="304"/>
      <c r="I293" s="343"/>
      <c r="J293" s="304"/>
      <c r="K293" s="304"/>
      <c r="L293" s="304"/>
      <c r="M293" s="302"/>
    </row>
    <row r="294" spans="1:13" x14ac:dyDescent="0.25">
      <c r="A294" s="417"/>
      <c r="B294" s="302"/>
      <c r="C294" s="315"/>
      <c r="D294" s="302"/>
      <c r="E294" s="304"/>
      <c r="F294" s="304"/>
      <c r="G294" s="304"/>
      <c r="H294" s="304"/>
      <c r="I294" s="343"/>
      <c r="J294" s="304"/>
      <c r="K294" s="304"/>
      <c r="L294" s="304"/>
      <c r="M294" s="302"/>
    </row>
    <row r="295" spans="1:13" x14ac:dyDescent="0.25">
      <c r="A295" s="417"/>
      <c r="B295" s="302"/>
      <c r="C295" s="315"/>
      <c r="D295" s="302"/>
      <c r="E295" s="304"/>
      <c r="F295" s="304"/>
      <c r="G295" s="304"/>
      <c r="H295" s="304"/>
      <c r="I295" s="343"/>
      <c r="J295" s="304"/>
      <c r="K295" s="304"/>
      <c r="L295" s="304"/>
      <c r="M295" s="302"/>
    </row>
    <row r="296" spans="1:13" x14ac:dyDescent="0.25">
      <c r="A296" s="417"/>
      <c r="B296" s="302"/>
      <c r="C296" s="315"/>
      <c r="D296" s="302"/>
      <c r="E296" s="304"/>
      <c r="F296" s="304"/>
      <c r="G296" s="304"/>
      <c r="H296" s="304"/>
      <c r="I296" s="343"/>
      <c r="J296" s="304"/>
      <c r="K296" s="304"/>
      <c r="L296" s="304"/>
      <c r="M296" s="302"/>
    </row>
    <row r="297" spans="1:13" x14ac:dyDescent="0.25">
      <c r="A297" s="417"/>
      <c r="B297" s="302"/>
      <c r="C297" s="315"/>
      <c r="D297" s="302"/>
      <c r="E297" s="304"/>
      <c r="F297" s="304"/>
      <c r="G297" s="304"/>
      <c r="H297" s="304"/>
      <c r="I297" s="343"/>
      <c r="J297" s="304"/>
      <c r="K297" s="304"/>
      <c r="L297" s="304"/>
      <c r="M297" s="302"/>
    </row>
    <row r="298" spans="1:13" x14ac:dyDescent="0.25">
      <c r="A298" s="417"/>
      <c r="B298" s="302"/>
      <c r="C298" s="315"/>
      <c r="D298" s="302"/>
      <c r="E298" s="304"/>
      <c r="F298" s="304"/>
      <c r="G298" s="304"/>
      <c r="H298" s="304"/>
      <c r="I298" s="343"/>
      <c r="J298" s="304"/>
      <c r="K298" s="304"/>
      <c r="L298" s="304"/>
      <c r="M298" s="302"/>
    </row>
    <row r="299" spans="1:13" x14ac:dyDescent="0.25">
      <c r="A299" s="417"/>
      <c r="B299" s="302"/>
      <c r="C299" s="315"/>
      <c r="D299" s="302"/>
      <c r="E299" s="304"/>
      <c r="F299" s="304"/>
      <c r="G299" s="304"/>
      <c r="H299" s="304"/>
      <c r="I299" s="343"/>
      <c r="J299" s="304"/>
      <c r="K299" s="304"/>
      <c r="L299" s="304"/>
      <c r="M299" s="302"/>
    </row>
    <row r="300" spans="1:13" x14ac:dyDescent="0.25">
      <c r="A300" s="417"/>
      <c r="B300" s="302"/>
      <c r="C300" s="315"/>
      <c r="D300" s="302"/>
      <c r="E300" s="304"/>
      <c r="F300" s="304"/>
      <c r="G300" s="304"/>
      <c r="H300" s="304"/>
      <c r="I300" s="343"/>
      <c r="J300" s="304"/>
      <c r="K300" s="304"/>
      <c r="L300" s="304"/>
      <c r="M300" s="302"/>
    </row>
    <row r="301" spans="1:13" x14ac:dyDescent="0.25">
      <c r="A301" s="417"/>
      <c r="B301" s="302"/>
      <c r="C301" s="315"/>
      <c r="D301" s="302"/>
      <c r="E301" s="304"/>
      <c r="F301" s="304"/>
      <c r="G301" s="304"/>
      <c r="H301" s="304"/>
      <c r="I301" s="343"/>
      <c r="J301" s="304"/>
      <c r="K301" s="304"/>
      <c r="L301" s="304"/>
      <c r="M301" s="302"/>
    </row>
    <row r="302" spans="1:13" x14ac:dyDescent="0.25">
      <c r="A302" s="417"/>
      <c r="B302" s="302"/>
      <c r="C302" s="315"/>
      <c r="D302" s="302"/>
      <c r="E302" s="304"/>
      <c r="F302" s="304"/>
      <c r="G302" s="304"/>
      <c r="H302" s="304"/>
      <c r="I302" s="343"/>
      <c r="J302" s="304"/>
      <c r="K302" s="304"/>
      <c r="L302" s="304"/>
      <c r="M302" s="302"/>
    </row>
    <row r="303" spans="1:13" x14ac:dyDescent="0.25">
      <c r="A303" s="417"/>
      <c r="B303" s="302"/>
      <c r="C303" s="315"/>
      <c r="D303" s="302"/>
      <c r="E303" s="304"/>
      <c r="F303" s="304"/>
      <c r="G303" s="304"/>
      <c r="H303" s="304"/>
      <c r="I303" s="343"/>
      <c r="J303" s="304"/>
      <c r="K303" s="304"/>
      <c r="L303" s="304"/>
      <c r="M303" s="302"/>
    </row>
    <row r="304" spans="1:13" x14ac:dyDescent="0.25">
      <c r="A304" s="417"/>
      <c r="B304" s="302"/>
      <c r="C304" s="315"/>
      <c r="D304" s="302"/>
      <c r="E304" s="304"/>
      <c r="F304" s="304"/>
      <c r="G304" s="304"/>
      <c r="H304" s="304"/>
      <c r="I304" s="343"/>
      <c r="J304" s="304"/>
      <c r="K304" s="304"/>
      <c r="L304" s="304"/>
      <c r="M304" s="302"/>
    </row>
    <row r="305" spans="1:13" x14ac:dyDescent="0.25">
      <c r="A305" s="417"/>
      <c r="B305" s="302"/>
      <c r="C305" s="315"/>
      <c r="D305" s="302"/>
      <c r="E305" s="304"/>
      <c r="F305" s="304"/>
      <c r="G305" s="304"/>
      <c r="H305" s="304"/>
      <c r="I305" s="343"/>
      <c r="J305" s="304"/>
      <c r="K305" s="304"/>
      <c r="L305" s="304"/>
      <c r="M305" s="302"/>
    </row>
    <row r="306" spans="1:13" x14ac:dyDescent="0.25">
      <c r="A306" s="417"/>
      <c r="B306" s="302"/>
      <c r="C306" s="315"/>
      <c r="D306" s="302"/>
      <c r="E306" s="304"/>
      <c r="F306" s="304"/>
      <c r="G306" s="304"/>
      <c r="H306" s="304"/>
      <c r="I306" s="343"/>
      <c r="J306" s="304"/>
      <c r="K306" s="304"/>
      <c r="L306" s="304"/>
      <c r="M306" s="302"/>
    </row>
    <row r="307" spans="1:13" x14ac:dyDescent="0.25">
      <c r="A307" s="417"/>
      <c r="B307" s="302"/>
      <c r="C307" s="315"/>
      <c r="D307" s="302"/>
      <c r="E307" s="304"/>
      <c r="F307" s="304"/>
      <c r="G307" s="304"/>
      <c r="H307" s="304"/>
      <c r="I307" s="343"/>
      <c r="J307" s="304"/>
      <c r="K307" s="304"/>
      <c r="L307" s="304"/>
      <c r="M307" s="302"/>
    </row>
    <row r="308" spans="1:13" x14ac:dyDescent="0.25">
      <c r="A308" s="417"/>
      <c r="B308" s="302"/>
      <c r="C308" s="315"/>
      <c r="D308" s="302"/>
      <c r="E308" s="304"/>
      <c r="F308" s="304"/>
      <c r="G308" s="304"/>
      <c r="H308" s="304"/>
      <c r="I308" s="343"/>
      <c r="J308" s="304"/>
      <c r="K308" s="304"/>
      <c r="L308" s="304"/>
      <c r="M308" s="302"/>
    </row>
    <row r="309" spans="1:13" x14ac:dyDescent="0.25">
      <c r="A309" s="417"/>
      <c r="B309" s="302"/>
      <c r="C309" s="315"/>
      <c r="D309" s="302"/>
      <c r="E309" s="304"/>
      <c r="F309" s="304"/>
      <c r="G309" s="304"/>
      <c r="H309" s="304"/>
      <c r="I309" s="343"/>
      <c r="J309" s="304"/>
      <c r="K309" s="304"/>
      <c r="L309" s="304"/>
      <c r="M309" s="302"/>
    </row>
    <row r="310" spans="1:13" x14ac:dyDescent="0.25">
      <c r="A310" s="417"/>
      <c r="B310" s="302"/>
      <c r="C310" s="315"/>
      <c r="D310" s="302"/>
      <c r="E310" s="304"/>
      <c r="F310" s="304"/>
      <c r="G310" s="304"/>
      <c r="H310" s="304"/>
      <c r="I310" s="343"/>
      <c r="J310" s="304"/>
      <c r="K310" s="304"/>
      <c r="L310" s="304"/>
      <c r="M310" s="302"/>
    </row>
    <row r="311" spans="1:13" x14ac:dyDescent="0.25">
      <c r="A311" s="417"/>
      <c r="B311" s="302"/>
      <c r="C311" s="315"/>
      <c r="D311" s="302"/>
      <c r="E311" s="304"/>
      <c r="F311" s="304"/>
      <c r="G311" s="304"/>
      <c r="H311" s="304"/>
      <c r="I311" s="343"/>
      <c r="J311" s="304"/>
      <c r="K311" s="304"/>
      <c r="L311" s="304"/>
      <c r="M311" s="302"/>
    </row>
    <row r="312" spans="1:13" x14ac:dyDescent="0.25">
      <c r="A312" s="417"/>
      <c r="B312" s="302"/>
      <c r="C312" s="315"/>
      <c r="D312" s="302"/>
      <c r="E312" s="304"/>
      <c r="F312" s="304"/>
      <c r="G312" s="304"/>
      <c r="H312" s="304"/>
      <c r="I312" s="343"/>
      <c r="J312" s="304"/>
      <c r="K312" s="304"/>
      <c r="L312" s="304"/>
      <c r="M312" s="302"/>
    </row>
    <row r="313" spans="1:13" x14ac:dyDescent="0.25">
      <c r="A313" s="417"/>
      <c r="B313" s="302"/>
      <c r="C313" s="315"/>
      <c r="D313" s="302"/>
      <c r="E313" s="304"/>
      <c r="F313" s="304"/>
      <c r="G313" s="304"/>
      <c r="H313" s="304"/>
      <c r="I313" s="343"/>
      <c r="J313" s="304"/>
      <c r="K313" s="304"/>
      <c r="L313" s="304"/>
      <c r="M313" s="302"/>
    </row>
    <row r="314" spans="1:13" x14ac:dyDescent="0.25">
      <c r="A314" s="417"/>
      <c r="B314" s="302"/>
      <c r="C314" s="315"/>
      <c r="D314" s="302"/>
      <c r="E314" s="304"/>
      <c r="F314" s="304"/>
      <c r="G314" s="304"/>
      <c r="H314" s="304"/>
      <c r="I314" s="343"/>
      <c r="J314" s="304"/>
      <c r="K314" s="304"/>
      <c r="L314" s="304"/>
      <c r="M314" s="302"/>
    </row>
    <row r="315" spans="1:13" x14ac:dyDescent="0.25">
      <c r="A315" s="417"/>
      <c r="B315" s="302"/>
      <c r="C315" s="315"/>
      <c r="D315" s="302"/>
      <c r="E315" s="304"/>
      <c r="F315" s="304"/>
      <c r="G315" s="304"/>
      <c r="H315" s="304"/>
      <c r="I315" s="343"/>
      <c r="J315" s="304"/>
      <c r="K315" s="304"/>
      <c r="L315" s="304"/>
      <c r="M315" s="302"/>
    </row>
    <row r="316" spans="1:13" x14ac:dyDescent="0.25">
      <c r="A316" s="417"/>
      <c r="B316" s="302"/>
      <c r="C316" s="315"/>
      <c r="D316" s="302"/>
      <c r="E316" s="304"/>
      <c r="F316" s="304"/>
      <c r="G316" s="304"/>
      <c r="H316" s="304"/>
      <c r="I316" s="343"/>
      <c r="J316" s="304"/>
      <c r="K316" s="304"/>
      <c r="L316" s="304"/>
      <c r="M316" s="302"/>
    </row>
    <row r="317" spans="1:13" x14ac:dyDescent="0.25">
      <c r="A317" s="417"/>
      <c r="B317" s="302"/>
      <c r="C317" s="315"/>
      <c r="D317" s="302"/>
      <c r="E317" s="304"/>
      <c r="F317" s="304"/>
      <c r="G317" s="304"/>
      <c r="H317" s="304"/>
      <c r="I317" s="343"/>
      <c r="J317" s="304"/>
      <c r="K317" s="304"/>
      <c r="L317" s="304"/>
      <c r="M317" s="302"/>
    </row>
    <row r="318" spans="1:13" x14ac:dyDescent="0.25">
      <c r="A318" s="417"/>
      <c r="B318" s="302"/>
      <c r="C318" s="315"/>
      <c r="D318" s="302"/>
      <c r="E318" s="304"/>
      <c r="F318" s="304"/>
      <c r="G318" s="304"/>
      <c r="H318" s="304"/>
      <c r="I318" s="343"/>
      <c r="J318" s="304"/>
      <c r="K318" s="304"/>
      <c r="L318" s="304"/>
      <c r="M318" s="302"/>
    </row>
    <row r="319" spans="1:13" x14ac:dyDescent="0.25">
      <c r="A319" s="417"/>
      <c r="B319" s="302"/>
      <c r="C319" s="315"/>
      <c r="D319" s="302"/>
      <c r="E319" s="304"/>
      <c r="F319" s="304"/>
      <c r="G319" s="304"/>
      <c r="H319" s="304"/>
      <c r="I319" s="343"/>
      <c r="J319" s="304"/>
      <c r="K319" s="304"/>
      <c r="L319" s="304"/>
      <c r="M319" s="302"/>
    </row>
    <row r="320" spans="1:13" x14ac:dyDescent="0.25">
      <c r="A320" s="417"/>
      <c r="B320" s="302"/>
      <c r="C320" s="315"/>
      <c r="D320" s="302"/>
      <c r="E320" s="304"/>
      <c r="F320" s="304"/>
      <c r="G320" s="304"/>
      <c r="H320" s="304"/>
      <c r="I320" s="343"/>
      <c r="J320" s="304"/>
      <c r="K320" s="304"/>
      <c r="L320" s="304"/>
      <c r="M320" s="302"/>
    </row>
    <row r="321" spans="1:13" x14ac:dyDescent="0.25">
      <c r="A321" s="417"/>
      <c r="B321" s="302"/>
      <c r="C321" s="315"/>
      <c r="D321" s="302"/>
      <c r="E321" s="304"/>
      <c r="F321" s="304"/>
      <c r="G321" s="304"/>
      <c r="H321" s="304"/>
      <c r="I321" s="343"/>
      <c r="J321" s="304"/>
      <c r="K321" s="304"/>
      <c r="L321" s="304"/>
      <c r="M321" s="302"/>
    </row>
    <row r="322" spans="1:13" x14ac:dyDescent="0.25">
      <c r="A322" s="417"/>
      <c r="B322" s="302"/>
      <c r="C322" s="315"/>
      <c r="D322" s="302"/>
      <c r="E322" s="304"/>
      <c r="F322" s="304"/>
      <c r="G322" s="304"/>
      <c r="H322" s="304"/>
      <c r="I322" s="343"/>
      <c r="J322" s="304"/>
      <c r="K322" s="304"/>
      <c r="L322" s="304"/>
      <c r="M322" s="302"/>
    </row>
    <row r="323" spans="1:13" x14ac:dyDescent="0.25">
      <c r="A323" s="417"/>
      <c r="B323" s="302"/>
      <c r="C323" s="315"/>
      <c r="D323" s="302"/>
      <c r="E323" s="304"/>
      <c r="F323" s="304"/>
      <c r="G323" s="304"/>
      <c r="H323" s="304"/>
      <c r="I323" s="343"/>
      <c r="J323" s="304"/>
      <c r="K323" s="304"/>
      <c r="L323" s="304"/>
      <c r="M323" s="302"/>
    </row>
    <row r="324" spans="1:13" x14ac:dyDescent="0.25">
      <c r="A324" s="417"/>
      <c r="B324" s="302"/>
      <c r="C324" s="315"/>
      <c r="D324" s="302"/>
      <c r="E324" s="304"/>
      <c r="F324" s="304"/>
      <c r="G324" s="304"/>
      <c r="H324" s="304"/>
      <c r="I324" s="343"/>
      <c r="J324" s="304"/>
      <c r="K324" s="304"/>
      <c r="L324" s="304"/>
      <c r="M324" s="302"/>
    </row>
    <row r="325" spans="1:13" x14ac:dyDescent="0.25">
      <c r="A325" s="417"/>
      <c r="B325" s="302"/>
      <c r="C325" s="315"/>
      <c r="D325" s="302"/>
      <c r="E325" s="304"/>
      <c r="F325" s="304"/>
      <c r="G325" s="304"/>
      <c r="H325" s="304"/>
      <c r="I325" s="343"/>
      <c r="J325" s="304"/>
      <c r="K325" s="304"/>
      <c r="L325" s="304"/>
      <c r="M325" s="302"/>
    </row>
    <row r="326" spans="1:13" x14ac:dyDescent="0.25">
      <c r="A326" s="417"/>
      <c r="B326" s="302"/>
      <c r="C326" s="315"/>
      <c r="D326" s="302"/>
      <c r="E326" s="304"/>
      <c r="F326" s="304"/>
      <c r="G326" s="304"/>
      <c r="H326" s="304"/>
      <c r="I326" s="343"/>
      <c r="J326" s="304"/>
      <c r="K326" s="304"/>
      <c r="L326" s="304"/>
      <c r="M326" s="302"/>
    </row>
    <row r="327" spans="1:13" x14ac:dyDescent="0.25">
      <c r="A327" s="417"/>
      <c r="B327" s="302"/>
      <c r="C327" s="315"/>
      <c r="D327" s="302"/>
      <c r="E327" s="304"/>
      <c r="F327" s="304"/>
      <c r="G327" s="304"/>
      <c r="H327" s="304"/>
      <c r="I327" s="343"/>
      <c r="J327" s="304"/>
      <c r="K327" s="304"/>
      <c r="L327" s="304"/>
      <c r="M327" s="302"/>
    </row>
    <row r="328" spans="1:13" x14ac:dyDescent="0.25">
      <c r="A328" s="417"/>
      <c r="B328" s="302"/>
      <c r="C328" s="315"/>
      <c r="D328" s="302"/>
      <c r="E328" s="304"/>
      <c r="F328" s="304"/>
      <c r="G328" s="304"/>
      <c r="H328" s="304"/>
      <c r="I328" s="343"/>
      <c r="J328" s="304"/>
      <c r="K328" s="304"/>
      <c r="L328" s="304"/>
      <c r="M328" s="302"/>
    </row>
    <row r="329" spans="1:13" x14ac:dyDescent="0.25">
      <c r="A329" s="417"/>
      <c r="B329" s="302"/>
      <c r="C329" s="315"/>
      <c r="D329" s="302"/>
      <c r="E329" s="304"/>
      <c r="F329" s="304"/>
      <c r="G329" s="304"/>
      <c r="H329" s="304"/>
      <c r="I329" s="343"/>
      <c r="J329" s="304"/>
      <c r="K329" s="304"/>
      <c r="L329" s="304"/>
      <c r="M329" s="302"/>
    </row>
    <row r="330" spans="1:13" x14ac:dyDescent="0.25">
      <c r="A330" s="417"/>
      <c r="B330" s="302"/>
      <c r="C330" s="315"/>
      <c r="D330" s="302"/>
      <c r="E330" s="304"/>
      <c r="F330" s="304"/>
      <c r="G330" s="304"/>
      <c r="H330" s="304"/>
      <c r="I330" s="343"/>
      <c r="J330" s="304"/>
      <c r="K330" s="304"/>
      <c r="L330" s="304"/>
      <c r="M330" s="302"/>
    </row>
    <row r="331" spans="1:13" x14ac:dyDescent="0.25">
      <c r="A331" s="417"/>
      <c r="B331" s="302"/>
      <c r="C331" s="315"/>
      <c r="D331" s="302"/>
      <c r="E331" s="304"/>
      <c r="F331" s="304"/>
      <c r="G331" s="304"/>
      <c r="H331" s="304"/>
      <c r="I331" s="343"/>
      <c r="J331" s="304"/>
      <c r="K331" s="304"/>
      <c r="L331" s="304"/>
      <c r="M331" s="302"/>
    </row>
    <row r="332" spans="1:13" x14ac:dyDescent="0.25">
      <c r="A332" s="417"/>
      <c r="B332" s="302"/>
      <c r="C332" s="315"/>
      <c r="D332" s="302"/>
      <c r="E332" s="304"/>
      <c r="F332" s="304"/>
      <c r="G332" s="304"/>
      <c r="H332" s="304"/>
      <c r="I332" s="343"/>
      <c r="J332" s="304"/>
      <c r="K332" s="304"/>
      <c r="L332" s="304"/>
      <c r="M332" s="302"/>
    </row>
    <row r="333" spans="1:13" x14ac:dyDescent="0.25">
      <c r="A333" s="417"/>
      <c r="B333" s="302"/>
      <c r="C333" s="315"/>
      <c r="D333" s="302"/>
      <c r="E333" s="304"/>
      <c r="F333" s="304"/>
      <c r="G333" s="304"/>
      <c r="H333" s="304"/>
      <c r="I333" s="343"/>
      <c r="J333" s="304"/>
      <c r="K333" s="304"/>
      <c r="L333" s="304"/>
      <c r="M333" s="302"/>
    </row>
    <row r="334" spans="1:13" x14ac:dyDescent="0.25">
      <c r="A334" s="417"/>
      <c r="B334" s="302"/>
      <c r="C334" s="315"/>
      <c r="D334" s="302"/>
      <c r="E334" s="304"/>
      <c r="F334" s="304"/>
      <c r="G334" s="304"/>
      <c r="H334" s="304"/>
      <c r="I334" s="343"/>
      <c r="J334" s="304"/>
      <c r="K334" s="304"/>
      <c r="L334" s="304"/>
      <c r="M334" s="302"/>
    </row>
    <row r="335" spans="1:13" x14ac:dyDescent="0.25">
      <c r="A335" s="417"/>
      <c r="B335" s="302"/>
      <c r="C335" s="315"/>
      <c r="D335" s="302"/>
      <c r="E335" s="304"/>
      <c r="F335" s="304"/>
      <c r="G335" s="304"/>
      <c r="H335" s="304"/>
      <c r="I335" s="343"/>
      <c r="J335" s="304"/>
      <c r="K335" s="304"/>
      <c r="L335" s="304"/>
      <c r="M335" s="302"/>
    </row>
    <row r="336" spans="1:13" x14ac:dyDescent="0.25">
      <c r="A336" s="417"/>
      <c r="B336" s="302"/>
      <c r="C336" s="315"/>
      <c r="D336" s="302"/>
      <c r="E336" s="304"/>
      <c r="F336" s="304"/>
      <c r="G336" s="304"/>
      <c r="H336" s="304"/>
      <c r="I336" s="343"/>
      <c r="J336" s="304"/>
      <c r="K336" s="304"/>
      <c r="L336" s="304"/>
      <c r="M336" s="302"/>
    </row>
    <row r="337" spans="1:13" x14ac:dyDescent="0.25">
      <c r="A337" s="417"/>
      <c r="B337" s="302"/>
      <c r="C337" s="315"/>
      <c r="D337" s="302"/>
      <c r="E337" s="304"/>
      <c r="F337" s="304"/>
      <c r="G337" s="304"/>
      <c r="H337" s="304"/>
      <c r="I337" s="343"/>
      <c r="J337" s="304"/>
      <c r="K337" s="304"/>
      <c r="L337" s="304"/>
      <c r="M337" s="302"/>
    </row>
    <row r="338" spans="1:13" x14ac:dyDescent="0.25">
      <c r="A338" s="417"/>
      <c r="B338" s="302"/>
      <c r="C338" s="315"/>
      <c r="D338" s="302"/>
      <c r="E338" s="304"/>
      <c r="F338" s="304"/>
      <c r="G338" s="304"/>
      <c r="H338" s="304"/>
      <c r="I338" s="343"/>
      <c r="J338" s="304"/>
      <c r="K338" s="304"/>
      <c r="L338" s="304"/>
      <c r="M338" s="302"/>
    </row>
    <row r="339" spans="1:13" x14ac:dyDescent="0.25">
      <c r="A339" s="417"/>
      <c r="B339" s="302"/>
      <c r="C339" s="315"/>
      <c r="D339" s="302"/>
      <c r="E339" s="304"/>
      <c r="F339" s="304"/>
      <c r="G339" s="304"/>
      <c r="H339" s="304"/>
      <c r="I339" s="343"/>
      <c r="J339" s="304"/>
      <c r="K339" s="304"/>
      <c r="L339" s="304"/>
      <c r="M339" s="302"/>
    </row>
    <row r="340" spans="1:13" x14ac:dyDescent="0.25">
      <c r="A340" s="417"/>
      <c r="B340" s="302"/>
      <c r="C340" s="315"/>
      <c r="D340" s="302"/>
      <c r="E340" s="304"/>
      <c r="F340" s="304"/>
      <c r="G340" s="304"/>
      <c r="H340" s="304"/>
      <c r="I340" s="343"/>
      <c r="J340" s="304"/>
      <c r="K340" s="304"/>
      <c r="L340" s="304"/>
      <c r="M340" s="302"/>
    </row>
    <row r="341" spans="1:13" x14ac:dyDescent="0.25">
      <c r="A341" s="417"/>
      <c r="B341" s="302"/>
      <c r="C341" s="315"/>
      <c r="D341" s="302"/>
      <c r="E341" s="304"/>
      <c r="F341" s="304"/>
      <c r="G341" s="304"/>
      <c r="H341" s="304"/>
      <c r="I341" s="343"/>
      <c r="J341" s="304"/>
      <c r="K341" s="304"/>
      <c r="L341" s="304"/>
      <c r="M341" s="302"/>
    </row>
    <row r="342" spans="1:13" x14ac:dyDescent="0.25">
      <c r="A342" s="417"/>
      <c r="B342" s="302"/>
      <c r="C342" s="315"/>
      <c r="D342" s="302"/>
      <c r="E342" s="304"/>
      <c r="F342" s="304"/>
      <c r="G342" s="304"/>
      <c r="H342" s="304"/>
      <c r="I342" s="343"/>
      <c r="J342" s="304"/>
      <c r="K342" s="304"/>
      <c r="L342" s="304"/>
      <c r="M342" s="302"/>
    </row>
    <row r="343" spans="1:13" x14ac:dyDescent="0.25">
      <c r="A343" s="417"/>
      <c r="B343" s="302"/>
      <c r="C343" s="315"/>
      <c r="D343" s="302"/>
      <c r="E343" s="304"/>
      <c r="F343" s="304"/>
      <c r="G343" s="304"/>
      <c r="H343" s="304"/>
      <c r="I343" s="343"/>
      <c r="J343" s="304"/>
      <c r="K343" s="304"/>
      <c r="L343" s="304"/>
      <c r="M343" s="302"/>
    </row>
    <row r="344" spans="1:13" x14ac:dyDescent="0.25">
      <c r="A344" s="417"/>
      <c r="B344" s="302"/>
      <c r="C344" s="315"/>
      <c r="D344" s="302"/>
      <c r="E344" s="304"/>
      <c r="F344" s="304"/>
      <c r="G344" s="304"/>
      <c r="H344" s="304"/>
      <c r="I344" s="343"/>
      <c r="J344" s="304"/>
      <c r="K344" s="304"/>
      <c r="L344" s="304"/>
      <c r="M344" s="302"/>
    </row>
    <row r="345" spans="1:13" x14ac:dyDescent="0.25">
      <c r="A345" s="417"/>
      <c r="B345" s="302"/>
      <c r="C345" s="315"/>
      <c r="D345" s="302"/>
      <c r="E345" s="304"/>
      <c r="F345" s="304"/>
      <c r="G345" s="304"/>
      <c r="H345" s="304"/>
      <c r="I345" s="343"/>
      <c r="J345" s="304"/>
      <c r="K345" s="304"/>
      <c r="L345" s="304"/>
      <c r="M345" s="302"/>
    </row>
    <row r="346" spans="1:13" x14ac:dyDescent="0.25">
      <c r="A346" s="417"/>
      <c r="B346" s="302"/>
      <c r="C346" s="315"/>
      <c r="D346" s="302"/>
      <c r="E346" s="304"/>
      <c r="F346" s="304"/>
      <c r="G346" s="304"/>
      <c r="H346" s="304"/>
      <c r="I346" s="343"/>
      <c r="J346" s="304"/>
      <c r="K346" s="304"/>
      <c r="L346" s="304"/>
      <c r="M346" s="302"/>
    </row>
    <row r="347" spans="1:13" x14ac:dyDescent="0.25">
      <c r="A347" s="417"/>
      <c r="B347" s="302"/>
      <c r="C347" s="315"/>
      <c r="D347" s="302"/>
      <c r="E347" s="304"/>
      <c r="F347" s="304"/>
      <c r="G347" s="304"/>
      <c r="H347" s="304"/>
      <c r="I347" s="343"/>
      <c r="J347" s="304"/>
      <c r="K347" s="304"/>
      <c r="L347" s="304"/>
      <c r="M347" s="302"/>
    </row>
    <row r="348" spans="1:13" x14ac:dyDescent="0.25">
      <c r="A348" s="417"/>
      <c r="B348" s="302"/>
      <c r="C348" s="315"/>
      <c r="D348" s="302"/>
      <c r="E348" s="304"/>
      <c r="F348" s="304"/>
      <c r="G348" s="304"/>
      <c r="H348" s="304"/>
      <c r="I348" s="343"/>
      <c r="J348" s="304"/>
      <c r="K348" s="304"/>
      <c r="L348" s="304"/>
      <c r="M348" s="302"/>
    </row>
    <row r="349" spans="1:13" x14ac:dyDescent="0.25">
      <c r="A349" s="417"/>
      <c r="B349" s="302"/>
      <c r="C349" s="315"/>
      <c r="D349" s="302"/>
      <c r="E349" s="304"/>
      <c r="F349" s="304"/>
      <c r="G349" s="304"/>
      <c r="H349" s="304"/>
      <c r="I349" s="343"/>
      <c r="J349" s="304"/>
      <c r="K349" s="304"/>
      <c r="L349" s="304"/>
      <c r="M349" s="302"/>
    </row>
    <row r="350" spans="1:13" x14ac:dyDescent="0.25">
      <c r="A350" s="417"/>
      <c r="B350" s="302"/>
      <c r="C350" s="315"/>
      <c r="D350" s="302"/>
      <c r="E350" s="304"/>
      <c r="F350" s="304"/>
      <c r="G350" s="304"/>
      <c r="H350" s="304"/>
      <c r="I350" s="343"/>
      <c r="J350" s="304"/>
      <c r="K350" s="304"/>
      <c r="L350" s="304"/>
      <c r="M350" s="302"/>
    </row>
    <row r="351" spans="1:13" x14ac:dyDescent="0.25">
      <c r="A351" s="417"/>
      <c r="B351" s="302"/>
      <c r="C351" s="315"/>
      <c r="D351" s="302"/>
      <c r="E351" s="304"/>
      <c r="F351" s="304"/>
      <c r="G351" s="304"/>
      <c r="H351" s="304"/>
      <c r="I351" s="343"/>
      <c r="J351" s="304"/>
      <c r="K351" s="304"/>
      <c r="L351" s="304"/>
      <c r="M351" s="302"/>
    </row>
    <row r="352" spans="1:13" x14ac:dyDescent="0.25">
      <c r="A352" s="417"/>
      <c r="B352" s="302"/>
      <c r="C352" s="315"/>
      <c r="D352" s="302"/>
      <c r="E352" s="304"/>
      <c r="F352" s="304"/>
      <c r="G352" s="304"/>
      <c r="H352" s="304"/>
      <c r="I352" s="343"/>
      <c r="J352" s="304"/>
      <c r="K352" s="304"/>
      <c r="L352" s="304"/>
      <c r="M352" s="302"/>
    </row>
    <row r="353" spans="1:13" x14ac:dyDescent="0.25">
      <c r="A353" s="417"/>
      <c r="B353" s="302"/>
      <c r="C353" s="315"/>
      <c r="D353" s="302"/>
      <c r="E353" s="304"/>
      <c r="F353" s="304"/>
      <c r="G353" s="304"/>
      <c r="H353" s="304"/>
      <c r="I353" s="343"/>
      <c r="J353" s="304"/>
      <c r="K353" s="304"/>
      <c r="L353" s="304"/>
      <c r="M353" s="302"/>
    </row>
    <row r="354" spans="1:13" x14ac:dyDescent="0.25">
      <c r="A354" s="417"/>
      <c r="B354" s="302"/>
      <c r="C354" s="315"/>
      <c r="D354" s="302"/>
      <c r="E354" s="304"/>
      <c r="F354" s="304"/>
      <c r="G354" s="304"/>
      <c r="H354" s="304"/>
      <c r="I354" s="343"/>
      <c r="J354" s="304"/>
      <c r="K354" s="304"/>
      <c r="L354" s="304"/>
      <c r="M354" s="302"/>
    </row>
    <row r="355" spans="1:13" x14ac:dyDescent="0.25">
      <c r="A355" s="417"/>
      <c r="B355" s="302"/>
      <c r="C355" s="315"/>
      <c r="D355" s="302"/>
      <c r="E355" s="304"/>
      <c r="F355" s="304"/>
      <c r="G355" s="304"/>
      <c r="H355" s="304"/>
      <c r="I355" s="343"/>
      <c r="J355" s="304"/>
      <c r="K355" s="304"/>
      <c r="L355" s="304"/>
      <c r="M355" s="302"/>
    </row>
    <row r="356" spans="1:13" x14ac:dyDescent="0.25">
      <c r="A356" s="417"/>
      <c r="B356" s="302"/>
      <c r="C356" s="315"/>
      <c r="D356" s="302"/>
      <c r="E356" s="304"/>
      <c r="F356" s="304"/>
      <c r="G356" s="304"/>
      <c r="H356" s="304"/>
      <c r="I356" s="343"/>
      <c r="J356" s="304"/>
      <c r="K356" s="304"/>
      <c r="L356" s="304"/>
      <c r="M356" s="302"/>
    </row>
    <row r="357" spans="1:13" x14ac:dyDescent="0.25">
      <c r="A357" s="417"/>
      <c r="B357" s="302"/>
      <c r="C357" s="315"/>
      <c r="D357" s="302"/>
      <c r="E357" s="304"/>
      <c r="F357" s="304"/>
      <c r="G357" s="304"/>
      <c r="H357" s="304"/>
      <c r="I357" s="343"/>
      <c r="J357" s="304"/>
      <c r="K357" s="304"/>
      <c r="L357" s="304"/>
      <c r="M357" s="302"/>
    </row>
    <row r="358" spans="1:13" x14ac:dyDescent="0.25">
      <c r="A358" s="417"/>
      <c r="B358" s="302"/>
      <c r="C358" s="315"/>
      <c r="D358" s="302"/>
      <c r="E358" s="304"/>
      <c r="F358" s="304"/>
      <c r="G358" s="304"/>
      <c r="H358" s="304"/>
      <c r="I358" s="343"/>
      <c r="J358" s="304"/>
      <c r="K358" s="304"/>
      <c r="L358" s="304"/>
      <c r="M358" s="302"/>
    </row>
    <row r="359" spans="1:13" x14ac:dyDescent="0.25">
      <c r="A359" s="417"/>
      <c r="B359" s="302"/>
      <c r="C359" s="315"/>
      <c r="D359" s="302"/>
      <c r="E359" s="304"/>
      <c r="F359" s="304"/>
      <c r="G359" s="304"/>
      <c r="H359" s="304"/>
      <c r="I359" s="343"/>
      <c r="J359" s="304"/>
      <c r="K359" s="304"/>
      <c r="L359" s="304"/>
      <c r="M359" s="302"/>
    </row>
    <row r="360" spans="1:13" x14ac:dyDescent="0.25">
      <c r="A360" s="417"/>
      <c r="B360" s="302"/>
      <c r="C360" s="315"/>
      <c r="D360" s="302"/>
      <c r="E360" s="304"/>
      <c r="F360" s="304"/>
      <c r="G360" s="304"/>
      <c r="H360" s="304"/>
      <c r="I360" s="343"/>
      <c r="J360" s="304"/>
      <c r="K360" s="304"/>
      <c r="L360" s="304"/>
      <c r="M360" s="302"/>
    </row>
    <row r="361" spans="1:13" x14ac:dyDescent="0.25">
      <c r="A361" s="417"/>
      <c r="B361" s="302"/>
      <c r="C361" s="315"/>
      <c r="D361" s="302"/>
      <c r="E361" s="304"/>
      <c r="F361" s="304"/>
      <c r="G361" s="304"/>
      <c r="H361" s="304"/>
      <c r="I361" s="343"/>
      <c r="J361" s="304"/>
      <c r="K361" s="304"/>
      <c r="L361" s="304"/>
      <c r="M361" s="302"/>
    </row>
    <row r="362" spans="1:13" x14ac:dyDescent="0.25">
      <c r="A362" s="417"/>
      <c r="B362" s="302"/>
      <c r="C362" s="315"/>
      <c r="D362" s="302"/>
      <c r="E362" s="304"/>
      <c r="F362" s="304"/>
      <c r="G362" s="304"/>
      <c r="H362" s="304"/>
      <c r="I362" s="343"/>
      <c r="J362" s="304"/>
      <c r="K362" s="304"/>
      <c r="L362" s="304"/>
      <c r="M362" s="302"/>
    </row>
    <row r="363" spans="1:13" x14ac:dyDescent="0.25">
      <c r="A363" s="417"/>
      <c r="B363" s="302"/>
      <c r="C363" s="315"/>
      <c r="D363" s="302"/>
      <c r="E363" s="304"/>
      <c r="F363" s="304"/>
      <c r="G363" s="304"/>
      <c r="H363" s="304"/>
      <c r="I363" s="343"/>
      <c r="J363" s="304"/>
      <c r="K363" s="304"/>
      <c r="L363" s="304"/>
      <c r="M363" s="302"/>
    </row>
    <row r="364" spans="1:13" x14ac:dyDescent="0.25">
      <c r="A364" s="417"/>
      <c r="B364" s="302"/>
      <c r="C364" s="315"/>
      <c r="D364" s="302"/>
      <c r="E364" s="304"/>
      <c r="F364" s="304"/>
      <c r="G364" s="304"/>
      <c r="H364" s="304"/>
      <c r="I364" s="343"/>
      <c r="J364" s="304"/>
      <c r="K364" s="304"/>
      <c r="L364" s="304"/>
      <c r="M364" s="302"/>
    </row>
    <row r="365" spans="1:13" x14ac:dyDescent="0.25">
      <c r="A365" s="417"/>
      <c r="B365" s="302"/>
      <c r="C365" s="315"/>
      <c r="D365" s="302"/>
      <c r="E365" s="304"/>
      <c r="F365" s="304"/>
      <c r="G365" s="304"/>
      <c r="H365" s="304"/>
      <c r="I365" s="343"/>
      <c r="J365" s="304"/>
      <c r="K365" s="304"/>
      <c r="L365" s="304"/>
      <c r="M365" s="302"/>
    </row>
    <row r="366" spans="1:13" x14ac:dyDescent="0.25">
      <c r="A366" s="417"/>
      <c r="B366" s="302"/>
      <c r="C366" s="315"/>
      <c r="D366" s="302"/>
      <c r="E366" s="304"/>
      <c r="F366" s="304"/>
      <c r="G366" s="304"/>
      <c r="H366" s="304"/>
      <c r="I366" s="343"/>
      <c r="J366" s="304"/>
      <c r="K366" s="304"/>
      <c r="L366" s="304"/>
      <c r="M366" s="302"/>
    </row>
    <row r="367" spans="1:13" x14ac:dyDescent="0.25">
      <c r="A367" s="417"/>
      <c r="B367" s="302"/>
      <c r="C367" s="315"/>
      <c r="D367" s="302"/>
      <c r="E367" s="304"/>
      <c r="F367" s="304"/>
      <c r="G367" s="304"/>
      <c r="H367" s="304"/>
      <c r="I367" s="343"/>
      <c r="J367" s="304"/>
      <c r="K367" s="304"/>
      <c r="L367" s="304"/>
      <c r="M367" s="302"/>
    </row>
    <row r="368" spans="1:13" x14ac:dyDescent="0.25">
      <c r="A368" s="417"/>
      <c r="B368" s="302"/>
      <c r="C368" s="315"/>
      <c r="D368" s="302"/>
      <c r="E368" s="304"/>
      <c r="F368" s="304"/>
      <c r="G368" s="304"/>
      <c r="H368" s="304"/>
      <c r="I368" s="343"/>
      <c r="J368" s="304"/>
      <c r="K368" s="304"/>
      <c r="L368" s="304"/>
      <c r="M368" s="302"/>
    </row>
    <row r="369" spans="1:13" x14ac:dyDescent="0.25">
      <c r="A369" s="417"/>
      <c r="B369" s="302"/>
      <c r="C369" s="315"/>
      <c r="D369" s="302"/>
      <c r="E369" s="304"/>
      <c r="F369" s="304"/>
      <c r="G369" s="304"/>
      <c r="H369" s="304"/>
      <c r="I369" s="343"/>
      <c r="J369" s="304"/>
      <c r="K369" s="304"/>
      <c r="L369" s="304"/>
      <c r="M369" s="302"/>
    </row>
    <row r="370" spans="1:13" x14ac:dyDescent="0.25">
      <c r="A370" s="417"/>
      <c r="B370" s="302"/>
      <c r="C370" s="315"/>
      <c r="D370" s="302"/>
      <c r="E370" s="304"/>
      <c r="F370" s="304"/>
      <c r="G370" s="304"/>
      <c r="H370" s="304"/>
      <c r="I370" s="343"/>
      <c r="J370" s="304"/>
      <c r="K370" s="304"/>
      <c r="L370" s="304"/>
      <c r="M370" s="302"/>
    </row>
    <row r="371" spans="1:13" x14ac:dyDescent="0.25">
      <c r="A371" s="417"/>
      <c r="B371" s="302"/>
      <c r="C371" s="315"/>
      <c r="D371" s="302"/>
      <c r="E371" s="304"/>
      <c r="F371" s="304"/>
      <c r="G371" s="304"/>
      <c r="H371" s="304"/>
      <c r="I371" s="343"/>
      <c r="J371" s="304"/>
      <c r="K371" s="304"/>
      <c r="L371" s="304"/>
      <c r="M371" s="302"/>
    </row>
    <row r="372" spans="1:13" x14ac:dyDescent="0.25">
      <c r="A372" s="417"/>
      <c r="B372" s="302"/>
      <c r="C372" s="315"/>
      <c r="D372" s="302"/>
      <c r="E372" s="304"/>
      <c r="F372" s="304"/>
      <c r="G372" s="304"/>
      <c r="H372" s="304"/>
      <c r="I372" s="343"/>
      <c r="J372" s="304"/>
      <c r="K372" s="304"/>
      <c r="L372" s="304"/>
      <c r="M372" s="302"/>
    </row>
    <row r="373" spans="1:13" x14ac:dyDescent="0.25">
      <c r="A373" s="417"/>
      <c r="B373" s="302"/>
      <c r="C373" s="315"/>
      <c r="D373" s="302"/>
      <c r="E373" s="304"/>
      <c r="F373" s="304"/>
      <c r="G373" s="304"/>
      <c r="H373" s="304"/>
      <c r="I373" s="343"/>
      <c r="J373" s="304"/>
      <c r="K373" s="304"/>
      <c r="L373" s="304"/>
      <c r="M373" s="302"/>
    </row>
    <row r="374" spans="1:13" x14ac:dyDescent="0.25">
      <c r="A374" s="417"/>
      <c r="B374" s="302"/>
      <c r="C374" s="315"/>
      <c r="D374" s="302"/>
      <c r="E374" s="304"/>
      <c r="F374" s="304"/>
      <c r="G374" s="304"/>
      <c r="H374" s="304"/>
      <c r="I374" s="343"/>
      <c r="J374" s="304"/>
      <c r="K374" s="304"/>
      <c r="L374" s="304"/>
      <c r="M374" s="302"/>
    </row>
    <row r="375" spans="1:13" x14ac:dyDescent="0.25">
      <c r="A375" s="417"/>
      <c r="B375" s="302"/>
      <c r="C375" s="315"/>
      <c r="D375" s="302"/>
      <c r="E375" s="304"/>
      <c r="F375" s="304"/>
      <c r="G375" s="304"/>
      <c r="H375" s="304"/>
      <c r="I375" s="343"/>
      <c r="J375" s="304"/>
      <c r="K375" s="304"/>
      <c r="L375" s="304"/>
      <c r="M375" s="302"/>
    </row>
    <row r="376" spans="1:13" x14ac:dyDescent="0.25">
      <c r="A376" s="417"/>
      <c r="B376" s="302"/>
      <c r="C376" s="315"/>
      <c r="D376" s="302"/>
      <c r="E376" s="304"/>
      <c r="F376" s="304"/>
      <c r="G376" s="304"/>
      <c r="H376" s="304"/>
      <c r="I376" s="343"/>
      <c r="J376" s="304"/>
      <c r="K376" s="304"/>
      <c r="L376" s="304"/>
      <c r="M376" s="302"/>
    </row>
    <row r="377" spans="1:13" x14ac:dyDescent="0.25">
      <c r="A377" s="417"/>
      <c r="B377" s="302"/>
      <c r="C377" s="315"/>
      <c r="D377" s="302"/>
      <c r="E377" s="304"/>
      <c r="F377" s="304"/>
      <c r="G377" s="304"/>
      <c r="H377" s="304"/>
      <c r="I377" s="343"/>
      <c r="J377" s="304"/>
      <c r="K377" s="304"/>
      <c r="L377" s="304"/>
      <c r="M377" s="302"/>
    </row>
    <row r="378" spans="1:13" x14ac:dyDescent="0.25">
      <c r="A378" s="417"/>
      <c r="B378" s="302"/>
      <c r="C378" s="315"/>
      <c r="D378" s="302"/>
      <c r="E378" s="304"/>
      <c r="F378" s="304"/>
      <c r="G378" s="304"/>
      <c r="H378" s="304"/>
      <c r="I378" s="343"/>
      <c r="J378" s="304"/>
      <c r="K378" s="304"/>
      <c r="L378" s="304"/>
      <c r="M378" s="302"/>
    </row>
    <row r="379" spans="1:13" x14ac:dyDescent="0.25">
      <c r="A379" s="417"/>
      <c r="B379" s="302"/>
      <c r="C379" s="315"/>
      <c r="D379" s="302"/>
      <c r="E379" s="304"/>
      <c r="F379" s="304"/>
      <c r="G379" s="304"/>
      <c r="H379" s="304"/>
      <c r="I379" s="343"/>
      <c r="J379" s="304"/>
      <c r="K379" s="304"/>
      <c r="L379" s="304"/>
      <c r="M379" s="302"/>
    </row>
    <row r="380" spans="1:13" x14ac:dyDescent="0.25">
      <c r="A380" s="417"/>
      <c r="B380" s="302"/>
      <c r="C380" s="315"/>
      <c r="D380" s="302"/>
      <c r="E380" s="304"/>
      <c r="F380" s="304"/>
      <c r="G380" s="304"/>
      <c r="H380" s="304"/>
      <c r="I380" s="343"/>
      <c r="J380" s="304"/>
      <c r="K380" s="304"/>
      <c r="L380" s="304"/>
      <c r="M380" s="302"/>
    </row>
    <row r="381" spans="1:13" x14ac:dyDescent="0.25">
      <c r="A381" s="417"/>
      <c r="B381" s="302"/>
      <c r="C381" s="315"/>
      <c r="D381" s="302"/>
      <c r="E381" s="304"/>
      <c r="F381" s="304"/>
      <c r="G381" s="304"/>
      <c r="H381" s="304"/>
      <c r="I381" s="343"/>
      <c r="J381" s="304"/>
      <c r="K381" s="304"/>
      <c r="L381" s="304"/>
      <c r="M381" s="302"/>
    </row>
    <row r="382" spans="1:13" x14ac:dyDescent="0.25">
      <c r="A382" s="417"/>
      <c r="B382" s="302"/>
      <c r="C382" s="315"/>
      <c r="D382" s="302"/>
      <c r="E382" s="304"/>
      <c r="F382" s="304"/>
      <c r="G382" s="304"/>
      <c r="H382" s="304"/>
      <c r="I382" s="343"/>
      <c r="J382" s="304"/>
      <c r="K382" s="304"/>
      <c r="L382" s="304"/>
      <c r="M382" s="302"/>
    </row>
    <row r="383" spans="1:13" x14ac:dyDescent="0.25">
      <c r="A383" s="417"/>
      <c r="B383" s="302"/>
      <c r="C383" s="315"/>
      <c r="D383" s="302"/>
      <c r="E383" s="304"/>
      <c r="F383" s="304"/>
      <c r="G383" s="304"/>
      <c r="H383" s="304"/>
      <c r="I383" s="343"/>
      <c r="J383" s="304"/>
      <c r="K383" s="304"/>
      <c r="L383" s="304"/>
      <c r="M383" s="302"/>
    </row>
    <row r="384" spans="1:13" x14ac:dyDescent="0.25">
      <c r="A384" s="417"/>
      <c r="B384" s="302"/>
      <c r="C384" s="315"/>
      <c r="D384" s="302"/>
      <c r="E384" s="304"/>
      <c r="F384" s="304"/>
      <c r="G384" s="304"/>
      <c r="H384" s="304"/>
      <c r="I384" s="343"/>
      <c r="J384" s="304"/>
      <c r="K384" s="304"/>
      <c r="L384" s="304"/>
      <c r="M384" s="302"/>
    </row>
    <row r="385" spans="1:13" x14ac:dyDescent="0.25">
      <c r="A385" s="417"/>
      <c r="B385" s="302"/>
      <c r="C385" s="315"/>
      <c r="D385" s="302"/>
      <c r="E385" s="304"/>
      <c r="F385" s="304"/>
      <c r="G385" s="304"/>
      <c r="H385" s="304"/>
      <c r="I385" s="343"/>
      <c r="J385" s="304"/>
      <c r="K385" s="304"/>
      <c r="L385" s="304"/>
      <c r="M385" s="302"/>
    </row>
    <row r="386" spans="1:13" x14ac:dyDescent="0.25">
      <c r="A386" s="417"/>
      <c r="B386" s="302"/>
      <c r="C386" s="315"/>
      <c r="D386" s="302"/>
      <c r="E386" s="304"/>
      <c r="F386" s="304"/>
      <c r="G386" s="304"/>
      <c r="H386" s="304"/>
      <c r="I386" s="343"/>
      <c r="J386" s="304"/>
      <c r="K386" s="304"/>
      <c r="L386" s="304"/>
      <c r="M386" s="302"/>
    </row>
    <row r="387" spans="1:13" x14ac:dyDescent="0.25">
      <c r="A387" s="417"/>
      <c r="B387" s="302"/>
      <c r="C387" s="315"/>
      <c r="D387" s="302"/>
      <c r="E387" s="304"/>
      <c r="F387" s="304"/>
      <c r="G387" s="304"/>
      <c r="H387" s="304"/>
      <c r="I387" s="343"/>
      <c r="J387" s="304"/>
      <c r="K387" s="304"/>
      <c r="L387" s="304"/>
      <c r="M387" s="302"/>
    </row>
    <row r="388" spans="1:13" x14ac:dyDescent="0.25">
      <c r="A388" s="417"/>
      <c r="B388" s="302"/>
      <c r="C388" s="315"/>
      <c r="D388" s="302"/>
      <c r="E388" s="304"/>
      <c r="F388" s="304"/>
      <c r="G388" s="304"/>
      <c r="H388" s="304"/>
      <c r="I388" s="343"/>
      <c r="J388" s="304"/>
      <c r="K388" s="304"/>
      <c r="L388" s="304"/>
      <c r="M388" s="302"/>
    </row>
    <row r="389" spans="1:13" x14ac:dyDescent="0.25">
      <c r="A389" s="417"/>
      <c r="B389" s="302"/>
      <c r="C389" s="315"/>
      <c r="D389" s="302"/>
      <c r="E389" s="304"/>
      <c r="F389" s="304"/>
      <c r="G389" s="304"/>
      <c r="H389" s="304"/>
      <c r="I389" s="343"/>
      <c r="J389" s="304"/>
      <c r="K389" s="304"/>
      <c r="L389" s="304"/>
      <c r="M389" s="302"/>
    </row>
    <row r="390" spans="1:13" x14ac:dyDescent="0.25">
      <c r="A390" s="417"/>
      <c r="B390" s="302"/>
      <c r="C390" s="315"/>
      <c r="D390" s="302"/>
      <c r="E390" s="304"/>
      <c r="F390" s="304"/>
      <c r="G390" s="304"/>
      <c r="H390" s="304"/>
      <c r="I390" s="343"/>
      <c r="J390" s="304"/>
      <c r="K390" s="304"/>
      <c r="L390" s="304"/>
      <c r="M390" s="302"/>
    </row>
    <row r="391" spans="1:13" x14ac:dyDescent="0.25">
      <c r="A391" s="417"/>
      <c r="B391" s="302"/>
      <c r="C391" s="315"/>
      <c r="D391" s="302"/>
      <c r="E391" s="304"/>
      <c r="F391" s="304"/>
      <c r="G391" s="304"/>
      <c r="H391" s="304"/>
      <c r="I391" s="343"/>
      <c r="J391" s="304"/>
      <c r="K391" s="304"/>
      <c r="L391" s="304"/>
      <c r="M391" s="302"/>
    </row>
    <row r="392" spans="1:13" x14ac:dyDescent="0.25">
      <c r="A392" s="417"/>
      <c r="B392" s="302"/>
      <c r="C392" s="315"/>
      <c r="D392" s="302"/>
      <c r="E392" s="304"/>
      <c r="F392" s="304"/>
      <c r="G392" s="304"/>
      <c r="H392" s="304"/>
      <c r="I392" s="343"/>
      <c r="J392" s="304"/>
      <c r="K392" s="304"/>
      <c r="L392" s="304"/>
      <c r="M392" s="302"/>
    </row>
    <row r="393" spans="1:13" x14ac:dyDescent="0.25">
      <c r="A393" s="417"/>
      <c r="B393" s="302"/>
      <c r="C393" s="315"/>
      <c r="D393" s="302"/>
      <c r="E393" s="304"/>
      <c r="F393" s="304"/>
      <c r="G393" s="304"/>
      <c r="H393" s="304"/>
      <c r="I393" s="343"/>
      <c r="J393" s="304"/>
      <c r="K393" s="304"/>
      <c r="L393" s="304"/>
      <c r="M393" s="302"/>
    </row>
    <row r="394" spans="1:13" x14ac:dyDescent="0.25">
      <c r="A394" s="417"/>
      <c r="B394" s="302"/>
      <c r="C394" s="315"/>
      <c r="D394" s="302"/>
      <c r="E394" s="304"/>
      <c r="F394" s="304"/>
      <c r="G394" s="304"/>
      <c r="H394" s="304"/>
      <c r="I394" s="343"/>
      <c r="J394" s="304"/>
      <c r="K394" s="304"/>
      <c r="L394" s="304"/>
      <c r="M394" s="302"/>
    </row>
    <row r="395" spans="1:13" x14ac:dyDescent="0.25">
      <c r="A395" s="417"/>
      <c r="B395" s="302"/>
      <c r="C395" s="315"/>
      <c r="D395" s="302"/>
      <c r="E395" s="304"/>
      <c r="F395" s="304"/>
      <c r="G395" s="304"/>
      <c r="H395" s="304"/>
      <c r="I395" s="343"/>
      <c r="J395" s="304"/>
      <c r="K395" s="304"/>
      <c r="L395" s="304"/>
      <c r="M395" s="302"/>
    </row>
    <row r="396" spans="1:13" x14ac:dyDescent="0.25">
      <c r="A396" s="417"/>
      <c r="B396" s="302"/>
      <c r="C396" s="315"/>
      <c r="D396" s="302"/>
      <c r="E396" s="304"/>
      <c r="F396" s="304"/>
      <c r="G396" s="304"/>
      <c r="H396" s="304"/>
      <c r="I396" s="343"/>
      <c r="J396" s="304"/>
      <c r="K396" s="304"/>
      <c r="L396" s="304"/>
      <c r="M396" s="302"/>
    </row>
    <row r="397" spans="1:13" x14ac:dyDescent="0.25">
      <c r="A397" s="417"/>
      <c r="B397" s="302"/>
      <c r="C397" s="315"/>
      <c r="D397" s="302"/>
      <c r="E397" s="304"/>
      <c r="F397" s="304"/>
      <c r="G397" s="304"/>
      <c r="H397" s="304"/>
      <c r="I397" s="343"/>
      <c r="J397" s="304"/>
      <c r="K397" s="304"/>
      <c r="L397" s="304"/>
      <c r="M397" s="302"/>
    </row>
    <row r="398" spans="1:13" x14ac:dyDescent="0.25">
      <c r="A398" s="417"/>
      <c r="B398" s="302"/>
      <c r="C398" s="315"/>
      <c r="D398" s="302"/>
      <c r="E398" s="304"/>
      <c r="F398" s="304"/>
      <c r="G398" s="304"/>
      <c r="H398" s="304"/>
      <c r="I398" s="343"/>
      <c r="J398" s="304"/>
      <c r="K398" s="304"/>
      <c r="L398" s="304"/>
      <c r="M398" s="302"/>
    </row>
    <row r="399" spans="1:13" x14ac:dyDescent="0.25">
      <c r="A399" s="417"/>
      <c r="B399" s="302"/>
      <c r="C399" s="315"/>
      <c r="D399" s="302"/>
      <c r="E399" s="304"/>
      <c r="F399" s="304"/>
      <c r="G399" s="304"/>
      <c r="H399" s="304"/>
      <c r="I399" s="343"/>
      <c r="J399" s="304"/>
      <c r="K399" s="304"/>
      <c r="L399" s="304"/>
      <c r="M399" s="302"/>
    </row>
    <row r="400" spans="1:13" x14ac:dyDescent="0.25">
      <c r="A400" s="417"/>
      <c r="B400" s="302"/>
      <c r="C400" s="315"/>
      <c r="D400" s="302"/>
      <c r="E400" s="304"/>
      <c r="F400" s="304"/>
      <c r="G400" s="304"/>
      <c r="H400" s="304"/>
      <c r="I400" s="343"/>
      <c r="J400" s="304"/>
      <c r="K400" s="304"/>
      <c r="L400" s="304"/>
      <c r="M400" s="302"/>
    </row>
    <row r="401" spans="1:13" x14ac:dyDescent="0.25">
      <c r="A401" s="417"/>
      <c r="B401" s="302"/>
      <c r="C401" s="315"/>
      <c r="D401" s="302"/>
      <c r="E401" s="304"/>
      <c r="F401" s="304"/>
      <c r="G401" s="304"/>
      <c r="H401" s="304"/>
      <c r="I401" s="343"/>
      <c r="J401" s="304"/>
      <c r="K401" s="304"/>
      <c r="L401" s="304"/>
      <c r="M401" s="302"/>
    </row>
    <row r="402" spans="1:13" x14ac:dyDescent="0.25">
      <c r="A402" s="417"/>
      <c r="B402" s="302"/>
      <c r="C402" s="315"/>
      <c r="D402" s="302"/>
      <c r="E402" s="304"/>
      <c r="F402" s="304"/>
      <c r="G402" s="304"/>
      <c r="H402" s="304"/>
      <c r="I402" s="343"/>
      <c r="J402" s="304"/>
      <c r="K402" s="304"/>
      <c r="L402" s="304"/>
      <c r="M402" s="302"/>
    </row>
    <row r="403" spans="1:13" x14ac:dyDescent="0.25">
      <c r="A403" s="417"/>
      <c r="B403" s="302"/>
      <c r="C403" s="315"/>
      <c r="D403" s="302"/>
      <c r="E403" s="304"/>
      <c r="F403" s="304"/>
      <c r="G403" s="304"/>
      <c r="H403" s="304"/>
      <c r="I403" s="343"/>
      <c r="J403" s="304"/>
      <c r="K403" s="304"/>
      <c r="L403" s="304"/>
      <c r="M403" s="302"/>
    </row>
    <row r="404" spans="1:13" x14ac:dyDescent="0.25">
      <c r="A404" s="417"/>
      <c r="B404" s="302"/>
      <c r="C404" s="315"/>
      <c r="D404" s="302"/>
      <c r="E404" s="304"/>
      <c r="F404" s="304"/>
      <c r="G404" s="304"/>
      <c r="H404" s="304"/>
      <c r="I404" s="343"/>
      <c r="J404" s="304"/>
      <c r="K404" s="304"/>
      <c r="L404" s="304"/>
      <c r="M404" s="302"/>
    </row>
    <row r="405" spans="1:13" x14ac:dyDescent="0.25">
      <c r="A405" s="417"/>
      <c r="B405" s="302"/>
      <c r="C405" s="315"/>
      <c r="D405" s="302"/>
      <c r="E405" s="304"/>
      <c r="F405" s="304"/>
      <c r="G405" s="304"/>
      <c r="H405" s="304"/>
      <c r="I405" s="343"/>
      <c r="J405" s="304"/>
      <c r="K405" s="304"/>
      <c r="L405" s="304"/>
      <c r="M405" s="302"/>
    </row>
    <row r="406" spans="1:13" x14ac:dyDescent="0.25">
      <c r="A406" s="417"/>
      <c r="B406" s="302"/>
      <c r="C406" s="315"/>
      <c r="D406" s="302"/>
      <c r="E406" s="304"/>
      <c r="F406" s="304"/>
      <c r="G406" s="304"/>
      <c r="H406" s="304"/>
      <c r="I406" s="343"/>
      <c r="J406" s="304"/>
      <c r="K406" s="304"/>
      <c r="L406" s="304"/>
      <c r="M406" s="302"/>
    </row>
    <row r="407" spans="1:13" x14ac:dyDescent="0.25">
      <c r="A407" s="417"/>
      <c r="B407" s="302"/>
      <c r="C407" s="315"/>
      <c r="D407" s="302"/>
      <c r="E407" s="304"/>
      <c r="F407" s="304"/>
      <c r="G407" s="304"/>
      <c r="H407" s="304"/>
      <c r="I407" s="343"/>
      <c r="J407" s="304"/>
      <c r="K407" s="304"/>
      <c r="L407" s="304"/>
      <c r="M407" s="302"/>
    </row>
    <row r="408" spans="1:13" x14ac:dyDescent="0.25">
      <c r="A408" s="417"/>
      <c r="B408" s="302"/>
      <c r="C408" s="315"/>
      <c r="D408" s="302"/>
      <c r="E408" s="304"/>
      <c r="F408" s="304"/>
      <c r="G408" s="304"/>
      <c r="H408" s="304"/>
      <c r="I408" s="343"/>
      <c r="J408" s="304"/>
      <c r="K408" s="304"/>
      <c r="L408" s="304"/>
      <c r="M408" s="302"/>
    </row>
    <row r="409" spans="1:13" x14ac:dyDescent="0.25">
      <c r="A409" s="417"/>
      <c r="B409" s="302"/>
      <c r="C409" s="315"/>
      <c r="D409" s="302"/>
      <c r="E409" s="304"/>
      <c r="F409" s="304"/>
      <c r="G409" s="304"/>
      <c r="H409" s="304"/>
      <c r="I409" s="343"/>
      <c r="J409" s="304"/>
      <c r="K409" s="304"/>
      <c r="L409" s="304"/>
      <c r="M409" s="302"/>
    </row>
    <row r="410" spans="1:13" x14ac:dyDescent="0.25">
      <c r="A410" s="417"/>
      <c r="B410" s="302"/>
      <c r="C410" s="315"/>
      <c r="D410" s="302"/>
      <c r="E410" s="304"/>
      <c r="F410" s="304"/>
      <c r="G410" s="304"/>
      <c r="H410" s="304"/>
      <c r="I410" s="343"/>
      <c r="J410" s="304"/>
      <c r="K410" s="304"/>
      <c r="L410" s="304"/>
      <c r="M410" s="302"/>
    </row>
    <row r="411" spans="1:13" x14ac:dyDescent="0.25">
      <c r="A411" s="417"/>
      <c r="B411" s="302"/>
      <c r="C411" s="315"/>
      <c r="D411" s="302"/>
      <c r="E411" s="304"/>
      <c r="F411" s="304"/>
      <c r="G411" s="304"/>
      <c r="H411" s="304"/>
      <c r="I411" s="343"/>
      <c r="J411" s="304"/>
      <c r="K411" s="304"/>
      <c r="L411" s="304"/>
      <c r="M411" s="302"/>
    </row>
    <row r="412" spans="1:13" x14ac:dyDescent="0.25">
      <c r="A412" s="417"/>
      <c r="B412" s="302"/>
      <c r="C412" s="315"/>
      <c r="D412" s="302"/>
      <c r="E412" s="304"/>
      <c r="F412" s="304"/>
      <c r="G412" s="304"/>
      <c r="H412" s="304"/>
      <c r="I412" s="343"/>
      <c r="J412" s="304"/>
      <c r="K412" s="304"/>
      <c r="L412" s="304"/>
      <c r="M412" s="302"/>
    </row>
    <row r="413" spans="1:13" x14ac:dyDescent="0.25">
      <c r="A413" s="417"/>
      <c r="B413" s="302"/>
      <c r="C413" s="315"/>
      <c r="D413" s="302"/>
      <c r="E413" s="304"/>
      <c r="F413" s="304"/>
      <c r="G413" s="304"/>
      <c r="H413" s="304"/>
      <c r="I413" s="343"/>
      <c r="J413" s="304"/>
      <c r="K413" s="304"/>
      <c r="L413" s="304"/>
      <c r="M413" s="302"/>
    </row>
    <row r="414" spans="1:13" x14ac:dyDescent="0.25">
      <c r="A414" s="417"/>
      <c r="B414" s="302"/>
      <c r="C414" s="315"/>
      <c r="D414" s="302"/>
      <c r="E414" s="304"/>
      <c r="F414" s="304"/>
      <c r="G414" s="304"/>
      <c r="H414" s="304"/>
      <c r="I414" s="343"/>
      <c r="J414" s="304"/>
      <c r="K414" s="304"/>
      <c r="L414" s="304"/>
      <c r="M414" s="302"/>
    </row>
    <row r="415" spans="1:13" x14ac:dyDescent="0.25">
      <c r="A415" s="417"/>
      <c r="B415" s="302"/>
      <c r="C415" s="315"/>
      <c r="D415" s="302"/>
      <c r="E415" s="304"/>
      <c r="F415" s="304"/>
      <c r="G415" s="304"/>
      <c r="H415" s="304"/>
      <c r="I415" s="343"/>
      <c r="J415" s="304"/>
      <c r="K415" s="304"/>
      <c r="L415" s="304"/>
      <c r="M415" s="302"/>
    </row>
    <row r="416" spans="1:13" x14ac:dyDescent="0.25">
      <c r="A416" s="417"/>
      <c r="B416" s="302"/>
      <c r="C416" s="315"/>
      <c r="D416" s="302"/>
      <c r="E416" s="304"/>
      <c r="F416" s="304"/>
      <c r="G416" s="304"/>
      <c r="H416" s="304"/>
      <c r="I416" s="343"/>
      <c r="J416" s="304"/>
      <c r="K416" s="304"/>
      <c r="L416" s="304"/>
      <c r="M416" s="302"/>
    </row>
    <row r="417" spans="1:13" x14ac:dyDescent="0.25">
      <c r="A417" s="417"/>
      <c r="B417" s="302"/>
      <c r="C417" s="315"/>
      <c r="D417" s="302"/>
      <c r="E417" s="304"/>
      <c r="F417" s="304"/>
      <c r="G417" s="304"/>
      <c r="H417" s="304"/>
      <c r="I417" s="343"/>
      <c r="J417" s="304"/>
      <c r="K417" s="304"/>
      <c r="L417" s="304"/>
      <c r="M417" s="302"/>
    </row>
    <row r="418" spans="1:13" x14ac:dyDescent="0.25">
      <c r="A418" s="417"/>
      <c r="B418" s="302"/>
      <c r="C418" s="315"/>
      <c r="D418" s="302"/>
      <c r="E418" s="304"/>
      <c r="F418" s="304"/>
      <c r="G418" s="304"/>
      <c r="H418" s="304"/>
      <c r="I418" s="343"/>
      <c r="J418" s="304"/>
      <c r="K418" s="304"/>
      <c r="L418" s="304"/>
      <c r="M418" s="302"/>
    </row>
    <row r="419" spans="1:13" x14ac:dyDescent="0.25">
      <c r="A419" s="417"/>
      <c r="B419" s="302"/>
      <c r="C419" s="315"/>
      <c r="D419" s="302"/>
      <c r="E419" s="304"/>
      <c r="F419" s="304"/>
      <c r="G419" s="304"/>
      <c r="H419" s="304"/>
      <c r="I419" s="343"/>
      <c r="J419" s="304"/>
      <c r="K419" s="304"/>
      <c r="L419" s="304"/>
      <c r="M419" s="302"/>
    </row>
    <row r="420" spans="1:13" x14ac:dyDescent="0.25">
      <c r="A420" s="417"/>
      <c r="B420" s="302"/>
      <c r="C420" s="315"/>
      <c r="D420" s="302"/>
      <c r="E420" s="304"/>
      <c r="F420" s="304"/>
      <c r="G420" s="304"/>
      <c r="H420" s="304"/>
      <c r="I420" s="343"/>
      <c r="J420" s="304"/>
      <c r="K420" s="304"/>
      <c r="L420" s="304"/>
      <c r="M420" s="302"/>
    </row>
    <row r="421" spans="1:13" x14ac:dyDescent="0.25">
      <c r="A421" s="417"/>
      <c r="B421" s="302"/>
      <c r="C421" s="315"/>
      <c r="D421" s="302"/>
      <c r="E421" s="304"/>
      <c r="F421" s="304"/>
      <c r="G421" s="304"/>
      <c r="H421" s="304"/>
      <c r="I421" s="343"/>
      <c r="J421" s="304"/>
      <c r="K421" s="304"/>
      <c r="L421" s="304"/>
      <c r="M421" s="302"/>
    </row>
    <row r="422" spans="1:13" x14ac:dyDescent="0.25">
      <c r="A422" s="417"/>
      <c r="B422" s="302"/>
      <c r="C422" s="315"/>
      <c r="D422" s="302"/>
      <c r="E422" s="304"/>
      <c r="F422" s="304"/>
      <c r="G422" s="304"/>
      <c r="H422" s="304"/>
      <c r="I422" s="343"/>
      <c r="J422" s="304"/>
      <c r="K422" s="304"/>
      <c r="L422" s="304"/>
      <c r="M422" s="302"/>
    </row>
    <row r="423" spans="1:13" x14ac:dyDescent="0.25">
      <c r="A423" s="417"/>
      <c r="B423" s="302"/>
      <c r="C423" s="315"/>
      <c r="D423" s="302"/>
      <c r="E423" s="304"/>
      <c r="F423" s="304"/>
      <c r="G423" s="304"/>
      <c r="H423" s="304"/>
      <c r="I423" s="343"/>
      <c r="J423" s="304"/>
      <c r="K423" s="304"/>
      <c r="L423" s="304"/>
      <c r="M423" s="302"/>
    </row>
    <row r="424" spans="1:13" x14ac:dyDescent="0.25">
      <c r="A424" s="417"/>
      <c r="B424" s="302"/>
      <c r="C424" s="315"/>
      <c r="D424" s="302"/>
      <c r="E424" s="304"/>
      <c r="F424" s="304"/>
      <c r="G424" s="304"/>
      <c r="H424" s="304"/>
      <c r="I424" s="343"/>
      <c r="J424" s="304"/>
      <c r="K424" s="304"/>
      <c r="L424" s="304"/>
      <c r="M424" s="302"/>
    </row>
    <row r="425" spans="1:13" x14ac:dyDescent="0.25">
      <c r="A425" s="417"/>
      <c r="B425" s="302"/>
      <c r="C425" s="315"/>
      <c r="D425" s="302"/>
      <c r="E425" s="304"/>
      <c r="F425" s="304"/>
      <c r="G425" s="304"/>
      <c r="H425" s="304"/>
      <c r="I425" s="343"/>
      <c r="J425" s="304"/>
      <c r="K425" s="304"/>
      <c r="L425" s="304"/>
      <c r="M425" s="302"/>
    </row>
    <row r="426" spans="1:13" x14ac:dyDescent="0.25">
      <c r="A426" s="417"/>
      <c r="B426" s="302"/>
      <c r="C426" s="315"/>
      <c r="D426" s="302"/>
      <c r="E426" s="304"/>
      <c r="F426" s="304"/>
      <c r="G426" s="304"/>
      <c r="H426" s="304"/>
      <c r="I426" s="343"/>
      <c r="J426" s="304"/>
      <c r="K426" s="304"/>
      <c r="L426" s="304"/>
      <c r="M426" s="302"/>
    </row>
    <row r="427" spans="1:13" x14ac:dyDescent="0.25">
      <c r="A427" s="417"/>
      <c r="B427" s="302"/>
      <c r="C427" s="315"/>
      <c r="D427" s="302"/>
      <c r="E427" s="304"/>
      <c r="F427" s="304"/>
      <c r="G427" s="304"/>
      <c r="H427" s="304"/>
      <c r="I427" s="343"/>
      <c r="J427" s="304"/>
      <c r="K427" s="304"/>
      <c r="L427" s="304"/>
      <c r="M427" s="302"/>
    </row>
    <row r="428" spans="1:13" x14ac:dyDescent="0.25">
      <c r="A428" s="417"/>
      <c r="B428" s="302"/>
      <c r="C428" s="315"/>
      <c r="D428" s="302"/>
      <c r="E428" s="304"/>
      <c r="F428" s="304"/>
      <c r="G428" s="304"/>
      <c r="H428" s="304"/>
      <c r="I428" s="343"/>
      <c r="J428" s="304"/>
      <c r="K428" s="304"/>
      <c r="L428" s="304"/>
      <c r="M428" s="302"/>
    </row>
    <row r="429" spans="1:13" x14ac:dyDescent="0.25">
      <c r="A429" s="417"/>
      <c r="B429" s="302"/>
      <c r="C429" s="315"/>
      <c r="D429" s="302"/>
      <c r="E429" s="304"/>
      <c r="F429" s="304"/>
      <c r="G429" s="304"/>
      <c r="H429" s="304"/>
      <c r="I429" s="343"/>
      <c r="J429" s="304"/>
      <c r="K429" s="304"/>
      <c r="L429" s="304"/>
      <c r="M429" s="302"/>
    </row>
    <row r="430" spans="1:13" x14ac:dyDescent="0.25">
      <c r="A430" s="417"/>
      <c r="B430" s="302"/>
      <c r="C430" s="315"/>
      <c r="D430" s="302"/>
      <c r="E430" s="304"/>
      <c r="F430" s="304"/>
      <c r="G430" s="304"/>
      <c r="H430" s="304"/>
      <c r="I430" s="343"/>
      <c r="J430" s="304"/>
      <c r="K430" s="304"/>
      <c r="L430" s="304"/>
      <c r="M430" s="302"/>
    </row>
    <row r="431" spans="1:13" x14ac:dyDescent="0.25">
      <c r="A431" s="417"/>
      <c r="B431" s="302"/>
      <c r="C431" s="315"/>
      <c r="D431" s="302"/>
      <c r="E431" s="304"/>
      <c r="F431" s="304"/>
      <c r="G431" s="304"/>
      <c r="H431" s="304"/>
      <c r="I431" s="343"/>
      <c r="J431" s="304"/>
      <c r="K431" s="304"/>
      <c r="L431" s="304"/>
      <c r="M431" s="302"/>
    </row>
    <row r="432" spans="1:13" x14ac:dyDescent="0.25">
      <c r="A432" s="417"/>
      <c r="B432" s="302"/>
      <c r="C432" s="315"/>
      <c r="D432" s="302"/>
      <c r="E432" s="304"/>
      <c r="F432" s="304"/>
      <c r="G432" s="304"/>
      <c r="H432" s="304"/>
      <c r="I432" s="343"/>
      <c r="J432" s="304"/>
      <c r="K432" s="304"/>
      <c r="L432" s="304"/>
      <c r="M432" s="302"/>
    </row>
    <row r="433" spans="1:13" x14ac:dyDescent="0.25">
      <c r="A433" s="417"/>
      <c r="B433" s="302"/>
      <c r="C433" s="315"/>
      <c r="D433" s="302"/>
      <c r="E433" s="304"/>
      <c r="F433" s="304"/>
      <c r="G433" s="304"/>
      <c r="H433" s="304"/>
      <c r="I433" s="343"/>
      <c r="J433" s="304"/>
      <c r="K433" s="304"/>
      <c r="L433" s="304"/>
      <c r="M433" s="302"/>
    </row>
    <row r="434" spans="1:13" x14ac:dyDescent="0.25">
      <c r="A434" s="417"/>
      <c r="B434" s="302"/>
      <c r="C434" s="315"/>
      <c r="D434" s="302"/>
      <c r="E434" s="304"/>
      <c r="F434" s="304"/>
      <c r="G434" s="304"/>
      <c r="H434" s="304"/>
      <c r="I434" s="343"/>
      <c r="J434" s="304"/>
      <c r="K434" s="304"/>
      <c r="L434" s="304"/>
      <c r="M434" s="302"/>
    </row>
    <row r="435" spans="1:13" x14ac:dyDescent="0.25">
      <c r="A435" s="417"/>
      <c r="B435" s="302"/>
      <c r="C435" s="315"/>
      <c r="D435" s="302"/>
      <c r="E435" s="304"/>
      <c r="F435" s="304"/>
      <c r="G435" s="304"/>
      <c r="H435" s="304"/>
      <c r="I435" s="343"/>
      <c r="J435" s="304"/>
      <c r="K435" s="304"/>
      <c r="L435" s="304"/>
      <c r="M435" s="302"/>
    </row>
    <row r="436" spans="1:13" x14ac:dyDescent="0.25">
      <c r="A436" s="417"/>
      <c r="B436" s="302"/>
      <c r="C436" s="315"/>
      <c r="D436" s="302"/>
      <c r="E436" s="304"/>
      <c r="F436" s="304"/>
      <c r="G436" s="304"/>
      <c r="H436" s="304"/>
      <c r="I436" s="343"/>
      <c r="J436" s="304"/>
      <c r="K436" s="304"/>
      <c r="L436" s="304"/>
      <c r="M436" s="302"/>
    </row>
    <row r="437" spans="1:13" x14ac:dyDescent="0.25">
      <c r="A437" s="417"/>
      <c r="B437" s="302"/>
      <c r="C437" s="315"/>
      <c r="D437" s="302"/>
      <c r="E437" s="304"/>
      <c r="F437" s="304"/>
      <c r="G437" s="304"/>
      <c r="H437" s="304"/>
      <c r="I437" s="343"/>
      <c r="J437" s="304"/>
      <c r="K437" s="304"/>
      <c r="L437" s="304"/>
      <c r="M437" s="302"/>
    </row>
    <row r="438" spans="1:13" x14ac:dyDescent="0.25">
      <c r="A438" s="417"/>
      <c r="B438" s="302"/>
      <c r="C438" s="315"/>
      <c r="D438" s="302"/>
      <c r="E438" s="304"/>
      <c r="F438" s="304"/>
      <c r="G438" s="304"/>
      <c r="H438" s="304"/>
      <c r="I438" s="343"/>
      <c r="J438" s="304"/>
      <c r="K438" s="304"/>
      <c r="L438" s="304"/>
      <c r="M438" s="302"/>
    </row>
    <row r="439" spans="1:13" x14ac:dyDescent="0.25">
      <c r="A439" s="417"/>
      <c r="B439" s="302"/>
      <c r="C439" s="315"/>
      <c r="D439" s="302"/>
      <c r="E439" s="304"/>
      <c r="F439" s="304"/>
      <c r="G439" s="304"/>
      <c r="H439" s="304"/>
      <c r="I439" s="343"/>
      <c r="J439" s="304"/>
      <c r="K439" s="304"/>
      <c r="L439" s="304"/>
      <c r="M439" s="302"/>
    </row>
    <row r="440" spans="1:13" x14ac:dyDescent="0.25">
      <c r="A440" s="417"/>
      <c r="B440" s="302"/>
      <c r="C440" s="315"/>
      <c r="D440" s="302"/>
      <c r="E440" s="304"/>
      <c r="F440" s="304"/>
      <c r="G440" s="304"/>
      <c r="H440" s="304"/>
      <c r="I440" s="343"/>
      <c r="J440" s="304"/>
      <c r="K440" s="304"/>
      <c r="L440" s="304"/>
      <c r="M440" s="302"/>
    </row>
  </sheetData>
  <autoFilter ref="A2:X160" xr:uid="{EADAC9F5-7576-4F95-B208-6CF3F5408766}">
    <filterColumn colId="3">
      <filters>
        <filter val="RAN63C"/>
      </filters>
    </filterColumn>
  </autoFilter>
  <sortState xmlns:xlrd2="http://schemas.microsoft.com/office/spreadsheetml/2017/richdata2" ref="A3:O151">
    <sortCondition ref="A5:A151"/>
  </sortState>
  <mergeCells count="1">
    <mergeCell ref="E1:M1"/>
  </mergeCells>
  <conditionalFormatting sqref="A2:M440">
    <cfRule type="expression" dxfId="13" priority="2">
      <formula>MOD(ROW(),2)</formula>
    </cfRule>
  </conditionalFormatting>
  <dataValidations count="3">
    <dataValidation type="list" allowBlank="1" showInputMessage="1" showErrorMessage="1" sqref="D152 C2 C156:C158 C160:C432" xr:uid="{B543835A-1E85-4933-8616-AD2760B84125}">
      <formula1>$X$4:$X$14</formula1>
    </dataValidation>
    <dataValidation type="list" allowBlank="1" showInputMessage="1" showErrorMessage="1" sqref="K2:K3 K44:K52 K120 K38:K41 K24:K36 K5:K21 K54:K118 K122:K440" xr:uid="{82290BF3-9695-4941-8E26-ADF812203D97}">
      <formula1>$W$5:$W$6</formula1>
    </dataValidation>
    <dataValidation type="list" allowBlank="1" showInputMessage="1" showErrorMessage="1" sqref="C3:C155" xr:uid="{A055A987-B555-4B80-84B4-9E1F3A21A8F7}">
      <formula1>$X$4:$X$12</formula1>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95538-7007-4AA0-8C4C-4BB25E24DD97}">
  <sheetPr>
    <tabColor rgb="FFA20067"/>
  </sheetPr>
  <dimension ref="A1:K429"/>
  <sheetViews>
    <sheetView zoomScale="70" zoomScaleNormal="70" workbookViewId="0">
      <pane ySplit="2" topLeftCell="A131" activePane="bottomLeft" state="frozen"/>
      <selection activeCell="I322" sqref="I322"/>
      <selection pane="bottomLeft" activeCell="F182" sqref="F182"/>
    </sheetView>
  </sheetViews>
  <sheetFormatPr baseColWidth="10" defaultColWidth="11.5703125" defaultRowHeight="15" x14ac:dyDescent="0.25"/>
  <cols>
    <col min="1" max="1" width="12.28515625" style="442" bestFit="1" customWidth="1"/>
    <col min="2" max="2" width="48.5703125" style="314" customWidth="1"/>
    <col min="3" max="3" width="33.42578125" style="314" customWidth="1"/>
    <col min="4" max="4" width="31.7109375" style="314" customWidth="1"/>
    <col min="5" max="5" width="27.28515625" style="314" customWidth="1"/>
    <col min="6" max="7" width="53.5703125" style="314" customWidth="1"/>
    <col min="8" max="8" width="26.28515625" style="314" customWidth="1"/>
    <col min="9" max="9" width="27.7109375" style="442" bestFit="1" customWidth="1"/>
    <col min="10" max="10" width="25.28515625" style="447" customWidth="1"/>
    <col min="11" max="11" width="44.28515625" style="314" customWidth="1"/>
    <col min="12" max="17" width="11.5703125" style="314" bestFit="1" customWidth="1"/>
    <col min="18" max="16384" width="11.5703125" style="314"/>
  </cols>
  <sheetData>
    <row r="1" spans="1:11" ht="63.75" customHeight="1" thickBot="1" x14ac:dyDescent="0.3">
      <c r="A1" s="454"/>
      <c r="B1" s="453" t="s">
        <v>138</v>
      </c>
      <c r="C1" s="455">
        <f ca="1">TODAY()</f>
        <v>46161</v>
      </c>
      <c r="D1" s="456"/>
      <c r="E1" s="527" t="s">
        <v>1647</v>
      </c>
      <c r="F1" s="528"/>
      <c r="G1" s="528"/>
      <c r="H1" s="528"/>
      <c r="I1" s="528"/>
      <c r="J1" s="528"/>
      <c r="K1" s="528"/>
    </row>
    <row r="2" spans="1:11" s="446" customFormat="1" ht="91.5" customHeight="1" thickBot="1" x14ac:dyDescent="0.3">
      <c r="A2" s="18" t="s">
        <v>475</v>
      </c>
      <c r="B2" s="18" t="s">
        <v>140</v>
      </c>
      <c r="C2" s="139" t="s">
        <v>1648</v>
      </c>
      <c r="D2" s="195" t="s">
        <v>1649</v>
      </c>
      <c r="E2" s="196" t="s">
        <v>1650</v>
      </c>
      <c r="F2" s="300" t="s">
        <v>1651</v>
      </c>
      <c r="G2" s="193" t="s">
        <v>1652</v>
      </c>
      <c r="H2" s="193" t="s">
        <v>1653</v>
      </c>
      <c r="I2" s="340" t="s">
        <v>1654</v>
      </c>
      <c r="J2" s="195" t="s">
        <v>1655</v>
      </c>
      <c r="K2" s="195" t="s">
        <v>1656</v>
      </c>
    </row>
    <row r="3" spans="1:11" x14ac:dyDescent="0.25">
      <c r="A3" s="339">
        <v>45292</v>
      </c>
      <c r="B3" s="301" t="s">
        <v>87</v>
      </c>
      <c r="C3" s="370" t="s">
        <v>1657</v>
      </c>
      <c r="D3" s="301" t="s">
        <v>1658</v>
      </c>
      <c r="E3" s="301" t="s">
        <v>1659</v>
      </c>
      <c r="F3" s="301"/>
      <c r="G3" s="301" t="s">
        <v>1660</v>
      </c>
      <c r="H3" s="301" t="s">
        <v>1661</v>
      </c>
      <c r="I3" s="339">
        <v>45656</v>
      </c>
      <c r="J3" s="341"/>
      <c r="K3" s="339" t="s">
        <v>1662</v>
      </c>
    </row>
    <row r="4" spans="1:11" ht="28.5" x14ac:dyDescent="0.25">
      <c r="A4" s="334">
        <v>45447</v>
      </c>
      <c r="B4" s="302" t="s">
        <v>100</v>
      </c>
      <c r="C4" s="315" t="s">
        <v>1663</v>
      </c>
      <c r="D4" s="302" t="s">
        <v>1664</v>
      </c>
      <c r="E4" s="302" t="s">
        <v>1665</v>
      </c>
      <c r="F4" s="302"/>
      <c r="G4" s="302" t="s">
        <v>1666</v>
      </c>
      <c r="H4" s="302" t="s">
        <v>1667</v>
      </c>
      <c r="I4" s="334">
        <v>45477</v>
      </c>
      <c r="J4" s="342"/>
      <c r="K4" s="334" t="s">
        <v>1662</v>
      </c>
    </row>
    <row r="5" spans="1:11" ht="28.5" x14ac:dyDescent="0.25">
      <c r="A5" s="334">
        <v>45471</v>
      </c>
      <c r="B5" s="302" t="s">
        <v>87</v>
      </c>
      <c r="C5" s="315" t="s">
        <v>1657</v>
      </c>
      <c r="D5" s="302" t="s">
        <v>1668</v>
      </c>
      <c r="E5" s="302" t="s">
        <v>1669</v>
      </c>
      <c r="F5" s="302"/>
      <c r="G5" s="302" t="s">
        <v>1670</v>
      </c>
      <c r="H5" s="302" t="s">
        <v>1671</v>
      </c>
      <c r="I5" s="334">
        <v>45777</v>
      </c>
      <c r="J5" s="342"/>
      <c r="K5" s="334" t="s">
        <v>1662</v>
      </c>
    </row>
    <row r="6" spans="1:11" ht="28.5" x14ac:dyDescent="0.25">
      <c r="A6" s="334">
        <v>45562</v>
      </c>
      <c r="B6" s="302" t="s">
        <v>87</v>
      </c>
      <c r="C6" s="315" t="s">
        <v>1657</v>
      </c>
      <c r="D6" s="302" t="s">
        <v>1672</v>
      </c>
      <c r="E6" s="302"/>
      <c r="F6" s="302"/>
      <c r="G6" s="302" t="s">
        <v>1673</v>
      </c>
      <c r="H6" s="302" t="s">
        <v>1674</v>
      </c>
      <c r="I6" s="334">
        <v>46022</v>
      </c>
      <c r="J6" s="342"/>
      <c r="K6" s="334"/>
    </row>
    <row r="7" spans="1:11" x14ac:dyDescent="0.25">
      <c r="A7" s="334">
        <v>45562</v>
      </c>
      <c r="B7" s="302" t="s">
        <v>87</v>
      </c>
      <c r="C7" s="315" t="s">
        <v>1657</v>
      </c>
      <c r="D7" s="302" t="s">
        <v>1672</v>
      </c>
      <c r="E7" s="302"/>
      <c r="F7" s="302"/>
      <c r="G7" s="302" t="s">
        <v>1675</v>
      </c>
      <c r="H7" s="302" t="s">
        <v>1676</v>
      </c>
      <c r="I7" s="334">
        <v>46022</v>
      </c>
      <c r="J7" s="342"/>
      <c r="K7" s="334"/>
    </row>
    <row r="8" spans="1:11" ht="28.5" x14ac:dyDescent="0.25">
      <c r="A8" s="334">
        <v>45562</v>
      </c>
      <c r="B8" s="302" t="s">
        <v>87</v>
      </c>
      <c r="C8" s="315" t="s">
        <v>1657</v>
      </c>
      <c r="D8" s="302" t="s">
        <v>1672</v>
      </c>
      <c r="E8" s="302"/>
      <c r="F8" s="302"/>
      <c r="G8" s="302" t="s">
        <v>1677</v>
      </c>
      <c r="H8" s="302" t="s">
        <v>301</v>
      </c>
      <c r="I8" s="334">
        <v>46022</v>
      </c>
      <c r="J8" s="342"/>
      <c r="K8" s="334"/>
    </row>
    <row r="9" spans="1:11" x14ac:dyDescent="0.25">
      <c r="A9" s="334">
        <v>45562</v>
      </c>
      <c r="B9" s="302" t="s">
        <v>87</v>
      </c>
      <c r="C9" s="315" t="s">
        <v>1657</v>
      </c>
      <c r="D9" s="302" t="s">
        <v>1672</v>
      </c>
      <c r="E9" s="302"/>
      <c r="F9" s="302"/>
      <c r="G9" s="302" t="s">
        <v>1678</v>
      </c>
      <c r="H9" s="302" t="s">
        <v>1679</v>
      </c>
      <c r="I9" s="334">
        <v>46022</v>
      </c>
      <c r="J9" s="342"/>
      <c r="K9" s="334" t="s">
        <v>1662</v>
      </c>
    </row>
    <row r="10" spans="1:11" ht="28.5" x14ac:dyDescent="0.25">
      <c r="A10" s="334">
        <v>45562</v>
      </c>
      <c r="B10" s="302" t="s">
        <v>87</v>
      </c>
      <c r="C10" s="315" t="s">
        <v>1657</v>
      </c>
      <c r="D10" s="302" t="s">
        <v>1672</v>
      </c>
      <c r="E10" s="302"/>
      <c r="F10" s="302"/>
      <c r="G10" s="302" t="s">
        <v>1680</v>
      </c>
      <c r="H10" s="302" t="s">
        <v>1681</v>
      </c>
      <c r="I10" s="334">
        <v>46022</v>
      </c>
      <c r="J10" s="342"/>
      <c r="K10" s="334"/>
    </row>
    <row r="11" spans="1:11" x14ac:dyDescent="0.25">
      <c r="A11" s="334">
        <v>45562</v>
      </c>
      <c r="B11" s="302" t="s">
        <v>87</v>
      </c>
      <c r="C11" s="315" t="s">
        <v>1657</v>
      </c>
      <c r="D11" s="302" t="s">
        <v>1672</v>
      </c>
      <c r="E11" s="302"/>
      <c r="F11" s="302"/>
      <c r="G11" s="302" t="s">
        <v>1682</v>
      </c>
      <c r="H11" s="302" t="s">
        <v>1676</v>
      </c>
      <c r="I11" s="334">
        <v>46022</v>
      </c>
      <c r="J11" s="342"/>
      <c r="K11" s="334"/>
    </row>
    <row r="12" spans="1:11" x14ac:dyDescent="0.25">
      <c r="A12" s="334">
        <v>45562</v>
      </c>
      <c r="B12" s="302" t="s">
        <v>87</v>
      </c>
      <c r="C12" s="315" t="s">
        <v>1657</v>
      </c>
      <c r="D12" s="302" t="s">
        <v>1672</v>
      </c>
      <c r="E12" s="302"/>
      <c r="F12" s="302"/>
      <c r="G12" s="302" t="s">
        <v>1683</v>
      </c>
      <c r="H12" s="302" t="s">
        <v>301</v>
      </c>
      <c r="I12" s="334">
        <v>46022</v>
      </c>
      <c r="J12" s="342"/>
      <c r="K12" s="302"/>
    </row>
    <row r="13" spans="1:11" x14ac:dyDescent="0.25">
      <c r="A13" s="334">
        <v>45562</v>
      </c>
      <c r="B13" s="302" t="s">
        <v>87</v>
      </c>
      <c r="C13" s="315" t="s">
        <v>1657</v>
      </c>
      <c r="D13" s="302" t="s">
        <v>1672</v>
      </c>
      <c r="E13" s="302"/>
      <c r="F13" s="302"/>
      <c r="G13" s="302" t="s">
        <v>1684</v>
      </c>
      <c r="H13" s="302" t="s">
        <v>1685</v>
      </c>
      <c r="I13" s="334">
        <v>46022</v>
      </c>
      <c r="J13" s="342"/>
      <c r="K13" s="302"/>
    </row>
    <row r="14" spans="1:11" ht="28.5" x14ac:dyDescent="0.25">
      <c r="A14" s="334">
        <v>45562</v>
      </c>
      <c r="B14" s="302" t="s">
        <v>87</v>
      </c>
      <c r="C14" s="315" t="s">
        <v>1657</v>
      </c>
      <c r="D14" s="302" t="s">
        <v>1672</v>
      </c>
      <c r="E14" s="302"/>
      <c r="F14" s="302"/>
      <c r="G14" s="302" t="s">
        <v>1686</v>
      </c>
      <c r="H14" s="302"/>
      <c r="I14" s="334">
        <v>46022</v>
      </c>
      <c r="J14" s="342"/>
      <c r="K14" s="302"/>
    </row>
    <row r="15" spans="1:11" x14ac:dyDescent="0.25">
      <c r="A15" s="312">
        <v>45562</v>
      </c>
      <c r="B15" s="303" t="s">
        <v>87</v>
      </c>
      <c r="C15" s="313" t="s">
        <v>1657</v>
      </c>
      <c r="D15" s="302" t="s">
        <v>1672</v>
      </c>
      <c r="E15" s="302"/>
      <c r="F15" s="302"/>
      <c r="G15" s="303" t="s">
        <v>1687</v>
      </c>
      <c r="H15" s="303" t="s">
        <v>301</v>
      </c>
      <c r="I15" s="334">
        <v>46022</v>
      </c>
      <c r="J15" s="342"/>
      <c r="K15" s="302"/>
    </row>
    <row r="16" spans="1:11" ht="42.75" x14ac:dyDescent="0.25">
      <c r="A16" s="334">
        <v>45562</v>
      </c>
      <c r="B16" s="302" t="s">
        <v>87</v>
      </c>
      <c r="C16" s="315" t="s">
        <v>1657</v>
      </c>
      <c r="D16" s="302" t="s">
        <v>1672</v>
      </c>
      <c r="E16" s="302"/>
      <c r="F16" s="302"/>
      <c r="G16" s="302" t="s">
        <v>1688</v>
      </c>
      <c r="H16" s="302" t="s">
        <v>1689</v>
      </c>
      <c r="I16" s="334">
        <v>46022</v>
      </c>
      <c r="J16" s="342"/>
      <c r="K16" s="302"/>
    </row>
    <row r="17" spans="1:11" ht="42.75" x14ac:dyDescent="0.25">
      <c r="A17" s="312">
        <v>45562</v>
      </c>
      <c r="B17" s="303" t="s">
        <v>87</v>
      </c>
      <c r="C17" s="315" t="s">
        <v>1657</v>
      </c>
      <c r="D17" s="302" t="s">
        <v>1672</v>
      </c>
      <c r="E17" s="302"/>
      <c r="F17" s="302"/>
      <c r="G17" s="302" t="s">
        <v>1690</v>
      </c>
      <c r="H17" s="302" t="s">
        <v>1689</v>
      </c>
      <c r="I17" s="334">
        <v>46022</v>
      </c>
      <c r="J17" s="342"/>
      <c r="K17" s="302"/>
    </row>
    <row r="18" spans="1:11" ht="28.5" x14ac:dyDescent="0.25">
      <c r="A18" s="312">
        <v>45562</v>
      </c>
      <c r="B18" s="303" t="s">
        <v>87</v>
      </c>
      <c r="C18" s="315" t="s">
        <v>1657</v>
      </c>
      <c r="D18" s="302" t="s">
        <v>1672</v>
      </c>
      <c r="E18" s="302"/>
      <c r="F18" s="302"/>
      <c r="G18" s="302" t="s">
        <v>1691</v>
      </c>
      <c r="H18" s="302" t="s">
        <v>1692</v>
      </c>
      <c r="I18" s="334">
        <v>46022</v>
      </c>
      <c r="J18" s="342"/>
      <c r="K18" s="302"/>
    </row>
    <row r="19" spans="1:11" x14ac:dyDescent="0.25">
      <c r="A19" s="312">
        <v>45562</v>
      </c>
      <c r="B19" s="303" t="s">
        <v>87</v>
      </c>
      <c r="C19" s="315" t="s">
        <v>1657</v>
      </c>
      <c r="D19" s="302" t="s">
        <v>1672</v>
      </c>
      <c r="E19" s="302"/>
      <c r="F19" s="302"/>
      <c r="G19" s="302" t="s">
        <v>1693</v>
      </c>
      <c r="H19" s="302" t="s">
        <v>1676</v>
      </c>
      <c r="I19" s="334">
        <v>46022</v>
      </c>
      <c r="J19" s="342"/>
      <c r="K19" s="302"/>
    </row>
    <row r="20" spans="1:11" ht="28.5" x14ac:dyDescent="0.25">
      <c r="A20" s="312">
        <v>45562</v>
      </c>
      <c r="B20" s="303" t="s">
        <v>87</v>
      </c>
      <c r="C20" s="315" t="s">
        <v>1657</v>
      </c>
      <c r="D20" s="302" t="s">
        <v>1672</v>
      </c>
      <c r="E20" s="302"/>
      <c r="F20" s="302"/>
      <c r="G20" s="302" t="s">
        <v>1694</v>
      </c>
      <c r="H20" s="302" t="s">
        <v>1695</v>
      </c>
      <c r="I20" s="334">
        <v>46022</v>
      </c>
      <c r="J20" s="342"/>
      <c r="K20" s="302"/>
    </row>
    <row r="21" spans="1:11" x14ac:dyDescent="0.25">
      <c r="A21" s="312">
        <v>45562</v>
      </c>
      <c r="B21" s="303" t="s">
        <v>87</v>
      </c>
      <c r="C21" s="315" t="s">
        <v>1657</v>
      </c>
      <c r="D21" s="302" t="s">
        <v>1672</v>
      </c>
      <c r="E21" s="302"/>
      <c r="F21" s="302"/>
      <c r="G21" s="302" t="s">
        <v>1696</v>
      </c>
      <c r="H21" s="302" t="s">
        <v>1697</v>
      </c>
      <c r="I21" s="334">
        <v>46022</v>
      </c>
      <c r="J21" s="342"/>
      <c r="K21" s="302" t="s">
        <v>1662</v>
      </c>
    </row>
    <row r="22" spans="1:11" x14ac:dyDescent="0.25">
      <c r="A22" s="312">
        <v>45562</v>
      </c>
      <c r="B22" s="303" t="s">
        <v>87</v>
      </c>
      <c r="C22" s="315" t="s">
        <v>1657</v>
      </c>
      <c r="D22" s="302" t="s">
        <v>1672</v>
      </c>
      <c r="E22" s="302"/>
      <c r="F22" s="302"/>
      <c r="G22" s="302" t="s">
        <v>1698</v>
      </c>
      <c r="H22" s="302" t="s">
        <v>306</v>
      </c>
      <c r="I22" s="334">
        <v>46022</v>
      </c>
      <c r="J22" s="342"/>
      <c r="K22" s="302"/>
    </row>
    <row r="23" spans="1:11" x14ac:dyDescent="0.25">
      <c r="A23" s="312">
        <v>45562</v>
      </c>
      <c r="B23" s="303" t="s">
        <v>87</v>
      </c>
      <c r="C23" s="315" t="s">
        <v>1657</v>
      </c>
      <c r="D23" s="302" t="s">
        <v>1672</v>
      </c>
      <c r="E23" s="302"/>
      <c r="F23" s="302"/>
      <c r="G23" s="302" t="s">
        <v>1699</v>
      </c>
      <c r="H23" s="302" t="s">
        <v>1700</v>
      </c>
      <c r="I23" s="334">
        <v>46022</v>
      </c>
      <c r="J23" s="342"/>
      <c r="K23" s="302"/>
    </row>
    <row r="24" spans="1:11" x14ac:dyDescent="0.25">
      <c r="A24" s="312">
        <v>45562</v>
      </c>
      <c r="B24" s="303" t="s">
        <v>87</v>
      </c>
      <c r="C24" s="315" t="s">
        <v>1657</v>
      </c>
      <c r="D24" s="302" t="s">
        <v>1672</v>
      </c>
      <c r="E24" s="302"/>
      <c r="F24" s="302"/>
      <c r="G24" s="302" t="s">
        <v>1701</v>
      </c>
      <c r="H24" s="302" t="s">
        <v>1702</v>
      </c>
      <c r="I24" s="334">
        <v>46022</v>
      </c>
      <c r="J24" s="342"/>
      <c r="K24" s="302"/>
    </row>
    <row r="25" spans="1:11" x14ac:dyDescent="0.25">
      <c r="A25" s="312">
        <v>45562</v>
      </c>
      <c r="B25" s="303" t="s">
        <v>87</v>
      </c>
      <c r="C25" s="315" t="s">
        <v>1657</v>
      </c>
      <c r="D25" s="302" t="s">
        <v>1672</v>
      </c>
      <c r="E25" s="302"/>
      <c r="F25" s="302"/>
      <c r="G25" s="302" t="s">
        <v>1703</v>
      </c>
      <c r="H25" s="302" t="s">
        <v>1704</v>
      </c>
      <c r="I25" s="334">
        <v>46022</v>
      </c>
      <c r="J25" s="342"/>
      <c r="K25" s="302"/>
    </row>
    <row r="26" spans="1:11" x14ac:dyDescent="0.25">
      <c r="A26" s="312">
        <v>45562</v>
      </c>
      <c r="B26" s="303" t="s">
        <v>87</v>
      </c>
      <c r="C26" s="315" t="s">
        <v>1657</v>
      </c>
      <c r="D26" s="302" t="s">
        <v>1672</v>
      </c>
      <c r="E26" s="302"/>
      <c r="F26" s="302"/>
      <c r="G26" s="302" t="s">
        <v>1705</v>
      </c>
      <c r="H26" s="302" t="s">
        <v>235</v>
      </c>
      <c r="I26" s="334">
        <v>46022</v>
      </c>
      <c r="J26" s="342"/>
      <c r="K26" s="302" t="s">
        <v>1662</v>
      </c>
    </row>
    <row r="27" spans="1:11" x14ac:dyDescent="0.25">
      <c r="A27" s="312">
        <v>45562</v>
      </c>
      <c r="B27" s="303" t="s">
        <v>87</v>
      </c>
      <c r="C27" s="315" t="s">
        <v>1657</v>
      </c>
      <c r="D27" s="302" t="s">
        <v>1672</v>
      </c>
      <c r="E27" s="302"/>
      <c r="F27" s="302"/>
      <c r="G27" s="302" t="s">
        <v>1706</v>
      </c>
      <c r="H27" s="302" t="s">
        <v>1707</v>
      </c>
      <c r="I27" s="334">
        <v>46022</v>
      </c>
      <c r="J27" s="342"/>
      <c r="K27" s="302"/>
    </row>
    <row r="28" spans="1:11" ht="28.5" x14ac:dyDescent="0.25">
      <c r="A28" s="312">
        <v>45562</v>
      </c>
      <c r="B28" s="303" t="s">
        <v>87</v>
      </c>
      <c r="C28" s="315" t="s">
        <v>1657</v>
      </c>
      <c r="D28" s="302" t="s">
        <v>1672</v>
      </c>
      <c r="E28" s="302"/>
      <c r="F28" s="302"/>
      <c r="G28" s="302" t="s">
        <v>1708</v>
      </c>
      <c r="H28" s="302" t="s">
        <v>1709</v>
      </c>
      <c r="I28" s="334">
        <v>46022</v>
      </c>
      <c r="J28" s="342"/>
      <c r="K28" s="302"/>
    </row>
    <row r="29" spans="1:11" ht="28.5" x14ac:dyDescent="0.25">
      <c r="A29" s="417">
        <v>45566</v>
      </c>
      <c r="B29" s="303" t="s">
        <v>1657</v>
      </c>
      <c r="C29" s="318" t="s">
        <v>1657</v>
      </c>
      <c r="D29" s="304" t="s">
        <v>1710</v>
      </c>
      <c r="E29" s="304" t="s">
        <v>235</v>
      </c>
      <c r="F29" s="304"/>
      <c r="G29" s="304" t="s">
        <v>1711</v>
      </c>
      <c r="H29" s="304" t="s">
        <v>1712</v>
      </c>
      <c r="I29" s="416">
        <v>45657</v>
      </c>
      <c r="J29" s="343"/>
      <c r="K29" s="304" t="s">
        <v>1662</v>
      </c>
    </row>
    <row r="30" spans="1:11" ht="28.5" x14ac:dyDescent="0.25">
      <c r="A30" s="417">
        <v>45566</v>
      </c>
      <c r="B30" s="317" t="s">
        <v>1657</v>
      </c>
      <c r="C30" s="318" t="s">
        <v>1657</v>
      </c>
      <c r="D30" s="304" t="s">
        <v>1710</v>
      </c>
      <c r="E30" s="304" t="s">
        <v>1713</v>
      </c>
      <c r="F30" s="304"/>
      <c r="G30" s="304" t="s">
        <v>1714</v>
      </c>
      <c r="H30" s="304" t="s">
        <v>1715</v>
      </c>
      <c r="I30" s="416">
        <v>45658</v>
      </c>
      <c r="J30" s="343"/>
      <c r="K30" s="304" t="s">
        <v>1662</v>
      </c>
    </row>
    <row r="31" spans="1:11" ht="28.5" x14ac:dyDescent="0.25">
      <c r="A31" s="417">
        <v>45566</v>
      </c>
      <c r="B31" s="303" t="s">
        <v>1657</v>
      </c>
      <c r="C31" s="318" t="s">
        <v>1657</v>
      </c>
      <c r="D31" s="304" t="s">
        <v>1710</v>
      </c>
      <c r="E31" s="304" t="s">
        <v>235</v>
      </c>
      <c r="F31" s="304"/>
      <c r="G31" s="304" t="s">
        <v>1716</v>
      </c>
      <c r="H31" s="304" t="s">
        <v>1715</v>
      </c>
      <c r="I31" s="416">
        <v>45658</v>
      </c>
      <c r="J31" s="343"/>
      <c r="K31" s="304" t="s">
        <v>1662</v>
      </c>
    </row>
    <row r="32" spans="1:11" ht="28.5" x14ac:dyDescent="0.25">
      <c r="A32" s="417">
        <v>45566</v>
      </c>
      <c r="B32" s="303" t="s">
        <v>1657</v>
      </c>
      <c r="C32" s="318" t="s">
        <v>1657</v>
      </c>
      <c r="D32" s="304" t="s">
        <v>1710</v>
      </c>
      <c r="E32" s="304" t="s">
        <v>1717</v>
      </c>
      <c r="F32" s="304"/>
      <c r="G32" s="304" t="s">
        <v>1718</v>
      </c>
      <c r="H32" s="304" t="s">
        <v>1715</v>
      </c>
      <c r="I32" s="416">
        <v>46022</v>
      </c>
      <c r="J32" s="343"/>
      <c r="K32" s="304" t="s">
        <v>1719</v>
      </c>
    </row>
    <row r="33" spans="1:11" ht="28.5" x14ac:dyDescent="0.25">
      <c r="A33" s="417">
        <v>45566</v>
      </c>
      <c r="B33" s="317" t="s">
        <v>1657</v>
      </c>
      <c r="C33" s="318" t="s">
        <v>1657</v>
      </c>
      <c r="D33" s="304" t="s">
        <v>1710</v>
      </c>
      <c r="E33" s="304" t="s">
        <v>1720</v>
      </c>
      <c r="F33" s="304"/>
      <c r="G33" s="304" t="s">
        <v>1721</v>
      </c>
      <c r="H33" s="304" t="s">
        <v>1715</v>
      </c>
      <c r="I33" s="416">
        <v>45657</v>
      </c>
      <c r="J33" s="343"/>
      <c r="K33" s="304" t="s">
        <v>1662</v>
      </c>
    </row>
    <row r="34" spans="1:11" ht="28.5" x14ac:dyDescent="0.25">
      <c r="A34" s="417">
        <v>45566</v>
      </c>
      <c r="B34" s="317" t="s">
        <v>1657</v>
      </c>
      <c r="C34" s="318" t="s">
        <v>1657</v>
      </c>
      <c r="D34" s="304" t="s">
        <v>1710</v>
      </c>
      <c r="E34" s="304" t="s">
        <v>1720</v>
      </c>
      <c r="F34" s="304"/>
      <c r="G34" s="304" t="s">
        <v>1722</v>
      </c>
      <c r="H34" s="304" t="s">
        <v>1715</v>
      </c>
      <c r="I34" s="416">
        <v>46022</v>
      </c>
      <c r="J34" s="343"/>
      <c r="K34" s="304" t="s">
        <v>1719</v>
      </c>
    </row>
    <row r="35" spans="1:11" ht="28.5" x14ac:dyDescent="0.25">
      <c r="A35" s="417">
        <v>45566</v>
      </c>
      <c r="B35" s="317" t="s">
        <v>1657</v>
      </c>
      <c r="C35" s="318" t="s">
        <v>1657</v>
      </c>
      <c r="D35" s="304"/>
      <c r="E35" s="304"/>
      <c r="F35" s="304"/>
      <c r="G35" s="304" t="s">
        <v>1723</v>
      </c>
      <c r="H35" s="304" t="s">
        <v>1715</v>
      </c>
      <c r="I35" s="416">
        <v>45901</v>
      </c>
      <c r="J35" s="343"/>
      <c r="K35" s="304"/>
    </row>
    <row r="36" spans="1:11" ht="28.5" x14ac:dyDescent="0.25">
      <c r="A36" s="417">
        <v>45566</v>
      </c>
      <c r="B36" s="317" t="s">
        <v>1657</v>
      </c>
      <c r="C36" s="318" t="s">
        <v>1657</v>
      </c>
      <c r="D36" s="304" t="s">
        <v>1710</v>
      </c>
      <c r="E36" s="304"/>
      <c r="F36" s="304"/>
      <c r="G36" s="304" t="s">
        <v>1724</v>
      </c>
      <c r="H36" s="304" t="s">
        <v>1715</v>
      </c>
      <c r="I36" s="416">
        <v>45929</v>
      </c>
      <c r="J36" s="343"/>
      <c r="K36" s="304" t="s">
        <v>1662</v>
      </c>
    </row>
    <row r="37" spans="1:11" ht="28.5" x14ac:dyDescent="0.25">
      <c r="A37" s="417">
        <v>45566</v>
      </c>
      <c r="B37" s="317" t="s">
        <v>1657</v>
      </c>
      <c r="C37" s="318" t="s">
        <v>1657</v>
      </c>
      <c r="D37" s="304" t="s">
        <v>1710</v>
      </c>
      <c r="E37" s="304"/>
      <c r="F37" s="304"/>
      <c r="G37" s="304" t="s">
        <v>1725</v>
      </c>
      <c r="H37" s="304" t="s">
        <v>1715</v>
      </c>
      <c r="I37" s="416">
        <v>46022</v>
      </c>
      <c r="J37" s="343"/>
      <c r="K37" s="304"/>
    </row>
    <row r="38" spans="1:11" ht="28.5" x14ac:dyDescent="0.25">
      <c r="A38" s="417">
        <v>45566</v>
      </c>
      <c r="B38" s="317" t="s">
        <v>1657</v>
      </c>
      <c r="C38" s="318" t="s">
        <v>1657</v>
      </c>
      <c r="D38" s="304" t="s">
        <v>1710</v>
      </c>
      <c r="E38" s="304"/>
      <c r="F38" s="304"/>
      <c r="G38" s="304" t="s">
        <v>1726</v>
      </c>
      <c r="H38" s="304" t="s">
        <v>1715</v>
      </c>
      <c r="I38" s="416">
        <v>45901</v>
      </c>
      <c r="J38" s="343"/>
      <c r="K38" s="304"/>
    </row>
    <row r="39" spans="1:11" ht="28.5" x14ac:dyDescent="0.25">
      <c r="A39" s="417">
        <v>45566</v>
      </c>
      <c r="B39" s="317" t="s">
        <v>1657</v>
      </c>
      <c r="C39" s="318" t="s">
        <v>1657</v>
      </c>
      <c r="D39" s="304" t="s">
        <v>1710</v>
      </c>
      <c r="E39" s="304"/>
      <c r="F39" s="304"/>
      <c r="G39" s="304" t="s">
        <v>1727</v>
      </c>
      <c r="H39" s="304" t="s">
        <v>1715</v>
      </c>
      <c r="I39" s="416">
        <v>46022</v>
      </c>
      <c r="J39" s="343"/>
      <c r="K39" s="304"/>
    </row>
    <row r="40" spans="1:11" ht="28.5" x14ac:dyDescent="0.25">
      <c r="A40" s="417">
        <v>45566</v>
      </c>
      <c r="B40" s="317" t="s">
        <v>1657</v>
      </c>
      <c r="C40" s="318" t="s">
        <v>1657</v>
      </c>
      <c r="D40" s="304" t="s">
        <v>1710</v>
      </c>
      <c r="E40" s="304"/>
      <c r="F40" s="304"/>
      <c r="G40" s="304" t="s">
        <v>1728</v>
      </c>
      <c r="H40" s="304" t="s">
        <v>1715</v>
      </c>
      <c r="I40" s="416">
        <v>45931</v>
      </c>
      <c r="J40" s="343"/>
      <c r="K40" s="304" t="s">
        <v>1662</v>
      </c>
    </row>
    <row r="41" spans="1:11" ht="28.5" x14ac:dyDescent="0.25">
      <c r="A41" s="417">
        <v>45566</v>
      </c>
      <c r="B41" s="317" t="s">
        <v>1657</v>
      </c>
      <c r="C41" s="318" t="s">
        <v>1657</v>
      </c>
      <c r="D41" s="304" t="s">
        <v>1710</v>
      </c>
      <c r="E41" s="304"/>
      <c r="F41" s="304"/>
      <c r="G41" s="304" t="s">
        <v>1729</v>
      </c>
      <c r="H41" s="304" t="s">
        <v>1715</v>
      </c>
      <c r="I41" s="416">
        <v>46022</v>
      </c>
      <c r="J41" s="343"/>
      <c r="K41" s="304" t="s">
        <v>1662</v>
      </c>
    </row>
    <row r="42" spans="1:11" ht="28.5" x14ac:dyDescent="0.25">
      <c r="A42" s="417">
        <v>45566</v>
      </c>
      <c r="B42" s="317" t="s">
        <v>1657</v>
      </c>
      <c r="C42" s="318" t="s">
        <v>1657</v>
      </c>
      <c r="D42" s="304" t="s">
        <v>1710</v>
      </c>
      <c r="E42" s="304"/>
      <c r="F42" s="304"/>
      <c r="G42" s="304" t="s">
        <v>1730</v>
      </c>
      <c r="H42" s="304" t="s">
        <v>1715</v>
      </c>
      <c r="I42" s="416">
        <v>46022</v>
      </c>
      <c r="J42" s="343"/>
      <c r="K42" s="304" t="s">
        <v>1731</v>
      </c>
    </row>
    <row r="43" spans="1:11" ht="28.5" x14ac:dyDescent="0.25">
      <c r="A43" s="417">
        <v>45566</v>
      </c>
      <c r="B43" s="317" t="s">
        <v>1657</v>
      </c>
      <c r="C43" s="318" t="s">
        <v>1657</v>
      </c>
      <c r="D43" s="304" t="s">
        <v>1710</v>
      </c>
      <c r="E43" s="304"/>
      <c r="F43" s="304"/>
      <c r="G43" s="304" t="s">
        <v>1732</v>
      </c>
      <c r="H43" s="304" t="s">
        <v>1733</v>
      </c>
      <c r="I43" s="416">
        <v>45658</v>
      </c>
      <c r="J43" s="343"/>
      <c r="K43" s="304" t="s">
        <v>1731</v>
      </c>
    </row>
    <row r="44" spans="1:11" ht="28.5" x14ac:dyDescent="0.25">
      <c r="A44" s="417">
        <v>45566</v>
      </c>
      <c r="B44" s="317" t="s">
        <v>1657</v>
      </c>
      <c r="C44" s="318" t="s">
        <v>1657</v>
      </c>
      <c r="D44" s="304" t="s">
        <v>1710</v>
      </c>
      <c r="E44" s="304"/>
      <c r="F44" s="304"/>
      <c r="G44" s="304" t="s">
        <v>1734</v>
      </c>
      <c r="H44" s="304" t="s">
        <v>1715</v>
      </c>
      <c r="I44" s="416">
        <v>46022</v>
      </c>
      <c r="J44" s="343"/>
      <c r="K44" s="304" t="s">
        <v>1731</v>
      </c>
    </row>
    <row r="45" spans="1:11" x14ac:dyDescent="0.25">
      <c r="A45" s="417">
        <v>45566</v>
      </c>
      <c r="B45" s="317" t="s">
        <v>1657</v>
      </c>
      <c r="C45" s="318" t="s">
        <v>1657</v>
      </c>
      <c r="D45" s="304"/>
      <c r="E45" s="304"/>
      <c r="F45" s="304"/>
      <c r="G45" s="304" t="s">
        <v>1735</v>
      </c>
      <c r="H45" s="304" t="s">
        <v>1715</v>
      </c>
      <c r="I45" s="416">
        <v>45657</v>
      </c>
      <c r="J45" s="343"/>
      <c r="K45" s="304"/>
    </row>
    <row r="46" spans="1:11" x14ac:dyDescent="0.25">
      <c r="A46" s="417">
        <v>45566</v>
      </c>
      <c r="B46" s="317" t="s">
        <v>1657</v>
      </c>
      <c r="C46" s="318" t="s">
        <v>1657</v>
      </c>
      <c r="D46" s="304"/>
      <c r="E46" s="304"/>
      <c r="F46" s="304"/>
      <c r="G46" s="304" t="s">
        <v>1736</v>
      </c>
      <c r="H46" s="304" t="s">
        <v>311</v>
      </c>
      <c r="I46" s="416">
        <v>45657</v>
      </c>
      <c r="J46" s="343"/>
      <c r="K46" s="304" t="s">
        <v>1719</v>
      </c>
    </row>
    <row r="47" spans="1:11" ht="28.5" x14ac:dyDescent="0.25">
      <c r="A47" s="417">
        <v>45566</v>
      </c>
      <c r="B47" s="317" t="s">
        <v>1657</v>
      </c>
      <c r="C47" s="318" t="s">
        <v>1657</v>
      </c>
      <c r="D47" s="304"/>
      <c r="E47" s="304"/>
      <c r="F47" s="304"/>
      <c r="G47" s="304" t="s">
        <v>1737</v>
      </c>
      <c r="H47" s="304" t="s">
        <v>1715</v>
      </c>
      <c r="I47" s="416" t="s">
        <v>1738</v>
      </c>
      <c r="J47" s="343"/>
      <c r="K47" s="304"/>
    </row>
    <row r="48" spans="1:11" ht="28.5" x14ac:dyDescent="0.25">
      <c r="A48" s="417">
        <v>45566</v>
      </c>
      <c r="B48" s="303" t="s">
        <v>1657</v>
      </c>
      <c r="C48" s="318" t="s">
        <v>1657</v>
      </c>
      <c r="D48" s="304"/>
      <c r="E48" s="304"/>
      <c r="F48" s="304"/>
      <c r="G48" s="304" t="s">
        <v>1739</v>
      </c>
      <c r="H48" s="304" t="s">
        <v>1715</v>
      </c>
      <c r="I48" s="416" t="s">
        <v>1740</v>
      </c>
      <c r="J48" s="343"/>
      <c r="K48" s="304"/>
    </row>
    <row r="49" spans="1:11" ht="28.5" x14ac:dyDescent="0.25">
      <c r="A49" s="417">
        <v>45566</v>
      </c>
      <c r="B49" s="317" t="s">
        <v>1657</v>
      </c>
      <c r="C49" s="318" t="s">
        <v>1657</v>
      </c>
      <c r="D49" s="304"/>
      <c r="E49" s="304"/>
      <c r="F49" s="304"/>
      <c r="G49" s="304" t="s">
        <v>1741</v>
      </c>
      <c r="H49" s="304" t="s">
        <v>1742</v>
      </c>
      <c r="I49" s="416" t="s">
        <v>1743</v>
      </c>
      <c r="J49" s="343"/>
      <c r="K49" s="304"/>
    </row>
    <row r="50" spans="1:11" x14ac:dyDescent="0.25">
      <c r="A50" s="417">
        <v>45575</v>
      </c>
      <c r="B50" s="317" t="s">
        <v>468</v>
      </c>
      <c r="C50" s="318" t="s">
        <v>715</v>
      </c>
      <c r="D50" s="304" t="s">
        <v>1744</v>
      </c>
      <c r="E50" s="304" t="s">
        <v>1669</v>
      </c>
      <c r="F50" s="304"/>
      <c r="G50" s="304" t="s">
        <v>1745</v>
      </c>
      <c r="H50" s="304" t="s">
        <v>1667</v>
      </c>
      <c r="I50" s="416">
        <v>45575</v>
      </c>
      <c r="J50" s="343"/>
      <c r="K50" s="304" t="s">
        <v>1719</v>
      </c>
    </row>
    <row r="51" spans="1:11" ht="42.75" x14ac:dyDescent="0.25">
      <c r="A51" s="416">
        <v>45628</v>
      </c>
      <c r="B51" s="317" t="s">
        <v>305</v>
      </c>
      <c r="C51" s="318" t="s">
        <v>1657</v>
      </c>
      <c r="D51" s="304" t="s">
        <v>1746</v>
      </c>
      <c r="E51" s="304" t="s">
        <v>1669</v>
      </c>
      <c r="F51" s="304"/>
      <c r="G51" s="317" t="s">
        <v>1747</v>
      </c>
      <c r="H51" s="317" t="s">
        <v>1748</v>
      </c>
      <c r="I51" s="416">
        <v>45629</v>
      </c>
      <c r="J51" s="343"/>
      <c r="K51" s="304" t="s">
        <v>1662</v>
      </c>
    </row>
    <row r="52" spans="1:11" ht="71.25" x14ac:dyDescent="0.25">
      <c r="A52" s="417">
        <v>45628</v>
      </c>
      <c r="B52" s="317" t="s">
        <v>305</v>
      </c>
      <c r="C52" s="318" t="s">
        <v>1657</v>
      </c>
      <c r="D52" s="304" t="s">
        <v>1746</v>
      </c>
      <c r="E52" s="304" t="s">
        <v>1669</v>
      </c>
      <c r="F52" s="304"/>
      <c r="G52" s="304" t="s">
        <v>1749</v>
      </c>
      <c r="H52" s="304" t="s">
        <v>1750</v>
      </c>
      <c r="I52" s="416">
        <v>45993</v>
      </c>
      <c r="J52" s="343"/>
      <c r="K52" s="304" t="s">
        <v>1731</v>
      </c>
    </row>
    <row r="53" spans="1:11" ht="71.25" x14ac:dyDescent="0.25">
      <c r="A53" s="417">
        <v>45628</v>
      </c>
      <c r="B53" s="317" t="s">
        <v>305</v>
      </c>
      <c r="C53" s="318" t="s">
        <v>1657</v>
      </c>
      <c r="D53" s="304" t="s">
        <v>1746</v>
      </c>
      <c r="E53" s="304" t="s">
        <v>1717</v>
      </c>
      <c r="F53" s="304"/>
      <c r="G53" s="304" t="s">
        <v>1751</v>
      </c>
      <c r="H53" s="304" t="s">
        <v>1667</v>
      </c>
      <c r="I53" s="416">
        <v>45868</v>
      </c>
      <c r="J53" s="343"/>
      <c r="K53" s="304" t="s">
        <v>1662</v>
      </c>
    </row>
    <row r="54" spans="1:11" ht="42.75" x14ac:dyDescent="0.25">
      <c r="A54" s="417">
        <v>45628</v>
      </c>
      <c r="B54" s="317" t="s">
        <v>305</v>
      </c>
      <c r="C54" s="318" t="s">
        <v>1657</v>
      </c>
      <c r="D54" s="304" t="s">
        <v>1746</v>
      </c>
      <c r="E54" s="304" t="s">
        <v>1752</v>
      </c>
      <c r="F54" s="304"/>
      <c r="G54" s="304" t="s">
        <v>1753</v>
      </c>
      <c r="H54" s="304" t="s">
        <v>1750</v>
      </c>
      <c r="I54" s="416">
        <v>45667</v>
      </c>
      <c r="J54" s="343"/>
      <c r="K54" s="304" t="s">
        <v>1662</v>
      </c>
    </row>
    <row r="55" spans="1:11" ht="42.75" x14ac:dyDescent="0.25">
      <c r="A55" s="417">
        <v>45628</v>
      </c>
      <c r="B55" s="317" t="s">
        <v>305</v>
      </c>
      <c r="C55" s="318" t="s">
        <v>1657</v>
      </c>
      <c r="D55" s="304" t="s">
        <v>1746</v>
      </c>
      <c r="E55" s="304" t="s">
        <v>1669</v>
      </c>
      <c r="F55" s="304"/>
      <c r="G55" s="304" t="s">
        <v>1754</v>
      </c>
      <c r="H55" s="304" t="s">
        <v>1750</v>
      </c>
      <c r="I55" s="416">
        <v>45667</v>
      </c>
      <c r="J55" s="343"/>
      <c r="K55" s="304" t="s">
        <v>1662</v>
      </c>
    </row>
    <row r="56" spans="1:11" ht="42.75" x14ac:dyDescent="0.25">
      <c r="A56" s="417">
        <v>45628</v>
      </c>
      <c r="B56" s="317" t="s">
        <v>305</v>
      </c>
      <c r="C56" s="318" t="s">
        <v>1657</v>
      </c>
      <c r="D56" s="304" t="s">
        <v>1746</v>
      </c>
      <c r="E56" s="304" t="s">
        <v>1669</v>
      </c>
      <c r="F56" s="304"/>
      <c r="G56" s="304" t="s">
        <v>1755</v>
      </c>
      <c r="H56" s="304" t="s">
        <v>1667</v>
      </c>
      <c r="I56" s="416">
        <v>45667</v>
      </c>
      <c r="J56" s="343"/>
      <c r="K56" s="304" t="s">
        <v>1662</v>
      </c>
    </row>
    <row r="57" spans="1:11" x14ac:dyDescent="0.25">
      <c r="A57" s="417">
        <v>45639</v>
      </c>
      <c r="B57" s="317" t="s">
        <v>1657</v>
      </c>
      <c r="C57" s="318" t="s">
        <v>1657</v>
      </c>
      <c r="D57" s="304" t="s">
        <v>1756</v>
      </c>
      <c r="E57" s="304" t="s">
        <v>1757</v>
      </c>
      <c r="F57" s="304"/>
      <c r="G57" s="304" t="s">
        <v>1758</v>
      </c>
      <c r="H57" s="304" t="s">
        <v>1759</v>
      </c>
      <c r="I57" s="416">
        <v>45719</v>
      </c>
      <c r="J57" s="343"/>
      <c r="K57" s="304" t="s">
        <v>1662</v>
      </c>
    </row>
    <row r="58" spans="1:11" ht="28.5" x14ac:dyDescent="0.25">
      <c r="A58" s="417">
        <v>45641</v>
      </c>
      <c r="B58" s="303" t="s">
        <v>82</v>
      </c>
      <c r="C58" s="318" t="s">
        <v>1760</v>
      </c>
      <c r="D58" s="304" t="s">
        <v>1761</v>
      </c>
      <c r="E58" s="304" t="s">
        <v>1717</v>
      </c>
      <c r="F58" s="304"/>
      <c r="G58" s="304" t="s">
        <v>1762</v>
      </c>
      <c r="H58" s="304" t="s">
        <v>1763</v>
      </c>
      <c r="I58" s="416">
        <v>45667</v>
      </c>
      <c r="J58" s="343"/>
      <c r="K58" s="304" t="s">
        <v>1662</v>
      </c>
    </row>
    <row r="59" spans="1:11" ht="28.5" x14ac:dyDescent="0.25">
      <c r="A59" s="417">
        <v>45644</v>
      </c>
      <c r="B59" s="317" t="s">
        <v>82</v>
      </c>
      <c r="C59" s="318" t="s">
        <v>36</v>
      </c>
      <c r="D59" s="304" t="s">
        <v>1764</v>
      </c>
      <c r="E59" s="304" t="s">
        <v>1752</v>
      </c>
      <c r="F59" s="304"/>
      <c r="G59" s="304" t="s">
        <v>1765</v>
      </c>
      <c r="H59" s="304" t="s">
        <v>1766</v>
      </c>
      <c r="I59" s="416">
        <v>45688</v>
      </c>
      <c r="J59" s="343"/>
      <c r="K59" s="304"/>
    </row>
    <row r="60" spans="1:11" x14ac:dyDescent="0.25">
      <c r="A60" s="417">
        <v>45644</v>
      </c>
      <c r="B60" s="317" t="s">
        <v>82</v>
      </c>
      <c r="C60" s="318" t="s">
        <v>36</v>
      </c>
      <c r="D60" s="304" t="s">
        <v>1764</v>
      </c>
      <c r="E60" s="304" t="s">
        <v>1752</v>
      </c>
      <c r="F60" s="304"/>
      <c r="G60" s="304" t="s">
        <v>1767</v>
      </c>
      <c r="H60" s="304" t="s">
        <v>1766</v>
      </c>
      <c r="I60" s="416">
        <v>45688</v>
      </c>
      <c r="J60" s="343"/>
      <c r="K60" s="304"/>
    </row>
    <row r="61" spans="1:11" ht="28.5" x14ac:dyDescent="0.25">
      <c r="A61" s="417">
        <v>45644</v>
      </c>
      <c r="B61" s="317" t="s">
        <v>82</v>
      </c>
      <c r="C61" s="318" t="s">
        <v>36</v>
      </c>
      <c r="D61" s="304" t="s">
        <v>1764</v>
      </c>
      <c r="E61" s="304" t="s">
        <v>1752</v>
      </c>
      <c r="F61" s="304"/>
      <c r="G61" s="304" t="s">
        <v>1768</v>
      </c>
      <c r="H61" s="304" t="s">
        <v>1769</v>
      </c>
      <c r="I61" s="416">
        <v>45688</v>
      </c>
      <c r="J61" s="343"/>
      <c r="K61" s="304"/>
    </row>
    <row r="62" spans="1:11" ht="28.5" x14ac:dyDescent="0.25">
      <c r="A62" s="417">
        <v>45644</v>
      </c>
      <c r="B62" s="317" t="s">
        <v>82</v>
      </c>
      <c r="C62" s="318" t="s">
        <v>36</v>
      </c>
      <c r="D62" s="304" t="s">
        <v>1764</v>
      </c>
      <c r="E62" s="304" t="s">
        <v>1752</v>
      </c>
      <c r="F62" s="304"/>
      <c r="G62" s="304" t="s">
        <v>1770</v>
      </c>
      <c r="H62" s="304" t="s">
        <v>1771</v>
      </c>
      <c r="I62" s="416">
        <v>45688</v>
      </c>
      <c r="J62" s="343"/>
      <c r="K62" s="304"/>
    </row>
    <row r="63" spans="1:11" ht="42.75" x14ac:dyDescent="0.25">
      <c r="A63" s="417">
        <v>45663</v>
      </c>
      <c r="B63" s="317" t="s">
        <v>82</v>
      </c>
      <c r="C63" s="318" t="s">
        <v>1772</v>
      </c>
      <c r="D63" s="304" t="s">
        <v>1764</v>
      </c>
      <c r="E63" s="304" t="s">
        <v>1669</v>
      </c>
      <c r="F63" s="304"/>
      <c r="G63" s="304" t="s">
        <v>1773</v>
      </c>
      <c r="H63" s="304" t="s">
        <v>1774</v>
      </c>
      <c r="I63" s="416" t="s">
        <v>1775</v>
      </c>
      <c r="J63" s="343"/>
      <c r="K63" s="304"/>
    </row>
    <row r="64" spans="1:11" ht="28.5" x14ac:dyDescent="0.25">
      <c r="A64" s="417">
        <v>45663</v>
      </c>
      <c r="B64" s="317" t="s">
        <v>82</v>
      </c>
      <c r="C64" s="318" t="s">
        <v>1772</v>
      </c>
      <c r="D64" s="304" t="s">
        <v>1764</v>
      </c>
      <c r="E64" s="304" t="s">
        <v>1669</v>
      </c>
      <c r="F64" s="304"/>
      <c r="G64" s="304" t="s">
        <v>1776</v>
      </c>
      <c r="H64" s="304" t="s">
        <v>1774</v>
      </c>
      <c r="I64" s="416" t="s">
        <v>1775</v>
      </c>
      <c r="J64" s="343"/>
      <c r="K64" s="304"/>
    </row>
    <row r="65" spans="1:11" x14ac:dyDescent="0.25">
      <c r="A65" s="417">
        <v>45663</v>
      </c>
      <c r="B65" s="317" t="s">
        <v>82</v>
      </c>
      <c r="C65" s="318" t="s">
        <v>1772</v>
      </c>
      <c r="D65" s="304" t="s">
        <v>1764</v>
      </c>
      <c r="E65" s="304" t="s">
        <v>1669</v>
      </c>
      <c r="F65" s="304"/>
      <c r="G65" s="304" t="s">
        <v>1777</v>
      </c>
      <c r="H65" s="304" t="s">
        <v>1774</v>
      </c>
      <c r="I65" s="416" t="s">
        <v>1775</v>
      </c>
      <c r="J65" s="343"/>
      <c r="K65" s="304"/>
    </row>
    <row r="66" spans="1:11" x14ac:dyDescent="0.25">
      <c r="A66" s="417">
        <v>45663</v>
      </c>
      <c r="B66" s="317" t="s">
        <v>82</v>
      </c>
      <c r="C66" s="318" t="s">
        <v>1772</v>
      </c>
      <c r="D66" s="304" t="s">
        <v>1764</v>
      </c>
      <c r="E66" s="304" t="s">
        <v>1669</v>
      </c>
      <c r="F66" s="304"/>
      <c r="G66" s="304" t="s">
        <v>1778</v>
      </c>
      <c r="H66" s="304" t="s">
        <v>1774</v>
      </c>
      <c r="I66" s="416" t="s">
        <v>1775</v>
      </c>
      <c r="J66" s="343"/>
      <c r="K66" s="304"/>
    </row>
    <row r="67" spans="1:11" x14ac:dyDescent="0.25">
      <c r="A67" s="417">
        <v>45663</v>
      </c>
      <c r="B67" s="317" t="s">
        <v>82</v>
      </c>
      <c r="C67" s="318" t="s">
        <v>1772</v>
      </c>
      <c r="D67" s="304" t="s">
        <v>1764</v>
      </c>
      <c r="E67" s="304" t="s">
        <v>1669</v>
      </c>
      <c r="F67" s="304"/>
      <c r="G67" s="304" t="s">
        <v>1779</v>
      </c>
      <c r="H67" s="304" t="s">
        <v>1774</v>
      </c>
      <c r="I67" s="416" t="s">
        <v>1775</v>
      </c>
      <c r="J67" s="343"/>
      <c r="K67" s="304"/>
    </row>
    <row r="68" spans="1:11" x14ac:dyDescent="0.25">
      <c r="A68" s="417">
        <v>45663</v>
      </c>
      <c r="B68" s="317" t="s">
        <v>82</v>
      </c>
      <c r="C68" s="318" t="s">
        <v>1772</v>
      </c>
      <c r="D68" s="304" t="s">
        <v>1764</v>
      </c>
      <c r="E68" s="304" t="s">
        <v>1669</v>
      </c>
      <c r="F68" s="304"/>
      <c r="G68" s="304" t="s">
        <v>1780</v>
      </c>
      <c r="H68" s="304" t="s">
        <v>1774</v>
      </c>
      <c r="I68" s="416" t="s">
        <v>1775</v>
      </c>
      <c r="J68" s="343"/>
      <c r="K68" s="304"/>
    </row>
    <row r="69" spans="1:11" x14ac:dyDescent="0.25">
      <c r="A69" s="417">
        <v>45663</v>
      </c>
      <c r="B69" s="317" t="s">
        <v>82</v>
      </c>
      <c r="C69" s="318" t="s">
        <v>1772</v>
      </c>
      <c r="D69" s="304" t="s">
        <v>1764</v>
      </c>
      <c r="E69" s="304" t="s">
        <v>1669</v>
      </c>
      <c r="F69" s="304"/>
      <c r="G69" s="304" t="s">
        <v>1781</v>
      </c>
      <c r="H69" s="304" t="s">
        <v>1774</v>
      </c>
      <c r="I69" s="416">
        <v>45838</v>
      </c>
      <c r="J69" s="343"/>
      <c r="K69" s="304"/>
    </row>
    <row r="70" spans="1:11" ht="28.5" x14ac:dyDescent="0.25">
      <c r="A70" s="417">
        <v>45663</v>
      </c>
      <c r="B70" s="317" t="s">
        <v>82</v>
      </c>
      <c r="C70" s="318" t="s">
        <v>1772</v>
      </c>
      <c r="D70" s="304" t="s">
        <v>1764</v>
      </c>
      <c r="E70" s="304" t="s">
        <v>1669</v>
      </c>
      <c r="F70" s="304"/>
      <c r="G70" s="304" t="s">
        <v>1782</v>
      </c>
      <c r="H70" s="304" t="s">
        <v>1774</v>
      </c>
      <c r="I70" s="416">
        <v>46021</v>
      </c>
      <c r="J70" s="343"/>
      <c r="K70" s="304"/>
    </row>
    <row r="71" spans="1:11" ht="28.5" x14ac:dyDescent="0.25">
      <c r="A71" s="417">
        <v>45664</v>
      </c>
      <c r="B71" s="303" t="s">
        <v>468</v>
      </c>
      <c r="C71" s="318" t="s">
        <v>578</v>
      </c>
      <c r="D71" s="304" t="s">
        <v>1664</v>
      </c>
      <c r="E71" s="304" t="s">
        <v>1783</v>
      </c>
      <c r="F71" s="304"/>
      <c r="G71" s="304" t="s">
        <v>1784</v>
      </c>
      <c r="H71" s="304" t="s">
        <v>1750</v>
      </c>
      <c r="I71" s="416">
        <v>45747</v>
      </c>
      <c r="J71" s="343"/>
      <c r="K71" s="304"/>
    </row>
    <row r="72" spans="1:11" x14ac:dyDescent="0.25">
      <c r="A72" s="417">
        <v>45677</v>
      </c>
      <c r="B72" s="303" t="s">
        <v>87</v>
      </c>
      <c r="C72" s="318" t="s">
        <v>1657</v>
      </c>
      <c r="D72" s="304" t="s">
        <v>1668</v>
      </c>
      <c r="E72" s="304"/>
      <c r="F72" s="304"/>
      <c r="G72" s="304" t="s">
        <v>1785</v>
      </c>
      <c r="H72" s="304" t="s">
        <v>1704</v>
      </c>
      <c r="I72" s="416">
        <v>45777</v>
      </c>
      <c r="J72" s="343"/>
      <c r="K72" s="304" t="s">
        <v>1662</v>
      </c>
    </row>
    <row r="73" spans="1:11" x14ac:dyDescent="0.25">
      <c r="A73" s="416">
        <v>45677</v>
      </c>
      <c r="B73" s="317" t="s">
        <v>87</v>
      </c>
      <c r="C73" s="318" t="s">
        <v>1657</v>
      </c>
      <c r="D73" s="304" t="s">
        <v>1668</v>
      </c>
      <c r="E73" s="304"/>
      <c r="F73" s="304"/>
      <c r="G73" s="317" t="s">
        <v>1786</v>
      </c>
      <c r="H73" s="317"/>
      <c r="I73" s="416"/>
      <c r="J73" s="343"/>
      <c r="K73" s="304" t="s">
        <v>1731</v>
      </c>
    </row>
    <row r="74" spans="1:11" x14ac:dyDescent="0.25">
      <c r="A74" s="417">
        <v>45677</v>
      </c>
      <c r="B74" s="317" t="s">
        <v>87</v>
      </c>
      <c r="C74" s="318" t="s">
        <v>1657</v>
      </c>
      <c r="D74" s="304" t="s">
        <v>1668</v>
      </c>
      <c r="E74" s="304"/>
      <c r="F74" s="304"/>
      <c r="G74" s="304" t="s">
        <v>1787</v>
      </c>
      <c r="H74" s="304" t="s">
        <v>1788</v>
      </c>
      <c r="I74" s="416">
        <v>45688</v>
      </c>
      <c r="J74" s="343"/>
      <c r="K74" s="304"/>
    </row>
    <row r="75" spans="1:11" ht="28.5" x14ac:dyDescent="0.25">
      <c r="A75" s="417">
        <v>45677</v>
      </c>
      <c r="B75" s="303" t="s">
        <v>87</v>
      </c>
      <c r="C75" s="318" t="s">
        <v>1657</v>
      </c>
      <c r="D75" s="304" t="s">
        <v>1668</v>
      </c>
      <c r="E75" s="304"/>
      <c r="F75" s="304"/>
      <c r="G75" s="304" t="s">
        <v>1789</v>
      </c>
      <c r="H75" s="304"/>
      <c r="I75" s="416">
        <v>45901</v>
      </c>
      <c r="J75" s="343"/>
      <c r="K75" s="304"/>
    </row>
    <row r="76" spans="1:11" x14ac:dyDescent="0.25">
      <c r="A76" s="417">
        <v>45677</v>
      </c>
      <c r="B76" s="317" t="s">
        <v>87</v>
      </c>
      <c r="C76" s="318" t="s">
        <v>1657</v>
      </c>
      <c r="D76" s="304" t="s">
        <v>1668</v>
      </c>
      <c r="E76" s="304"/>
      <c r="F76" s="304"/>
      <c r="G76" s="304" t="s">
        <v>1790</v>
      </c>
      <c r="H76" s="304"/>
      <c r="I76" s="416">
        <v>46022</v>
      </c>
      <c r="J76" s="343"/>
      <c r="K76" s="304"/>
    </row>
    <row r="77" spans="1:11" x14ac:dyDescent="0.25">
      <c r="A77" s="417">
        <v>45677</v>
      </c>
      <c r="B77" s="317" t="s">
        <v>87</v>
      </c>
      <c r="C77" s="318" t="s">
        <v>1657</v>
      </c>
      <c r="D77" s="304" t="s">
        <v>1668</v>
      </c>
      <c r="E77" s="304"/>
      <c r="F77" s="304"/>
      <c r="G77" s="304" t="s">
        <v>1791</v>
      </c>
      <c r="H77" s="304" t="s">
        <v>1792</v>
      </c>
      <c r="I77" s="416">
        <v>45869</v>
      </c>
      <c r="J77" s="343"/>
      <c r="K77" s="304" t="s">
        <v>1719</v>
      </c>
    </row>
    <row r="78" spans="1:11" x14ac:dyDescent="0.25">
      <c r="A78" s="417">
        <v>45677</v>
      </c>
      <c r="B78" s="317" t="s">
        <v>87</v>
      </c>
      <c r="C78" s="318" t="s">
        <v>1657</v>
      </c>
      <c r="D78" s="304" t="s">
        <v>1668</v>
      </c>
      <c r="E78" s="304"/>
      <c r="F78" s="304"/>
      <c r="G78" s="304" t="s">
        <v>1793</v>
      </c>
      <c r="H78" s="304" t="s">
        <v>1794</v>
      </c>
      <c r="I78" s="416">
        <v>46022</v>
      </c>
      <c r="J78" s="343"/>
      <c r="K78" s="304"/>
    </row>
    <row r="79" spans="1:11" ht="28.5" x14ac:dyDescent="0.25">
      <c r="A79" s="417">
        <v>45677</v>
      </c>
      <c r="B79" s="317" t="s">
        <v>87</v>
      </c>
      <c r="C79" s="318" t="s">
        <v>1657</v>
      </c>
      <c r="D79" s="304" t="s">
        <v>1668</v>
      </c>
      <c r="E79" s="304"/>
      <c r="F79" s="304"/>
      <c r="G79" s="304" t="s">
        <v>1795</v>
      </c>
      <c r="H79" s="304" t="s">
        <v>1794</v>
      </c>
      <c r="I79" s="416">
        <v>46022</v>
      </c>
      <c r="J79" s="343"/>
      <c r="K79" s="304"/>
    </row>
    <row r="80" spans="1:11" x14ac:dyDescent="0.25">
      <c r="A80" s="417">
        <v>45677</v>
      </c>
      <c r="B80" s="317" t="s">
        <v>87</v>
      </c>
      <c r="C80" s="318" t="s">
        <v>1657</v>
      </c>
      <c r="D80" s="304" t="s">
        <v>1668</v>
      </c>
      <c r="E80" s="304"/>
      <c r="F80" s="304"/>
      <c r="G80" s="304" t="s">
        <v>1796</v>
      </c>
      <c r="H80" s="304" t="s">
        <v>311</v>
      </c>
      <c r="I80" s="416">
        <v>46022</v>
      </c>
      <c r="J80" s="343"/>
      <c r="K80" s="304"/>
    </row>
    <row r="81" spans="1:11" x14ac:dyDescent="0.25">
      <c r="A81" s="417">
        <v>45677</v>
      </c>
      <c r="B81" s="317" t="s">
        <v>87</v>
      </c>
      <c r="C81" s="318" t="s">
        <v>1657</v>
      </c>
      <c r="D81" s="304" t="s">
        <v>1668</v>
      </c>
      <c r="E81" s="304"/>
      <c r="F81" s="304"/>
      <c r="G81" s="304" t="s">
        <v>1797</v>
      </c>
      <c r="H81" s="304" t="s">
        <v>311</v>
      </c>
      <c r="I81" s="416">
        <v>46022</v>
      </c>
      <c r="J81" s="343"/>
      <c r="K81" s="304"/>
    </row>
    <row r="82" spans="1:11" x14ac:dyDescent="0.25">
      <c r="A82" s="417">
        <v>45677</v>
      </c>
      <c r="B82" s="317" t="s">
        <v>87</v>
      </c>
      <c r="C82" s="318" t="s">
        <v>1657</v>
      </c>
      <c r="D82" s="304" t="s">
        <v>1668</v>
      </c>
      <c r="E82" s="304"/>
      <c r="F82" s="304"/>
      <c r="G82" s="304" t="s">
        <v>1798</v>
      </c>
      <c r="H82" s="304" t="s">
        <v>1799</v>
      </c>
      <c r="I82" s="416">
        <v>45805</v>
      </c>
      <c r="J82" s="343"/>
      <c r="K82" s="304" t="s">
        <v>1662</v>
      </c>
    </row>
    <row r="83" spans="1:11" ht="28.5" x14ac:dyDescent="0.25">
      <c r="A83" s="417">
        <v>45677</v>
      </c>
      <c r="B83" s="317" t="s">
        <v>87</v>
      </c>
      <c r="C83" s="318" t="s">
        <v>1657</v>
      </c>
      <c r="D83" s="304" t="s">
        <v>1668</v>
      </c>
      <c r="E83" s="304"/>
      <c r="F83" s="304"/>
      <c r="G83" s="304" t="s">
        <v>1800</v>
      </c>
      <c r="H83" s="304" t="s">
        <v>1801</v>
      </c>
      <c r="I83" s="416">
        <v>45930</v>
      </c>
      <c r="J83" s="343"/>
      <c r="K83" s="304"/>
    </row>
    <row r="84" spans="1:11" x14ac:dyDescent="0.25">
      <c r="A84" s="417">
        <v>45677</v>
      </c>
      <c r="B84" s="317" t="s">
        <v>87</v>
      </c>
      <c r="C84" s="318" t="s">
        <v>1657</v>
      </c>
      <c r="D84" s="304" t="s">
        <v>1668</v>
      </c>
      <c r="E84" s="304"/>
      <c r="F84" s="304"/>
      <c r="G84" s="304" t="s">
        <v>1802</v>
      </c>
      <c r="H84" s="304" t="s">
        <v>1799</v>
      </c>
      <c r="I84" s="416">
        <v>45731</v>
      </c>
      <c r="J84" s="343"/>
      <c r="K84" s="304" t="s">
        <v>1662</v>
      </c>
    </row>
    <row r="85" spans="1:11" ht="28.5" x14ac:dyDescent="0.25">
      <c r="A85" s="417">
        <v>45677</v>
      </c>
      <c r="B85" s="317" t="s">
        <v>87</v>
      </c>
      <c r="C85" s="318" t="s">
        <v>1657</v>
      </c>
      <c r="D85" s="304" t="s">
        <v>1668</v>
      </c>
      <c r="E85" s="304"/>
      <c r="F85" s="304"/>
      <c r="G85" s="304" t="s">
        <v>1803</v>
      </c>
      <c r="H85" s="304" t="s">
        <v>1804</v>
      </c>
      <c r="I85" s="416">
        <v>45716</v>
      </c>
      <c r="J85" s="343"/>
      <c r="K85" s="304"/>
    </row>
    <row r="86" spans="1:11" ht="28.5" x14ac:dyDescent="0.25">
      <c r="A86" s="417">
        <v>45677</v>
      </c>
      <c r="B86" s="317" t="s">
        <v>87</v>
      </c>
      <c r="C86" s="318" t="s">
        <v>1657</v>
      </c>
      <c r="D86" s="304" t="s">
        <v>1668</v>
      </c>
      <c r="E86" s="304"/>
      <c r="F86" s="304"/>
      <c r="G86" s="304" t="s">
        <v>1805</v>
      </c>
      <c r="H86" s="304" t="s">
        <v>1806</v>
      </c>
      <c r="I86" s="416">
        <v>45775</v>
      </c>
      <c r="J86" s="343"/>
      <c r="K86" s="304" t="s">
        <v>1719</v>
      </c>
    </row>
    <row r="87" spans="1:11" x14ac:dyDescent="0.25">
      <c r="A87" s="417">
        <v>45677</v>
      </c>
      <c r="B87" s="317" t="s">
        <v>87</v>
      </c>
      <c r="C87" s="318" t="s">
        <v>1657</v>
      </c>
      <c r="D87" s="304" t="s">
        <v>1668</v>
      </c>
      <c r="E87" s="304"/>
      <c r="F87" s="304"/>
      <c r="G87" s="304" t="s">
        <v>1807</v>
      </c>
      <c r="H87" s="304" t="s">
        <v>1804</v>
      </c>
      <c r="I87" s="416">
        <v>45747</v>
      </c>
      <c r="J87" s="343"/>
      <c r="K87" s="304"/>
    </row>
    <row r="88" spans="1:11" x14ac:dyDescent="0.25">
      <c r="A88" s="417">
        <v>45677</v>
      </c>
      <c r="B88" s="317" t="s">
        <v>87</v>
      </c>
      <c r="C88" s="318" t="s">
        <v>1657</v>
      </c>
      <c r="D88" s="304" t="s">
        <v>1668</v>
      </c>
      <c r="E88" s="304"/>
      <c r="F88" s="304"/>
      <c r="G88" s="304" t="s">
        <v>1808</v>
      </c>
      <c r="H88" s="304" t="s">
        <v>1676</v>
      </c>
      <c r="I88" s="416">
        <v>46022</v>
      </c>
      <c r="J88" s="343"/>
      <c r="K88" s="304"/>
    </row>
    <row r="89" spans="1:11" x14ac:dyDescent="0.25">
      <c r="A89" s="417">
        <v>45677</v>
      </c>
      <c r="B89" s="317" t="s">
        <v>87</v>
      </c>
      <c r="C89" s="318" t="s">
        <v>1657</v>
      </c>
      <c r="D89" s="304" t="s">
        <v>1668</v>
      </c>
      <c r="E89" s="304"/>
      <c r="F89" s="304"/>
      <c r="G89" s="304" t="s">
        <v>1809</v>
      </c>
      <c r="H89" s="304" t="s">
        <v>1676</v>
      </c>
      <c r="I89" s="416">
        <v>46022</v>
      </c>
      <c r="J89" s="343"/>
      <c r="K89" s="304"/>
    </row>
    <row r="90" spans="1:11" x14ac:dyDescent="0.25">
      <c r="A90" s="417">
        <v>45677</v>
      </c>
      <c r="B90" s="317" t="s">
        <v>87</v>
      </c>
      <c r="C90" s="318" t="s">
        <v>1657</v>
      </c>
      <c r="D90" s="304" t="s">
        <v>1668</v>
      </c>
      <c r="E90" s="304"/>
      <c r="F90" s="304"/>
      <c r="G90" s="304" t="s">
        <v>1810</v>
      </c>
      <c r="H90" s="304" t="s">
        <v>1811</v>
      </c>
      <c r="I90" s="416">
        <v>46022</v>
      </c>
      <c r="J90" s="343"/>
      <c r="K90" s="304" t="s">
        <v>1719</v>
      </c>
    </row>
    <row r="91" spans="1:11" x14ac:dyDescent="0.25">
      <c r="A91" s="417">
        <v>45677</v>
      </c>
      <c r="B91" s="317" t="s">
        <v>87</v>
      </c>
      <c r="C91" s="318" t="s">
        <v>1657</v>
      </c>
      <c r="D91" s="304" t="s">
        <v>1668</v>
      </c>
      <c r="E91" s="304"/>
      <c r="F91" s="304"/>
      <c r="G91" s="304" t="s">
        <v>1812</v>
      </c>
      <c r="H91" s="304" t="s">
        <v>1676</v>
      </c>
      <c r="I91" s="416">
        <v>46022</v>
      </c>
      <c r="J91" s="343"/>
      <c r="K91" s="304"/>
    </row>
    <row r="92" spans="1:11" x14ac:dyDescent="0.25">
      <c r="A92" s="417">
        <v>45677</v>
      </c>
      <c r="B92" s="317" t="s">
        <v>87</v>
      </c>
      <c r="C92" s="318" t="s">
        <v>1657</v>
      </c>
      <c r="D92" s="304" t="s">
        <v>1668</v>
      </c>
      <c r="E92" s="304"/>
      <c r="F92" s="304"/>
      <c r="G92" s="304" t="s">
        <v>1813</v>
      </c>
      <c r="H92" s="304" t="s">
        <v>1799</v>
      </c>
      <c r="I92" s="416">
        <v>46022</v>
      </c>
      <c r="J92" s="343"/>
      <c r="K92" s="304" t="s">
        <v>1719</v>
      </c>
    </row>
    <row r="93" spans="1:11" ht="28.5" x14ac:dyDescent="0.25">
      <c r="A93" s="417">
        <v>45677</v>
      </c>
      <c r="B93" s="317" t="s">
        <v>87</v>
      </c>
      <c r="C93" s="318" t="s">
        <v>1657</v>
      </c>
      <c r="D93" s="304" t="s">
        <v>1668</v>
      </c>
      <c r="E93" s="304"/>
      <c r="F93" s="304"/>
      <c r="G93" s="304" t="s">
        <v>1814</v>
      </c>
      <c r="H93" s="304" t="s">
        <v>1815</v>
      </c>
      <c r="I93" s="416">
        <v>45688</v>
      </c>
      <c r="J93" s="343"/>
      <c r="K93" s="304"/>
    </row>
    <row r="94" spans="1:11" ht="28.5" x14ac:dyDescent="0.25">
      <c r="A94" s="417">
        <v>45677</v>
      </c>
      <c r="B94" s="317" t="s">
        <v>87</v>
      </c>
      <c r="C94" s="318" t="s">
        <v>1657</v>
      </c>
      <c r="D94" s="304" t="s">
        <v>1668</v>
      </c>
      <c r="E94" s="304"/>
      <c r="F94" s="304"/>
      <c r="G94" s="304" t="s">
        <v>1816</v>
      </c>
      <c r="H94" s="304" t="s">
        <v>1799</v>
      </c>
      <c r="I94" s="416">
        <v>45838</v>
      </c>
      <c r="J94" s="343"/>
      <c r="K94" s="304" t="s">
        <v>1719</v>
      </c>
    </row>
    <row r="95" spans="1:11" ht="28.5" x14ac:dyDescent="0.25">
      <c r="A95" s="417">
        <v>45677</v>
      </c>
      <c r="B95" s="317" t="s">
        <v>87</v>
      </c>
      <c r="C95" s="318" t="s">
        <v>1657</v>
      </c>
      <c r="D95" s="304" t="s">
        <v>1668</v>
      </c>
      <c r="E95" s="304"/>
      <c r="F95" s="304"/>
      <c r="G95" s="304" t="s">
        <v>1817</v>
      </c>
      <c r="H95" s="304" t="s">
        <v>1799</v>
      </c>
      <c r="I95" s="416">
        <v>46022</v>
      </c>
      <c r="J95" s="343"/>
      <c r="K95" s="304" t="s">
        <v>1719</v>
      </c>
    </row>
    <row r="96" spans="1:11" x14ac:dyDescent="0.25">
      <c r="A96" s="417">
        <v>45677</v>
      </c>
      <c r="B96" s="317" t="s">
        <v>87</v>
      </c>
      <c r="C96" s="318" t="s">
        <v>1657</v>
      </c>
      <c r="D96" s="304" t="s">
        <v>1668</v>
      </c>
      <c r="E96" s="304"/>
      <c r="F96" s="304"/>
      <c r="G96" s="304" t="s">
        <v>1818</v>
      </c>
      <c r="H96" s="304" t="s">
        <v>1799</v>
      </c>
      <c r="I96" s="416">
        <v>46022</v>
      </c>
      <c r="J96" s="343"/>
      <c r="K96" s="304" t="s">
        <v>1719</v>
      </c>
    </row>
    <row r="97" spans="1:11" x14ac:dyDescent="0.25">
      <c r="A97" s="417">
        <v>45677</v>
      </c>
      <c r="B97" s="317" t="s">
        <v>87</v>
      </c>
      <c r="C97" s="318" t="s">
        <v>1657</v>
      </c>
      <c r="D97" s="304" t="s">
        <v>1668</v>
      </c>
      <c r="E97" s="304"/>
      <c r="F97" s="304"/>
      <c r="G97" s="304" t="s">
        <v>1819</v>
      </c>
      <c r="H97" s="304" t="s">
        <v>1799</v>
      </c>
      <c r="I97" s="416">
        <v>46022</v>
      </c>
      <c r="J97" s="343"/>
      <c r="K97" s="304" t="s">
        <v>1719</v>
      </c>
    </row>
    <row r="98" spans="1:11" x14ac:dyDescent="0.25">
      <c r="A98" s="417">
        <v>45677</v>
      </c>
      <c r="B98" s="317" t="s">
        <v>87</v>
      </c>
      <c r="C98" s="318" t="s">
        <v>1657</v>
      </c>
      <c r="D98" s="304" t="s">
        <v>1668</v>
      </c>
      <c r="E98" s="304"/>
      <c r="F98" s="304"/>
      <c r="G98" s="304" t="s">
        <v>1820</v>
      </c>
      <c r="H98" s="304" t="s">
        <v>1821</v>
      </c>
      <c r="I98" s="416">
        <v>45814</v>
      </c>
      <c r="J98" s="343"/>
      <c r="K98" s="304" t="s">
        <v>1662</v>
      </c>
    </row>
    <row r="99" spans="1:11" x14ac:dyDescent="0.25">
      <c r="A99" s="417">
        <v>45677</v>
      </c>
      <c r="B99" s="317" t="s">
        <v>87</v>
      </c>
      <c r="C99" s="318" t="s">
        <v>1657</v>
      </c>
      <c r="D99" s="304" t="s">
        <v>1668</v>
      </c>
      <c r="E99" s="304"/>
      <c r="F99" s="304"/>
      <c r="G99" s="304" t="s">
        <v>1822</v>
      </c>
      <c r="H99" s="304" t="s">
        <v>1821</v>
      </c>
      <c r="I99" s="416">
        <v>45814</v>
      </c>
      <c r="J99" s="343"/>
      <c r="K99" s="304" t="s">
        <v>1662</v>
      </c>
    </row>
    <row r="100" spans="1:11" x14ac:dyDescent="0.25">
      <c r="A100" s="417">
        <v>45677</v>
      </c>
      <c r="B100" s="317" t="s">
        <v>87</v>
      </c>
      <c r="C100" s="318" t="s">
        <v>1657</v>
      </c>
      <c r="D100" s="304" t="s">
        <v>1668</v>
      </c>
      <c r="E100" s="304"/>
      <c r="F100" s="304"/>
      <c r="G100" s="304" t="s">
        <v>1823</v>
      </c>
      <c r="H100" s="304" t="s">
        <v>1824</v>
      </c>
      <c r="I100" s="416">
        <v>45838</v>
      </c>
      <c r="J100" s="343"/>
      <c r="K100" s="304" t="s">
        <v>1719</v>
      </c>
    </row>
    <row r="101" spans="1:11" x14ac:dyDescent="0.25">
      <c r="A101" s="417">
        <v>45677</v>
      </c>
      <c r="B101" s="317" t="s">
        <v>87</v>
      </c>
      <c r="C101" s="318" t="s">
        <v>1657</v>
      </c>
      <c r="D101" s="304" t="s">
        <v>1668</v>
      </c>
      <c r="E101" s="304"/>
      <c r="F101" s="304"/>
      <c r="G101" s="304" t="s">
        <v>1825</v>
      </c>
      <c r="H101" s="304" t="s">
        <v>1799</v>
      </c>
      <c r="I101" s="416" t="s">
        <v>1826</v>
      </c>
      <c r="J101" s="343"/>
      <c r="K101" s="304" t="s">
        <v>1719</v>
      </c>
    </row>
    <row r="102" spans="1:11" x14ac:dyDescent="0.25">
      <c r="A102" s="417">
        <v>45677</v>
      </c>
      <c r="B102" s="317" t="s">
        <v>87</v>
      </c>
      <c r="C102" s="318" t="s">
        <v>1657</v>
      </c>
      <c r="D102" s="304" t="s">
        <v>1668</v>
      </c>
      <c r="E102" s="304"/>
      <c r="F102" s="304"/>
      <c r="G102" s="304" t="s">
        <v>1827</v>
      </c>
      <c r="H102" s="304" t="s">
        <v>1799</v>
      </c>
      <c r="I102" s="416">
        <v>46022</v>
      </c>
      <c r="J102" s="343"/>
      <c r="K102" s="304" t="s">
        <v>1719</v>
      </c>
    </row>
    <row r="103" spans="1:11" x14ac:dyDescent="0.25">
      <c r="A103" s="417">
        <v>45677</v>
      </c>
      <c r="B103" s="317" t="s">
        <v>87</v>
      </c>
      <c r="C103" s="318" t="s">
        <v>1657</v>
      </c>
      <c r="D103" s="304" t="s">
        <v>1668</v>
      </c>
      <c r="E103" s="304"/>
      <c r="F103" s="304"/>
      <c r="G103" s="304" t="s">
        <v>1828</v>
      </c>
      <c r="H103" s="304" t="s">
        <v>1799</v>
      </c>
      <c r="I103" s="416">
        <v>46022</v>
      </c>
      <c r="J103" s="343"/>
      <c r="K103" s="304" t="s">
        <v>1719</v>
      </c>
    </row>
    <row r="104" spans="1:11" x14ac:dyDescent="0.25">
      <c r="A104" s="417">
        <v>45677</v>
      </c>
      <c r="B104" s="317" t="s">
        <v>87</v>
      </c>
      <c r="C104" s="318" t="s">
        <v>1657</v>
      </c>
      <c r="D104" s="304" t="s">
        <v>1668</v>
      </c>
      <c r="E104" s="304"/>
      <c r="F104" s="304"/>
      <c r="G104" s="304" t="s">
        <v>1829</v>
      </c>
      <c r="H104" s="304" t="s">
        <v>301</v>
      </c>
      <c r="I104" s="416">
        <v>46022</v>
      </c>
      <c r="J104" s="343"/>
      <c r="K104" s="304"/>
    </row>
    <row r="105" spans="1:11" ht="28.5" x14ac:dyDescent="0.25">
      <c r="A105" s="417">
        <v>45677</v>
      </c>
      <c r="B105" s="317" t="s">
        <v>87</v>
      </c>
      <c r="C105" s="318" t="s">
        <v>1657</v>
      </c>
      <c r="D105" s="304" t="s">
        <v>1668</v>
      </c>
      <c r="E105" s="304"/>
      <c r="F105" s="304"/>
      <c r="G105" s="304" t="s">
        <v>1830</v>
      </c>
      <c r="H105" s="304" t="s">
        <v>1831</v>
      </c>
      <c r="I105" s="416">
        <v>45991</v>
      </c>
      <c r="J105" s="343"/>
      <c r="K105" s="304"/>
    </row>
    <row r="106" spans="1:11" x14ac:dyDescent="0.25">
      <c r="A106" s="417">
        <v>45677</v>
      </c>
      <c r="B106" s="317" t="s">
        <v>87</v>
      </c>
      <c r="C106" s="318" t="s">
        <v>1657</v>
      </c>
      <c r="D106" s="304" t="s">
        <v>1668</v>
      </c>
      <c r="E106" s="304"/>
      <c r="F106" s="304"/>
      <c r="G106" s="304" t="s">
        <v>1832</v>
      </c>
      <c r="H106" s="304" t="s">
        <v>301</v>
      </c>
      <c r="I106" s="416">
        <v>46022</v>
      </c>
      <c r="J106" s="343"/>
      <c r="K106" s="304"/>
    </row>
    <row r="107" spans="1:11" x14ac:dyDescent="0.25">
      <c r="A107" s="416">
        <v>45677</v>
      </c>
      <c r="B107" s="317" t="s">
        <v>87</v>
      </c>
      <c r="C107" s="318" t="s">
        <v>1657</v>
      </c>
      <c r="D107" s="304" t="s">
        <v>1668</v>
      </c>
      <c r="E107" s="304"/>
      <c r="F107" s="304"/>
      <c r="G107" s="304" t="s">
        <v>1833</v>
      </c>
      <c r="H107" s="304" t="s">
        <v>1799</v>
      </c>
      <c r="I107" s="416">
        <v>45808</v>
      </c>
      <c r="J107" s="343"/>
      <c r="K107" s="304" t="s">
        <v>1731</v>
      </c>
    </row>
    <row r="108" spans="1:11" x14ac:dyDescent="0.25">
      <c r="A108" s="417">
        <v>45677</v>
      </c>
      <c r="B108" s="317" t="s">
        <v>87</v>
      </c>
      <c r="C108" s="318" t="s">
        <v>1657</v>
      </c>
      <c r="D108" s="304" t="s">
        <v>1668</v>
      </c>
      <c r="E108" s="304"/>
      <c r="F108" s="304"/>
      <c r="G108" s="304" t="s">
        <v>1834</v>
      </c>
      <c r="H108" s="304" t="s">
        <v>1676</v>
      </c>
      <c r="I108" s="416">
        <v>46022</v>
      </c>
      <c r="J108" s="343"/>
      <c r="K108" s="304"/>
    </row>
    <row r="109" spans="1:11" ht="28.5" x14ac:dyDescent="0.25">
      <c r="A109" s="417">
        <v>45677</v>
      </c>
      <c r="B109" s="317" t="s">
        <v>87</v>
      </c>
      <c r="C109" s="318" t="s">
        <v>1657</v>
      </c>
      <c r="D109" s="304" t="s">
        <v>1668</v>
      </c>
      <c r="E109" s="304"/>
      <c r="F109" s="304"/>
      <c r="G109" s="304" t="s">
        <v>1835</v>
      </c>
      <c r="H109" s="304" t="s">
        <v>1676</v>
      </c>
      <c r="I109" s="416">
        <v>46022</v>
      </c>
      <c r="J109" s="343"/>
      <c r="K109" s="304"/>
    </row>
    <row r="110" spans="1:11" ht="28.5" x14ac:dyDescent="0.25">
      <c r="A110" s="417">
        <v>45708</v>
      </c>
      <c r="B110" s="317" t="s">
        <v>468</v>
      </c>
      <c r="C110" s="318" t="s">
        <v>1836</v>
      </c>
      <c r="D110" s="304" t="s">
        <v>1837</v>
      </c>
      <c r="E110" s="304" t="s">
        <v>1669</v>
      </c>
      <c r="F110" s="304"/>
      <c r="G110" s="304" t="s">
        <v>1838</v>
      </c>
      <c r="H110" s="304" t="s">
        <v>1750</v>
      </c>
      <c r="I110" s="416">
        <v>45717</v>
      </c>
      <c r="J110" s="343"/>
      <c r="K110" s="304" t="s">
        <v>1662</v>
      </c>
    </row>
    <row r="111" spans="1:11" ht="71.25" x14ac:dyDescent="0.25">
      <c r="A111" s="417">
        <v>45714</v>
      </c>
      <c r="B111" s="317" t="s">
        <v>1657</v>
      </c>
      <c r="C111" s="318" t="s">
        <v>1657</v>
      </c>
      <c r="D111" s="304" t="s">
        <v>1764</v>
      </c>
      <c r="E111" s="304" t="s">
        <v>1669</v>
      </c>
      <c r="F111" s="304"/>
      <c r="G111" s="304" t="s">
        <v>1839</v>
      </c>
      <c r="H111" s="304" t="s">
        <v>1840</v>
      </c>
      <c r="I111" s="416">
        <v>45722</v>
      </c>
      <c r="J111" s="343"/>
      <c r="K111" s="304" t="s">
        <v>1719</v>
      </c>
    </row>
    <row r="112" spans="1:11" ht="42.75" x14ac:dyDescent="0.25">
      <c r="A112" s="417">
        <v>45714</v>
      </c>
      <c r="B112" s="317" t="s">
        <v>82</v>
      </c>
      <c r="C112" s="318" t="s">
        <v>1841</v>
      </c>
      <c r="D112" s="304" t="s">
        <v>1764</v>
      </c>
      <c r="E112" s="304" t="s">
        <v>1752</v>
      </c>
      <c r="F112" s="304"/>
      <c r="G112" s="304" t="s">
        <v>1842</v>
      </c>
      <c r="H112" s="304" t="s">
        <v>1843</v>
      </c>
      <c r="I112" s="416">
        <v>45747</v>
      </c>
      <c r="J112" s="343"/>
      <c r="K112" s="304" t="s">
        <v>1719</v>
      </c>
    </row>
    <row r="113" spans="1:11" ht="42.75" x14ac:dyDescent="0.25">
      <c r="A113" s="417">
        <v>45714</v>
      </c>
      <c r="B113" s="317" t="s">
        <v>230</v>
      </c>
      <c r="C113" s="318" t="s">
        <v>36</v>
      </c>
      <c r="D113" s="304" t="s">
        <v>1764</v>
      </c>
      <c r="E113" s="304" t="s">
        <v>1669</v>
      </c>
      <c r="F113" s="304"/>
      <c r="G113" s="304" t="s">
        <v>1844</v>
      </c>
      <c r="H113" s="304" t="s">
        <v>1845</v>
      </c>
      <c r="I113" s="416">
        <v>45747</v>
      </c>
      <c r="J113" s="343"/>
      <c r="K113" s="304" t="s">
        <v>1719</v>
      </c>
    </row>
    <row r="114" spans="1:11" ht="42.75" x14ac:dyDescent="0.25">
      <c r="A114" s="417">
        <v>45714</v>
      </c>
      <c r="B114" s="317" t="s">
        <v>82</v>
      </c>
      <c r="C114" s="318" t="s">
        <v>1841</v>
      </c>
      <c r="D114" s="304" t="s">
        <v>1764</v>
      </c>
      <c r="E114" s="304" t="s">
        <v>1752</v>
      </c>
      <c r="F114" s="304"/>
      <c r="G114" s="304" t="s">
        <v>1846</v>
      </c>
      <c r="H114" s="304" t="s">
        <v>1847</v>
      </c>
      <c r="I114" s="416">
        <v>45747</v>
      </c>
      <c r="J114" s="343"/>
      <c r="K114" s="304" t="s">
        <v>1719</v>
      </c>
    </row>
    <row r="115" spans="1:11" ht="28.5" x14ac:dyDescent="0.25">
      <c r="A115" s="417">
        <v>45720</v>
      </c>
      <c r="B115" s="317" t="s">
        <v>100</v>
      </c>
      <c r="C115" s="318" t="s">
        <v>617</v>
      </c>
      <c r="D115" s="304" t="s">
        <v>1848</v>
      </c>
      <c r="E115" s="304" t="s">
        <v>1669</v>
      </c>
      <c r="F115" s="304"/>
      <c r="G115" s="304" t="s">
        <v>1849</v>
      </c>
      <c r="H115" s="304" t="s">
        <v>1750</v>
      </c>
      <c r="I115" s="416">
        <v>45935</v>
      </c>
      <c r="J115" s="343"/>
      <c r="K115" s="304" t="s">
        <v>1662</v>
      </c>
    </row>
    <row r="116" spans="1:11" ht="28.5" x14ac:dyDescent="0.25">
      <c r="A116" s="417">
        <v>45720</v>
      </c>
      <c r="B116" s="317" t="s">
        <v>468</v>
      </c>
      <c r="C116" s="318" t="s">
        <v>1850</v>
      </c>
      <c r="D116" s="304" t="s">
        <v>1848</v>
      </c>
      <c r="E116" s="304" t="s">
        <v>1669</v>
      </c>
      <c r="F116" s="304"/>
      <c r="G116" s="304" t="s">
        <v>1851</v>
      </c>
      <c r="H116" s="304" t="s">
        <v>1750</v>
      </c>
      <c r="I116" s="416">
        <v>45726</v>
      </c>
      <c r="J116" s="343"/>
      <c r="K116" s="304" t="s">
        <v>1662</v>
      </c>
    </row>
    <row r="117" spans="1:11" x14ac:dyDescent="0.25">
      <c r="A117" s="417">
        <v>45735</v>
      </c>
      <c r="B117" s="317" t="s">
        <v>82</v>
      </c>
      <c r="C117" s="318" t="s">
        <v>35</v>
      </c>
      <c r="D117" s="304" t="s">
        <v>1848</v>
      </c>
      <c r="E117" s="304" t="s">
        <v>1669</v>
      </c>
      <c r="F117" s="304"/>
      <c r="G117" s="304" t="s">
        <v>1852</v>
      </c>
      <c r="H117" s="304" t="s">
        <v>1853</v>
      </c>
      <c r="I117" s="416">
        <v>45809</v>
      </c>
      <c r="J117" s="343"/>
      <c r="K117" s="304" t="s">
        <v>1662</v>
      </c>
    </row>
    <row r="118" spans="1:11" ht="28.5" x14ac:dyDescent="0.25">
      <c r="A118" s="417">
        <v>45748</v>
      </c>
      <c r="B118" s="317" t="s">
        <v>1854</v>
      </c>
      <c r="C118" s="318" t="s">
        <v>46</v>
      </c>
      <c r="D118" s="304" t="s">
        <v>1855</v>
      </c>
      <c r="E118" s="304" t="s">
        <v>1783</v>
      </c>
      <c r="F118" s="304"/>
      <c r="G118" s="304" t="s">
        <v>1856</v>
      </c>
      <c r="H118" s="304" t="s">
        <v>1750</v>
      </c>
      <c r="I118" s="416">
        <v>45869</v>
      </c>
      <c r="J118" s="343"/>
      <c r="K118" s="304" t="s">
        <v>1662</v>
      </c>
    </row>
    <row r="119" spans="1:11" ht="30" x14ac:dyDescent="0.25">
      <c r="A119" s="439">
        <v>45765</v>
      </c>
      <c r="B119" s="440" t="s">
        <v>87</v>
      </c>
      <c r="C119" s="441" t="s">
        <v>1657</v>
      </c>
      <c r="D119" s="440" t="s">
        <v>1668</v>
      </c>
      <c r="E119" s="440"/>
      <c r="F119" s="440"/>
      <c r="G119" s="440" t="s">
        <v>1857</v>
      </c>
      <c r="H119" s="440" t="s">
        <v>1858</v>
      </c>
      <c r="I119" s="439">
        <v>45792</v>
      </c>
      <c r="J119" s="445"/>
      <c r="K119" s="440"/>
    </row>
    <row r="120" spans="1:11" ht="30" x14ac:dyDescent="0.25">
      <c r="A120" s="439">
        <v>45765</v>
      </c>
      <c r="B120" s="440" t="s">
        <v>87</v>
      </c>
      <c r="C120" s="441" t="s">
        <v>1657</v>
      </c>
      <c r="D120" s="440" t="s">
        <v>1668</v>
      </c>
      <c r="E120" s="440"/>
      <c r="F120" s="440"/>
      <c r="G120" s="440" t="s">
        <v>1859</v>
      </c>
      <c r="H120" s="440" t="s">
        <v>1860</v>
      </c>
      <c r="I120" s="439">
        <v>45792</v>
      </c>
      <c r="J120" s="445"/>
      <c r="K120" s="440"/>
    </row>
    <row r="121" spans="1:11" ht="30" x14ac:dyDescent="0.25">
      <c r="A121" s="439">
        <v>45765</v>
      </c>
      <c r="B121" s="440" t="s">
        <v>87</v>
      </c>
      <c r="C121" s="441" t="s">
        <v>1657</v>
      </c>
      <c r="D121" s="440" t="s">
        <v>1668</v>
      </c>
      <c r="E121" s="440"/>
      <c r="F121" s="440"/>
      <c r="G121" s="440" t="s">
        <v>1861</v>
      </c>
      <c r="H121" s="440" t="s">
        <v>1799</v>
      </c>
      <c r="I121" s="439">
        <v>45792</v>
      </c>
      <c r="J121" s="445"/>
      <c r="K121" s="440"/>
    </row>
    <row r="122" spans="1:11" ht="30" x14ac:dyDescent="0.25">
      <c r="A122" s="439">
        <v>45765</v>
      </c>
      <c r="B122" s="440" t="s">
        <v>87</v>
      </c>
      <c r="C122" s="441" t="s">
        <v>1657</v>
      </c>
      <c r="D122" s="440" t="s">
        <v>1668</v>
      </c>
      <c r="E122" s="440"/>
      <c r="F122" s="440"/>
      <c r="G122" s="440" t="s">
        <v>1862</v>
      </c>
      <c r="H122" s="440" t="s">
        <v>1799</v>
      </c>
      <c r="I122" s="439">
        <v>45792</v>
      </c>
      <c r="J122" s="445"/>
      <c r="K122" s="440"/>
    </row>
    <row r="123" spans="1:11" ht="30" x14ac:dyDescent="0.25">
      <c r="A123" s="439">
        <v>45765</v>
      </c>
      <c r="B123" s="440" t="s">
        <v>87</v>
      </c>
      <c r="C123" s="441" t="s">
        <v>1657</v>
      </c>
      <c r="D123" s="440" t="s">
        <v>1668</v>
      </c>
      <c r="E123" s="440"/>
      <c r="F123" s="440"/>
      <c r="G123" s="440" t="s">
        <v>1863</v>
      </c>
      <c r="H123" s="440" t="s">
        <v>1799</v>
      </c>
      <c r="I123" s="439">
        <v>45782</v>
      </c>
      <c r="J123" s="445"/>
      <c r="K123" s="440" t="s">
        <v>1662</v>
      </c>
    </row>
    <row r="124" spans="1:11" ht="30" x14ac:dyDescent="0.25">
      <c r="A124" s="439">
        <v>45765</v>
      </c>
      <c r="B124" s="440" t="s">
        <v>87</v>
      </c>
      <c r="C124" s="441" t="s">
        <v>1657</v>
      </c>
      <c r="D124" s="440" t="s">
        <v>1668</v>
      </c>
      <c r="E124" s="440"/>
      <c r="F124" s="440"/>
      <c r="G124" s="440" t="s">
        <v>1864</v>
      </c>
      <c r="H124" s="440" t="s">
        <v>1799</v>
      </c>
      <c r="I124" s="439">
        <v>45777</v>
      </c>
      <c r="J124" s="445"/>
      <c r="K124" s="440" t="s">
        <v>1662</v>
      </c>
    </row>
    <row r="125" spans="1:11" ht="45" x14ac:dyDescent="0.25">
      <c r="A125" s="439">
        <v>45765</v>
      </c>
      <c r="B125" s="440" t="s">
        <v>87</v>
      </c>
      <c r="C125" s="441" t="s">
        <v>1657</v>
      </c>
      <c r="D125" s="440" t="s">
        <v>1668</v>
      </c>
      <c r="E125" s="440"/>
      <c r="F125" s="440"/>
      <c r="G125" s="440" t="s">
        <v>1865</v>
      </c>
      <c r="H125" s="440" t="s">
        <v>1866</v>
      </c>
      <c r="I125" s="439">
        <v>45930</v>
      </c>
      <c r="J125" s="445"/>
      <c r="K125" s="440"/>
    </row>
    <row r="126" spans="1:11" x14ac:dyDescent="0.25">
      <c r="A126" s="439">
        <v>45765</v>
      </c>
      <c r="B126" s="440" t="s">
        <v>87</v>
      </c>
      <c r="C126" s="441" t="s">
        <v>1657</v>
      </c>
      <c r="D126" s="440" t="s">
        <v>1668</v>
      </c>
      <c r="E126" s="440"/>
      <c r="F126" s="440"/>
      <c r="G126" s="440" t="s">
        <v>1867</v>
      </c>
      <c r="H126" s="440" t="s">
        <v>1799</v>
      </c>
      <c r="I126" s="439">
        <v>45838</v>
      </c>
      <c r="J126" s="445"/>
      <c r="K126" s="440" t="s">
        <v>1731</v>
      </c>
    </row>
    <row r="127" spans="1:11" x14ac:dyDescent="0.25">
      <c r="A127" s="439">
        <v>45765</v>
      </c>
      <c r="B127" s="440" t="s">
        <v>87</v>
      </c>
      <c r="C127" s="441" t="s">
        <v>1657</v>
      </c>
      <c r="D127" s="440" t="s">
        <v>1668</v>
      </c>
      <c r="E127" s="440"/>
      <c r="F127" s="440"/>
      <c r="G127" s="440" t="s">
        <v>1868</v>
      </c>
      <c r="H127" s="440" t="s">
        <v>1869</v>
      </c>
      <c r="I127" s="439">
        <v>45838</v>
      </c>
      <c r="J127" s="445"/>
      <c r="K127" s="440" t="s">
        <v>1719</v>
      </c>
    </row>
    <row r="128" spans="1:11" ht="30" x14ac:dyDescent="0.25">
      <c r="A128" s="439">
        <v>45765</v>
      </c>
      <c r="B128" s="440" t="s">
        <v>87</v>
      </c>
      <c r="C128" s="441" t="s">
        <v>1657</v>
      </c>
      <c r="D128" s="440" t="s">
        <v>1668</v>
      </c>
      <c r="E128" s="440"/>
      <c r="F128" s="440"/>
      <c r="G128" s="440" t="s">
        <v>1870</v>
      </c>
      <c r="H128" s="440" t="s">
        <v>1871</v>
      </c>
      <c r="I128" s="439">
        <v>45849</v>
      </c>
      <c r="J128" s="445"/>
      <c r="K128" s="440" t="s">
        <v>1719</v>
      </c>
    </row>
    <row r="129" spans="1:11" ht="45" x14ac:dyDescent="0.25">
      <c r="A129" s="439">
        <v>45765</v>
      </c>
      <c r="B129" s="440" t="s">
        <v>87</v>
      </c>
      <c r="C129" s="441" t="s">
        <v>1657</v>
      </c>
      <c r="D129" s="440" t="s">
        <v>1668</v>
      </c>
      <c r="E129" s="440"/>
      <c r="F129" s="440"/>
      <c r="G129" s="440" t="s">
        <v>1872</v>
      </c>
      <c r="H129" s="440" t="s">
        <v>306</v>
      </c>
      <c r="I129" s="439">
        <v>45849</v>
      </c>
      <c r="J129" s="445"/>
      <c r="K129" s="440" t="s">
        <v>1719</v>
      </c>
    </row>
    <row r="130" spans="1:11" ht="45" x14ac:dyDescent="0.25">
      <c r="A130" s="439">
        <v>45765</v>
      </c>
      <c r="B130" s="440" t="s">
        <v>87</v>
      </c>
      <c r="C130" s="441" t="s">
        <v>1657</v>
      </c>
      <c r="D130" s="440" t="s">
        <v>1668</v>
      </c>
      <c r="E130" s="440"/>
      <c r="F130" s="440"/>
      <c r="G130" s="440" t="s">
        <v>1873</v>
      </c>
      <c r="H130" s="440" t="s">
        <v>1874</v>
      </c>
      <c r="I130" s="439">
        <v>45849</v>
      </c>
      <c r="J130" s="445"/>
      <c r="K130" s="440" t="s">
        <v>1719</v>
      </c>
    </row>
    <row r="131" spans="1:11" ht="30" x14ac:dyDescent="0.25">
      <c r="A131" s="439">
        <v>45765</v>
      </c>
      <c r="B131" s="440" t="s">
        <v>87</v>
      </c>
      <c r="C131" s="441" t="s">
        <v>1657</v>
      </c>
      <c r="D131" s="440" t="s">
        <v>1668</v>
      </c>
      <c r="E131" s="440"/>
      <c r="F131" s="440"/>
      <c r="G131" s="440" t="s">
        <v>1875</v>
      </c>
      <c r="H131" s="440" t="s">
        <v>311</v>
      </c>
      <c r="I131" s="439">
        <v>45838</v>
      </c>
      <c r="J131" s="445"/>
      <c r="K131" s="440" t="s">
        <v>1719</v>
      </c>
    </row>
    <row r="132" spans="1:11" ht="30" x14ac:dyDescent="0.25">
      <c r="A132" s="439">
        <v>45765</v>
      </c>
      <c r="B132" s="440" t="s">
        <v>87</v>
      </c>
      <c r="C132" s="441" t="s">
        <v>1657</v>
      </c>
      <c r="D132" s="440" t="s">
        <v>1668</v>
      </c>
      <c r="E132" s="440"/>
      <c r="F132" s="440"/>
      <c r="G132" s="440" t="s">
        <v>1876</v>
      </c>
      <c r="H132" s="440" t="s">
        <v>1821</v>
      </c>
      <c r="I132" s="439">
        <v>45807</v>
      </c>
      <c r="J132" s="445"/>
      <c r="K132" s="440" t="s">
        <v>1719</v>
      </c>
    </row>
    <row r="133" spans="1:11" ht="30" x14ac:dyDescent="0.25">
      <c r="A133" s="439">
        <v>45765</v>
      </c>
      <c r="B133" s="440" t="s">
        <v>87</v>
      </c>
      <c r="C133" s="441" t="s">
        <v>1657</v>
      </c>
      <c r="D133" s="440" t="s">
        <v>1668</v>
      </c>
      <c r="E133" s="440"/>
      <c r="F133" s="440"/>
      <c r="G133" s="440" t="s">
        <v>1857</v>
      </c>
      <c r="H133" s="440"/>
      <c r="I133" s="439"/>
      <c r="J133" s="445"/>
      <c r="K133" s="440"/>
    </row>
    <row r="134" spans="1:11" ht="30" x14ac:dyDescent="0.25">
      <c r="A134" s="439">
        <v>45775</v>
      </c>
      <c r="B134" s="440" t="s">
        <v>1877</v>
      </c>
      <c r="C134" s="441" t="s">
        <v>1878</v>
      </c>
      <c r="D134" s="440" t="s">
        <v>1879</v>
      </c>
      <c r="E134" s="440" t="s">
        <v>1669</v>
      </c>
      <c r="F134" s="440"/>
      <c r="G134" s="440" t="s">
        <v>1880</v>
      </c>
      <c r="H134" s="440" t="s">
        <v>1881</v>
      </c>
      <c r="I134" s="439">
        <v>45836</v>
      </c>
      <c r="J134" s="445"/>
      <c r="K134" s="440" t="s">
        <v>1719</v>
      </c>
    </row>
    <row r="135" spans="1:11" x14ac:dyDescent="0.25">
      <c r="A135" s="439">
        <v>45789</v>
      </c>
      <c r="B135" s="440" t="s">
        <v>468</v>
      </c>
      <c r="C135" s="441" t="s">
        <v>578</v>
      </c>
      <c r="D135" s="440" t="s">
        <v>37</v>
      </c>
      <c r="E135" s="440" t="s">
        <v>1669</v>
      </c>
      <c r="F135" s="440"/>
      <c r="G135" s="440" t="s">
        <v>1882</v>
      </c>
      <c r="H135" s="440" t="s">
        <v>1667</v>
      </c>
      <c r="I135" s="439">
        <v>45807</v>
      </c>
      <c r="J135" s="445"/>
      <c r="K135" s="440" t="s">
        <v>1662</v>
      </c>
    </row>
    <row r="136" spans="1:11" x14ac:dyDescent="0.25">
      <c r="A136" s="439">
        <v>45789</v>
      </c>
      <c r="B136" s="440" t="s">
        <v>468</v>
      </c>
      <c r="C136" s="441" t="s">
        <v>578</v>
      </c>
      <c r="D136" s="440" t="s">
        <v>37</v>
      </c>
      <c r="E136" s="440" t="s">
        <v>1669</v>
      </c>
      <c r="F136" s="440"/>
      <c r="G136" s="440" t="s">
        <v>1883</v>
      </c>
      <c r="H136" s="440" t="s">
        <v>1884</v>
      </c>
      <c r="I136" s="439">
        <v>45838</v>
      </c>
      <c r="J136" s="445"/>
      <c r="K136" s="440" t="s">
        <v>1662</v>
      </c>
    </row>
    <row r="137" spans="1:11" x14ac:dyDescent="0.25">
      <c r="A137" s="439">
        <v>45789</v>
      </c>
      <c r="B137" s="440" t="s">
        <v>468</v>
      </c>
      <c r="C137" s="441" t="s">
        <v>578</v>
      </c>
      <c r="D137" s="440" t="s">
        <v>37</v>
      </c>
      <c r="E137" s="440" t="s">
        <v>1669</v>
      </c>
      <c r="F137" s="440"/>
      <c r="G137" s="440" t="s">
        <v>1885</v>
      </c>
      <c r="H137" s="440" t="s">
        <v>1667</v>
      </c>
      <c r="I137" s="439">
        <v>45823</v>
      </c>
      <c r="J137" s="445"/>
      <c r="K137" s="440"/>
    </row>
    <row r="138" spans="1:11" ht="30" x14ac:dyDescent="0.25">
      <c r="A138" s="439">
        <v>45791</v>
      </c>
      <c r="B138" s="440" t="s">
        <v>1886</v>
      </c>
      <c r="C138" s="441" t="s">
        <v>1887</v>
      </c>
      <c r="D138" s="440" t="s">
        <v>1668</v>
      </c>
      <c r="E138" s="440" t="s">
        <v>1717</v>
      </c>
      <c r="F138" s="440"/>
      <c r="G138" s="440" t="s">
        <v>1888</v>
      </c>
      <c r="H138" s="440" t="s">
        <v>1889</v>
      </c>
      <c r="I138" s="439">
        <v>45853</v>
      </c>
      <c r="J138" s="445"/>
      <c r="K138" s="440" t="s">
        <v>1662</v>
      </c>
    </row>
    <row r="139" spans="1:11" ht="45" x14ac:dyDescent="0.25">
      <c r="A139" s="439">
        <v>45791</v>
      </c>
      <c r="B139" s="440" t="s">
        <v>1886</v>
      </c>
      <c r="C139" s="441" t="s">
        <v>1887</v>
      </c>
      <c r="D139" s="440" t="s">
        <v>1668</v>
      </c>
      <c r="E139" s="440" t="s">
        <v>235</v>
      </c>
      <c r="F139" s="440"/>
      <c r="G139" s="440" t="s">
        <v>1890</v>
      </c>
      <c r="H139" s="440" t="s">
        <v>1891</v>
      </c>
      <c r="I139" s="439">
        <v>45853</v>
      </c>
      <c r="J139" s="445"/>
      <c r="K139" s="440" t="s">
        <v>1719</v>
      </c>
    </row>
    <row r="140" spans="1:11" ht="30" x14ac:dyDescent="0.25">
      <c r="A140" s="439">
        <v>45791</v>
      </c>
      <c r="B140" s="440" t="s">
        <v>1886</v>
      </c>
      <c r="C140" s="441" t="s">
        <v>1887</v>
      </c>
      <c r="D140" s="440" t="s">
        <v>1668</v>
      </c>
      <c r="E140" s="440" t="s">
        <v>1783</v>
      </c>
      <c r="F140" s="440"/>
      <c r="G140" s="440" t="s">
        <v>1892</v>
      </c>
      <c r="H140" s="440" t="s">
        <v>1750</v>
      </c>
      <c r="I140" s="439">
        <v>45853</v>
      </c>
      <c r="J140" s="445"/>
      <c r="K140" s="440" t="s">
        <v>1662</v>
      </c>
    </row>
    <row r="141" spans="1:11" ht="30" x14ac:dyDescent="0.25">
      <c r="A141" s="439">
        <v>45791</v>
      </c>
      <c r="B141" s="440" t="s">
        <v>1886</v>
      </c>
      <c r="C141" s="441" t="s">
        <v>1887</v>
      </c>
      <c r="D141" s="440" t="s">
        <v>1668</v>
      </c>
      <c r="E141" s="440" t="s">
        <v>1893</v>
      </c>
      <c r="F141" s="440"/>
      <c r="G141" s="440" t="s">
        <v>1894</v>
      </c>
      <c r="H141" s="440" t="s">
        <v>1895</v>
      </c>
      <c r="I141" s="439">
        <v>45853</v>
      </c>
      <c r="J141" s="445"/>
      <c r="K141" s="440" t="s">
        <v>1662</v>
      </c>
    </row>
    <row r="142" spans="1:11" ht="30" x14ac:dyDescent="0.25">
      <c r="A142" s="439">
        <v>45791</v>
      </c>
      <c r="B142" s="440" t="s">
        <v>1886</v>
      </c>
      <c r="C142" s="441" t="s">
        <v>1887</v>
      </c>
      <c r="D142" s="440" t="s">
        <v>1668</v>
      </c>
      <c r="E142" s="440" t="s">
        <v>1752</v>
      </c>
      <c r="F142" s="440"/>
      <c r="G142" s="440" t="s">
        <v>1896</v>
      </c>
      <c r="H142" s="440" t="s">
        <v>1897</v>
      </c>
      <c r="I142" s="439">
        <v>45900</v>
      </c>
      <c r="J142" s="445"/>
      <c r="K142" s="440" t="s">
        <v>1662</v>
      </c>
    </row>
    <row r="143" spans="1:11" ht="30" x14ac:dyDescent="0.25">
      <c r="A143" s="439">
        <v>45791</v>
      </c>
      <c r="B143" s="440" t="s">
        <v>1886</v>
      </c>
      <c r="C143" s="441" t="s">
        <v>1887</v>
      </c>
      <c r="D143" s="440" t="s">
        <v>1668</v>
      </c>
      <c r="E143" s="440" t="s">
        <v>1669</v>
      </c>
      <c r="F143" s="440"/>
      <c r="G143" s="440" t="s">
        <v>1898</v>
      </c>
      <c r="H143" s="440" t="s">
        <v>1667</v>
      </c>
      <c r="I143" s="439">
        <v>45922</v>
      </c>
      <c r="J143" s="445"/>
      <c r="K143" s="440" t="s">
        <v>1662</v>
      </c>
    </row>
    <row r="144" spans="1:11" ht="30" x14ac:dyDescent="0.25">
      <c r="A144" s="439">
        <v>45791</v>
      </c>
      <c r="B144" s="440" t="s">
        <v>1886</v>
      </c>
      <c r="C144" s="441" t="s">
        <v>1887</v>
      </c>
      <c r="D144" s="440" t="s">
        <v>1668</v>
      </c>
      <c r="E144" s="440" t="s">
        <v>1893</v>
      </c>
      <c r="F144" s="440"/>
      <c r="G144" s="440" t="s">
        <v>1899</v>
      </c>
      <c r="H144" s="440" t="s">
        <v>1897</v>
      </c>
      <c r="I144" s="439">
        <v>45900</v>
      </c>
      <c r="J144" s="445"/>
      <c r="K144" s="440" t="s">
        <v>1662</v>
      </c>
    </row>
    <row r="145" spans="1:11" ht="30" x14ac:dyDescent="0.25">
      <c r="A145" s="439">
        <v>45791</v>
      </c>
      <c r="B145" s="440" t="s">
        <v>1886</v>
      </c>
      <c r="C145" s="441" t="s">
        <v>1887</v>
      </c>
      <c r="D145" s="440" t="s">
        <v>1668</v>
      </c>
      <c r="E145" s="440" t="s">
        <v>1720</v>
      </c>
      <c r="F145" s="440"/>
      <c r="G145" s="440" t="s">
        <v>1900</v>
      </c>
      <c r="H145" s="440" t="s">
        <v>1897</v>
      </c>
      <c r="I145" s="439">
        <v>45900</v>
      </c>
      <c r="J145" s="445"/>
      <c r="K145" s="440" t="s">
        <v>1662</v>
      </c>
    </row>
    <row r="146" spans="1:11" x14ac:dyDescent="0.25">
      <c r="A146" s="439">
        <v>45791</v>
      </c>
      <c r="B146" s="440" t="s">
        <v>1886</v>
      </c>
      <c r="C146" s="441" t="s">
        <v>1887</v>
      </c>
      <c r="D146" s="440" t="s">
        <v>1668</v>
      </c>
      <c r="E146" s="440" t="s">
        <v>1893</v>
      </c>
      <c r="F146" s="440"/>
      <c r="G146" s="440" t="s">
        <v>1901</v>
      </c>
      <c r="H146" s="440" t="s">
        <v>1750</v>
      </c>
      <c r="I146" s="439">
        <v>45869</v>
      </c>
      <c r="J146" s="445"/>
      <c r="K146" s="440" t="s">
        <v>1662</v>
      </c>
    </row>
    <row r="147" spans="1:11" ht="45" x14ac:dyDescent="0.25">
      <c r="A147" s="439">
        <v>45791</v>
      </c>
      <c r="B147" s="440" t="s">
        <v>1886</v>
      </c>
      <c r="C147" s="441" t="s">
        <v>1887</v>
      </c>
      <c r="D147" s="440" t="s">
        <v>1668</v>
      </c>
      <c r="E147" s="440" t="s">
        <v>1893</v>
      </c>
      <c r="F147" s="440"/>
      <c r="G147" s="440" t="s">
        <v>1902</v>
      </c>
      <c r="H147" s="440" t="s">
        <v>1891</v>
      </c>
      <c r="I147" s="439">
        <v>46022</v>
      </c>
      <c r="J147" s="445"/>
      <c r="K147" s="440" t="s">
        <v>1719</v>
      </c>
    </row>
    <row r="148" spans="1:11" ht="30" x14ac:dyDescent="0.25">
      <c r="A148" s="439">
        <v>45791</v>
      </c>
      <c r="B148" s="440" t="s">
        <v>1886</v>
      </c>
      <c r="C148" s="441" t="s">
        <v>1887</v>
      </c>
      <c r="D148" s="440" t="s">
        <v>1668</v>
      </c>
      <c r="E148" s="440" t="s">
        <v>1752</v>
      </c>
      <c r="F148" s="440"/>
      <c r="G148" s="440" t="s">
        <v>1903</v>
      </c>
      <c r="H148" s="440" t="s">
        <v>1904</v>
      </c>
      <c r="I148" s="439">
        <v>46022</v>
      </c>
      <c r="J148" s="445"/>
      <c r="K148" s="440" t="s">
        <v>1719</v>
      </c>
    </row>
    <row r="149" spans="1:11" ht="45" x14ac:dyDescent="0.25">
      <c r="A149" s="439">
        <v>45797</v>
      </c>
      <c r="B149" s="440" t="s">
        <v>100</v>
      </c>
      <c r="C149" s="441" t="s">
        <v>1905</v>
      </c>
      <c r="D149" s="440" t="s">
        <v>1906</v>
      </c>
      <c r="E149" s="440" t="s">
        <v>1752</v>
      </c>
      <c r="F149" s="440"/>
      <c r="G149" s="440" t="s">
        <v>1907</v>
      </c>
      <c r="H149" s="440" t="s">
        <v>1908</v>
      </c>
      <c r="I149" s="439">
        <v>45858</v>
      </c>
      <c r="J149" s="445"/>
      <c r="K149" s="440" t="s">
        <v>1719</v>
      </c>
    </row>
    <row r="150" spans="1:11" x14ac:dyDescent="0.25">
      <c r="A150" s="439">
        <v>45798</v>
      </c>
      <c r="B150" s="440" t="s">
        <v>100</v>
      </c>
      <c r="C150" s="441" t="s">
        <v>661</v>
      </c>
      <c r="D150" s="440" t="s">
        <v>1764</v>
      </c>
      <c r="E150" s="440" t="s">
        <v>1752</v>
      </c>
      <c r="F150" s="440"/>
      <c r="G150" s="440" t="s">
        <v>1909</v>
      </c>
      <c r="H150" s="440" t="s">
        <v>1667</v>
      </c>
      <c r="I150" s="439">
        <v>45838</v>
      </c>
      <c r="J150" s="445"/>
      <c r="K150" s="440" t="s">
        <v>1719</v>
      </c>
    </row>
    <row r="151" spans="1:11" x14ac:dyDescent="0.25">
      <c r="A151" s="439">
        <v>45819</v>
      </c>
      <c r="B151" s="440" t="s">
        <v>100</v>
      </c>
      <c r="C151" s="441" t="s">
        <v>1910</v>
      </c>
      <c r="D151" s="440" t="s">
        <v>1744</v>
      </c>
      <c r="E151" s="440" t="s">
        <v>1669</v>
      </c>
      <c r="F151" s="440"/>
      <c r="G151" s="440" t="s">
        <v>1745</v>
      </c>
      <c r="H151" s="440" t="s">
        <v>1667</v>
      </c>
      <c r="I151" s="439">
        <v>45849</v>
      </c>
      <c r="J151" s="445"/>
      <c r="K151" s="440" t="s">
        <v>1719</v>
      </c>
    </row>
    <row r="152" spans="1:11" x14ac:dyDescent="0.25">
      <c r="A152" s="439">
        <v>45825</v>
      </c>
      <c r="B152" s="440" t="s">
        <v>468</v>
      </c>
      <c r="C152" s="441" t="s">
        <v>578</v>
      </c>
      <c r="D152" s="440" t="s">
        <v>1906</v>
      </c>
      <c r="E152" s="440" t="s">
        <v>1783</v>
      </c>
      <c r="F152" s="440"/>
      <c r="G152" s="440" t="s">
        <v>1911</v>
      </c>
      <c r="H152" s="440" t="s">
        <v>1667</v>
      </c>
      <c r="I152" s="439">
        <v>45842</v>
      </c>
      <c r="J152" s="445"/>
      <c r="K152" s="440" t="s">
        <v>1912</v>
      </c>
    </row>
    <row r="153" spans="1:11" x14ac:dyDescent="0.25">
      <c r="A153" s="439">
        <v>45827</v>
      </c>
      <c r="B153" s="440" t="s">
        <v>468</v>
      </c>
      <c r="C153" s="441" t="s">
        <v>1836</v>
      </c>
      <c r="D153" s="440" t="s">
        <v>1764</v>
      </c>
      <c r="E153" s="440" t="s">
        <v>1669</v>
      </c>
      <c r="F153" s="440"/>
      <c r="G153" s="440" t="s">
        <v>1913</v>
      </c>
      <c r="H153" s="440" t="s">
        <v>1667</v>
      </c>
      <c r="I153" s="439">
        <v>45833</v>
      </c>
      <c r="J153" s="445"/>
      <c r="K153" s="440" t="s">
        <v>1662</v>
      </c>
    </row>
    <row r="154" spans="1:11" ht="30" x14ac:dyDescent="0.25">
      <c r="A154" s="439">
        <v>45833</v>
      </c>
      <c r="B154" s="440" t="s">
        <v>468</v>
      </c>
      <c r="C154" s="441" t="s">
        <v>578</v>
      </c>
      <c r="D154" s="440" t="s">
        <v>37</v>
      </c>
      <c r="E154" s="440" t="s">
        <v>1669</v>
      </c>
      <c r="F154" s="440"/>
      <c r="G154" s="440" t="s">
        <v>1914</v>
      </c>
      <c r="H154" s="440" t="s">
        <v>1915</v>
      </c>
      <c r="I154" s="439">
        <v>45870</v>
      </c>
      <c r="J154" s="445"/>
      <c r="K154" s="440" t="s">
        <v>1662</v>
      </c>
    </row>
    <row r="155" spans="1:11" ht="45" x14ac:dyDescent="0.25">
      <c r="A155" s="439">
        <v>45833</v>
      </c>
      <c r="B155" s="440" t="s">
        <v>468</v>
      </c>
      <c r="C155" s="441" t="s">
        <v>578</v>
      </c>
      <c r="D155" s="440" t="s">
        <v>37</v>
      </c>
      <c r="E155" s="440" t="s">
        <v>1669</v>
      </c>
      <c r="F155" s="440"/>
      <c r="G155" s="440" t="s">
        <v>1916</v>
      </c>
      <c r="H155" s="440" t="s">
        <v>1667</v>
      </c>
      <c r="I155" s="439">
        <v>45870</v>
      </c>
      <c r="J155" s="445"/>
      <c r="K155" s="440" t="s">
        <v>1662</v>
      </c>
    </row>
    <row r="156" spans="1:11" ht="30" x14ac:dyDescent="0.25">
      <c r="A156" s="439">
        <v>45833</v>
      </c>
      <c r="B156" s="440" t="s">
        <v>468</v>
      </c>
      <c r="C156" s="441" t="s">
        <v>578</v>
      </c>
      <c r="D156" s="440" t="s">
        <v>37</v>
      </c>
      <c r="E156" s="440" t="s">
        <v>1669</v>
      </c>
      <c r="F156" s="440"/>
      <c r="G156" s="440" t="s">
        <v>1917</v>
      </c>
      <c r="H156" s="440" t="s">
        <v>1667</v>
      </c>
      <c r="I156" s="439">
        <v>45870</v>
      </c>
      <c r="J156" s="445"/>
      <c r="K156" s="440"/>
    </row>
    <row r="157" spans="1:11" ht="45" x14ac:dyDescent="0.25">
      <c r="A157" s="439">
        <v>45838</v>
      </c>
      <c r="B157" s="440" t="s">
        <v>468</v>
      </c>
      <c r="C157" s="441" t="s">
        <v>875</v>
      </c>
      <c r="D157" s="440" t="s">
        <v>37</v>
      </c>
      <c r="E157" s="440" t="s">
        <v>1669</v>
      </c>
      <c r="F157" s="440"/>
      <c r="G157" s="440" t="s">
        <v>1918</v>
      </c>
      <c r="H157" s="440" t="s">
        <v>1667</v>
      </c>
      <c r="I157" s="439">
        <v>45900</v>
      </c>
      <c r="J157" s="445"/>
      <c r="K157" s="440" t="s">
        <v>1662</v>
      </c>
    </row>
    <row r="158" spans="1:11" ht="30" x14ac:dyDescent="0.25">
      <c r="A158" s="439">
        <v>45848</v>
      </c>
      <c r="B158" s="440" t="s">
        <v>468</v>
      </c>
      <c r="C158" s="441" t="s">
        <v>1836</v>
      </c>
      <c r="D158" s="440" t="s">
        <v>1919</v>
      </c>
      <c r="E158" s="440" t="s">
        <v>1669</v>
      </c>
      <c r="F158" s="440"/>
      <c r="G158" s="440" t="s">
        <v>1920</v>
      </c>
      <c r="H158" s="440" t="s">
        <v>1667</v>
      </c>
      <c r="I158" s="439">
        <v>45513</v>
      </c>
      <c r="J158" s="445"/>
      <c r="K158" s="440" t="s">
        <v>1719</v>
      </c>
    </row>
    <row r="159" spans="1:11" x14ac:dyDescent="0.25">
      <c r="A159" s="439">
        <v>45848</v>
      </c>
      <c r="B159" s="440" t="s">
        <v>468</v>
      </c>
      <c r="C159" s="441" t="s">
        <v>1836</v>
      </c>
      <c r="D159" s="440" t="s">
        <v>1919</v>
      </c>
      <c r="E159" s="440" t="s">
        <v>1669</v>
      </c>
      <c r="F159" s="440"/>
      <c r="G159" s="440" t="s">
        <v>1921</v>
      </c>
      <c r="H159" s="440" t="s">
        <v>1667</v>
      </c>
      <c r="I159" s="439">
        <v>45513</v>
      </c>
      <c r="J159" s="445"/>
      <c r="K159" s="440" t="s">
        <v>1719</v>
      </c>
    </row>
    <row r="160" spans="1:11" x14ac:dyDescent="0.25">
      <c r="A160" s="439">
        <v>45848</v>
      </c>
      <c r="B160" s="440" t="s">
        <v>468</v>
      </c>
      <c r="C160" s="441" t="s">
        <v>1836</v>
      </c>
      <c r="D160" s="440" t="s">
        <v>1919</v>
      </c>
      <c r="E160" s="440" t="s">
        <v>1669</v>
      </c>
      <c r="F160" s="440"/>
      <c r="G160" s="440" t="s">
        <v>1922</v>
      </c>
      <c r="H160" s="440" t="s">
        <v>1923</v>
      </c>
      <c r="I160" s="439">
        <v>45513</v>
      </c>
      <c r="J160" s="445"/>
      <c r="K160" s="440" t="s">
        <v>1662</v>
      </c>
    </row>
    <row r="161" spans="1:11" ht="30" x14ac:dyDescent="0.25">
      <c r="A161" s="439">
        <v>45848</v>
      </c>
      <c r="B161" s="440" t="s">
        <v>468</v>
      </c>
      <c r="C161" s="441" t="s">
        <v>1836</v>
      </c>
      <c r="D161" s="440" t="s">
        <v>1919</v>
      </c>
      <c r="E161" s="440" t="s">
        <v>1669</v>
      </c>
      <c r="F161" s="440"/>
      <c r="G161" s="440" t="s">
        <v>1924</v>
      </c>
      <c r="H161" s="440" t="s">
        <v>1923</v>
      </c>
      <c r="I161" s="439">
        <v>45503</v>
      </c>
      <c r="J161" s="445"/>
      <c r="K161" s="440" t="s">
        <v>1719</v>
      </c>
    </row>
    <row r="162" spans="1:11" ht="30" x14ac:dyDescent="0.25">
      <c r="A162" s="439">
        <v>45848</v>
      </c>
      <c r="B162" s="440" t="s">
        <v>468</v>
      </c>
      <c r="C162" s="441" t="s">
        <v>1836</v>
      </c>
      <c r="D162" s="440" t="s">
        <v>1919</v>
      </c>
      <c r="E162" s="440" t="s">
        <v>1669</v>
      </c>
      <c r="F162" s="440"/>
      <c r="G162" s="440" t="s">
        <v>1925</v>
      </c>
      <c r="H162" s="440" t="s">
        <v>1923</v>
      </c>
      <c r="I162" s="439">
        <v>45503</v>
      </c>
      <c r="J162" s="445"/>
      <c r="K162" s="440" t="s">
        <v>1719</v>
      </c>
    </row>
    <row r="163" spans="1:11" ht="45" x14ac:dyDescent="0.25">
      <c r="A163" s="439">
        <v>45848</v>
      </c>
      <c r="B163" s="440" t="s">
        <v>468</v>
      </c>
      <c r="C163" s="441" t="s">
        <v>1836</v>
      </c>
      <c r="D163" s="440" t="s">
        <v>1919</v>
      </c>
      <c r="E163" s="440" t="s">
        <v>1669</v>
      </c>
      <c r="F163" s="440"/>
      <c r="G163" s="440" t="s">
        <v>1926</v>
      </c>
      <c r="H163" s="440" t="s">
        <v>1923</v>
      </c>
      <c r="I163" s="439">
        <v>45503</v>
      </c>
      <c r="J163" s="445"/>
      <c r="K163" s="440" t="s">
        <v>1662</v>
      </c>
    </row>
    <row r="164" spans="1:11" ht="45" x14ac:dyDescent="0.25">
      <c r="A164" s="439">
        <v>45848</v>
      </c>
      <c r="B164" s="440" t="s">
        <v>468</v>
      </c>
      <c r="C164" s="441" t="s">
        <v>1836</v>
      </c>
      <c r="D164" s="440" t="s">
        <v>1919</v>
      </c>
      <c r="E164" s="440" t="s">
        <v>1669</v>
      </c>
      <c r="F164" s="440"/>
      <c r="G164" s="440" t="s">
        <v>1927</v>
      </c>
      <c r="H164" s="440" t="s">
        <v>1667</v>
      </c>
      <c r="I164" s="439">
        <v>45503</v>
      </c>
      <c r="J164" s="445"/>
      <c r="K164" s="440" t="s">
        <v>1719</v>
      </c>
    </row>
    <row r="165" spans="1:11" ht="120" x14ac:dyDescent="0.25">
      <c r="A165" s="439">
        <v>45853</v>
      </c>
      <c r="B165" s="440" t="s">
        <v>468</v>
      </c>
      <c r="C165" s="441" t="s">
        <v>1836</v>
      </c>
      <c r="D165" s="440" t="s">
        <v>37</v>
      </c>
      <c r="E165" s="440" t="s">
        <v>1669</v>
      </c>
      <c r="F165" s="440"/>
      <c r="G165" s="440" t="s">
        <v>1928</v>
      </c>
      <c r="H165" s="440" t="s">
        <v>1929</v>
      </c>
      <c r="I165" s="439">
        <v>45870</v>
      </c>
      <c r="J165" s="445"/>
      <c r="K165" s="440" t="s">
        <v>1662</v>
      </c>
    </row>
    <row r="166" spans="1:11" ht="30" x14ac:dyDescent="0.25">
      <c r="A166" s="439">
        <v>45853</v>
      </c>
      <c r="B166" s="440" t="s">
        <v>468</v>
      </c>
      <c r="C166" s="441" t="s">
        <v>1836</v>
      </c>
      <c r="D166" s="440" t="s">
        <v>37</v>
      </c>
      <c r="E166" s="440" t="s">
        <v>1669</v>
      </c>
      <c r="F166" s="440"/>
      <c r="G166" s="440" t="s">
        <v>1930</v>
      </c>
      <c r="H166" s="440" t="s">
        <v>1931</v>
      </c>
      <c r="I166" s="439">
        <v>45898</v>
      </c>
      <c r="J166" s="445"/>
      <c r="K166" s="440" t="s">
        <v>1662</v>
      </c>
    </row>
    <row r="167" spans="1:11" ht="30" x14ac:dyDescent="0.25">
      <c r="A167" s="439">
        <v>45853</v>
      </c>
      <c r="B167" s="440" t="s">
        <v>468</v>
      </c>
      <c r="C167" s="441" t="s">
        <v>1836</v>
      </c>
      <c r="D167" s="440" t="s">
        <v>37</v>
      </c>
      <c r="E167" s="440" t="s">
        <v>1752</v>
      </c>
      <c r="F167" s="440"/>
      <c r="G167" s="440" t="s">
        <v>1932</v>
      </c>
      <c r="H167" s="440" t="s">
        <v>1929</v>
      </c>
      <c r="I167" s="439">
        <v>45898</v>
      </c>
      <c r="J167" s="445"/>
      <c r="K167" s="440" t="s">
        <v>1912</v>
      </c>
    </row>
    <row r="168" spans="1:11" x14ac:dyDescent="0.25">
      <c r="A168" s="439">
        <v>45853</v>
      </c>
      <c r="B168" s="440" t="s">
        <v>468</v>
      </c>
      <c r="C168" s="441" t="s">
        <v>1836</v>
      </c>
      <c r="D168" s="440" t="s">
        <v>37</v>
      </c>
      <c r="E168" s="440" t="s">
        <v>1669</v>
      </c>
      <c r="F168" s="440"/>
      <c r="G168" s="440" t="s">
        <v>1933</v>
      </c>
      <c r="H168" s="440" t="s">
        <v>1929</v>
      </c>
      <c r="I168" s="439">
        <v>45898</v>
      </c>
      <c r="J168" s="445"/>
      <c r="K168" s="440"/>
    </row>
    <row r="169" spans="1:11" ht="30" x14ac:dyDescent="0.25">
      <c r="A169" s="439">
        <v>45853</v>
      </c>
      <c r="B169" s="440" t="s">
        <v>1854</v>
      </c>
      <c r="C169" s="441" t="s">
        <v>1934</v>
      </c>
      <c r="D169" s="440" t="s">
        <v>1848</v>
      </c>
      <c r="E169" s="440" t="s">
        <v>1669</v>
      </c>
      <c r="F169" s="440"/>
      <c r="G169" s="440" t="s">
        <v>1935</v>
      </c>
      <c r="H169" s="440" t="s">
        <v>1750</v>
      </c>
      <c r="I169" s="439">
        <v>45869</v>
      </c>
      <c r="J169" s="445"/>
      <c r="K169" s="440" t="s">
        <v>1662</v>
      </c>
    </row>
    <row r="170" spans="1:11" ht="30" x14ac:dyDescent="0.25">
      <c r="A170" s="439">
        <v>45859</v>
      </c>
      <c r="B170" s="440" t="s">
        <v>468</v>
      </c>
      <c r="C170" s="441" t="s">
        <v>715</v>
      </c>
      <c r="D170" s="440" t="s">
        <v>1906</v>
      </c>
      <c r="E170" s="440" t="s">
        <v>1669</v>
      </c>
      <c r="F170" s="440"/>
      <c r="G170" s="440" t="s">
        <v>1936</v>
      </c>
      <c r="H170" s="440" t="s">
        <v>1667</v>
      </c>
      <c r="I170" s="439">
        <v>45899</v>
      </c>
      <c r="J170" s="445"/>
      <c r="K170" s="440" t="s">
        <v>1719</v>
      </c>
    </row>
    <row r="171" spans="1:11" ht="30" x14ac:dyDescent="0.25">
      <c r="A171" s="439">
        <v>45862</v>
      </c>
      <c r="B171" s="440" t="s">
        <v>468</v>
      </c>
      <c r="C171" s="441" t="s">
        <v>715</v>
      </c>
      <c r="D171" s="440" t="s">
        <v>1906</v>
      </c>
      <c r="E171" s="440" t="s">
        <v>1757</v>
      </c>
      <c r="F171" s="440"/>
      <c r="G171" s="440" t="s">
        <v>1937</v>
      </c>
      <c r="H171" s="440" t="s">
        <v>1938</v>
      </c>
      <c r="I171" s="439">
        <v>45899</v>
      </c>
      <c r="J171" s="445"/>
      <c r="K171" s="440" t="s">
        <v>1662</v>
      </c>
    </row>
    <row r="172" spans="1:11" ht="30" x14ac:dyDescent="0.25">
      <c r="A172" s="439">
        <v>45863</v>
      </c>
      <c r="B172" s="440" t="s">
        <v>468</v>
      </c>
      <c r="C172" s="441" t="s">
        <v>578</v>
      </c>
      <c r="D172" s="440" t="s">
        <v>1906</v>
      </c>
      <c r="E172" s="440" t="s">
        <v>1669</v>
      </c>
      <c r="F172" s="440"/>
      <c r="G172" s="440" t="s">
        <v>1939</v>
      </c>
      <c r="H172" s="440" t="s">
        <v>1667</v>
      </c>
      <c r="I172" s="439">
        <v>45899</v>
      </c>
      <c r="J172" s="445"/>
      <c r="K172" s="440" t="s">
        <v>1719</v>
      </c>
    </row>
    <row r="173" spans="1:11" x14ac:dyDescent="0.25">
      <c r="A173" s="439">
        <v>45904</v>
      </c>
      <c r="B173" s="440" t="s">
        <v>1886</v>
      </c>
      <c r="C173" s="441" t="s">
        <v>1657</v>
      </c>
      <c r="D173" s="440" t="s">
        <v>1940</v>
      </c>
      <c r="E173" s="440" t="s">
        <v>1752</v>
      </c>
      <c r="F173" s="440"/>
      <c r="G173" s="440" t="s">
        <v>1941</v>
      </c>
      <c r="H173" s="440" t="s">
        <v>235</v>
      </c>
      <c r="I173" s="439">
        <v>45992</v>
      </c>
      <c r="J173" s="445"/>
      <c r="K173" s="440" t="s">
        <v>1662</v>
      </c>
    </row>
    <row r="174" spans="1:11" ht="30" x14ac:dyDescent="0.25">
      <c r="A174" s="439">
        <v>45904</v>
      </c>
      <c r="B174" s="440" t="s">
        <v>1886</v>
      </c>
      <c r="C174" s="441" t="s">
        <v>1657</v>
      </c>
      <c r="D174" s="440" t="s">
        <v>1940</v>
      </c>
      <c r="E174" s="440" t="s">
        <v>1669</v>
      </c>
      <c r="F174" s="440"/>
      <c r="G174" s="440" t="s">
        <v>1942</v>
      </c>
      <c r="H174" s="440" t="s">
        <v>1943</v>
      </c>
      <c r="I174" s="439">
        <v>45992</v>
      </c>
      <c r="J174" s="445"/>
      <c r="K174" s="440" t="s">
        <v>1719</v>
      </c>
    </row>
    <row r="175" spans="1:11" ht="30" x14ac:dyDescent="0.25">
      <c r="A175" s="439">
        <v>45904</v>
      </c>
      <c r="B175" s="440" t="s">
        <v>1886</v>
      </c>
      <c r="C175" s="441" t="s">
        <v>1657</v>
      </c>
      <c r="D175" s="440" t="s">
        <v>1940</v>
      </c>
      <c r="E175" s="440" t="s">
        <v>1752</v>
      </c>
      <c r="F175" s="440"/>
      <c r="G175" s="440" t="s">
        <v>1944</v>
      </c>
      <c r="H175" s="440" t="s">
        <v>235</v>
      </c>
      <c r="I175" s="439">
        <v>45931</v>
      </c>
      <c r="J175" s="445"/>
      <c r="K175" s="440" t="s">
        <v>1719</v>
      </c>
    </row>
    <row r="176" spans="1:11" x14ac:dyDescent="0.25">
      <c r="A176" s="439">
        <v>45904</v>
      </c>
      <c r="B176" s="440" t="s">
        <v>1886</v>
      </c>
      <c r="C176" s="441" t="s">
        <v>1657</v>
      </c>
      <c r="D176" s="440" t="s">
        <v>1940</v>
      </c>
      <c r="E176" s="440" t="s">
        <v>1669</v>
      </c>
      <c r="F176" s="440"/>
      <c r="G176" s="440" t="s">
        <v>1945</v>
      </c>
      <c r="H176" s="440" t="s">
        <v>235</v>
      </c>
      <c r="I176" s="439">
        <v>45976</v>
      </c>
      <c r="J176" s="445"/>
      <c r="K176" s="440" t="s">
        <v>1719</v>
      </c>
    </row>
    <row r="177" spans="1:11" ht="30" x14ac:dyDescent="0.25">
      <c r="A177" s="439">
        <v>45904</v>
      </c>
      <c r="B177" s="440" t="s">
        <v>1886</v>
      </c>
      <c r="C177" s="441" t="s">
        <v>1657</v>
      </c>
      <c r="D177" s="440" t="s">
        <v>1940</v>
      </c>
      <c r="E177" s="440" t="s">
        <v>1669</v>
      </c>
      <c r="F177" s="440"/>
      <c r="G177" s="440" t="s">
        <v>1946</v>
      </c>
      <c r="H177" s="440" t="s">
        <v>1947</v>
      </c>
      <c r="I177" s="439">
        <v>45931</v>
      </c>
      <c r="J177" s="445"/>
      <c r="K177" s="440" t="s">
        <v>1662</v>
      </c>
    </row>
    <row r="178" spans="1:11" x14ac:dyDescent="0.25">
      <c r="A178" s="439">
        <v>45904</v>
      </c>
      <c r="B178" s="440" t="s">
        <v>1886</v>
      </c>
      <c r="C178" s="441" t="s">
        <v>1657</v>
      </c>
      <c r="D178" s="440" t="s">
        <v>1940</v>
      </c>
      <c r="E178" s="440" t="s">
        <v>1669</v>
      </c>
      <c r="F178" s="440"/>
      <c r="G178" s="440" t="s">
        <v>1948</v>
      </c>
      <c r="H178" s="440" t="s">
        <v>235</v>
      </c>
      <c r="I178" s="439">
        <v>45992</v>
      </c>
      <c r="J178" s="445"/>
      <c r="K178" s="440" t="s">
        <v>1719</v>
      </c>
    </row>
    <row r="179" spans="1:11" ht="30" x14ac:dyDescent="0.25">
      <c r="A179" s="439">
        <v>45904</v>
      </c>
      <c r="B179" s="440" t="s">
        <v>1886</v>
      </c>
      <c r="C179" s="441" t="s">
        <v>1657</v>
      </c>
      <c r="D179" s="440" t="s">
        <v>1940</v>
      </c>
      <c r="E179" s="440" t="s">
        <v>1669</v>
      </c>
      <c r="F179" s="440"/>
      <c r="G179" s="440" t="s">
        <v>1949</v>
      </c>
      <c r="H179" s="440" t="s">
        <v>235</v>
      </c>
      <c r="I179" s="439">
        <v>46174</v>
      </c>
      <c r="J179" s="445"/>
      <c r="K179" s="440" t="s">
        <v>1719</v>
      </c>
    </row>
    <row r="180" spans="1:11" ht="30" x14ac:dyDescent="0.25">
      <c r="A180" s="439">
        <v>45904</v>
      </c>
      <c r="B180" s="440" t="s">
        <v>1886</v>
      </c>
      <c r="C180" s="441" t="s">
        <v>1657</v>
      </c>
      <c r="D180" s="440" t="s">
        <v>1940</v>
      </c>
      <c r="E180" s="440" t="s">
        <v>1757</v>
      </c>
      <c r="F180" s="440"/>
      <c r="G180" s="440" t="s">
        <v>1950</v>
      </c>
      <c r="H180" s="440" t="s">
        <v>1951</v>
      </c>
      <c r="I180" s="439">
        <v>46174</v>
      </c>
      <c r="J180" s="445"/>
      <c r="K180" s="440" t="s">
        <v>1719</v>
      </c>
    </row>
    <row r="181" spans="1:11" ht="30" x14ac:dyDescent="0.25">
      <c r="A181" s="439">
        <v>45904</v>
      </c>
      <c r="B181" s="440" t="s">
        <v>1886</v>
      </c>
      <c r="C181" s="441" t="s">
        <v>1657</v>
      </c>
      <c r="D181" s="440" t="s">
        <v>1940</v>
      </c>
      <c r="E181" s="440" t="s">
        <v>1752</v>
      </c>
      <c r="F181" s="440"/>
      <c r="G181" s="440" t="s">
        <v>1952</v>
      </c>
      <c r="H181" s="440" t="s">
        <v>1943</v>
      </c>
      <c r="I181" s="439">
        <v>45992</v>
      </c>
      <c r="J181" s="445"/>
      <c r="K181" s="440" t="s">
        <v>1731</v>
      </c>
    </row>
    <row r="182" spans="1:11" ht="30" x14ac:dyDescent="0.25">
      <c r="A182" s="439">
        <v>45904</v>
      </c>
      <c r="B182" s="440" t="s">
        <v>1886</v>
      </c>
      <c r="C182" s="441" t="s">
        <v>1657</v>
      </c>
      <c r="D182" s="440" t="s">
        <v>1940</v>
      </c>
      <c r="E182" s="440" t="s">
        <v>1669</v>
      </c>
      <c r="F182" s="440"/>
      <c r="G182" s="440" t="s">
        <v>1953</v>
      </c>
      <c r="H182" s="440" t="s">
        <v>1954</v>
      </c>
      <c r="I182" s="439">
        <v>46174</v>
      </c>
      <c r="J182" s="445"/>
      <c r="K182" s="440" t="s">
        <v>1719</v>
      </c>
    </row>
    <row r="183" spans="1:11" ht="30" x14ac:dyDescent="0.25">
      <c r="A183" s="439">
        <v>45904</v>
      </c>
      <c r="B183" s="440" t="s">
        <v>1886</v>
      </c>
      <c r="C183" s="441" t="s">
        <v>1657</v>
      </c>
      <c r="D183" s="440" t="s">
        <v>1940</v>
      </c>
      <c r="E183" s="440" t="s">
        <v>1669</v>
      </c>
      <c r="F183" s="440"/>
      <c r="G183" s="440" t="s">
        <v>1955</v>
      </c>
      <c r="H183" s="440" t="s">
        <v>1956</v>
      </c>
      <c r="I183" s="439">
        <v>45992</v>
      </c>
      <c r="J183" s="445"/>
      <c r="K183" s="440" t="s">
        <v>1719</v>
      </c>
    </row>
    <row r="184" spans="1:11" x14ac:dyDescent="0.25">
      <c r="A184" s="439">
        <v>45904</v>
      </c>
      <c r="B184" s="440" t="s">
        <v>1886</v>
      </c>
      <c r="C184" s="441" t="s">
        <v>1657</v>
      </c>
      <c r="D184" s="440" t="s">
        <v>1940</v>
      </c>
      <c r="E184" s="440" t="s">
        <v>1669</v>
      </c>
      <c r="F184" s="440"/>
      <c r="G184" s="440" t="s">
        <v>1957</v>
      </c>
      <c r="H184" s="440" t="s">
        <v>1958</v>
      </c>
      <c r="I184" s="439">
        <v>46174</v>
      </c>
      <c r="J184" s="445"/>
      <c r="K184" s="440" t="s">
        <v>1731</v>
      </c>
    </row>
    <row r="185" spans="1:11" ht="30" x14ac:dyDescent="0.25">
      <c r="A185" s="439">
        <v>45904</v>
      </c>
      <c r="B185" s="440" t="s">
        <v>1886</v>
      </c>
      <c r="C185" s="441" t="s">
        <v>1657</v>
      </c>
      <c r="D185" s="440" t="s">
        <v>1940</v>
      </c>
      <c r="E185" s="440" t="s">
        <v>1669</v>
      </c>
      <c r="F185" s="440"/>
      <c r="G185" s="440" t="s">
        <v>1959</v>
      </c>
      <c r="H185" s="440" t="s">
        <v>1960</v>
      </c>
      <c r="I185" s="439">
        <v>45992</v>
      </c>
      <c r="J185" s="445"/>
      <c r="K185" s="440" t="s">
        <v>1662</v>
      </c>
    </row>
    <row r="186" spans="1:11" x14ac:dyDescent="0.25">
      <c r="A186" s="439">
        <v>45904</v>
      </c>
      <c r="B186" s="440" t="s">
        <v>1886</v>
      </c>
      <c r="C186" s="441" t="s">
        <v>1657</v>
      </c>
      <c r="D186" s="440" t="s">
        <v>1940</v>
      </c>
      <c r="E186" s="440" t="s">
        <v>1669</v>
      </c>
      <c r="F186" s="440"/>
      <c r="G186" s="440" t="s">
        <v>1961</v>
      </c>
      <c r="H186" s="440" t="s">
        <v>1962</v>
      </c>
      <c r="I186" s="439">
        <v>46174</v>
      </c>
      <c r="J186" s="445"/>
      <c r="K186" s="440" t="s">
        <v>1719</v>
      </c>
    </row>
    <row r="187" spans="1:11" x14ac:dyDescent="0.25">
      <c r="A187" s="439">
        <v>45904</v>
      </c>
      <c r="B187" s="440" t="s">
        <v>1886</v>
      </c>
      <c r="C187" s="441" t="s">
        <v>1657</v>
      </c>
      <c r="D187" s="440" t="s">
        <v>1940</v>
      </c>
      <c r="E187" s="440" t="s">
        <v>1669</v>
      </c>
      <c r="F187" s="440"/>
      <c r="G187" s="440" t="s">
        <v>1963</v>
      </c>
      <c r="H187" s="440" t="s">
        <v>1964</v>
      </c>
      <c r="I187" s="439">
        <v>46174</v>
      </c>
      <c r="J187" s="445"/>
      <c r="K187" s="440" t="s">
        <v>1731</v>
      </c>
    </row>
    <row r="188" spans="1:11" x14ac:dyDescent="0.25">
      <c r="A188" s="439">
        <v>45904</v>
      </c>
      <c r="B188" s="440" t="s">
        <v>1886</v>
      </c>
      <c r="C188" s="441" t="s">
        <v>1657</v>
      </c>
      <c r="D188" s="440" t="s">
        <v>1940</v>
      </c>
      <c r="E188" s="440" t="s">
        <v>1669</v>
      </c>
      <c r="F188" s="440"/>
      <c r="G188" s="440" t="s">
        <v>1965</v>
      </c>
      <c r="H188" s="440" t="s">
        <v>1966</v>
      </c>
      <c r="I188" s="439">
        <v>45992</v>
      </c>
      <c r="J188" s="445"/>
      <c r="K188" s="440" t="s">
        <v>1719</v>
      </c>
    </row>
    <row r="189" spans="1:11" ht="30" x14ac:dyDescent="0.25">
      <c r="A189" s="439">
        <v>45904</v>
      </c>
      <c r="B189" s="440" t="s">
        <v>1886</v>
      </c>
      <c r="C189" s="441" t="s">
        <v>1657</v>
      </c>
      <c r="D189" s="440" t="s">
        <v>1940</v>
      </c>
      <c r="E189" s="440" t="s">
        <v>1752</v>
      </c>
      <c r="F189" s="440"/>
      <c r="G189" s="440" t="s">
        <v>1967</v>
      </c>
      <c r="H189" s="440" t="s">
        <v>235</v>
      </c>
      <c r="I189" s="439">
        <v>45992</v>
      </c>
      <c r="J189" s="445"/>
      <c r="K189" s="440" t="s">
        <v>1662</v>
      </c>
    </row>
    <row r="190" spans="1:11" x14ac:dyDescent="0.25">
      <c r="A190" s="439">
        <v>45904</v>
      </c>
      <c r="B190" s="440" t="s">
        <v>1886</v>
      </c>
      <c r="C190" s="441" t="s">
        <v>1657</v>
      </c>
      <c r="D190" s="440" t="s">
        <v>1940</v>
      </c>
      <c r="E190" s="440" t="s">
        <v>1669</v>
      </c>
      <c r="F190" s="440"/>
      <c r="G190" s="440" t="s">
        <v>1968</v>
      </c>
      <c r="H190" s="440" t="s">
        <v>235</v>
      </c>
      <c r="I190" s="439">
        <v>45992</v>
      </c>
      <c r="J190" s="445"/>
      <c r="K190" s="440" t="s">
        <v>1662</v>
      </c>
    </row>
    <row r="191" spans="1:11" ht="60" x14ac:dyDescent="0.25">
      <c r="A191" s="439">
        <v>45904</v>
      </c>
      <c r="B191" s="440" t="s">
        <v>1886</v>
      </c>
      <c r="C191" s="441" t="s">
        <v>1657</v>
      </c>
      <c r="D191" s="440" t="s">
        <v>1940</v>
      </c>
      <c r="E191" s="440" t="s">
        <v>1669</v>
      </c>
      <c r="F191" s="440"/>
      <c r="G191" s="440" t="s">
        <v>1969</v>
      </c>
      <c r="H191" s="440" t="s">
        <v>235</v>
      </c>
      <c r="I191" s="439">
        <v>45992</v>
      </c>
      <c r="J191" s="445"/>
      <c r="K191" s="440" t="s">
        <v>1719</v>
      </c>
    </row>
    <row r="192" spans="1:11" ht="30" x14ac:dyDescent="0.25">
      <c r="A192" s="439">
        <v>45904</v>
      </c>
      <c r="B192" s="440" t="s">
        <v>1886</v>
      </c>
      <c r="C192" s="441" t="s">
        <v>1657</v>
      </c>
      <c r="D192" s="440" t="s">
        <v>1940</v>
      </c>
      <c r="E192" s="440" t="s">
        <v>1720</v>
      </c>
      <c r="F192" s="440"/>
      <c r="G192" s="440" t="s">
        <v>1970</v>
      </c>
      <c r="H192" s="440" t="s">
        <v>1943</v>
      </c>
      <c r="I192" s="439">
        <v>45992</v>
      </c>
      <c r="J192" s="445"/>
      <c r="K192" s="440" t="s">
        <v>1719</v>
      </c>
    </row>
    <row r="193" spans="1:11" ht="30" x14ac:dyDescent="0.25">
      <c r="A193" s="439">
        <v>45904</v>
      </c>
      <c r="B193" s="440" t="s">
        <v>1886</v>
      </c>
      <c r="C193" s="441" t="s">
        <v>1657</v>
      </c>
      <c r="D193" s="440" t="s">
        <v>1940</v>
      </c>
      <c r="E193" s="440" t="s">
        <v>1720</v>
      </c>
      <c r="F193" s="440"/>
      <c r="G193" s="440" t="s">
        <v>1971</v>
      </c>
      <c r="H193" s="440" t="s">
        <v>1960</v>
      </c>
      <c r="I193" s="439">
        <v>45992</v>
      </c>
      <c r="J193" s="445"/>
      <c r="K193" s="440" t="s">
        <v>1662</v>
      </c>
    </row>
    <row r="194" spans="1:11" ht="45" x14ac:dyDescent="0.25">
      <c r="A194" s="439">
        <v>45904</v>
      </c>
      <c r="B194" s="440" t="s">
        <v>1886</v>
      </c>
      <c r="C194" s="441" t="s">
        <v>1657</v>
      </c>
      <c r="D194" s="440" t="s">
        <v>1940</v>
      </c>
      <c r="E194" s="440" t="s">
        <v>1669</v>
      </c>
      <c r="F194" s="440"/>
      <c r="G194" s="440" t="s">
        <v>1972</v>
      </c>
      <c r="H194" s="440" t="s">
        <v>1956</v>
      </c>
      <c r="I194" s="439">
        <v>46082</v>
      </c>
      <c r="J194" s="445"/>
      <c r="K194" s="440" t="s">
        <v>1719</v>
      </c>
    </row>
    <row r="195" spans="1:11" ht="30" x14ac:dyDescent="0.25">
      <c r="A195" s="439">
        <v>45904</v>
      </c>
      <c r="B195" s="440" t="s">
        <v>1886</v>
      </c>
      <c r="C195" s="441" t="s">
        <v>1657</v>
      </c>
      <c r="D195" s="440" t="s">
        <v>1940</v>
      </c>
      <c r="E195" s="440" t="s">
        <v>1669</v>
      </c>
      <c r="F195" s="440"/>
      <c r="G195" s="440" t="s">
        <v>1973</v>
      </c>
      <c r="H195" s="440" t="s">
        <v>1954</v>
      </c>
      <c r="I195" s="439">
        <v>46023</v>
      </c>
      <c r="J195" s="445"/>
      <c r="K195" s="440" t="s">
        <v>1731</v>
      </c>
    </row>
    <row r="196" spans="1:11" x14ac:dyDescent="0.25">
      <c r="A196" s="439">
        <v>45915</v>
      </c>
      <c r="B196" s="440" t="s">
        <v>468</v>
      </c>
      <c r="C196" s="441" t="s">
        <v>1836</v>
      </c>
      <c r="D196" s="440" t="s">
        <v>1764</v>
      </c>
      <c r="E196" s="440" t="s">
        <v>1752</v>
      </c>
      <c r="F196" s="440"/>
      <c r="G196" s="440" t="s">
        <v>1974</v>
      </c>
      <c r="H196" s="440" t="s">
        <v>1667</v>
      </c>
      <c r="I196" s="439">
        <v>46006</v>
      </c>
      <c r="J196" s="445"/>
      <c r="K196" s="440" t="s">
        <v>1719</v>
      </c>
    </row>
    <row r="197" spans="1:11" x14ac:dyDescent="0.25">
      <c r="A197" s="439">
        <v>45915</v>
      </c>
      <c r="B197" s="440" t="s">
        <v>468</v>
      </c>
      <c r="C197" s="441" t="s">
        <v>1836</v>
      </c>
      <c r="D197" s="440" t="s">
        <v>1764</v>
      </c>
      <c r="E197" s="440" t="s">
        <v>1669</v>
      </c>
      <c r="F197" s="440"/>
      <c r="G197" s="440" t="s">
        <v>1975</v>
      </c>
      <c r="H197" s="440" t="s">
        <v>1667</v>
      </c>
      <c r="I197" s="439">
        <v>45931</v>
      </c>
      <c r="J197" s="445"/>
      <c r="K197" s="440" t="s">
        <v>1662</v>
      </c>
    </row>
    <row r="198" spans="1:11" ht="30" x14ac:dyDescent="0.25">
      <c r="A198" s="439">
        <v>45915</v>
      </c>
      <c r="B198" s="440" t="s">
        <v>468</v>
      </c>
      <c r="C198" s="441" t="s">
        <v>1836</v>
      </c>
      <c r="D198" s="440" t="s">
        <v>1764</v>
      </c>
      <c r="E198" s="440" t="s">
        <v>1669</v>
      </c>
      <c r="F198" s="440"/>
      <c r="G198" s="440" t="s">
        <v>1976</v>
      </c>
      <c r="H198" s="440" t="s">
        <v>1667</v>
      </c>
      <c r="I198" s="439">
        <v>45945</v>
      </c>
      <c r="J198" s="445"/>
      <c r="K198" s="440" t="s">
        <v>1662</v>
      </c>
    </row>
    <row r="199" spans="1:11" ht="30" x14ac:dyDescent="0.25">
      <c r="A199" s="439">
        <v>45924</v>
      </c>
      <c r="B199" s="440" t="s">
        <v>100</v>
      </c>
      <c r="C199" s="441" t="s">
        <v>584</v>
      </c>
      <c r="D199" s="440" t="s">
        <v>37</v>
      </c>
      <c r="E199" s="440" t="s">
        <v>1669</v>
      </c>
      <c r="F199" s="440"/>
      <c r="G199" s="440" t="s">
        <v>1977</v>
      </c>
      <c r="H199" s="440" t="s">
        <v>1978</v>
      </c>
      <c r="I199" s="439">
        <v>45971</v>
      </c>
      <c r="J199" s="445"/>
      <c r="K199" s="440" t="s">
        <v>1719</v>
      </c>
    </row>
    <row r="200" spans="1:11" x14ac:dyDescent="0.25">
      <c r="A200" s="439">
        <v>45931</v>
      </c>
      <c r="B200" s="440" t="s">
        <v>100</v>
      </c>
      <c r="C200" s="441" t="s">
        <v>584</v>
      </c>
      <c r="D200" s="440" t="s">
        <v>37</v>
      </c>
      <c r="E200" s="440" t="s">
        <v>1669</v>
      </c>
      <c r="F200" s="440"/>
      <c r="G200" s="440" t="s">
        <v>1979</v>
      </c>
      <c r="H200" s="440" t="s">
        <v>1667</v>
      </c>
      <c r="I200" s="439">
        <v>45962</v>
      </c>
      <c r="J200" s="445"/>
      <c r="K200" s="440" t="s">
        <v>1719</v>
      </c>
    </row>
    <row r="201" spans="1:11" ht="45" x14ac:dyDescent="0.25">
      <c r="A201" s="439">
        <v>45945</v>
      </c>
      <c r="B201" s="440" t="s">
        <v>100</v>
      </c>
      <c r="C201" s="441" t="s">
        <v>661</v>
      </c>
      <c r="D201" s="440" t="s">
        <v>1764</v>
      </c>
      <c r="E201" s="440" t="s">
        <v>1752</v>
      </c>
      <c r="F201" s="440"/>
      <c r="G201" s="440" t="s">
        <v>1980</v>
      </c>
      <c r="H201" s="440" t="s">
        <v>1981</v>
      </c>
      <c r="I201" s="439">
        <v>45945</v>
      </c>
      <c r="J201" s="445"/>
      <c r="K201" s="440" t="s">
        <v>1731</v>
      </c>
    </row>
    <row r="202" spans="1:11" ht="30" x14ac:dyDescent="0.25">
      <c r="A202" s="439">
        <v>45945</v>
      </c>
      <c r="B202" s="440" t="s">
        <v>100</v>
      </c>
      <c r="C202" s="441" t="s">
        <v>661</v>
      </c>
      <c r="D202" s="440" t="s">
        <v>1764</v>
      </c>
      <c r="E202" s="440" t="s">
        <v>1752</v>
      </c>
      <c r="F202" s="440"/>
      <c r="G202" s="440" t="s">
        <v>1982</v>
      </c>
      <c r="H202" s="440" t="s">
        <v>1908</v>
      </c>
      <c r="I202" s="439">
        <v>46052</v>
      </c>
      <c r="J202" s="445"/>
      <c r="K202" s="440" t="s">
        <v>1719</v>
      </c>
    </row>
    <row r="203" spans="1:11" ht="45" x14ac:dyDescent="0.25">
      <c r="A203" s="439">
        <v>45946</v>
      </c>
      <c r="B203" s="440" t="s">
        <v>100</v>
      </c>
      <c r="C203" s="441" t="s">
        <v>603</v>
      </c>
      <c r="D203" s="440" t="s">
        <v>1664</v>
      </c>
      <c r="E203" s="440" t="s">
        <v>1752</v>
      </c>
      <c r="F203" s="440"/>
      <c r="G203" s="440" t="s">
        <v>1983</v>
      </c>
      <c r="H203" s="440" t="s">
        <v>1984</v>
      </c>
      <c r="I203" s="439">
        <v>46174</v>
      </c>
      <c r="J203" s="445"/>
      <c r="K203" s="440" t="s">
        <v>1731</v>
      </c>
    </row>
    <row r="204" spans="1:11" ht="30" x14ac:dyDescent="0.25">
      <c r="A204" s="439">
        <v>45952</v>
      </c>
      <c r="B204" s="440" t="s">
        <v>468</v>
      </c>
      <c r="C204" s="441" t="s">
        <v>1836</v>
      </c>
      <c r="D204" s="440" t="s">
        <v>1764</v>
      </c>
      <c r="E204" s="440" t="s">
        <v>1752</v>
      </c>
      <c r="F204" s="440"/>
      <c r="G204" s="440" t="s">
        <v>1985</v>
      </c>
      <c r="H204" s="440" t="s">
        <v>1667</v>
      </c>
      <c r="I204" s="439">
        <v>45976</v>
      </c>
      <c r="J204" s="445"/>
      <c r="K204" s="440" t="s">
        <v>1719</v>
      </c>
    </row>
    <row r="205" spans="1:11" x14ac:dyDescent="0.25">
      <c r="A205" s="439">
        <v>45954</v>
      </c>
      <c r="B205" s="440" t="s">
        <v>100</v>
      </c>
      <c r="C205" s="441" t="s">
        <v>584</v>
      </c>
      <c r="D205" s="440" t="s">
        <v>1664</v>
      </c>
      <c r="E205" s="440" t="s">
        <v>1669</v>
      </c>
      <c r="F205" s="440"/>
      <c r="G205" s="440" t="s">
        <v>1986</v>
      </c>
      <c r="H205" s="440" t="s">
        <v>1667</v>
      </c>
      <c r="I205" s="439">
        <v>45954</v>
      </c>
      <c r="J205" s="445"/>
      <c r="K205" s="440" t="s">
        <v>1662</v>
      </c>
    </row>
    <row r="206" spans="1:11" ht="30" x14ac:dyDescent="0.25">
      <c r="A206" s="439">
        <v>45966</v>
      </c>
      <c r="B206" s="440" t="s">
        <v>1854</v>
      </c>
      <c r="C206" s="441" t="s">
        <v>589</v>
      </c>
      <c r="D206" s="440" t="s">
        <v>1848</v>
      </c>
      <c r="E206" s="440" t="s">
        <v>1669</v>
      </c>
      <c r="F206" s="440"/>
      <c r="G206" s="440" t="s">
        <v>1987</v>
      </c>
      <c r="H206" s="440" t="s">
        <v>1750</v>
      </c>
      <c r="I206" s="439">
        <v>45968</v>
      </c>
      <c r="J206" s="445"/>
      <c r="K206" s="440" t="s">
        <v>1662</v>
      </c>
    </row>
    <row r="207" spans="1:11" ht="30" x14ac:dyDescent="0.25">
      <c r="A207" s="439">
        <v>45966</v>
      </c>
      <c r="B207" s="440" t="s">
        <v>1854</v>
      </c>
      <c r="C207" s="441" t="s">
        <v>589</v>
      </c>
      <c r="D207" s="440" t="s">
        <v>1848</v>
      </c>
      <c r="E207" s="440" t="s">
        <v>1893</v>
      </c>
      <c r="F207" s="440"/>
      <c r="G207" s="440" t="s">
        <v>1988</v>
      </c>
      <c r="H207" s="440" t="s">
        <v>1750</v>
      </c>
      <c r="I207" s="439">
        <v>46022</v>
      </c>
      <c r="J207" s="445"/>
      <c r="K207" s="440" t="s">
        <v>1719</v>
      </c>
    </row>
    <row r="208" spans="1:11" ht="30" x14ac:dyDescent="0.25">
      <c r="A208" s="439">
        <v>45966</v>
      </c>
      <c r="B208" s="440" t="s">
        <v>1854</v>
      </c>
      <c r="C208" s="441" t="s">
        <v>589</v>
      </c>
      <c r="D208" s="440" t="s">
        <v>1848</v>
      </c>
      <c r="E208" s="440" t="s">
        <v>1669</v>
      </c>
      <c r="F208" s="440"/>
      <c r="G208" s="440" t="s">
        <v>1989</v>
      </c>
      <c r="H208" s="440" t="s">
        <v>1750</v>
      </c>
      <c r="I208" s="439">
        <v>46053</v>
      </c>
      <c r="J208" s="445"/>
      <c r="K208" s="440" t="s">
        <v>1719</v>
      </c>
    </row>
    <row r="209" spans="1:11" ht="30" x14ac:dyDescent="0.25">
      <c r="A209" s="439">
        <v>45973</v>
      </c>
      <c r="B209" s="440" t="s">
        <v>269</v>
      </c>
      <c r="C209" s="441" t="s">
        <v>1990</v>
      </c>
      <c r="D209" s="440" t="s">
        <v>37</v>
      </c>
      <c r="E209" s="440" t="s">
        <v>1783</v>
      </c>
      <c r="F209" s="440"/>
      <c r="G209" s="440" t="s">
        <v>1991</v>
      </c>
      <c r="H209" s="440" t="s">
        <v>1750</v>
      </c>
      <c r="I209" s="439">
        <v>45991</v>
      </c>
      <c r="J209" s="445"/>
      <c r="K209" s="440" t="s">
        <v>1662</v>
      </c>
    </row>
    <row r="210" spans="1:11" x14ac:dyDescent="0.25">
      <c r="A210" s="439">
        <v>45989</v>
      </c>
      <c r="B210" s="440" t="s">
        <v>94</v>
      </c>
      <c r="C210" s="441" t="s">
        <v>1992</v>
      </c>
      <c r="D210" s="440" t="s">
        <v>1848</v>
      </c>
      <c r="E210" s="440" t="s">
        <v>1669</v>
      </c>
      <c r="F210" s="440"/>
      <c r="G210" s="440" t="s">
        <v>1993</v>
      </c>
      <c r="H210" s="440" t="s">
        <v>1750</v>
      </c>
      <c r="I210" s="439">
        <v>46010</v>
      </c>
      <c r="J210" s="445"/>
      <c r="K210" s="440"/>
    </row>
    <row r="211" spans="1:11" x14ac:dyDescent="0.25">
      <c r="A211" s="439">
        <v>45989</v>
      </c>
      <c r="B211" s="440" t="s">
        <v>94</v>
      </c>
      <c r="C211" s="441" t="s">
        <v>1992</v>
      </c>
      <c r="D211" s="440" t="s">
        <v>1848</v>
      </c>
      <c r="E211" s="440" t="s">
        <v>1669</v>
      </c>
      <c r="F211" s="440"/>
      <c r="G211" s="440" t="s">
        <v>1994</v>
      </c>
      <c r="H211" s="440" t="s">
        <v>1750</v>
      </c>
      <c r="I211" s="439">
        <v>46010</v>
      </c>
      <c r="J211" s="445"/>
      <c r="K211" s="440"/>
    </row>
    <row r="212" spans="1:11" ht="30" x14ac:dyDescent="0.25">
      <c r="A212" s="439">
        <v>45989</v>
      </c>
      <c r="B212" s="440" t="s">
        <v>94</v>
      </c>
      <c r="C212" s="441" t="s">
        <v>1992</v>
      </c>
      <c r="D212" s="440" t="s">
        <v>1848</v>
      </c>
      <c r="E212" s="440" t="s">
        <v>1669</v>
      </c>
      <c r="F212" s="440"/>
      <c r="G212" s="440" t="s">
        <v>1995</v>
      </c>
      <c r="H212" s="440" t="s">
        <v>1750</v>
      </c>
      <c r="I212" s="439">
        <v>46081</v>
      </c>
      <c r="J212" s="445"/>
      <c r="K212" s="440"/>
    </row>
    <row r="213" spans="1:11" ht="30" x14ac:dyDescent="0.25">
      <c r="A213" s="439">
        <v>45989</v>
      </c>
      <c r="B213" s="440" t="s">
        <v>94</v>
      </c>
      <c r="C213" s="441" t="s">
        <v>1992</v>
      </c>
      <c r="D213" s="440" t="s">
        <v>1848</v>
      </c>
      <c r="E213" s="440" t="s">
        <v>1669</v>
      </c>
      <c r="F213" s="440"/>
      <c r="G213" s="440" t="s">
        <v>1996</v>
      </c>
      <c r="H213" s="440" t="s">
        <v>1997</v>
      </c>
      <c r="I213" s="439">
        <v>46053</v>
      </c>
      <c r="J213" s="445"/>
      <c r="K213" s="440"/>
    </row>
    <row r="214" spans="1:11" ht="30" x14ac:dyDescent="0.25">
      <c r="A214" s="439">
        <v>45989</v>
      </c>
      <c r="B214" s="440" t="s">
        <v>94</v>
      </c>
      <c r="C214" s="441" t="s">
        <v>1992</v>
      </c>
      <c r="D214" s="440" t="s">
        <v>1848</v>
      </c>
      <c r="E214" s="440" t="s">
        <v>1669</v>
      </c>
      <c r="F214" s="440"/>
      <c r="G214" s="440" t="s">
        <v>1998</v>
      </c>
      <c r="H214" s="440" t="s">
        <v>1997</v>
      </c>
      <c r="I214" s="439">
        <v>46081</v>
      </c>
      <c r="J214" s="445"/>
      <c r="K214" s="440"/>
    </row>
    <row r="215" spans="1:11" x14ac:dyDescent="0.25">
      <c r="A215" s="439">
        <v>45992</v>
      </c>
      <c r="B215" s="440" t="s">
        <v>1657</v>
      </c>
      <c r="C215" s="441" t="s">
        <v>1657</v>
      </c>
      <c r="D215" s="440" t="s">
        <v>1999</v>
      </c>
      <c r="E215" s="440" t="s">
        <v>235</v>
      </c>
      <c r="F215" s="440" t="s">
        <v>2000</v>
      </c>
      <c r="G215" s="440" t="s">
        <v>2001</v>
      </c>
      <c r="H215" s="440" t="s">
        <v>2002</v>
      </c>
      <c r="I215" s="439">
        <v>46029</v>
      </c>
      <c r="J215" s="445"/>
      <c r="K215" s="440" t="s">
        <v>2003</v>
      </c>
    </row>
    <row r="216" spans="1:11" x14ac:dyDescent="0.25">
      <c r="A216" s="439">
        <v>45992</v>
      </c>
      <c r="B216" s="440" t="s">
        <v>1657</v>
      </c>
      <c r="C216" s="441" t="s">
        <v>1657</v>
      </c>
      <c r="D216" s="440" t="s">
        <v>1999</v>
      </c>
      <c r="E216" s="440" t="s">
        <v>235</v>
      </c>
      <c r="F216" s="440" t="s">
        <v>2000</v>
      </c>
      <c r="G216" s="440" t="s">
        <v>1722</v>
      </c>
      <c r="H216" s="440" t="s">
        <v>2002</v>
      </c>
      <c r="I216" s="439">
        <v>46266</v>
      </c>
      <c r="J216" s="445"/>
      <c r="K216" s="440" t="s">
        <v>2004</v>
      </c>
    </row>
    <row r="217" spans="1:11" x14ac:dyDescent="0.25">
      <c r="A217" s="439">
        <v>45992</v>
      </c>
      <c r="B217" s="440" t="s">
        <v>1657</v>
      </c>
      <c r="C217" s="441" t="s">
        <v>1657</v>
      </c>
      <c r="D217" s="440" t="s">
        <v>1999</v>
      </c>
      <c r="E217" s="440" t="s">
        <v>1669</v>
      </c>
      <c r="F217" s="440" t="s">
        <v>2005</v>
      </c>
      <c r="G217" s="440" t="s">
        <v>2006</v>
      </c>
      <c r="H217" s="440" t="s">
        <v>2002</v>
      </c>
      <c r="I217" s="439">
        <v>46022</v>
      </c>
      <c r="J217" s="445"/>
      <c r="K217" s="440" t="s">
        <v>2003</v>
      </c>
    </row>
    <row r="218" spans="1:11" ht="30" x14ac:dyDescent="0.25">
      <c r="A218" s="439">
        <v>45992</v>
      </c>
      <c r="B218" s="440" t="s">
        <v>1657</v>
      </c>
      <c r="C218" s="441" t="s">
        <v>1657</v>
      </c>
      <c r="D218" s="440" t="s">
        <v>1999</v>
      </c>
      <c r="E218" s="440" t="s">
        <v>1659</v>
      </c>
      <c r="F218" s="440" t="s">
        <v>2007</v>
      </c>
      <c r="G218" s="440" t="s">
        <v>2008</v>
      </c>
      <c r="H218" s="440" t="s">
        <v>2002</v>
      </c>
      <c r="I218" s="439">
        <v>46022</v>
      </c>
      <c r="J218" s="445"/>
      <c r="K218" s="440" t="s">
        <v>2003</v>
      </c>
    </row>
    <row r="219" spans="1:11" x14ac:dyDescent="0.25">
      <c r="A219" s="439">
        <v>45992</v>
      </c>
      <c r="B219" s="440" t="s">
        <v>1657</v>
      </c>
      <c r="C219" s="441" t="s">
        <v>1657</v>
      </c>
      <c r="D219" s="440" t="s">
        <v>1999</v>
      </c>
      <c r="E219" s="440" t="s">
        <v>235</v>
      </c>
      <c r="F219" s="440" t="s">
        <v>2009</v>
      </c>
      <c r="G219" s="440" t="s">
        <v>2010</v>
      </c>
      <c r="H219" s="440" t="s">
        <v>2002</v>
      </c>
      <c r="I219" s="439">
        <v>46387</v>
      </c>
      <c r="J219" s="445"/>
      <c r="K219" s="440" t="s">
        <v>1731</v>
      </c>
    </row>
    <row r="220" spans="1:11" x14ac:dyDescent="0.25">
      <c r="A220" s="439">
        <v>46023</v>
      </c>
      <c r="B220" s="440" t="s">
        <v>1854</v>
      </c>
      <c r="C220" s="441" t="s">
        <v>46</v>
      </c>
      <c r="D220" s="440" t="s">
        <v>2011</v>
      </c>
      <c r="E220" s="440" t="s">
        <v>1669</v>
      </c>
      <c r="F220" s="440"/>
      <c r="G220" s="440" t="s">
        <v>2012</v>
      </c>
      <c r="H220" s="440" t="s">
        <v>1750</v>
      </c>
      <c r="I220" s="439">
        <v>46053</v>
      </c>
      <c r="J220" s="445"/>
      <c r="K220" s="440" t="s">
        <v>1662</v>
      </c>
    </row>
    <row r="221" spans="1:11" x14ac:dyDescent="0.25">
      <c r="A221" s="439">
        <v>46023</v>
      </c>
      <c r="B221" s="440" t="s">
        <v>1886</v>
      </c>
      <c r="C221" s="441" t="s">
        <v>1657</v>
      </c>
      <c r="D221" s="440" t="s">
        <v>2013</v>
      </c>
      <c r="E221" s="440" t="s">
        <v>1717</v>
      </c>
      <c r="F221" s="440"/>
      <c r="G221" s="440" t="s">
        <v>2014</v>
      </c>
      <c r="H221" s="440" t="s">
        <v>235</v>
      </c>
      <c r="I221" s="439">
        <v>46053</v>
      </c>
      <c r="J221" s="445"/>
      <c r="K221" s="440" t="s">
        <v>1662</v>
      </c>
    </row>
    <row r="222" spans="1:11" x14ac:dyDescent="0.25">
      <c r="A222" s="439">
        <v>46023</v>
      </c>
      <c r="B222" s="440" t="s">
        <v>1886</v>
      </c>
      <c r="C222" s="441" t="s">
        <v>1657</v>
      </c>
      <c r="D222" s="440" t="s">
        <v>1940</v>
      </c>
      <c r="E222" s="440" t="s">
        <v>1893</v>
      </c>
      <c r="F222" s="440"/>
      <c r="G222" s="440" t="s">
        <v>2015</v>
      </c>
      <c r="H222" s="440" t="s">
        <v>235</v>
      </c>
      <c r="I222" s="439">
        <v>46053</v>
      </c>
      <c r="J222" s="445"/>
      <c r="K222" s="440" t="s">
        <v>1662</v>
      </c>
    </row>
    <row r="223" spans="1:11" ht="30" x14ac:dyDescent="0.25">
      <c r="A223" s="439">
        <v>46023</v>
      </c>
      <c r="B223" s="440" t="s">
        <v>1657</v>
      </c>
      <c r="C223" s="441" t="s">
        <v>1657</v>
      </c>
      <c r="D223" s="440" t="s">
        <v>2016</v>
      </c>
      <c r="E223" s="440" t="s">
        <v>1893</v>
      </c>
      <c r="F223" s="440"/>
      <c r="G223" s="440" t="s">
        <v>2017</v>
      </c>
      <c r="H223" s="440" t="s">
        <v>235</v>
      </c>
      <c r="I223" s="439">
        <v>46112</v>
      </c>
      <c r="J223" s="445"/>
      <c r="K223" s="440" t="s">
        <v>1731</v>
      </c>
    </row>
    <row r="224" spans="1:11" ht="45" x14ac:dyDescent="0.25">
      <c r="A224" s="439">
        <v>46023</v>
      </c>
      <c r="B224" s="440" t="s">
        <v>1657</v>
      </c>
      <c r="C224" s="441" t="s">
        <v>1657</v>
      </c>
      <c r="D224" s="440" t="s">
        <v>1855</v>
      </c>
      <c r="E224" s="440" t="s">
        <v>1893</v>
      </c>
      <c r="F224" s="440"/>
      <c r="G224" s="440" t="s">
        <v>2018</v>
      </c>
      <c r="H224" s="440" t="s">
        <v>235</v>
      </c>
      <c r="I224" s="439">
        <v>46053</v>
      </c>
      <c r="J224" s="445"/>
      <c r="K224" s="440" t="s">
        <v>1662</v>
      </c>
    </row>
    <row r="225" spans="1:11" ht="30" x14ac:dyDescent="0.25">
      <c r="A225" s="439">
        <v>46023</v>
      </c>
      <c r="B225" s="440" t="s">
        <v>1657</v>
      </c>
      <c r="C225" s="441" t="s">
        <v>1657</v>
      </c>
      <c r="D225" s="440" t="s">
        <v>2011</v>
      </c>
      <c r="E225" s="440" t="s">
        <v>1783</v>
      </c>
      <c r="F225" s="440"/>
      <c r="G225" s="440" t="s">
        <v>2019</v>
      </c>
      <c r="H225" s="440" t="s">
        <v>235</v>
      </c>
      <c r="I225" s="439">
        <v>46387</v>
      </c>
      <c r="J225" s="445"/>
      <c r="K225" s="440" t="s">
        <v>1719</v>
      </c>
    </row>
    <row r="226" spans="1:11" ht="45" x14ac:dyDescent="0.25">
      <c r="A226" s="439">
        <v>46023</v>
      </c>
      <c r="B226" s="440" t="s">
        <v>1657</v>
      </c>
      <c r="C226" s="441" t="s">
        <v>1657</v>
      </c>
      <c r="D226" s="440" t="s">
        <v>2011</v>
      </c>
      <c r="E226" s="440" t="s">
        <v>1669</v>
      </c>
      <c r="F226" s="440"/>
      <c r="G226" s="440" t="s">
        <v>2020</v>
      </c>
      <c r="H226" s="440" t="s">
        <v>235</v>
      </c>
      <c r="I226" s="439">
        <v>46387</v>
      </c>
      <c r="J226" s="445"/>
      <c r="K226" s="440" t="s">
        <v>1719</v>
      </c>
    </row>
    <row r="227" spans="1:11" ht="45" x14ac:dyDescent="0.25">
      <c r="A227" s="439">
        <v>46023</v>
      </c>
      <c r="B227" s="440" t="s">
        <v>1657</v>
      </c>
      <c r="C227" s="441" t="s">
        <v>1657</v>
      </c>
      <c r="D227" s="440" t="s">
        <v>1710</v>
      </c>
      <c r="E227" s="440" t="s">
        <v>1669</v>
      </c>
      <c r="F227" s="440"/>
      <c r="G227" s="440" t="s">
        <v>2021</v>
      </c>
      <c r="H227" s="440" t="s">
        <v>235</v>
      </c>
      <c r="I227" s="439">
        <v>46112</v>
      </c>
      <c r="J227" s="445"/>
      <c r="K227" s="440" t="s">
        <v>1731</v>
      </c>
    </row>
    <row r="228" spans="1:11" x14ac:dyDescent="0.25">
      <c r="A228" s="439">
        <v>46023</v>
      </c>
      <c r="B228" s="440" t="s">
        <v>1886</v>
      </c>
      <c r="C228" s="441" t="s">
        <v>1657</v>
      </c>
      <c r="D228" s="440" t="s">
        <v>1940</v>
      </c>
      <c r="E228" s="440" t="s">
        <v>1783</v>
      </c>
      <c r="F228" s="440"/>
      <c r="G228" s="440" t="s">
        <v>2022</v>
      </c>
      <c r="H228" s="440" t="s">
        <v>235</v>
      </c>
      <c r="I228" s="439">
        <v>46053</v>
      </c>
      <c r="J228" s="445"/>
      <c r="K228" s="440" t="s">
        <v>1662</v>
      </c>
    </row>
    <row r="229" spans="1:11" x14ac:dyDescent="0.25">
      <c r="A229" s="439">
        <v>46023</v>
      </c>
      <c r="B229" s="440" t="s">
        <v>1886</v>
      </c>
      <c r="C229" s="441" t="s">
        <v>1657</v>
      </c>
      <c r="D229" s="440" t="s">
        <v>1940</v>
      </c>
      <c r="E229" s="440" t="s">
        <v>1893</v>
      </c>
      <c r="F229" s="440"/>
      <c r="G229" s="440" t="s">
        <v>2023</v>
      </c>
      <c r="H229" s="440" t="s">
        <v>235</v>
      </c>
      <c r="I229" s="439">
        <v>46053</v>
      </c>
      <c r="J229" s="445"/>
      <c r="K229" s="440" t="s">
        <v>1662</v>
      </c>
    </row>
    <row r="230" spans="1:11" x14ac:dyDescent="0.25">
      <c r="A230" s="439">
        <v>46023</v>
      </c>
      <c r="B230" s="440" t="s">
        <v>1657</v>
      </c>
      <c r="C230" s="441" t="s">
        <v>1657</v>
      </c>
      <c r="D230" s="440" t="s">
        <v>2024</v>
      </c>
      <c r="E230" s="440" t="s">
        <v>1669</v>
      </c>
      <c r="F230" s="440"/>
      <c r="G230" s="440" t="s">
        <v>2025</v>
      </c>
      <c r="H230" s="440" t="s">
        <v>235</v>
      </c>
      <c r="I230" s="439">
        <v>46234</v>
      </c>
      <c r="J230" s="445"/>
      <c r="K230" s="440" t="s">
        <v>1719</v>
      </c>
    </row>
    <row r="231" spans="1:11" ht="60" x14ac:dyDescent="0.25">
      <c r="A231" s="439">
        <v>46023</v>
      </c>
      <c r="B231" s="440" t="s">
        <v>1657</v>
      </c>
      <c r="C231" s="441" t="s">
        <v>1657</v>
      </c>
      <c r="D231" s="440" t="s">
        <v>2026</v>
      </c>
      <c r="E231" s="440" t="s">
        <v>1669</v>
      </c>
      <c r="F231" s="440" t="s">
        <v>2027</v>
      </c>
      <c r="G231" s="440" t="s">
        <v>2028</v>
      </c>
      <c r="H231" s="440" t="s">
        <v>235</v>
      </c>
      <c r="I231" s="439">
        <v>46265</v>
      </c>
      <c r="J231" s="445"/>
      <c r="K231" s="440" t="s">
        <v>2004</v>
      </c>
    </row>
    <row r="232" spans="1:11" x14ac:dyDescent="0.25">
      <c r="A232" s="439">
        <v>46037</v>
      </c>
      <c r="B232" s="440" t="s">
        <v>109</v>
      </c>
      <c r="C232" s="441" t="s">
        <v>108</v>
      </c>
      <c r="D232" s="440" t="s">
        <v>2029</v>
      </c>
      <c r="E232" s="440" t="s">
        <v>1669</v>
      </c>
      <c r="F232" s="440" t="s">
        <v>2030</v>
      </c>
      <c r="G232" s="440" t="s">
        <v>2031</v>
      </c>
      <c r="H232" s="440" t="s">
        <v>2032</v>
      </c>
      <c r="I232" s="439">
        <v>46039</v>
      </c>
      <c r="J232" s="445"/>
      <c r="K232" s="440" t="s">
        <v>1662</v>
      </c>
    </row>
    <row r="233" spans="1:11" x14ac:dyDescent="0.25">
      <c r="A233" s="439">
        <v>46037</v>
      </c>
      <c r="B233" s="440" t="s">
        <v>109</v>
      </c>
      <c r="C233" s="441" t="s">
        <v>108</v>
      </c>
      <c r="D233" s="440" t="s">
        <v>2029</v>
      </c>
      <c r="E233" s="440" t="s">
        <v>1669</v>
      </c>
      <c r="F233" s="440" t="s">
        <v>2033</v>
      </c>
      <c r="G233" s="440" t="s">
        <v>2034</v>
      </c>
      <c r="H233" s="440" t="s">
        <v>2032</v>
      </c>
      <c r="I233" s="439">
        <v>46039</v>
      </c>
      <c r="J233" s="445"/>
      <c r="K233" s="440" t="s">
        <v>1662</v>
      </c>
    </row>
    <row r="234" spans="1:11" ht="45" x14ac:dyDescent="0.25">
      <c r="A234" s="439">
        <v>46038</v>
      </c>
      <c r="B234" s="440" t="s">
        <v>109</v>
      </c>
      <c r="C234" s="441" t="s">
        <v>108</v>
      </c>
      <c r="D234" s="440" t="s">
        <v>2029</v>
      </c>
      <c r="E234" s="440" t="s">
        <v>1669</v>
      </c>
      <c r="F234" s="440" t="s">
        <v>2035</v>
      </c>
      <c r="G234" s="440" t="s">
        <v>2036</v>
      </c>
      <c r="H234" s="440" t="s">
        <v>1667</v>
      </c>
      <c r="I234" s="439">
        <v>46042</v>
      </c>
      <c r="J234" s="445"/>
      <c r="K234" s="440" t="s">
        <v>1662</v>
      </c>
    </row>
    <row r="235" spans="1:11" ht="45.75" thickBot="1" x14ac:dyDescent="0.3">
      <c r="A235" s="439">
        <v>46038</v>
      </c>
      <c r="B235" s="440" t="s">
        <v>109</v>
      </c>
      <c r="C235" s="441" t="s">
        <v>108</v>
      </c>
      <c r="D235" s="440" t="s">
        <v>2029</v>
      </c>
      <c r="E235" s="440" t="s">
        <v>1669</v>
      </c>
      <c r="F235" s="440" t="s">
        <v>2035</v>
      </c>
      <c r="G235" s="440" t="s">
        <v>2037</v>
      </c>
      <c r="H235" s="440" t="s">
        <v>2032</v>
      </c>
      <c r="I235" s="439">
        <v>46042</v>
      </c>
      <c r="J235" s="445"/>
      <c r="K235" s="440" t="s">
        <v>1662</v>
      </c>
    </row>
    <row r="236" spans="1:11" ht="45.75" thickBot="1" x14ac:dyDescent="0.3">
      <c r="A236" s="439">
        <v>46038</v>
      </c>
      <c r="B236" s="440" t="s">
        <v>109</v>
      </c>
      <c r="C236" s="441" t="s">
        <v>108</v>
      </c>
      <c r="D236" s="440" t="s">
        <v>2029</v>
      </c>
      <c r="E236" s="440" t="s">
        <v>1669</v>
      </c>
      <c r="F236" s="449" t="s">
        <v>2038</v>
      </c>
      <c r="G236" s="449" t="s">
        <v>2039</v>
      </c>
      <c r="H236" s="449" t="s">
        <v>2032</v>
      </c>
      <c r="I236" s="439">
        <v>46042</v>
      </c>
      <c r="J236" s="445"/>
      <c r="K236" s="440" t="s">
        <v>1662</v>
      </c>
    </row>
    <row r="237" spans="1:11" ht="45" x14ac:dyDescent="0.25">
      <c r="A237" s="439">
        <v>46042</v>
      </c>
      <c r="B237" s="440" t="s">
        <v>36</v>
      </c>
      <c r="C237" s="441" t="s">
        <v>539</v>
      </c>
      <c r="D237" s="440" t="s">
        <v>2040</v>
      </c>
      <c r="E237" s="440" t="s">
        <v>1669</v>
      </c>
      <c r="F237" s="440" t="s">
        <v>2041</v>
      </c>
      <c r="G237" s="440" t="s">
        <v>2042</v>
      </c>
      <c r="H237" s="440"/>
      <c r="I237" s="439"/>
      <c r="J237" s="445"/>
      <c r="K237" s="440" t="s">
        <v>2043</v>
      </c>
    </row>
    <row r="238" spans="1:11" ht="30" x14ac:dyDescent="0.25">
      <c r="A238" s="439">
        <v>46042</v>
      </c>
      <c r="B238" s="440" t="s">
        <v>36</v>
      </c>
      <c r="C238" s="441" t="s">
        <v>539</v>
      </c>
      <c r="D238" s="440" t="s">
        <v>519</v>
      </c>
      <c r="E238" s="440" t="s">
        <v>1669</v>
      </c>
      <c r="F238" s="440" t="s">
        <v>2044</v>
      </c>
      <c r="G238" s="440" t="s">
        <v>2045</v>
      </c>
      <c r="H238" s="440" t="s">
        <v>1960</v>
      </c>
      <c r="I238" s="439">
        <v>46387</v>
      </c>
      <c r="J238" s="445"/>
      <c r="K238" s="440" t="s">
        <v>1731</v>
      </c>
    </row>
    <row r="239" spans="1:11" ht="60" x14ac:dyDescent="0.25">
      <c r="A239" s="439">
        <v>46042</v>
      </c>
      <c r="B239" s="440" t="s">
        <v>36</v>
      </c>
      <c r="C239" s="441" t="s">
        <v>539</v>
      </c>
      <c r="D239" s="440" t="s">
        <v>519</v>
      </c>
      <c r="E239" s="440" t="s">
        <v>1669</v>
      </c>
      <c r="F239" s="440"/>
      <c r="G239" s="440" t="s">
        <v>2046</v>
      </c>
      <c r="H239" s="440" t="s">
        <v>1960</v>
      </c>
      <c r="I239" s="439">
        <v>46387</v>
      </c>
      <c r="J239" s="445"/>
      <c r="K239" s="440" t="s">
        <v>1731</v>
      </c>
    </row>
    <row r="240" spans="1:11" ht="50.25" customHeight="1" x14ac:dyDescent="0.25">
      <c r="A240" s="439">
        <v>46042</v>
      </c>
      <c r="B240" s="440" t="s">
        <v>36</v>
      </c>
      <c r="C240" s="441" t="s">
        <v>539</v>
      </c>
      <c r="D240" s="440" t="s">
        <v>519</v>
      </c>
      <c r="E240" s="440" t="s">
        <v>1669</v>
      </c>
      <c r="F240" s="440"/>
      <c r="G240" s="440" t="s">
        <v>2047</v>
      </c>
      <c r="H240" s="440" t="s">
        <v>2048</v>
      </c>
      <c r="I240" s="439">
        <v>46080</v>
      </c>
      <c r="J240" s="445"/>
      <c r="K240" s="440" t="s">
        <v>2049</v>
      </c>
    </row>
    <row r="241" spans="1:11" ht="45" x14ac:dyDescent="0.25">
      <c r="A241" s="439">
        <v>46042</v>
      </c>
      <c r="B241" s="440" t="s">
        <v>36</v>
      </c>
      <c r="C241" s="441" t="s">
        <v>539</v>
      </c>
      <c r="D241" s="440" t="s">
        <v>519</v>
      </c>
      <c r="E241" s="440" t="s">
        <v>1669</v>
      </c>
      <c r="F241" s="440"/>
      <c r="G241" s="440" t="s">
        <v>2050</v>
      </c>
      <c r="H241" s="440" t="s">
        <v>1960</v>
      </c>
      <c r="I241" s="439">
        <v>46042</v>
      </c>
      <c r="J241" s="445"/>
      <c r="K241" s="440" t="s">
        <v>1731</v>
      </c>
    </row>
    <row r="242" spans="1:11" ht="60" x14ac:dyDescent="0.25">
      <c r="A242" s="439">
        <v>46042</v>
      </c>
      <c r="B242" s="440" t="s">
        <v>36</v>
      </c>
      <c r="C242" s="441" t="s">
        <v>539</v>
      </c>
      <c r="D242" s="440" t="s">
        <v>519</v>
      </c>
      <c r="E242" s="440" t="s">
        <v>1669</v>
      </c>
      <c r="F242" s="440"/>
      <c r="G242" s="440" t="s">
        <v>2051</v>
      </c>
      <c r="H242" s="440" t="s">
        <v>2052</v>
      </c>
      <c r="I242" s="439">
        <v>46071</v>
      </c>
      <c r="J242" s="445"/>
      <c r="K242" s="440" t="s">
        <v>2049</v>
      </c>
    </row>
    <row r="243" spans="1:11" ht="45" x14ac:dyDescent="0.25">
      <c r="A243" s="439">
        <v>46045</v>
      </c>
      <c r="B243" s="440" t="s">
        <v>36</v>
      </c>
      <c r="C243" s="441" t="s">
        <v>1657</v>
      </c>
      <c r="D243" s="440" t="s">
        <v>1848</v>
      </c>
      <c r="E243" s="440" t="s">
        <v>1669</v>
      </c>
      <c r="F243" s="440"/>
      <c r="G243" s="440" t="s">
        <v>2053</v>
      </c>
      <c r="H243" s="440" t="s">
        <v>2054</v>
      </c>
      <c r="I243" s="439">
        <v>46052</v>
      </c>
      <c r="J243" s="445"/>
      <c r="K243" s="440" t="s">
        <v>2003</v>
      </c>
    </row>
    <row r="244" spans="1:11" ht="60" x14ac:dyDescent="0.25">
      <c r="A244" s="439">
        <v>46045</v>
      </c>
      <c r="B244" s="440" t="s">
        <v>36</v>
      </c>
      <c r="C244" s="441" t="s">
        <v>1657</v>
      </c>
      <c r="D244" s="440" t="s">
        <v>1848</v>
      </c>
      <c r="E244" s="440" t="s">
        <v>1669</v>
      </c>
      <c r="F244" s="440" t="s">
        <v>2055</v>
      </c>
      <c r="G244" s="440" t="s">
        <v>2056</v>
      </c>
      <c r="H244" s="440" t="s">
        <v>1843</v>
      </c>
      <c r="I244" s="439">
        <v>46063</v>
      </c>
      <c r="J244" s="445"/>
      <c r="K244" s="440" t="s">
        <v>2049</v>
      </c>
    </row>
    <row r="245" spans="1:11" ht="45" x14ac:dyDescent="0.25">
      <c r="A245" s="439">
        <v>46045</v>
      </c>
      <c r="B245" s="440" t="s">
        <v>36</v>
      </c>
      <c r="C245" s="441" t="s">
        <v>1657</v>
      </c>
      <c r="D245" s="440" t="s">
        <v>1848</v>
      </c>
      <c r="E245" s="440" t="s">
        <v>1669</v>
      </c>
      <c r="F245" s="440"/>
      <c r="G245" s="440" t="s">
        <v>2057</v>
      </c>
      <c r="H245" s="440" t="s">
        <v>2058</v>
      </c>
      <c r="I245" s="439">
        <v>46387</v>
      </c>
      <c r="J245" s="445"/>
      <c r="K245" s="440" t="s">
        <v>1188</v>
      </c>
    </row>
    <row r="246" spans="1:11" ht="30" x14ac:dyDescent="0.25">
      <c r="A246" s="439">
        <v>46048</v>
      </c>
      <c r="B246" s="440" t="s">
        <v>36</v>
      </c>
      <c r="C246" s="441" t="s">
        <v>749</v>
      </c>
      <c r="D246" s="440" t="s">
        <v>2059</v>
      </c>
      <c r="E246" s="440" t="s">
        <v>1757</v>
      </c>
      <c r="F246" s="440" t="s">
        <v>2060</v>
      </c>
      <c r="G246" s="440" t="s">
        <v>2061</v>
      </c>
      <c r="H246" s="440" t="s">
        <v>2062</v>
      </c>
      <c r="I246" s="439" t="s">
        <v>2063</v>
      </c>
      <c r="J246" s="445"/>
      <c r="K246" s="440" t="s">
        <v>1188</v>
      </c>
    </row>
    <row r="247" spans="1:11" ht="30" x14ac:dyDescent="0.25">
      <c r="A247" s="439">
        <v>46048</v>
      </c>
      <c r="B247" s="440" t="s">
        <v>36</v>
      </c>
      <c r="C247" s="441" t="s">
        <v>749</v>
      </c>
      <c r="D247" s="440" t="s">
        <v>2059</v>
      </c>
      <c r="E247" s="440" t="s">
        <v>1757</v>
      </c>
      <c r="F247" s="440"/>
      <c r="G247" s="440" t="s">
        <v>2064</v>
      </c>
      <c r="H247" s="440" t="s">
        <v>2065</v>
      </c>
      <c r="I247" s="439">
        <v>46050</v>
      </c>
      <c r="J247" s="445"/>
      <c r="K247" s="440" t="s">
        <v>2049</v>
      </c>
    </row>
    <row r="248" spans="1:11" x14ac:dyDescent="0.25">
      <c r="A248" s="439">
        <v>46048</v>
      </c>
      <c r="B248" s="440" t="s">
        <v>54</v>
      </c>
      <c r="C248" s="441" t="s">
        <v>77</v>
      </c>
      <c r="D248" s="440" t="s">
        <v>2029</v>
      </c>
      <c r="E248" s="440" t="s">
        <v>1669</v>
      </c>
      <c r="F248" s="440" t="s">
        <v>2066</v>
      </c>
      <c r="G248" s="440" t="s">
        <v>2067</v>
      </c>
      <c r="H248" s="440" t="s">
        <v>2068</v>
      </c>
      <c r="I248" s="439">
        <v>46051</v>
      </c>
      <c r="J248" s="445"/>
      <c r="K248" s="440" t="s">
        <v>1662</v>
      </c>
    </row>
    <row r="249" spans="1:11" x14ac:dyDescent="0.25">
      <c r="A249" s="439">
        <v>46048</v>
      </c>
      <c r="B249" s="440" t="s">
        <v>54</v>
      </c>
      <c r="C249" s="441" t="s">
        <v>77</v>
      </c>
      <c r="D249" s="440" t="s">
        <v>2029</v>
      </c>
      <c r="E249" s="440" t="s">
        <v>1752</v>
      </c>
      <c r="F249" s="440" t="s">
        <v>2069</v>
      </c>
      <c r="G249" s="440" t="s">
        <v>2070</v>
      </c>
      <c r="H249" s="440" t="s">
        <v>2068</v>
      </c>
      <c r="I249" s="439">
        <v>46051</v>
      </c>
      <c r="J249" s="445"/>
      <c r="K249" s="440" t="s">
        <v>1662</v>
      </c>
    </row>
    <row r="250" spans="1:11" ht="45" x14ac:dyDescent="0.25">
      <c r="A250" s="439">
        <v>46048</v>
      </c>
      <c r="B250" s="440" t="s">
        <v>54</v>
      </c>
      <c r="C250" s="441" t="s">
        <v>77</v>
      </c>
      <c r="D250" s="440" t="s">
        <v>2029</v>
      </c>
      <c r="E250" s="440" t="s">
        <v>1665</v>
      </c>
      <c r="F250" s="440" t="s">
        <v>2071</v>
      </c>
      <c r="G250" s="440" t="s">
        <v>2072</v>
      </c>
      <c r="H250" s="440" t="s">
        <v>2068</v>
      </c>
      <c r="I250" s="439">
        <v>46051</v>
      </c>
      <c r="J250" s="445"/>
      <c r="K250" s="440" t="s">
        <v>2004</v>
      </c>
    </row>
    <row r="251" spans="1:11" ht="60" x14ac:dyDescent="0.25">
      <c r="A251" s="439">
        <v>46048</v>
      </c>
      <c r="B251" s="440" t="s">
        <v>54</v>
      </c>
      <c r="C251" s="441" t="s">
        <v>77</v>
      </c>
      <c r="D251" s="440" t="s">
        <v>2029</v>
      </c>
      <c r="E251" s="440" t="s">
        <v>1752</v>
      </c>
      <c r="F251" s="440" t="s">
        <v>2073</v>
      </c>
      <c r="G251" s="440" t="s">
        <v>2074</v>
      </c>
      <c r="H251" s="440" t="s">
        <v>2068</v>
      </c>
      <c r="I251" s="439">
        <v>46051</v>
      </c>
      <c r="J251" s="445"/>
      <c r="K251" s="440" t="s">
        <v>2004</v>
      </c>
    </row>
    <row r="252" spans="1:11" ht="45" x14ac:dyDescent="0.25">
      <c r="A252" s="439">
        <v>46048</v>
      </c>
      <c r="B252" s="440" t="s">
        <v>54</v>
      </c>
      <c r="C252" s="441" t="s">
        <v>77</v>
      </c>
      <c r="D252" s="440" t="s">
        <v>2029</v>
      </c>
      <c r="E252" s="440" t="s">
        <v>1669</v>
      </c>
      <c r="F252" s="440" t="s">
        <v>2075</v>
      </c>
      <c r="G252" s="440" t="s">
        <v>2076</v>
      </c>
      <c r="H252" s="443" t="s">
        <v>2068</v>
      </c>
      <c r="I252" s="439">
        <v>46051</v>
      </c>
      <c r="J252" s="445"/>
      <c r="K252" s="440" t="s">
        <v>2004</v>
      </c>
    </row>
    <row r="253" spans="1:11" ht="30" x14ac:dyDescent="0.25">
      <c r="A253" s="439">
        <v>46048</v>
      </c>
      <c r="B253" s="440" t="s">
        <v>54</v>
      </c>
      <c r="C253" s="441" t="s">
        <v>77</v>
      </c>
      <c r="D253" s="440" t="s">
        <v>2029</v>
      </c>
      <c r="E253" s="440" t="s">
        <v>1752</v>
      </c>
      <c r="F253" s="440" t="s">
        <v>2077</v>
      </c>
      <c r="G253" s="440" t="s">
        <v>2078</v>
      </c>
      <c r="H253" s="440" t="s">
        <v>2068</v>
      </c>
      <c r="I253" s="439">
        <v>46051</v>
      </c>
      <c r="J253" s="445"/>
      <c r="K253" s="440" t="s">
        <v>1662</v>
      </c>
    </row>
    <row r="254" spans="1:11" ht="45" x14ac:dyDescent="0.25">
      <c r="A254" s="439">
        <v>46048</v>
      </c>
      <c r="B254" s="440" t="s">
        <v>54</v>
      </c>
      <c r="C254" s="441" t="s">
        <v>77</v>
      </c>
      <c r="D254" s="440" t="s">
        <v>2029</v>
      </c>
      <c r="E254" s="440" t="s">
        <v>1669</v>
      </c>
      <c r="F254" s="440" t="s">
        <v>2079</v>
      </c>
      <c r="G254" s="440" t="s">
        <v>2080</v>
      </c>
      <c r="H254" s="440" t="s">
        <v>2068</v>
      </c>
      <c r="I254" s="439">
        <v>46051</v>
      </c>
      <c r="J254" s="445"/>
      <c r="K254" s="440" t="s">
        <v>1662</v>
      </c>
    </row>
    <row r="255" spans="1:11" ht="120" x14ac:dyDescent="0.25">
      <c r="A255" s="439">
        <v>46048</v>
      </c>
      <c r="B255" s="440" t="s">
        <v>54</v>
      </c>
      <c r="C255" s="441" t="s">
        <v>77</v>
      </c>
      <c r="D255" s="440" t="s">
        <v>2029</v>
      </c>
      <c r="E255" s="440" t="s">
        <v>1669</v>
      </c>
      <c r="F255" s="440" t="s">
        <v>2081</v>
      </c>
      <c r="G255" s="440" t="s">
        <v>2082</v>
      </c>
      <c r="H255" s="440" t="s">
        <v>2068</v>
      </c>
      <c r="I255" s="439">
        <v>46051</v>
      </c>
      <c r="J255" s="445"/>
      <c r="K255" s="440" t="s">
        <v>2004</v>
      </c>
    </row>
    <row r="256" spans="1:11" x14ac:dyDescent="0.25">
      <c r="A256" s="439">
        <v>46048</v>
      </c>
      <c r="B256" s="440" t="s">
        <v>54</v>
      </c>
      <c r="C256" s="441" t="s">
        <v>77</v>
      </c>
      <c r="D256" s="440" t="s">
        <v>2029</v>
      </c>
      <c r="E256" s="440" t="s">
        <v>1669</v>
      </c>
      <c r="F256" s="440" t="s">
        <v>2081</v>
      </c>
      <c r="G256" s="440" t="s">
        <v>2083</v>
      </c>
      <c r="H256" s="440" t="s">
        <v>2068</v>
      </c>
      <c r="I256" s="439">
        <v>46051</v>
      </c>
      <c r="J256" s="445"/>
      <c r="K256" s="440" t="s">
        <v>1662</v>
      </c>
    </row>
    <row r="257" spans="1:11" x14ac:dyDescent="0.25">
      <c r="A257" s="439">
        <v>46048</v>
      </c>
      <c r="B257" s="440" t="s">
        <v>54</v>
      </c>
      <c r="C257" s="441" t="s">
        <v>77</v>
      </c>
      <c r="D257" s="440" t="s">
        <v>2029</v>
      </c>
      <c r="E257" s="440" t="s">
        <v>1669</v>
      </c>
      <c r="F257" s="440" t="s">
        <v>2081</v>
      </c>
      <c r="G257" s="440" t="s">
        <v>2084</v>
      </c>
      <c r="H257" s="440" t="s">
        <v>2068</v>
      </c>
      <c r="I257" s="439">
        <v>46051</v>
      </c>
      <c r="J257" s="445"/>
      <c r="K257" s="440" t="s">
        <v>1662</v>
      </c>
    </row>
    <row r="258" spans="1:11" ht="30" x14ac:dyDescent="0.25">
      <c r="A258" s="439">
        <v>46048</v>
      </c>
      <c r="B258" s="440" t="s">
        <v>54</v>
      </c>
      <c r="C258" s="441" t="s">
        <v>77</v>
      </c>
      <c r="D258" s="440" t="s">
        <v>2029</v>
      </c>
      <c r="E258" s="440" t="s">
        <v>1669</v>
      </c>
      <c r="F258" s="440" t="s">
        <v>2081</v>
      </c>
      <c r="G258" s="440" t="s">
        <v>2085</v>
      </c>
      <c r="H258" s="440" t="s">
        <v>2068</v>
      </c>
      <c r="I258" s="439">
        <v>46051</v>
      </c>
      <c r="J258" s="445"/>
      <c r="K258" s="440" t="s">
        <v>1662</v>
      </c>
    </row>
    <row r="259" spans="1:11" ht="45" x14ac:dyDescent="0.25">
      <c r="A259" s="439">
        <v>46048</v>
      </c>
      <c r="B259" s="440" t="s">
        <v>54</v>
      </c>
      <c r="C259" s="441" t="s">
        <v>77</v>
      </c>
      <c r="D259" s="440" t="s">
        <v>2029</v>
      </c>
      <c r="E259" s="440" t="s">
        <v>1757</v>
      </c>
      <c r="F259" s="440" t="s">
        <v>2086</v>
      </c>
      <c r="G259" s="440" t="s">
        <v>2087</v>
      </c>
      <c r="H259" s="440" t="s">
        <v>2068</v>
      </c>
      <c r="I259" s="439">
        <v>46051</v>
      </c>
      <c r="J259" s="445"/>
      <c r="K259" s="440" t="s">
        <v>2004</v>
      </c>
    </row>
    <row r="260" spans="1:11" ht="60" x14ac:dyDescent="0.25">
      <c r="A260" s="439">
        <v>46048</v>
      </c>
      <c r="B260" s="440" t="s">
        <v>54</v>
      </c>
      <c r="C260" s="441" t="s">
        <v>77</v>
      </c>
      <c r="D260" s="440" t="s">
        <v>2029</v>
      </c>
      <c r="E260" s="440" t="s">
        <v>1752</v>
      </c>
      <c r="F260" s="440" t="s">
        <v>2088</v>
      </c>
      <c r="G260" s="440" t="s">
        <v>2089</v>
      </c>
      <c r="H260" s="440" t="s">
        <v>2068</v>
      </c>
      <c r="I260" s="439">
        <v>46051</v>
      </c>
      <c r="J260" s="445"/>
      <c r="K260" s="440" t="s">
        <v>2004</v>
      </c>
    </row>
    <row r="261" spans="1:11" ht="45" x14ac:dyDescent="0.25">
      <c r="A261" s="439">
        <v>46048</v>
      </c>
      <c r="B261" s="440" t="s">
        <v>54</v>
      </c>
      <c r="C261" s="441" t="s">
        <v>77</v>
      </c>
      <c r="D261" s="440" t="s">
        <v>2029</v>
      </c>
      <c r="E261" s="440" t="s">
        <v>1752</v>
      </c>
      <c r="F261" s="440" t="s">
        <v>2090</v>
      </c>
      <c r="G261" s="440" t="s">
        <v>2091</v>
      </c>
      <c r="H261" s="440" t="s">
        <v>2068</v>
      </c>
      <c r="I261" s="439">
        <v>46051</v>
      </c>
      <c r="J261" s="445"/>
      <c r="K261" s="440" t="s">
        <v>2004</v>
      </c>
    </row>
    <row r="262" spans="1:11" ht="135" x14ac:dyDescent="0.25">
      <c r="A262" s="439">
        <v>46048</v>
      </c>
      <c r="B262" s="440" t="s">
        <v>54</v>
      </c>
      <c r="C262" s="441" t="s">
        <v>77</v>
      </c>
      <c r="D262" s="440" t="s">
        <v>2029</v>
      </c>
      <c r="E262" s="440" t="s">
        <v>1752</v>
      </c>
      <c r="F262" s="440" t="s">
        <v>2092</v>
      </c>
      <c r="G262" s="440" t="s">
        <v>2093</v>
      </c>
      <c r="H262" s="440" t="s">
        <v>2068</v>
      </c>
      <c r="I262" s="439">
        <v>46051</v>
      </c>
      <c r="J262" s="445"/>
      <c r="K262" s="440" t="s">
        <v>2004</v>
      </c>
    </row>
    <row r="263" spans="1:11" x14ac:dyDescent="0.25">
      <c r="A263" s="439">
        <v>46050</v>
      </c>
      <c r="B263" s="440" t="s">
        <v>36</v>
      </c>
      <c r="C263" s="441" t="s">
        <v>1657</v>
      </c>
      <c r="D263" s="440" t="s">
        <v>1764</v>
      </c>
      <c r="E263" s="440" t="s">
        <v>1669</v>
      </c>
      <c r="F263" s="440"/>
      <c r="G263" s="440" t="s">
        <v>2094</v>
      </c>
      <c r="H263" s="440" t="s">
        <v>2062</v>
      </c>
      <c r="I263" s="439">
        <v>46080</v>
      </c>
      <c r="J263" s="445"/>
      <c r="K263" s="440" t="s">
        <v>2003</v>
      </c>
    </row>
    <row r="264" spans="1:11" x14ac:dyDescent="0.25">
      <c r="A264" s="439">
        <v>46057</v>
      </c>
      <c r="B264" s="440" t="s">
        <v>54</v>
      </c>
      <c r="C264" s="441" t="s">
        <v>53</v>
      </c>
      <c r="D264" s="440" t="s">
        <v>1848</v>
      </c>
      <c r="E264" s="440" t="s">
        <v>1669</v>
      </c>
      <c r="F264" s="440" t="s">
        <v>2095</v>
      </c>
      <c r="G264" s="440" t="s">
        <v>2096</v>
      </c>
      <c r="H264" s="440" t="s">
        <v>1667</v>
      </c>
      <c r="I264" s="439">
        <v>46052</v>
      </c>
      <c r="J264" s="445"/>
      <c r="K264" s="440" t="s">
        <v>2004</v>
      </c>
    </row>
    <row r="265" spans="1:11" ht="30" x14ac:dyDescent="0.25">
      <c r="A265" s="439">
        <v>46057</v>
      </c>
      <c r="B265" s="440" t="s">
        <v>54</v>
      </c>
      <c r="C265" s="441" t="s">
        <v>53</v>
      </c>
      <c r="D265" s="440" t="s">
        <v>1848</v>
      </c>
      <c r="E265" s="440" t="s">
        <v>1669</v>
      </c>
      <c r="F265" s="440" t="s">
        <v>2097</v>
      </c>
      <c r="G265" s="440" t="s">
        <v>2098</v>
      </c>
      <c r="H265" s="440" t="s">
        <v>1667</v>
      </c>
      <c r="I265" s="439">
        <v>46091</v>
      </c>
      <c r="J265" s="445"/>
      <c r="K265" s="440" t="s">
        <v>2004</v>
      </c>
    </row>
    <row r="266" spans="1:11" ht="30" x14ac:dyDescent="0.25">
      <c r="A266" s="439">
        <v>46057</v>
      </c>
      <c r="B266" s="440" t="s">
        <v>54</v>
      </c>
      <c r="C266" s="441" t="s">
        <v>53</v>
      </c>
      <c r="D266" s="440" t="s">
        <v>1848</v>
      </c>
      <c r="E266" s="440" t="s">
        <v>1669</v>
      </c>
      <c r="F266" s="440" t="s">
        <v>2099</v>
      </c>
      <c r="G266" s="440" t="s">
        <v>2100</v>
      </c>
      <c r="H266" s="440" t="s">
        <v>1904</v>
      </c>
      <c r="I266" s="439">
        <v>46096</v>
      </c>
      <c r="J266" s="445"/>
      <c r="K266" s="440" t="s">
        <v>2004</v>
      </c>
    </row>
    <row r="267" spans="1:11" x14ac:dyDescent="0.25">
      <c r="A267" s="439">
        <v>46057</v>
      </c>
      <c r="B267" s="440" t="s">
        <v>54</v>
      </c>
      <c r="C267" s="441" t="s">
        <v>53</v>
      </c>
      <c r="D267" s="440" t="s">
        <v>1848</v>
      </c>
      <c r="E267" s="440" t="s">
        <v>1669</v>
      </c>
      <c r="F267" s="440" t="s">
        <v>2101</v>
      </c>
      <c r="G267" s="440" t="s">
        <v>2102</v>
      </c>
      <c r="H267" s="440" t="s">
        <v>2103</v>
      </c>
      <c r="I267" s="439">
        <v>46068</v>
      </c>
      <c r="J267" s="445"/>
      <c r="K267" s="440" t="s">
        <v>2004</v>
      </c>
    </row>
    <row r="268" spans="1:11" x14ac:dyDescent="0.25">
      <c r="A268" s="439">
        <v>46068</v>
      </c>
      <c r="B268" s="440" t="s">
        <v>1657</v>
      </c>
      <c r="C268" s="441" t="s">
        <v>2104</v>
      </c>
      <c r="D268" s="440" t="s">
        <v>2105</v>
      </c>
      <c r="E268" s="440" t="s">
        <v>1757</v>
      </c>
      <c r="F268" s="440" t="s">
        <v>2106</v>
      </c>
      <c r="G268" s="440" t="s">
        <v>2107</v>
      </c>
      <c r="H268" s="440" t="s">
        <v>1938</v>
      </c>
      <c r="I268" s="439">
        <v>46387</v>
      </c>
      <c r="J268" s="445"/>
      <c r="K268" s="440" t="s">
        <v>2004</v>
      </c>
    </row>
    <row r="269" spans="1:11" ht="75" x14ac:dyDescent="0.25">
      <c r="A269" s="439">
        <v>46071</v>
      </c>
      <c r="B269" s="440" t="s">
        <v>100</v>
      </c>
      <c r="C269" s="441" t="s">
        <v>617</v>
      </c>
      <c r="D269" s="440" t="s">
        <v>2029</v>
      </c>
      <c r="E269" s="440" t="s">
        <v>1669</v>
      </c>
      <c r="F269" s="440" t="s">
        <v>2108</v>
      </c>
      <c r="G269" s="440" t="s">
        <v>2109</v>
      </c>
      <c r="H269" s="440" t="s">
        <v>1908</v>
      </c>
      <c r="I269" s="439">
        <v>46083</v>
      </c>
      <c r="J269" s="445"/>
      <c r="K269" s="440" t="s">
        <v>2003</v>
      </c>
    </row>
    <row r="270" spans="1:11" ht="45" x14ac:dyDescent="0.25">
      <c r="A270" s="439">
        <v>46071</v>
      </c>
      <c r="B270" s="440" t="s">
        <v>100</v>
      </c>
      <c r="C270" s="441" t="s">
        <v>617</v>
      </c>
      <c r="D270" s="440" t="s">
        <v>2029</v>
      </c>
      <c r="E270" s="440" t="s">
        <v>1669</v>
      </c>
      <c r="F270" s="440" t="s">
        <v>2110</v>
      </c>
      <c r="G270" s="440" t="s">
        <v>2111</v>
      </c>
      <c r="H270" s="440" t="s">
        <v>2112</v>
      </c>
      <c r="I270" s="439">
        <v>46083</v>
      </c>
      <c r="J270" s="445"/>
      <c r="K270" s="440" t="s">
        <v>2003</v>
      </c>
    </row>
    <row r="271" spans="1:11" x14ac:dyDescent="0.25">
      <c r="A271" s="439">
        <v>46071</v>
      </c>
      <c r="B271" s="440" t="s">
        <v>100</v>
      </c>
      <c r="C271" s="441" t="s">
        <v>617</v>
      </c>
      <c r="D271" s="440" t="s">
        <v>2029</v>
      </c>
      <c r="E271" s="440" t="s">
        <v>1669</v>
      </c>
      <c r="F271" s="440" t="s">
        <v>2113</v>
      </c>
      <c r="G271" s="440" t="s">
        <v>2114</v>
      </c>
      <c r="H271" s="440" t="s">
        <v>2112</v>
      </c>
      <c r="I271" s="439">
        <v>46083</v>
      </c>
      <c r="J271" s="445"/>
      <c r="K271" s="440" t="s">
        <v>2004</v>
      </c>
    </row>
    <row r="272" spans="1:11" x14ac:dyDescent="0.25">
      <c r="A272" s="439">
        <v>46071</v>
      </c>
      <c r="B272" s="440" t="s">
        <v>100</v>
      </c>
      <c r="C272" s="441" t="s">
        <v>617</v>
      </c>
      <c r="D272" s="440" t="s">
        <v>2029</v>
      </c>
      <c r="E272" s="440" t="s">
        <v>1669</v>
      </c>
      <c r="F272" s="440" t="s">
        <v>2115</v>
      </c>
      <c r="G272" s="440" t="s">
        <v>2116</v>
      </c>
      <c r="H272" s="440" t="s">
        <v>2112</v>
      </c>
      <c r="I272" s="439">
        <v>46083</v>
      </c>
      <c r="J272" s="445"/>
      <c r="K272" s="448" t="s">
        <v>2003</v>
      </c>
    </row>
    <row r="273" spans="1:11" x14ac:dyDescent="0.25">
      <c r="A273" s="439">
        <v>46071</v>
      </c>
      <c r="B273" s="440" t="s">
        <v>100</v>
      </c>
      <c r="C273" s="441" t="s">
        <v>617</v>
      </c>
      <c r="D273" s="440" t="s">
        <v>2029</v>
      </c>
      <c r="E273" s="440" t="s">
        <v>1669</v>
      </c>
      <c r="F273" s="440" t="s">
        <v>2117</v>
      </c>
      <c r="G273" s="440" t="s">
        <v>2118</v>
      </c>
      <c r="H273" s="440" t="s">
        <v>2112</v>
      </c>
      <c r="I273" s="439">
        <v>46083</v>
      </c>
      <c r="J273" s="445"/>
      <c r="K273" s="440" t="s">
        <v>2003</v>
      </c>
    </row>
    <row r="274" spans="1:11" ht="30" x14ac:dyDescent="0.25">
      <c r="A274" s="439">
        <v>46072</v>
      </c>
      <c r="B274" s="440" t="s">
        <v>36</v>
      </c>
      <c r="C274" s="441" t="s">
        <v>749</v>
      </c>
      <c r="D274" s="440" t="s">
        <v>2119</v>
      </c>
      <c r="E274" s="440" t="s">
        <v>1669</v>
      </c>
      <c r="F274" s="440" t="s">
        <v>2120</v>
      </c>
      <c r="G274" s="440" t="s">
        <v>2121</v>
      </c>
      <c r="H274" s="440" t="s">
        <v>2062</v>
      </c>
      <c r="I274" s="439">
        <v>46295</v>
      </c>
      <c r="J274" s="445"/>
      <c r="K274" s="440" t="s">
        <v>1188</v>
      </c>
    </row>
    <row r="275" spans="1:11" ht="60" x14ac:dyDescent="0.25">
      <c r="A275" s="439">
        <v>46072</v>
      </c>
      <c r="B275" s="440" t="s">
        <v>36</v>
      </c>
      <c r="C275" s="441" t="s">
        <v>1657</v>
      </c>
      <c r="D275" s="440" t="s">
        <v>1848</v>
      </c>
      <c r="E275" s="440" t="s">
        <v>1669</v>
      </c>
      <c r="F275" s="440"/>
      <c r="G275" s="440" t="s">
        <v>2122</v>
      </c>
      <c r="H275" s="440" t="s">
        <v>1843</v>
      </c>
      <c r="I275" s="439">
        <v>46087</v>
      </c>
      <c r="J275" s="445"/>
      <c r="K275" s="440" t="s">
        <v>2049</v>
      </c>
    </row>
    <row r="276" spans="1:11" ht="45" x14ac:dyDescent="0.25">
      <c r="A276" s="439">
        <v>46072</v>
      </c>
      <c r="B276" s="440" t="s">
        <v>36</v>
      </c>
      <c r="C276" s="441" t="s">
        <v>1657</v>
      </c>
      <c r="D276" s="440" t="s">
        <v>1848</v>
      </c>
      <c r="E276" s="440" t="s">
        <v>1669</v>
      </c>
      <c r="F276" s="440"/>
      <c r="G276" s="440" t="s">
        <v>2123</v>
      </c>
      <c r="H276" s="440" t="s">
        <v>1960</v>
      </c>
      <c r="I276" s="439">
        <v>46387</v>
      </c>
      <c r="J276" s="445"/>
      <c r="K276" s="440" t="s">
        <v>1188</v>
      </c>
    </row>
    <row r="277" spans="1:11" ht="30" x14ac:dyDescent="0.25">
      <c r="A277" s="439">
        <v>46078</v>
      </c>
      <c r="B277" s="440" t="s">
        <v>36</v>
      </c>
      <c r="C277" s="441" t="s">
        <v>1657</v>
      </c>
      <c r="D277" s="440" t="s">
        <v>1764</v>
      </c>
      <c r="E277" s="440" t="s">
        <v>1669</v>
      </c>
      <c r="F277" s="440"/>
      <c r="G277" s="440" t="s">
        <v>2124</v>
      </c>
      <c r="H277" s="440" t="s">
        <v>1843</v>
      </c>
      <c r="I277" s="439">
        <v>46204</v>
      </c>
      <c r="J277" s="445"/>
      <c r="K277" s="440" t="s">
        <v>1731</v>
      </c>
    </row>
    <row r="278" spans="1:11" x14ac:dyDescent="0.25">
      <c r="A278" s="439">
        <v>46083</v>
      </c>
      <c r="B278" s="440" t="s">
        <v>1657</v>
      </c>
      <c r="C278" s="441" t="s">
        <v>1657</v>
      </c>
      <c r="D278" s="440" t="s">
        <v>2026</v>
      </c>
      <c r="E278" s="440" t="s">
        <v>1669</v>
      </c>
      <c r="F278" s="440" t="s">
        <v>2125</v>
      </c>
      <c r="G278" s="440" t="s">
        <v>2126</v>
      </c>
      <c r="H278" s="440" t="s">
        <v>235</v>
      </c>
      <c r="I278" s="439">
        <v>46295</v>
      </c>
      <c r="J278" s="445"/>
      <c r="K278" s="440"/>
    </row>
    <row r="279" spans="1:11" ht="30" x14ac:dyDescent="0.25">
      <c r="A279" s="439">
        <v>46083</v>
      </c>
      <c r="B279" s="440" t="s">
        <v>1657</v>
      </c>
      <c r="C279" s="441" t="s">
        <v>1657</v>
      </c>
      <c r="D279" s="440" t="s">
        <v>2026</v>
      </c>
      <c r="E279" s="440" t="s">
        <v>1669</v>
      </c>
      <c r="F279" s="440" t="s">
        <v>2127</v>
      </c>
      <c r="G279" s="440" t="s">
        <v>2127</v>
      </c>
      <c r="H279" s="440" t="s">
        <v>235</v>
      </c>
      <c r="I279" s="439">
        <v>46143</v>
      </c>
      <c r="J279" s="445"/>
      <c r="K279" s="440"/>
    </row>
    <row r="280" spans="1:11" x14ac:dyDescent="0.25">
      <c r="A280" s="439">
        <v>46083</v>
      </c>
      <c r="B280" s="440" t="s">
        <v>1657</v>
      </c>
      <c r="C280" s="441" t="s">
        <v>1657</v>
      </c>
      <c r="D280" s="440" t="s">
        <v>2013</v>
      </c>
      <c r="E280" s="440" t="s">
        <v>235</v>
      </c>
      <c r="F280" s="440" t="s">
        <v>2128</v>
      </c>
      <c r="G280" s="440" t="s">
        <v>2129</v>
      </c>
      <c r="H280" s="440" t="s">
        <v>2002</v>
      </c>
      <c r="I280" s="439">
        <v>46174</v>
      </c>
      <c r="J280" s="445"/>
      <c r="K280" s="440"/>
    </row>
    <row r="281" spans="1:11" x14ac:dyDescent="0.25">
      <c r="A281" s="439">
        <v>46087</v>
      </c>
      <c r="B281" s="440" t="s">
        <v>100</v>
      </c>
      <c r="C281" s="441" t="s">
        <v>99</v>
      </c>
      <c r="D281" s="440" t="s">
        <v>2029</v>
      </c>
      <c r="E281" s="440" t="s">
        <v>1665</v>
      </c>
      <c r="F281" s="440" t="s">
        <v>2130</v>
      </c>
      <c r="G281" s="440" t="s">
        <v>2131</v>
      </c>
      <c r="H281" s="440" t="s">
        <v>2132</v>
      </c>
      <c r="I281" s="439">
        <v>46094</v>
      </c>
      <c r="J281" s="445"/>
      <c r="K281" s="440" t="s">
        <v>2003</v>
      </c>
    </row>
    <row r="282" spans="1:11" x14ac:dyDescent="0.25">
      <c r="A282" s="439">
        <v>46087</v>
      </c>
      <c r="B282" s="440" t="s">
        <v>100</v>
      </c>
      <c r="C282" s="441" t="s">
        <v>99</v>
      </c>
      <c r="D282" s="440" t="s">
        <v>2029</v>
      </c>
      <c r="E282" s="440" t="s">
        <v>1893</v>
      </c>
      <c r="F282" s="440" t="s">
        <v>2133</v>
      </c>
      <c r="G282" s="440" t="s">
        <v>2134</v>
      </c>
      <c r="H282" s="440" t="s">
        <v>2135</v>
      </c>
      <c r="I282" s="439">
        <v>46094</v>
      </c>
      <c r="J282" s="445"/>
      <c r="K282" s="440" t="s">
        <v>2003</v>
      </c>
    </row>
    <row r="283" spans="1:11" ht="45" x14ac:dyDescent="0.25">
      <c r="A283" s="439">
        <v>46087</v>
      </c>
      <c r="B283" s="440" t="s">
        <v>100</v>
      </c>
      <c r="C283" s="441" t="s">
        <v>99</v>
      </c>
      <c r="D283" s="440" t="s">
        <v>2029</v>
      </c>
      <c r="E283" s="440" t="s">
        <v>1665</v>
      </c>
      <c r="F283" s="440" t="s">
        <v>2136</v>
      </c>
      <c r="G283" s="440" t="s">
        <v>2137</v>
      </c>
      <c r="H283" s="440" t="s">
        <v>2132</v>
      </c>
      <c r="I283" s="439">
        <v>46094</v>
      </c>
      <c r="J283" s="445"/>
      <c r="K283" s="440" t="s">
        <v>2003</v>
      </c>
    </row>
    <row r="284" spans="1:11" x14ac:dyDescent="0.25">
      <c r="A284" s="439">
        <v>46087</v>
      </c>
      <c r="B284" s="440" t="s">
        <v>100</v>
      </c>
      <c r="C284" s="441" t="s">
        <v>99</v>
      </c>
      <c r="D284" s="440" t="s">
        <v>2029</v>
      </c>
      <c r="E284" s="440" t="s">
        <v>1669</v>
      </c>
      <c r="F284" s="440"/>
      <c r="G284" s="440" t="s">
        <v>2138</v>
      </c>
      <c r="H284" s="440" t="s">
        <v>2132</v>
      </c>
      <c r="I284" s="439">
        <v>46094</v>
      </c>
      <c r="J284" s="445"/>
      <c r="K284" s="440" t="s">
        <v>2003</v>
      </c>
    </row>
    <row r="285" spans="1:11" x14ac:dyDescent="0.25">
      <c r="A285" s="439">
        <v>46087</v>
      </c>
      <c r="B285" s="440" t="s">
        <v>100</v>
      </c>
      <c r="C285" s="441" t="s">
        <v>99</v>
      </c>
      <c r="D285" s="440" t="s">
        <v>2029</v>
      </c>
      <c r="E285" s="440" t="s">
        <v>1669</v>
      </c>
      <c r="F285" s="440" t="s">
        <v>2139</v>
      </c>
      <c r="G285" s="440" t="s">
        <v>2140</v>
      </c>
      <c r="H285" s="440" t="s">
        <v>2132</v>
      </c>
      <c r="I285" s="439">
        <v>46094</v>
      </c>
      <c r="J285" s="445"/>
      <c r="K285" s="440" t="s">
        <v>2003</v>
      </c>
    </row>
    <row r="286" spans="1:11" x14ac:dyDescent="0.25">
      <c r="A286" s="439">
        <v>46087</v>
      </c>
      <c r="B286" s="440" t="s">
        <v>100</v>
      </c>
      <c r="C286" s="441" t="s">
        <v>99</v>
      </c>
      <c r="D286" s="440" t="s">
        <v>2029</v>
      </c>
      <c r="E286" s="440" t="s">
        <v>1669</v>
      </c>
      <c r="F286" s="440" t="s">
        <v>2141</v>
      </c>
      <c r="G286" s="440" t="s">
        <v>2142</v>
      </c>
      <c r="H286" s="440" t="s">
        <v>2132</v>
      </c>
      <c r="I286" s="439">
        <v>46094</v>
      </c>
      <c r="J286" s="445"/>
      <c r="K286" s="440" t="s">
        <v>2003</v>
      </c>
    </row>
    <row r="287" spans="1:11" ht="30" x14ac:dyDescent="0.25">
      <c r="A287" s="439">
        <v>46087</v>
      </c>
      <c r="B287" s="440" t="s">
        <v>100</v>
      </c>
      <c r="C287" s="441" t="s">
        <v>99</v>
      </c>
      <c r="D287" s="440" t="s">
        <v>2029</v>
      </c>
      <c r="E287" s="440" t="s">
        <v>1893</v>
      </c>
      <c r="F287" s="440" t="s">
        <v>2143</v>
      </c>
      <c r="G287" s="440" t="s">
        <v>2144</v>
      </c>
      <c r="H287" s="440" t="s">
        <v>2135</v>
      </c>
      <c r="I287" s="439">
        <v>46094</v>
      </c>
      <c r="J287" s="445"/>
      <c r="K287" s="440" t="s">
        <v>2145</v>
      </c>
    </row>
    <row r="288" spans="1:11" x14ac:dyDescent="0.25">
      <c r="A288" s="439">
        <v>46090</v>
      </c>
      <c r="B288" s="440" t="s">
        <v>1886</v>
      </c>
      <c r="C288" s="441"/>
      <c r="D288" s="440" t="s">
        <v>2146</v>
      </c>
      <c r="E288" s="440" t="s">
        <v>1893</v>
      </c>
      <c r="F288" s="440" t="s">
        <v>2147</v>
      </c>
      <c r="G288" s="440" t="s">
        <v>2148</v>
      </c>
      <c r="H288" s="440" t="s">
        <v>235</v>
      </c>
      <c r="I288" s="439">
        <v>46112</v>
      </c>
      <c r="J288" s="445"/>
      <c r="K288" s="440" t="s">
        <v>2004</v>
      </c>
    </row>
    <row r="289" spans="1:11" ht="30" x14ac:dyDescent="0.25">
      <c r="A289" s="439">
        <v>46090</v>
      </c>
      <c r="B289" s="440" t="s">
        <v>47</v>
      </c>
      <c r="C289" s="441"/>
      <c r="D289" s="440" t="s">
        <v>2146</v>
      </c>
      <c r="E289" s="440" t="s">
        <v>1757</v>
      </c>
      <c r="F289" s="440" t="s">
        <v>2149</v>
      </c>
      <c r="G289" s="440" t="s">
        <v>2150</v>
      </c>
      <c r="H289" s="440" t="s">
        <v>1759</v>
      </c>
      <c r="I289" s="439">
        <v>46203</v>
      </c>
      <c r="J289" s="445"/>
      <c r="K289" s="440" t="s">
        <v>2004</v>
      </c>
    </row>
    <row r="290" spans="1:11" ht="30" x14ac:dyDescent="0.25">
      <c r="A290" s="439">
        <v>46090</v>
      </c>
      <c r="B290" s="440" t="s">
        <v>47</v>
      </c>
      <c r="C290" s="441"/>
      <c r="D290" s="440" t="s">
        <v>2146</v>
      </c>
      <c r="E290" s="440" t="s">
        <v>1757</v>
      </c>
      <c r="F290" s="440" t="s">
        <v>2151</v>
      </c>
      <c r="G290" s="440" t="s">
        <v>2152</v>
      </c>
      <c r="H290" s="440" t="s">
        <v>1759</v>
      </c>
      <c r="I290" s="439">
        <v>46387</v>
      </c>
      <c r="J290" s="445"/>
      <c r="K290" s="440" t="s">
        <v>2004</v>
      </c>
    </row>
    <row r="291" spans="1:11" ht="30" x14ac:dyDescent="0.25">
      <c r="A291" s="439">
        <v>46090</v>
      </c>
      <c r="B291" s="440" t="s">
        <v>1886</v>
      </c>
      <c r="C291" s="441"/>
      <c r="D291" s="440" t="s">
        <v>2146</v>
      </c>
      <c r="E291" s="440" t="s">
        <v>1893</v>
      </c>
      <c r="F291" s="440" t="s">
        <v>2153</v>
      </c>
      <c r="G291" s="440" t="s">
        <v>2154</v>
      </c>
      <c r="H291" s="440" t="s">
        <v>2155</v>
      </c>
      <c r="I291" s="439">
        <v>46112</v>
      </c>
      <c r="J291" s="445"/>
      <c r="K291" s="440" t="s">
        <v>2003</v>
      </c>
    </row>
    <row r="292" spans="1:11" ht="30" x14ac:dyDescent="0.25">
      <c r="A292" s="439">
        <v>46090</v>
      </c>
      <c r="B292" s="440" t="s">
        <v>1886</v>
      </c>
      <c r="C292" s="441"/>
      <c r="D292" s="440" t="s">
        <v>2146</v>
      </c>
      <c r="E292" s="440" t="s">
        <v>1669</v>
      </c>
      <c r="F292" s="440" t="s">
        <v>2156</v>
      </c>
      <c r="G292" s="440" t="s">
        <v>2157</v>
      </c>
      <c r="H292" s="440" t="s">
        <v>235</v>
      </c>
      <c r="I292" s="439">
        <v>46173</v>
      </c>
      <c r="J292" s="445"/>
      <c r="K292" s="440" t="s">
        <v>1188</v>
      </c>
    </row>
    <row r="293" spans="1:11" ht="45" x14ac:dyDescent="0.25">
      <c r="A293" s="439">
        <v>46094</v>
      </c>
      <c r="B293" s="440" t="s">
        <v>1886</v>
      </c>
      <c r="C293" s="441"/>
      <c r="D293" s="440" t="s">
        <v>2146</v>
      </c>
      <c r="E293" s="440" t="s">
        <v>1659</v>
      </c>
      <c r="F293" s="440" t="s">
        <v>2158</v>
      </c>
      <c r="G293" s="440" t="s">
        <v>2159</v>
      </c>
      <c r="H293" s="440" t="s">
        <v>2160</v>
      </c>
      <c r="I293" s="439">
        <v>46173</v>
      </c>
      <c r="J293" s="445"/>
      <c r="K293" s="440" t="s">
        <v>2004</v>
      </c>
    </row>
    <row r="294" spans="1:11" ht="30" x14ac:dyDescent="0.25">
      <c r="A294" s="439">
        <v>46094</v>
      </c>
      <c r="B294" s="440" t="s">
        <v>1886</v>
      </c>
      <c r="C294" s="441"/>
      <c r="D294" s="440" t="s">
        <v>2146</v>
      </c>
      <c r="E294" s="440" t="s">
        <v>1659</v>
      </c>
      <c r="F294" s="440" t="s">
        <v>2161</v>
      </c>
      <c r="G294" s="440" t="s">
        <v>2162</v>
      </c>
      <c r="H294" s="440" t="s">
        <v>235</v>
      </c>
      <c r="I294" s="439">
        <v>46173</v>
      </c>
      <c r="J294" s="445"/>
      <c r="K294" s="440" t="s">
        <v>2004</v>
      </c>
    </row>
    <row r="295" spans="1:11" ht="30" x14ac:dyDescent="0.25">
      <c r="A295" s="439">
        <v>46094</v>
      </c>
      <c r="B295" s="440" t="s">
        <v>1886</v>
      </c>
      <c r="C295" s="441"/>
      <c r="D295" s="440" t="s">
        <v>2146</v>
      </c>
      <c r="E295" s="314" t="s">
        <v>1659</v>
      </c>
      <c r="F295" s="440" t="s">
        <v>2163</v>
      </c>
      <c r="G295" s="440" t="s">
        <v>2164</v>
      </c>
      <c r="H295" s="440" t="s">
        <v>235</v>
      </c>
      <c r="I295" s="439">
        <v>46173</v>
      </c>
      <c r="J295" s="445"/>
      <c r="K295" s="314" t="s">
        <v>2004</v>
      </c>
    </row>
    <row r="296" spans="1:11" ht="75" x14ac:dyDescent="0.25">
      <c r="A296" s="439">
        <v>46097</v>
      </c>
      <c r="B296" s="440" t="s">
        <v>36</v>
      </c>
      <c r="C296" s="441" t="s">
        <v>1657</v>
      </c>
      <c r="D296" s="440" t="s">
        <v>1848</v>
      </c>
      <c r="E296" s="440" t="s">
        <v>1669</v>
      </c>
      <c r="F296" s="440" t="s">
        <v>2165</v>
      </c>
      <c r="G296" s="440" t="s">
        <v>2166</v>
      </c>
      <c r="H296" s="440" t="s">
        <v>2167</v>
      </c>
      <c r="I296" s="439">
        <v>46112</v>
      </c>
      <c r="J296" s="445"/>
      <c r="K296" s="440" t="s">
        <v>2003</v>
      </c>
    </row>
    <row r="297" spans="1:11" ht="60" x14ac:dyDescent="0.25">
      <c r="A297" s="439">
        <v>46097</v>
      </c>
      <c r="B297" s="440" t="s">
        <v>36</v>
      </c>
      <c r="C297" s="441" t="s">
        <v>1657</v>
      </c>
      <c r="D297" s="440" t="s">
        <v>1848</v>
      </c>
      <c r="E297" s="440" t="s">
        <v>1669</v>
      </c>
      <c r="F297" s="440"/>
      <c r="G297" s="440" t="s">
        <v>2168</v>
      </c>
      <c r="H297" s="440" t="s">
        <v>235</v>
      </c>
      <c r="I297" s="439">
        <v>46173</v>
      </c>
      <c r="J297" s="445"/>
      <c r="K297" s="440"/>
    </row>
    <row r="298" spans="1:11" ht="30" x14ac:dyDescent="0.25">
      <c r="A298" s="439">
        <v>46097</v>
      </c>
      <c r="B298" s="440" t="s">
        <v>36</v>
      </c>
      <c r="C298" s="441" t="s">
        <v>1657</v>
      </c>
      <c r="D298" s="440" t="s">
        <v>1848</v>
      </c>
      <c r="E298" s="440" t="s">
        <v>1669</v>
      </c>
      <c r="F298" s="440" t="s">
        <v>2169</v>
      </c>
      <c r="G298" s="440" t="s">
        <v>2170</v>
      </c>
      <c r="H298" s="440" t="s">
        <v>235</v>
      </c>
      <c r="I298" s="439">
        <v>46142</v>
      </c>
      <c r="J298" s="445"/>
      <c r="K298" s="440" t="s">
        <v>1188</v>
      </c>
    </row>
    <row r="299" spans="1:11" x14ac:dyDescent="0.25">
      <c r="A299" s="439">
        <v>46098</v>
      </c>
      <c r="B299" s="440" t="s">
        <v>1886</v>
      </c>
      <c r="C299" s="441" t="s">
        <v>2171</v>
      </c>
      <c r="D299" s="440" t="s">
        <v>1919</v>
      </c>
      <c r="E299" s="440" t="s">
        <v>1665</v>
      </c>
      <c r="F299" s="440" t="s">
        <v>2172</v>
      </c>
      <c r="G299" s="440" t="s">
        <v>2173</v>
      </c>
      <c r="H299" s="440" t="s">
        <v>235</v>
      </c>
      <c r="I299" s="439">
        <v>46173</v>
      </c>
      <c r="J299" s="445"/>
      <c r="K299" s="440" t="s">
        <v>2004</v>
      </c>
    </row>
    <row r="300" spans="1:11" ht="30" x14ac:dyDescent="0.25">
      <c r="A300" s="439">
        <v>46098</v>
      </c>
      <c r="B300" s="440" t="s">
        <v>1657</v>
      </c>
      <c r="C300" s="441" t="s">
        <v>1676</v>
      </c>
      <c r="D300" s="440" t="s">
        <v>2026</v>
      </c>
      <c r="E300" s="440" t="s">
        <v>1757</v>
      </c>
      <c r="F300" s="440" t="s">
        <v>2174</v>
      </c>
      <c r="G300" s="440" t="s">
        <v>2175</v>
      </c>
      <c r="H300" s="440" t="s">
        <v>1938</v>
      </c>
      <c r="I300" s="439">
        <v>46387</v>
      </c>
      <c r="J300" s="445"/>
      <c r="K300" s="440" t="s">
        <v>2004</v>
      </c>
    </row>
    <row r="301" spans="1:11" x14ac:dyDescent="0.25">
      <c r="A301" s="439">
        <v>46098</v>
      </c>
      <c r="B301" s="440" t="s">
        <v>1657</v>
      </c>
      <c r="C301" s="441" t="s">
        <v>1676</v>
      </c>
      <c r="D301" s="440" t="s">
        <v>2026</v>
      </c>
      <c r="E301" s="440" t="s">
        <v>1757</v>
      </c>
      <c r="F301" s="440" t="s">
        <v>2176</v>
      </c>
      <c r="G301" s="440" t="s">
        <v>2177</v>
      </c>
      <c r="H301" s="440" t="s">
        <v>1938</v>
      </c>
      <c r="I301" s="439">
        <v>46387</v>
      </c>
      <c r="J301" s="445"/>
      <c r="K301" s="440" t="s">
        <v>2004</v>
      </c>
    </row>
    <row r="302" spans="1:11" ht="30" x14ac:dyDescent="0.25">
      <c r="A302" s="439">
        <v>46099</v>
      </c>
      <c r="B302" s="440" t="s">
        <v>36</v>
      </c>
      <c r="C302" s="441" t="s">
        <v>1657</v>
      </c>
      <c r="D302" s="440" t="s">
        <v>1764</v>
      </c>
      <c r="E302" s="440" t="s">
        <v>1752</v>
      </c>
      <c r="F302" s="440" t="s">
        <v>2178</v>
      </c>
      <c r="G302" s="440" t="s">
        <v>2179</v>
      </c>
      <c r="H302" s="440" t="s">
        <v>1843</v>
      </c>
      <c r="I302" s="439">
        <v>46112</v>
      </c>
      <c r="J302" s="445"/>
      <c r="K302" s="440" t="s">
        <v>2003</v>
      </c>
    </row>
    <row r="303" spans="1:11" x14ac:dyDescent="0.25">
      <c r="A303" s="439">
        <v>46099</v>
      </c>
      <c r="B303" s="440" t="s">
        <v>269</v>
      </c>
      <c r="C303" s="441" t="s">
        <v>563</v>
      </c>
      <c r="D303" s="440" t="s">
        <v>2029</v>
      </c>
      <c r="E303" s="440" t="s">
        <v>1893</v>
      </c>
      <c r="F303" s="440" t="s">
        <v>2180</v>
      </c>
      <c r="G303" s="440" t="s">
        <v>2181</v>
      </c>
      <c r="H303" s="440" t="s">
        <v>2182</v>
      </c>
      <c r="I303" s="439">
        <v>46106</v>
      </c>
      <c r="J303" s="445"/>
      <c r="K303" s="440" t="s">
        <v>2003</v>
      </c>
    </row>
    <row r="304" spans="1:11" x14ac:dyDescent="0.25">
      <c r="A304" s="439">
        <v>46099</v>
      </c>
      <c r="B304" s="440" t="s">
        <v>269</v>
      </c>
      <c r="C304" s="441" t="s">
        <v>563</v>
      </c>
      <c r="D304" s="440" t="s">
        <v>2029</v>
      </c>
      <c r="E304" s="440" t="s">
        <v>1665</v>
      </c>
      <c r="F304" s="440" t="s">
        <v>2183</v>
      </c>
      <c r="G304" s="440" t="s">
        <v>2184</v>
      </c>
      <c r="H304" s="440" t="s">
        <v>2182</v>
      </c>
      <c r="I304" s="439">
        <v>46106</v>
      </c>
      <c r="J304" s="445"/>
      <c r="K304" s="440" t="s">
        <v>2003</v>
      </c>
    </row>
    <row r="305" spans="1:11" ht="60" x14ac:dyDescent="0.25">
      <c r="A305" s="439">
        <v>46099</v>
      </c>
      <c r="B305" s="440" t="s">
        <v>269</v>
      </c>
      <c r="C305" s="441" t="s">
        <v>563</v>
      </c>
      <c r="D305" s="440" t="s">
        <v>2029</v>
      </c>
      <c r="E305" s="440" t="s">
        <v>1752</v>
      </c>
      <c r="F305" s="440" t="s">
        <v>2185</v>
      </c>
      <c r="G305" s="440" t="s">
        <v>2186</v>
      </c>
      <c r="H305" s="440" t="s">
        <v>2187</v>
      </c>
      <c r="I305" s="439">
        <v>46106</v>
      </c>
      <c r="J305" s="445"/>
      <c r="K305" s="440" t="s">
        <v>2145</v>
      </c>
    </row>
    <row r="306" spans="1:11" x14ac:dyDescent="0.25">
      <c r="A306" s="439">
        <v>46099</v>
      </c>
      <c r="B306" s="440" t="s">
        <v>269</v>
      </c>
      <c r="C306" s="441" t="s">
        <v>563</v>
      </c>
      <c r="D306" s="440" t="s">
        <v>2029</v>
      </c>
      <c r="E306" s="440" t="s">
        <v>1893</v>
      </c>
      <c r="F306" s="440" t="s">
        <v>2188</v>
      </c>
      <c r="G306" s="440" t="s">
        <v>2189</v>
      </c>
      <c r="H306" s="440" t="s">
        <v>2182</v>
      </c>
      <c r="I306" s="439">
        <v>46106</v>
      </c>
      <c r="J306" s="445"/>
      <c r="K306" s="440" t="s">
        <v>2003</v>
      </c>
    </row>
    <row r="307" spans="1:11" x14ac:dyDescent="0.25">
      <c r="A307" s="439">
        <v>46099</v>
      </c>
      <c r="B307" s="440" t="s">
        <v>269</v>
      </c>
      <c r="C307" s="441" t="s">
        <v>563</v>
      </c>
      <c r="D307" s="440" t="s">
        <v>2029</v>
      </c>
      <c r="E307" s="440" t="s">
        <v>1893</v>
      </c>
      <c r="F307" s="440" t="s">
        <v>2188</v>
      </c>
      <c r="G307" s="440" t="s">
        <v>2190</v>
      </c>
      <c r="H307" s="440" t="s">
        <v>2191</v>
      </c>
      <c r="I307" s="439">
        <v>46106</v>
      </c>
      <c r="J307" s="445"/>
      <c r="K307" s="440" t="s">
        <v>2003</v>
      </c>
    </row>
    <row r="308" spans="1:11" x14ac:dyDescent="0.25">
      <c r="A308" s="439">
        <v>46099</v>
      </c>
      <c r="B308" s="440" t="s">
        <v>269</v>
      </c>
      <c r="C308" s="441" t="s">
        <v>563</v>
      </c>
      <c r="D308" s="440" t="s">
        <v>2029</v>
      </c>
      <c r="E308" s="440" t="s">
        <v>1669</v>
      </c>
      <c r="F308" s="440" t="s">
        <v>2192</v>
      </c>
      <c r="G308" s="440" t="s">
        <v>2193</v>
      </c>
      <c r="H308" s="440" t="s">
        <v>2194</v>
      </c>
      <c r="I308" s="439">
        <v>46106</v>
      </c>
      <c r="J308" s="445"/>
      <c r="K308" s="440" t="s">
        <v>2004</v>
      </c>
    </row>
    <row r="309" spans="1:11" ht="45" x14ac:dyDescent="0.25">
      <c r="A309" s="439">
        <v>46099</v>
      </c>
      <c r="B309" s="440" t="s">
        <v>269</v>
      </c>
      <c r="C309" s="441" t="s">
        <v>563</v>
      </c>
      <c r="D309" s="440" t="s">
        <v>2029</v>
      </c>
      <c r="E309" s="440" t="s">
        <v>1669</v>
      </c>
      <c r="F309" s="440" t="s">
        <v>2195</v>
      </c>
      <c r="G309" s="440" t="s">
        <v>2196</v>
      </c>
      <c r="H309" s="440" t="s">
        <v>2187</v>
      </c>
      <c r="I309" s="439">
        <v>46106</v>
      </c>
      <c r="J309" s="445"/>
      <c r="K309" s="440" t="s">
        <v>2003</v>
      </c>
    </row>
    <row r="310" spans="1:11" ht="45" x14ac:dyDescent="0.25">
      <c r="A310" s="439">
        <v>46099</v>
      </c>
      <c r="B310" s="440" t="s">
        <v>269</v>
      </c>
      <c r="C310" s="441" t="s">
        <v>563</v>
      </c>
      <c r="D310" s="440" t="s">
        <v>2029</v>
      </c>
      <c r="E310" s="440" t="s">
        <v>1669</v>
      </c>
      <c r="F310" s="440" t="s">
        <v>2197</v>
      </c>
      <c r="G310" s="440" t="s">
        <v>2198</v>
      </c>
      <c r="H310" s="440" t="s">
        <v>2182</v>
      </c>
      <c r="I310" s="439">
        <v>46106</v>
      </c>
      <c r="J310" s="445"/>
      <c r="K310" s="440" t="s">
        <v>2003</v>
      </c>
    </row>
    <row r="311" spans="1:11" ht="30" x14ac:dyDescent="0.25">
      <c r="A311" s="439">
        <v>46099</v>
      </c>
      <c r="B311" s="440" t="s">
        <v>269</v>
      </c>
      <c r="C311" s="441" t="s">
        <v>563</v>
      </c>
      <c r="D311" s="440" t="s">
        <v>2029</v>
      </c>
      <c r="E311" s="440" t="s">
        <v>1669</v>
      </c>
      <c r="F311" s="440" t="s">
        <v>2199</v>
      </c>
      <c r="G311" s="440" t="s">
        <v>2200</v>
      </c>
      <c r="H311" s="440" t="s">
        <v>2058</v>
      </c>
      <c r="I311" s="439">
        <v>46106</v>
      </c>
      <c r="J311" s="445"/>
      <c r="K311" s="440" t="s">
        <v>2003</v>
      </c>
    </row>
    <row r="312" spans="1:11" ht="30" x14ac:dyDescent="0.25">
      <c r="A312" s="439">
        <v>46099</v>
      </c>
      <c r="B312" s="440" t="s">
        <v>269</v>
      </c>
      <c r="C312" s="441" t="s">
        <v>563</v>
      </c>
      <c r="D312" s="440" t="s">
        <v>2029</v>
      </c>
      <c r="E312" s="440" t="s">
        <v>1669</v>
      </c>
      <c r="F312" s="440" t="s">
        <v>2201</v>
      </c>
      <c r="G312" s="440" t="s">
        <v>2202</v>
      </c>
      <c r="H312" s="440" t="s">
        <v>2182</v>
      </c>
      <c r="I312" s="439">
        <v>46106</v>
      </c>
      <c r="J312" s="445"/>
      <c r="K312" s="440" t="s">
        <v>2003</v>
      </c>
    </row>
    <row r="313" spans="1:11" ht="30" x14ac:dyDescent="0.25">
      <c r="A313" s="439">
        <v>46099</v>
      </c>
      <c r="B313" s="440" t="s">
        <v>269</v>
      </c>
      <c r="C313" s="441" t="s">
        <v>563</v>
      </c>
      <c r="D313" s="440" t="s">
        <v>2029</v>
      </c>
      <c r="E313" s="440" t="s">
        <v>1669</v>
      </c>
      <c r="F313" s="440" t="s">
        <v>2203</v>
      </c>
      <c r="G313" s="440" t="s">
        <v>2204</v>
      </c>
      <c r="H313" s="440" t="s">
        <v>2182</v>
      </c>
      <c r="I313" s="439">
        <v>46106</v>
      </c>
      <c r="J313" s="445"/>
      <c r="K313" s="440" t="s">
        <v>2003</v>
      </c>
    </row>
    <row r="314" spans="1:11" ht="45" x14ac:dyDescent="0.25">
      <c r="A314" s="439">
        <v>46099</v>
      </c>
      <c r="B314" s="440" t="s">
        <v>269</v>
      </c>
      <c r="C314" s="441" t="s">
        <v>563</v>
      </c>
      <c r="D314" s="440" t="s">
        <v>2029</v>
      </c>
      <c r="E314" s="440" t="s">
        <v>1669</v>
      </c>
      <c r="F314" s="440" t="s">
        <v>2205</v>
      </c>
      <c r="G314" s="440" t="s">
        <v>2206</v>
      </c>
      <c r="H314" s="440" t="s">
        <v>2187</v>
      </c>
      <c r="I314" s="439">
        <v>46106</v>
      </c>
      <c r="J314" s="445"/>
      <c r="K314" s="440" t="s">
        <v>2003</v>
      </c>
    </row>
    <row r="315" spans="1:11" ht="30" x14ac:dyDescent="0.25">
      <c r="A315" s="439">
        <v>46099</v>
      </c>
      <c r="B315" s="440" t="s">
        <v>269</v>
      </c>
      <c r="C315" s="441" t="s">
        <v>563</v>
      </c>
      <c r="D315" s="440" t="s">
        <v>2029</v>
      </c>
      <c r="E315" s="440" t="s">
        <v>1669</v>
      </c>
      <c r="F315" s="440" t="s">
        <v>2207</v>
      </c>
      <c r="G315" s="440" t="s">
        <v>2208</v>
      </c>
      <c r="H315" s="440" t="s">
        <v>1750</v>
      </c>
      <c r="I315" s="439">
        <v>46106</v>
      </c>
      <c r="J315" s="445"/>
      <c r="K315" s="440" t="s">
        <v>2003</v>
      </c>
    </row>
    <row r="316" spans="1:11" ht="45" x14ac:dyDescent="0.25">
      <c r="A316" s="439">
        <v>46104</v>
      </c>
      <c r="B316" s="440" t="s">
        <v>100</v>
      </c>
      <c r="C316" s="441" t="s">
        <v>551</v>
      </c>
      <c r="D316" s="440" t="s">
        <v>2029</v>
      </c>
      <c r="E316" s="440" t="s">
        <v>1893</v>
      </c>
      <c r="F316" s="440" t="s">
        <v>2209</v>
      </c>
      <c r="G316" s="440" t="s">
        <v>2210</v>
      </c>
      <c r="H316" s="440" t="s">
        <v>2211</v>
      </c>
      <c r="I316" s="439">
        <v>46112</v>
      </c>
      <c r="J316" s="445"/>
      <c r="K316" s="440" t="s">
        <v>2003</v>
      </c>
    </row>
    <row r="317" spans="1:11" x14ac:dyDescent="0.25">
      <c r="A317" s="439">
        <v>46104</v>
      </c>
      <c r="B317" s="440" t="s">
        <v>100</v>
      </c>
      <c r="C317" s="441" t="s">
        <v>551</v>
      </c>
      <c r="D317" s="440" t="s">
        <v>2029</v>
      </c>
      <c r="E317" s="440" t="s">
        <v>1669</v>
      </c>
      <c r="F317" s="440" t="s">
        <v>2212</v>
      </c>
      <c r="G317" s="440" t="s">
        <v>2213</v>
      </c>
      <c r="H317" s="440" t="s">
        <v>1750</v>
      </c>
      <c r="I317" s="439">
        <v>46112</v>
      </c>
      <c r="J317" s="445"/>
      <c r="K317" s="440" t="s">
        <v>2003</v>
      </c>
    </row>
    <row r="318" spans="1:11" x14ac:dyDescent="0.25">
      <c r="A318" s="439">
        <v>46104</v>
      </c>
      <c r="B318" s="440" t="s">
        <v>100</v>
      </c>
      <c r="C318" s="441" t="s">
        <v>551</v>
      </c>
      <c r="D318" s="440" t="s">
        <v>2029</v>
      </c>
      <c r="E318" s="440" t="s">
        <v>1669</v>
      </c>
      <c r="F318" s="440" t="s">
        <v>2214</v>
      </c>
      <c r="G318" s="440" t="s">
        <v>2215</v>
      </c>
      <c r="H318" s="440" t="s">
        <v>2216</v>
      </c>
      <c r="I318" s="439">
        <v>46112</v>
      </c>
      <c r="J318" s="445"/>
      <c r="K318" s="440" t="s">
        <v>2004</v>
      </c>
    </row>
    <row r="319" spans="1:11" x14ac:dyDescent="0.25">
      <c r="A319" s="439">
        <v>46104</v>
      </c>
      <c r="B319" s="440" t="s">
        <v>100</v>
      </c>
      <c r="C319" s="441" t="s">
        <v>551</v>
      </c>
      <c r="D319" s="440" t="s">
        <v>2029</v>
      </c>
      <c r="E319" s="440" t="s">
        <v>1669</v>
      </c>
      <c r="F319" s="440" t="s">
        <v>2217</v>
      </c>
      <c r="G319" s="440" t="s">
        <v>2218</v>
      </c>
      <c r="H319" s="440" t="s">
        <v>2211</v>
      </c>
      <c r="I319" s="439">
        <v>46112</v>
      </c>
      <c r="J319" s="445"/>
      <c r="K319" s="440" t="s">
        <v>2003</v>
      </c>
    </row>
    <row r="320" spans="1:11" ht="30" x14ac:dyDescent="0.25">
      <c r="A320" s="439">
        <v>46104</v>
      </c>
      <c r="B320" s="440" t="s">
        <v>100</v>
      </c>
      <c r="C320" s="441" t="s">
        <v>551</v>
      </c>
      <c r="D320" s="440" t="s">
        <v>2029</v>
      </c>
      <c r="E320" s="440" t="s">
        <v>1757</v>
      </c>
      <c r="F320" s="440" t="s">
        <v>2219</v>
      </c>
      <c r="G320" s="440" t="s">
        <v>2220</v>
      </c>
      <c r="H320" s="440" t="s">
        <v>2221</v>
      </c>
      <c r="I320" s="439">
        <v>46112</v>
      </c>
      <c r="J320" s="445"/>
      <c r="K320" s="440" t="s">
        <v>2145</v>
      </c>
    </row>
    <row r="321" spans="1:11" x14ac:dyDescent="0.25">
      <c r="A321" s="439">
        <v>46104</v>
      </c>
      <c r="B321" s="440" t="s">
        <v>100</v>
      </c>
      <c r="C321" s="441" t="s">
        <v>673</v>
      </c>
      <c r="D321" s="440" t="s">
        <v>2029</v>
      </c>
      <c r="E321" s="440" t="s">
        <v>1893</v>
      </c>
      <c r="F321" s="440" t="s">
        <v>2222</v>
      </c>
      <c r="G321" s="440" t="s">
        <v>2223</v>
      </c>
      <c r="H321" s="440" t="s">
        <v>2221</v>
      </c>
      <c r="I321" s="439">
        <v>46111</v>
      </c>
      <c r="J321" s="445"/>
      <c r="K321" s="440" t="s">
        <v>2003</v>
      </c>
    </row>
    <row r="322" spans="1:11" x14ac:dyDescent="0.25">
      <c r="A322" s="439">
        <v>46104</v>
      </c>
      <c r="B322" s="440" t="s">
        <v>100</v>
      </c>
      <c r="C322" s="441" t="s">
        <v>673</v>
      </c>
      <c r="D322" s="440" t="s">
        <v>2029</v>
      </c>
      <c r="E322" s="440" t="s">
        <v>1669</v>
      </c>
      <c r="F322" s="440" t="s">
        <v>2224</v>
      </c>
      <c r="G322" s="440" t="s">
        <v>2225</v>
      </c>
      <c r="H322" s="440" t="s">
        <v>2226</v>
      </c>
      <c r="I322" s="439">
        <v>46111</v>
      </c>
      <c r="J322" s="445"/>
      <c r="K322" s="440" t="s">
        <v>2004</v>
      </c>
    </row>
    <row r="323" spans="1:11" ht="30" x14ac:dyDescent="0.25">
      <c r="A323" s="439">
        <v>46104</v>
      </c>
      <c r="B323" s="440" t="s">
        <v>100</v>
      </c>
      <c r="C323" s="441" t="s">
        <v>673</v>
      </c>
      <c r="D323" s="440" t="s">
        <v>2029</v>
      </c>
      <c r="E323" s="440" t="s">
        <v>1669</v>
      </c>
      <c r="F323" s="440" t="s">
        <v>2227</v>
      </c>
      <c r="G323" s="440" t="s">
        <v>2228</v>
      </c>
      <c r="H323" s="440" t="s">
        <v>2226</v>
      </c>
      <c r="I323" s="439">
        <v>46111</v>
      </c>
      <c r="J323" s="445"/>
      <c r="K323" s="440" t="s">
        <v>2003</v>
      </c>
    </row>
    <row r="324" spans="1:11" x14ac:dyDescent="0.25">
      <c r="A324" s="439">
        <v>46104</v>
      </c>
      <c r="B324" s="440" t="s">
        <v>100</v>
      </c>
      <c r="C324" s="441" t="s">
        <v>673</v>
      </c>
      <c r="D324" s="440" t="s">
        <v>2029</v>
      </c>
      <c r="E324" s="440" t="s">
        <v>1665</v>
      </c>
      <c r="F324" s="440" t="s">
        <v>2229</v>
      </c>
      <c r="G324" s="440" t="s">
        <v>2230</v>
      </c>
      <c r="H324" s="440" t="s">
        <v>1750</v>
      </c>
      <c r="I324" s="439">
        <v>46111</v>
      </c>
      <c r="J324" s="445"/>
      <c r="K324" s="440" t="s">
        <v>2003</v>
      </c>
    </row>
    <row r="325" spans="1:11" ht="45" x14ac:dyDescent="0.25">
      <c r="A325" s="439">
        <v>46104</v>
      </c>
      <c r="B325" s="440" t="s">
        <v>100</v>
      </c>
      <c r="C325" s="441" t="s">
        <v>673</v>
      </c>
      <c r="D325" s="440" t="s">
        <v>2029</v>
      </c>
      <c r="E325" s="440" t="s">
        <v>1669</v>
      </c>
      <c r="F325" s="440" t="s">
        <v>2231</v>
      </c>
      <c r="G325" s="440" t="s">
        <v>2232</v>
      </c>
      <c r="H325" s="440" t="s">
        <v>2226</v>
      </c>
      <c r="I325" s="439">
        <v>46111</v>
      </c>
      <c r="J325" s="445"/>
      <c r="K325" s="440" t="s">
        <v>2003</v>
      </c>
    </row>
    <row r="326" spans="1:11" x14ac:dyDescent="0.25">
      <c r="A326" s="439">
        <v>46104</v>
      </c>
      <c r="B326" s="440" t="s">
        <v>100</v>
      </c>
      <c r="C326" s="441" t="s">
        <v>673</v>
      </c>
      <c r="D326" s="440" t="s">
        <v>2029</v>
      </c>
      <c r="E326" s="440" t="s">
        <v>1669</v>
      </c>
      <c r="F326" s="440" t="s">
        <v>2233</v>
      </c>
      <c r="G326" s="440" t="s">
        <v>2234</v>
      </c>
      <c r="H326" s="440" t="s">
        <v>2216</v>
      </c>
      <c r="I326" s="439">
        <v>46111</v>
      </c>
      <c r="J326" s="445"/>
      <c r="K326" s="440" t="s">
        <v>2004</v>
      </c>
    </row>
    <row r="327" spans="1:11" x14ac:dyDescent="0.25">
      <c r="A327" s="439">
        <v>46104</v>
      </c>
      <c r="B327" s="440" t="s">
        <v>100</v>
      </c>
      <c r="C327" s="441" t="s">
        <v>673</v>
      </c>
      <c r="D327" s="440" t="s">
        <v>2029</v>
      </c>
      <c r="E327" s="440" t="s">
        <v>1669</v>
      </c>
      <c r="F327" s="440" t="s">
        <v>2235</v>
      </c>
      <c r="G327" s="440" t="s">
        <v>2236</v>
      </c>
      <c r="H327" s="440" t="s">
        <v>2226</v>
      </c>
      <c r="I327" s="439">
        <v>46111</v>
      </c>
      <c r="J327" s="445"/>
      <c r="K327" s="440" t="s">
        <v>2003</v>
      </c>
    </row>
    <row r="328" spans="1:11" ht="30" x14ac:dyDescent="0.25">
      <c r="A328" s="439">
        <v>46104</v>
      </c>
      <c r="B328" s="440" t="s">
        <v>100</v>
      </c>
      <c r="C328" s="441" t="s">
        <v>673</v>
      </c>
      <c r="D328" s="440" t="s">
        <v>2029</v>
      </c>
      <c r="E328" s="440" t="s">
        <v>1669</v>
      </c>
      <c r="F328" s="440" t="s">
        <v>2237</v>
      </c>
      <c r="G328" s="440" t="s">
        <v>2238</v>
      </c>
      <c r="H328" s="440" t="s">
        <v>2221</v>
      </c>
      <c r="I328" s="439">
        <v>46111</v>
      </c>
      <c r="J328" s="445"/>
      <c r="K328" s="440" t="s">
        <v>2003</v>
      </c>
    </row>
    <row r="329" spans="1:11" ht="27" x14ac:dyDescent="0.25">
      <c r="A329" s="439">
        <v>46105</v>
      </c>
      <c r="B329" s="440" t="s">
        <v>54</v>
      </c>
      <c r="C329" s="441" t="s">
        <v>53</v>
      </c>
      <c r="D329" s="440" t="s">
        <v>1848</v>
      </c>
      <c r="E329" s="440" t="s">
        <v>1669</v>
      </c>
      <c r="F329" s="355" t="s">
        <v>2239</v>
      </c>
      <c r="G329" s="355" t="s">
        <v>2240</v>
      </c>
      <c r="H329" s="355" t="s">
        <v>2103</v>
      </c>
      <c r="I329" s="439">
        <v>46095</v>
      </c>
      <c r="J329" s="445"/>
      <c r="K329" s="440" t="s">
        <v>1662</v>
      </c>
    </row>
    <row r="330" spans="1:11" ht="30" x14ac:dyDescent="0.25">
      <c r="A330" s="439">
        <v>46105</v>
      </c>
      <c r="B330" s="440" t="s">
        <v>54</v>
      </c>
      <c r="C330" s="441" t="s">
        <v>53</v>
      </c>
      <c r="D330" s="440" t="s">
        <v>1848</v>
      </c>
      <c r="E330" s="440" t="s">
        <v>1669</v>
      </c>
      <c r="F330" s="440" t="s">
        <v>2241</v>
      </c>
      <c r="G330" s="440" t="s">
        <v>2242</v>
      </c>
      <c r="H330" s="440" t="s">
        <v>2243</v>
      </c>
      <c r="I330" s="439">
        <v>46105</v>
      </c>
      <c r="J330" s="445"/>
      <c r="K330" s="440" t="s">
        <v>1662</v>
      </c>
    </row>
    <row r="331" spans="1:11" ht="30" x14ac:dyDescent="0.25">
      <c r="A331" s="439">
        <v>46105</v>
      </c>
      <c r="B331" s="440" t="s">
        <v>54</v>
      </c>
      <c r="C331" s="441" t="s">
        <v>77</v>
      </c>
      <c r="D331" s="440" t="s">
        <v>1848</v>
      </c>
      <c r="E331" s="440" t="s">
        <v>1669</v>
      </c>
      <c r="F331" s="440" t="s">
        <v>2244</v>
      </c>
      <c r="G331" s="440" t="s">
        <v>2245</v>
      </c>
      <c r="H331" s="440" t="s">
        <v>2246</v>
      </c>
      <c r="I331" s="439">
        <v>46107</v>
      </c>
      <c r="J331" s="445"/>
      <c r="K331" s="440" t="s">
        <v>1662</v>
      </c>
    </row>
    <row r="332" spans="1:11" ht="30" x14ac:dyDescent="0.25">
      <c r="A332" s="439">
        <v>46106</v>
      </c>
      <c r="B332" s="440" t="s">
        <v>54</v>
      </c>
      <c r="C332" s="441" t="s">
        <v>77</v>
      </c>
      <c r="D332" s="440" t="s">
        <v>1848</v>
      </c>
      <c r="E332" s="440" t="s">
        <v>1669</v>
      </c>
      <c r="F332" s="440" t="s">
        <v>2247</v>
      </c>
      <c r="G332" s="440" t="s">
        <v>2248</v>
      </c>
      <c r="H332" s="440" t="s">
        <v>2249</v>
      </c>
      <c r="I332" s="439">
        <v>46136</v>
      </c>
      <c r="J332" s="445"/>
      <c r="K332" s="440" t="s">
        <v>2004</v>
      </c>
    </row>
    <row r="333" spans="1:11" x14ac:dyDescent="0.25">
      <c r="A333" s="439">
        <v>46107</v>
      </c>
      <c r="B333" s="440" t="s">
        <v>54</v>
      </c>
      <c r="C333" s="441" t="s">
        <v>77</v>
      </c>
      <c r="D333" s="440" t="s">
        <v>1848</v>
      </c>
      <c r="E333" s="440" t="s">
        <v>1669</v>
      </c>
      <c r="F333" s="440" t="s">
        <v>2247</v>
      </c>
      <c r="G333" s="440" t="s">
        <v>2250</v>
      </c>
      <c r="H333" s="440" t="s">
        <v>2249</v>
      </c>
      <c r="I333" s="439">
        <v>46137</v>
      </c>
      <c r="J333" s="445"/>
      <c r="K333" s="440" t="s">
        <v>2004</v>
      </c>
    </row>
    <row r="334" spans="1:11" x14ac:dyDescent="0.25">
      <c r="A334" s="439">
        <v>46107</v>
      </c>
      <c r="B334" s="440" t="s">
        <v>1854</v>
      </c>
      <c r="C334" s="441"/>
      <c r="D334" s="440" t="s">
        <v>1855</v>
      </c>
      <c r="E334" s="440" t="s">
        <v>1665</v>
      </c>
      <c r="F334" s="440" t="s">
        <v>2251</v>
      </c>
      <c r="G334" s="440" t="s">
        <v>2252</v>
      </c>
      <c r="H334" s="440" t="s">
        <v>2253</v>
      </c>
      <c r="I334" s="439">
        <v>46142</v>
      </c>
      <c r="J334" s="445"/>
      <c r="K334" s="440" t="s">
        <v>2003</v>
      </c>
    </row>
    <row r="335" spans="1:11" ht="30" x14ac:dyDescent="0.25">
      <c r="A335" s="439">
        <v>46108</v>
      </c>
      <c r="B335" s="440" t="s">
        <v>1854</v>
      </c>
      <c r="C335" s="441" t="s">
        <v>943</v>
      </c>
      <c r="D335" s="440" t="s">
        <v>2029</v>
      </c>
      <c r="E335" s="440" t="s">
        <v>1893</v>
      </c>
      <c r="F335" s="440" t="s">
        <v>2254</v>
      </c>
      <c r="G335" s="440" t="s">
        <v>2255</v>
      </c>
      <c r="H335" s="440" t="s">
        <v>1750</v>
      </c>
      <c r="I335" s="439">
        <v>46115</v>
      </c>
      <c r="J335" s="445"/>
      <c r="K335" s="440" t="s">
        <v>2003</v>
      </c>
    </row>
    <row r="336" spans="1:11" ht="45" x14ac:dyDescent="0.25">
      <c r="A336" s="439">
        <v>46108</v>
      </c>
      <c r="B336" s="440" t="s">
        <v>1854</v>
      </c>
      <c r="C336" s="441" t="s">
        <v>943</v>
      </c>
      <c r="D336" s="440" t="s">
        <v>2029</v>
      </c>
      <c r="E336" s="440" t="s">
        <v>1669</v>
      </c>
      <c r="F336" s="440" t="s">
        <v>2256</v>
      </c>
      <c r="G336" s="440" t="s">
        <v>2257</v>
      </c>
      <c r="H336" s="440" t="s">
        <v>2258</v>
      </c>
      <c r="I336" s="439">
        <v>46115</v>
      </c>
      <c r="J336" s="445"/>
      <c r="K336" s="440" t="s">
        <v>2003</v>
      </c>
    </row>
    <row r="337" spans="1:11" ht="45" x14ac:dyDescent="0.25">
      <c r="A337" s="439">
        <v>46108</v>
      </c>
      <c r="B337" s="440" t="s">
        <v>1854</v>
      </c>
      <c r="C337" s="441" t="s">
        <v>943</v>
      </c>
      <c r="D337" s="440" t="s">
        <v>2029</v>
      </c>
      <c r="E337" s="440" t="s">
        <v>1669</v>
      </c>
      <c r="F337" s="440" t="s">
        <v>2259</v>
      </c>
      <c r="G337" s="440" t="s">
        <v>2260</v>
      </c>
      <c r="H337" s="440" t="s">
        <v>2261</v>
      </c>
      <c r="I337" s="439">
        <v>46115</v>
      </c>
      <c r="J337" s="445"/>
      <c r="K337" s="440" t="s">
        <v>2003</v>
      </c>
    </row>
    <row r="338" spans="1:11" ht="30" x14ac:dyDescent="0.25">
      <c r="A338" s="439">
        <v>46108</v>
      </c>
      <c r="B338" s="440" t="s">
        <v>1854</v>
      </c>
      <c r="C338" s="441" t="s">
        <v>943</v>
      </c>
      <c r="D338" s="440" t="s">
        <v>2029</v>
      </c>
      <c r="E338" s="440" t="s">
        <v>1669</v>
      </c>
      <c r="F338" s="440" t="s">
        <v>2262</v>
      </c>
      <c r="G338" s="440" t="s">
        <v>2263</v>
      </c>
      <c r="H338" s="440" t="s">
        <v>2261</v>
      </c>
      <c r="I338" s="439">
        <v>46115</v>
      </c>
      <c r="J338" s="445"/>
      <c r="K338" s="440" t="s">
        <v>2004</v>
      </c>
    </row>
    <row r="339" spans="1:11" ht="30" x14ac:dyDescent="0.25">
      <c r="A339" s="439">
        <v>46114</v>
      </c>
      <c r="B339" s="440" t="s">
        <v>54</v>
      </c>
      <c r="C339" s="441" t="s">
        <v>1836</v>
      </c>
      <c r="D339" s="440" t="s">
        <v>2264</v>
      </c>
      <c r="E339" s="440" t="s">
        <v>1752</v>
      </c>
      <c r="F339" s="440" t="s">
        <v>2265</v>
      </c>
      <c r="G339" s="440" t="s">
        <v>2266</v>
      </c>
      <c r="H339" s="440" t="s">
        <v>1667</v>
      </c>
      <c r="I339" s="439">
        <v>46142</v>
      </c>
      <c r="J339" s="445"/>
      <c r="K339" s="440" t="s">
        <v>1662</v>
      </c>
    </row>
    <row r="340" spans="1:11" ht="30" x14ac:dyDescent="0.25">
      <c r="A340" s="439">
        <v>46114</v>
      </c>
      <c r="B340" s="440" t="s">
        <v>54</v>
      </c>
      <c r="C340" s="441" t="s">
        <v>1836</v>
      </c>
      <c r="D340" s="440" t="s">
        <v>2264</v>
      </c>
      <c r="E340" s="440" t="s">
        <v>1752</v>
      </c>
      <c r="F340" s="440" t="s">
        <v>2267</v>
      </c>
      <c r="G340" s="440" t="s">
        <v>2268</v>
      </c>
      <c r="H340" s="440" t="s">
        <v>1667</v>
      </c>
      <c r="I340" s="439">
        <v>46142</v>
      </c>
      <c r="J340" s="445"/>
      <c r="K340" s="440" t="s">
        <v>2004</v>
      </c>
    </row>
    <row r="341" spans="1:11" ht="30" x14ac:dyDescent="0.25">
      <c r="A341" s="439">
        <v>46114</v>
      </c>
      <c r="B341" s="440" t="s">
        <v>54</v>
      </c>
      <c r="C341" s="441" t="s">
        <v>1836</v>
      </c>
      <c r="D341" s="440" t="s">
        <v>2264</v>
      </c>
      <c r="E341" s="440" t="s">
        <v>1752</v>
      </c>
      <c r="F341" s="440" t="s">
        <v>2269</v>
      </c>
      <c r="G341" s="440" t="s">
        <v>2270</v>
      </c>
      <c r="H341" s="440" t="s">
        <v>1667</v>
      </c>
      <c r="I341" s="439">
        <v>46172</v>
      </c>
      <c r="J341" s="445"/>
      <c r="K341" s="440" t="s">
        <v>2004</v>
      </c>
    </row>
    <row r="342" spans="1:11" ht="60" x14ac:dyDescent="0.25">
      <c r="A342" s="439">
        <v>46114</v>
      </c>
      <c r="B342" s="440" t="s">
        <v>54</v>
      </c>
      <c r="C342" s="441" t="s">
        <v>1836</v>
      </c>
      <c r="D342" s="440" t="s">
        <v>2264</v>
      </c>
      <c r="E342" s="440" t="s">
        <v>1752</v>
      </c>
      <c r="F342" s="440" t="s">
        <v>2271</v>
      </c>
      <c r="G342" s="440" t="s">
        <v>2272</v>
      </c>
      <c r="H342" s="440" t="s">
        <v>1667</v>
      </c>
      <c r="I342" s="439">
        <v>46172</v>
      </c>
      <c r="J342" s="445"/>
      <c r="K342" s="440" t="s">
        <v>2004</v>
      </c>
    </row>
    <row r="343" spans="1:11" ht="30" x14ac:dyDescent="0.25">
      <c r="A343" s="439">
        <v>46114</v>
      </c>
      <c r="B343" s="440" t="s">
        <v>54</v>
      </c>
      <c r="C343" s="441" t="s">
        <v>1836</v>
      </c>
      <c r="D343" s="440" t="s">
        <v>2264</v>
      </c>
      <c r="E343" s="440" t="s">
        <v>1752</v>
      </c>
      <c r="F343" s="440" t="s">
        <v>2273</v>
      </c>
      <c r="G343" s="440" t="s">
        <v>2274</v>
      </c>
      <c r="H343" s="440" t="s">
        <v>2243</v>
      </c>
      <c r="I343" s="439">
        <v>46142</v>
      </c>
      <c r="J343" s="445"/>
      <c r="K343" s="440" t="s">
        <v>2004</v>
      </c>
    </row>
    <row r="344" spans="1:11" ht="45" x14ac:dyDescent="0.25">
      <c r="A344" s="439">
        <v>46115</v>
      </c>
      <c r="B344" s="440" t="s">
        <v>54</v>
      </c>
      <c r="C344" s="441" t="s">
        <v>104</v>
      </c>
      <c r="D344" s="440" t="s">
        <v>1848</v>
      </c>
      <c r="E344" s="440" t="s">
        <v>1669</v>
      </c>
      <c r="F344" s="440" t="s">
        <v>2275</v>
      </c>
      <c r="G344" s="440" t="s">
        <v>2276</v>
      </c>
      <c r="H344" s="440" t="s">
        <v>1667</v>
      </c>
      <c r="I344" s="439">
        <v>46145</v>
      </c>
      <c r="J344" s="445"/>
      <c r="K344" s="440" t="s">
        <v>2004</v>
      </c>
    </row>
    <row r="345" spans="1:11" x14ac:dyDescent="0.25">
      <c r="A345" s="439">
        <v>46120</v>
      </c>
      <c r="B345" s="440" t="s">
        <v>1657</v>
      </c>
      <c r="C345" s="441" t="s">
        <v>2171</v>
      </c>
      <c r="D345" s="440" t="s">
        <v>2026</v>
      </c>
      <c r="E345" s="440" t="s">
        <v>1757</v>
      </c>
      <c r="F345" s="440" t="s">
        <v>2277</v>
      </c>
      <c r="G345" s="440" t="s">
        <v>2278</v>
      </c>
      <c r="H345" s="440" t="s">
        <v>1938</v>
      </c>
      <c r="I345" s="439">
        <v>46387</v>
      </c>
      <c r="J345" s="445"/>
      <c r="K345" s="440" t="s">
        <v>2004</v>
      </c>
    </row>
    <row r="346" spans="1:11" x14ac:dyDescent="0.25">
      <c r="A346" s="439">
        <v>46115</v>
      </c>
      <c r="B346" s="440" t="s">
        <v>109</v>
      </c>
      <c r="C346" s="441" t="s">
        <v>108</v>
      </c>
      <c r="D346" s="440" t="s">
        <v>1848</v>
      </c>
      <c r="E346" s="440" t="s">
        <v>1669</v>
      </c>
      <c r="F346" s="440" t="s">
        <v>2279</v>
      </c>
      <c r="G346" s="440" t="s">
        <v>2280</v>
      </c>
      <c r="H346" s="440" t="s">
        <v>1667</v>
      </c>
      <c r="I346" s="439">
        <v>46387</v>
      </c>
      <c r="J346" s="445"/>
      <c r="K346" s="440" t="s">
        <v>2004</v>
      </c>
    </row>
    <row r="347" spans="1:11" ht="30" x14ac:dyDescent="0.25">
      <c r="A347" s="439">
        <v>46115</v>
      </c>
      <c r="B347" s="440" t="s">
        <v>109</v>
      </c>
      <c r="C347" s="441" t="s">
        <v>108</v>
      </c>
      <c r="D347" s="440" t="s">
        <v>1848</v>
      </c>
      <c r="E347" s="440" t="s">
        <v>1669</v>
      </c>
      <c r="F347" s="440" t="s">
        <v>2281</v>
      </c>
      <c r="G347" s="440" t="s">
        <v>2282</v>
      </c>
      <c r="H347" s="440" t="s">
        <v>1667</v>
      </c>
      <c r="I347" s="439">
        <v>46387</v>
      </c>
      <c r="J347" s="445"/>
      <c r="K347" s="440" t="s">
        <v>2004</v>
      </c>
    </row>
    <row r="348" spans="1:11" ht="30" x14ac:dyDescent="0.25">
      <c r="A348" s="439">
        <v>46115</v>
      </c>
      <c r="B348" s="440" t="s">
        <v>109</v>
      </c>
      <c r="C348" s="441" t="s">
        <v>108</v>
      </c>
      <c r="D348" s="440" t="s">
        <v>1848</v>
      </c>
      <c r="E348" s="440" t="s">
        <v>1669</v>
      </c>
      <c r="F348" s="440" t="s">
        <v>2283</v>
      </c>
      <c r="G348" s="440" t="s">
        <v>2284</v>
      </c>
      <c r="H348" s="440" t="s">
        <v>1667</v>
      </c>
      <c r="I348" s="439">
        <v>46157</v>
      </c>
      <c r="J348" s="445"/>
      <c r="K348" s="440" t="s">
        <v>2004</v>
      </c>
    </row>
    <row r="349" spans="1:11" x14ac:dyDescent="0.25">
      <c r="A349" s="439">
        <v>46115</v>
      </c>
      <c r="B349" s="440" t="s">
        <v>109</v>
      </c>
      <c r="C349" s="441" t="s">
        <v>108</v>
      </c>
      <c r="D349" s="440" t="s">
        <v>1848</v>
      </c>
      <c r="E349" s="440" t="s">
        <v>1669</v>
      </c>
      <c r="F349" s="440" t="s">
        <v>2285</v>
      </c>
      <c r="G349" s="440" t="s">
        <v>2286</v>
      </c>
      <c r="H349" s="440" t="s">
        <v>1667</v>
      </c>
      <c r="I349" s="439">
        <v>46157</v>
      </c>
      <c r="J349" s="445"/>
      <c r="K349" s="440" t="s">
        <v>2004</v>
      </c>
    </row>
    <row r="350" spans="1:11" x14ac:dyDescent="0.25">
      <c r="A350" s="439">
        <v>46115</v>
      </c>
      <c r="B350" s="440" t="s">
        <v>109</v>
      </c>
      <c r="C350" s="441" t="s">
        <v>108</v>
      </c>
      <c r="D350" s="440" t="s">
        <v>1848</v>
      </c>
      <c r="E350" s="440" t="s">
        <v>1669</v>
      </c>
      <c r="F350" s="440" t="s">
        <v>2287</v>
      </c>
      <c r="G350" s="440" t="s">
        <v>2288</v>
      </c>
      <c r="H350" s="440" t="s">
        <v>2032</v>
      </c>
      <c r="I350" s="439">
        <v>46157</v>
      </c>
      <c r="J350" s="445"/>
      <c r="K350" s="440" t="s">
        <v>2004</v>
      </c>
    </row>
    <row r="351" spans="1:11" x14ac:dyDescent="0.25">
      <c r="A351" s="439">
        <v>46114</v>
      </c>
      <c r="B351" s="440" t="s">
        <v>54</v>
      </c>
      <c r="C351" s="441" t="s">
        <v>104</v>
      </c>
      <c r="D351" s="440" t="s">
        <v>1848</v>
      </c>
      <c r="E351" s="440" t="s">
        <v>1669</v>
      </c>
      <c r="F351" s="440" t="s">
        <v>2289</v>
      </c>
      <c r="G351" s="440" t="s">
        <v>2290</v>
      </c>
      <c r="H351" s="440" t="s">
        <v>2058</v>
      </c>
      <c r="I351" s="439">
        <v>46387</v>
      </c>
      <c r="J351" s="445"/>
      <c r="K351" s="440" t="s">
        <v>2004</v>
      </c>
    </row>
    <row r="352" spans="1:11" ht="30" x14ac:dyDescent="0.25">
      <c r="A352" s="439">
        <v>46114</v>
      </c>
      <c r="B352" s="440" t="s">
        <v>54</v>
      </c>
      <c r="C352" s="441" t="s">
        <v>104</v>
      </c>
      <c r="D352" s="440" t="s">
        <v>1848</v>
      </c>
      <c r="E352" s="440" t="s">
        <v>1669</v>
      </c>
      <c r="F352" s="440" t="s">
        <v>2291</v>
      </c>
      <c r="G352" s="440" t="s">
        <v>2292</v>
      </c>
      <c r="H352" s="440" t="s">
        <v>2293</v>
      </c>
      <c r="I352" s="439">
        <v>46140</v>
      </c>
      <c r="J352" s="445"/>
      <c r="K352" s="440" t="s">
        <v>2004</v>
      </c>
    </row>
    <row r="353" spans="1:11" ht="30.75" thickBot="1" x14ac:dyDescent="0.3">
      <c r="A353" s="439">
        <v>46114</v>
      </c>
      <c r="B353" s="440" t="s">
        <v>54</v>
      </c>
      <c r="C353" s="441" t="s">
        <v>104</v>
      </c>
      <c r="D353" s="440" t="s">
        <v>1848</v>
      </c>
      <c r="E353" s="440" t="s">
        <v>1669</v>
      </c>
      <c r="F353" s="440" t="s">
        <v>2294</v>
      </c>
      <c r="G353" s="440" t="s">
        <v>2295</v>
      </c>
      <c r="H353" s="440" t="s">
        <v>1667</v>
      </c>
      <c r="I353" s="439">
        <v>46140</v>
      </c>
      <c r="J353" s="445"/>
      <c r="K353" s="440" t="s">
        <v>2004</v>
      </c>
    </row>
    <row r="354" spans="1:11" ht="27.75" thickBot="1" x14ac:dyDescent="0.3">
      <c r="A354" s="439">
        <v>46114</v>
      </c>
      <c r="B354" s="440" t="s">
        <v>94</v>
      </c>
      <c r="C354" s="441" t="s">
        <v>93</v>
      </c>
      <c r="D354" s="440" t="s">
        <v>1848</v>
      </c>
      <c r="E354" s="440" t="s">
        <v>1669</v>
      </c>
      <c r="F354" s="475" t="s">
        <v>2296</v>
      </c>
      <c r="G354" s="474" t="s">
        <v>2297</v>
      </c>
      <c r="H354" s="457" t="s">
        <v>2298</v>
      </c>
      <c r="I354" s="439">
        <v>46387</v>
      </c>
      <c r="J354" s="445"/>
      <c r="K354" s="440" t="s">
        <v>2004</v>
      </c>
    </row>
    <row r="355" spans="1:11" x14ac:dyDescent="0.25">
      <c r="A355" s="439">
        <v>46114</v>
      </c>
      <c r="B355" s="440" t="s">
        <v>94</v>
      </c>
      <c r="C355" s="441" t="s">
        <v>93</v>
      </c>
      <c r="D355" s="440" t="s">
        <v>1848</v>
      </c>
      <c r="E355" s="440" t="s">
        <v>1669</v>
      </c>
      <c r="F355" s="440" t="s">
        <v>2299</v>
      </c>
      <c r="G355" s="440" t="s">
        <v>2300</v>
      </c>
      <c r="H355" s="440" t="s">
        <v>1750</v>
      </c>
      <c r="I355" s="439">
        <v>46142</v>
      </c>
      <c r="J355" s="445"/>
      <c r="K355" s="440" t="s">
        <v>2003</v>
      </c>
    </row>
    <row r="356" spans="1:11" ht="30" x14ac:dyDescent="0.25">
      <c r="A356" s="439">
        <v>46114</v>
      </c>
      <c r="B356" s="440" t="s">
        <v>94</v>
      </c>
      <c r="C356" s="441" t="s">
        <v>93</v>
      </c>
      <c r="D356" s="440" t="s">
        <v>1848</v>
      </c>
      <c r="E356" s="440" t="s">
        <v>1669</v>
      </c>
      <c r="F356" s="440" t="s">
        <v>2301</v>
      </c>
      <c r="G356" s="314" t="s">
        <v>2302</v>
      </c>
      <c r="H356" s="440" t="s">
        <v>2303</v>
      </c>
      <c r="I356" s="439">
        <v>46142</v>
      </c>
      <c r="J356" s="445"/>
      <c r="K356" s="440" t="s">
        <v>2004</v>
      </c>
    </row>
    <row r="357" spans="1:11" ht="30" x14ac:dyDescent="0.25">
      <c r="A357" s="439">
        <v>46114</v>
      </c>
      <c r="B357" s="440" t="s">
        <v>94</v>
      </c>
      <c r="C357" s="441" t="s">
        <v>93</v>
      </c>
      <c r="D357" s="440" t="s">
        <v>1848</v>
      </c>
      <c r="E357" s="440" t="s">
        <v>1669</v>
      </c>
      <c r="F357" s="440" t="s">
        <v>2304</v>
      </c>
      <c r="G357" s="440" t="s">
        <v>2305</v>
      </c>
      <c r="H357" s="440" t="s">
        <v>2303</v>
      </c>
      <c r="I357" s="439">
        <v>46142</v>
      </c>
      <c r="J357" s="445"/>
      <c r="K357" s="440" t="s">
        <v>2004</v>
      </c>
    </row>
    <row r="358" spans="1:11" x14ac:dyDescent="0.25">
      <c r="A358" s="439">
        <v>46114</v>
      </c>
      <c r="B358" s="440" t="s">
        <v>94</v>
      </c>
      <c r="C358" s="441" t="s">
        <v>93</v>
      </c>
      <c r="D358" s="440" t="s">
        <v>1848</v>
      </c>
      <c r="E358" s="440" t="s">
        <v>1669</v>
      </c>
      <c r="F358" s="314" t="s">
        <v>2306</v>
      </c>
      <c r="G358" s="440" t="s">
        <v>2307</v>
      </c>
      <c r="H358" s="440" t="s">
        <v>1750</v>
      </c>
      <c r="I358" s="439">
        <v>46173</v>
      </c>
      <c r="J358" s="445"/>
      <c r="K358" s="440" t="s">
        <v>2003</v>
      </c>
    </row>
    <row r="359" spans="1:11" x14ac:dyDescent="0.25">
      <c r="A359" s="439">
        <v>46113</v>
      </c>
      <c r="B359" s="440" t="s">
        <v>100</v>
      </c>
      <c r="C359" s="441" t="s">
        <v>99</v>
      </c>
      <c r="D359" s="440" t="s">
        <v>1848</v>
      </c>
      <c r="E359" s="440" t="s">
        <v>1669</v>
      </c>
      <c r="F359" s="440" t="s">
        <v>2308</v>
      </c>
      <c r="G359" s="440" t="s">
        <v>2309</v>
      </c>
      <c r="H359" s="440" t="s">
        <v>2310</v>
      </c>
      <c r="I359" s="439">
        <v>46142</v>
      </c>
      <c r="J359" s="445"/>
      <c r="K359" s="440" t="s">
        <v>2145</v>
      </c>
    </row>
    <row r="360" spans="1:11" x14ac:dyDescent="0.25">
      <c r="A360" s="439">
        <v>46113</v>
      </c>
      <c r="B360" s="440" t="s">
        <v>100</v>
      </c>
      <c r="C360" s="441" t="s">
        <v>99</v>
      </c>
      <c r="D360" s="440" t="s">
        <v>1848</v>
      </c>
      <c r="E360" s="440" t="s">
        <v>1669</v>
      </c>
      <c r="F360" s="440" t="s">
        <v>2308</v>
      </c>
      <c r="G360" s="440" t="s">
        <v>2311</v>
      </c>
      <c r="H360" s="440" t="s">
        <v>1750</v>
      </c>
      <c r="I360" s="439">
        <v>46234</v>
      </c>
      <c r="J360" s="445"/>
      <c r="K360" s="440" t="s">
        <v>2004</v>
      </c>
    </row>
    <row r="361" spans="1:11" ht="30" x14ac:dyDescent="0.25">
      <c r="A361" s="439">
        <v>46113</v>
      </c>
      <c r="B361" s="440" t="s">
        <v>100</v>
      </c>
      <c r="C361" s="441" t="s">
        <v>99</v>
      </c>
      <c r="D361" s="440" t="s">
        <v>1848</v>
      </c>
      <c r="E361" s="440" t="s">
        <v>1669</v>
      </c>
      <c r="F361" s="440" t="s">
        <v>2312</v>
      </c>
      <c r="G361" s="440" t="s">
        <v>2313</v>
      </c>
      <c r="H361" s="440" t="s">
        <v>2249</v>
      </c>
      <c r="I361" s="439">
        <v>46203</v>
      </c>
      <c r="J361" s="445"/>
      <c r="K361" s="440" t="s">
        <v>2004</v>
      </c>
    </row>
    <row r="362" spans="1:11" ht="30" x14ac:dyDescent="0.25">
      <c r="A362" s="439">
        <v>46129</v>
      </c>
      <c r="B362" s="440" t="s">
        <v>1886</v>
      </c>
      <c r="C362" s="441" t="s">
        <v>305</v>
      </c>
      <c r="D362" s="440" t="s">
        <v>1668</v>
      </c>
      <c r="E362" s="440" t="s">
        <v>1757</v>
      </c>
      <c r="F362" s="440" t="s">
        <v>2314</v>
      </c>
      <c r="G362" s="440" t="s">
        <v>2315</v>
      </c>
      <c r="H362" s="440" t="s">
        <v>2316</v>
      </c>
      <c r="I362" s="439">
        <v>46203</v>
      </c>
      <c r="J362" s="445"/>
      <c r="K362" s="440" t="s">
        <v>2004</v>
      </c>
    </row>
    <row r="363" spans="1:11" ht="45" x14ac:dyDescent="0.25">
      <c r="A363" s="439">
        <v>46129</v>
      </c>
      <c r="B363" s="440" t="s">
        <v>1886</v>
      </c>
      <c r="C363" s="441" t="s">
        <v>305</v>
      </c>
      <c r="D363" s="440" t="s">
        <v>1668</v>
      </c>
      <c r="E363" s="440" t="s">
        <v>1669</v>
      </c>
      <c r="F363" s="440" t="s">
        <v>2317</v>
      </c>
      <c r="G363" s="440" t="s">
        <v>2318</v>
      </c>
      <c r="H363" s="440" t="s">
        <v>2191</v>
      </c>
      <c r="I363" s="439">
        <v>46193</v>
      </c>
      <c r="J363" s="445"/>
      <c r="K363" s="440" t="s">
        <v>2004</v>
      </c>
    </row>
    <row r="364" spans="1:11" ht="30" x14ac:dyDescent="0.25">
      <c r="A364" s="439">
        <v>46129</v>
      </c>
      <c r="B364" s="440" t="s">
        <v>1886</v>
      </c>
      <c r="C364" s="441" t="s">
        <v>305</v>
      </c>
      <c r="D364" s="440" t="s">
        <v>1668</v>
      </c>
      <c r="E364" s="440" t="s">
        <v>1665</v>
      </c>
      <c r="F364" s="440" t="s">
        <v>2319</v>
      </c>
      <c r="G364" s="440" t="s">
        <v>2320</v>
      </c>
      <c r="H364" s="440" t="s">
        <v>1750</v>
      </c>
      <c r="I364" s="439">
        <v>46178</v>
      </c>
      <c r="J364" s="445"/>
      <c r="K364" s="440" t="s">
        <v>2004</v>
      </c>
    </row>
    <row r="365" spans="1:11" x14ac:dyDescent="0.25">
      <c r="A365" s="439">
        <v>46129</v>
      </c>
      <c r="B365" s="440" t="s">
        <v>1886</v>
      </c>
      <c r="C365" s="441" t="s">
        <v>305</v>
      </c>
      <c r="D365" s="440" t="s">
        <v>1668</v>
      </c>
      <c r="E365" s="440" t="s">
        <v>1665</v>
      </c>
      <c r="F365" s="440" t="s">
        <v>2321</v>
      </c>
      <c r="G365" s="440" t="s">
        <v>2322</v>
      </c>
      <c r="H365" s="440" t="s">
        <v>1667</v>
      </c>
      <c r="I365" s="439">
        <v>46178</v>
      </c>
      <c r="J365" s="445"/>
      <c r="K365" s="440" t="s">
        <v>2323</v>
      </c>
    </row>
    <row r="366" spans="1:11" ht="30" x14ac:dyDescent="0.25">
      <c r="A366" s="439">
        <v>46129</v>
      </c>
      <c r="B366" s="440" t="s">
        <v>1886</v>
      </c>
      <c r="C366" s="441" t="s">
        <v>305</v>
      </c>
      <c r="D366" s="440" t="s">
        <v>1668</v>
      </c>
      <c r="E366" s="440" t="s">
        <v>1669</v>
      </c>
      <c r="F366" s="440" t="s">
        <v>2324</v>
      </c>
      <c r="G366" s="440" t="s">
        <v>2325</v>
      </c>
      <c r="H366" s="440" t="s">
        <v>1667</v>
      </c>
      <c r="I366" s="439">
        <v>46178</v>
      </c>
      <c r="J366" s="445"/>
      <c r="K366" s="440" t="s">
        <v>2004</v>
      </c>
    </row>
    <row r="367" spans="1:11" x14ac:dyDescent="0.25">
      <c r="A367" s="439">
        <v>46129</v>
      </c>
      <c r="B367" s="440" t="s">
        <v>1886</v>
      </c>
      <c r="C367" s="441" t="s">
        <v>305</v>
      </c>
      <c r="D367" s="440" t="s">
        <v>1668</v>
      </c>
      <c r="E367" s="440" t="s">
        <v>1757</v>
      </c>
      <c r="F367" s="440" t="s">
        <v>2326</v>
      </c>
      <c r="G367" s="440" t="s">
        <v>2327</v>
      </c>
      <c r="H367" s="440" t="s">
        <v>1938</v>
      </c>
      <c r="I367" s="439">
        <v>46178</v>
      </c>
      <c r="J367" s="445"/>
      <c r="K367" s="440" t="s">
        <v>2004</v>
      </c>
    </row>
    <row r="368" spans="1:11" ht="30" customHeight="1" x14ac:dyDescent="0.25">
      <c r="A368" s="439">
        <v>46129</v>
      </c>
      <c r="B368" s="440" t="s">
        <v>1886</v>
      </c>
      <c r="C368" s="441" t="s">
        <v>305</v>
      </c>
      <c r="D368" s="440" t="s">
        <v>1668</v>
      </c>
      <c r="E368" s="440" t="s">
        <v>1669</v>
      </c>
      <c r="F368" s="440" t="s">
        <v>2328</v>
      </c>
      <c r="G368" s="440" t="s">
        <v>391</v>
      </c>
      <c r="H368" s="452" t="s">
        <v>1667</v>
      </c>
      <c r="I368" s="452">
        <v>46178</v>
      </c>
      <c r="J368" s="445"/>
      <c r="K368" s="440" t="s">
        <v>2004</v>
      </c>
    </row>
    <row r="369" spans="1:11" x14ac:dyDescent="0.25">
      <c r="A369" s="439">
        <v>46129</v>
      </c>
      <c r="B369" s="440" t="s">
        <v>1886</v>
      </c>
      <c r="C369" s="441" t="s">
        <v>305</v>
      </c>
      <c r="D369" s="440" t="s">
        <v>1668</v>
      </c>
      <c r="E369" s="440" t="s">
        <v>1669</v>
      </c>
      <c r="F369" s="440" t="s">
        <v>2329</v>
      </c>
      <c r="G369" s="440" t="s">
        <v>395</v>
      </c>
      <c r="H369" s="26" t="s">
        <v>2330</v>
      </c>
      <c r="I369" s="452">
        <v>46112</v>
      </c>
      <c r="J369" s="445"/>
      <c r="K369" s="440" t="s">
        <v>2004</v>
      </c>
    </row>
    <row r="370" spans="1:11" ht="30" x14ac:dyDescent="0.25">
      <c r="A370" s="439">
        <v>46129</v>
      </c>
      <c r="B370" s="440" t="s">
        <v>1886</v>
      </c>
      <c r="C370" s="441" t="s">
        <v>305</v>
      </c>
      <c r="D370" s="440" t="s">
        <v>1668</v>
      </c>
      <c r="E370" s="440" t="s">
        <v>1669</v>
      </c>
      <c r="F370" s="440" t="s">
        <v>2331</v>
      </c>
      <c r="G370" s="440" t="s">
        <v>401</v>
      </c>
      <c r="H370" s="452" t="s">
        <v>1667</v>
      </c>
      <c r="I370" s="452">
        <v>46178</v>
      </c>
      <c r="J370" s="445"/>
      <c r="K370" s="440" t="s">
        <v>2004</v>
      </c>
    </row>
    <row r="371" spans="1:11" ht="45" x14ac:dyDescent="0.25">
      <c r="A371" s="439">
        <v>46129</v>
      </c>
      <c r="B371" s="440" t="s">
        <v>1886</v>
      </c>
      <c r="C371" s="441" t="s">
        <v>305</v>
      </c>
      <c r="D371" s="440" t="s">
        <v>1668</v>
      </c>
      <c r="E371" s="440" t="s">
        <v>1669</v>
      </c>
      <c r="F371" s="440" t="s">
        <v>403</v>
      </c>
      <c r="G371" s="440" t="s">
        <v>404</v>
      </c>
      <c r="H371" s="26" t="s">
        <v>2135</v>
      </c>
      <c r="I371" s="452">
        <v>46129</v>
      </c>
      <c r="J371" s="445"/>
      <c r="K371" s="440" t="s">
        <v>2004</v>
      </c>
    </row>
    <row r="372" spans="1:11" ht="30" x14ac:dyDescent="0.25">
      <c r="A372" s="439">
        <v>46129</v>
      </c>
      <c r="B372" s="440" t="s">
        <v>1886</v>
      </c>
      <c r="C372" s="441" t="s">
        <v>305</v>
      </c>
      <c r="D372" s="440" t="s">
        <v>1668</v>
      </c>
      <c r="E372" s="440" t="s">
        <v>1669</v>
      </c>
      <c r="F372" s="440" t="s">
        <v>2332</v>
      </c>
      <c r="G372" s="440" t="s">
        <v>2333</v>
      </c>
      <c r="H372" s="452" t="s">
        <v>1667</v>
      </c>
      <c r="I372" s="452">
        <v>46160</v>
      </c>
      <c r="J372" s="445"/>
      <c r="K372" s="440" t="s">
        <v>2004</v>
      </c>
    </row>
    <row r="373" spans="1:11" ht="30" x14ac:dyDescent="0.25">
      <c r="A373" s="439">
        <v>46129</v>
      </c>
      <c r="B373" s="440" t="s">
        <v>1886</v>
      </c>
      <c r="C373" s="441" t="s">
        <v>305</v>
      </c>
      <c r="D373" s="440" t="s">
        <v>1668</v>
      </c>
      <c r="E373" s="440" t="s">
        <v>1757</v>
      </c>
      <c r="F373" s="440" t="s">
        <v>2334</v>
      </c>
      <c r="G373" s="440" t="s">
        <v>412</v>
      </c>
      <c r="H373" s="452" t="s">
        <v>1938</v>
      </c>
      <c r="I373" s="452">
        <v>46129</v>
      </c>
      <c r="J373" s="445"/>
      <c r="K373" s="440" t="s">
        <v>2004</v>
      </c>
    </row>
    <row r="374" spans="1:11" ht="45" x14ac:dyDescent="0.25">
      <c r="A374" s="439">
        <v>46129</v>
      </c>
      <c r="B374" s="440" t="s">
        <v>1886</v>
      </c>
      <c r="C374" s="441" t="s">
        <v>305</v>
      </c>
      <c r="D374" s="440" t="s">
        <v>1668</v>
      </c>
      <c r="E374" s="440" t="s">
        <v>1669</v>
      </c>
      <c r="F374" s="440" t="s">
        <v>2335</v>
      </c>
      <c r="G374" s="440" t="s">
        <v>2336</v>
      </c>
      <c r="H374" s="452" t="s">
        <v>2249</v>
      </c>
      <c r="I374" s="452">
        <v>46129</v>
      </c>
      <c r="J374" s="445"/>
      <c r="K374" s="440" t="s">
        <v>2004</v>
      </c>
    </row>
    <row r="375" spans="1:11" ht="30" x14ac:dyDescent="0.25">
      <c r="A375" s="439">
        <v>46129</v>
      </c>
      <c r="B375" s="440" t="s">
        <v>1886</v>
      </c>
      <c r="C375" s="441" t="s">
        <v>305</v>
      </c>
      <c r="D375" s="440" t="s">
        <v>1668</v>
      </c>
      <c r="E375" s="440" t="s">
        <v>1669</v>
      </c>
      <c r="F375" s="440" t="s">
        <v>2337</v>
      </c>
      <c r="G375" s="440" t="s">
        <v>421</v>
      </c>
      <c r="H375" s="26" t="s">
        <v>2249</v>
      </c>
      <c r="I375" s="24">
        <v>46142</v>
      </c>
      <c r="J375" s="445"/>
      <c r="K375" s="440" t="s">
        <v>2004</v>
      </c>
    </row>
    <row r="376" spans="1:11" ht="30" x14ac:dyDescent="0.25">
      <c r="A376" s="439">
        <v>46129</v>
      </c>
      <c r="B376" s="440" t="s">
        <v>1886</v>
      </c>
      <c r="C376" s="441" t="s">
        <v>305</v>
      </c>
      <c r="D376" s="440" t="s">
        <v>1668</v>
      </c>
      <c r="E376" s="440" t="s">
        <v>1669</v>
      </c>
      <c r="F376" s="440" t="s">
        <v>423</v>
      </c>
      <c r="G376" s="440" t="s">
        <v>424</v>
      </c>
      <c r="H376" s="26" t="s">
        <v>2338</v>
      </c>
      <c r="I376" s="24">
        <v>46178</v>
      </c>
      <c r="J376" s="445"/>
      <c r="K376" s="440" t="s">
        <v>2004</v>
      </c>
    </row>
    <row r="377" spans="1:11" ht="30" x14ac:dyDescent="0.25">
      <c r="A377" s="439">
        <v>46129</v>
      </c>
      <c r="B377" s="440" t="s">
        <v>1886</v>
      </c>
      <c r="C377" s="441" t="s">
        <v>305</v>
      </c>
      <c r="D377" s="440" t="s">
        <v>1668</v>
      </c>
      <c r="E377" s="440" t="s">
        <v>1669</v>
      </c>
      <c r="F377" s="440" t="s">
        <v>2339</v>
      </c>
      <c r="G377" s="440" t="s">
        <v>2340</v>
      </c>
      <c r="H377" s="26" t="s">
        <v>1667</v>
      </c>
      <c r="I377" s="24">
        <v>46178</v>
      </c>
      <c r="J377" s="445"/>
      <c r="K377" s="440" t="s">
        <v>2004</v>
      </c>
    </row>
    <row r="378" spans="1:11" ht="30" x14ac:dyDescent="0.25">
      <c r="A378" s="439">
        <v>46160</v>
      </c>
      <c r="B378" s="440" t="s">
        <v>1657</v>
      </c>
      <c r="C378" s="441" t="s">
        <v>1657</v>
      </c>
      <c r="D378" s="440" t="s">
        <v>2011</v>
      </c>
      <c r="E378" s="440" t="s">
        <v>1669</v>
      </c>
      <c r="F378" s="440" t="s">
        <v>2396</v>
      </c>
      <c r="G378" s="440" t="s">
        <v>2397</v>
      </c>
      <c r="H378" s="440" t="s">
        <v>2016</v>
      </c>
      <c r="I378" s="439">
        <v>46387</v>
      </c>
      <c r="J378" s="445"/>
      <c r="K378" s="440" t="s">
        <v>1731</v>
      </c>
    </row>
    <row r="379" spans="1:11" x14ac:dyDescent="0.25">
      <c r="A379" s="439"/>
      <c r="B379" s="440"/>
      <c r="C379" s="441"/>
      <c r="D379" s="440"/>
      <c r="E379" s="440"/>
      <c r="F379" s="440"/>
      <c r="G379" s="440"/>
      <c r="H379" s="440"/>
      <c r="I379" s="439"/>
      <c r="J379" s="445"/>
      <c r="K379" s="440"/>
    </row>
    <row r="380" spans="1:11" x14ac:dyDescent="0.25">
      <c r="A380" s="439"/>
      <c r="B380" s="440"/>
      <c r="C380" s="441"/>
      <c r="D380" s="440"/>
      <c r="E380" s="440"/>
      <c r="F380" s="440"/>
      <c r="G380" s="440"/>
      <c r="H380" s="440"/>
      <c r="I380" s="439"/>
      <c r="J380" s="445"/>
      <c r="K380" s="440"/>
    </row>
    <row r="381" spans="1:11" x14ac:dyDescent="0.25">
      <c r="A381" s="439"/>
      <c r="B381" s="440"/>
      <c r="C381" s="441"/>
      <c r="D381" s="440"/>
      <c r="E381" s="440"/>
      <c r="F381" s="440"/>
      <c r="G381" s="440"/>
      <c r="H381" s="440"/>
      <c r="I381" s="439"/>
      <c r="J381" s="445"/>
      <c r="K381" s="440"/>
    </row>
    <row r="382" spans="1:11" x14ac:dyDescent="0.25">
      <c r="A382" s="439"/>
      <c r="B382" s="440"/>
      <c r="C382" s="441"/>
      <c r="D382" s="440"/>
      <c r="E382" s="440"/>
      <c r="F382" s="440"/>
      <c r="G382" s="440"/>
      <c r="H382" s="440"/>
      <c r="I382" s="439"/>
      <c r="J382" s="445"/>
      <c r="K382" s="440"/>
    </row>
    <row r="383" spans="1:11" x14ac:dyDescent="0.25">
      <c r="A383" s="439"/>
      <c r="B383" s="440"/>
      <c r="C383" s="441"/>
      <c r="D383" s="440"/>
      <c r="E383" s="440"/>
      <c r="F383" s="440"/>
      <c r="G383" s="440"/>
      <c r="H383" s="440"/>
      <c r="I383" s="439"/>
      <c r="J383" s="445"/>
      <c r="K383" s="440"/>
    </row>
    <row r="384" spans="1:11" x14ac:dyDescent="0.25">
      <c r="A384" s="439"/>
      <c r="B384" s="440"/>
      <c r="C384" s="441"/>
      <c r="D384" s="440"/>
      <c r="E384" s="440"/>
      <c r="F384" s="440"/>
      <c r="G384" s="440"/>
      <c r="H384" s="440"/>
      <c r="I384" s="439"/>
      <c r="J384" s="445"/>
      <c r="K384" s="440"/>
    </row>
    <row r="385" spans="1:11" x14ac:dyDescent="0.25">
      <c r="A385" s="439"/>
      <c r="B385" s="440"/>
      <c r="C385" s="441"/>
      <c r="D385" s="440"/>
      <c r="E385" s="440"/>
      <c r="F385" s="440"/>
      <c r="G385" s="440"/>
      <c r="H385" s="440"/>
      <c r="I385" s="439"/>
      <c r="J385" s="445"/>
      <c r="K385" s="440"/>
    </row>
    <row r="386" spans="1:11" x14ac:dyDescent="0.25">
      <c r="A386" s="439"/>
      <c r="B386" s="440"/>
      <c r="C386" s="441"/>
      <c r="D386" s="440"/>
      <c r="E386" s="440"/>
      <c r="F386" s="440"/>
      <c r="G386" s="440"/>
      <c r="H386" s="440"/>
      <c r="I386" s="439"/>
      <c r="J386" s="445"/>
      <c r="K386" s="440"/>
    </row>
    <row r="387" spans="1:11" x14ac:dyDescent="0.25">
      <c r="A387" s="439"/>
      <c r="B387" s="440"/>
      <c r="C387" s="441"/>
      <c r="D387" s="440"/>
      <c r="E387" s="440"/>
      <c r="F387" s="440"/>
      <c r="G387" s="440"/>
      <c r="H387" s="440"/>
      <c r="I387" s="439"/>
      <c r="J387" s="445"/>
      <c r="K387" s="440"/>
    </row>
    <row r="388" spans="1:11" x14ac:dyDescent="0.25">
      <c r="A388" s="439"/>
      <c r="B388" s="440"/>
      <c r="C388" s="441"/>
      <c r="D388" s="440"/>
      <c r="E388" s="440"/>
      <c r="F388" s="440"/>
      <c r="G388" s="440"/>
      <c r="H388" s="440"/>
      <c r="I388" s="439"/>
      <c r="J388" s="445"/>
      <c r="K388" s="440"/>
    </row>
    <row r="389" spans="1:11" x14ac:dyDescent="0.25">
      <c r="A389" s="439"/>
      <c r="B389" s="440"/>
      <c r="C389" s="441"/>
      <c r="D389" s="440"/>
      <c r="E389" s="440"/>
      <c r="F389" s="440"/>
      <c r="G389" s="440"/>
      <c r="H389" s="440"/>
      <c r="I389" s="439"/>
      <c r="J389" s="445"/>
      <c r="K389" s="440"/>
    </row>
    <row r="390" spans="1:11" x14ac:dyDescent="0.25">
      <c r="A390" s="439"/>
      <c r="B390" s="440"/>
      <c r="C390" s="441"/>
      <c r="D390" s="440"/>
      <c r="E390" s="440"/>
      <c r="F390" s="440"/>
      <c r="G390" s="440"/>
      <c r="H390" s="440"/>
      <c r="I390" s="439"/>
      <c r="J390" s="445"/>
      <c r="K390" s="440"/>
    </row>
    <row r="391" spans="1:11" x14ac:dyDescent="0.25">
      <c r="A391" s="439"/>
      <c r="B391" s="440"/>
      <c r="C391" s="441"/>
      <c r="D391" s="440"/>
      <c r="E391" s="440"/>
      <c r="F391" s="440"/>
      <c r="G391" s="440"/>
      <c r="H391" s="440"/>
      <c r="I391" s="439"/>
      <c r="J391" s="445"/>
      <c r="K391" s="440"/>
    </row>
    <row r="392" spans="1:11" x14ac:dyDescent="0.25">
      <c r="A392" s="439"/>
      <c r="B392" s="440"/>
      <c r="C392" s="441"/>
      <c r="D392" s="440"/>
      <c r="E392" s="440"/>
      <c r="F392" s="440"/>
      <c r="G392" s="440"/>
      <c r="H392" s="440"/>
      <c r="I392" s="439"/>
      <c r="J392" s="445"/>
      <c r="K392" s="440"/>
    </row>
    <row r="393" spans="1:11" x14ac:dyDescent="0.25">
      <c r="A393" s="439"/>
      <c r="B393" s="440"/>
      <c r="C393" s="441"/>
      <c r="D393" s="440"/>
      <c r="E393" s="440"/>
      <c r="F393" s="440"/>
      <c r="G393" s="440"/>
      <c r="H393" s="440"/>
      <c r="I393" s="439"/>
      <c r="J393" s="445"/>
      <c r="K393" s="440"/>
    </row>
    <row r="394" spans="1:11" x14ac:dyDescent="0.25">
      <c r="A394" s="439"/>
      <c r="B394" s="440"/>
      <c r="C394" s="441"/>
      <c r="D394" s="440"/>
      <c r="E394" s="440"/>
      <c r="F394" s="440"/>
      <c r="G394" s="440"/>
      <c r="H394" s="440"/>
      <c r="I394" s="439"/>
      <c r="J394" s="445"/>
      <c r="K394" s="440"/>
    </row>
    <row r="395" spans="1:11" x14ac:dyDescent="0.25">
      <c r="A395" s="439"/>
      <c r="B395" s="440"/>
      <c r="C395" s="441"/>
      <c r="D395" s="440"/>
      <c r="E395" s="440"/>
      <c r="F395" s="440"/>
      <c r="G395" s="440"/>
      <c r="H395" s="440"/>
      <c r="I395" s="439"/>
      <c r="J395" s="445"/>
      <c r="K395" s="440"/>
    </row>
    <row r="396" spans="1:11" x14ac:dyDescent="0.25">
      <c r="A396" s="439"/>
      <c r="B396" s="440"/>
      <c r="C396" s="441"/>
      <c r="D396" s="440"/>
      <c r="E396" s="440"/>
      <c r="F396" s="440"/>
      <c r="G396" s="440"/>
      <c r="H396" s="440"/>
      <c r="I396" s="439"/>
      <c r="J396" s="445"/>
      <c r="K396" s="440"/>
    </row>
    <row r="397" spans="1:11" x14ac:dyDescent="0.25">
      <c r="A397" s="439"/>
      <c r="B397" s="440"/>
      <c r="C397" s="441"/>
      <c r="D397" s="440"/>
      <c r="E397" s="440"/>
      <c r="F397" s="440"/>
      <c r="G397" s="440"/>
      <c r="H397" s="440"/>
      <c r="I397" s="439"/>
      <c r="J397" s="445"/>
      <c r="K397" s="440"/>
    </row>
    <row r="398" spans="1:11" x14ac:dyDescent="0.25">
      <c r="A398" s="439"/>
      <c r="B398" s="440"/>
      <c r="C398" s="441"/>
      <c r="D398" s="440"/>
      <c r="E398" s="440"/>
      <c r="F398" s="440"/>
      <c r="G398" s="440"/>
      <c r="H398" s="440"/>
      <c r="I398" s="439"/>
      <c r="J398" s="445"/>
      <c r="K398" s="440"/>
    </row>
    <row r="399" spans="1:11" x14ac:dyDescent="0.25">
      <c r="A399" s="439"/>
      <c r="B399" s="440"/>
      <c r="C399" s="441"/>
      <c r="D399" s="440"/>
      <c r="E399" s="440"/>
      <c r="F399" s="440"/>
      <c r="G399" s="440"/>
      <c r="H399" s="440"/>
      <c r="I399" s="439"/>
      <c r="J399" s="445"/>
      <c r="K399" s="440"/>
    </row>
    <row r="400" spans="1:11" x14ac:dyDescent="0.25">
      <c r="A400" s="439"/>
      <c r="B400" s="440"/>
      <c r="C400" s="441"/>
      <c r="D400" s="440"/>
      <c r="E400" s="440"/>
      <c r="F400" s="440"/>
      <c r="G400" s="440"/>
      <c r="H400" s="440"/>
      <c r="I400" s="439"/>
      <c r="J400" s="445"/>
      <c r="K400" s="440"/>
    </row>
    <row r="401" spans="1:11" x14ac:dyDescent="0.25">
      <c r="A401" s="439"/>
      <c r="B401" s="440"/>
      <c r="C401" s="441"/>
      <c r="D401" s="440"/>
      <c r="E401" s="440"/>
      <c r="F401" s="440"/>
      <c r="G401" s="440"/>
      <c r="H401" s="440"/>
      <c r="I401" s="439"/>
      <c r="J401" s="445"/>
      <c r="K401" s="440"/>
    </row>
    <row r="402" spans="1:11" x14ac:dyDescent="0.25">
      <c r="A402" s="439"/>
      <c r="B402" s="440"/>
      <c r="C402" s="441"/>
      <c r="D402" s="440"/>
      <c r="E402" s="440"/>
      <c r="F402" s="440"/>
      <c r="G402" s="440"/>
      <c r="H402" s="440"/>
      <c r="I402" s="439"/>
      <c r="J402" s="445"/>
      <c r="K402" s="440"/>
    </row>
    <row r="403" spans="1:11" x14ac:dyDescent="0.25">
      <c r="A403" s="439"/>
      <c r="B403" s="440"/>
      <c r="C403" s="441"/>
      <c r="D403" s="440"/>
      <c r="E403" s="440"/>
      <c r="F403" s="440"/>
      <c r="G403" s="440"/>
      <c r="H403" s="440"/>
      <c r="I403" s="439"/>
      <c r="J403" s="445"/>
      <c r="K403" s="440"/>
    </row>
    <row r="404" spans="1:11" x14ac:dyDescent="0.25">
      <c r="A404" s="439"/>
      <c r="B404" s="440"/>
      <c r="C404" s="441"/>
      <c r="D404" s="440"/>
      <c r="E404" s="440"/>
      <c r="F404" s="440"/>
      <c r="G404" s="440"/>
      <c r="H404" s="440"/>
      <c r="I404" s="439"/>
      <c r="J404" s="445"/>
      <c r="K404" s="440"/>
    </row>
    <row r="405" spans="1:11" x14ac:dyDescent="0.25">
      <c r="A405" s="439"/>
      <c r="B405" s="440"/>
      <c r="C405" s="441"/>
      <c r="D405" s="440"/>
      <c r="E405" s="440"/>
      <c r="F405" s="440"/>
      <c r="G405" s="440"/>
      <c r="H405" s="440"/>
      <c r="I405" s="439"/>
      <c r="J405" s="445"/>
      <c r="K405" s="440"/>
    </row>
    <row r="406" spans="1:11" x14ac:dyDescent="0.25">
      <c r="A406" s="439"/>
      <c r="B406" s="440"/>
      <c r="C406" s="441"/>
      <c r="D406" s="440"/>
      <c r="E406" s="440"/>
      <c r="F406" s="440"/>
      <c r="G406" s="440"/>
      <c r="H406" s="440"/>
      <c r="I406" s="439"/>
      <c r="J406" s="445"/>
      <c r="K406" s="440"/>
    </row>
    <row r="407" spans="1:11" x14ac:dyDescent="0.25">
      <c r="A407" s="439"/>
      <c r="B407" s="440"/>
      <c r="C407" s="441"/>
      <c r="D407" s="440"/>
      <c r="E407" s="440"/>
      <c r="F407" s="440"/>
      <c r="G407" s="440"/>
      <c r="H407" s="440"/>
      <c r="I407" s="439"/>
      <c r="J407" s="445"/>
      <c r="K407" s="440"/>
    </row>
    <row r="408" spans="1:11" x14ac:dyDescent="0.25">
      <c r="A408" s="439"/>
      <c r="B408" s="440"/>
      <c r="C408" s="441"/>
      <c r="D408" s="440"/>
      <c r="E408" s="440"/>
      <c r="F408" s="440"/>
      <c r="G408" s="440"/>
      <c r="H408" s="440"/>
      <c r="I408" s="439"/>
      <c r="J408" s="445"/>
      <c r="K408" s="440"/>
    </row>
    <row r="409" spans="1:11" x14ac:dyDescent="0.25">
      <c r="A409" s="439"/>
      <c r="B409" s="440"/>
      <c r="C409" s="441"/>
      <c r="D409" s="440"/>
      <c r="E409" s="440"/>
      <c r="F409" s="440"/>
      <c r="G409" s="440"/>
      <c r="H409" s="440"/>
      <c r="I409" s="439"/>
      <c r="J409" s="445"/>
      <c r="K409" s="440"/>
    </row>
    <row r="410" spans="1:11" x14ac:dyDescent="0.25">
      <c r="A410" s="439"/>
      <c r="B410" s="440"/>
      <c r="C410" s="441"/>
      <c r="D410" s="440"/>
      <c r="E410" s="440"/>
      <c r="F410" s="440"/>
      <c r="G410" s="440"/>
      <c r="H410" s="440"/>
      <c r="I410" s="439"/>
      <c r="J410" s="445"/>
      <c r="K410" s="440"/>
    </row>
    <row r="411" spans="1:11" x14ac:dyDescent="0.25">
      <c r="A411" s="439"/>
      <c r="B411" s="440"/>
      <c r="C411" s="441"/>
      <c r="D411" s="440"/>
      <c r="E411" s="440"/>
      <c r="F411" s="440"/>
      <c r="G411" s="440"/>
      <c r="H411" s="440"/>
      <c r="I411" s="439"/>
      <c r="J411" s="445"/>
      <c r="K411" s="440"/>
    </row>
    <row r="412" spans="1:11" x14ac:dyDescent="0.25">
      <c r="A412" s="439"/>
      <c r="B412" s="440"/>
      <c r="C412" s="441"/>
      <c r="D412" s="440"/>
      <c r="E412" s="440"/>
      <c r="F412" s="440"/>
      <c r="G412" s="440"/>
      <c r="H412" s="440"/>
      <c r="I412" s="439"/>
      <c r="J412" s="445"/>
      <c r="K412" s="440"/>
    </row>
    <row r="413" spans="1:11" x14ac:dyDescent="0.25">
      <c r="A413" s="439"/>
      <c r="B413" s="440"/>
      <c r="C413" s="441"/>
      <c r="D413" s="440"/>
      <c r="E413" s="440"/>
      <c r="F413" s="440"/>
      <c r="G413" s="440"/>
      <c r="H413" s="440"/>
      <c r="I413" s="439"/>
      <c r="J413" s="445"/>
      <c r="K413" s="440"/>
    </row>
    <row r="414" spans="1:11" x14ac:dyDescent="0.25">
      <c r="A414" s="439"/>
      <c r="B414" s="440"/>
      <c r="C414" s="441"/>
      <c r="D414" s="440"/>
      <c r="E414" s="440"/>
      <c r="F414" s="440"/>
      <c r="G414" s="440"/>
      <c r="H414" s="440"/>
      <c r="I414" s="439"/>
      <c r="J414" s="445"/>
      <c r="K414" s="440"/>
    </row>
    <row r="415" spans="1:11" x14ac:dyDescent="0.25">
      <c r="A415" s="439"/>
      <c r="B415" s="440"/>
      <c r="C415" s="441"/>
      <c r="D415" s="440"/>
      <c r="E415" s="440"/>
      <c r="F415" s="440"/>
      <c r="G415" s="440"/>
      <c r="H415" s="440"/>
      <c r="I415" s="439"/>
      <c r="J415" s="445"/>
      <c r="K415" s="440"/>
    </row>
    <row r="416" spans="1:11" x14ac:dyDescent="0.25">
      <c r="A416" s="439"/>
      <c r="B416" s="440"/>
      <c r="C416" s="441"/>
      <c r="D416" s="440"/>
      <c r="E416" s="440"/>
      <c r="F416" s="440"/>
      <c r="G416" s="440"/>
      <c r="H416" s="440"/>
      <c r="I416" s="439"/>
      <c r="J416" s="445"/>
      <c r="K416" s="440"/>
    </row>
    <row r="417" spans="1:11" x14ac:dyDescent="0.25">
      <c r="A417" s="439"/>
      <c r="B417" s="440"/>
      <c r="C417" s="441"/>
      <c r="D417" s="440"/>
      <c r="E417" s="440"/>
      <c r="F417" s="440"/>
      <c r="G417" s="440"/>
      <c r="H417" s="440"/>
      <c r="I417" s="439"/>
      <c r="J417" s="445"/>
      <c r="K417" s="440"/>
    </row>
    <row r="418" spans="1:11" x14ac:dyDescent="0.25">
      <c r="A418" s="439"/>
      <c r="B418" s="440"/>
      <c r="C418" s="441"/>
      <c r="D418" s="440"/>
      <c r="E418" s="440"/>
      <c r="F418" s="440"/>
      <c r="G418" s="440"/>
      <c r="H418" s="440"/>
      <c r="I418" s="439"/>
      <c r="J418" s="445"/>
      <c r="K418" s="440"/>
    </row>
    <row r="419" spans="1:11" x14ac:dyDescent="0.25">
      <c r="A419" s="439"/>
      <c r="B419" s="440"/>
      <c r="C419" s="441"/>
      <c r="D419" s="440"/>
      <c r="E419" s="440"/>
      <c r="F419" s="440"/>
      <c r="G419" s="440"/>
      <c r="H419" s="440"/>
      <c r="I419" s="439"/>
      <c r="J419" s="445"/>
      <c r="K419" s="440"/>
    </row>
    <row r="420" spans="1:11" x14ac:dyDescent="0.25">
      <c r="A420" s="439"/>
      <c r="B420" s="440"/>
      <c r="C420" s="441"/>
      <c r="D420" s="440"/>
      <c r="E420" s="440"/>
      <c r="F420" s="440"/>
      <c r="G420" s="440"/>
      <c r="H420" s="440"/>
      <c r="I420" s="439"/>
      <c r="J420" s="445"/>
      <c r="K420" s="440"/>
    </row>
    <row r="421" spans="1:11" x14ac:dyDescent="0.25">
      <c r="A421" s="439"/>
      <c r="B421" s="440"/>
      <c r="C421" s="441"/>
      <c r="D421" s="440"/>
      <c r="E421" s="440"/>
      <c r="F421" s="440"/>
      <c r="G421" s="440"/>
      <c r="H421" s="440"/>
      <c r="I421" s="439"/>
      <c r="J421" s="445"/>
      <c r="K421" s="440"/>
    </row>
    <row r="422" spans="1:11" x14ac:dyDescent="0.25">
      <c r="A422" s="439"/>
      <c r="B422" s="440"/>
      <c r="C422" s="441"/>
      <c r="D422" s="440"/>
      <c r="E422" s="440"/>
      <c r="F422" s="440"/>
      <c r="G422" s="440"/>
      <c r="H422" s="440"/>
      <c r="I422" s="439"/>
      <c r="J422" s="445"/>
      <c r="K422" s="440"/>
    </row>
    <row r="423" spans="1:11" x14ac:dyDescent="0.25">
      <c r="A423" s="439"/>
      <c r="B423" s="440"/>
      <c r="C423" s="441"/>
      <c r="D423" s="440"/>
      <c r="E423" s="440"/>
      <c r="F423" s="440"/>
      <c r="G423" s="440"/>
      <c r="H423" s="440"/>
      <c r="I423" s="439"/>
      <c r="J423" s="445"/>
      <c r="K423" s="440"/>
    </row>
    <row r="424" spans="1:11" x14ac:dyDescent="0.25">
      <c r="A424" s="439"/>
      <c r="B424" s="440"/>
      <c r="C424" s="441"/>
      <c r="D424" s="440"/>
      <c r="E424" s="440"/>
      <c r="F424" s="440"/>
      <c r="G424" s="440"/>
      <c r="H424" s="440"/>
      <c r="I424" s="439"/>
      <c r="J424" s="445"/>
      <c r="K424" s="440"/>
    </row>
    <row r="425" spans="1:11" x14ac:dyDescent="0.25">
      <c r="A425" s="439"/>
      <c r="B425" s="440"/>
      <c r="C425" s="441"/>
      <c r="D425" s="440"/>
      <c r="E425" s="440"/>
      <c r="F425" s="440"/>
      <c r="G425" s="440"/>
      <c r="H425" s="440"/>
      <c r="I425" s="439"/>
      <c r="J425" s="445"/>
      <c r="K425" s="440"/>
    </row>
    <row r="426" spans="1:11" x14ac:dyDescent="0.25">
      <c r="A426" s="439"/>
      <c r="B426" s="440"/>
      <c r="C426" s="441"/>
      <c r="D426" s="440"/>
      <c r="E426" s="440"/>
      <c r="F426" s="440"/>
      <c r="G426" s="440"/>
      <c r="H426" s="440"/>
      <c r="I426" s="439"/>
      <c r="J426" s="445"/>
      <c r="K426" s="440"/>
    </row>
    <row r="427" spans="1:11" x14ac:dyDescent="0.25">
      <c r="A427" s="439"/>
      <c r="B427" s="440"/>
      <c r="C427" s="441"/>
      <c r="D427" s="440"/>
      <c r="E427" s="440"/>
      <c r="F427" s="440"/>
      <c r="G427" s="440"/>
      <c r="H427" s="440"/>
      <c r="I427" s="439"/>
      <c r="J427" s="445"/>
      <c r="K427" s="440"/>
    </row>
    <row r="428" spans="1:11" x14ac:dyDescent="0.25">
      <c r="A428" s="439"/>
      <c r="B428" s="440"/>
      <c r="C428" s="441"/>
      <c r="D428" s="440"/>
      <c r="E428" s="440"/>
      <c r="F428" s="440"/>
      <c r="G428" s="440"/>
      <c r="H428" s="440"/>
      <c r="I428" s="439"/>
      <c r="J428" s="445"/>
      <c r="K428" s="440"/>
    </row>
    <row r="429" spans="1:11" x14ac:dyDescent="0.25">
      <c r="A429" s="439"/>
      <c r="B429" s="440"/>
      <c r="C429" s="441"/>
      <c r="D429" s="440"/>
      <c r="E429" s="440"/>
      <c r="F429" s="440"/>
      <c r="G429" s="440"/>
      <c r="H429" s="440"/>
      <c r="I429" s="439"/>
      <c r="J429" s="445"/>
      <c r="K429" s="440"/>
    </row>
  </sheetData>
  <mergeCells count="1">
    <mergeCell ref="E1:K1"/>
  </mergeCells>
  <phoneticPr fontId="35" type="noConversion"/>
  <conditionalFormatting sqref="A237:K251 A252:G252 I252:K252 A253:K261 A262:E265 H262:H265 I262:K267 A266:H267 A268:K291 C292:D292 E292:K294 A292:B296 D293:D295 C293:C296 F295:J295 D296:K296 A297:K353 I354:K354 A354:E358 F355:K355 F356 H356:K356 F357:K357 G358:K358 A359:K366 G367:K367 A367:F378 G368:J371 K368:K377 G372:H372 I372:J373 H373 H374:J374 I374:I376 G375:J377 G378:K378 A379:K429">
    <cfRule type="expression" dxfId="12" priority="8">
      <formula>MOD(ROW(),2)</formula>
    </cfRule>
  </conditionalFormatting>
  <conditionalFormatting sqref="D247:D255">
    <cfRule type="expression" dxfId="11" priority="6">
      <formula>MOD(ROW(),2)</formula>
    </cfRule>
  </conditionalFormatting>
  <conditionalFormatting sqref="F262:G265">
    <cfRule type="expression" dxfId="10" priority="4">
      <formula>MOD(ROW(),2)</formula>
    </cfRule>
  </conditionalFormatting>
  <conditionalFormatting sqref="G373:G374">
    <cfRule type="expression" dxfId="9" priority="1">
      <formula>MOD(ROW(),2)</formula>
    </cfRule>
  </conditionalFormatting>
  <conditionalFormatting sqref="L3:XFD22 A3:K235 I236:K236 A236:E237">
    <cfRule type="expression" dxfId="8" priority="9">
      <formula>MOD(ROW(),2)</formula>
    </cfRule>
  </conditionalFormatting>
  <pageMargins left="0.7" right="0.7" top="0.75" bottom="0.75" header="0.3" footer="0.3"/>
  <pageSetup paperSize="9" orientation="portrait" r:id="rId1"/>
  <drawing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3654-7E91-4DEB-A687-3DB4AFB602D1}">
  <sheetPr>
    <tabColor rgb="FFA20067"/>
  </sheetPr>
  <dimension ref="A1:K129"/>
  <sheetViews>
    <sheetView zoomScaleNormal="100" workbookViewId="0">
      <selection activeCell="J7" sqref="J7"/>
    </sheetView>
  </sheetViews>
  <sheetFormatPr baseColWidth="10" defaultColWidth="11.5703125" defaultRowHeight="15" x14ac:dyDescent="0.25"/>
  <cols>
    <col min="1" max="1" width="12.28515625" style="306" bestFit="1" customWidth="1"/>
    <col min="2" max="2" width="11.5703125" style="306" bestFit="1" customWidth="1"/>
    <col min="3" max="3" width="23.42578125" style="306" customWidth="1"/>
    <col min="4" max="4" width="31.7109375" style="306" customWidth="1"/>
    <col min="5" max="8" width="26.28515625" style="306" customWidth="1"/>
    <col min="9" max="9" width="25.28515625" style="345" customWidth="1"/>
    <col min="10" max="10" width="33.5703125" style="345" customWidth="1"/>
    <col min="11" max="11" width="43.7109375" style="306" customWidth="1"/>
    <col min="12" max="18" width="11.5703125" style="306" bestFit="1" customWidth="1"/>
    <col min="19" max="16384" width="11.5703125" style="306"/>
  </cols>
  <sheetData>
    <row r="1" spans="1:11" s="311" customFormat="1" ht="49.9" customHeight="1" thickBot="1" x14ac:dyDescent="0.3">
      <c r="A1" s="376"/>
      <c r="B1" s="377" t="s">
        <v>138</v>
      </c>
      <c r="C1" s="378">
        <f ca="1">TODAY()</f>
        <v>46161</v>
      </c>
      <c r="D1" s="379"/>
      <c r="E1" s="529" t="s">
        <v>2341</v>
      </c>
      <c r="F1" s="530"/>
      <c r="G1" s="530"/>
      <c r="H1" s="530"/>
      <c r="I1" s="530"/>
      <c r="J1" s="530"/>
      <c r="K1" s="530"/>
    </row>
    <row r="2" spans="1:11" s="311" customFormat="1" ht="18.75" customHeight="1" thickBot="1" x14ac:dyDescent="0.3">
      <c r="A2" s="366"/>
      <c r="B2" s="366"/>
      <c r="C2" s="367"/>
      <c r="D2" s="368"/>
      <c r="E2" s="531" t="s">
        <v>2342</v>
      </c>
      <c r="F2" s="531"/>
      <c r="G2" s="532" t="s">
        <v>2343</v>
      </c>
      <c r="H2" s="532"/>
      <c r="I2" s="369"/>
      <c r="J2" s="369"/>
      <c r="K2" s="366"/>
    </row>
    <row r="3" spans="1:11" s="311" customFormat="1" ht="29.25" thickBot="1" x14ac:dyDescent="0.3">
      <c r="A3" s="371" t="s">
        <v>475</v>
      </c>
      <c r="B3" s="371" t="s">
        <v>140</v>
      </c>
      <c r="C3" s="372" t="s">
        <v>479</v>
      </c>
      <c r="D3" s="372" t="s">
        <v>2344</v>
      </c>
      <c r="E3" s="374" t="s">
        <v>2345</v>
      </c>
      <c r="F3" s="374" t="s">
        <v>2346</v>
      </c>
      <c r="G3" s="375" t="s">
        <v>2345</v>
      </c>
      <c r="H3" s="375" t="s">
        <v>2346</v>
      </c>
      <c r="I3" s="373" t="s">
        <v>2347</v>
      </c>
      <c r="J3" s="372" t="s">
        <v>2348</v>
      </c>
      <c r="K3" s="372" t="s">
        <v>2349</v>
      </c>
    </row>
    <row r="4" spans="1:11" ht="54" customHeight="1" x14ac:dyDescent="0.25">
      <c r="A4" s="339">
        <v>46057</v>
      </c>
      <c r="B4" s="301" t="s">
        <v>54</v>
      </c>
      <c r="C4" s="370" t="s">
        <v>53</v>
      </c>
      <c r="D4" s="301" t="s">
        <v>2350</v>
      </c>
      <c r="E4" s="301">
        <v>9</v>
      </c>
      <c r="F4" s="301">
        <v>0</v>
      </c>
      <c r="G4" s="301">
        <v>9</v>
      </c>
      <c r="H4" s="301">
        <v>0</v>
      </c>
      <c r="I4" s="341"/>
      <c r="J4" s="301" t="s">
        <v>2351</v>
      </c>
      <c r="K4" s="301" t="s">
        <v>2352</v>
      </c>
    </row>
    <row r="5" spans="1:11" ht="28.5" x14ac:dyDescent="0.25">
      <c r="A5" s="334">
        <v>46072</v>
      </c>
      <c r="B5" s="302" t="s">
        <v>2353</v>
      </c>
      <c r="C5" s="302" t="s">
        <v>2354</v>
      </c>
      <c r="D5" s="302" t="s">
        <v>2355</v>
      </c>
      <c r="E5" s="302">
        <v>5</v>
      </c>
      <c r="F5" s="302">
        <v>1</v>
      </c>
      <c r="G5" s="302">
        <v>0</v>
      </c>
      <c r="H5" s="302">
        <v>0</v>
      </c>
      <c r="I5" s="342" t="s">
        <v>2342</v>
      </c>
      <c r="J5" s="334"/>
      <c r="K5" s="334" t="s">
        <v>2356</v>
      </c>
    </row>
    <row r="6" spans="1:11" x14ac:dyDescent="0.25">
      <c r="A6" s="334">
        <v>46073</v>
      </c>
      <c r="B6" s="302" t="s">
        <v>2353</v>
      </c>
      <c r="C6" s="302" t="s">
        <v>2354</v>
      </c>
      <c r="D6" s="302" t="s">
        <v>2355</v>
      </c>
      <c r="E6" s="302">
        <v>1</v>
      </c>
      <c r="F6" s="302">
        <v>0</v>
      </c>
      <c r="G6" s="302">
        <v>0</v>
      </c>
      <c r="H6" s="302">
        <v>0</v>
      </c>
      <c r="I6" s="342"/>
      <c r="J6" s="334"/>
      <c r="K6" s="334"/>
    </row>
    <row r="7" spans="1:11" ht="42.75" x14ac:dyDescent="0.25">
      <c r="A7" s="334">
        <v>46114</v>
      </c>
      <c r="B7" s="302" t="s">
        <v>159</v>
      </c>
      <c r="C7" s="315" t="s">
        <v>589</v>
      </c>
      <c r="D7" s="302" t="s">
        <v>663</v>
      </c>
      <c r="E7" s="302">
        <v>8</v>
      </c>
      <c r="F7" s="302">
        <v>0</v>
      </c>
      <c r="G7" s="302">
        <v>6</v>
      </c>
      <c r="H7" s="302">
        <v>2</v>
      </c>
      <c r="I7" s="342" t="s">
        <v>2357</v>
      </c>
      <c r="J7" s="334" t="s">
        <v>2358</v>
      </c>
      <c r="K7" s="334" t="s">
        <v>2359</v>
      </c>
    </row>
    <row r="8" spans="1:11" ht="57" x14ac:dyDescent="0.25">
      <c r="A8" s="334">
        <v>46100</v>
      </c>
      <c r="B8" s="302" t="s">
        <v>109</v>
      </c>
      <c r="C8" s="315" t="s">
        <v>108</v>
      </c>
      <c r="D8" s="302" t="s">
        <v>2350</v>
      </c>
      <c r="E8" s="302">
        <v>28</v>
      </c>
      <c r="F8" s="302">
        <v>1</v>
      </c>
      <c r="G8" s="302">
        <v>28</v>
      </c>
      <c r="H8" s="302">
        <v>1</v>
      </c>
      <c r="I8" s="342" t="s">
        <v>2360</v>
      </c>
      <c r="J8" s="334" t="s">
        <v>2361</v>
      </c>
      <c r="K8" s="334" t="s">
        <v>2362</v>
      </c>
    </row>
    <row r="9" spans="1:11" ht="114" x14ac:dyDescent="0.25">
      <c r="A9" s="334">
        <v>46155</v>
      </c>
      <c r="B9" s="302" t="s">
        <v>36</v>
      </c>
      <c r="C9" s="315" t="s">
        <v>35</v>
      </c>
      <c r="D9" s="302" t="s">
        <v>2411</v>
      </c>
      <c r="E9" s="302">
        <v>30</v>
      </c>
      <c r="F9" s="302">
        <v>2</v>
      </c>
      <c r="G9" s="302">
        <v>30</v>
      </c>
      <c r="H9" s="302">
        <v>0</v>
      </c>
      <c r="I9" s="342" t="s">
        <v>2342</v>
      </c>
      <c r="J9" s="342" t="s">
        <v>2412</v>
      </c>
      <c r="K9" s="334" t="s">
        <v>2413</v>
      </c>
    </row>
    <row r="10" spans="1:11" x14ac:dyDescent="0.25">
      <c r="A10" s="334"/>
      <c r="B10" s="302"/>
      <c r="C10" s="315"/>
      <c r="D10" s="302"/>
      <c r="E10" s="302"/>
      <c r="F10" s="302"/>
      <c r="G10" s="302"/>
      <c r="H10" s="302"/>
      <c r="I10" s="342"/>
      <c r="J10" s="342"/>
      <c r="K10" s="334"/>
    </row>
    <row r="11" spans="1:11" x14ac:dyDescent="0.25">
      <c r="A11" s="334"/>
      <c r="B11" s="302"/>
      <c r="C11" s="315"/>
      <c r="D11" s="302"/>
      <c r="E11" s="302"/>
      <c r="F11" s="302"/>
      <c r="G11" s="302"/>
      <c r="H11" s="302"/>
      <c r="I11" s="342"/>
      <c r="J11" s="342"/>
      <c r="K11" s="334"/>
    </row>
    <row r="12" spans="1:11" x14ac:dyDescent="0.25">
      <c r="A12" s="334"/>
      <c r="B12" s="302"/>
      <c r="C12" s="315"/>
      <c r="D12" s="302"/>
      <c r="E12" s="302"/>
      <c r="F12" s="302"/>
      <c r="G12" s="302"/>
      <c r="H12" s="302"/>
      <c r="I12" s="342"/>
      <c r="J12" s="342"/>
      <c r="K12" s="302"/>
    </row>
    <row r="13" spans="1:11" x14ac:dyDescent="0.25">
      <c r="A13" s="334"/>
      <c r="B13" s="302"/>
      <c r="C13" s="315"/>
      <c r="D13" s="302"/>
      <c r="E13" s="302"/>
      <c r="F13" s="302"/>
      <c r="G13" s="302"/>
      <c r="H13" s="302"/>
      <c r="I13" s="342"/>
      <c r="J13" s="342"/>
      <c r="K13" s="334"/>
    </row>
    <row r="14" spans="1:11" x14ac:dyDescent="0.25">
      <c r="A14" s="334"/>
      <c r="B14" s="302"/>
      <c r="C14" s="315"/>
      <c r="D14" s="302"/>
      <c r="E14" s="302"/>
      <c r="F14" s="302"/>
      <c r="G14" s="302"/>
      <c r="H14" s="302"/>
      <c r="I14" s="342"/>
      <c r="J14" s="342"/>
      <c r="K14" s="334"/>
    </row>
    <row r="15" spans="1:11" x14ac:dyDescent="0.25">
      <c r="A15" s="334"/>
      <c r="B15" s="302"/>
      <c r="C15" s="315"/>
      <c r="D15" s="302"/>
      <c r="E15" s="302"/>
      <c r="F15" s="302"/>
      <c r="G15" s="302"/>
      <c r="H15" s="302"/>
      <c r="I15" s="342"/>
      <c r="J15" s="342"/>
      <c r="K15" s="334"/>
    </row>
    <row r="16" spans="1:11" x14ac:dyDescent="0.25">
      <c r="A16" s="334"/>
      <c r="B16" s="302"/>
      <c r="C16" s="315"/>
      <c r="D16" s="302"/>
      <c r="E16" s="302"/>
      <c r="F16" s="302"/>
      <c r="G16" s="302"/>
      <c r="H16" s="302"/>
      <c r="I16" s="342"/>
      <c r="J16" s="342"/>
      <c r="K16" s="334"/>
    </row>
    <row r="17" spans="1:11" x14ac:dyDescent="0.25">
      <c r="A17" s="334"/>
      <c r="B17" s="302"/>
      <c r="C17" s="315"/>
      <c r="D17" s="302"/>
      <c r="E17" s="302"/>
      <c r="F17" s="302"/>
      <c r="G17" s="302"/>
      <c r="H17" s="302"/>
      <c r="I17" s="342"/>
      <c r="J17" s="342"/>
      <c r="K17" s="334"/>
    </row>
    <row r="18" spans="1:11" x14ac:dyDescent="0.25">
      <c r="A18" s="334"/>
      <c r="B18" s="302"/>
      <c r="C18" s="315"/>
      <c r="D18" s="302"/>
      <c r="E18" s="302"/>
      <c r="F18" s="302"/>
      <c r="G18" s="302"/>
      <c r="H18" s="302"/>
      <c r="I18" s="342"/>
      <c r="J18" s="342"/>
      <c r="K18" s="334"/>
    </row>
    <row r="19" spans="1:11" x14ac:dyDescent="0.25">
      <c r="A19" s="334"/>
      <c r="B19" s="302"/>
      <c r="C19" s="315"/>
      <c r="D19" s="302"/>
      <c r="E19" s="302"/>
      <c r="F19" s="302"/>
      <c r="G19" s="302"/>
      <c r="H19" s="302"/>
      <c r="I19" s="342"/>
      <c r="J19" s="342"/>
      <c r="K19" s="334"/>
    </row>
    <row r="20" spans="1:11" x14ac:dyDescent="0.25">
      <c r="A20" s="334"/>
      <c r="B20" s="302"/>
      <c r="C20" s="315"/>
      <c r="D20" s="302"/>
      <c r="E20" s="302"/>
      <c r="F20" s="302"/>
      <c r="G20" s="302"/>
      <c r="H20" s="302"/>
      <c r="I20" s="342"/>
      <c r="J20" s="342"/>
      <c r="K20" s="334"/>
    </row>
    <row r="21" spans="1:11" x14ac:dyDescent="0.25">
      <c r="A21" s="334"/>
      <c r="B21" s="302"/>
      <c r="C21" s="315"/>
      <c r="D21" s="302"/>
      <c r="E21" s="302"/>
      <c r="F21" s="302"/>
      <c r="G21" s="302"/>
      <c r="H21" s="302"/>
      <c r="I21" s="342"/>
      <c r="J21" s="342"/>
      <c r="K21" s="334"/>
    </row>
    <row r="22" spans="1:11" x14ac:dyDescent="0.25">
      <c r="A22" s="334"/>
      <c r="B22" s="302"/>
      <c r="C22" s="315"/>
      <c r="D22" s="302"/>
      <c r="E22" s="302"/>
      <c r="F22" s="302"/>
      <c r="G22" s="302"/>
      <c r="H22" s="302"/>
      <c r="I22" s="342"/>
      <c r="J22" s="342"/>
      <c r="K22" s="334"/>
    </row>
    <row r="23" spans="1:11" x14ac:dyDescent="0.25">
      <c r="A23" s="302"/>
      <c r="B23" s="302"/>
      <c r="C23" s="315"/>
      <c r="D23" s="302"/>
      <c r="E23" s="302"/>
      <c r="F23" s="302"/>
      <c r="G23" s="302"/>
      <c r="H23" s="302"/>
      <c r="I23" s="342"/>
      <c r="J23" s="342"/>
      <c r="K23" s="302"/>
    </row>
    <row r="24" spans="1:11" x14ac:dyDescent="0.25">
      <c r="A24" s="302"/>
      <c r="B24" s="302"/>
      <c r="C24" s="315"/>
      <c r="D24" s="302"/>
      <c r="E24" s="302"/>
      <c r="F24" s="302"/>
      <c r="G24" s="302"/>
      <c r="H24" s="302"/>
      <c r="I24" s="342"/>
      <c r="J24" s="342"/>
      <c r="K24" s="302"/>
    </row>
    <row r="25" spans="1:11" x14ac:dyDescent="0.25">
      <c r="A25" s="302"/>
      <c r="B25" s="302"/>
      <c r="C25" s="315"/>
      <c r="D25" s="302"/>
      <c r="E25" s="302"/>
      <c r="F25" s="302"/>
      <c r="G25" s="302"/>
      <c r="H25" s="302"/>
      <c r="I25" s="342"/>
      <c r="J25" s="342"/>
      <c r="K25" s="302"/>
    </row>
    <row r="26" spans="1:11" x14ac:dyDescent="0.25">
      <c r="A26" s="303"/>
      <c r="B26" s="303"/>
      <c r="C26" s="313"/>
      <c r="D26" s="302"/>
      <c r="E26" s="302"/>
      <c r="F26" s="302"/>
      <c r="G26" s="303"/>
      <c r="H26" s="303"/>
      <c r="I26" s="342"/>
      <c r="J26" s="342"/>
      <c r="K26" s="302"/>
    </row>
    <row r="27" spans="1:11" x14ac:dyDescent="0.25">
      <c r="A27" s="302"/>
      <c r="B27" s="302"/>
      <c r="C27" s="315"/>
      <c r="D27" s="302"/>
      <c r="E27" s="302"/>
      <c r="F27" s="302"/>
      <c r="G27" s="302"/>
      <c r="H27" s="302"/>
      <c r="I27" s="342"/>
      <c r="J27" s="342"/>
      <c r="K27" s="302"/>
    </row>
    <row r="28" spans="1:11" x14ac:dyDescent="0.25">
      <c r="A28" s="303"/>
      <c r="B28" s="303"/>
      <c r="C28" s="315"/>
      <c r="D28" s="302"/>
      <c r="E28" s="302"/>
      <c r="F28" s="302"/>
      <c r="G28" s="302"/>
      <c r="H28" s="302"/>
      <c r="I28" s="342"/>
      <c r="J28" s="342"/>
      <c r="K28" s="302"/>
    </row>
    <row r="29" spans="1:11" x14ac:dyDescent="0.25">
      <c r="A29" s="303"/>
      <c r="B29" s="303"/>
      <c r="C29" s="315"/>
      <c r="D29" s="302"/>
      <c r="E29" s="302"/>
      <c r="F29" s="302"/>
      <c r="G29" s="302"/>
      <c r="H29" s="302"/>
      <c r="I29" s="342"/>
      <c r="J29" s="342"/>
      <c r="K29" s="302"/>
    </row>
    <row r="30" spans="1:11" x14ac:dyDescent="0.25">
      <c r="A30" s="317"/>
      <c r="B30" s="303"/>
      <c r="C30" s="318"/>
      <c r="D30" s="304"/>
      <c r="E30" s="304"/>
      <c r="F30" s="304"/>
      <c r="G30" s="304"/>
      <c r="H30" s="304"/>
      <c r="I30" s="343"/>
      <c r="J30" s="343"/>
      <c r="K30" s="304"/>
    </row>
    <row r="31" spans="1:11" x14ac:dyDescent="0.25">
      <c r="A31" s="317"/>
      <c r="B31" s="317"/>
      <c r="C31" s="318"/>
      <c r="D31" s="304"/>
      <c r="E31" s="304"/>
      <c r="F31" s="304"/>
      <c r="G31" s="304"/>
      <c r="H31" s="304"/>
      <c r="I31" s="343"/>
      <c r="J31" s="343"/>
      <c r="K31" s="304"/>
    </row>
    <row r="32" spans="1:11" x14ac:dyDescent="0.25">
      <c r="A32" s="317"/>
      <c r="B32" s="303"/>
      <c r="C32" s="318"/>
      <c r="D32" s="304"/>
      <c r="E32" s="304"/>
      <c r="F32" s="304"/>
      <c r="G32" s="304"/>
      <c r="H32" s="304"/>
      <c r="I32" s="343"/>
      <c r="J32" s="343"/>
      <c r="K32" s="304"/>
    </row>
    <row r="33" spans="1:11" x14ac:dyDescent="0.25">
      <c r="A33" s="317"/>
      <c r="B33" s="303"/>
      <c r="C33" s="318"/>
      <c r="D33" s="304"/>
      <c r="E33" s="304"/>
      <c r="F33" s="304"/>
      <c r="G33" s="304"/>
      <c r="H33" s="304"/>
      <c r="I33" s="343"/>
      <c r="J33" s="343"/>
      <c r="K33" s="304"/>
    </row>
    <row r="34" spans="1:11" x14ac:dyDescent="0.25">
      <c r="A34" s="317"/>
      <c r="B34" s="317"/>
      <c r="C34" s="318"/>
      <c r="D34" s="304"/>
      <c r="E34" s="304"/>
      <c r="F34" s="304"/>
      <c r="G34" s="304"/>
      <c r="H34" s="304"/>
      <c r="I34" s="343"/>
      <c r="J34" s="343"/>
      <c r="K34" s="304"/>
    </row>
    <row r="35" spans="1:11" x14ac:dyDescent="0.25">
      <c r="A35" s="317"/>
      <c r="B35" s="317"/>
      <c r="C35" s="318"/>
      <c r="D35" s="304"/>
      <c r="E35" s="304"/>
      <c r="F35" s="304"/>
      <c r="G35" s="304"/>
      <c r="H35" s="304"/>
      <c r="I35" s="343"/>
      <c r="J35" s="343"/>
      <c r="K35" s="304"/>
    </row>
    <row r="36" spans="1:11" x14ac:dyDescent="0.25">
      <c r="A36" s="317"/>
      <c r="B36" s="317"/>
      <c r="C36" s="318"/>
      <c r="D36" s="304"/>
      <c r="E36" s="304"/>
      <c r="F36" s="304"/>
      <c r="G36" s="304"/>
      <c r="H36" s="304"/>
      <c r="I36" s="343"/>
      <c r="J36" s="343"/>
      <c r="K36" s="304"/>
    </row>
    <row r="37" spans="1:11" x14ac:dyDescent="0.25">
      <c r="A37" s="317"/>
      <c r="B37" s="317"/>
      <c r="C37" s="318"/>
      <c r="D37" s="304"/>
      <c r="E37" s="304"/>
      <c r="F37" s="304"/>
      <c r="G37" s="304"/>
      <c r="H37" s="304"/>
      <c r="I37" s="343"/>
      <c r="J37" s="343"/>
      <c r="K37" s="304"/>
    </row>
    <row r="38" spans="1:11" x14ac:dyDescent="0.25">
      <c r="A38" s="317"/>
      <c r="B38" s="317"/>
      <c r="C38" s="318"/>
      <c r="D38" s="304"/>
      <c r="E38" s="304"/>
      <c r="F38" s="304"/>
      <c r="G38" s="304"/>
      <c r="H38" s="304"/>
      <c r="I38" s="343"/>
      <c r="J38" s="343"/>
      <c r="K38" s="304"/>
    </row>
    <row r="39" spans="1:11" x14ac:dyDescent="0.25">
      <c r="A39" s="317"/>
      <c r="B39" s="317"/>
      <c r="C39" s="318"/>
      <c r="D39" s="304"/>
      <c r="E39" s="304"/>
      <c r="F39" s="304"/>
      <c r="G39" s="304"/>
      <c r="H39" s="304"/>
      <c r="I39" s="343"/>
      <c r="J39" s="343"/>
      <c r="K39" s="304"/>
    </row>
    <row r="40" spans="1:11" x14ac:dyDescent="0.25">
      <c r="A40" s="317"/>
      <c r="B40" s="317"/>
      <c r="C40" s="318"/>
      <c r="D40" s="304"/>
      <c r="E40" s="304"/>
      <c r="F40" s="304"/>
      <c r="G40" s="304"/>
      <c r="H40" s="304"/>
      <c r="I40" s="343"/>
      <c r="J40" s="343"/>
      <c r="K40" s="304"/>
    </row>
    <row r="41" spans="1:11" x14ac:dyDescent="0.25">
      <c r="A41" s="317"/>
      <c r="B41" s="317"/>
      <c r="C41" s="318"/>
      <c r="D41" s="304"/>
      <c r="E41" s="304"/>
      <c r="F41" s="304"/>
      <c r="G41" s="304"/>
      <c r="H41" s="304"/>
      <c r="I41" s="343"/>
      <c r="J41" s="343"/>
      <c r="K41" s="304"/>
    </row>
    <row r="42" spans="1:11" x14ac:dyDescent="0.25">
      <c r="A42" s="317"/>
      <c r="B42" s="317"/>
      <c r="C42" s="318"/>
      <c r="D42" s="304"/>
      <c r="E42" s="304"/>
      <c r="F42" s="304"/>
      <c r="G42" s="304"/>
      <c r="H42" s="304"/>
      <c r="I42" s="343"/>
      <c r="J42" s="343"/>
      <c r="K42" s="304"/>
    </row>
    <row r="43" spans="1:11" x14ac:dyDescent="0.25">
      <c r="A43" s="317"/>
      <c r="B43" s="317"/>
      <c r="C43" s="318"/>
      <c r="D43" s="304"/>
      <c r="E43" s="304"/>
      <c r="F43" s="304"/>
      <c r="G43" s="304"/>
      <c r="H43" s="304"/>
      <c r="I43" s="343"/>
      <c r="J43" s="343"/>
      <c r="K43" s="304"/>
    </row>
    <row r="44" spans="1:11" x14ac:dyDescent="0.25">
      <c r="A44" s="317"/>
      <c r="B44" s="317"/>
      <c r="C44" s="318"/>
      <c r="D44" s="304"/>
      <c r="E44" s="304"/>
      <c r="F44" s="304"/>
      <c r="G44" s="304"/>
      <c r="H44" s="304"/>
      <c r="I44" s="343"/>
      <c r="J44" s="343"/>
      <c r="K44" s="304"/>
    </row>
    <row r="45" spans="1:11" x14ac:dyDescent="0.25">
      <c r="A45" s="317"/>
      <c r="B45" s="317"/>
      <c r="C45" s="318"/>
      <c r="D45" s="304"/>
      <c r="E45" s="304"/>
      <c r="F45" s="304"/>
      <c r="G45" s="304"/>
      <c r="H45" s="304"/>
      <c r="I45" s="343"/>
      <c r="J45" s="343"/>
      <c r="K45" s="304"/>
    </row>
    <row r="46" spans="1:11" x14ac:dyDescent="0.25">
      <c r="A46" s="317"/>
      <c r="B46" s="317"/>
      <c r="C46" s="318"/>
      <c r="D46" s="304"/>
      <c r="E46" s="304"/>
      <c r="F46" s="304"/>
      <c r="G46" s="304"/>
      <c r="H46" s="304"/>
      <c r="I46" s="343"/>
      <c r="J46" s="343"/>
      <c r="K46" s="304"/>
    </row>
    <row r="47" spans="1:11" x14ac:dyDescent="0.25">
      <c r="A47" s="317"/>
      <c r="B47" s="317"/>
      <c r="C47" s="318"/>
      <c r="D47" s="304"/>
      <c r="E47" s="304"/>
      <c r="F47" s="304"/>
      <c r="G47" s="304"/>
      <c r="H47" s="304"/>
      <c r="I47" s="343"/>
      <c r="J47" s="343"/>
      <c r="K47" s="304"/>
    </row>
    <row r="48" spans="1:11" x14ac:dyDescent="0.25">
      <c r="A48" s="317"/>
      <c r="B48" s="317"/>
      <c r="C48" s="318"/>
      <c r="D48" s="304"/>
      <c r="E48" s="304"/>
      <c r="F48" s="304"/>
      <c r="G48" s="304"/>
      <c r="H48" s="304"/>
      <c r="I48" s="343"/>
      <c r="J48" s="343"/>
      <c r="K48" s="304"/>
    </row>
    <row r="49" spans="1:11" x14ac:dyDescent="0.25">
      <c r="A49" s="317"/>
      <c r="B49" s="303"/>
      <c r="C49" s="318"/>
      <c r="D49" s="304"/>
      <c r="E49" s="304"/>
      <c r="F49" s="304"/>
      <c r="G49" s="304"/>
      <c r="H49" s="304"/>
      <c r="I49" s="343"/>
      <c r="J49" s="343"/>
      <c r="K49" s="304"/>
    </row>
    <row r="50" spans="1:11" x14ac:dyDescent="0.25">
      <c r="A50" s="317"/>
      <c r="B50" s="317"/>
      <c r="C50" s="318"/>
      <c r="D50" s="304"/>
      <c r="E50" s="304"/>
      <c r="F50" s="304"/>
      <c r="G50" s="304"/>
      <c r="H50" s="304"/>
      <c r="I50" s="343"/>
      <c r="J50" s="343"/>
      <c r="K50" s="304"/>
    </row>
    <row r="51" spans="1:11" x14ac:dyDescent="0.25">
      <c r="A51" s="317"/>
      <c r="B51" s="317"/>
      <c r="C51" s="318"/>
      <c r="D51" s="304"/>
      <c r="E51" s="304"/>
      <c r="F51" s="304"/>
      <c r="G51" s="304"/>
      <c r="H51" s="304"/>
      <c r="I51" s="343"/>
      <c r="J51" s="343"/>
      <c r="K51" s="304"/>
    </row>
    <row r="52" spans="1:11" x14ac:dyDescent="0.25">
      <c r="A52" s="317"/>
      <c r="B52" s="317"/>
      <c r="C52" s="318"/>
      <c r="D52" s="304"/>
      <c r="E52" s="304"/>
      <c r="F52" s="304"/>
      <c r="G52" s="304"/>
      <c r="H52" s="304"/>
      <c r="I52" s="343"/>
      <c r="J52" s="343"/>
      <c r="K52" s="304"/>
    </row>
    <row r="53" spans="1:11" x14ac:dyDescent="0.25">
      <c r="A53" s="317"/>
      <c r="B53" s="317"/>
      <c r="C53" s="318"/>
      <c r="D53" s="304"/>
      <c r="E53" s="304"/>
      <c r="F53" s="304"/>
      <c r="G53" s="304"/>
      <c r="H53" s="304"/>
      <c r="I53" s="343"/>
      <c r="J53" s="343"/>
      <c r="K53" s="304"/>
    </row>
    <row r="54" spans="1:11" x14ac:dyDescent="0.25">
      <c r="A54" s="317"/>
      <c r="B54" s="317"/>
      <c r="C54" s="318"/>
      <c r="D54" s="304"/>
      <c r="E54" s="304"/>
      <c r="F54" s="304"/>
      <c r="G54" s="304"/>
      <c r="H54" s="304"/>
      <c r="I54" s="343"/>
      <c r="J54" s="343"/>
      <c r="K54" s="304"/>
    </row>
    <row r="55" spans="1:11" x14ac:dyDescent="0.25">
      <c r="A55" s="317"/>
      <c r="B55" s="317"/>
      <c r="C55" s="318"/>
      <c r="D55" s="304"/>
      <c r="E55" s="304"/>
      <c r="F55" s="304"/>
      <c r="G55" s="304"/>
      <c r="H55" s="304"/>
      <c r="I55" s="343"/>
      <c r="J55" s="343"/>
      <c r="K55" s="304"/>
    </row>
    <row r="56" spans="1:11" x14ac:dyDescent="0.25">
      <c r="A56" s="317"/>
      <c r="B56" s="317"/>
      <c r="C56" s="318"/>
      <c r="D56" s="304"/>
      <c r="E56" s="304"/>
      <c r="F56" s="304"/>
      <c r="G56" s="304"/>
      <c r="H56" s="304"/>
      <c r="I56" s="343"/>
      <c r="J56" s="343"/>
      <c r="K56" s="304"/>
    </row>
    <row r="57" spans="1:11" x14ac:dyDescent="0.25">
      <c r="A57" s="317"/>
      <c r="B57" s="317"/>
      <c r="C57" s="318"/>
      <c r="D57" s="304"/>
      <c r="E57" s="304"/>
      <c r="F57" s="304"/>
      <c r="G57" s="304"/>
      <c r="H57" s="304"/>
      <c r="I57" s="343"/>
      <c r="J57" s="343"/>
      <c r="K57" s="304"/>
    </row>
    <row r="58" spans="1:11" x14ac:dyDescent="0.25">
      <c r="A58" s="317"/>
      <c r="B58" s="317"/>
      <c r="C58" s="318"/>
      <c r="D58" s="304"/>
      <c r="E58" s="304"/>
      <c r="F58" s="304"/>
      <c r="G58" s="304"/>
      <c r="H58" s="304"/>
      <c r="I58" s="343"/>
      <c r="J58" s="343"/>
      <c r="K58" s="304"/>
    </row>
    <row r="59" spans="1:11" x14ac:dyDescent="0.25">
      <c r="A59" s="317"/>
      <c r="B59" s="303"/>
      <c r="C59" s="318"/>
      <c r="D59" s="304"/>
      <c r="E59" s="304"/>
      <c r="F59" s="304"/>
      <c r="G59" s="304"/>
      <c r="H59" s="304"/>
      <c r="I59" s="343"/>
      <c r="J59" s="343"/>
      <c r="K59" s="304"/>
    </row>
    <row r="60" spans="1:11" x14ac:dyDescent="0.25">
      <c r="A60" s="317"/>
      <c r="B60" s="317"/>
      <c r="C60" s="318"/>
      <c r="D60" s="304"/>
      <c r="E60" s="304"/>
      <c r="F60" s="304"/>
      <c r="G60" s="304"/>
      <c r="H60" s="304"/>
      <c r="I60" s="343"/>
      <c r="J60" s="343"/>
      <c r="K60" s="304"/>
    </row>
    <row r="61" spans="1:11" x14ac:dyDescent="0.25">
      <c r="A61" s="317"/>
      <c r="B61" s="317"/>
      <c r="C61" s="318"/>
      <c r="D61" s="304"/>
      <c r="E61" s="304"/>
      <c r="F61" s="304"/>
      <c r="G61" s="304"/>
      <c r="H61" s="304"/>
      <c r="I61" s="343"/>
      <c r="J61" s="343"/>
      <c r="K61" s="304"/>
    </row>
    <row r="62" spans="1:11" x14ac:dyDescent="0.25">
      <c r="A62" s="304"/>
      <c r="B62" s="317"/>
      <c r="C62" s="318"/>
      <c r="D62" s="304"/>
      <c r="E62" s="304"/>
      <c r="F62" s="304"/>
      <c r="G62" s="317"/>
      <c r="H62" s="317"/>
      <c r="I62" s="343"/>
      <c r="J62" s="343"/>
      <c r="K62" s="304"/>
    </row>
    <row r="63" spans="1:11" x14ac:dyDescent="0.25">
      <c r="A63" s="317"/>
      <c r="B63" s="317"/>
      <c r="C63" s="318"/>
      <c r="D63" s="304"/>
      <c r="E63" s="304"/>
      <c r="F63" s="304"/>
      <c r="G63" s="304"/>
      <c r="H63" s="304"/>
      <c r="I63" s="343"/>
      <c r="J63" s="343"/>
      <c r="K63" s="304"/>
    </row>
    <row r="64" spans="1:11" x14ac:dyDescent="0.25">
      <c r="A64" s="317"/>
      <c r="B64" s="317"/>
      <c r="C64" s="318"/>
      <c r="D64" s="304"/>
      <c r="E64" s="304"/>
      <c r="F64" s="304"/>
      <c r="G64" s="304"/>
      <c r="H64" s="304"/>
      <c r="I64" s="343"/>
      <c r="J64" s="343"/>
      <c r="K64" s="304"/>
    </row>
    <row r="65" spans="1:11" x14ac:dyDescent="0.25">
      <c r="A65" s="317"/>
      <c r="B65" s="317"/>
      <c r="C65" s="318"/>
      <c r="D65" s="304"/>
      <c r="E65" s="304"/>
      <c r="F65" s="304"/>
      <c r="G65" s="304"/>
      <c r="H65" s="304"/>
      <c r="I65" s="343"/>
      <c r="J65" s="343"/>
      <c r="K65" s="304"/>
    </row>
    <row r="66" spans="1:11" x14ac:dyDescent="0.25">
      <c r="A66" s="317"/>
      <c r="B66" s="317"/>
      <c r="C66" s="318"/>
      <c r="D66" s="304"/>
      <c r="E66" s="304"/>
      <c r="F66" s="304"/>
      <c r="G66" s="304"/>
      <c r="H66" s="304"/>
      <c r="I66" s="343"/>
      <c r="J66" s="343"/>
      <c r="K66" s="304"/>
    </row>
    <row r="67" spans="1:11" x14ac:dyDescent="0.25">
      <c r="A67" s="317"/>
      <c r="B67" s="317"/>
      <c r="C67" s="318"/>
      <c r="D67" s="304"/>
      <c r="E67" s="304"/>
      <c r="F67" s="304"/>
      <c r="G67" s="304"/>
      <c r="H67" s="304"/>
      <c r="I67" s="343"/>
      <c r="J67" s="343"/>
      <c r="K67" s="304"/>
    </row>
    <row r="68" spans="1:11" x14ac:dyDescent="0.25">
      <c r="A68" s="317"/>
      <c r="B68" s="317"/>
      <c r="C68" s="318"/>
      <c r="D68" s="304"/>
      <c r="E68" s="304"/>
      <c r="F68" s="304"/>
      <c r="G68" s="304"/>
      <c r="H68" s="304"/>
      <c r="I68" s="343"/>
      <c r="J68" s="343"/>
      <c r="K68" s="304"/>
    </row>
    <row r="69" spans="1:11" x14ac:dyDescent="0.25">
      <c r="A69" s="317"/>
      <c r="B69" s="317"/>
      <c r="C69" s="318"/>
      <c r="D69" s="304"/>
      <c r="E69" s="304"/>
      <c r="F69" s="304"/>
      <c r="G69" s="304"/>
      <c r="H69" s="304"/>
      <c r="I69" s="343"/>
      <c r="J69" s="343"/>
      <c r="K69" s="304"/>
    </row>
    <row r="70" spans="1:11" x14ac:dyDescent="0.25">
      <c r="A70" s="317"/>
      <c r="B70" s="317"/>
      <c r="C70" s="318"/>
      <c r="D70" s="304"/>
      <c r="E70" s="304"/>
      <c r="F70" s="304"/>
      <c r="G70" s="304"/>
      <c r="H70" s="304"/>
      <c r="I70" s="343"/>
      <c r="J70" s="343"/>
      <c r="K70" s="304"/>
    </row>
    <row r="71" spans="1:11" x14ac:dyDescent="0.25">
      <c r="A71" s="317"/>
      <c r="B71" s="317"/>
      <c r="C71" s="318"/>
      <c r="D71" s="304"/>
      <c r="E71" s="304"/>
      <c r="F71" s="304"/>
      <c r="G71" s="304"/>
      <c r="H71" s="304"/>
      <c r="I71" s="343"/>
      <c r="J71" s="343"/>
      <c r="K71" s="304"/>
    </row>
    <row r="72" spans="1:11" x14ac:dyDescent="0.25">
      <c r="A72" s="317"/>
      <c r="B72" s="303"/>
      <c r="C72" s="318"/>
      <c r="D72" s="304"/>
      <c r="E72" s="304"/>
      <c r="F72" s="304"/>
      <c r="G72" s="304"/>
      <c r="H72" s="304"/>
      <c r="I72" s="343"/>
      <c r="J72" s="343"/>
      <c r="K72" s="304"/>
    </row>
    <row r="73" spans="1:11" x14ac:dyDescent="0.25">
      <c r="A73" s="317"/>
      <c r="B73" s="303"/>
      <c r="C73" s="318"/>
      <c r="D73" s="304"/>
      <c r="E73" s="304"/>
      <c r="F73" s="304"/>
      <c r="G73" s="304"/>
      <c r="H73" s="304"/>
      <c r="I73" s="343"/>
      <c r="J73" s="343"/>
      <c r="K73" s="304"/>
    </row>
    <row r="74" spans="1:11" x14ac:dyDescent="0.25">
      <c r="A74" s="317"/>
      <c r="B74" s="317"/>
      <c r="C74" s="318"/>
      <c r="D74" s="304"/>
      <c r="E74" s="304"/>
      <c r="F74" s="304"/>
      <c r="G74" s="304"/>
      <c r="H74" s="304"/>
      <c r="I74" s="343"/>
      <c r="J74" s="343"/>
      <c r="K74" s="304"/>
    </row>
    <row r="75" spans="1:11" x14ac:dyDescent="0.25">
      <c r="A75" s="317"/>
      <c r="B75" s="317"/>
      <c r="C75" s="318"/>
      <c r="D75" s="304"/>
      <c r="E75" s="304"/>
      <c r="F75" s="304"/>
      <c r="G75" s="304"/>
      <c r="H75" s="304"/>
      <c r="I75" s="343"/>
      <c r="J75" s="343"/>
      <c r="K75" s="304"/>
    </row>
    <row r="76" spans="1:11" x14ac:dyDescent="0.25">
      <c r="A76" s="317"/>
      <c r="B76" s="303"/>
      <c r="C76" s="318"/>
      <c r="D76" s="304"/>
      <c r="E76" s="304"/>
      <c r="F76" s="304"/>
      <c r="G76" s="304"/>
      <c r="H76" s="304"/>
      <c r="I76" s="343"/>
      <c r="J76" s="343"/>
      <c r="K76" s="304"/>
    </row>
    <row r="77" spans="1:11" x14ac:dyDescent="0.25">
      <c r="A77" s="317"/>
      <c r="B77" s="317"/>
      <c r="C77" s="318"/>
      <c r="D77" s="304"/>
      <c r="E77" s="304"/>
      <c r="F77" s="304"/>
      <c r="G77" s="304"/>
      <c r="H77" s="304"/>
      <c r="I77" s="343"/>
      <c r="J77" s="343"/>
      <c r="K77" s="304"/>
    </row>
    <row r="78" spans="1:11" x14ac:dyDescent="0.25">
      <c r="A78" s="317"/>
      <c r="B78" s="317"/>
      <c r="C78" s="318"/>
      <c r="D78" s="304"/>
      <c r="E78" s="304"/>
      <c r="F78" s="304"/>
      <c r="G78" s="304"/>
      <c r="H78" s="304"/>
      <c r="I78" s="343"/>
      <c r="J78" s="343"/>
      <c r="K78" s="304"/>
    </row>
    <row r="79" spans="1:11" x14ac:dyDescent="0.25">
      <c r="A79" s="317"/>
      <c r="B79" s="317"/>
      <c r="C79" s="318"/>
      <c r="D79" s="304"/>
      <c r="E79" s="304"/>
      <c r="F79" s="304"/>
      <c r="G79" s="304"/>
      <c r="H79" s="304"/>
      <c r="I79" s="343"/>
      <c r="J79" s="343"/>
      <c r="K79" s="304"/>
    </row>
    <row r="80" spans="1:11" x14ac:dyDescent="0.25">
      <c r="A80" s="317"/>
      <c r="B80" s="317"/>
      <c r="C80" s="318"/>
      <c r="D80" s="304"/>
      <c r="E80" s="304"/>
      <c r="F80" s="304"/>
      <c r="G80" s="304"/>
      <c r="H80" s="304"/>
      <c r="I80" s="343"/>
      <c r="J80" s="343"/>
      <c r="K80" s="304"/>
    </row>
    <row r="81" spans="1:11" x14ac:dyDescent="0.25">
      <c r="A81" s="317"/>
      <c r="B81" s="317"/>
      <c r="C81" s="318"/>
      <c r="D81" s="304"/>
      <c r="E81" s="304"/>
      <c r="F81" s="304"/>
      <c r="G81" s="304"/>
      <c r="H81" s="304"/>
      <c r="I81" s="343"/>
      <c r="J81" s="343"/>
      <c r="K81" s="304"/>
    </row>
    <row r="82" spans="1:11" x14ac:dyDescent="0.25">
      <c r="A82" s="317"/>
      <c r="B82" s="317"/>
      <c r="C82" s="318"/>
      <c r="D82" s="304"/>
      <c r="E82" s="304"/>
      <c r="F82" s="304"/>
      <c r="G82" s="304"/>
      <c r="H82" s="304"/>
      <c r="I82" s="343"/>
      <c r="J82" s="343"/>
      <c r="K82" s="304"/>
    </row>
    <row r="83" spans="1:11" x14ac:dyDescent="0.25">
      <c r="A83" s="317"/>
      <c r="B83" s="317"/>
      <c r="C83" s="318"/>
      <c r="D83" s="304"/>
      <c r="E83" s="304"/>
      <c r="F83" s="304"/>
      <c r="G83" s="304"/>
      <c r="H83" s="304"/>
      <c r="I83" s="343"/>
      <c r="J83" s="343"/>
      <c r="K83" s="304"/>
    </row>
    <row r="84" spans="1:11" x14ac:dyDescent="0.25">
      <c r="A84" s="304"/>
      <c r="B84" s="317"/>
      <c r="C84" s="318"/>
      <c r="D84" s="304"/>
      <c r="E84" s="304"/>
      <c r="F84" s="304"/>
      <c r="G84" s="317"/>
      <c r="H84" s="317"/>
      <c r="I84" s="343"/>
      <c r="J84" s="343"/>
      <c r="K84" s="304"/>
    </row>
    <row r="85" spans="1:11" x14ac:dyDescent="0.25">
      <c r="A85" s="317"/>
      <c r="B85" s="317"/>
      <c r="C85" s="318"/>
      <c r="D85" s="304"/>
      <c r="E85" s="304"/>
      <c r="F85" s="304"/>
      <c r="G85" s="304"/>
      <c r="H85" s="304"/>
      <c r="I85" s="343"/>
      <c r="J85" s="343"/>
      <c r="K85" s="304"/>
    </row>
    <row r="86" spans="1:11" x14ac:dyDescent="0.25">
      <c r="A86" s="317"/>
      <c r="B86" s="317"/>
      <c r="C86" s="318"/>
      <c r="D86" s="304"/>
      <c r="E86" s="304"/>
      <c r="F86" s="304"/>
      <c r="G86" s="304"/>
      <c r="H86" s="304"/>
      <c r="I86" s="343"/>
      <c r="J86" s="343"/>
      <c r="K86" s="304"/>
    </row>
    <row r="87" spans="1:11" x14ac:dyDescent="0.25">
      <c r="A87" s="317"/>
      <c r="B87" s="317"/>
      <c r="C87" s="318"/>
      <c r="D87" s="304"/>
      <c r="E87" s="304"/>
      <c r="F87" s="304"/>
      <c r="G87" s="304"/>
      <c r="H87" s="304"/>
      <c r="I87" s="343"/>
      <c r="J87" s="343"/>
      <c r="K87" s="304"/>
    </row>
    <row r="88" spans="1:11" x14ac:dyDescent="0.25">
      <c r="A88" s="317"/>
      <c r="B88" s="317"/>
      <c r="C88" s="318"/>
      <c r="D88" s="304"/>
      <c r="E88" s="304"/>
      <c r="F88" s="304"/>
      <c r="G88" s="304"/>
      <c r="H88" s="304"/>
      <c r="I88" s="343"/>
      <c r="J88" s="343"/>
      <c r="K88" s="304"/>
    </row>
    <row r="89" spans="1:11" x14ac:dyDescent="0.25">
      <c r="A89" s="317"/>
      <c r="B89" s="317"/>
      <c r="C89" s="318"/>
      <c r="D89" s="304"/>
      <c r="E89" s="304"/>
      <c r="F89" s="304"/>
      <c r="G89" s="304"/>
      <c r="H89" s="304"/>
      <c r="I89" s="343"/>
      <c r="J89" s="343"/>
      <c r="K89" s="304"/>
    </row>
    <row r="90" spans="1:11" x14ac:dyDescent="0.25">
      <c r="A90" s="317"/>
      <c r="B90" s="317"/>
      <c r="C90" s="318"/>
      <c r="D90" s="304"/>
      <c r="E90" s="304"/>
      <c r="F90" s="304"/>
      <c r="G90" s="304"/>
      <c r="H90" s="304"/>
      <c r="I90" s="343"/>
      <c r="J90" s="343"/>
      <c r="K90" s="304"/>
    </row>
    <row r="91" spans="1:11" x14ac:dyDescent="0.25">
      <c r="A91" s="317"/>
      <c r="B91" s="317"/>
      <c r="C91" s="318"/>
      <c r="D91" s="304"/>
      <c r="E91" s="304"/>
      <c r="F91" s="304"/>
      <c r="G91" s="304"/>
      <c r="H91" s="304"/>
      <c r="I91" s="343"/>
      <c r="J91" s="343"/>
      <c r="K91" s="304"/>
    </row>
    <row r="92" spans="1:11" x14ac:dyDescent="0.25">
      <c r="A92" s="317"/>
      <c r="B92" s="317"/>
      <c r="C92" s="318"/>
      <c r="D92" s="304"/>
      <c r="E92" s="304"/>
      <c r="F92" s="304"/>
      <c r="G92" s="304"/>
      <c r="H92" s="304"/>
      <c r="I92" s="343"/>
      <c r="J92" s="343"/>
      <c r="K92" s="304"/>
    </row>
    <row r="93" spans="1:11" x14ac:dyDescent="0.25">
      <c r="A93" s="317"/>
      <c r="B93" s="317"/>
      <c r="C93" s="318"/>
      <c r="D93" s="304"/>
      <c r="E93" s="304"/>
      <c r="F93" s="304"/>
      <c r="G93" s="304"/>
      <c r="H93" s="304"/>
      <c r="I93" s="343"/>
      <c r="J93" s="343"/>
      <c r="K93" s="304"/>
    </row>
    <row r="94" spans="1:11" x14ac:dyDescent="0.25">
      <c r="A94" s="317"/>
      <c r="B94" s="317"/>
      <c r="C94" s="318"/>
      <c r="D94" s="304"/>
      <c r="E94" s="304"/>
      <c r="F94" s="304"/>
      <c r="G94" s="304"/>
      <c r="H94" s="304"/>
      <c r="I94" s="343"/>
      <c r="J94" s="343"/>
      <c r="K94" s="304"/>
    </row>
    <row r="95" spans="1:11" x14ac:dyDescent="0.25">
      <c r="A95" s="317"/>
      <c r="B95" s="317"/>
      <c r="C95" s="318"/>
      <c r="D95" s="304"/>
      <c r="E95" s="304"/>
      <c r="F95" s="304"/>
      <c r="G95" s="304"/>
      <c r="H95" s="304"/>
      <c r="I95" s="343"/>
      <c r="J95" s="343"/>
      <c r="K95" s="304"/>
    </row>
    <row r="96" spans="1:11" x14ac:dyDescent="0.25">
      <c r="A96" s="317"/>
      <c r="B96" s="317"/>
      <c r="C96" s="318"/>
      <c r="D96" s="304"/>
      <c r="E96" s="304"/>
      <c r="F96" s="304"/>
      <c r="G96" s="304"/>
      <c r="H96" s="304"/>
      <c r="I96" s="343"/>
      <c r="J96" s="343"/>
      <c r="K96" s="304"/>
    </row>
    <row r="97" spans="1:11" x14ac:dyDescent="0.25">
      <c r="A97" s="317"/>
      <c r="B97" s="317"/>
      <c r="C97" s="318"/>
      <c r="D97" s="304"/>
      <c r="E97" s="304"/>
      <c r="F97" s="304"/>
      <c r="G97" s="304"/>
      <c r="H97" s="304"/>
      <c r="I97" s="343"/>
      <c r="J97" s="343"/>
      <c r="K97" s="304"/>
    </row>
    <row r="98" spans="1:11" x14ac:dyDescent="0.25">
      <c r="A98" s="317"/>
      <c r="B98" s="317"/>
      <c r="C98" s="318"/>
      <c r="D98" s="304"/>
      <c r="E98" s="304"/>
      <c r="F98" s="304"/>
      <c r="G98" s="304"/>
      <c r="H98" s="304"/>
      <c r="I98" s="343"/>
      <c r="J98" s="343"/>
      <c r="K98" s="304"/>
    </row>
    <row r="99" spans="1:11" x14ac:dyDescent="0.25">
      <c r="A99" s="317"/>
      <c r="B99" s="317"/>
      <c r="C99" s="318"/>
      <c r="D99" s="304"/>
      <c r="E99" s="304"/>
      <c r="F99" s="304"/>
      <c r="G99" s="304"/>
      <c r="H99" s="304"/>
      <c r="I99" s="343"/>
      <c r="J99" s="343"/>
      <c r="K99" s="304"/>
    </row>
    <row r="100" spans="1:11" x14ac:dyDescent="0.25">
      <c r="A100" s="317"/>
      <c r="B100" s="317"/>
      <c r="C100" s="318"/>
      <c r="D100" s="304"/>
      <c r="E100" s="304"/>
      <c r="F100" s="304"/>
      <c r="G100" s="304"/>
      <c r="H100" s="304"/>
      <c r="I100" s="343"/>
      <c r="J100" s="343"/>
      <c r="K100" s="304"/>
    </row>
    <row r="101" spans="1:11" x14ac:dyDescent="0.25">
      <c r="A101" s="317"/>
      <c r="B101" s="317"/>
      <c r="C101" s="318"/>
      <c r="D101" s="304"/>
      <c r="E101" s="304"/>
      <c r="F101" s="304"/>
      <c r="G101" s="304"/>
      <c r="H101" s="304"/>
      <c r="I101" s="343"/>
      <c r="J101" s="343"/>
      <c r="K101" s="304"/>
    </row>
    <row r="102" spans="1:11" x14ac:dyDescent="0.25">
      <c r="A102" s="317"/>
      <c r="B102" s="317"/>
      <c r="C102" s="318"/>
      <c r="D102" s="304"/>
      <c r="E102" s="304"/>
      <c r="F102" s="304"/>
      <c r="G102" s="304"/>
      <c r="H102" s="304"/>
      <c r="I102" s="343"/>
      <c r="J102" s="343"/>
      <c r="K102" s="304"/>
    </row>
    <row r="103" spans="1:11" x14ac:dyDescent="0.25">
      <c r="A103" s="317"/>
      <c r="B103" s="317"/>
      <c r="C103" s="318"/>
      <c r="D103" s="304"/>
      <c r="E103" s="304"/>
      <c r="F103" s="304"/>
      <c r="G103" s="304"/>
      <c r="H103" s="304"/>
      <c r="I103" s="343"/>
      <c r="J103" s="343"/>
      <c r="K103" s="304"/>
    </row>
    <row r="104" spans="1:11" x14ac:dyDescent="0.25">
      <c r="A104" s="317"/>
      <c r="B104" s="317"/>
      <c r="C104" s="318"/>
      <c r="D104" s="304"/>
      <c r="E104" s="304"/>
      <c r="F104" s="304"/>
      <c r="G104" s="304"/>
      <c r="H104" s="304"/>
      <c r="I104" s="343"/>
      <c r="J104" s="343"/>
      <c r="K104" s="304"/>
    </row>
    <row r="105" spans="1:11" x14ac:dyDescent="0.25">
      <c r="A105" s="317"/>
      <c r="B105" s="317"/>
      <c r="C105" s="318"/>
      <c r="D105" s="304"/>
      <c r="E105" s="304"/>
      <c r="F105" s="304"/>
      <c r="G105" s="304"/>
      <c r="H105" s="304"/>
      <c r="I105" s="343"/>
      <c r="J105" s="343"/>
      <c r="K105" s="304"/>
    </row>
    <row r="106" spans="1:11" x14ac:dyDescent="0.25">
      <c r="A106" s="317"/>
      <c r="B106" s="317"/>
      <c r="C106" s="318"/>
      <c r="D106" s="304"/>
      <c r="E106" s="304"/>
      <c r="F106" s="304"/>
      <c r="G106" s="304"/>
      <c r="H106" s="304"/>
      <c r="I106" s="343"/>
      <c r="J106" s="343"/>
      <c r="K106" s="304"/>
    </row>
    <row r="107" spans="1:11" x14ac:dyDescent="0.25">
      <c r="A107" s="317"/>
      <c r="B107" s="317"/>
      <c r="C107" s="318"/>
      <c r="D107" s="304"/>
      <c r="E107" s="304"/>
      <c r="F107" s="304"/>
      <c r="G107" s="304"/>
      <c r="H107" s="304"/>
      <c r="I107" s="343"/>
      <c r="J107" s="343"/>
      <c r="K107" s="304"/>
    </row>
    <row r="108" spans="1:11" x14ac:dyDescent="0.25">
      <c r="A108" s="317"/>
      <c r="B108" s="317"/>
      <c r="C108" s="318"/>
      <c r="D108" s="304"/>
      <c r="E108" s="304"/>
      <c r="F108" s="304"/>
      <c r="G108" s="304"/>
      <c r="H108" s="304"/>
      <c r="I108" s="343"/>
      <c r="J108" s="343"/>
      <c r="K108" s="304"/>
    </row>
    <row r="109" spans="1:11" x14ac:dyDescent="0.25">
      <c r="A109" s="317"/>
      <c r="B109" s="317"/>
      <c r="C109" s="318"/>
      <c r="D109" s="304"/>
      <c r="E109" s="304"/>
      <c r="F109" s="304"/>
      <c r="G109" s="304"/>
      <c r="H109" s="304"/>
      <c r="I109" s="343"/>
      <c r="J109" s="343"/>
      <c r="K109" s="304"/>
    </row>
    <row r="110" spans="1:11" x14ac:dyDescent="0.25">
      <c r="A110" s="317"/>
      <c r="B110" s="317"/>
      <c r="C110" s="318"/>
      <c r="D110" s="304"/>
      <c r="E110" s="304"/>
      <c r="F110" s="304"/>
      <c r="G110" s="304"/>
      <c r="H110" s="304"/>
      <c r="I110" s="343"/>
      <c r="J110" s="343"/>
      <c r="K110" s="304"/>
    </row>
    <row r="111" spans="1:11" x14ac:dyDescent="0.25">
      <c r="A111" s="317"/>
      <c r="B111" s="317"/>
      <c r="C111" s="318"/>
      <c r="D111" s="304"/>
      <c r="E111" s="304"/>
      <c r="F111" s="304"/>
      <c r="G111" s="304"/>
      <c r="H111" s="304"/>
      <c r="I111" s="343"/>
      <c r="J111" s="343"/>
      <c r="K111" s="304"/>
    </row>
    <row r="112" spans="1:11" x14ac:dyDescent="0.25">
      <c r="A112" s="317"/>
      <c r="B112" s="317"/>
      <c r="C112" s="318"/>
      <c r="D112" s="304"/>
      <c r="E112" s="304"/>
      <c r="F112" s="304"/>
      <c r="G112" s="304"/>
      <c r="H112" s="304"/>
      <c r="I112" s="343"/>
      <c r="J112" s="343"/>
      <c r="K112" s="304"/>
    </row>
    <row r="113" spans="1:11" x14ac:dyDescent="0.25">
      <c r="A113" s="317"/>
      <c r="B113" s="317"/>
      <c r="C113" s="318"/>
      <c r="D113" s="304"/>
      <c r="E113" s="304"/>
      <c r="F113" s="304"/>
      <c r="G113" s="304"/>
      <c r="H113" s="304"/>
      <c r="I113" s="343"/>
      <c r="J113" s="343"/>
      <c r="K113" s="304"/>
    </row>
    <row r="114" spans="1:11" x14ac:dyDescent="0.25">
      <c r="A114" s="317"/>
      <c r="B114" s="317"/>
      <c r="C114" s="318"/>
      <c r="D114" s="304"/>
      <c r="E114" s="304"/>
      <c r="F114" s="304"/>
      <c r="G114" s="304"/>
      <c r="H114" s="304"/>
      <c r="I114" s="343"/>
      <c r="J114" s="343"/>
      <c r="K114" s="304"/>
    </row>
    <row r="115" spans="1:11" x14ac:dyDescent="0.25">
      <c r="A115" s="317"/>
      <c r="B115" s="317"/>
      <c r="C115" s="318"/>
      <c r="D115" s="304"/>
      <c r="E115" s="304"/>
      <c r="F115" s="304"/>
      <c r="G115" s="304"/>
      <c r="H115" s="304"/>
      <c r="I115" s="343"/>
      <c r="J115" s="343"/>
      <c r="K115" s="304"/>
    </row>
    <row r="116" spans="1:11" x14ac:dyDescent="0.25">
      <c r="A116" s="317"/>
      <c r="B116" s="317"/>
      <c r="C116" s="318"/>
      <c r="D116" s="304"/>
      <c r="E116" s="304"/>
      <c r="F116" s="304"/>
      <c r="G116" s="304"/>
      <c r="H116" s="304"/>
      <c r="I116" s="343"/>
      <c r="J116" s="343"/>
      <c r="K116" s="304"/>
    </row>
    <row r="117" spans="1:11" x14ac:dyDescent="0.25">
      <c r="A117" s="317"/>
      <c r="B117" s="317"/>
      <c r="C117" s="318"/>
      <c r="D117" s="304"/>
      <c r="E117" s="304"/>
      <c r="F117" s="304"/>
      <c r="G117" s="304"/>
      <c r="H117" s="304"/>
      <c r="I117" s="343"/>
      <c r="J117" s="343"/>
      <c r="K117" s="304"/>
    </row>
    <row r="118" spans="1:11" x14ac:dyDescent="0.25">
      <c r="A118" s="304"/>
      <c r="B118" s="317"/>
      <c r="C118" s="318"/>
      <c r="D118" s="304"/>
      <c r="E118" s="304"/>
      <c r="F118" s="304"/>
      <c r="G118" s="304"/>
      <c r="H118" s="304"/>
      <c r="I118" s="343"/>
      <c r="J118" s="343"/>
      <c r="K118" s="304"/>
    </row>
    <row r="119" spans="1:11" x14ac:dyDescent="0.25">
      <c r="A119" s="317"/>
      <c r="B119" s="317"/>
      <c r="C119" s="318"/>
      <c r="D119" s="304"/>
      <c r="E119" s="304"/>
      <c r="F119" s="304"/>
      <c r="G119" s="304"/>
      <c r="H119" s="304"/>
      <c r="I119" s="343"/>
      <c r="J119" s="343"/>
      <c r="K119" s="304"/>
    </row>
    <row r="120" spans="1:11" x14ac:dyDescent="0.25">
      <c r="A120" s="317"/>
      <c r="B120" s="317"/>
      <c r="C120" s="318"/>
      <c r="D120" s="304"/>
      <c r="E120" s="304"/>
      <c r="F120" s="304"/>
      <c r="G120" s="304"/>
      <c r="H120" s="304"/>
      <c r="I120" s="343"/>
      <c r="J120" s="343"/>
      <c r="K120" s="304"/>
    </row>
    <row r="121" spans="1:11" x14ac:dyDescent="0.25">
      <c r="A121" s="317"/>
      <c r="B121" s="317"/>
      <c r="C121" s="318"/>
      <c r="D121" s="304"/>
      <c r="E121" s="304"/>
      <c r="F121" s="304"/>
      <c r="G121" s="304"/>
      <c r="H121" s="304"/>
      <c r="I121" s="343"/>
      <c r="J121" s="343"/>
      <c r="K121" s="304"/>
    </row>
    <row r="122" spans="1:11" x14ac:dyDescent="0.25">
      <c r="A122" s="317"/>
      <c r="B122" s="317"/>
      <c r="C122" s="318"/>
      <c r="D122" s="304"/>
      <c r="E122" s="304"/>
      <c r="F122" s="304"/>
      <c r="G122" s="304"/>
      <c r="H122" s="304"/>
      <c r="I122" s="343"/>
      <c r="J122" s="343"/>
      <c r="K122" s="304"/>
    </row>
    <row r="123" spans="1:11" x14ac:dyDescent="0.25">
      <c r="A123" s="317"/>
      <c r="B123" s="317"/>
      <c r="C123" s="318"/>
      <c r="D123" s="304"/>
      <c r="E123" s="304"/>
      <c r="F123" s="304"/>
      <c r="G123" s="304"/>
      <c r="H123" s="304"/>
      <c r="I123" s="343"/>
      <c r="J123" s="343"/>
      <c r="K123" s="304"/>
    </row>
    <row r="124" spans="1:11" x14ac:dyDescent="0.25">
      <c r="A124" s="317"/>
      <c r="B124" s="317"/>
      <c r="C124" s="318"/>
      <c r="D124" s="304"/>
      <c r="E124" s="304"/>
      <c r="F124" s="304"/>
      <c r="G124" s="304"/>
      <c r="H124" s="304"/>
      <c r="I124" s="343"/>
      <c r="J124" s="343"/>
      <c r="K124" s="304"/>
    </row>
    <row r="125" spans="1:11" x14ac:dyDescent="0.25">
      <c r="A125" s="317"/>
      <c r="B125" s="317"/>
      <c r="C125" s="318"/>
      <c r="D125" s="304"/>
      <c r="E125" s="304"/>
      <c r="F125" s="304"/>
      <c r="G125" s="304"/>
      <c r="H125" s="304"/>
      <c r="I125" s="343"/>
      <c r="J125" s="343"/>
      <c r="K125" s="304"/>
    </row>
    <row r="126" spans="1:11" x14ac:dyDescent="0.25">
      <c r="A126" s="317"/>
      <c r="B126" s="317"/>
      <c r="C126" s="318"/>
      <c r="D126" s="304"/>
      <c r="E126" s="304"/>
      <c r="F126" s="304"/>
      <c r="G126" s="304"/>
      <c r="H126" s="304"/>
      <c r="I126" s="343"/>
      <c r="J126" s="343"/>
      <c r="K126" s="304"/>
    </row>
    <row r="127" spans="1:11" x14ac:dyDescent="0.25">
      <c r="A127" s="317"/>
      <c r="B127" s="317"/>
      <c r="C127" s="318"/>
      <c r="D127" s="304"/>
      <c r="E127" s="304"/>
      <c r="F127" s="304"/>
      <c r="G127" s="304"/>
      <c r="H127" s="304"/>
      <c r="I127" s="343"/>
      <c r="J127" s="343"/>
      <c r="K127" s="304"/>
    </row>
    <row r="128" spans="1:11" x14ac:dyDescent="0.25">
      <c r="A128" s="317"/>
      <c r="B128" s="317"/>
      <c r="C128" s="318"/>
      <c r="D128" s="304"/>
      <c r="E128" s="304"/>
      <c r="F128" s="304"/>
      <c r="G128" s="304"/>
      <c r="H128" s="304"/>
      <c r="I128" s="343"/>
      <c r="J128" s="343"/>
      <c r="K128" s="304"/>
    </row>
    <row r="129" spans="1:11" ht="15.75" thickBot="1" x14ac:dyDescent="0.3">
      <c r="A129" s="319"/>
      <c r="B129" s="319"/>
      <c r="C129" s="320"/>
      <c r="D129" s="305"/>
      <c r="E129" s="305"/>
      <c r="F129" s="305"/>
      <c r="G129" s="305"/>
      <c r="H129" s="305"/>
      <c r="I129" s="344"/>
      <c r="J129" s="344"/>
      <c r="K129" s="305"/>
    </row>
  </sheetData>
  <autoFilter ref="A3:K8" xr:uid="{7C717F9F-D1AD-4153-BDEC-F96F3F40B03C}"/>
  <mergeCells count="3">
    <mergeCell ref="E1:K1"/>
    <mergeCell ref="E2:F2"/>
    <mergeCell ref="G2:H2"/>
  </mergeCells>
  <conditionalFormatting sqref="A4:K129">
    <cfRule type="expression" dxfId="7" priority="1">
      <formula>MOD(ROW(),2)</formula>
    </cfRule>
  </conditionalFormatting>
  <conditionalFormatting sqref="L4:XFD23">
    <cfRule type="expression" dxfId="6" priority="2">
      <formula>MOD(ROW(),2)</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9CFA-4C16-40B2-A77E-7ECD82445037}">
  <sheetPr>
    <tabColor rgb="FFA20067"/>
  </sheetPr>
  <dimension ref="A1:L129"/>
  <sheetViews>
    <sheetView topLeftCell="C1" zoomScale="85" zoomScaleNormal="85" workbookViewId="0">
      <selection activeCell="H13" sqref="H13"/>
    </sheetView>
  </sheetViews>
  <sheetFormatPr baseColWidth="10" defaultColWidth="11.5703125" defaultRowHeight="15" x14ac:dyDescent="0.25"/>
  <cols>
    <col min="1" max="1" width="12.28515625" style="306" bestFit="1" customWidth="1"/>
    <col min="2" max="2" width="11.5703125" style="306" bestFit="1" customWidth="1"/>
    <col min="3" max="5" width="23.42578125" style="306" customWidth="1"/>
    <col min="6" max="7" width="31.7109375" style="306" customWidth="1"/>
    <col min="8" max="9" width="53.5703125" style="306" customWidth="1"/>
    <col min="10" max="10" width="26.28515625" style="306" customWidth="1"/>
    <col min="11" max="11" width="25.28515625" style="462" customWidth="1"/>
    <col min="12" max="12" width="25.28515625" style="345" customWidth="1"/>
    <col min="13" max="19" width="11.5703125" style="306" bestFit="1" customWidth="1"/>
    <col min="20" max="16383" width="11.5703125" style="306"/>
    <col min="16384" max="16384" width="11.5703125" style="306" bestFit="1"/>
  </cols>
  <sheetData>
    <row r="1" spans="1:12" s="311" customFormat="1" ht="49.9" customHeight="1" thickBot="1" x14ac:dyDescent="0.3">
      <c r="A1" s="376"/>
      <c r="B1" s="377" t="s">
        <v>138</v>
      </c>
      <c r="C1" s="378">
        <f ca="1">TODAY()</f>
        <v>46161</v>
      </c>
      <c r="D1" s="533" t="s">
        <v>2363</v>
      </c>
      <c r="E1" s="534"/>
      <c r="F1" s="534"/>
      <c r="G1" s="534"/>
      <c r="H1" s="534"/>
      <c r="I1" s="534"/>
      <c r="J1" s="534"/>
      <c r="K1" s="534"/>
      <c r="L1" s="534"/>
    </row>
    <row r="2" spans="1:12" s="311" customFormat="1" ht="29.25" thickBot="1" x14ac:dyDescent="0.3">
      <c r="A2" s="371" t="s">
        <v>475</v>
      </c>
      <c r="B2" s="371" t="s">
        <v>140</v>
      </c>
      <c r="C2" s="372" t="s">
        <v>479</v>
      </c>
      <c r="D2" s="372" t="s">
        <v>2364</v>
      </c>
      <c r="E2" s="372" t="s">
        <v>2365</v>
      </c>
      <c r="F2" s="372" t="s">
        <v>2366</v>
      </c>
      <c r="G2" s="372" t="s">
        <v>1651</v>
      </c>
      <c r="H2" s="372" t="s">
        <v>2367</v>
      </c>
      <c r="I2" s="372" t="s">
        <v>1653</v>
      </c>
      <c r="J2" s="373" t="s">
        <v>2368</v>
      </c>
      <c r="K2" s="373" t="s">
        <v>2369</v>
      </c>
      <c r="L2" s="373" t="s">
        <v>2370</v>
      </c>
    </row>
    <row r="3" spans="1:12" ht="42.75" x14ac:dyDescent="0.25">
      <c r="A3" s="339">
        <v>46045</v>
      </c>
      <c r="B3" s="302" t="s">
        <v>54</v>
      </c>
      <c r="C3" s="370" t="s">
        <v>53</v>
      </c>
      <c r="D3" s="370" t="s">
        <v>2371</v>
      </c>
      <c r="E3" s="370" t="s">
        <v>52</v>
      </c>
      <c r="F3" s="301" t="s">
        <v>2372</v>
      </c>
      <c r="G3" s="301" t="s">
        <v>2373</v>
      </c>
      <c r="H3" s="301" t="s">
        <v>2374</v>
      </c>
      <c r="I3" s="301" t="s">
        <v>2375</v>
      </c>
      <c r="J3" s="301" t="s">
        <v>41</v>
      </c>
      <c r="K3" s="339">
        <v>46052</v>
      </c>
      <c r="L3" s="341" t="s">
        <v>2376</v>
      </c>
    </row>
    <row r="4" spans="1:12" ht="42.75" x14ac:dyDescent="0.25">
      <c r="A4" s="339" t="s">
        <v>2377</v>
      </c>
      <c r="B4" s="301" t="s">
        <v>94</v>
      </c>
      <c r="C4" s="370" t="s">
        <v>8</v>
      </c>
      <c r="D4" s="370" t="s">
        <v>2378</v>
      </c>
      <c r="E4" s="370" t="s">
        <v>2379</v>
      </c>
      <c r="F4" s="301" t="s">
        <v>2380</v>
      </c>
      <c r="G4" s="301" t="s">
        <v>2381</v>
      </c>
      <c r="H4" s="301"/>
      <c r="I4" s="301" t="s">
        <v>2382</v>
      </c>
      <c r="J4" s="301"/>
      <c r="K4" s="339"/>
      <c r="L4" s="341"/>
    </row>
    <row r="5" spans="1:12" ht="71.25" x14ac:dyDescent="0.25">
      <c r="A5" s="334">
        <v>46115</v>
      </c>
      <c r="B5" s="302" t="s">
        <v>54</v>
      </c>
      <c r="C5" s="315" t="s">
        <v>53</v>
      </c>
      <c r="D5" s="315" t="s">
        <v>2383</v>
      </c>
      <c r="E5" s="315" t="s">
        <v>2379</v>
      </c>
      <c r="F5" s="302" t="s">
        <v>2372</v>
      </c>
      <c r="G5" s="302" t="s">
        <v>2384</v>
      </c>
      <c r="H5" s="302" t="s">
        <v>2385</v>
      </c>
      <c r="I5" s="302" t="s">
        <v>2375</v>
      </c>
      <c r="J5" s="302" t="s">
        <v>2386</v>
      </c>
      <c r="K5" s="334">
        <v>46141</v>
      </c>
      <c r="L5" s="342" t="s">
        <v>2387</v>
      </c>
    </row>
    <row r="6" spans="1:12" x14ac:dyDescent="0.25">
      <c r="A6" s="334"/>
      <c r="B6" s="302"/>
      <c r="C6" s="315"/>
      <c r="D6" s="315"/>
      <c r="E6" s="315"/>
      <c r="F6" s="302"/>
      <c r="G6" s="302"/>
      <c r="H6" s="302"/>
      <c r="I6" s="302"/>
      <c r="J6" s="302"/>
      <c r="K6" s="334"/>
      <c r="L6" s="342"/>
    </row>
    <row r="7" spans="1:12" x14ac:dyDescent="0.25">
      <c r="A7" s="334"/>
      <c r="B7" s="302"/>
      <c r="C7" s="315"/>
      <c r="D7" s="315"/>
      <c r="E7" s="315"/>
      <c r="F7" s="302"/>
      <c r="G7" s="302"/>
      <c r="H7" s="302"/>
      <c r="I7" s="302"/>
      <c r="J7" s="302"/>
      <c r="K7" s="334"/>
      <c r="L7" s="342"/>
    </row>
    <row r="8" spans="1:12" x14ac:dyDescent="0.25">
      <c r="A8" s="334"/>
      <c r="B8" s="302"/>
      <c r="C8" s="315"/>
      <c r="D8" s="315"/>
      <c r="E8" s="315"/>
      <c r="F8" s="302"/>
      <c r="G8" s="302"/>
      <c r="H8" s="302"/>
      <c r="I8" s="302"/>
      <c r="J8" s="302"/>
      <c r="K8" s="334"/>
      <c r="L8" s="342"/>
    </row>
    <row r="9" spans="1:12" x14ac:dyDescent="0.25">
      <c r="A9" s="334"/>
      <c r="B9" s="302"/>
      <c r="C9" s="315"/>
      <c r="D9" s="315"/>
      <c r="E9" s="315"/>
      <c r="F9" s="302"/>
      <c r="G9" s="302"/>
      <c r="H9" s="302"/>
      <c r="I9" s="302"/>
      <c r="J9" s="302"/>
      <c r="K9" s="334"/>
      <c r="L9" s="342"/>
    </row>
    <row r="10" spans="1:12" x14ac:dyDescent="0.25">
      <c r="A10" s="334"/>
      <c r="B10" s="302"/>
      <c r="C10" s="315"/>
      <c r="D10" s="315"/>
      <c r="E10" s="315"/>
      <c r="F10" s="302"/>
      <c r="G10" s="302"/>
      <c r="H10" s="302"/>
      <c r="I10" s="302"/>
      <c r="J10" s="302"/>
      <c r="K10" s="334"/>
      <c r="L10" s="342"/>
    </row>
    <row r="11" spans="1:12" x14ac:dyDescent="0.25">
      <c r="A11" s="334"/>
      <c r="B11" s="302"/>
      <c r="C11" s="315"/>
      <c r="D11" s="315"/>
      <c r="E11" s="315"/>
      <c r="F11" s="302"/>
      <c r="G11" s="302"/>
      <c r="H11" s="302"/>
      <c r="I11" s="302"/>
      <c r="J11" s="302"/>
      <c r="K11" s="334"/>
      <c r="L11" s="342"/>
    </row>
    <row r="12" spans="1:12" x14ac:dyDescent="0.25">
      <c r="A12" s="334"/>
      <c r="B12" s="302"/>
      <c r="C12" s="315"/>
      <c r="D12" s="315"/>
      <c r="E12" s="315"/>
      <c r="F12" s="302"/>
      <c r="G12" s="302"/>
      <c r="H12" s="302"/>
      <c r="I12" s="302"/>
      <c r="J12" s="302"/>
      <c r="K12" s="334"/>
      <c r="L12" s="342"/>
    </row>
    <row r="13" spans="1:12" x14ac:dyDescent="0.25">
      <c r="A13" s="334"/>
      <c r="B13" s="302"/>
      <c r="C13" s="315"/>
      <c r="D13" s="315"/>
      <c r="E13" s="315"/>
      <c r="F13" s="302"/>
      <c r="G13" s="302"/>
      <c r="H13" s="302"/>
      <c r="I13" s="302"/>
      <c r="J13" s="302"/>
      <c r="K13" s="334"/>
      <c r="L13" s="342"/>
    </row>
    <row r="14" spans="1:12" x14ac:dyDescent="0.25">
      <c r="A14" s="334"/>
      <c r="B14" s="302"/>
      <c r="C14" s="315"/>
      <c r="D14" s="315"/>
      <c r="E14" s="315"/>
      <c r="F14" s="302"/>
      <c r="G14" s="302"/>
      <c r="H14" s="302"/>
      <c r="I14" s="302"/>
      <c r="J14" s="302"/>
      <c r="K14" s="334"/>
      <c r="L14" s="342"/>
    </row>
    <row r="15" spans="1:12" x14ac:dyDescent="0.25">
      <c r="A15" s="334"/>
      <c r="B15" s="302"/>
      <c r="C15" s="315"/>
      <c r="D15" s="315"/>
      <c r="E15" s="315"/>
      <c r="F15" s="302"/>
      <c r="G15" s="302"/>
      <c r="H15" s="302"/>
      <c r="I15" s="302"/>
      <c r="J15" s="302"/>
      <c r="K15" s="334"/>
      <c r="L15" s="342"/>
    </row>
    <row r="16" spans="1:12" x14ac:dyDescent="0.25">
      <c r="A16" s="334"/>
      <c r="B16" s="302"/>
      <c r="C16" s="315"/>
      <c r="D16" s="315"/>
      <c r="E16" s="315"/>
      <c r="F16" s="302"/>
      <c r="G16" s="302"/>
      <c r="H16" s="302"/>
      <c r="I16" s="302"/>
      <c r="J16" s="302"/>
      <c r="K16" s="334"/>
      <c r="L16" s="342"/>
    </row>
    <row r="17" spans="1:12" x14ac:dyDescent="0.25">
      <c r="A17" s="334"/>
      <c r="B17" s="302"/>
      <c r="C17" s="315"/>
      <c r="D17" s="315"/>
      <c r="E17" s="315"/>
      <c r="F17" s="302"/>
      <c r="G17" s="302"/>
      <c r="H17" s="302"/>
      <c r="I17" s="302"/>
      <c r="J17" s="302"/>
      <c r="K17" s="334"/>
      <c r="L17" s="342"/>
    </row>
    <row r="18" spans="1:12" x14ac:dyDescent="0.25">
      <c r="A18" s="334"/>
      <c r="B18" s="302"/>
      <c r="C18" s="315"/>
      <c r="D18" s="315"/>
      <c r="E18" s="315"/>
      <c r="F18" s="302"/>
      <c r="G18" s="302"/>
      <c r="H18" s="302"/>
      <c r="I18" s="302"/>
      <c r="J18" s="302"/>
      <c r="K18" s="334"/>
      <c r="L18" s="342"/>
    </row>
    <row r="19" spans="1:12" x14ac:dyDescent="0.25">
      <c r="A19" s="334"/>
      <c r="B19" s="302"/>
      <c r="C19" s="315"/>
      <c r="D19" s="315"/>
      <c r="E19" s="315"/>
      <c r="F19" s="302"/>
      <c r="G19" s="302"/>
      <c r="H19" s="302"/>
      <c r="I19" s="302"/>
      <c r="J19" s="302"/>
      <c r="K19" s="334"/>
      <c r="L19" s="342"/>
    </row>
    <row r="20" spans="1:12" x14ac:dyDescent="0.25">
      <c r="A20" s="334"/>
      <c r="B20" s="302"/>
      <c r="C20" s="315"/>
      <c r="D20" s="315"/>
      <c r="E20" s="315"/>
      <c r="F20" s="302"/>
      <c r="G20" s="302"/>
      <c r="H20" s="302"/>
      <c r="I20" s="302"/>
      <c r="J20" s="302"/>
      <c r="K20" s="334"/>
      <c r="L20" s="342"/>
    </row>
    <row r="21" spans="1:12" x14ac:dyDescent="0.25">
      <c r="A21" s="334"/>
      <c r="B21" s="302"/>
      <c r="C21" s="315"/>
      <c r="D21" s="315"/>
      <c r="E21" s="315"/>
      <c r="F21" s="302"/>
      <c r="G21" s="302"/>
      <c r="H21" s="302"/>
      <c r="I21" s="302"/>
      <c r="J21" s="302"/>
      <c r="K21" s="334"/>
      <c r="L21" s="342"/>
    </row>
    <row r="22" spans="1:12" x14ac:dyDescent="0.25">
      <c r="A22" s="334"/>
      <c r="B22" s="302"/>
      <c r="C22" s="315"/>
      <c r="D22" s="315"/>
      <c r="E22" s="315"/>
      <c r="F22" s="302"/>
      <c r="G22" s="302"/>
      <c r="H22" s="302"/>
      <c r="I22" s="302"/>
      <c r="J22" s="302"/>
      <c r="K22" s="334"/>
      <c r="L22" s="342"/>
    </row>
    <row r="23" spans="1:12" x14ac:dyDescent="0.25">
      <c r="A23" s="302"/>
      <c r="B23" s="302"/>
      <c r="C23" s="315"/>
      <c r="D23" s="315"/>
      <c r="E23" s="315"/>
      <c r="F23" s="302"/>
      <c r="G23" s="302"/>
      <c r="H23" s="302"/>
      <c r="I23" s="302"/>
      <c r="J23" s="302"/>
      <c r="K23" s="334"/>
      <c r="L23" s="342"/>
    </row>
    <row r="24" spans="1:12" x14ac:dyDescent="0.25">
      <c r="A24" s="302"/>
      <c r="B24" s="302"/>
      <c r="C24" s="315"/>
      <c r="D24" s="315"/>
      <c r="E24" s="315"/>
      <c r="F24" s="302"/>
      <c r="G24" s="302"/>
      <c r="H24" s="302"/>
      <c r="I24" s="302"/>
      <c r="J24" s="302"/>
      <c r="K24" s="334"/>
      <c r="L24" s="342"/>
    </row>
    <row r="25" spans="1:12" x14ac:dyDescent="0.25">
      <c r="A25" s="302"/>
      <c r="B25" s="302"/>
      <c r="C25" s="315"/>
      <c r="D25" s="315"/>
      <c r="E25" s="315"/>
      <c r="F25" s="302"/>
      <c r="G25" s="302"/>
      <c r="H25" s="302"/>
      <c r="I25" s="302"/>
      <c r="J25" s="302"/>
      <c r="K25" s="334"/>
      <c r="L25" s="342"/>
    </row>
    <row r="26" spans="1:12" x14ac:dyDescent="0.25">
      <c r="A26" s="303"/>
      <c r="B26" s="303"/>
      <c r="C26" s="313"/>
      <c r="D26" s="313"/>
      <c r="E26" s="313"/>
      <c r="F26" s="302"/>
      <c r="G26" s="302"/>
      <c r="H26" s="302"/>
      <c r="I26" s="303"/>
      <c r="J26" s="303"/>
      <c r="K26" s="334"/>
      <c r="L26" s="342"/>
    </row>
    <row r="27" spans="1:12" x14ac:dyDescent="0.25">
      <c r="A27" s="302"/>
      <c r="B27" s="302"/>
      <c r="C27" s="315"/>
      <c r="D27" s="315"/>
      <c r="E27" s="315"/>
      <c r="F27" s="302"/>
      <c r="G27" s="302"/>
      <c r="H27" s="302"/>
      <c r="I27" s="302"/>
      <c r="J27" s="302"/>
      <c r="K27" s="334"/>
      <c r="L27" s="342"/>
    </row>
    <row r="28" spans="1:12" x14ac:dyDescent="0.25">
      <c r="A28" s="303"/>
      <c r="B28" s="303"/>
      <c r="C28" s="315"/>
      <c r="D28" s="315"/>
      <c r="E28" s="315"/>
      <c r="F28" s="302"/>
      <c r="G28" s="302"/>
      <c r="H28" s="302"/>
      <c r="I28" s="302"/>
      <c r="J28" s="302"/>
      <c r="K28" s="334"/>
      <c r="L28" s="342"/>
    </row>
    <row r="29" spans="1:12" x14ac:dyDescent="0.25">
      <c r="A29" s="303"/>
      <c r="B29" s="303"/>
      <c r="C29" s="315"/>
      <c r="D29" s="315"/>
      <c r="E29" s="315"/>
      <c r="F29" s="302"/>
      <c r="G29" s="302"/>
      <c r="H29" s="302"/>
      <c r="I29" s="302"/>
      <c r="J29" s="302"/>
      <c r="K29" s="334"/>
      <c r="L29" s="342"/>
    </row>
    <row r="30" spans="1:12" x14ac:dyDescent="0.25">
      <c r="A30" s="317"/>
      <c r="B30" s="303"/>
      <c r="C30" s="318"/>
      <c r="D30" s="318"/>
      <c r="E30" s="318"/>
      <c r="F30" s="304"/>
      <c r="G30" s="304"/>
      <c r="H30" s="304"/>
      <c r="I30" s="304"/>
      <c r="J30" s="304"/>
      <c r="K30" s="416"/>
      <c r="L30" s="343"/>
    </row>
    <row r="31" spans="1:12" x14ac:dyDescent="0.25">
      <c r="A31" s="317"/>
      <c r="B31" s="317"/>
      <c r="C31" s="318"/>
      <c r="D31" s="318"/>
      <c r="E31" s="318"/>
      <c r="F31" s="304"/>
      <c r="G31" s="304"/>
      <c r="H31" s="304"/>
      <c r="I31" s="304"/>
      <c r="J31" s="304"/>
      <c r="K31" s="416"/>
      <c r="L31" s="343"/>
    </row>
    <row r="32" spans="1:12" x14ac:dyDescent="0.25">
      <c r="A32" s="317"/>
      <c r="B32" s="303"/>
      <c r="C32" s="318"/>
      <c r="D32" s="318"/>
      <c r="E32" s="318"/>
      <c r="F32" s="304"/>
      <c r="G32" s="304"/>
      <c r="H32" s="304"/>
      <c r="I32" s="304"/>
      <c r="J32" s="304"/>
      <c r="K32" s="416"/>
      <c r="L32" s="343"/>
    </row>
    <row r="33" spans="1:12" x14ac:dyDescent="0.25">
      <c r="A33" s="317"/>
      <c r="B33" s="303"/>
      <c r="C33" s="318"/>
      <c r="D33" s="318"/>
      <c r="E33" s="318"/>
      <c r="F33" s="304"/>
      <c r="G33" s="304"/>
      <c r="H33" s="304"/>
      <c r="I33" s="304"/>
      <c r="J33" s="304"/>
      <c r="K33" s="416"/>
      <c r="L33" s="343"/>
    </row>
    <row r="34" spans="1:12" x14ac:dyDescent="0.25">
      <c r="A34" s="317"/>
      <c r="B34" s="317"/>
      <c r="C34" s="318"/>
      <c r="D34" s="318"/>
      <c r="E34" s="318"/>
      <c r="F34" s="304"/>
      <c r="G34" s="304"/>
      <c r="H34" s="304"/>
      <c r="I34" s="304"/>
      <c r="J34" s="304"/>
      <c r="K34" s="416"/>
      <c r="L34" s="343"/>
    </row>
    <row r="35" spans="1:12" x14ac:dyDescent="0.25">
      <c r="A35" s="317"/>
      <c r="B35" s="317"/>
      <c r="C35" s="318"/>
      <c r="D35" s="318"/>
      <c r="E35" s="318"/>
      <c r="F35" s="304"/>
      <c r="G35" s="304"/>
      <c r="H35" s="304"/>
      <c r="I35" s="304"/>
      <c r="J35" s="304"/>
      <c r="K35" s="416"/>
      <c r="L35" s="343"/>
    </row>
    <row r="36" spans="1:12" x14ac:dyDescent="0.25">
      <c r="A36" s="317"/>
      <c r="B36" s="317"/>
      <c r="C36" s="318"/>
      <c r="D36" s="318"/>
      <c r="E36" s="318"/>
      <c r="F36" s="304"/>
      <c r="G36" s="304"/>
      <c r="H36" s="304"/>
      <c r="I36" s="304"/>
      <c r="J36" s="304"/>
      <c r="K36" s="416"/>
      <c r="L36" s="343"/>
    </row>
    <row r="37" spans="1:12" x14ac:dyDescent="0.25">
      <c r="A37" s="317"/>
      <c r="B37" s="317"/>
      <c r="C37" s="318"/>
      <c r="D37" s="318"/>
      <c r="E37" s="318"/>
      <c r="F37" s="304"/>
      <c r="G37" s="304"/>
      <c r="H37" s="304"/>
      <c r="I37" s="304"/>
      <c r="J37" s="304"/>
      <c r="K37" s="416"/>
      <c r="L37" s="343"/>
    </row>
    <row r="38" spans="1:12" x14ac:dyDescent="0.25">
      <c r="A38" s="317"/>
      <c r="B38" s="317"/>
      <c r="C38" s="318"/>
      <c r="D38" s="318"/>
      <c r="E38" s="318"/>
      <c r="F38" s="304"/>
      <c r="G38" s="304"/>
      <c r="H38" s="304"/>
      <c r="I38" s="304"/>
      <c r="J38" s="304"/>
      <c r="K38" s="416"/>
      <c r="L38" s="343"/>
    </row>
    <row r="39" spans="1:12" x14ac:dyDescent="0.25">
      <c r="A39" s="317"/>
      <c r="B39" s="317"/>
      <c r="C39" s="318"/>
      <c r="D39" s="318"/>
      <c r="E39" s="318"/>
      <c r="F39" s="304"/>
      <c r="G39" s="304"/>
      <c r="H39" s="304"/>
      <c r="I39" s="304"/>
      <c r="J39" s="304"/>
      <c r="K39" s="416"/>
      <c r="L39" s="343"/>
    </row>
    <row r="40" spans="1:12" x14ac:dyDescent="0.25">
      <c r="A40" s="317"/>
      <c r="B40" s="317"/>
      <c r="C40" s="318"/>
      <c r="D40" s="318"/>
      <c r="E40" s="318"/>
      <c r="F40" s="304"/>
      <c r="G40" s="304"/>
      <c r="H40" s="304"/>
      <c r="I40" s="304"/>
      <c r="J40" s="304"/>
      <c r="K40" s="416"/>
      <c r="L40" s="343"/>
    </row>
    <row r="41" spans="1:12" x14ac:dyDescent="0.25">
      <c r="A41" s="317"/>
      <c r="B41" s="317"/>
      <c r="C41" s="318"/>
      <c r="D41" s="318"/>
      <c r="E41" s="318"/>
      <c r="F41" s="304"/>
      <c r="G41" s="304"/>
      <c r="H41" s="304"/>
      <c r="I41" s="304"/>
      <c r="J41" s="304"/>
      <c r="K41" s="416"/>
      <c r="L41" s="343"/>
    </row>
    <row r="42" spans="1:12" x14ac:dyDescent="0.25">
      <c r="A42" s="317"/>
      <c r="B42" s="317"/>
      <c r="C42" s="318"/>
      <c r="D42" s="318"/>
      <c r="E42" s="318"/>
      <c r="F42" s="304"/>
      <c r="G42" s="304"/>
      <c r="H42" s="304"/>
      <c r="I42" s="304"/>
      <c r="J42" s="304"/>
      <c r="K42" s="416"/>
      <c r="L42" s="343"/>
    </row>
    <row r="43" spans="1:12" x14ac:dyDescent="0.25">
      <c r="A43" s="317"/>
      <c r="B43" s="317"/>
      <c r="C43" s="318"/>
      <c r="D43" s="318"/>
      <c r="E43" s="318"/>
      <c r="F43" s="304"/>
      <c r="G43" s="304"/>
      <c r="H43" s="304"/>
      <c r="I43" s="304"/>
      <c r="J43" s="304"/>
      <c r="K43" s="416"/>
      <c r="L43" s="343"/>
    </row>
    <row r="44" spans="1:12" x14ac:dyDescent="0.25">
      <c r="A44" s="317"/>
      <c r="B44" s="317"/>
      <c r="C44" s="318"/>
      <c r="D44" s="318"/>
      <c r="E44" s="318"/>
      <c r="F44" s="304"/>
      <c r="G44" s="304"/>
      <c r="H44" s="304"/>
      <c r="I44" s="304"/>
      <c r="J44" s="304"/>
      <c r="K44" s="416"/>
      <c r="L44" s="343"/>
    </row>
    <row r="45" spans="1:12" x14ac:dyDescent="0.25">
      <c r="A45" s="317"/>
      <c r="B45" s="317"/>
      <c r="C45" s="318"/>
      <c r="D45" s="318"/>
      <c r="E45" s="318"/>
      <c r="F45" s="304"/>
      <c r="G45" s="304"/>
      <c r="H45" s="304"/>
      <c r="I45" s="304"/>
      <c r="J45" s="304"/>
      <c r="K45" s="416"/>
      <c r="L45" s="343"/>
    </row>
    <row r="46" spans="1:12" x14ac:dyDescent="0.25">
      <c r="A46" s="317"/>
      <c r="B46" s="317"/>
      <c r="C46" s="318"/>
      <c r="D46" s="318"/>
      <c r="E46" s="318"/>
      <c r="F46" s="304"/>
      <c r="G46" s="304"/>
      <c r="H46" s="304"/>
      <c r="I46" s="304"/>
      <c r="J46" s="304"/>
      <c r="K46" s="416"/>
      <c r="L46" s="343"/>
    </row>
    <row r="47" spans="1:12" x14ac:dyDescent="0.25">
      <c r="A47" s="317"/>
      <c r="B47" s="317"/>
      <c r="C47" s="318"/>
      <c r="D47" s="318"/>
      <c r="E47" s="318"/>
      <c r="F47" s="304"/>
      <c r="G47" s="304"/>
      <c r="H47" s="304"/>
      <c r="I47" s="304"/>
      <c r="J47" s="304"/>
      <c r="K47" s="416"/>
      <c r="L47" s="343"/>
    </row>
    <row r="48" spans="1:12" x14ac:dyDescent="0.25">
      <c r="A48" s="317"/>
      <c r="B48" s="317"/>
      <c r="C48" s="318"/>
      <c r="D48" s="318"/>
      <c r="E48" s="318"/>
      <c r="F48" s="304"/>
      <c r="G48" s="304"/>
      <c r="H48" s="304"/>
      <c r="I48" s="304"/>
      <c r="J48" s="304"/>
      <c r="K48" s="416"/>
      <c r="L48" s="343"/>
    </row>
    <row r="49" spans="1:12" x14ac:dyDescent="0.25">
      <c r="A49" s="317"/>
      <c r="B49" s="303"/>
      <c r="C49" s="318"/>
      <c r="D49" s="318"/>
      <c r="E49" s="318"/>
      <c r="F49" s="304"/>
      <c r="G49" s="304"/>
      <c r="H49" s="304"/>
      <c r="I49" s="304"/>
      <c r="J49" s="304"/>
      <c r="K49" s="416"/>
      <c r="L49" s="343"/>
    </row>
    <row r="50" spans="1:12" x14ac:dyDescent="0.25">
      <c r="A50" s="317"/>
      <c r="B50" s="317"/>
      <c r="C50" s="318"/>
      <c r="D50" s="318"/>
      <c r="E50" s="318"/>
      <c r="F50" s="304"/>
      <c r="G50" s="304"/>
      <c r="H50" s="304"/>
      <c r="I50" s="304"/>
      <c r="J50" s="304"/>
      <c r="K50" s="416"/>
      <c r="L50" s="343"/>
    </row>
    <row r="51" spans="1:12" x14ac:dyDescent="0.25">
      <c r="A51" s="317"/>
      <c r="B51" s="317"/>
      <c r="C51" s="318"/>
      <c r="D51" s="318"/>
      <c r="E51" s="318"/>
      <c r="F51" s="304"/>
      <c r="G51" s="304"/>
      <c r="H51" s="304"/>
      <c r="I51" s="304"/>
      <c r="J51" s="304"/>
      <c r="K51" s="416"/>
      <c r="L51" s="343"/>
    </row>
    <row r="52" spans="1:12" x14ac:dyDescent="0.25">
      <c r="A52" s="317"/>
      <c r="B52" s="317"/>
      <c r="C52" s="318"/>
      <c r="D52" s="318"/>
      <c r="E52" s="318"/>
      <c r="F52" s="304"/>
      <c r="G52" s="304"/>
      <c r="H52" s="304"/>
      <c r="I52" s="304"/>
      <c r="J52" s="304"/>
      <c r="K52" s="416"/>
      <c r="L52" s="343"/>
    </row>
    <row r="53" spans="1:12" x14ac:dyDescent="0.25">
      <c r="A53" s="317"/>
      <c r="B53" s="317"/>
      <c r="C53" s="318"/>
      <c r="D53" s="318"/>
      <c r="E53" s="318"/>
      <c r="F53" s="304"/>
      <c r="G53" s="304"/>
      <c r="H53" s="304"/>
      <c r="I53" s="304"/>
      <c r="J53" s="304"/>
      <c r="K53" s="416"/>
      <c r="L53" s="343"/>
    </row>
    <row r="54" spans="1:12" x14ac:dyDescent="0.25">
      <c r="A54" s="317"/>
      <c r="B54" s="317"/>
      <c r="C54" s="318"/>
      <c r="D54" s="318"/>
      <c r="E54" s="318"/>
      <c r="F54" s="304"/>
      <c r="G54" s="304"/>
      <c r="H54" s="304"/>
      <c r="I54" s="304"/>
      <c r="J54" s="304"/>
      <c r="K54" s="416"/>
      <c r="L54" s="343"/>
    </row>
    <row r="55" spans="1:12" x14ac:dyDescent="0.25">
      <c r="A55" s="317"/>
      <c r="B55" s="317"/>
      <c r="C55" s="318"/>
      <c r="D55" s="318"/>
      <c r="E55" s="318"/>
      <c r="F55" s="304"/>
      <c r="G55" s="304"/>
      <c r="H55" s="304"/>
      <c r="I55" s="304"/>
      <c r="J55" s="304"/>
      <c r="K55" s="416"/>
      <c r="L55" s="343"/>
    </row>
    <row r="56" spans="1:12" x14ac:dyDescent="0.25">
      <c r="A56" s="317"/>
      <c r="B56" s="317"/>
      <c r="C56" s="318"/>
      <c r="D56" s="318"/>
      <c r="E56" s="318"/>
      <c r="F56" s="304"/>
      <c r="G56" s="304"/>
      <c r="H56" s="304"/>
      <c r="I56" s="304"/>
      <c r="J56" s="304"/>
      <c r="K56" s="416"/>
      <c r="L56" s="343"/>
    </row>
    <row r="57" spans="1:12" x14ac:dyDescent="0.25">
      <c r="A57" s="317"/>
      <c r="B57" s="317"/>
      <c r="C57" s="318"/>
      <c r="D57" s="318"/>
      <c r="E57" s="318"/>
      <c r="F57" s="304"/>
      <c r="G57" s="304"/>
      <c r="H57" s="304"/>
      <c r="I57" s="304"/>
      <c r="J57" s="304"/>
      <c r="K57" s="416"/>
      <c r="L57" s="343"/>
    </row>
    <row r="58" spans="1:12" x14ac:dyDescent="0.25">
      <c r="A58" s="317"/>
      <c r="B58" s="317"/>
      <c r="C58" s="318"/>
      <c r="D58" s="318"/>
      <c r="E58" s="318"/>
      <c r="F58" s="304"/>
      <c r="G58" s="304"/>
      <c r="H58" s="304"/>
      <c r="I58" s="304"/>
      <c r="J58" s="304"/>
      <c r="K58" s="416"/>
      <c r="L58" s="343"/>
    </row>
    <row r="59" spans="1:12" x14ac:dyDescent="0.25">
      <c r="A59" s="317"/>
      <c r="B59" s="303"/>
      <c r="C59" s="318"/>
      <c r="D59" s="318"/>
      <c r="E59" s="318"/>
      <c r="F59" s="304"/>
      <c r="G59" s="304"/>
      <c r="H59" s="304"/>
      <c r="I59" s="304"/>
      <c r="J59" s="304"/>
      <c r="K59" s="416"/>
      <c r="L59" s="343"/>
    </row>
    <row r="60" spans="1:12" x14ac:dyDescent="0.25">
      <c r="A60" s="317"/>
      <c r="B60" s="317"/>
      <c r="C60" s="318"/>
      <c r="D60" s="318"/>
      <c r="E60" s="318"/>
      <c r="F60" s="304"/>
      <c r="G60" s="304"/>
      <c r="H60" s="304"/>
      <c r="I60" s="304"/>
      <c r="J60" s="304"/>
      <c r="K60" s="416"/>
      <c r="L60" s="343"/>
    </row>
    <row r="61" spans="1:12" x14ac:dyDescent="0.25">
      <c r="A61" s="317"/>
      <c r="B61" s="317"/>
      <c r="C61" s="318"/>
      <c r="D61" s="318"/>
      <c r="E61" s="318"/>
      <c r="F61" s="304"/>
      <c r="G61" s="304"/>
      <c r="H61" s="304"/>
      <c r="I61" s="304"/>
      <c r="J61" s="304"/>
      <c r="K61" s="416"/>
      <c r="L61" s="343"/>
    </row>
    <row r="62" spans="1:12" x14ac:dyDescent="0.25">
      <c r="A62" s="304"/>
      <c r="B62" s="317"/>
      <c r="C62" s="318"/>
      <c r="D62" s="318"/>
      <c r="E62" s="318"/>
      <c r="F62" s="304"/>
      <c r="G62" s="304"/>
      <c r="H62" s="304"/>
      <c r="I62" s="317"/>
      <c r="J62" s="317"/>
      <c r="K62" s="416"/>
      <c r="L62" s="343"/>
    </row>
    <row r="63" spans="1:12" x14ac:dyDescent="0.25">
      <c r="A63" s="317"/>
      <c r="B63" s="317"/>
      <c r="C63" s="318"/>
      <c r="D63" s="318"/>
      <c r="E63" s="318"/>
      <c r="F63" s="304"/>
      <c r="G63" s="304"/>
      <c r="H63" s="304"/>
      <c r="I63" s="304"/>
      <c r="J63" s="304"/>
      <c r="K63" s="416"/>
      <c r="L63" s="343"/>
    </row>
    <row r="64" spans="1:12" x14ac:dyDescent="0.25">
      <c r="A64" s="317"/>
      <c r="B64" s="317"/>
      <c r="C64" s="318"/>
      <c r="D64" s="318"/>
      <c r="E64" s="318"/>
      <c r="F64" s="304"/>
      <c r="G64" s="304"/>
      <c r="H64" s="304"/>
      <c r="I64" s="304"/>
      <c r="J64" s="304"/>
      <c r="K64" s="416"/>
      <c r="L64" s="343"/>
    </row>
    <row r="65" spans="1:12" x14ac:dyDescent="0.25">
      <c r="A65" s="317"/>
      <c r="B65" s="317"/>
      <c r="C65" s="318"/>
      <c r="D65" s="318"/>
      <c r="E65" s="318"/>
      <c r="F65" s="304"/>
      <c r="G65" s="304"/>
      <c r="H65" s="304"/>
      <c r="I65" s="304"/>
      <c r="J65" s="304"/>
      <c r="K65" s="416"/>
      <c r="L65" s="343"/>
    </row>
    <row r="66" spans="1:12" x14ac:dyDescent="0.25">
      <c r="A66" s="317"/>
      <c r="B66" s="317"/>
      <c r="C66" s="318"/>
      <c r="D66" s="318"/>
      <c r="E66" s="318"/>
      <c r="F66" s="304"/>
      <c r="G66" s="304"/>
      <c r="H66" s="304"/>
      <c r="I66" s="304"/>
      <c r="J66" s="304"/>
      <c r="K66" s="416"/>
      <c r="L66" s="343"/>
    </row>
    <row r="67" spans="1:12" x14ac:dyDescent="0.25">
      <c r="A67" s="317"/>
      <c r="B67" s="317"/>
      <c r="C67" s="318"/>
      <c r="D67" s="318"/>
      <c r="E67" s="318"/>
      <c r="F67" s="304"/>
      <c r="G67" s="304"/>
      <c r="H67" s="304"/>
      <c r="I67" s="304"/>
      <c r="J67" s="304"/>
      <c r="K67" s="416"/>
      <c r="L67" s="343"/>
    </row>
    <row r="68" spans="1:12" x14ac:dyDescent="0.25">
      <c r="A68" s="317"/>
      <c r="B68" s="317"/>
      <c r="C68" s="318"/>
      <c r="D68" s="318"/>
      <c r="E68" s="318"/>
      <c r="F68" s="304"/>
      <c r="G68" s="304"/>
      <c r="H68" s="304"/>
      <c r="I68" s="304"/>
      <c r="J68" s="304"/>
      <c r="K68" s="416"/>
      <c r="L68" s="343"/>
    </row>
    <row r="69" spans="1:12" x14ac:dyDescent="0.25">
      <c r="A69" s="317"/>
      <c r="B69" s="317"/>
      <c r="C69" s="318"/>
      <c r="D69" s="318"/>
      <c r="E69" s="318"/>
      <c r="F69" s="304"/>
      <c r="G69" s="304"/>
      <c r="H69" s="304"/>
      <c r="I69" s="304"/>
      <c r="J69" s="304"/>
      <c r="K69" s="416"/>
      <c r="L69" s="343"/>
    </row>
    <row r="70" spans="1:12" x14ac:dyDescent="0.25">
      <c r="A70" s="317"/>
      <c r="B70" s="317"/>
      <c r="C70" s="318"/>
      <c r="D70" s="318"/>
      <c r="E70" s="318"/>
      <c r="F70" s="304"/>
      <c r="G70" s="304"/>
      <c r="H70" s="304"/>
      <c r="I70" s="304"/>
      <c r="J70" s="304"/>
      <c r="K70" s="416"/>
      <c r="L70" s="343"/>
    </row>
    <row r="71" spans="1:12" x14ac:dyDescent="0.25">
      <c r="A71" s="317"/>
      <c r="B71" s="317"/>
      <c r="C71" s="318"/>
      <c r="D71" s="318"/>
      <c r="E71" s="318"/>
      <c r="F71" s="304"/>
      <c r="G71" s="304"/>
      <c r="H71" s="304"/>
      <c r="I71" s="304"/>
      <c r="J71" s="304"/>
      <c r="K71" s="416"/>
      <c r="L71" s="343"/>
    </row>
    <row r="72" spans="1:12" x14ac:dyDescent="0.25">
      <c r="A72" s="317"/>
      <c r="B72" s="303"/>
      <c r="C72" s="318"/>
      <c r="D72" s="318"/>
      <c r="E72" s="318"/>
      <c r="F72" s="304"/>
      <c r="G72" s="304"/>
      <c r="H72" s="304"/>
      <c r="I72" s="304"/>
      <c r="J72" s="304"/>
      <c r="K72" s="416"/>
      <c r="L72" s="343"/>
    </row>
    <row r="73" spans="1:12" x14ac:dyDescent="0.25">
      <c r="A73" s="317"/>
      <c r="B73" s="303"/>
      <c r="C73" s="318"/>
      <c r="D73" s="318"/>
      <c r="E73" s="318"/>
      <c r="F73" s="304"/>
      <c r="G73" s="304"/>
      <c r="H73" s="304"/>
      <c r="I73" s="304"/>
      <c r="J73" s="304"/>
      <c r="K73" s="416"/>
      <c r="L73" s="343"/>
    </row>
    <row r="74" spans="1:12" x14ac:dyDescent="0.25">
      <c r="A74" s="317"/>
      <c r="B74" s="317"/>
      <c r="C74" s="318"/>
      <c r="D74" s="318"/>
      <c r="E74" s="318"/>
      <c r="F74" s="304"/>
      <c r="G74" s="304"/>
      <c r="H74" s="304"/>
      <c r="I74" s="304"/>
      <c r="J74" s="304"/>
      <c r="K74" s="416"/>
      <c r="L74" s="343"/>
    </row>
    <row r="75" spans="1:12" x14ac:dyDescent="0.25">
      <c r="A75" s="317"/>
      <c r="B75" s="317"/>
      <c r="C75" s="318"/>
      <c r="D75" s="318"/>
      <c r="E75" s="318"/>
      <c r="F75" s="304"/>
      <c r="G75" s="304"/>
      <c r="H75" s="304"/>
      <c r="I75" s="304"/>
      <c r="J75" s="304"/>
      <c r="K75" s="416"/>
      <c r="L75" s="343"/>
    </row>
    <row r="76" spans="1:12" x14ac:dyDescent="0.25">
      <c r="A76" s="317"/>
      <c r="B76" s="303"/>
      <c r="C76" s="318"/>
      <c r="D76" s="318"/>
      <c r="E76" s="318"/>
      <c r="F76" s="304"/>
      <c r="G76" s="304"/>
      <c r="H76" s="304"/>
      <c r="I76" s="304"/>
      <c r="J76" s="304"/>
      <c r="K76" s="416"/>
      <c r="L76" s="343"/>
    </row>
    <row r="77" spans="1:12" x14ac:dyDescent="0.25">
      <c r="A77" s="317"/>
      <c r="B77" s="317"/>
      <c r="C77" s="318"/>
      <c r="D77" s="318"/>
      <c r="E77" s="318"/>
      <c r="F77" s="304"/>
      <c r="G77" s="304"/>
      <c r="H77" s="304"/>
      <c r="I77" s="304"/>
      <c r="J77" s="304"/>
      <c r="K77" s="416"/>
      <c r="L77" s="343"/>
    </row>
    <row r="78" spans="1:12" x14ac:dyDescent="0.25">
      <c r="A78" s="317"/>
      <c r="B78" s="317"/>
      <c r="C78" s="318"/>
      <c r="D78" s="318"/>
      <c r="E78" s="318"/>
      <c r="F78" s="304"/>
      <c r="G78" s="304"/>
      <c r="H78" s="304"/>
      <c r="I78" s="304"/>
      <c r="J78" s="304"/>
      <c r="K78" s="416"/>
      <c r="L78" s="343"/>
    </row>
    <row r="79" spans="1:12" x14ac:dyDescent="0.25">
      <c r="A79" s="317"/>
      <c r="B79" s="317"/>
      <c r="C79" s="318"/>
      <c r="D79" s="318"/>
      <c r="E79" s="318"/>
      <c r="F79" s="304"/>
      <c r="G79" s="304"/>
      <c r="H79" s="304"/>
      <c r="I79" s="304"/>
      <c r="J79" s="304"/>
      <c r="K79" s="416"/>
      <c r="L79" s="343"/>
    </row>
    <row r="80" spans="1:12" x14ac:dyDescent="0.25">
      <c r="A80" s="317"/>
      <c r="B80" s="317"/>
      <c r="C80" s="318"/>
      <c r="D80" s="318"/>
      <c r="E80" s="318"/>
      <c r="F80" s="304"/>
      <c r="G80" s="304"/>
      <c r="H80" s="304"/>
      <c r="I80" s="304"/>
      <c r="J80" s="304"/>
      <c r="K80" s="416"/>
      <c r="L80" s="343"/>
    </row>
    <row r="81" spans="1:12" x14ac:dyDescent="0.25">
      <c r="A81" s="317"/>
      <c r="B81" s="317"/>
      <c r="C81" s="318"/>
      <c r="D81" s="318"/>
      <c r="E81" s="318"/>
      <c r="F81" s="304"/>
      <c r="G81" s="304"/>
      <c r="H81" s="304"/>
      <c r="I81" s="304"/>
      <c r="J81" s="304"/>
      <c r="K81" s="416"/>
      <c r="L81" s="343"/>
    </row>
    <row r="82" spans="1:12" x14ac:dyDescent="0.25">
      <c r="A82" s="317"/>
      <c r="B82" s="317"/>
      <c r="C82" s="318"/>
      <c r="D82" s="318"/>
      <c r="E82" s="318"/>
      <c r="F82" s="304"/>
      <c r="G82" s="304"/>
      <c r="H82" s="304"/>
      <c r="I82" s="304"/>
      <c r="J82" s="304"/>
      <c r="K82" s="416"/>
      <c r="L82" s="343"/>
    </row>
    <row r="83" spans="1:12" x14ac:dyDescent="0.25">
      <c r="A83" s="317"/>
      <c r="B83" s="317"/>
      <c r="C83" s="318"/>
      <c r="D83" s="318"/>
      <c r="E83" s="318"/>
      <c r="F83" s="304"/>
      <c r="G83" s="304"/>
      <c r="H83" s="304"/>
      <c r="I83" s="304"/>
      <c r="J83" s="304"/>
      <c r="K83" s="416"/>
      <c r="L83" s="343"/>
    </row>
    <row r="84" spans="1:12" x14ac:dyDescent="0.25">
      <c r="A84" s="304"/>
      <c r="B84" s="317"/>
      <c r="C84" s="318"/>
      <c r="D84" s="318"/>
      <c r="E84" s="318"/>
      <c r="F84" s="304"/>
      <c r="G84" s="304"/>
      <c r="H84" s="304"/>
      <c r="I84" s="317"/>
      <c r="J84" s="317"/>
      <c r="K84" s="416"/>
      <c r="L84" s="343"/>
    </row>
    <row r="85" spans="1:12" x14ac:dyDescent="0.25">
      <c r="A85" s="317"/>
      <c r="B85" s="317"/>
      <c r="C85" s="318"/>
      <c r="D85" s="318"/>
      <c r="E85" s="318"/>
      <c r="F85" s="304"/>
      <c r="G85" s="304"/>
      <c r="H85" s="304"/>
      <c r="I85" s="304"/>
      <c r="J85" s="304"/>
      <c r="K85" s="416"/>
      <c r="L85" s="343"/>
    </row>
    <row r="86" spans="1:12" x14ac:dyDescent="0.25">
      <c r="A86" s="317"/>
      <c r="B86" s="317"/>
      <c r="C86" s="318"/>
      <c r="D86" s="318"/>
      <c r="E86" s="318"/>
      <c r="F86" s="304"/>
      <c r="G86" s="304"/>
      <c r="H86" s="304"/>
      <c r="I86" s="304"/>
      <c r="J86" s="304"/>
      <c r="K86" s="416"/>
      <c r="L86" s="343"/>
    </row>
    <row r="87" spans="1:12" x14ac:dyDescent="0.25">
      <c r="A87" s="317"/>
      <c r="B87" s="317"/>
      <c r="C87" s="318"/>
      <c r="D87" s="318"/>
      <c r="E87" s="318"/>
      <c r="F87" s="304"/>
      <c r="G87" s="304"/>
      <c r="H87" s="304"/>
      <c r="I87" s="304"/>
      <c r="J87" s="304"/>
      <c r="K87" s="416"/>
      <c r="L87" s="343"/>
    </row>
    <row r="88" spans="1:12" x14ac:dyDescent="0.25">
      <c r="A88" s="317"/>
      <c r="B88" s="317"/>
      <c r="C88" s="318"/>
      <c r="D88" s="318"/>
      <c r="E88" s="318"/>
      <c r="F88" s="304"/>
      <c r="G88" s="304"/>
      <c r="H88" s="304"/>
      <c r="I88" s="304"/>
      <c r="J88" s="304"/>
      <c r="K88" s="416"/>
      <c r="L88" s="343"/>
    </row>
    <row r="89" spans="1:12" x14ac:dyDescent="0.25">
      <c r="A89" s="317"/>
      <c r="B89" s="317"/>
      <c r="C89" s="318"/>
      <c r="D89" s="318"/>
      <c r="E89" s="318"/>
      <c r="F89" s="304"/>
      <c r="G89" s="304"/>
      <c r="H89" s="304"/>
      <c r="I89" s="304"/>
      <c r="J89" s="304"/>
      <c r="K89" s="416"/>
      <c r="L89" s="343"/>
    </row>
    <row r="90" spans="1:12" x14ac:dyDescent="0.25">
      <c r="A90" s="317"/>
      <c r="B90" s="317"/>
      <c r="C90" s="318"/>
      <c r="D90" s="318"/>
      <c r="E90" s="318"/>
      <c r="F90" s="304"/>
      <c r="G90" s="304"/>
      <c r="H90" s="304"/>
      <c r="I90" s="304"/>
      <c r="J90" s="304"/>
      <c r="K90" s="416"/>
      <c r="L90" s="343"/>
    </row>
    <row r="91" spans="1:12" x14ac:dyDescent="0.25">
      <c r="A91" s="317"/>
      <c r="B91" s="317"/>
      <c r="C91" s="318"/>
      <c r="D91" s="318"/>
      <c r="E91" s="318"/>
      <c r="F91" s="304"/>
      <c r="G91" s="304"/>
      <c r="H91" s="304"/>
      <c r="I91" s="304"/>
      <c r="J91" s="304"/>
      <c r="K91" s="416"/>
      <c r="L91" s="343"/>
    </row>
    <row r="92" spans="1:12" x14ac:dyDescent="0.25">
      <c r="A92" s="317"/>
      <c r="B92" s="317"/>
      <c r="C92" s="318"/>
      <c r="D92" s="318"/>
      <c r="E92" s="318"/>
      <c r="F92" s="304"/>
      <c r="G92" s="304"/>
      <c r="H92" s="304"/>
      <c r="I92" s="304"/>
      <c r="J92" s="304"/>
      <c r="K92" s="416"/>
      <c r="L92" s="343"/>
    </row>
    <row r="93" spans="1:12" x14ac:dyDescent="0.25">
      <c r="A93" s="317"/>
      <c r="B93" s="317"/>
      <c r="C93" s="318"/>
      <c r="D93" s="318"/>
      <c r="E93" s="318"/>
      <c r="F93" s="304"/>
      <c r="G93" s="304"/>
      <c r="H93" s="304"/>
      <c r="I93" s="304"/>
      <c r="J93" s="304"/>
      <c r="K93" s="416"/>
      <c r="L93" s="343"/>
    </row>
    <row r="94" spans="1:12" x14ac:dyDescent="0.25">
      <c r="A94" s="317"/>
      <c r="B94" s="317"/>
      <c r="C94" s="318"/>
      <c r="D94" s="318"/>
      <c r="E94" s="318"/>
      <c r="F94" s="304"/>
      <c r="G94" s="304"/>
      <c r="H94" s="304"/>
      <c r="I94" s="304"/>
      <c r="J94" s="304"/>
      <c r="K94" s="416"/>
      <c r="L94" s="343"/>
    </row>
    <row r="95" spans="1:12" x14ac:dyDescent="0.25">
      <c r="A95" s="317"/>
      <c r="B95" s="317"/>
      <c r="C95" s="318"/>
      <c r="D95" s="318"/>
      <c r="E95" s="318"/>
      <c r="F95" s="304"/>
      <c r="G95" s="304"/>
      <c r="H95" s="304"/>
      <c r="I95" s="304"/>
      <c r="J95" s="304"/>
      <c r="K95" s="416"/>
      <c r="L95" s="343"/>
    </row>
    <row r="96" spans="1:12" x14ac:dyDescent="0.25">
      <c r="A96" s="317"/>
      <c r="B96" s="317"/>
      <c r="C96" s="318"/>
      <c r="D96" s="318"/>
      <c r="E96" s="318"/>
      <c r="F96" s="304"/>
      <c r="G96" s="304"/>
      <c r="H96" s="304"/>
      <c r="I96" s="304"/>
      <c r="J96" s="304"/>
      <c r="K96" s="416"/>
      <c r="L96" s="343"/>
    </row>
    <row r="97" spans="1:12" x14ac:dyDescent="0.25">
      <c r="A97" s="317"/>
      <c r="B97" s="317"/>
      <c r="C97" s="318"/>
      <c r="D97" s="318"/>
      <c r="E97" s="318"/>
      <c r="F97" s="304"/>
      <c r="G97" s="304"/>
      <c r="H97" s="304"/>
      <c r="I97" s="304"/>
      <c r="J97" s="304"/>
      <c r="K97" s="416"/>
      <c r="L97" s="343"/>
    </row>
    <row r="98" spans="1:12" x14ac:dyDescent="0.25">
      <c r="A98" s="317"/>
      <c r="B98" s="317"/>
      <c r="C98" s="318"/>
      <c r="D98" s="318"/>
      <c r="E98" s="318"/>
      <c r="F98" s="304"/>
      <c r="G98" s="304"/>
      <c r="H98" s="304"/>
      <c r="I98" s="304"/>
      <c r="J98" s="304"/>
      <c r="K98" s="416"/>
      <c r="L98" s="343"/>
    </row>
    <row r="99" spans="1:12" x14ac:dyDescent="0.25">
      <c r="A99" s="317"/>
      <c r="B99" s="317"/>
      <c r="C99" s="318"/>
      <c r="D99" s="318"/>
      <c r="E99" s="318"/>
      <c r="F99" s="304"/>
      <c r="G99" s="304"/>
      <c r="H99" s="304"/>
      <c r="I99" s="304"/>
      <c r="J99" s="304"/>
      <c r="K99" s="416"/>
      <c r="L99" s="343"/>
    </row>
    <row r="100" spans="1:12" x14ac:dyDescent="0.25">
      <c r="A100" s="317"/>
      <c r="B100" s="317"/>
      <c r="C100" s="318"/>
      <c r="D100" s="318"/>
      <c r="E100" s="318"/>
      <c r="F100" s="304"/>
      <c r="G100" s="304"/>
      <c r="H100" s="304"/>
      <c r="I100" s="304"/>
      <c r="J100" s="304"/>
      <c r="K100" s="416"/>
      <c r="L100" s="343"/>
    </row>
    <row r="101" spans="1:12" x14ac:dyDescent="0.25">
      <c r="A101" s="317"/>
      <c r="B101" s="317"/>
      <c r="C101" s="318"/>
      <c r="D101" s="318"/>
      <c r="E101" s="318"/>
      <c r="F101" s="304"/>
      <c r="G101" s="304"/>
      <c r="H101" s="304"/>
      <c r="I101" s="304"/>
      <c r="J101" s="304"/>
      <c r="K101" s="416"/>
      <c r="L101" s="343"/>
    </row>
    <row r="102" spans="1:12" x14ac:dyDescent="0.25">
      <c r="A102" s="317"/>
      <c r="B102" s="317"/>
      <c r="C102" s="318"/>
      <c r="D102" s="318"/>
      <c r="E102" s="318"/>
      <c r="F102" s="304"/>
      <c r="G102" s="304"/>
      <c r="H102" s="304"/>
      <c r="I102" s="304"/>
      <c r="J102" s="304"/>
      <c r="K102" s="416"/>
      <c r="L102" s="343"/>
    </row>
    <row r="103" spans="1:12" x14ac:dyDescent="0.25">
      <c r="A103" s="317"/>
      <c r="B103" s="317"/>
      <c r="C103" s="318"/>
      <c r="D103" s="318"/>
      <c r="E103" s="318"/>
      <c r="F103" s="304"/>
      <c r="G103" s="304"/>
      <c r="H103" s="304"/>
      <c r="I103" s="304"/>
      <c r="J103" s="304"/>
      <c r="K103" s="416"/>
      <c r="L103" s="343"/>
    </row>
    <row r="104" spans="1:12" x14ac:dyDescent="0.25">
      <c r="A104" s="317"/>
      <c r="B104" s="317"/>
      <c r="C104" s="318"/>
      <c r="D104" s="318"/>
      <c r="E104" s="318"/>
      <c r="F104" s="304"/>
      <c r="G104" s="304"/>
      <c r="H104" s="304"/>
      <c r="I104" s="304"/>
      <c r="J104" s="304"/>
      <c r="K104" s="416"/>
      <c r="L104" s="343"/>
    </row>
    <row r="105" spans="1:12" x14ac:dyDescent="0.25">
      <c r="A105" s="317"/>
      <c r="B105" s="317"/>
      <c r="C105" s="318"/>
      <c r="D105" s="318"/>
      <c r="E105" s="318"/>
      <c r="F105" s="304"/>
      <c r="G105" s="304"/>
      <c r="H105" s="304"/>
      <c r="I105" s="304"/>
      <c r="J105" s="304"/>
      <c r="K105" s="416"/>
      <c r="L105" s="343"/>
    </row>
    <row r="106" spans="1:12" x14ac:dyDescent="0.25">
      <c r="A106" s="317"/>
      <c r="B106" s="317"/>
      <c r="C106" s="318"/>
      <c r="D106" s="318"/>
      <c r="E106" s="318"/>
      <c r="F106" s="304"/>
      <c r="G106" s="304"/>
      <c r="H106" s="304"/>
      <c r="I106" s="304"/>
      <c r="J106" s="304"/>
      <c r="K106" s="416"/>
      <c r="L106" s="343"/>
    </row>
    <row r="107" spans="1:12" x14ac:dyDescent="0.25">
      <c r="A107" s="317"/>
      <c r="B107" s="317"/>
      <c r="C107" s="318"/>
      <c r="D107" s="318"/>
      <c r="E107" s="318"/>
      <c r="F107" s="304"/>
      <c r="G107" s="304"/>
      <c r="H107" s="304"/>
      <c r="I107" s="304"/>
      <c r="J107" s="304"/>
      <c r="K107" s="416"/>
      <c r="L107" s="343"/>
    </row>
    <row r="108" spans="1:12" x14ac:dyDescent="0.25">
      <c r="A108" s="317"/>
      <c r="B108" s="317"/>
      <c r="C108" s="318"/>
      <c r="D108" s="318"/>
      <c r="E108" s="318"/>
      <c r="F108" s="304"/>
      <c r="G108" s="304"/>
      <c r="H108" s="304"/>
      <c r="I108" s="304"/>
      <c r="J108" s="304"/>
      <c r="K108" s="416"/>
      <c r="L108" s="343"/>
    </row>
    <row r="109" spans="1:12" x14ac:dyDescent="0.25">
      <c r="A109" s="317"/>
      <c r="B109" s="317"/>
      <c r="C109" s="318"/>
      <c r="D109" s="318"/>
      <c r="E109" s="318"/>
      <c r="F109" s="304"/>
      <c r="G109" s="304"/>
      <c r="H109" s="304"/>
      <c r="I109" s="304"/>
      <c r="J109" s="304"/>
      <c r="K109" s="416"/>
      <c r="L109" s="343"/>
    </row>
    <row r="110" spans="1:12" x14ac:dyDescent="0.25">
      <c r="A110" s="317"/>
      <c r="B110" s="317"/>
      <c r="C110" s="318"/>
      <c r="D110" s="318"/>
      <c r="E110" s="318"/>
      <c r="F110" s="304"/>
      <c r="G110" s="304"/>
      <c r="H110" s="304"/>
      <c r="I110" s="304"/>
      <c r="J110" s="304"/>
      <c r="K110" s="416"/>
      <c r="L110" s="343"/>
    </row>
    <row r="111" spans="1:12" x14ac:dyDescent="0.25">
      <c r="A111" s="317"/>
      <c r="B111" s="317"/>
      <c r="C111" s="318"/>
      <c r="D111" s="318"/>
      <c r="E111" s="318"/>
      <c r="F111" s="304"/>
      <c r="G111" s="304"/>
      <c r="H111" s="304"/>
      <c r="I111" s="304"/>
      <c r="J111" s="304"/>
      <c r="K111" s="416"/>
      <c r="L111" s="343"/>
    </row>
    <row r="112" spans="1:12" x14ac:dyDescent="0.25">
      <c r="A112" s="317"/>
      <c r="B112" s="317"/>
      <c r="C112" s="318"/>
      <c r="D112" s="318"/>
      <c r="E112" s="318"/>
      <c r="F112" s="304"/>
      <c r="G112" s="304"/>
      <c r="H112" s="304"/>
      <c r="I112" s="304"/>
      <c r="J112" s="304"/>
      <c r="K112" s="416"/>
      <c r="L112" s="343"/>
    </row>
    <row r="113" spans="1:12" x14ac:dyDescent="0.25">
      <c r="A113" s="317"/>
      <c r="B113" s="317"/>
      <c r="C113" s="318"/>
      <c r="D113" s="318"/>
      <c r="E113" s="318"/>
      <c r="F113" s="304"/>
      <c r="G113" s="304"/>
      <c r="H113" s="304"/>
      <c r="I113" s="304"/>
      <c r="J113" s="304"/>
      <c r="K113" s="416"/>
      <c r="L113" s="343"/>
    </row>
    <row r="114" spans="1:12" x14ac:dyDescent="0.25">
      <c r="A114" s="317"/>
      <c r="B114" s="317"/>
      <c r="C114" s="318"/>
      <c r="D114" s="318"/>
      <c r="E114" s="318"/>
      <c r="F114" s="304"/>
      <c r="G114" s="304"/>
      <c r="H114" s="304"/>
      <c r="I114" s="304"/>
      <c r="J114" s="304"/>
      <c r="K114" s="416"/>
      <c r="L114" s="343"/>
    </row>
    <row r="115" spans="1:12" x14ac:dyDescent="0.25">
      <c r="A115" s="317"/>
      <c r="B115" s="317"/>
      <c r="C115" s="318"/>
      <c r="D115" s="318"/>
      <c r="E115" s="318"/>
      <c r="F115" s="304"/>
      <c r="G115" s="304"/>
      <c r="H115" s="304"/>
      <c r="I115" s="304"/>
      <c r="J115" s="304"/>
      <c r="K115" s="416"/>
      <c r="L115" s="343"/>
    </row>
    <row r="116" spans="1:12" x14ac:dyDescent="0.25">
      <c r="A116" s="317"/>
      <c r="B116" s="317"/>
      <c r="C116" s="318"/>
      <c r="D116" s="318"/>
      <c r="E116" s="318"/>
      <c r="F116" s="304"/>
      <c r="G116" s="304"/>
      <c r="H116" s="304"/>
      <c r="I116" s="304"/>
      <c r="J116" s="304"/>
      <c r="K116" s="416"/>
      <c r="L116" s="343"/>
    </row>
    <row r="117" spans="1:12" x14ac:dyDescent="0.25">
      <c r="A117" s="317"/>
      <c r="B117" s="317"/>
      <c r="C117" s="318"/>
      <c r="D117" s="318"/>
      <c r="E117" s="318"/>
      <c r="F117" s="304"/>
      <c r="G117" s="304"/>
      <c r="H117" s="304"/>
      <c r="I117" s="304"/>
      <c r="J117" s="304"/>
      <c r="K117" s="416"/>
      <c r="L117" s="343"/>
    </row>
    <row r="118" spans="1:12" x14ac:dyDescent="0.25">
      <c r="A118" s="304"/>
      <c r="B118" s="317"/>
      <c r="C118" s="318"/>
      <c r="D118" s="318"/>
      <c r="E118" s="318"/>
      <c r="F118" s="304"/>
      <c r="G118" s="304"/>
      <c r="H118" s="304"/>
      <c r="I118" s="304"/>
      <c r="J118" s="304"/>
      <c r="K118" s="416"/>
      <c r="L118" s="343"/>
    </row>
    <row r="119" spans="1:12" x14ac:dyDescent="0.25">
      <c r="A119" s="317"/>
      <c r="B119" s="317"/>
      <c r="C119" s="318"/>
      <c r="D119" s="318"/>
      <c r="E119" s="318"/>
      <c r="F119" s="304"/>
      <c r="G119" s="304"/>
      <c r="H119" s="304"/>
      <c r="I119" s="304"/>
      <c r="J119" s="304"/>
      <c r="K119" s="416"/>
      <c r="L119" s="343"/>
    </row>
    <row r="120" spans="1:12" x14ac:dyDescent="0.25">
      <c r="A120" s="317"/>
      <c r="B120" s="317"/>
      <c r="C120" s="318"/>
      <c r="D120" s="318"/>
      <c r="E120" s="318"/>
      <c r="F120" s="304"/>
      <c r="G120" s="304"/>
      <c r="H120" s="304"/>
      <c r="I120" s="304"/>
      <c r="J120" s="304"/>
      <c r="K120" s="416"/>
      <c r="L120" s="343"/>
    </row>
    <row r="121" spans="1:12" x14ac:dyDescent="0.25">
      <c r="A121" s="317"/>
      <c r="B121" s="317"/>
      <c r="C121" s="318"/>
      <c r="D121" s="318"/>
      <c r="E121" s="318"/>
      <c r="F121" s="304"/>
      <c r="G121" s="304"/>
      <c r="H121" s="304"/>
      <c r="I121" s="304"/>
      <c r="J121" s="304"/>
      <c r="K121" s="416"/>
      <c r="L121" s="343"/>
    </row>
    <row r="122" spans="1:12" x14ac:dyDescent="0.25">
      <c r="A122" s="317"/>
      <c r="B122" s="317"/>
      <c r="C122" s="318"/>
      <c r="D122" s="318"/>
      <c r="E122" s="318"/>
      <c r="F122" s="304"/>
      <c r="G122" s="304"/>
      <c r="H122" s="304"/>
      <c r="I122" s="304"/>
      <c r="J122" s="304"/>
      <c r="K122" s="416"/>
      <c r="L122" s="343"/>
    </row>
    <row r="123" spans="1:12" x14ac:dyDescent="0.25">
      <c r="A123" s="317"/>
      <c r="B123" s="317"/>
      <c r="C123" s="318"/>
      <c r="D123" s="318"/>
      <c r="E123" s="318"/>
      <c r="F123" s="304"/>
      <c r="G123" s="304"/>
      <c r="H123" s="304"/>
      <c r="I123" s="304"/>
      <c r="J123" s="304"/>
      <c r="K123" s="416"/>
      <c r="L123" s="343"/>
    </row>
    <row r="124" spans="1:12" x14ac:dyDescent="0.25">
      <c r="A124" s="317"/>
      <c r="B124" s="317"/>
      <c r="C124" s="318"/>
      <c r="D124" s="318"/>
      <c r="E124" s="318"/>
      <c r="F124" s="304"/>
      <c r="G124" s="304"/>
      <c r="H124" s="304"/>
      <c r="I124" s="304"/>
      <c r="J124" s="304"/>
      <c r="K124" s="416"/>
      <c r="L124" s="343"/>
    </row>
    <row r="125" spans="1:12" x14ac:dyDescent="0.25">
      <c r="A125" s="317"/>
      <c r="B125" s="317"/>
      <c r="C125" s="318"/>
      <c r="D125" s="318"/>
      <c r="E125" s="318"/>
      <c r="F125" s="304"/>
      <c r="G125" s="304"/>
      <c r="H125" s="304"/>
      <c r="I125" s="304"/>
      <c r="J125" s="304"/>
      <c r="K125" s="416"/>
      <c r="L125" s="343"/>
    </row>
    <row r="126" spans="1:12" x14ac:dyDescent="0.25">
      <c r="A126" s="317"/>
      <c r="B126" s="317"/>
      <c r="C126" s="318"/>
      <c r="D126" s="318"/>
      <c r="E126" s="318"/>
      <c r="F126" s="304"/>
      <c r="G126" s="304"/>
      <c r="H126" s="304"/>
      <c r="I126" s="304"/>
      <c r="J126" s="304"/>
      <c r="K126" s="416"/>
      <c r="L126" s="343"/>
    </row>
    <row r="127" spans="1:12" x14ac:dyDescent="0.25">
      <c r="A127" s="317"/>
      <c r="B127" s="317"/>
      <c r="C127" s="318"/>
      <c r="D127" s="318"/>
      <c r="E127" s="318"/>
      <c r="F127" s="304"/>
      <c r="G127" s="304"/>
      <c r="H127" s="304"/>
      <c r="I127" s="304"/>
      <c r="J127" s="304"/>
      <c r="K127" s="416"/>
      <c r="L127" s="343"/>
    </row>
    <row r="128" spans="1:12" x14ac:dyDescent="0.25">
      <c r="A128" s="317"/>
      <c r="B128" s="317"/>
      <c r="C128" s="318"/>
      <c r="D128" s="318"/>
      <c r="E128" s="318"/>
      <c r="F128" s="304"/>
      <c r="G128" s="304"/>
      <c r="H128" s="304"/>
      <c r="I128" s="304"/>
      <c r="J128" s="304"/>
      <c r="K128" s="416"/>
      <c r="L128" s="343"/>
    </row>
    <row r="129" spans="1:12" ht="15.75" thickBot="1" x14ac:dyDescent="0.3">
      <c r="A129" s="319"/>
      <c r="B129" s="319"/>
      <c r="C129" s="320"/>
      <c r="D129" s="320"/>
      <c r="E129" s="320"/>
      <c r="F129" s="305"/>
      <c r="G129" s="305"/>
      <c r="H129" s="305"/>
      <c r="I129" s="305"/>
      <c r="J129" s="305"/>
      <c r="K129" s="461"/>
      <c r="L129" s="344"/>
    </row>
  </sheetData>
  <autoFilter ref="A2:L2" xr:uid="{7C717F9F-D1AD-4153-BDEC-F96F3F40B03C}"/>
  <mergeCells count="1">
    <mergeCell ref="D1:L1"/>
  </mergeCells>
  <conditionalFormatting sqref="A3:L129">
    <cfRule type="expression" dxfId="5" priority="1">
      <formula>MOD(ROW(),2)</formula>
    </cfRule>
  </conditionalFormatting>
  <conditionalFormatting sqref="M3:XFD23">
    <cfRule type="expression" dxfId="4" priority="2">
      <formula>MOD(ROW(),2)</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D939-0178-4215-BED0-9858646A656E}">
  <sheetPr>
    <tabColor rgb="FFA20067"/>
  </sheetPr>
  <dimension ref="A1:K128"/>
  <sheetViews>
    <sheetView zoomScale="70" zoomScaleNormal="70" workbookViewId="0">
      <selection activeCell="H3" sqref="H3"/>
    </sheetView>
  </sheetViews>
  <sheetFormatPr baseColWidth="10" defaultColWidth="11.5703125" defaultRowHeight="15" x14ac:dyDescent="0.25"/>
  <cols>
    <col min="1" max="1" width="12.28515625" style="306" bestFit="1" customWidth="1"/>
    <col min="2" max="2" width="11.5703125" style="306" bestFit="1" customWidth="1"/>
    <col min="3" max="5" width="23.42578125" style="306" customWidth="1"/>
    <col min="6" max="6" width="31.7109375" style="306" customWidth="1"/>
    <col min="7" max="8" width="53.5703125" style="306" customWidth="1"/>
    <col min="9" max="9" width="26.28515625" style="306" customWidth="1"/>
    <col min="10" max="11" width="25.28515625" style="345" customWidth="1"/>
    <col min="12" max="18" width="11.5703125" style="306" bestFit="1" customWidth="1"/>
    <col min="19" max="16384" width="11.5703125" style="306"/>
  </cols>
  <sheetData>
    <row r="1" spans="1:11" s="311" customFormat="1" ht="49.9" customHeight="1" thickBot="1" x14ac:dyDescent="0.3">
      <c r="A1" s="376"/>
      <c r="B1" s="377" t="s">
        <v>138</v>
      </c>
      <c r="C1" s="378">
        <f ca="1">TODAY()</f>
        <v>46161</v>
      </c>
      <c r="D1" s="535" t="s">
        <v>2388</v>
      </c>
      <c r="E1" s="536"/>
      <c r="F1" s="536"/>
      <c r="G1" s="536"/>
      <c r="H1" s="536"/>
      <c r="I1" s="536"/>
      <c r="J1" s="536"/>
      <c r="K1" s="536"/>
    </row>
    <row r="2" spans="1:11" s="311" customFormat="1" ht="29.25" thickBot="1" x14ac:dyDescent="0.3">
      <c r="A2" s="371" t="s">
        <v>475</v>
      </c>
      <c r="B2" s="371" t="s">
        <v>140</v>
      </c>
      <c r="C2" s="372" t="s">
        <v>479</v>
      </c>
      <c r="D2" s="372" t="s">
        <v>2364</v>
      </c>
      <c r="E2" s="372" t="s">
        <v>2365</v>
      </c>
      <c r="F2" s="372" t="s">
        <v>488</v>
      </c>
      <c r="G2" s="372" t="s">
        <v>2367</v>
      </c>
      <c r="H2" s="372" t="s">
        <v>1653</v>
      </c>
      <c r="I2" s="373" t="s">
        <v>2368</v>
      </c>
      <c r="J2" s="373" t="s">
        <v>2369</v>
      </c>
      <c r="K2" s="373" t="s">
        <v>2370</v>
      </c>
    </row>
    <row r="3" spans="1:11" x14ac:dyDescent="0.25">
      <c r="A3" s="339">
        <v>46112</v>
      </c>
      <c r="B3" s="301" t="s">
        <v>100</v>
      </c>
      <c r="C3" s="370" t="s">
        <v>99</v>
      </c>
      <c r="D3" s="370" t="s">
        <v>98</v>
      </c>
      <c r="E3" s="370" t="s">
        <v>2389</v>
      </c>
      <c r="F3" s="301" t="s">
        <v>2390</v>
      </c>
      <c r="G3" s="301" t="s">
        <v>2391</v>
      </c>
      <c r="H3" s="301" t="s">
        <v>2392</v>
      </c>
      <c r="I3" s="301"/>
      <c r="J3" s="341"/>
      <c r="K3" s="341"/>
    </row>
    <row r="4" spans="1:11" x14ac:dyDescent="0.25">
      <c r="A4" s="334"/>
      <c r="B4" s="302"/>
      <c r="C4" s="315"/>
      <c r="D4" s="315"/>
      <c r="E4" s="315"/>
      <c r="F4" s="302"/>
      <c r="G4" s="302"/>
      <c r="H4" s="302"/>
      <c r="I4" s="302"/>
      <c r="J4" s="342"/>
      <c r="K4" s="342"/>
    </row>
    <row r="5" spans="1:11" x14ac:dyDescent="0.25">
      <c r="A5" s="334"/>
      <c r="B5" s="302"/>
      <c r="C5" s="315"/>
      <c r="D5" s="315"/>
      <c r="E5" s="315"/>
      <c r="F5" s="302"/>
      <c r="G5" s="302"/>
      <c r="H5" s="302"/>
      <c r="I5" s="302"/>
      <c r="J5" s="342"/>
      <c r="K5" s="342"/>
    </row>
    <row r="6" spans="1:11" x14ac:dyDescent="0.25">
      <c r="A6" s="334"/>
      <c r="B6" s="302"/>
      <c r="C6" s="315"/>
      <c r="D6" s="315"/>
      <c r="E6" s="315"/>
      <c r="F6" s="302"/>
      <c r="G6" s="302"/>
      <c r="H6" s="302"/>
      <c r="I6" s="302"/>
      <c r="J6" s="342"/>
      <c r="K6" s="342"/>
    </row>
    <row r="7" spans="1:11" x14ac:dyDescent="0.25">
      <c r="A7" s="334"/>
      <c r="B7" s="302"/>
      <c r="C7" s="315"/>
      <c r="D7" s="315"/>
      <c r="E7" s="315"/>
      <c r="F7" s="302"/>
      <c r="G7" s="302"/>
      <c r="H7" s="302"/>
      <c r="I7" s="302"/>
      <c r="J7" s="342"/>
      <c r="K7" s="342"/>
    </row>
    <row r="8" spans="1:11" x14ac:dyDescent="0.25">
      <c r="A8" s="334"/>
      <c r="B8" s="302"/>
      <c r="C8" s="315"/>
      <c r="D8" s="315"/>
      <c r="E8" s="315"/>
      <c r="F8" s="302"/>
      <c r="G8" s="302"/>
      <c r="H8" s="302"/>
      <c r="I8" s="302"/>
      <c r="J8" s="342"/>
      <c r="K8" s="342"/>
    </row>
    <row r="9" spans="1:11" x14ac:dyDescent="0.25">
      <c r="A9" s="334"/>
      <c r="B9" s="302"/>
      <c r="C9" s="315"/>
      <c r="D9" s="315"/>
      <c r="E9" s="315"/>
      <c r="F9" s="302"/>
      <c r="G9" s="302"/>
      <c r="H9" s="302"/>
      <c r="I9" s="302"/>
      <c r="J9" s="342"/>
      <c r="K9" s="342"/>
    </row>
    <row r="10" spans="1:11" x14ac:dyDescent="0.25">
      <c r="A10" s="334"/>
      <c r="B10" s="302"/>
      <c r="C10" s="315"/>
      <c r="D10" s="315"/>
      <c r="E10" s="315"/>
      <c r="F10" s="302"/>
      <c r="G10" s="302"/>
      <c r="H10" s="302"/>
      <c r="I10" s="302"/>
      <c r="J10" s="342"/>
      <c r="K10" s="342"/>
    </row>
    <row r="11" spans="1:11" x14ac:dyDescent="0.25">
      <c r="A11" s="334"/>
      <c r="B11" s="302"/>
      <c r="C11" s="315"/>
      <c r="D11" s="315"/>
      <c r="E11" s="315"/>
      <c r="F11" s="302"/>
      <c r="G11" s="302"/>
      <c r="H11" s="302"/>
      <c r="I11" s="302"/>
      <c r="J11" s="342"/>
      <c r="K11" s="342"/>
    </row>
    <row r="12" spans="1:11" x14ac:dyDescent="0.25">
      <c r="A12" s="334"/>
      <c r="B12" s="302"/>
      <c r="C12" s="315"/>
      <c r="D12" s="315"/>
      <c r="E12" s="315"/>
      <c r="F12" s="302"/>
      <c r="G12" s="302"/>
      <c r="H12" s="302"/>
      <c r="I12" s="302"/>
      <c r="J12" s="342"/>
      <c r="K12" s="342"/>
    </row>
    <row r="13" spans="1:11" x14ac:dyDescent="0.25">
      <c r="A13" s="334"/>
      <c r="B13" s="302"/>
      <c r="C13" s="315"/>
      <c r="D13" s="315"/>
      <c r="E13" s="315"/>
      <c r="F13" s="302"/>
      <c r="G13" s="302"/>
      <c r="H13" s="302"/>
      <c r="I13" s="302"/>
      <c r="J13" s="342"/>
      <c r="K13" s="342"/>
    </row>
    <row r="14" spans="1:11" x14ac:dyDescent="0.25">
      <c r="A14" s="334"/>
      <c r="B14" s="302"/>
      <c r="C14" s="315"/>
      <c r="D14" s="315"/>
      <c r="E14" s="315"/>
      <c r="F14" s="302"/>
      <c r="G14" s="302"/>
      <c r="H14" s="302"/>
      <c r="I14" s="302"/>
      <c r="J14" s="342"/>
      <c r="K14" s="342"/>
    </row>
    <row r="15" spans="1:11" x14ac:dyDescent="0.25">
      <c r="A15" s="334"/>
      <c r="B15" s="302"/>
      <c r="C15" s="315"/>
      <c r="D15" s="315"/>
      <c r="E15" s="315"/>
      <c r="F15" s="302"/>
      <c r="G15" s="302"/>
      <c r="H15" s="302"/>
      <c r="I15" s="302"/>
      <c r="J15" s="342"/>
      <c r="K15" s="342"/>
    </row>
    <row r="16" spans="1:11" x14ac:dyDescent="0.25">
      <c r="A16" s="334"/>
      <c r="B16" s="302"/>
      <c r="C16" s="315"/>
      <c r="D16" s="315"/>
      <c r="E16" s="315"/>
      <c r="F16" s="302"/>
      <c r="G16" s="302"/>
      <c r="H16" s="302"/>
      <c r="I16" s="302"/>
      <c r="J16" s="342"/>
      <c r="K16" s="342"/>
    </row>
    <row r="17" spans="1:11" x14ac:dyDescent="0.25">
      <c r="A17" s="334"/>
      <c r="B17" s="302"/>
      <c r="C17" s="315"/>
      <c r="D17" s="315"/>
      <c r="E17" s="315"/>
      <c r="F17" s="302"/>
      <c r="G17" s="302"/>
      <c r="H17" s="302"/>
      <c r="I17" s="302"/>
      <c r="J17" s="342"/>
      <c r="K17" s="342"/>
    </row>
    <row r="18" spans="1:11" x14ac:dyDescent="0.25">
      <c r="A18" s="334"/>
      <c r="B18" s="302"/>
      <c r="C18" s="315"/>
      <c r="D18" s="315"/>
      <c r="E18" s="315"/>
      <c r="F18" s="302"/>
      <c r="G18" s="302"/>
      <c r="H18" s="302"/>
      <c r="I18" s="302"/>
      <c r="J18" s="342"/>
      <c r="K18" s="342"/>
    </row>
    <row r="19" spans="1:11" x14ac:dyDescent="0.25">
      <c r="A19" s="334"/>
      <c r="B19" s="302"/>
      <c r="C19" s="315"/>
      <c r="D19" s="315"/>
      <c r="E19" s="315"/>
      <c r="F19" s="302"/>
      <c r="G19" s="302"/>
      <c r="H19" s="302"/>
      <c r="I19" s="302"/>
      <c r="J19" s="342"/>
      <c r="K19" s="342"/>
    </row>
    <row r="20" spans="1:11" x14ac:dyDescent="0.25">
      <c r="A20" s="334"/>
      <c r="B20" s="302"/>
      <c r="C20" s="315"/>
      <c r="D20" s="315"/>
      <c r="E20" s="315"/>
      <c r="F20" s="302"/>
      <c r="G20" s="302"/>
      <c r="H20" s="302"/>
      <c r="I20" s="302"/>
      <c r="J20" s="342"/>
      <c r="K20" s="342"/>
    </row>
    <row r="21" spans="1:11" x14ac:dyDescent="0.25">
      <c r="A21" s="334"/>
      <c r="B21" s="302"/>
      <c r="C21" s="315"/>
      <c r="D21" s="315"/>
      <c r="E21" s="315"/>
      <c r="F21" s="302"/>
      <c r="G21" s="302"/>
      <c r="H21" s="302"/>
      <c r="I21" s="302"/>
      <c r="J21" s="342"/>
      <c r="K21" s="342"/>
    </row>
    <row r="22" spans="1:11" x14ac:dyDescent="0.25">
      <c r="A22" s="302"/>
      <c r="B22" s="302"/>
      <c r="C22" s="315"/>
      <c r="D22" s="315"/>
      <c r="E22" s="315"/>
      <c r="F22" s="302"/>
      <c r="G22" s="302"/>
      <c r="H22" s="302"/>
      <c r="I22" s="302"/>
      <c r="J22" s="342"/>
      <c r="K22" s="342"/>
    </row>
    <row r="23" spans="1:11" x14ac:dyDescent="0.25">
      <c r="A23" s="302"/>
      <c r="B23" s="302"/>
      <c r="C23" s="315"/>
      <c r="D23" s="315"/>
      <c r="E23" s="315"/>
      <c r="F23" s="302"/>
      <c r="G23" s="302"/>
      <c r="H23" s="302"/>
      <c r="I23" s="302"/>
      <c r="J23" s="342"/>
      <c r="K23" s="342"/>
    </row>
    <row r="24" spans="1:11" x14ac:dyDescent="0.25">
      <c r="A24" s="302"/>
      <c r="B24" s="302"/>
      <c r="C24" s="315"/>
      <c r="D24" s="315"/>
      <c r="E24" s="315"/>
      <c r="F24" s="302"/>
      <c r="G24" s="302"/>
      <c r="H24" s="302"/>
      <c r="I24" s="302"/>
      <c r="J24" s="342"/>
      <c r="K24" s="342"/>
    </row>
    <row r="25" spans="1:11" x14ac:dyDescent="0.25">
      <c r="A25" s="303"/>
      <c r="B25" s="303"/>
      <c r="C25" s="313"/>
      <c r="D25" s="313"/>
      <c r="E25" s="313"/>
      <c r="F25" s="302"/>
      <c r="G25" s="302"/>
      <c r="H25" s="303"/>
      <c r="I25" s="303"/>
      <c r="J25" s="342"/>
      <c r="K25" s="342"/>
    </row>
    <row r="26" spans="1:11" x14ac:dyDescent="0.25">
      <c r="A26" s="302"/>
      <c r="B26" s="302"/>
      <c r="C26" s="315"/>
      <c r="D26" s="315"/>
      <c r="E26" s="315"/>
      <c r="F26" s="302"/>
      <c r="G26" s="302"/>
      <c r="H26" s="302"/>
      <c r="I26" s="302"/>
      <c r="J26" s="342"/>
      <c r="K26" s="342"/>
    </row>
    <row r="27" spans="1:11" x14ac:dyDescent="0.25">
      <c r="A27" s="303"/>
      <c r="B27" s="303"/>
      <c r="C27" s="315"/>
      <c r="D27" s="315"/>
      <c r="E27" s="315"/>
      <c r="F27" s="302"/>
      <c r="G27" s="302"/>
      <c r="H27" s="302"/>
      <c r="I27" s="302"/>
      <c r="J27" s="342"/>
      <c r="K27" s="342"/>
    </row>
    <row r="28" spans="1:11" x14ac:dyDescent="0.25">
      <c r="A28" s="303"/>
      <c r="B28" s="303"/>
      <c r="C28" s="315"/>
      <c r="D28" s="315"/>
      <c r="E28" s="315"/>
      <c r="F28" s="302"/>
      <c r="G28" s="302"/>
      <c r="H28" s="302"/>
      <c r="I28" s="302"/>
      <c r="J28" s="342"/>
      <c r="K28" s="342"/>
    </row>
    <row r="29" spans="1:11" x14ac:dyDescent="0.25">
      <c r="A29" s="317"/>
      <c r="B29" s="303"/>
      <c r="C29" s="318"/>
      <c r="D29" s="318"/>
      <c r="E29" s="318"/>
      <c r="F29" s="304"/>
      <c r="G29" s="304"/>
      <c r="H29" s="304"/>
      <c r="I29" s="304"/>
      <c r="J29" s="343"/>
      <c r="K29" s="343"/>
    </row>
    <row r="30" spans="1:11" x14ac:dyDescent="0.25">
      <c r="A30" s="317"/>
      <c r="B30" s="317"/>
      <c r="C30" s="318"/>
      <c r="D30" s="318"/>
      <c r="E30" s="318"/>
      <c r="F30" s="304"/>
      <c r="G30" s="304"/>
      <c r="H30" s="304"/>
      <c r="I30" s="304"/>
      <c r="J30" s="343"/>
      <c r="K30" s="343"/>
    </row>
    <row r="31" spans="1:11" x14ac:dyDescent="0.25">
      <c r="A31" s="317"/>
      <c r="B31" s="303"/>
      <c r="C31" s="318"/>
      <c r="D31" s="318"/>
      <c r="E31" s="318"/>
      <c r="F31" s="304"/>
      <c r="G31" s="304"/>
      <c r="H31" s="304"/>
      <c r="I31" s="304"/>
      <c r="J31" s="343"/>
      <c r="K31" s="343"/>
    </row>
    <row r="32" spans="1:11" x14ac:dyDescent="0.25">
      <c r="A32" s="317"/>
      <c r="B32" s="303"/>
      <c r="C32" s="318"/>
      <c r="D32" s="318"/>
      <c r="E32" s="318"/>
      <c r="F32" s="304"/>
      <c r="G32" s="304"/>
      <c r="H32" s="304"/>
      <c r="I32" s="304"/>
      <c r="J32" s="343"/>
      <c r="K32" s="343"/>
    </row>
    <row r="33" spans="1:11" x14ac:dyDescent="0.25">
      <c r="A33" s="317"/>
      <c r="B33" s="317"/>
      <c r="C33" s="318"/>
      <c r="D33" s="318"/>
      <c r="E33" s="318"/>
      <c r="F33" s="304"/>
      <c r="G33" s="304"/>
      <c r="H33" s="304"/>
      <c r="I33" s="304"/>
      <c r="J33" s="343"/>
      <c r="K33" s="343"/>
    </row>
    <row r="34" spans="1:11" x14ac:dyDescent="0.25">
      <c r="A34" s="317"/>
      <c r="B34" s="317"/>
      <c r="C34" s="318"/>
      <c r="D34" s="318"/>
      <c r="E34" s="318"/>
      <c r="F34" s="304"/>
      <c r="G34" s="304"/>
      <c r="H34" s="304"/>
      <c r="I34" s="304"/>
      <c r="J34" s="343"/>
      <c r="K34" s="343"/>
    </row>
    <row r="35" spans="1:11" x14ac:dyDescent="0.25">
      <c r="A35" s="317"/>
      <c r="B35" s="317"/>
      <c r="C35" s="318"/>
      <c r="D35" s="318"/>
      <c r="E35" s="318"/>
      <c r="F35" s="304"/>
      <c r="G35" s="304"/>
      <c r="H35" s="304"/>
      <c r="I35" s="304"/>
      <c r="J35" s="343"/>
      <c r="K35" s="343"/>
    </row>
    <row r="36" spans="1:11" x14ac:dyDescent="0.25">
      <c r="A36" s="317"/>
      <c r="B36" s="317"/>
      <c r="C36" s="318"/>
      <c r="D36" s="318"/>
      <c r="E36" s="318"/>
      <c r="F36" s="304"/>
      <c r="G36" s="304"/>
      <c r="H36" s="304"/>
      <c r="I36" s="304"/>
      <c r="J36" s="343"/>
      <c r="K36" s="343"/>
    </row>
    <row r="37" spans="1:11" x14ac:dyDescent="0.25">
      <c r="A37" s="317"/>
      <c r="B37" s="317"/>
      <c r="C37" s="318"/>
      <c r="D37" s="318"/>
      <c r="E37" s="318"/>
      <c r="F37" s="304"/>
      <c r="G37" s="304"/>
      <c r="H37" s="304"/>
      <c r="I37" s="304"/>
      <c r="J37" s="343"/>
      <c r="K37" s="343"/>
    </row>
    <row r="38" spans="1:11" x14ac:dyDescent="0.25">
      <c r="A38" s="317"/>
      <c r="B38" s="317"/>
      <c r="C38" s="318"/>
      <c r="D38" s="318"/>
      <c r="E38" s="318"/>
      <c r="F38" s="304"/>
      <c r="G38" s="304"/>
      <c r="H38" s="304"/>
      <c r="I38" s="304"/>
      <c r="J38" s="343"/>
      <c r="K38" s="343"/>
    </row>
    <row r="39" spans="1:11" x14ac:dyDescent="0.25">
      <c r="A39" s="317"/>
      <c r="B39" s="317"/>
      <c r="C39" s="318"/>
      <c r="D39" s="318"/>
      <c r="E39" s="318"/>
      <c r="F39" s="304"/>
      <c r="G39" s="304"/>
      <c r="H39" s="304"/>
      <c r="I39" s="304"/>
      <c r="J39" s="343"/>
      <c r="K39" s="343"/>
    </row>
    <row r="40" spans="1:11" x14ac:dyDescent="0.25">
      <c r="A40" s="317"/>
      <c r="B40" s="317"/>
      <c r="C40" s="318"/>
      <c r="D40" s="318"/>
      <c r="E40" s="318"/>
      <c r="F40" s="304"/>
      <c r="G40" s="304"/>
      <c r="H40" s="304"/>
      <c r="I40" s="304"/>
      <c r="J40" s="343"/>
      <c r="K40" s="343"/>
    </row>
    <row r="41" spans="1:11" x14ac:dyDescent="0.25">
      <c r="A41" s="317"/>
      <c r="B41" s="317"/>
      <c r="C41" s="318"/>
      <c r="D41" s="318"/>
      <c r="E41" s="318"/>
      <c r="F41" s="304"/>
      <c r="G41" s="304"/>
      <c r="H41" s="304"/>
      <c r="I41" s="304"/>
      <c r="J41" s="343"/>
      <c r="K41" s="343"/>
    </row>
    <row r="42" spans="1:11" x14ac:dyDescent="0.25">
      <c r="A42" s="317"/>
      <c r="B42" s="317"/>
      <c r="C42" s="318"/>
      <c r="D42" s="318"/>
      <c r="E42" s="318"/>
      <c r="F42" s="304"/>
      <c r="G42" s="304"/>
      <c r="H42" s="304"/>
      <c r="I42" s="304"/>
      <c r="J42" s="343"/>
      <c r="K42" s="343"/>
    </row>
    <row r="43" spans="1:11" x14ac:dyDescent="0.25">
      <c r="A43" s="317"/>
      <c r="B43" s="317"/>
      <c r="C43" s="318"/>
      <c r="D43" s="318"/>
      <c r="E43" s="318"/>
      <c r="F43" s="304"/>
      <c r="G43" s="304"/>
      <c r="H43" s="304"/>
      <c r="I43" s="304"/>
      <c r="J43" s="343"/>
      <c r="K43" s="343"/>
    </row>
    <row r="44" spans="1:11" x14ac:dyDescent="0.25">
      <c r="A44" s="317"/>
      <c r="B44" s="317"/>
      <c r="C44" s="318"/>
      <c r="D44" s="318"/>
      <c r="E44" s="318"/>
      <c r="F44" s="304"/>
      <c r="G44" s="304"/>
      <c r="H44" s="304"/>
      <c r="I44" s="304"/>
      <c r="J44" s="343"/>
      <c r="K44" s="343"/>
    </row>
    <row r="45" spans="1:11" x14ac:dyDescent="0.25">
      <c r="A45" s="317"/>
      <c r="B45" s="317"/>
      <c r="C45" s="318"/>
      <c r="D45" s="318"/>
      <c r="E45" s="318"/>
      <c r="F45" s="304"/>
      <c r="G45" s="304"/>
      <c r="H45" s="304"/>
      <c r="I45" s="304"/>
      <c r="J45" s="343"/>
      <c r="K45" s="343"/>
    </row>
    <row r="46" spans="1:11" x14ac:dyDescent="0.25">
      <c r="A46" s="317"/>
      <c r="B46" s="317"/>
      <c r="C46" s="318"/>
      <c r="D46" s="318"/>
      <c r="E46" s="318"/>
      <c r="F46" s="304"/>
      <c r="G46" s="304"/>
      <c r="H46" s="304"/>
      <c r="I46" s="304"/>
      <c r="J46" s="343"/>
      <c r="K46" s="343"/>
    </row>
    <row r="47" spans="1:11" x14ac:dyDescent="0.25">
      <c r="A47" s="317"/>
      <c r="B47" s="317"/>
      <c r="C47" s="318"/>
      <c r="D47" s="318"/>
      <c r="E47" s="318"/>
      <c r="F47" s="304"/>
      <c r="G47" s="304"/>
      <c r="H47" s="304"/>
      <c r="I47" s="304"/>
      <c r="J47" s="343"/>
      <c r="K47" s="343"/>
    </row>
    <row r="48" spans="1:11" x14ac:dyDescent="0.25">
      <c r="A48" s="317"/>
      <c r="B48" s="303"/>
      <c r="C48" s="318"/>
      <c r="D48" s="318"/>
      <c r="E48" s="318"/>
      <c r="F48" s="304"/>
      <c r="G48" s="304"/>
      <c r="H48" s="304"/>
      <c r="I48" s="304"/>
      <c r="J48" s="343"/>
      <c r="K48" s="343"/>
    </row>
    <row r="49" spans="1:11" x14ac:dyDescent="0.25">
      <c r="A49" s="317"/>
      <c r="B49" s="317"/>
      <c r="C49" s="318"/>
      <c r="D49" s="318"/>
      <c r="E49" s="318"/>
      <c r="F49" s="304"/>
      <c r="G49" s="304"/>
      <c r="H49" s="304"/>
      <c r="I49" s="304"/>
      <c r="J49" s="343"/>
      <c r="K49" s="343"/>
    </row>
    <row r="50" spans="1:11" x14ac:dyDescent="0.25">
      <c r="A50" s="317"/>
      <c r="B50" s="317"/>
      <c r="C50" s="318"/>
      <c r="D50" s="318"/>
      <c r="E50" s="318"/>
      <c r="F50" s="304"/>
      <c r="G50" s="304"/>
      <c r="H50" s="304"/>
      <c r="I50" s="304"/>
      <c r="J50" s="343"/>
      <c r="K50" s="343"/>
    </row>
    <row r="51" spans="1:11" x14ac:dyDescent="0.25">
      <c r="A51" s="317"/>
      <c r="B51" s="317"/>
      <c r="C51" s="318"/>
      <c r="D51" s="318"/>
      <c r="E51" s="318"/>
      <c r="F51" s="304"/>
      <c r="G51" s="304"/>
      <c r="H51" s="304"/>
      <c r="I51" s="304"/>
      <c r="J51" s="343"/>
      <c r="K51" s="343"/>
    </row>
    <row r="52" spans="1:11" x14ac:dyDescent="0.25">
      <c r="A52" s="317"/>
      <c r="B52" s="317"/>
      <c r="C52" s="318"/>
      <c r="D52" s="318"/>
      <c r="E52" s="318"/>
      <c r="F52" s="304"/>
      <c r="G52" s="304"/>
      <c r="H52" s="304"/>
      <c r="I52" s="304"/>
      <c r="J52" s="343"/>
      <c r="K52" s="343"/>
    </row>
    <row r="53" spans="1:11" x14ac:dyDescent="0.25">
      <c r="A53" s="317"/>
      <c r="B53" s="317"/>
      <c r="C53" s="318"/>
      <c r="D53" s="318"/>
      <c r="E53" s="318"/>
      <c r="F53" s="304"/>
      <c r="G53" s="304"/>
      <c r="H53" s="304"/>
      <c r="I53" s="304"/>
      <c r="J53" s="343"/>
      <c r="K53" s="343"/>
    </row>
    <row r="54" spans="1:11" x14ac:dyDescent="0.25">
      <c r="A54" s="317"/>
      <c r="B54" s="317"/>
      <c r="C54" s="318"/>
      <c r="D54" s="318"/>
      <c r="E54" s="318"/>
      <c r="F54" s="304"/>
      <c r="G54" s="304"/>
      <c r="H54" s="304"/>
      <c r="I54" s="304"/>
      <c r="J54" s="343"/>
      <c r="K54" s="343"/>
    </row>
    <row r="55" spans="1:11" x14ac:dyDescent="0.25">
      <c r="A55" s="317"/>
      <c r="B55" s="317"/>
      <c r="C55" s="318"/>
      <c r="D55" s="318"/>
      <c r="E55" s="318"/>
      <c r="F55" s="304"/>
      <c r="G55" s="304"/>
      <c r="H55" s="304"/>
      <c r="I55" s="304"/>
      <c r="J55" s="343"/>
      <c r="K55" s="343"/>
    </row>
    <row r="56" spans="1:11" x14ac:dyDescent="0.25">
      <c r="A56" s="317"/>
      <c r="B56" s="317"/>
      <c r="C56" s="318"/>
      <c r="D56" s="318"/>
      <c r="E56" s="318"/>
      <c r="F56" s="304"/>
      <c r="G56" s="304"/>
      <c r="H56" s="304"/>
      <c r="I56" s="304"/>
      <c r="J56" s="343"/>
      <c r="K56" s="343"/>
    </row>
    <row r="57" spans="1:11" x14ac:dyDescent="0.25">
      <c r="A57" s="317"/>
      <c r="B57" s="317"/>
      <c r="C57" s="318"/>
      <c r="D57" s="318"/>
      <c r="E57" s="318"/>
      <c r="F57" s="304"/>
      <c r="G57" s="304"/>
      <c r="H57" s="304"/>
      <c r="I57" s="304"/>
      <c r="J57" s="343"/>
      <c r="K57" s="343"/>
    </row>
    <row r="58" spans="1:11" x14ac:dyDescent="0.25">
      <c r="A58" s="317"/>
      <c r="B58" s="303"/>
      <c r="C58" s="318"/>
      <c r="D58" s="318"/>
      <c r="E58" s="318"/>
      <c r="F58" s="304"/>
      <c r="G58" s="304"/>
      <c r="H58" s="304"/>
      <c r="I58" s="304"/>
      <c r="J58" s="343"/>
      <c r="K58" s="343"/>
    </row>
    <row r="59" spans="1:11" x14ac:dyDescent="0.25">
      <c r="A59" s="317"/>
      <c r="B59" s="317"/>
      <c r="C59" s="318"/>
      <c r="D59" s="318"/>
      <c r="E59" s="318"/>
      <c r="F59" s="304"/>
      <c r="G59" s="304"/>
      <c r="H59" s="304"/>
      <c r="I59" s="304"/>
      <c r="J59" s="343"/>
      <c r="K59" s="343"/>
    </row>
    <row r="60" spans="1:11" x14ac:dyDescent="0.25">
      <c r="A60" s="317"/>
      <c r="B60" s="317"/>
      <c r="C60" s="318"/>
      <c r="D60" s="318"/>
      <c r="E60" s="318"/>
      <c r="F60" s="304"/>
      <c r="G60" s="304"/>
      <c r="H60" s="304"/>
      <c r="I60" s="304"/>
      <c r="J60" s="343"/>
      <c r="K60" s="343"/>
    </row>
    <row r="61" spans="1:11" x14ac:dyDescent="0.25">
      <c r="A61" s="304"/>
      <c r="B61" s="317"/>
      <c r="C61" s="318"/>
      <c r="D61" s="318"/>
      <c r="E61" s="318"/>
      <c r="F61" s="304"/>
      <c r="G61" s="304"/>
      <c r="H61" s="317"/>
      <c r="I61" s="317"/>
      <c r="J61" s="343"/>
      <c r="K61" s="343"/>
    </row>
    <row r="62" spans="1:11" x14ac:dyDescent="0.25">
      <c r="A62" s="317"/>
      <c r="B62" s="317"/>
      <c r="C62" s="318"/>
      <c r="D62" s="318"/>
      <c r="E62" s="318"/>
      <c r="F62" s="304"/>
      <c r="G62" s="304"/>
      <c r="H62" s="304"/>
      <c r="I62" s="304"/>
      <c r="J62" s="343"/>
      <c r="K62" s="343"/>
    </row>
    <row r="63" spans="1:11" x14ac:dyDescent="0.25">
      <c r="A63" s="317"/>
      <c r="B63" s="317"/>
      <c r="C63" s="318"/>
      <c r="D63" s="318"/>
      <c r="E63" s="318"/>
      <c r="F63" s="304"/>
      <c r="G63" s="304"/>
      <c r="H63" s="304"/>
      <c r="I63" s="304"/>
      <c r="J63" s="343"/>
      <c r="K63" s="343"/>
    </row>
    <row r="64" spans="1:11" x14ac:dyDescent="0.25">
      <c r="A64" s="317"/>
      <c r="B64" s="317"/>
      <c r="C64" s="318"/>
      <c r="D64" s="318"/>
      <c r="E64" s="318"/>
      <c r="F64" s="304"/>
      <c r="G64" s="304"/>
      <c r="H64" s="304"/>
      <c r="I64" s="304"/>
      <c r="J64" s="343"/>
      <c r="K64" s="343"/>
    </row>
    <row r="65" spans="1:11" x14ac:dyDescent="0.25">
      <c r="A65" s="317"/>
      <c r="B65" s="317"/>
      <c r="C65" s="318"/>
      <c r="D65" s="318"/>
      <c r="E65" s="318"/>
      <c r="F65" s="304"/>
      <c r="G65" s="304"/>
      <c r="H65" s="304"/>
      <c r="I65" s="304"/>
      <c r="J65" s="343"/>
      <c r="K65" s="343"/>
    </row>
    <row r="66" spans="1:11" x14ac:dyDescent="0.25">
      <c r="A66" s="317"/>
      <c r="B66" s="317"/>
      <c r="C66" s="318"/>
      <c r="D66" s="318"/>
      <c r="E66" s="318"/>
      <c r="F66" s="304"/>
      <c r="G66" s="304"/>
      <c r="H66" s="304"/>
      <c r="I66" s="304"/>
      <c r="J66" s="343"/>
      <c r="K66" s="343"/>
    </row>
    <row r="67" spans="1:11" x14ac:dyDescent="0.25">
      <c r="A67" s="317"/>
      <c r="B67" s="317"/>
      <c r="C67" s="318"/>
      <c r="D67" s="318"/>
      <c r="E67" s="318"/>
      <c r="F67" s="304"/>
      <c r="G67" s="304"/>
      <c r="H67" s="304"/>
      <c r="I67" s="304"/>
      <c r="J67" s="343"/>
      <c r="K67" s="343"/>
    </row>
    <row r="68" spans="1:11" x14ac:dyDescent="0.25">
      <c r="A68" s="317"/>
      <c r="B68" s="317"/>
      <c r="C68" s="318"/>
      <c r="D68" s="318"/>
      <c r="E68" s="318"/>
      <c r="F68" s="304"/>
      <c r="G68" s="304"/>
      <c r="H68" s="304"/>
      <c r="I68" s="304"/>
      <c r="J68" s="343"/>
      <c r="K68" s="343"/>
    </row>
    <row r="69" spans="1:11" x14ac:dyDescent="0.25">
      <c r="A69" s="317"/>
      <c r="B69" s="317"/>
      <c r="C69" s="318"/>
      <c r="D69" s="318"/>
      <c r="E69" s="318"/>
      <c r="F69" s="304"/>
      <c r="G69" s="304"/>
      <c r="H69" s="304"/>
      <c r="I69" s="304"/>
      <c r="J69" s="343"/>
      <c r="K69" s="343"/>
    </row>
    <row r="70" spans="1:11" x14ac:dyDescent="0.25">
      <c r="A70" s="317"/>
      <c r="B70" s="317"/>
      <c r="C70" s="318"/>
      <c r="D70" s="318"/>
      <c r="E70" s="318"/>
      <c r="F70" s="304"/>
      <c r="G70" s="304"/>
      <c r="H70" s="304"/>
      <c r="I70" s="304"/>
      <c r="J70" s="343"/>
      <c r="K70" s="343"/>
    </row>
    <row r="71" spans="1:11" x14ac:dyDescent="0.25">
      <c r="A71" s="317"/>
      <c r="B71" s="303"/>
      <c r="C71" s="318"/>
      <c r="D71" s="318"/>
      <c r="E71" s="318"/>
      <c r="F71" s="304"/>
      <c r="G71" s="304"/>
      <c r="H71" s="304"/>
      <c r="I71" s="304"/>
      <c r="J71" s="343"/>
      <c r="K71" s="343"/>
    </row>
    <row r="72" spans="1:11" x14ac:dyDescent="0.25">
      <c r="A72" s="317"/>
      <c r="B72" s="303"/>
      <c r="C72" s="318"/>
      <c r="D72" s="318"/>
      <c r="E72" s="318"/>
      <c r="F72" s="304"/>
      <c r="G72" s="304"/>
      <c r="H72" s="304"/>
      <c r="I72" s="304"/>
      <c r="J72" s="343"/>
      <c r="K72" s="343"/>
    </row>
    <row r="73" spans="1:11" x14ac:dyDescent="0.25">
      <c r="A73" s="317"/>
      <c r="B73" s="317"/>
      <c r="C73" s="318"/>
      <c r="D73" s="318"/>
      <c r="E73" s="318"/>
      <c r="F73" s="304"/>
      <c r="G73" s="304"/>
      <c r="H73" s="304"/>
      <c r="I73" s="304"/>
      <c r="J73" s="343"/>
      <c r="K73" s="343"/>
    </row>
    <row r="74" spans="1:11" x14ac:dyDescent="0.25">
      <c r="A74" s="317"/>
      <c r="B74" s="317"/>
      <c r="C74" s="318"/>
      <c r="D74" s="318"/>
      <c r="E74" s="318"/>
      <c r="F74" s="304"/>
      <c r="G74" s="304"/>
      <c r="H74" s="304"/>
      <c r="I74" s="304"/>
      <c r="J74" s="343"/>
      <c r="K74" s="343"/>
    </row>
    <row r="75" spans="1:11" x14ac:dyDescent="0.25">
      <c r="A75" s="317"/>
      <c r="B75" s="303"/>
      <c r="C75" s="318"/>
      <c r="D75" s="318"/>
      <c r="E75" s="318"/>
      <c r="F75" s="304"/>
      <c r="G75" s="304"/>
      <c r="H75" s="304"/>
      <c r="I75" s="304"/>
      <c r="J75" s="343"/>
      <c r="K75" s="343"/>
    </row>
    <row r="76" spans="1:11" x14ac:dyDescent="0.25">
      <c r="A76" s="317"/>
      <c r="B76" s="317"/>
      <c r="C76" s="318"/>
      <c r="D76" s="318"/>
      <c r="E76" s="318"/>
      <c r="F76" s="304"/>
      <c r="G76" s="304"/>
      <c r="H76" s="304"/>
      <c r="I76" s="304"/>
      <c r="J76" s="343"/>
      <c r="K76" s="343"/>
    </row>
    <row r="77" spans="1:11" x14ac:dyDescent="0.25">
      <c r="A77" s="317"/>
      <c r="B77" s="317"/>
      <c r="C77" s="318"/>
      <c r="D77" s="318"/>
      <c r="E77" s="318"/>
      <c r="F77" s="304"/>
      <c r="G77" s="304"/>
      <c r="H77" s="304"/>
      <c r="I77" s="304"/>
      <c r="J77" s="343"/>
      <c r="K77" s="343"/>
    </row>
    <row r="78" spans="1:11" x14ac:dyDescent="0.25">
      <c r="A78" s="317"/>
      <c r="B78" s="317"/>
      <c r="C78" s="318"/>
      <c r="D78" s="318"/>
      <c r="E78" s="318"/>
      <c r="F78" s="304"/>
      <c r="G78" s="304"/>
      <c r="H78" s="304"/>
      <c r="I78" s="304"/>
      <c r="J78" s="343"/>
      <c r="K78" s="343"/>
    </row>
    <row r="79" spans="1:11" x14ac:dyDescent="0.25">
      <c r="A79" s="317"/>
      <c r="B79" s="317"/>
      <c r="C79" s="318"/>
      <c r="D79" s="318"/>
      <c r="E79" s="318"/>
      <c r="F79" s="304"/>
      <c r="G79" s="304"/>
      <c r="H79" s="304"/>
      <c r="I79" s="304"/>
      <c r="J79" s="343"/>
      <c r="K79" s="343"/>
    </row>
    <row r="80" spans="1:11" x14ac:dyDescent="0.25">
      <c r="A80" s="317"/>
      <c r="B80" s="317"/>
      <c r="C80" s="318"/>
      <c r="D80" s="318"/>
      <c r="E80" s="318"/>
      <c r="F80" s="304"/>
      <c r="G80" s="304"/>
      <c r="H80" s="304"/>
      <c r="I80" s="304"/>
      <c r="J80" s="343"/>
      <c r="K80" s="343"/>
    </row>
    <row r="81" spans="1:11" x14ac:dyDescent="0.25">
      <c r="A81" s="317"/>
      <c r="B81" s="317"/>
      <c r="C81" s="318"/>
      <c r="D81" s="318"/>
      <c r="E81" s="318"/>
      <c r="F81" s="304"/>
      <c r="G81" s="304"/>
      <c r="H81" s="304"/>
      <c r="I81" s="304"/>
      <c r="J81" s="343"/>
      <c r="K81" s="343"/>
    </row>
    <row r="82" spans="1:11" x14ac:dyDescent="0.25">
      <c r="A82" s="317"/>
      <c r="B82" s="317"/>
      <c r="C82" s="318"/>
      <c r="D82" s="318"/>
      <c r="E82" s="318"/>
      <c r="F82" s="304"/>
      <c r="G82" s="304"/>
      <c r="H82" s="304"/>
      <c r="I82" s="304"/>
      <c r="J82" s="343"/>
      <c r="K82" s="343"/>
    </row>
    <row r="83" spans="1:11" x14ac:dyDescent="0.25">
      <c r="A83" s="304"/>
      <c r="B83" s="317"/>
      <c r="C83" s="318"/>
      <c r="D83" s="318"/>
      <c r="E83" s="318"/>
      <c r="F83" s="304"/>
      <c r="G83" s="304"/>
      <c r="H83" s="317"/>
      <c r="I83" s="317"/>
      <c r="J83" s="343"/>
      <c r="K83" s="343"/>
    </row>
    <row r="84" spans="1:11" x14ac:dyDescent="0.25">
      <c r="A84" s="317"/>
      <c r="B84" s="317"/>
      <c r="C84" s="318"/>
      <c r="D84" s="318"/>
      <c r="E84" s="318"/>
      <c r="F84" s="304"/>
      <c r="G84" s="304"/>
      <c r="H84" s="304"/>
      <c r="I84" s="304"/>
      <c r="J84" s="343"/>
      <c r="K84" s="343"/>
    </row>
    <row r="85" spans="1:11" x14ac:dyDescent="0.25">
      <c r="A85" s="317"/>
      <c r="B85" s="317"/>
      <c r="C85" s="318"/>
      <c r="D85" s="318"/>
      <c r="E85" s="318"/>
      <c r="F85" s="304"/>
      <c r="G85" s="304"/>
      <c r="H85" s="304"/>
      <c r="I85" s="304"/>
      <c r="J85" s="343"/>
      <c r="K85" s="343"/>
    </row>
    <row r="86" spans="1:11" x14ac:dyDescent="0.25">
      <c r="A86" s="317"/>
      <c r="B86" s="317"/>
      <c r="C86" s="318"/>
      <c r="D86" s="318"/>
      <c r="E86" s="318"/>
      <c r="F86" s="304"/>
      <c r="G86" s="304"/>
      <c r="H86" s="304"/>
      <c r="I86" s="304"/>
      <c r="J86" s="343"/>
      <c r="K86" s="343"/>
    </row>
    <row r="87" spans="1:11" x14ac:dyDescent="0.25">
      <c r="A87" s="317"/>
      <c r="B87" s="317"/>
      <c r="C87" s="318"/>
      <c r="D87" s="318"/>
      <c r="E87" s="318"/>
      <c r="F87" s="304"/>
      <c r="G87" s="304"/>
      <c r="H87" s="304"/>
      <c r="I87" s="304"/>
      <c r="J87" s="343"/>
      <c r="K87" s="343"/>
    </row>
    <row r="88" spans="1:11" x14ac:dyDescent="0.25">
      <c r="A88" s="317"/>
      <c r="B88" s="317"/>
      <c r="C88" s="318"/>
      <c r="D88" s="318"/>
      <c r="E88" s="318"/>
      <c r="F88" s="304"/>
      <c r="G88" s="304"/>
      <c r="H88" s="304"/>
      <c r="I88" s="304"/>
      <c r="J88" s="343"/>
      <c r="K88" s="343"/>
    </row>
    <row r="89" spans="1:11" x14ac:dyDescent="0.25">
      <c r="A89" s="317"/>
      <c r="B89" s="317"/>
      <c r="C89" s="318"/>
      <c r="D89" s="318"/>
      <c r="E89" s="318"/>
      <c r="F89" s="304"/>
      <c r="G89" s="304"/>
      <c r="H89" s="304"/>
      <c r="I89" s="304"/>
      <c r="J89" s="343"/>
      <c r="K89" s="343"/>
    </row>
    <row r="90" spans="1:11" x14ac:dyDescent="0.25">
      <c r="A90" s="317"/>
      <c r="B90" s="317"/>
      <c r="C90" s="318"/>
      <c r="D90" s="318"/>
      <c r="E90" s="318"/>
      <c r="F90" s="304"/>
      <c r="G90" s="304"/>
      <c r="H90" s="304"/>
      <c r="I90" s="304"/>
      <c r="J90" s="343"/>
      <c r="K90" s="343"/>
    </row>
    <row r="91" spans="1:11" x14ac:dyDescent="0.25">
      <c r="A91" s="317"/>
      <c r="B91" s="317"/>
      <c r="C91" s="318"/>
      <c r="D91" s="318"/>
      <c r="E91" s="318"/>
      <c r="F91" s="304"/>
      <c r="G91" s="304"/>
      <c r="H91" s="304"/>
      <c r="I91" s="304"/>
      <c r="J91" s="343"/>
      <c r="K91" s="343"/>
    </row>
    <row r="92" spans="1:11" x14ac:dyDescent="0.25">
      <c r="A92" s="317"/>
      <c r="B92" s="317"/>
      <c r="C92" s="318"/>
      <c r="D92" s="318"/>
      <c r="E92" s="318"/>
      <c r="F92" s="304"/>
      <c r="G92" s="304"/>
      <c r="H92" s="304"/>
      <c r="I92" s="304"/>
      <c r="J92" s="343"/>
      <c r="K92" s="343"/>
    </row>
    <row r="93" spans="1:11" x14ac:dyDescent="0.25">
      <c r="A93" s="317"/>
      <c r="B93" s="317"/>
      <c r="C93" s="318"/>
      <c r="D93" s="318"/>
      <c r="E93" s="318"/>
      <c r="F93" s="304"/>
      <c r="G93" s="304"/>
      <c r="H93" s="304"/>
      <c r="I93" s="304"/>
      <c r="J93" s="343"/>
      <c r="K93" s="343"/>
    </row>
    <row r="94" spans="1:11" x14ac:dyDescent="0.25">
      <c r="A94" s="317"/>
      <c r="B94" s="317"/>
      <c r="C94" s="318"/>
      <c r="D94" s="318"/>
      <c r="E94" s="318"/>
      <c r="F94" s="304"/>
      <c r="G94" s="304"/>
      <c r="H94" s="304"/>
      <c r="I94" s="304"/>
      <c r="J94" s="343"/>
      <c r="K94" s="343"/>
    </row>
    <row r="95" spans="1:11" x14ac:dyDescent="0.25">
      <c r="A95" s="317"/>
      <c r="B95" s="317"/>
      <c r="C95" s="318"/>
      <c r="D95" s="318"/>
      <c r="E95" s="318"/>
      <c r="F95" s="304"/>
      <c r="G95" s="304"/>
      <c r="H95" s="304"/>
      <c r="I95" s="304"/>
      <c r="J95" s="343"/>
      <c r="K95" s="343"/>
    </row>
    <row r="96" spans="1:11" x14ac:dyDescent="0.25">
      <c r="A96" s="317"/>
      <c r="B96" s="317"/>
      <c r="C96" s="318"/>
      <c r="D96" s="318"/>
      <c r="E96" s="318"/>
      <c r="F96" s="304"/>
      <c r="G96" s="304"/>
      <c r="H96" s="304"/>
      <c r="I96" s="304"/>
      <c r="J96" s="343"/>
      <c r="K96" s="343"/>
    </row>
    <row r="97" spans="1:11" x14ac:dyDescent="0.25">
      <c r="A97" s="317"/>
      <c r="B97" s="317"/>
      <c r="C97" s="318"/>
      <c r="D97" s="318"/>
      <c r="E97" s="318"/>
      <c r="F97" s="304"/>
      <c r="G97" s="304"/>
      <c r="H97" s="304"/>
      <c r="I97" s="304"/>
      <c r="J97" s="343"/>
      <c r="K97" s="343"/>
    </row>
    <row r="98" spans="1:11" x14ac:dyDescent="0.25">
      <c r="A98" s="317"/>
      <c r="B98" s="317"/>
      <c r="C98" s="318"/>
      <c r="D98" s="318"/>
      <c r="E98" s="318"/>
      <c r="F98" s="304"/>
      <c r="G98" s="304"/>
      <c r="H98" s="304"/>
      <c r="I98" s="304"/>
      <c r="J98" s="343"/>
      <c r="K98" s="343"/>
    </row>
    <row r="99" spans="1:11" x14ac:dyDescent="0.25">
      <c r="A99" s="317"/>
      <c r="B99" s="317"/>
      <c r="C99" s="318"/>
      <c r="D99" s="318"/>
      <c r="E99" s="318"/>
      <c r="F99" s="304"/>
      <c r="G99" s="304"/>
      <c r="H99" s="304"/>
      <c r="I99" s="304"/>
      <c r="J99" s="343"/>
      <c r="K99" s="343"/>
    </row>
    <row r="100" spans="1:11" x14ac:dyDescent="0.25">
      <c r="A100" s="317"/>
      <c r="B100" s="317"/>
      <c r="C100" s="318"/>
      <c r="D100" s="318"/>
      <c r="E100" s="318"/>
      <c r="F100" s="304"/>
      <c r="G100" s="304"/>
      <c r="H100" s="304"/>
      <c r="I100" s="304"/>
      <c r="J100" s="343"/>
      <c r="K100" s="343"/>
    </row>
    <row r="101" spans="1:11" x14ac:dyDescent="0.25">
      <c r="A101" s="317"/>
      <c r="B101" s="317"/>
      <c r="C101" s="318"/>
      <c r="D101" s="318"/>
      <c r="E101" s="318"/>
      <c r="F101" s="304"/>
      <c r="G101" s="304"/>
      <c r="H101" s="304"/>
      <c r="I101" s="304"/>
      <c r="J101" s="343"/>
      <c r="K101" s="343"/>
    </row>
    <row r="102" spans="1:11" x14ac:dyDescent="0.25">
      <c r="A102" s="317"/>
      <c r="B102" s="317"/>
      <c r="C102" s="318"/>
      <c r="D102" s="318"/>
      <c r="E102" s="318"/>
      <c r="F102" s="304"/>
      <c r="G102" s="304"/>
      <c r="H102" s="304"/>
      <c r="I102" s="304"/>
      <c r="J102" s="343"/>
      <c r="K102" s="343"/>
    </row>
    <row r="103" spans="1:11" x14ac:dyDescent="0.25">
      <c r="A103" s="317"/>
      <c r="B103" s="317"/>
      <c r="C103" s="318"/>
      <c r="D103" s="318"/>
      <c r="E103" s="318"/>
      <c r="F103" s="304"/>
      <c r="G103" s="304"/>
      <c r="H103" s="304"/>
      <c r="I103" s="304"/>
      <c r="J103" s="343"/>
      <c r="K103" s="343"/>
    </row>
    <row r="104" spans="1:11" x14ac:dyDescent="0.25">
      <c r="A104" s="317"/>
      <c r="B104" s="317"/>
      <c r="C104" s="318"/>
      <c r="D104" s="318"/>
      <c r="E104" s="318"/>
      <c r="F104" s="304"/>
      <c r="G104" s="304"/>
      <c r="H104" s="304"/>
      <c r="I104" s="304"/>
      <c r="J104" s="343"/>
      <c r="K104" s="343"/>
    </row>
    <row r="105" spans="1:11" x14ac:dyDescent="0.25">
      <c r="A105" s="317"/>
      <c r="B105" s="317"/>
      <c r="C105" s="318"/>
      <c r="D105" s="318"/>
      <c r="E105" s="318"/>
      <c r="F105" s="304"/>
      <c r="G105" s="304"/>
      <c r="H105" s="304"/>
      <c r="I105" s="304"/>
      <c r="J105" s="343"/>
      <c r="K105" s="343"/>
    </row>
    <row r="106" spans="1:11" x14ac:dyDescent="0.25">
      <c r="A106" s="317"/>
      <c r="B106" s="317"/>
      <c r="C106" s="318"/>
      <c r="D106" s="318"/>
      <c r="E106" s="318"/>
      <c r="F106" s="304"/>
      <c r="G106" s="304"/>
      <c r="H106" s="304"/>
      <c r="I106" s="304"/>
      <c r="J106" s="343"/>
      <c r="K106" s="343"/>
    </row>
    <row r="107" spans="1:11" x14ac:dyDescent="0.25">
      <c r="A107" s="317"/>
      <c r="B107" s="317"/>
      <c r="C107" s="318"/>
      <c r="D107" s="318"/>
      <c r="E107" s="318"/>
      <c r="F107" s="304"/>
      <c r="G107" s="304"/>
      <c r="H107" s="304"/>
      <c r="I107" s="304"/>
      <c r="J107" s="343"/>
      <c r="K107" s="343"/>
    </row>
    <row r="108" spans="1:11" x14ac:dyDescent="0.25">
      <c r="A108" s="317"/>
      <c r="B108" s="317"/>
      <c r="C108" s="318"/>
      <c r="D108" s="318"/>
      <c r="E108" s="318"/>
      <c r="F108" s="304"/>
      <c r="G108" s="304"/>
      <c r="H108" s="304"/>
      <c r="I108" s="304"/>
      <c r="J108" s="343"/>
      <c r="K108" s="343"/>
    </row>
    <row r="109" spans="1:11" x14ac:dyDescent="0.25">
      <c r="A109" s="317"/>
      <c r="B109" s="317"/>
      <c r="C109" s="318"/>
      <c r="D109" s="318"/>
      <c r="E109" s="318"/>
      <c r="F109" s="304"/>
      <c r="G109" s="304"/>
      <c r="H109" s="304"/>
      <c r="I109" s="304"/>
      <c r="J109" s="343"/>
      <c r="K109" s="343"/>
    </row>
    <row r="110" spans="1:11" x14ac:dyDescent="0.25">
      <c r="A110" s="317"/>
      <c r="B110" s="317"/>
      <c r="C110" s="318"/>
      <c r="D110" s="318"/>
      <c r="E110" s="318"/>
      <c r="F110" s="304"/>
      <c r="G110" s="304"/>
      <c r="H110" s="304"/>
      <c r="I110" s="304"/>
      <c r="J110" s="343"/>
      <c r="K110" s="343"/>
    </row>
    <row r="111" spans="1:11" x14ac:dyDescent="0.25">
      <c r="A111" s="317"/>
      <c r="B111" s="317"/>
      <c r="C111" s="318"/>
      <c r="D111" s="318"/>
      <c r="E111" s="318"/>
      <c r="F111" s="304"/>
      <c r="G111" s="304"/>
      <c r="H111" s="304"/>
      <c r="I111" s="304"/>
      <c r="J111" s="343"/>
      <c r="K111" s="343"/>
    </row>
    <row r="112" spans="1:11" x14ac:dyDescent="0.25">
      <c r="A112" s="317"/>
      <c r="B112" s="317"/>
      <c r="C112" s="318"/>
      <c r="D112" s="318"/>
      <c r="E112" s="318"/>
      <c r="F112" s="304"/>
      <c r="G112" s="304"/>
      <c r="H112" s="304"/>
      <c r="I112" s="304"/>
      <c r="J112" s="343"/>
      <c r="K112" s="343"/>
    </row>
    <row r="113" spans="1:11" x14ac:dyDescent="0.25">
      <c r="A113" s="317"/>
      <c r="B113" s="317"/>
      <c r="C113" s="318"/>
      <c r="D113" s="318"/>
      <c r="E113" s="318"/>
      <c r="F113" s="304"/>
      <c r="G113" s="304"/>
      <c r="H113" s="304"/>
      <c r="I113" s="304"/>
      <c r="J113" s="343"/>
      <c r="K113" s="343"/>
    </row>
    <row r="114" spans="1:11" x14ac:dyDescent="0.25">
      <c r="A114" s="317"/>
      <c r="B114" s="317"/>
      <c r="C114" s="318"/>
      <c r="D114" s="318"/>
      <c r="E114" s="318"/>
      <c r="F114" s="304"/>
      <c r="G114" s="304"/>
      <c r="H114" s="304"/>
      <c r="I114" s="304"/>
      <c r="J114" s="343"/>
      <c r="K114" s="343"/>
    </row>
    <row r="115" spans="1:11" x14ac:dyDescent="0.25">
      <c r="A115" s="317"/>
      <c r="B115" s="317"/>
      <c r="C115" s="318"/>
      <c r="D115" s="318"/>
      <c r="E115" s="318"/>
      <c r="F115" s="304"/>
      <c r="G115" s="304"/>
      <c r="H115" s="304"/>
      <c r="I115" s="304"/>
      <c r="J115" s="343"/>
      <c r="K115" s="343"/>
    </row>
    <row r="116" spans="1:11" x14ac:dyDescent="0.25">
      <c r="A116" s="317"/>
      <c r="B116" s="317"/>
      <c r="C116" s="318"/>
      <c r="D116" s="318"/>
      <c r="E116" s="318"/>
      <c r="F116" s="304"/>
      <c r="G116" s="304"/>
      <c r="H116" s="304"/>
      <c r="I116" s="304"/>
      <c r="J116" s="343"/>
      <c r="K116" s="343"/>
    </row>
    <row r="117" spans="1:11" x14ac:dyDescent="0.25">
      <c r="A117" s="304"/>
      <c r="B117" s="317"/>
      <c r="C117" s="318"/>
      <c r="D117" s="318"/>
      <c r="E117" s="318"/>
      <c r="F117" s="304"/>
      <c r="G117" s="304"/>
      <c r="H117" s="304"/>
      <c r="I117" s="304"/>
      <c r="J117" s="343"/>
      <c r="K117" s="343"/>
    </row>
    <row r="118" spans="1:11" x14ac:dyDescent="0.25">
      <c r="A118" s="317"/>
      <c r="B118" s="317"/>
      <c r="C118" s="318"/>
      <c r="D118" s="318"/>
      <c r="E118" s="318"/>
      <c r="F118" s="304"/>
      <c r="G118" s="304"/>
      <c r="H118" s="304"/>
      <c r="I118" s="304"/>
      <c r="J118" s="343"/>
      <c r="K118" s="343"/>
    </row>
    <row r="119" spans="1:11" x14ac:dyDescent="0.25">
      <c r="A119" s="317"/>
      <c r="B119" s="317"/>
      <c r="C119" s="318"/>
      <c r="D119" s="318"/>
      <c r="E119" s="318"/>
      <c r="F119" s="304"/>
      <c r="G119" s="304"/>
      <c r="H119" s="304"/>
      <c r="I119" s="304"/>
      <c r="J119" s="343"/>
      <c r="K119" s="343"/>
    </row>
    <row r="120" spans="1:11" x14ac:dyDescent="0.25">
      <c r="A120" s="317"/>
      <c r="B120" s="317"/>
      <c r="C120" s="318"/>
      <c r="D120" s="318"/>
      <c r="E120" s="318"/>
      <c r="F120" s="304"/>
      <c r="G120" s="304"/>
      <c r="H120" s="304"/>
      <c r="I120" s="304"/>
      <c r="J120" s="343"/>
      <c r="K120" s="343"/>
    </row>
    <row r="121" spans="1:11" x14ac:dyDescent="0.25">
      <c r="A121" s="317"/>
      <c r="B121" s="317"/>
      <c r="C121" s="318"/>
      <c r="D121" s="318"/>
      <c r="E121" s="318"/>
      <c r="F121" s="304"/>
      <c r="G121" s="304"/>
      <c r="H121" s="304"/>
      <c r="I121" s="304"/>
      <c r="J121" s="343"/>
      <c r="K121" s="343"/>
    </row>
    <row r="122" spans="1:11" x14ac:dyDescent="0.25">
      <c r="A122" s="317"/>
      <c r="B122" s="317"/>
      <c r="C122" s="318"/>
      <c r="D122" s="318"/>
      <c r="E122" s="318"/>
      <c r="F122" s="304"/>
      <c r="G122" s="304"/>
      <c r="H122" s="304"/>
      <c r="I122" s="304"/>
      <c r="J122" s="343"/>
      <c r="K122" s="343"/>
    </row>
    <row r="123" spans="1:11" x14ac:dyDescent="0.25">
      <c r="A123" s="317"/>
      <c r="B123" s="317"/>
      <c r="C123" s="318"/>
      <c r="D123" s="318"/>
      <c r="E123" s="318"/>
      <c r="F123" s="304"/>
      <c r="G123" s="304"/>
      <c r="H123" s="304"/>
      <c r="I123" s="304"/>
      <c r="J123" s="343"/>
      <c r="K123" s="343"/>
    </row>
    <row r="124" spans="1:11" x14ac:dyDescent="0.25">
      <c r="A124" s="317"/>
      <c r="B124" s="317"/>
      <c r="C124" s="318"/>
      <c r="D124" s="318"/>
      <c r="E124" s="318"/>
      <c r="F124" s="304"/>
      <c r="G124" s="304"/>
      <c r="H124" s="304"/>
      <c r="I124" s="304"/>
      <c r="J124" s="343"/>
      <c r="K124" s="343"/>
    </row>
    <row r="125" spans="1:11" x14ac:dyDescent="0.25">
      <c r="A125" s="317"/>
      <c r="B125" s="317"/>
      <c r="C125" s="318"/>
      <c r="D125" s="318"/>
      <c r="E125" s="318"/>
      <c r="F125" s="304"/>
      <c r="G125" s="304"/>
      <c r="H125" s="304"/>
      <c r="I125" s="304"/>
      <c r="J125" s="343"/>
      <c r="K125" s="343"/>
    </row>
    <row r="126" spans="1:11" x14ac:dyDescent="0.25">
      <c r="A126" s="317"/>
      <c r="B126" s="317"/>
      <c r="C126" s="318"/>
      <c r="D126" s="318"/>
      <c r="E126" s="318"/>
      <c r="F126" s="304"/>
      <c r="G126" s="304"/>
      <c r="H126" s="304"/>
      <c r="I126" s="304"/>
      <c r="J126" s="343"/>
      <c r="K126" s="343"/>
    </row>
    <row r="127" spans="1:11" x14ac:dyDescent="0.25">
      <c r="A127" s="317"/>
      <c r="B127" s="317"/>
      <c r="C127" s="318"/>
      <c r="D127" s="318"/>
      <c r="E127" s="318"/>
      <c r="F127" s="304"/>
      <c r="G127" s="304"/>
      <c r="H127" s="304"/>
      <c r="I127" s="304"/>
      <c r="J127" s="343"/>
      <c r="K127" s="343"/>
    </row>
    <row r="128" spans="1:11" ht="15.75" thickBot="1" x14ac:dyDescent="0.3">
      <c r="A128" s="319"/>
      <c r="B128" s="319"/>
      <c r="C128" s="320"/>
      <c r="D128" s="320"/>
      <c r="E128" s="320"/>
      <c r="F128" s="305"/>
      <c r="G128" s="305"/>
      <c r="H128" s="305"/>
      <c r="I128" s="305"/>
      <c r="J128" s="344"/>
      <c r="K128" s="344"/>
    </row>
  </sheetData>
  <autoFilter ref="A2:K2" xr:uid="{7C717F9F-D1AD-4153-BDEC-F96F3F40B03C}"/>
  <mergeCells count="1">
    <mergeCell ref="D1:K1"/>
  </mergeCells>
  <conditionalFormatting sqref="A3:K128">
    <cfRule type="expression" dxfId="3" priority="1">
      <formula>MOD(ROW(),2)</formula>
    </cfRule>
  </conditionalFormatting>
  <conditionalFormatting sqref="L3:XFD22">
    <cfRule type="expression" dxfId="2" priority="2">
      <formula>MOD(ROW(),2)</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4DBAC-0906-46BD-8D61-177772EA33AC}">
  <sheetPr>
    <tabColor rgb="FFA20067"/>
  </sheetPr>
  <dimension ref="A1:H128"/>
  <sheetViews>
    <sheetView zoomScale="70" zoomScaleNormal="70" workbookViewId="0"/>
  </sheetViews>
  <sheetFormatPr baseColWidth="10" defaultColWidth="11.5703125" defaultRowHeight="15" x14ac:dyDescent="0.25"/>
  <cols>
    <col min="1" max="1" width="12.28515625" style="306" bestFit="1" customWidth="1"/>
    <col min="2" max="2" width="11.5703125" style="306" bestFit="1" customWidth="1"/>
    <col min="3" max="3" width="31.5703125" style="306" customWidth="1"/>
    <col min="4" max="4" width="76.28515625" style="306" customWidth="1"/>
    <col min="5" max="5" width="35" style="306" customWidth="1"/>
    <col min="6" max="6" width="26.28515625" style="306" customWidth="1"/>
    <col min="7" max="8" width="25.28515625" style="345" customWidth="1"/>
    <col min="9" max="15" width="11.5703125" style="306" bestFit="1" customWidth="1"/>
    <col min="16" max="16384" width="11.5703125" style="306"/>
  </cols>
  <sheetData>
    <row r="1" spans="1:8" s="311" customFormat="1" ht="49.9" customHeight="1" thickBot="1" x14ac:dyDescent="0.3">
      <c r="A1" s="376"/>
      <c r="B1" s="377" t="s">
        <v>138</v>
      </c>
      <c r="C1" s="378">
        <f ca="1">TODAY()</f>
        <v>46161</v>
      </c>
      <c r="D1" s="535" t="s">
        <v>2393</v>
      </c>
      <c r="E1" s="536"/>
      <c r="F1" s="536"/>
      <c r="G1" s="536"/>
      <c r="H1" s="536"/>
    </row>
    <row r="2" spans="1:8" s="311" customFormat="1" ht="15.75" thickBot="1" x14ac:dyDescent="0.3">
      <c r="A2" s="371" t="s">
        <v>475</v>
      </c>
      <c r="B2" s="371" t="s">
        <v>140</v>
      </c>
      <c r="C2" s="372" t="s">
        <v>479</v>
      </c>
      <c r="D2" s="372" t="s">
        <v>948</v>
      </c>
      <c r="E2" s="372" t="s">
        <v>1653</v>
      </c>
      <c r="F2" s="373" t="s">
        <v>2368</v>
      </c>
      <c r="G2" s="373" t="s">
        <v>2369</v>
      </c>
      <c r="H2" s="373" t="s">
        <v>2370</v>
      </c>
    </row>
    <row r="3" spans="1:8" x14ac:dyDescent="0.25">
      <c r="A3" s="339"/>
      <c r="B3" s="301"/>
      <c r="C3" s="370"/>
      <c r="D3" s="370"/>
      <c r="E3" s="301"/>
      <c r="F3" s="301"/>
      <c r="G3" s="341"/>
      <c r="H3" s="341"/>
    </row>
    <row r="4" spans="1:8" x14ac:dyDescent="0.25">
      <c r="A4" s="334"/>
      <c r="B4" s="302"/>
      <c r="C4" s="315"/>
      <c r="D4" s="315"/>
      <c r="E4" s="302"/>
      <c r="F4" s="302"/>
      <c r="G4" s="342"/>
      <c r="H4" s="342"/>
    </row>
    <row r="5" spans="1:8" x14ac:dyDescent="0.25">
      <c r="A5" s="334"/>
      <c r="B5" s="302"/>
      <c r="C5" s="315"/>
      <c r="D5" s="315"/>
      <c r="E5" s="302"/>
      <c r="F5" s="302"/>
      <c r="G5" s="342"/>
      <c r="H5" s="342"/>
    </row>
    <row r="6" spans="1:8" x14ac:dyDescent="0.25">
      <c r="A6" s="334"/>
      <c r="B6" s="302"/>
      <c r="C6" s="315"/>
      <c r="D6" s="315"/>
      <c r="E6" s="302"/>
      <c r="F6" s="302"/>
      <c r="G6" s="342"/>
      <c r="H6" s="342"/>
    </row>
    <row r="7" spans="1:8" x14ac:dyDescent="0.25">
      <c r="A7" s="334"/>
      <c r="B7" s="302"/>
      <c r="C7" s="315"/>
      <c r="D7" s="315"/>
      <c r="E7" s="302"/>
      <c r="F7" s="302"/>
      <c r="G7" s="342"/>
      <c r="H7" s="342"/>
    </row>
    <row r="8" spans="1:8" x14ac:dyDescent="0.25">
      <c r="A8" s="334"/>
      <c r="B8" s="302"/>
      <c r="C8" s="315"/>
      <c r="D8" s="315"/>
      <c r="E8" s="302"/>
      <c r="F8" s="302"/>
      <c r="G8" s="342"/>
      <c r="H8" s="342"/>
    </row>
    <row r="9" spans="1:8" x14ac:dyDescent="0.25">
      <c r="A9" s="334"/>
      <c r="B9" s="302"/>
      <c r="C9" s="315"/>
      <c r="D9" s="315"/>
      <c r="E9" s="302"/>
      <c r="F9" s="302"/>
      <c r="G9" s="342"/>
      <c r="H9" s="342"/>
    </row>
    <row r="10" spans="1:8" x14ac:dyDescent="0.25">
      <c r="A10" s="334"/>
      <c r="B10" s="302"/>
      <c r="C10" s="315"/>
      <c r="D10" s="315"/>
      <c r="E10" s="302"/>
      <c r="F10" s="302"/>
      <c r="G10" s="342"/>
      <c r="H10" s="342"/>
    </row>
    <row r="11" spans="1:8" x14ac:dyDescent="0.25">
      <c r="A11" s="334"/>
      <c r="B11" s="302"/>
      <c r="C11" s="315"/>
      <c r="D11" s="315"/>
      <c r="E11" s="302"/>
      <c r="F11" s="302"/>
      <c r="G11" s="342"/>
      <c r="H11" s="342"/>
    </row>
    <row r="12" spans="1:8" x14ac:dyDescent="0.25">
      <c r="A12" s="334"/>
      <c r="B12" s="302"/>
      <c r="C12" s="315"/>
      <c r="D12" s="315"/>
      <c r="E12" s="302"/>
      <c r="F12" s="302"/>
      <c r="G12" s="342"/>
      <c r="H12" s="342"/>
    </row>
    <row r="13" spans="1:8" x14ac:dyDescent="0.25">
      <c r="A13" s="334"/>
      <c r="B13" s="302"/>
      <c r="C13" s="315"/>
      <c r="D13" s="315"/>
      <c r="E13" s="302"/>
      <c r="F13" s="302"/>
      <c r="G13" s="342"/>
      <c r="H13" s="342"/>
    </row>
    <row r="14" spans="1:8" x14ac:dyDescent="0.25">
      <c r="A14" s="334"/>
      <c r="B14" s="302"/>
      <c r="C14" s="315"/>
      <c r="D14" s="315"/>
      <c r="E14" s="302"/>
      <c r="F14" s="302"/>
      <c r="G14" s="342"/>
      <c r="H14" s="342"/>
    </row>
    <row r="15" spans="1:8" x14ac:dyDescent="0.25">
      <c r="A15" s="334"/>
      <c r="B15" s="302"/>
      <c r="C15" s="315"/>
      <c r="D15" s="315"/>
      <c r="E15" s="302"/>
      <c r="F15" s="302"/>
      <c r="G15" s="342"/>
      <c r="H15" s="342"/>
    </row>
    <row r="16" spans="1:8" x14ac:dyDescent="0.25">
      <c r="A16" s="334"/>
      <c r="B16" s="302"/>
      <c r="C16" s="315"/>
      <c r="D16" s="315"/>
      <c r="E16" s="302"/>
      <c r="F16" s="302"/>
      <c r="G16" s="342"/>
      <c r="H16" s="342"/>
    </row>
    <row r="17" spans="1:8" x14ac:dyDescent="0.25">
      <c r="A17" s="334"/>
      <c r="B17" s="302"/>
      <c r="C17" s="315"/>
      <c r="D17" s="315"/>
      <c r="E17" s="302"/>
      <c r="F17" s="302"/>
      <c r="G17" s="342"/>
      <c r="H17" s="342"/>
    </row>
    <row r="18" spans="1:8" x14ac:dyDescent="0.25">
      <c r="A18" s="334"/>
      <c r="B18" s="302"/>
      <c r="C18" s="315"/>
      <c r="D18" s="315"/>
      <c r="E18" s="302"/>
      <c r="F18" s="302"/>
      <c r="G18" s="342"/>
      <c r="H18" s="342"/>
    </row>
    <row r="19" spans="1:8" x14ac:dyDescent="0.25">
      <c r="A19" s="334"/>
      <c r="B19" s="302"/>
      <c r="C19" s="315"/>
      <c r="D19" s="315"/>
      <c r="E19" s="302"/>
      <c r="F19" s="302"/>
      <c r="G19" s="342"/>
      <c r="H19" s="342"/>
    </row>
    <row r="20" spans="1:8" x14ac:dyDescent="0.25">
      <c r="A20" s="334"/>
      <c r="B20" s="302"/>
      <c r="C20" s="315"/>
      <c r="D20" s="315"/>
      <c r="E20" s="302"/>
      <c r="F20" s="302"/>
      <c r="G20" s="342"/>
      <c r="H20" s="342"/>
    </row>
    <row r="21" spans="1:8" x14ac:dyDescent="0.25">
      <c r="A21" s="334"/>
      <c r="B21" s="302"/>
      <c r="C21" s="315"/>
      <c r="D21" s="315"/>
      <c r="E21" s="302"/>
      <c r="F21" s="302"/>
      <c r="G21" s="342"/>
      <c r="H21" s="342"/>
    </row>
    <row r="22" spans="1:8" x14ac:dyDescent="0.25">
      <c r="A22" s="302"/>
      <c r="B22" s="302"/>
      <c r="C22" s="315"/>
      <c r="D22" s="315"/>
      <c r="E22" s="302"/>
      <c r="F22" s="302"/>
      <c r="G22" s="342"/>
      <c r="H22" s="342"/>
    </row>
    <row r="23" spans="1:8" x14ac:dyDescent="0.25">
      <c r="A23" s="302"/>
      <c r="B23" s="302"/>
      <c r="C23" s="315"/>
      <c r="D23" s="315"/>
      <c r="E23" s="302"/>
      <c r="F23" s="302"/>
      <c r="G23" s="342"/>
      <c r="H23" s="342"/>
    </row>
    <row r="24" spans="1:8" x14ac:dyDescent="0.25">
      <c r="A24" s="302"/>
      <c r="B24" s="302"/>
      <c r="C24" s="315"/>
      <c r="D24" s="315"/>
      <c r="E24" s="302"/>
      <c r="F24" s="302"/>
      <c r="G24" s="342"/>
      <c r="H24" s="342"/>
    </row>
    <row r="25" spans="1:8" x14ac:dyDescent="0.25">
      <c r="A25" s="303"/>
      <c r="B25" s="303"/>
      <c r="C25" s="313"/>
      <c r="D25" s="313"/>
      <c r="E25" s="303"/>
      <c r="F25" s="303"/>
      <c r="G25" s="342"/>
      <c r="H25" s="342"/>
    </row>
    <row r="26" spans="1:8" x14ac:dyDescent="0.25">
      <c r="A26" s="302"/>
      <c r="B26" s="302"/>
      <c r="C26" s="315"/>
      <c r="D26" s="315"/>
      <c r="E26" s="302"/>
      <c r="F26" s="302"/>
      <c r="G26" s="342"/>
      <c r="H26" s="342"/>
    </row>
    <row r="27" spans="1:8" x14ac:dyDescent="0.25">
      <c r="A27" s="303"/>
      <c r="B27" s="303"/>
      <c r="C27" s="315"/>
      <c r="D27" s="315"/>
      <c r="E27" s="302"/>
      <c r="F27" s="302"/>
      <c r="G27" s="342"/>
      <c r="H27" s="342"/>
    </row>
    <row r="28" spans="1:8" x14ac:dyDescent="0.25">
      <c r="A28" s="303"/>
      <c r="B28" s="303"/>
      <c r="C28" s="315"/>
      <c r="D28" s="315"/>
      <c r="E28" s="302"/>
      <c r="F28" s="302"/>
      <c r="G28" s="342"/>
      <c r="H28" s="342"/>
    </row>
    <row r="29" spans="1:8" x14ac:dyDescent="0.25">
      <c r="A29" s="317"/>
      <c r="B29" s="303"/>
      <c r="C29" s="318"/>
      <c r="D29" s="318"/>
      <c r="E29" s="304"/>
      <c r="F29" s="304"/>
      <c r="G29" s="343"/>
      <c r="H29" s="343"/>
    </row>
    <row r="30" spans="1:8" x14ac:dyDescent="0.25">
      <c r="A30" s="317"/>
      <c r="B30" s="317"/>
      <c r="C30" s="318"/>
      <c r="D30" s="318"/>
      <c r="E30" s="304"/>
      <c r="F30" s="304"/>
      <c r="G30" s="343"/>
      <c r="H30" s="343"/>
    </row>
    <row r="31" spans="1:8" x14ac:dyDescent="0.25">
      <c r="A31" s="317"/>
      <c r="B31" s="303"/>
      <c r="C31" s="318"/>
      <c r="D31" s="318"/>
      <c r="E31" s="304"/>
      <c r="F31" s="304"/>
      <c r="G31" s="343"/>
      <c r="H31" s="343"/>
    </row>
    <row r="32" spans="1:8" x14ac:dyDescent="0.25">
      <c r="A32" s="317"/>
      <c r="B32" s="303"/>
      <c r="C32" s="318"/>
      <c r="D32" s="318"/>
      <c r="E32" s="304"/>
      <c r="F32" s="304"/>
      <c r="G32" s="343"/>
      <c r="H32" s="343"/>
    </row>
    <row r="33" spans="1:8" x14ac:dyDescent="0.25">
      <c r="A33" s="317"/>
      <c r="B33" s="317"/>
      <c r="C33" s="318"/>
      <c r="D33" s="318"/>
      <c r="E33" s="304"/>
      <c r="F33" s="304"/>
      <c r="G33" s="343"/>
      <c r="H33" s="343"/>
    </row>
    <row r="34" spans="1:8" x14ac:dyDescent="0.25">
      <c r="A34" s="317"/>
      <c r="B34" s="317"/>
      <c r="C34" s="318"/>
      <c r="D34" s="318"/>
      <c r="E34" s="304"/>
      <c r="F34" s="304"/>
      <c r="G34" s="343"/>
      <c r="H34" s="343"/>
    </row>
    <row r="35" spans="1:8" x14ac:dyDescent="0.25">
      <c r="A35" s="317"/>
      <c r="B35" s="317"/>
      <c r="C35" s="318"/>
      <c r="D35" s="318"/>
      <c r="E35" s="304"/>
      <c r="F35" s="304"/>
      <c r="G35" s="343"/>
      <c r="H35" s="343"/>
    </row>
    <row r="36" spans="1:8" x14ac:dyDescent="0.25">
      <c r="A36" s="317"/>
      <c r="B36" s="317"/>
      <c r="C36" s="318"/>
      <c r="D36" s="318"/>
      <c r="E36" s="304"/>
      <c r="F36" s="304"/>
      <c r="G36" s="343"/>
      <c r="H36" s="343"/>
    </row>
    <row r="37" spans="1:8" x14ac:dyDescent="0.25">
      <c r="A37" s="317"/>
      <c r="B37" s="317"/>
      <c r="C37" s="318"/>
      <c r="D37" s="318"/>
      <c r="E37" s="304"/>
      <c r="F37" s="304"/>
      <c r="G37" s="343"/>
      <c r="H37" s="343"/>
    </row>
    <row r="38" spans="1:8" x14ac:dyDescent="0.25">
      <c r="A38" s="317"/>
      <c r="B38" s="317"/>
      <c r="C38" s="318"/>
      <c r="D38" s="318"/>
      <c r="E38" s="304"/>
      <c r="F38" s="304"/>
      <c r="G38" s="343"/>
      <c r="H38" s="343"/>
    </row>
    <row r="39" spans="1:8" x14ac:dyDescent="0.25">
      <c r="A39" s="317"/>
      <c r="B39" s="317"/>
      <c r="C39" s="318"/>
      <c r="D39" s="318"/>
      <c r="E39" s="304"/>
      <c r="F39" s="304"/>
      <c r="G39" s="343"/>
      <c r="H39" s="343"/>
    </row>
    <row r="40" spans="1:8" x14ac:dyDescent="0.25">
      <c r="A40" s="317"/>
      <c r="B40" s="317"/>
      <c r="C40" s="318"/>
      <c r="D40" s="318"/>
      <c r="E40" s="304"/>
      <c r="F40" s="304"/>
      <c r="G40" s="343"/>
      <c r="H40" s="343"/>
    </row>
    <row r="41" spans="1:8" x14ac:dyDescent="0.25">
      <c r="A41" s="317"/>
      <c r="B41" s="317"/>
      <c r="C41" s="318"/>
      <c r="D41" s="318"/>
      <c r="E41" s="304"/>
      <c r="F41" s="304"/>
      <c r="G41" s="343"/>
      <c r="H41" s="343"/>
    </row>
    <row r="42" spans="1:8" x14ac:dyDescent="0.25">
      <c r="A42" s="317"/>
      <c r="B42" s="317"/>
      <c r="C42" s="318"/>
      <c r="D42" s="318"/>
      <c r="E42" s="304"/>
      <c r="F42" s="304"/>
      <c r="G42" s="343"/>
      <c r="H42" s="343"/>
    </row>
    <row r="43" spans="1:8" x14ac:dyDescent="0.25">
      <c r="A43" s="317"/>
      <c r="B43" s="317"/>
      <c r="C43" s="318"/>
      <c r="D43" s="318"/>
      <c r="E43" s="304"/>
      <c r="F43" s="304"/>
      <c r="G43" s="343"/>
      <c r="H43" s="343"/>
    </row>
    <row r="44" spans="1:8" x14ac:dyDescent="0.25">
      <c r="A44" s="317"/>
      <c r="B44" s="317"/>
      <c r="C44" s="318"/>
      <c r="D44" s="318"/>
      <c r="E44" s="304"/>
      <c r="F44" s="304"/>
      <c r="G44" s="343"/>
      <c r="H44" s="343"/>
    </row>
    <row r="45" spans="1:8" x14ac:dyDescent="0.25">
      <c r="A45" s="317"/>
      <c r="B45" s="317"/>
      <c r="C45" s="318"/>
      <c r="D45" s="318"/>
      <c r="E45" s="304"/>
      <c r="F45" s="304"/>
      <c r="G45" s="343"/>
      <c r="H45" s="343"/>
    </row>
    <row r="46" spans="1:8" x14ac:dyDescent="0.25">
      <c r="A46" s="317"/>
      <c r="B46" s="317"/>
      <c r="C46" s="318"/>
      <c r="D46" s="318"/>
      <c r="E46" s="304"/>
      <c r="F46" s="304"/>
      <c r="G46" s="343"/>
      <c r="H46" s="343"/>
    </row>
    <row r="47" spans="1:8" x14ac:dyDescent="0.25">
      <c r="A47" s="317"/>
      <c r="B47" s="317"/>
      <c r="C47" s="318"/>
      <c r="D47" s="318"/>
      <c r="E47" s="304"/>
      <c r="F47" s="304"/>
      <c r="G47" s="343"/>
      <c r="H47" s="343"/>
    </row>
    <row r="48" spans="1:8" x14ac:dyDescent="0.25">
      <c r="A48" s="317"/>
      <c r="B48" s="303"/>
      <c r="C48" s="318"/>
      <c r="D48" s="318"/>
      <c r="E48" s="304"/>
      <c r="F48" s="304"/>
      <c r="G48" s="343"/>
      <c r="H48" s="343"/>
    </row>
    <row r="49" spans="1:8" x14ac:dyDescent="0.25">
      <c r="A49" s="317"/>
      <c r="B49" s="317"/>
      <c r="C49" s="318"/>
      <c r="D49" s="318"/>
      <c r="E49" s="304"/>
      <c r="F49" s="304"/>
      <c r="G49" s="343"/>
      <c r="H49" s="343"/>
    </row>
    <row r="50" spans="1:8" x14ac:dyDescent="0.25">
      <c r="A50" s="317"/>
      <c r="B50" s="317"/>
      <c r="C50" s="318"/>
      <c r="D50" s="318"/>
      <c r="E50" s="304"/>
      <c r="F50" s="304"/>
      <c r="G50" s="343"/>
      <c r="H50" s="343"/>
    </row>
    <row r="51" spans="1:8" x14ac:dyDescent="0.25">
      <c r="A51" s="317"/>
      <c r="B51" s="317"/>
      <c r="C51" s="318"/>
      <c r="D51" s="318"/>
      <c r="E51" s="304"/>
      <c r="F51" s="304"/>
      <c r="G51" s="343"/>
      <c r="H51" s="343"/>
    </row>
    <row r="52" spans="1:8" x14ac:dyDescent="0.25">
      <c r="A52" s="317"/>
      <c r="B52" s="317"/>
      <c r="C52" s="318"/>
      <c r="D52" s="318"/>
      <c r="E52" s="304"/>
      <c r="F52" s="304"/>
      <c r="G52" s="343"/>
      <c r="H52" s="343"/>
    </row>
    <row r="53" spans="1:8" x14ac:dyDescent="0.25">
      <c r="A53" s="317"/>
      <c r="B53" s="317"/>
      <c r="C53" s="318"/>
      <c r="D53" s="318"/>
      <c r="E53" s="304"/>
      <c r="F53" s="304"/>
      <c r="G53" s="343"/>
      <c r="H53" s="343"/>
    </row>
    <row r="54" spans="1:8" x14ac:dyDescent="0.25">
      <c r="A54" s="317"/>
      <c r="B54" s="317"/>
      <c r="C54" s="318"/>
      <c r="D54" s="318"/>
      <c r="E54" s="304"/>
      <c r="F54" s="304"/>
      <c r="G54" s="343"/>
      <c r="H54" s="343"/>
    </row>
    <row r="55" spans="1:8" x14ac:dyDescent="0.25">
      <c r="A55" s="317"/>
      <c r="B55" s="317"/>
      <c r="C55" s="318"/>
      <c r="D55" s="318"/>
      <c r="E55" s="304"/>
      <c r="F55" s="304"/>
      <c r="G55" s="343"/>
      <c r="H55" s="343"/>
    </row>
    <row r="56" spans="1:8" x14ac:dyDescent="0.25">
      <c r="A56" s="317"/>
      <c r="B56" s="317"/>
      <c r="C56" s="318"/>
      <c r="D56" s="318"/>
      <c r="E56" s="304"/>
      <c r="F56" s="304"/>
      <c r="G56" s="343"/>
      <c r="H56" s="343"/>
    </row>
    <row r="57" spans="1:8" x14ac:dyDescent="0.25">
      <c r="A57" s="317"/>
      <c r="B57" s="317"/>
      <c r="C57" s="318"/>
      <c r="D57" s="318"/>
      <c r="E57" s="304"/>
      <c r="F57" s="304"/>
      <c r="G57" s="343"/>
      <c r="H57" s="343"/>
    </row>
    <row r="58" spans="1:8" x14ac:dyDescent="0.25">
      <c r="A58" s="317"/>
      <c r="B58" s="303"/>
      <c r="C58" s="318"/>
      <c r="D58" s="318"/>
      <c r="E58" s="304"/>
      <c r="F58" s="304"/>
      <c r="G58" s="343"/>
      <c r="H58" s="343"/>
    </row>
    <row r="59" spans="1:8" x14ac:dyDescent="0.25">
      <c r="A59" s="317"/>
      <c r="B59" s="317"/>
      <c r="C59" s="318"/>
      <c r="D59" s="318"/>
      <c r="E59" s="304"/>
      <c r="F59" s="304"/>
      <c r="G59" s="343"/>
      <c r="H59" s="343"/>
    </row>
    <row r="60" spans="1:8" x14ac:dyDescent="0.25">
      <c r="A60" s="317"/>
      <c r="B60" s="317"/>
      <c r="C60" s="318"/>
      <c r="D60" s="318"/>
      <c r="E60" s="304"/>
      <c r="F60" s="304"/>
      <c r="G60" s="343"/>
      <c r="H60" s="343"/>
    </row>
    <row r="61" spans="1:8" x14ac:dyDescent="0.25">
      <c r="A61" s="304"/>
      <c r="B61" s="317"/>
      <c r="C61" s="318"/>
      <c r="D61" s="318"/>
      <c r="E61" s="317"/>
      <c r="F61" s="317"/>
      <c r="G61" s="343"/>
      <c r="H61" s="343"/>
    </row>
    <row r="62" spans="1:8" x14ac:dyDescent="0.25">
      <c r="A62" s="317"/>
      <c r="B62" s="317"/>
      <c r="C62" s="318"/>
      <c r="D62" s="318"/>
      <c r="E62" s="304"/>
      <c r="F62" s="304"/>
      <c r="G62" s="343"/>
      <c r="H62" s="343"/>
    </row>
    <row r="63" spans="1:8" x14ac:dyDescent="0.25">
      <c r="A63" s="317"/>
      <c r="B63" s="317"/>
      <c r="C63" s="318"/>
      <c r="D63" s="318"/>
      <c r="E63" s="304"/>
      <c r="F63" s="304"/>
      <c r="G63" s="343"/>
      <c r="H63" s="343"/>
    </row>
    <row r="64" spans="1:8" x14ac:dyDescent="0.25">
      <c r="A64" s="317"/>
      <c r="B64" s="317"/>
      <c r="C64" s="318"/>
      <c r="D64" s="318"/>
      <c r="E64" s="304"/>
      <c r="F64" s="304"/>
      <c r="G64" s="343"/>
      <c r="H64" s="343"/>
    </row>
    <row r="65" spans="1:8" x14ac:dyDescent="0.25">
      <c r="A65" s="317"/>
      <c r="B65" s="317"/>
      <c r="C65" s="318"/>
      <c r="D65" s="318"/>
      <c r="E65" s="304"/>
      <c r="F65" s="304"/>
      <c r="G65" s="343"/>
      <c r="H65" s="343"/>
    </row>
    <row r="66" spans="1:8" x14ac:dyDescent="0.25">
      <c r="A66" s="317"/>
      <c r="B66" s="317"/>
      <c r="C66" s="318"/>
      <c r="D66" s="318"/>
      <c r="E66" s="304"/>
      <c r="F66" s="304"/>
      <c r="G66" s="343"/>
      <c r="H66" s="343"/>
    </row>
    <row r="67" spans="1:8" x14ac:dyDescent="0.25">
      <c r="A67" s="317"/>
      <c r="B67" s="317"/>
      <c r="C67" s="318"/>
      <c r="D67" s="318"/>
      <c r="E67" s="304"/>
      <c r="F67" s="304"/>
      <c r="G67" s="343"/>
      <c r="H67" s="343"/>
    </row>
    <row r="68" spans="1:8" x14ac:dyDescent="0.25">
      <c r="A68" s="317"/>
      <c r="B68" s="317"/>
      <c r="C68" s="318"/>
      <c r="D68" s="318"/>
      <c r="E68" s="304"/>
      <c r="F68" s="304"/>
      <c r="G68" s="343"/>
      <c r="H68" s="343"/>
    </row>
    <row r="69" spans="1:8" x14ac:dyDescent="0.25">
      <c r="A69" s="317"/>
      <c r="B69" s="317"/>
      <c r="C69" s="318"/>
      <c r="D69" s="318"/>
      <c r="E69" s="304"/>
      <c r="F69" s="304"/>
      <c r="G69" s="343"/>
      <c r="H69" s="343"/>
    </row>
    <row r="70" spans="1:8" x14ac:dyDescent="0.25">
      <c r="A70" s="317"/>
      <c r="B70" s="317"/>
      <c r="C70" s="318"/>
      <c r="D70" s="318"/>
      <c r="E70" s="304"/>
      <c r="F70" s="304"/>
      <c r="G70" s="343"/>
      <c r="H70" s="343"/>
    </row>
    <row r="71" spans="1:8" x14ac:dyDescent="0.25">
      <c r="A71" s="317"/>
      <c r="B71" s="303"/>
      <c r="C71" s="318"/>
      <c r="D71" s="318"/>
      <c r="E71" s="304"/>
      <c r="F71" s="304"/>
      <c r="G71" s="343"/>
      <c r="H71" s="343"/>
    </row>
    <row r="72" spans="1:8" x14ac:dyDescent="0.25">
      <c r="A72" s="317"/>
      <c r="B72" s="303"/>
      <c r="C72" s="318"/>
      <c r="D72" s="318"/>
      <c r="E72" s="304"/>
      <c r="F72" s="304"/>
      <c r="G72" s="343"/>
      <c r="H72" s="343"/>
    </row>
    <row r="73" spans="1:8" x14ac:dyDescent="0.25">
      <c r="A73" s="317"/>
      <c r="B73" s="317"/>
      <c r="C73" s="318"/>
      <c r="D73" s="318"/>
      <c r="E73" s="304"/>
      <c r="F73" s="304"/>
      <c r="G73" s="343"/>
      <c r="H73" s="343"/>
    </row>
    <row r="74" spans="1:8" x14ac:dyDescent="0.25">
      <c r="A74" s="317"/>
      <c r="B74" s="317"/>
      <c r="C74" s="318"/>
      <c r="D74" s="318"/>
      <c r="E74" s="304"/>
      <c r="F74" s="304"/>
      <c r="G74" s="343"/>
      <c r="H74" s="343"/>
    </row>
    <row r="75" spans="1:8" x14ac:dyDescent="0.25">
      <c r="A75" s="317"/>
      <c r="B75" s="303"/>
      <c r="C75" s="318"/>
      <c r="D75" s="318"/>
      <c r="E75" s="304"/>
      <c r="F75" s="304"/>
      <c r="G75" s="343"/>
      <c r="H75" s="343"/>
    </row>
    <row r="76" spans="1:8" x14ac:dyDescent="0.25">
      <c r="A76" s="317"/>
      <c r="B76" s="317"/>
      <c r="C76" s="318"/>
      <c r="D76" s="318"/>
      <c r="E76" s="304"/>
      <c r="F76" s="304"/>
      <c r="G76" s="343"/>
      <c r="H76" s="343"/>
    </row>
    <row r="77" spans="1:8" x14ac:dyDescent="0.25">
      <c r="A77" s="317"/>
      <c r="B77" s="317"/>
      <c r="C77" s="318"/>
      <c r="D77" s="318"/>
      <c r="E77" s="304"/>
      <c r="F77" s="304"/>
      <c r="G77" s="343"/>
      <c r="H77" s="343"/>
    </row>
    <row r="78" spans="1:8" x14ac:dyDescent="0.25">
      <c r="A78" s="317"/>
      <c r="B78" s="317"/>
      <c r="C78" s="318"/>
      <c r="D78" s="318"/>
      <c r="E78" s="304"/>
      <c r="F78" s="304"/>
      <c r="G78" s="343"/>
      <c r="H78" s="343"/>
    </row>
    <row r="79" spans="1:8" x14ac:dyDescent="0.25">
      <c r="A79" s="317"/>
      <c r="B79" s="317"/>
      <c r="C79" s="318"/>
      <c r="D79" s="318"/>
      <c r="E79" s="304"/>
      <c r="F79" s="304"/>
      <c r="G79" s="343"/>
      <c r="H79" s="343"/>
    </row>
    <row r="80" spans="1:8" x14ac:dyDescent="0.25">
      <c r="A80" s="317"/>
      <c r="B80" s="317"/>
      <c r="C80" s="318"/>
      <c r="D80" s="318"/>
      <c r="E80" s="304"/>
      <c r="F80" s="304"/>
      <c r="G80" s="343"/>
      <c r="H80" s="343"/>
    </row>
    <row r="81" spans="1:8" x14ac:dyDescent="0.25">
      <c r="A81" s="317"/>
      <c r="B81" s="317"/>
      <c r="C81" s="318"/>
      <c r="D81" s="318"/>
      <c r="E81" s="304"/>
      <c r="F81" s="304"/>
      <c r="G81" s="343"/>
      <c r="H81" s="343"/>
    </row>
    <row r="82" spans="1:8" x14ac:dyDescent="0.25">
      <c r="A82" s="317"/>
      <c r="B82" s="317"/>
      <c r="C82" s="318"/>
      <c r="D82" s="318"/>
      <c r="E82" s="304"/>
      <c r="F82" s="304"/>
      <c r="G82" s="343"/>
      <c r="H82" s="343"/>
    </row>
    <row r="83" spans="1:8" x14ac:dyDescent="0.25">
      <c r="A83" s="304"/>
      <c r="B83" s="317"/>
      <c r="C83" s="318"/>
      <c r="D83" s="318"/>
      <c r="E83" s="317"/>
      <c r="F83" s="317"/>
      <c r="G83" s="343"/>
      <c r="H83" s="343"/>
    </row>
    <row r="84" spans="1:8" x14ac:dyDescent="0.25">
      <c r="A84" s="317"/>
      <c r="B84" s="317"/>
      <c r="C84" s="318"/>
      <c r="D84" s="318"/>
      <c r="E84" s="304"/>
      <c r="F84" s="304"/>
      <c r="G84" s="343"/>
      <c r="H84" s="343"/>
    </row>
    <row r="85" spans="1:8" x14ac:dyDescent="0.25">
      <c r="A85" s="317"/>
      <c r="B85" s="317"/>
      <c r="C85" s="318"/>
      <c r="D85" s="318"/>
      <c r="E85" s="304"/>
      <c r="F85" s="304"/>
      <c r="G85" s="343"/>
      <c r="H85" s="343"/>
    </row>
    <row r="86" spans="1:8" x14ac:dyDescent="0.25">
      <c r="A86" s="317"/>
      <c r="B86" s="317"/>
      <c r="C86" s="318"/>
      <c r="D86" s="318"/>
      <c r="E86" s="304"/>
      <c r="F86" s="304"/>
      <c r="G86" s="343"/>
      <c r="H86" s="343"/>
    </row>
    <row r="87" spans="1:8" x14ac:dyDescent="0.25">
      <c r="A87" s="317"/>
      <c r="B87" s="317"/>
      <c r="C87" s="318"/>
      <c r="D87" s="318"/>
      <c r="E87" s="304"/>
      <c r="F87" s="304"/>
      <c r="G87" s="343"/>
      <c r="H87" s="343"/>
    </row>
    <row r="88" spans="1:8" x14ac:dyDescent="0.25">
      <c r="A88" s="317"/>
      <c r="B88" s="317"/>
      <c r="C88" s="318"/>
      <c r="D88" s="318"/>
      <c r="E88" s="304"/>
      <c r="F88" s="304"/>
      <c r="G88" s="343"/>
      <c r="H88" s="343"/>
    </row>
    <row r="89" spans="1:8" x14ac:dyDescent="0.25">
      <c r="A89" s="317"/>
      <c r="B89" s="317"/>
      <c r="C89" s="318"/>
      <c r="D89" s="318"/>
      <c r="E89" s="304"/>
      <c r="F89" s="304"/>
      <c r="G89" s="343"/>
      <c r="H89" s="343"/>
    </row>
    <row r="90" spans="1:8" x14ac:dyDescent="0.25">
      <c r="A90" s="317"/>
      <c r="B90" s="317"/>
      <c r="C90" s="318"/>
      <c r="D90" s="318"/>
      <c r="E90" s="304"/>
      <c r="F90" s="304"/>
      <c r="G90" s="343"/>
      <c r="H90" s="343"/>
    </row>
    <row r="91" spans="1:8" x14ac:dyDescent="0.25">
      <c r="A91" s="317"/>
      <c r="B91" s="317"/>
      <c r="C91" s="318"/>
      <c r="D91" s="318"/>
      <c r="E91" s="304"/>
      <c r="F91" s="304"/>
      <c r="G91" s="343"/>
      <c r="H91" s="343"/>
    </row>
    <row r="92" spans="1:8" x14ac:dyDescent="0.25">
      <c r="A92" s="317"/>
      <c r="B92" s="317"/>
      <c r="C92" s="318"/>
      <c r="D92" s="318"/>
      <c r="E92" s="304"/>
      <c r="F92" s="304"/>
      <c r="G92" s="343"/>
      <c r="H92" s="343"/>
    </row>
    <row r="93" spans="1:8" x14ac:dyDescent="0.25">
      <c r="A93" s="317"/>
      <c r="B93" s="317"/>
      <c r="C93" s="318"/>
      <c r="D93" s="318"/>
      <c r="E93" s="304"/>
      <c r="F93" s="304"/>
      <c r="G93" s="343"/>
      <c r="H93" s="343"/>
    </row>
    <row r="94" spans="1:8" x14ac:dyDescent="0.25">
      <c r="A94" s="317"/>
      <c r="B94" s="317"/>
      <c r="C94" s="318"/>
      <c r="D94" s="318"/>
      <c r="E94" s="304"/>
      <c r="F94" s="304"/>
      <c r="G94" s="343"/>
      <c r="H94" s="343"/>
    </row>
    <row r="95" spans="1:8" x14ac:dyDescent="0.25">
      <c r="A95" s="317"/>
      <c r="B95" s="317"/>
      <c r="C95" s="318"/>
      <c r="D95" s="318"/>
      <c r="E95" s="304"/>
      <c r="F95" s="304"/>
      <c r="G95" s="343"/>
      <c r="H95" s="343"/>
    </row>
    <row r="96" spans="1:8" x14ac:dyDescent="0.25">
      <c r="A96" s="317"/>
      <c r="B96" s="317"/>
      <c r="C96" s="318"/>
      <c r="D96" s="318"/>
      <c r="E96" s="304"/>
      <c r="F96" s="304"/>
      <c r="G96" s="343"/>
      <c r="H96" s="343"/>
    </row>
    <row r="97" spans="1:8" x14ac:dyDescent="0.25">
      <c r="A97" s="317"/>
      <c r="B97" s="317"/>
      <c r="C97" s="318"/>
      <c r="D97" s="318"/>
      <c r="E97" s="304"/>
      <c r="F97" s="304"/>
      <c r="G97" s="343"/>
      <c r="H97" s="343"/>
    </row>
    <row r="98" spans="1:8" x14ac:dyDescent="0.25">
      <c r="A98" s="317"/>
      <c r="B98" s="317"/>
      <c r="C98" s="318"/>
      <c r="D98" s="318"/>
      <c r="E98" s="304"/>
      <c r="F98" s="304"/>
      <c r="G98" s="343"/>
      <c r="H98" s="343"/>
    </row>
    <row r="99" spans="1:8" x14ac:dyDescent="0.25">
      <c r="A99" s="317"/>
      <c r="B99" s="317"/>
      <c r="C99" s="318"/>
      <c r="D99" s="318"/>
      <c r="E99" s="304"/>
      <c r="F99" s="304"/>
      <c r="G99" s="343"/>
      <c r="H99" s="343"/>
    </row>
    <row r="100" spans="1:8" x14ac:dyDescent="0.25">
      <c r="A100" s="317"/>
      <c r="B100" s="317"/>
      <c r="C100" s="318"/>
      <c r="D100" s="318"/>
      <c r="E100" s="304"/>
      <c r="F100" s="304"/>
      <c r="G100" s="343"/>
      <c r="H100" s="343"/>
    </row>
    <row r="101" spans="1:8" x14ac:dyDescent="0.25">
      <c r="A101" s="317"/>
      <c r="B101" s="317"/>
      <c r="C101" s="318"/>
      <c r="D101" s="318"/>
      <c r="E101" s="304"/>
      <c r="F101" s="304"/>
      <c r="G101" s="343"/>
      <c r="H101" s="343"/>
    </row>
    <row r="102" spans="1:8" x14ac:dyDescent="0.25">
      <c r="A102" s="317"/>
      <c r="B102" s="317"/>
      <c r="C102" s="318"/>
      <c r="D102" s="318"/>
      <c r="E102" s="304"/>
      <c r="F102" s="304"/>
      <c r="G102" s="343"/>
      <c r="H102" s="343"/>
    </row>
    <row r="103" spans="1:8" x14ac:dyDescent="0.25">
      <c r="A103" s="317"/>
      <c r="B103" s="317"/>
      <c r="C103" s="318"/>
      <c r="D103" s="318"/>
      <c r="E103" s="304"/>
      <c r="F103" s="304"/>
      <c r="G103" s="343"/>
      <c r="H103" s="343"/>
    </row>
    <row r="104" spans="1:8" x14ac:dyDescent="0.25">
      <c r="A104" s="317"/>
      <c r="B104" s="317"/>
      <c r="C104" s="318"/>
      <c r="D104" s="318"/>
      <c r="E104" s="304"/>
      <c r="F104" s="304"/>
      <c r="G104" s="343"/>
      <c r="H104" s="343"/>
    </row>
    <row r="105" spans="1:8" x14ac:dyDescent="0.25">
      <c r="A105" s="317"/>
      <c r="B105" s="317"/>
      <c r="C105" s="318"/>
      <c r="D105" s="318"/>
      <c r="E105" s="304"/>
      <c r="F105" s="304"/>
      <c r="G105" s="343"/>
      <c r="H105" s="343"/>
    </row>
    <row r="106" spans="1:8" x14ac:dyDescent="0.25">
      <c r="A106" s="317"/>
      <c r="B106" s="317"/>
      <c r="C106" s="318"/>
      <c r="D106" s="318"/>
      <c r="E106" s="304"/>
      <c r="F106" s="304"/>
      <c r="G106" s="343"/>
      <c r="H106" s="343"/>
    </row>
    <row r="107" spans="1:8" x14ac:dyDescent="0.25">
      <c r="A107" s="317"/>
      <c r="B107" s="317"/>
      <c r="C107" s="318"/>
      <c r="D107" s="318"/>
      <c r="E107" s="304"/>
      <c r="F107" s="304"/>
      <c r="G107" s="343"/>
      <c r="H107" s="343"/>
    </row>
    <row r="108" spans="1:8" x14ac:dyDescent="0.25">
      <c r="A108" s="317"/>
      <c r="B108" s="317"/>
      <c r="C108" s="318"/>
      <c r="D108" s="318"/>
      <c r="E108" s="304"/>
      <c r="F108" s="304"/>
      <c r="G108" s="343"/>
      <c r="H108" s="343"/>
    </row>
    <row r="109" spans="1:8" x14ac:dyDescent="0.25">
      <c r="A109" s="317"/>
      <c r="B109" s="317"/>
      <c r="C109" s="318"/>
      <c r="D109" s="318"/>
      <c r="E109" s="304"/>
      <c r="F109" s="304"/>
      <c r="G109" s="343"/>
      <c r="H109" s="343"/>
    </row>
    <row r="110" spans="1:8" x14ac:dyDescent="0.25">
      <c r="A110" s="317"/>
      <c r="B110" s="317"/>
      <c r="C110" s="318"/>
      <c r="D110" s="318"/>
      <c r="E110" s="304"/>
      <c r="F110" s="304"/>
      <c r="G110" s="343"/>
      <c r="H110" s="343"/>
    </row>
    <row r="111" spans="1:8" x14ac:dyDescent="0.25">
      <c r="A111" s="317"/>
      <c r="B111" s="317"/>
      <c r="C111" s="318"/>
      <c r="D111" s="318"/>
      <c r="E111" s="304"/>
      <c r="F111" s="304"/>
      <c r="G111" s="343"/>
      <c r="H111" s="343"/>
    </row>
    <row r="112" spans="1:8" x14ac:dyDescent="0.25">
      <c r="A112" s="317"/>
      <c r="B112" s="317"/>
      <c r="C112" s="318"/>
      <c r="D112" s="318"/>
      <c r="E112" s="304"/>
      <c r="F112" s="304"/>
      <c r="G112" s="343"/>
      <c r="H112" s="343"/>
    </row>
    <row r="113" spans="1:8" x14ac:dyDescent="0.25">
      <c r="A113" s="317"/>
      <c r="B113" s="317"/>
      <c r="C113" s="318"/>
      <c r="D113" s="318"/>
      <c r="E113" s="304"/>
      <c r="F113" s="304"/>
      <c r="G113" s="343"/>
      <c r="H113" s="343"/>
    </row>
    <row r="114" spans="1:8" x14ac:dyDescent="0.25">
      <c r="A114" s="317"/>
      <c r="B114" s="317"/>
      <c r="C114" s="318"/>
      <c r="D114" s="318"/>
      <c r="E114" s="304"/>
      <c r="F114" s="304"/>
      <c r="G114" s="343"/>
      <c r="H114" s="343"/>
    </row>
    <row r="115" spans="1:8" x14ac:dyDescent="0.25">
      <c r="A115" s="317"/>
      <c r="B115" s="317"/>
      <c r="C115" s="318"/>
      <c r="D115" s="318"/>
      <c r="E115" s="304"/>
      <c r="F115" s="304"/>
      <c r="G115" s="343"/>
      <c r="H115" s="343"/>
    </row>
    <row r="116" spans="1:8" x14ac:dyDescent="0.25">
      <c r="A116" s="317"/>
      <c r="B116" s="317"/>
      <c r="C116" s="318"/>
      <c r="D116" s="318"/>
      <c r="E116" s="304"/>
      <c r="F116" s="304"/>
      <c r="G116" s="343"/>
      <c r="H116" s="343"/>
    </row>
    <row r="117" spans="1:8" x14ac:dyDescent="0.25">
      <c r="A117" s="304"/>
      <c r="B117" s="317"/>
      <c r="C117" s="318"/>
      <c r="D117" s="318"/>
      <c r="E117" s="304"/>
      <c r="F117" s="304"/>
      <c r="G117" s="343"/>
      <c r="H117" s="343"/>
    </row>
    <row r="118" spans="1:8" x14ac:dyDescent="0.25">
      <c r="A118" s="317"/>
      <c r="B118" s="317"/>
      <c r="C118" s="318"/>
      <c r="D118" s="318"/>
      <c r="E118" s="304"/>
      <c r="F118" s="304"/>
      <c r="G118" s="343"/>
      <c r="H118" s="343"/>
    </row>
    <row r="119" spans="1:8" x14ac:dyDescent="0.25">
      <c r="A119" s="317"/>
      <c r="B119" s="317"/>
      <c r="C119" s="318"/>
      <c r="D119" s="318"/>
      <c r="E119" s="304"/>
      <c r="F119" s="304"/>
      <c r="G119" s="343"/>
      <c r="H119" s="343"/>
    </row>
    <row r="120" spans="1:8" x14ac:dyDescent="0.25">
      <c r="A120" s="317"/>
      <c r="B120" s="317"/>
      <c r="C120" s="318"/>
      <c r="D120" s="318"/>
      <c r="E120" s="304"/>
      <c r="F120" s="304"/>
      <c r="G120" s="343"/>
      <c r="H120" s="343"/>
    </row>
    <row r="121" spans="1:8" x14ac:dyDescent="0.25">
      <c r="A121" s="317"/>
      <c r="B121" s="317"/>
      <c r="C121" s="318"/>
      <c r="D121" s="318"/>
      <c r="E121" s="304"/>
      <c r="F121" s="304"/>
      <c r="G121" s="343"/>
      <c r="H121" s="343"/>
    </row>
    <row r="122" spans="1:8" x14ac:dyDescent="0.25">
      <c r="A122" s="317"/>
      <c r="B122" s="317"/>
      <c r="C122" s="318"/>
      <c r="D122" s="318"/>
      <c r="E122" s="304"/>
      <c r="F122" s="304"/>
      <c r="G122" s="343"/>
      <c r="H122" s="343"/>
    </row>
    <row r="123" spans="1:8" x14ac:dyDescent="0.25">
      <c r="A123" s="317"/>
      <c r="B123" s="317"/>
      <c r="C123" s="318"/>
      <c r="D123" s="318"/>
      <c r="E123" s="304"/>
      <c r="F123" s="304"/>
      <c r="G123" s="343"/>
      <c r="H123" s="343"/>
    </row>
    <row r="124" spans="1:8" x14ac:dyDescent="0.25">
      <c r="A124" s="317"/>
      <c r="B124" s="317"/>
      <c r="C124" s="318"/>
      <c r="D124" s="318"/>
      <c r="E124" s="304"/>
      <c r="F124" s="304"/>
      <c r="G124" s="343"/>
      <c r="H124" s="343"/>
    </row>
    <row r="125" spans="1:8" x14ac:dyDescent="0.25">
      <c r="A125" s="317"/>
      <c r="B125" s="317"/>
      <c r="C125" s="318"/>
      <c r="D125" s="318"/>
      <c r="E125" s="304"/>
      <c r="F125" s="304"/>
      <c r="G125" s="343"/>
      <c r="H125" s="343"/>
    </row>
    <row r="126" spans="1:8" x14ac:dyDescent="0.25">
      <c r="A126" s="317"/>
      <c r="B126" s="317"/>
      <c r="C126" s="318"/>
      <c r="D126" s="318"/>
      <c r="E126" s="304"/>
      <c r="F126" s="304"/>
      <c r="G126" s="343"/>
      <c r="H126" s="343"/>
    </row>
    <row r="127" spans="1:8" x14ac:dyDescent="0.25">
      <c r="A127" s="317"/>
      <c r="B127" s="317"/>
      <c r="C127" s="318"/>
      <c r="D127" s="318"/>
      <c r="E127" s="304"/>
      <c r="F127" s="304"/>
      <c r="G127" s="343"/>
      <c r="H127" s="343"/>
    </row>
    <row r="128" spans="1:8" ht="15.75" thickBot="1" x14ac:dyDescent="0.3">
      <c r="A128" s="319"/>
      <c r="B128" s="319"/>
      <c r="C128" s="320"/>
      <c r="D128" s="320"/>
      <c r="E128" s="305"/>
      <c r="F128" s="305"/>
      <c r="G128" s="344"/>
      <c r="H128" s="344"/>
    </row>
  </sheetData>
  <autoFilter ref="A2:H2" xr:uid="{7C717F9F-D1AD-4153-BDEC-F96F3F40B03C}"/>
  <mergeCells count="1">
    <mergeCell ref="D1:H1"/>
  </mergeCells>
  <conditionalFormatting sqref="A3:H128">
    <cfRule type="expression" dxfId="1" priority="1">
      <formula>MOD(ROW(),2)</formula>
    </cfRule>
  </conditionalFormatting>
  <conditionalFormatting sqref="I3:XFD22">
    <cfRule type="expression" dxfId="0" priority="2">
      <formula>MOD(ROW(),2)</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0"/>
  </sheetPr>
  <dimension ref="A1:BA6"/>
  <sheetViews>
    <sheetView zoomScale="40" zoomScaleNormal="40" workbookViewId="0">
      <selection activeCell="AO123" sqref="AO123"/>
    </sheetView>
  </sheetViews>
  <sheetFormatPr baseColWidth="10" defaultColWidth="11.42578125" defaultRowHeight="15" x14ac:dyDescent="0.25"/>
  <cols>
    <col min="1" max="24" width="11.42578125" style="143"/>
    <col min="25" max="25" width="11.42578125" style="152"/>
    <col min="26" max="16384" width="11.42578125" style="143"/>
  </cols>
  <sheetData>
    <row r="1" spans="1:53" ht="14.65" customHeight="1" x14ac:dyDescent="0.25">
      <c r="A1" s="537" t="s">
        <v>2394</v>
      </c>
      <c r="B1" s="538"/>
      <c r="C1" s="538"/>
      <c r="D1" s="538"/>
      <c r="E1" s="538"/>
      <c r="F1" s="538"/>
      <c r="G1" s="538"/>
      <c r="H1" s="538"/>
      <c r="I1" s="538"/>
      <c r="J1" s="538"/>
      <c r="K1" s="538"/>
      <c r="L1" s="538"/>
      <c r="M1" s="538"/>
      <c r="N1" s="538"/>
      <c r="O1" s="538"/>
      <c r="P1" s="538"/>
      <c r="Q1" s="538"/>
      <c r="R1" s="538"/>
      <c r="S1" s="538"/>
      <c r="T1" s="538"/>
      <c r="U1" s="538"/>
      <c r="V1" s="538"/>
      <c r="W1" s="538"/>
      <c r="X1" s="539"/>
      <c r="Z1" s="540" t="s">
        <v>2395</v>
      </c>
      <c r="AA1" s="541"/>
      <c r="AB1" s="541"/>
      <c r="AC1" s="541"/>
      <c r="AD1" s="541"/>
      <c r="AE1" s="541"/>
      <c r="AF1" s="541"/>
      <c r="AG1" s="541"/>
      <c r="AH1" s="541"/>
      <c r="AI1" s="541"/>
      <c r="AJ1" s="541"/>
      <c r="AK1" s="541"/>
      <c r="AL1" s="541"/>
      <c r="AM1" s="541"/>
      <c r="AN1" s="541"/>
      <c r="AO1" s="541"/>
      <c r="AP1" s="541"/>
      <c r="AQ1" s="541"/>
      <c r="AR1" s="541"/>
      <c r="AS1" s="541"/>
      <c r="AT1" s="541"/>
      <c r="AU1" s="541"/>
      <c r="AV1" s="541"/>
      <c r="AW1" s="541"/>
      <c r="AX1" s="541"/>
      <c r="AY1" s="541"/>
      <c r="AZ1" s="541"/>
      <c r="BA1" s="541"/>
    </row>
    <row r="2" spans="1:53" ht="14.65" customHeight="1" x14ac:dyDescent="0.25">
      <c r="A2" s="540"/>
      <c r="B2" s="541"/>
      <c r="C2" s="541"/>
      <c r="D2" s="541"/>
      <c r="E2" s="541"/>
      <c r="F2" s="541"/>
      <c r="G2" s="541"/>
      <c r="H2" s="541"/>
      <c r="I2" s="541"/>
      <c r="J2" s="541"/>
      <c r="K2" s="541"/>
      <c r="L2" s="541"/>
      <c r="M2" s="541"/>
      <c r="N2" s="541"/>
      <c r="O2" s="541"/>
      <c r="P2" s="541"/>
      <c r="Q2" s="541"/>
      <c r="R2" s="541"/>
      <c r="S2" s="541"/>
      <c r="T2" s="541"/>
      <c r="U2" s="541"/>
      <c r="V2" s="541"/>
      <c r="W2" s="541"/>
      <c r="X2" s="542"/>
      <c r="Z2" s="540"/>
      <c r="AA2" s="541"/>
      <c r="AB2" s="541"/>
      <c r="AC2" s="541"/>
      <c r="AD2" s="541"/>
      <c r="AE2" s="541"/>
      <c r="AF2" s="541"/>
      <c r="AG2" s="541"/>
      <c r="AH2" s="541"/>
      <c r="AI2" s="541"/>
      <c r="AJ2" s="541"/>
      <c r="AK2" s="541"/>
      <c r="AL2" s="541"/>
      <c r="AM2" s="541"/>
      <c r="AN2" s="541"/>
      <c r="AO2" s="541"/>
      <c r="AP2" s="541"/>
      <c r="AQ2" s="541"/>
      <c r="AR2" s="541"/>
      <c r="AS2" s="541"/>
      <c r="AT2" s="541"/>
      <c r="AU2" s="541"/>
      <c r="AV2" s="541"/>
      <c r="AW2" s="541"/>
      <c r="AX2" s="541"/>
      <c r="AY2" s="541"/>
      <c r="AZ2" s="541"/>
      <c r="BA2" s="541"/>
    </row>
    <row r="3" spans="1:53" ht="14.65" customHeight="1" x14ac:dyDescent="0.25">
      <c r="A3" s="540"/>
      <c r="B3" s="541"/>
      <c r="C3" s="541"/>
      <c r="D3" s="541"/>
      <c r="E3" s="541"/>
      <c r="F3" s="541"/>
      <c r="G3" s="541"/>
      <c r="H3" s="541"/>
      <c r="I3" s="541"/>
      <c r="J3" s="541"/>
      <c r="K3" s="541"/>
      <c r="L3" s="541"/>
      <c r="M3" s="541"/>
      <c r="N3" s="541"/>
      <c r="O3" s="541"/>
      <c r="P3" s="541"/>
      <c r="Q3" s="541"/>
      <c r="R3" s="541"/>
      <c r="S3" s="541"/>
      <c r="T3" s="541"/>
      <c r="U3" s="541"/>
      <c r="V3" s="541"/>
      <c r="W3" s="541"/>
      <c r="X3" s="542"/>
      <c r="Z3" s="540"/>
      <c r="AA3" s="541"/>
      <c r="AB3" s="541"/>
      <c r="AC3" s="541"/>
      <c r="AD3" s="541"/>
      <c r="AE3" s="541"/>
      <c r="AF3" s="541"/>
      <c r="AG3" s="541"/>
      <c r="AH3" s="541"/>
      <c r="AI3" s="541"/>
      <c r="AJ3" s="541"/>
      <c r="AK3" s="541"/>
      <c r="AL3" s="541"/>
      <c r="AM3" s="541"/>
      <c r="AN3" s="541"/>
      <c r="AO3" s="541"/>
      <c r="AP3" s="541"/>
      <c r="AQ3" s="541"/>
      <c r="AR3" s="541"/>
      <c r="AS3" s="541"/>
      <c r="AT3" s="541"/>
      <c r="AU3" s="541"/>
      <c r="AV3" s="541"/>
      <c r="AW3" s="541"/>
      <c r="AX3" s="541"/>
      <c r="AY3" s="541"/>
      <c r="AZ3" s="541"/>
      <c r="BA3" s="541"/>
    </row>
    <row r="4" spans="1:53" ht="14.65" customHeight="1" x14ac:dyDescent="0.25">
      <c r="A4" s="540"/>
      <c r="B4" s="541"/>
      <c r="C4" s="541"/>
      <c r="D4" s="541"/>
      <c r="E4" s="541"/>
      <c r="F4" s="541"/>
      <c r="G4" s="541"/>
      <c r="H4" s="541"/>
      <c r="I4" s="541"/>
      <c r="J4" s="541"/>
      <c r="K4" s="541"/>
      <c r="L4" s="541"/>
      <c r="M4" s="541"/>
      <c r="N4" s="541"/>
      <c r="O4" s="541"/>
      <c r="P4" s="541"/>
      <c r="Q4" s="541"/>
      <c r="R4" s="541"/>
      <c r="S4" s="541"/>
      <c r="T4" s="541"/>
      <c r="U4" s="541"/>
      <c r="V4" s="541"/>
      <c r="W4" s="541"/>
      <c r="X4" s="542"/>
      <c r="Z4" s="540"/>
      <c r="AA4" s="541"/>
      <c r="AB4" s="541"/>
      <c r="AC4" s="541"/>
      <c r="AD4" s="541"/>
      <c r="AE4" s="541"/>
      <c r="AF4" s="541"/>
      <c r="AG4" s="541"/>
      <c r="AH4" s="541"/>
      <c r="AI4" s="541"/>
      <c r="AJ4" s="541"/>
      <c r="AK4" s="541"/>
      <c r="AL4" s="541"/>
      <c r="AM4" s="541"/>
      <c r="AN4" s="541"/>
      <c r="AO4" s="541"/>
      <c r="AP4" s="541"/>
      <c r="AQ4" s="541"/>
      <c r="AR4" s="541"/>
      <c r="AS4" s="541"/>
      <c r="AT4" s="541"/>
      <c r="AU4" s="541"/>
      <c r="AV4" s="541"/>
      <c r="AW4" s="541"/>
      <c r="AX4" s="541"/>
      <c r="AY4" s="541"/>
      <c r="AZ4" s="541"/>
      <c r="BA4" s="541"/>
    </row>
    <row r="5" spans="1:53" ht="14.65" customHeight="1" x14ac:dyDescent="0.25">
      <c r="A5" s="540"/>
      <c r="B5" s="541"/>
      <c r="C5" s="541"/>
      <c r="D5" s="541"/>
      <c r="E5" s="541"/>
      <c r="F5" s="541"/>
      <c r="G5" s="541"/>
      <c r="H5" s="541"/>
      <c r="I5" s="541"/>
      <c r="J5" s="541"/>
      <c r="K5" s="541"/>
      <c r="L5" s="541"/>
      <c r="M5" s="541"/>
      <c r="N5" s="541"/>
      <c r="O5" s="541"/>
      <c r="P5" s="541"/>
      <c r="Q5" s="541"/>
      <c r="R5" s="541"/>
      <c r="S5" s="541"/>
      <c r="T5" s="541"/>
      <c r="U5" s="541"/>
      <c r="V5" s="541"/>
      <c r="W5" s="541"/>
      <c r="X5" s="542"/>
      <c r="Z5" s="540"/>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row>
    <row r="6" spans="1:53" ht="15" customHeight="1" thickBot="1" x14ac:dyDescent="0.3">
      <c r="A6" s="543"/>
      <c r="B6" s="544"/>
      <c r="C6" s="544"/>
      <c r="D6" s="544"/>
      <c r="E6" s="544"/>
      <c r="F6" s="544"/>
      <c r="G6" s="544"/>
      <c r="H6" s="544"/>
      <c r="I6" s="544"/>
      <c r="J6" s="544"/>
      <c r="K6" s="544"/>
      <c r="L6" s="544"/>
      <c r="M6" s="544"/>
      <c r="N6" s="544"/>
      <c r="O6" s="544"/>
      <c r="P6" s="544"/>
      <c r="Q6" s="544"/>
      <c r="R6" s="544"/>
      <c r="S6" s="544"/>
      <c r="T6" s="544"/>
      <c r="U6" s="544"/>
      <c r="V6" s="544"/>
      <c r="W6" s="544"/>
      <c r="X6" s="545"/>
      <c r="Z6" s="540"/>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row>
  </sheetData>
  <mergeCells count="2">
    <mergeCell ref="A1:X6"/>
    <mergeCell ref="Z1:BA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875F5-B66A-463D-9B46-F4D45E240977}">
  <dimension ref="A1"/>
  <sheetViews>
    <sheetView workbookViewId="0"/>
  </sheetViews>
  <sheetFormatPr baseColWidth="10" defaultColWidth="11.42578125"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956348-a4a5-4cca-8970-e9b577b34757" xsi:nil="true"/>
    <lcf76f155ced4ddcb4097134ff3c332f xmlns="2b08119c-4ffc-43a2-b134-d88dabf82b80">
      <Terms xmlns="http://schemas.microsoft.com/office/infopath/2007/PartnerControls"/>
    </lcf76f155ced4ddcb4097134ff3c332f>
    <_Flow_SignoffStatus xmlns="2b08119c-4ffc-43a2-b134-d88dabf82b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273EB7A558BA74F96061ECE72BABEFA" ma:contentTypeVersion="21" ma:contentTypeDescription="Crée un document." ma:contentTypeScope="" ma:versionID="ad69cc8b806fb8e8bbc0beab28ac5d23">
  <xsd:schema xmlns:xsd="http://www.w3.org/2001/XMLSchema" xmlns:xs="http://www.w3.org/2001/XMLSchema" xmlns:p="http://schemas.microsoft.com/office/2006/metadata/properties" xmlns:ns2="2b08119c-4ffc-43a2-b134-d88dabf82b80" xmlns:ns3="4d956348-a4a5-4cca-8970-e9b577b34757" targetNamespace="http://schemas.microsoft.com/office/2006/metadata/properties" ma:root="true" ma:fieldsID="7efeb437a4fae6c8406c6f0dd5efeae5" ns2:_="" ns3:_="">
    <xsd:import namespace="2b08119c-4ffc-43a2-b134-d88dabf82b80"/>
    <xsd:import namespace="4d956348-a4a5-4cca-8970-e9b577b347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08119c-4ffc-43a2-b134-d88dabf82b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État de validation" ma:internalName="_x00c9_tat_x0020_de_x0020_validation">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2de30655-58d6-405c-b76f-318c55c6c9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956348-a4a5-4cca-8970-e9b577b3475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eae9e6bc-d0b2-4bb0-baa1-8d6a177df494}" ma:internalName="TaxCatchAll" ma:showField="CatchAllData" ma:web="4d956348-a4a5-4cca-8970-e9b577b347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CAFC37-D0EF-4991-B64C-CAE6A4B4187A}">
  <ds:schemaRefs>
    <ds:schemaRef ds:uri="http://schemas.microsoft.com/office/2006/metadata/properties"/>
    <ds:schemaRef ds:uri="http://schemas.microsoft.com/office/infopath/2007/PartnerControls"/>
    <ds:schemaRef ds:uri="4d956348-a4a5-4cca-8970-e9b577b34757"/>
    <ds:schemaRef ds:uri="2b08119c-4ffc-43a2-b134-d88dabf82b80"/>
  </ds:schemaRefs>
</ds:datastoreItem>
</file>

<file path=customXml/itemProps2.xml><?xml version="1.0" encoding="utf-8"?>
<ds:datastoreItem xmlns:ds="http://schemas.openxmlformats.org/officeDocument/2006/customXml" ds:itemID="{605D0CB9-ED3A-41F2-929A-A25CA9579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08119c-4ffc-43a2-b134-d88dabf82b80"/>
    <ds:schemaRef ds:uri="4d956348-a4a5-4cca-8970-e9b577b347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25B759-21EF-4F00-96CB-D7DBA7BE375A}">
  <ds:schemaRefs>
    <ds:schemaRef ds:uri="http://schemas.microsoft.com/sharepoint/v3/contenttype/forms"/>
  </ds:schemaRefs>
</ds:datastoreItem>
</file>

<file path=docMetadata/LabelInfo.xml><?xml version="1.0" encoding="utf-8"?>
<clbl:labelList xmlns:clbl="http://schemas.microsoft.com/office/2020/mipLabelMetadata">
  <clbl:label id="{7d7ef55b-d006-4101-afe3-f2bbfa26e84b}" enabled="0" method="" siteId="{7d7ef55b-d006-4101-afe3-f2bbfa26e84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Sommaire</vt:lpstr>
      <vt:lpstr>Registe AT </vt:lpstr>
      <vt:lpstr>Quart heure CC - CE</vt:lpstr>
      <vt:lpstr>Quart heure Encadrant</vt:lpstr>
      <vt:lpstr>Suggestions - Mesures</vt:lpstr>
      <vt:lpstr>5 PM </vt:lpstr>
      <vt:lpstr>Eveil Musculaire </vt:lpstr>
      <vt:lpstr>Remontées d'infos</vt:lpstr>
      <vt:lpstr>Registre PASD</vt:lpstr>
      <vt:lpstr>Visites QSSE - 5PM_Eveils</vt:lpstr>
      <vt:lpstr>Registre BP</vt:lpstr>
      <vt:lpstr>Registre FAE</vt:lpstr>
      <vt:lpstr>Casses réseaux</vt:lpstr>
      <vt:lpstr>FNC </vt:lpstr>
      <vt:lpstr>Registre FNC</vt:lpstr>
      <vt:lpstr>Plan d'actions</vt:lpstr>
      <vt:lpstr>Tests Alcool et Stup</vt:lpstr>
      <vt:lpstr>Non-respect RV</vt:lpstr>
      <vt:lpstr>Non-respect EPI</vt:lpstr>
      <vt:lpstr>Arrêt de chantier</vt:lpstr>
      <vt:lpstr>Graphiques</vt: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 Costa Pereira</cp:lastModifiedBy>
  <cp:revision/>
  <dcterms:created xsi:type="dcterms:W3CDTF">2025-04-17T13:00:58Z</dcterms:created>
  <dcterms:modified xsi:type="dcterms:W3CDTF">2026-05-19T23:00:48Z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0x0101006273EB7A558BA74F96061ECE72BABEFA</vt:lpwstr>
  </property>
</Properties>
</file>