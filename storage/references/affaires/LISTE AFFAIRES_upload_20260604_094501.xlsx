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1.xml" ContentType="application/vnd.openxmlformats-officedocument.spreadsheetml.comments+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omments2.xml" ContentType="application/vnd.openxmlformats-officedocument.spreadsheetml.comments+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https://nge1.sharepoint.com/sites/LaboARS/Documents partages/10 - Général/"/>
    </mc:Choice>
  </mc:AlternateContent>
  <xr:revisionPtr revIDLastSave="0" documentId="8_{6129C0FF-B37A-42DA-8FB4-586F575574DC}" xr6:coauthVersionLast="47" xr6:coauthVersionMax="47" xr10:uidLastSave="{00000000-0000-0000-0000-000000000000}"/>
  <bookViews>
    <workbookView xWindow="-120" yWindow="-120" windowWidth="29040" windowHeight="15720" firstSheet="5" activeTab="16" xr2:uid="{D9B86C57-CAB1-4C3D-965F-CC5E9D1F652F}"/>
  </bookViews>
  <sheets>
    <sheet name="AFFAIRES 2011" sheetId="1" r:id="rId1"/>
    <sheet name="AFFAIRES AU 1er SEPT 2011" sheetId="2" r:id="rId2"/>
    <sheet name="2012" sheetId="3" r:id="rId3"/>
    <sheet name="2013" sheetId="4" r:id="rId4"/>
    <sheet name="2014" sheetId="5" r:id="rId5"/>
    <sheet name="2015" sheetId="6" r:id="rId6"/>
    <sheet name="2016" sheetId="7" r:id="rId7"/>
    <sheet name="2017" sheetId="8" r:id="rId8"/>
    <sheet name="2018" sheetId="9" r:id="rId9"/>
    <sheet name="2019" sheetId="10" r:id="rId10"/>
    <sheet name="2020" sheetId="11" r:id="rId11"/>
    <sheet name="2021" sheetId="12" r:id="rId12"/>
    <sheet name="2022" sheetId="13" r:id="rId13"/>
    <sheet name="2023" sheetId="14" r:id="rId14"/>
    <sheet name="2024" sheetId="15" r:id="rId15"/>
    <sheet name="2025" sheetId="16" r:id="rId16"/>
    <sheet name="2026" sheetId="17" r:id="rId17"/>
  </sheets>
  <definedNames>
    <definedName name="_xlnm.Database">'AFFAIRES 2011'!$E$9:$J$10</definedName>
    <definedName name="_xlnm.Print_Area" localSheetId="2">'2012'!$B$1:$J$241</definedName>
    <definedName name="_xlnm.Print_Area" localSheetId="3">'2013'!$B$1:$J$44</definedName>
    <definedName name="_xlnm.Print_Area" localSheetId="4">'2014'!$A$4:$J$57</definedName>
    <definedName name="_xlnm.Print_Area" localSheetId="5">'2015'!$A$1:$J$48</definedName>
    <definedName name="_xlnm.Print_Area" localSheetId="6">'2016'!$A$1:$J$15</definedName>
    <definedName name="_xlnm.Print_Area" localSheetId="7">'2017'!$B$4:$J$34</definedName>
    <definedName name="_xlnm.Print_Area" localSheetId="8">'2018'!$B$3:$H$77</definedName>
    <definedName name="_xlnm.Print_Area" localSheetId="9">'2019'!$A$4:$L$45</definedName>
    <definedName name="_xlnm.Print_Area" localSheetId="10">'2020'!$B$1:$K$91</definedName>
    <definedName name="_xlnm.Print_Area" localSheetId="11">'2021'!$A$1:$L$32</definedName>
    <definedName name="_xlnm.Print_Area" localSheetId="12">'2022'!$C$2:$E$17</definedName>
    <definedName name="_xlnm.Print_Area" localSheetId="0">'AFFAIRES 2011'!$A$1:$K$292</definedName>
    <definedName name="_xlnm.Print_Area" localSheetId="1">'AFFAIRES AU 1er SEPT 2011'!$A$1:$J$226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1" i="13" l="1"/>
  <c r="G18" i="3"/>
  <c r="G20" i="3"/>
  <c r="G22" i="3"/>
  <c r="G25" i="3"/>
  <c r="G34" i="3"/>
  <c r="G45" i="3"/>
  <c r="G46" i="3"/>
  <c r="G50" i="3"/>
  <c r="G58" i="3"/>
  <c r="G60" i="3"/>
  <c r="G63" i="3"/>
  <c r="G91" i="3"/>
  <c r="G118" i="3"/>
  <c r="G126" i="3"/>
  <c r="G160" i="3"/>
  <c r="G18" i="2"/>
  <c r="G20" i="2"/>
  <c r="G22" i="2"/>
  <c r="G25" i="2"/>
  <c r="G34" i="2"/>
  <c r="G45" i="2"/>
  <c r="G46" i="2"/>
  <c r="G50" i="2"/>
  <c r="G58" i="2"/>
  <c r="G60" i="2"/>
  <c r="G63" i="2"/>
  <c r="G91" i="2"/>
  <c r="G118" i="2"/>
  <c r="G126" i="2"/>
  <c r="G160" i="2"/>
  <c r="F18" i="1"/>
  <c r="F20" i="1"/>
  <c r="F22" i="1"/>
  <c r="F25" i="1"/>
  <c r="F34" i="1"/>
  <c r="F45" i="1"/>
  <c r="F46" i="1"/>
  <c r="F50" i="1"/>
  <c r="F58" i="1"/>
  <c r="F60" i="1"/>
  <c r="F63" i="1"/>
  <c r="F91" i="1"/>
  <c r="F118" i="1"/>
  <c r="F126" i="1"/>
  <c r="F160" i="1"/>
  <c r="F195" i="1"/>
  <c r="F213" i="1"/>
  <c r="F248" i="1"/>
  <c r="F277" i="1"/>
  <c r="F29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GONCALVES Daniel</author>
  </authors>
  <commentList>
    <comment ref="G41" authorId="0" shapeId="0" xr:uid="{4534A588-6BEA-493C-813B-C48B7323EE88}">
      <text>
        <r>
          <rPr>
            <b/>
            <sz val="9"/>
            <color indexed="81"/>
            <rFont val="Tahoma"/>
            <family val="2"/>
          </rPr>
          <t>GONCALVES Daniel:</t>
        </r>
        <r>
          <rPr>
            <sz val="9"/>
            <color indexed="81"/>
            <rFont val="Tahoma"/>
            <family val="2"/>
          </rPr>
          <t xml:space="preserve">
initialement prévue chez GUINTOLI mais bascuylée chez SIORAT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Utilisateur Windows</author>
  </authors>
  <commentList>
    <comment ref="F80" authorId="0" shapeId="0" xr:uid="{CE302650-B84C-42F5-9461-C9A38EA665E0}">
      <text>
        <r>
          <rPr>
            <b/>
            <sz val="9"/>
            <color indexed="81"/>
            <rFont val="Tahoma"/>
            <family val="2"/>
          </rPr>
          <t>Utilisateur Windows:</t>
        </r>
        <r>
          <rPr>
            <sz val="9"/>
            <color indexed="81"/>
            <rFont val="Tahoma"/>
            <family val="2"/>
          </rPr>
          <t xml:space="preserve">
Projet RAL71B annulé par erreur par séverine</t>
        </r>
      </text>
    </comment>
  </commentList>
</comments>
</file>

<file path=xl/sharedStrings.xml><?xml version="1.0" encoding="utf-8"?>
<sst xmlns="http://schemas.openxmlformats.org/spreadsheetml/2006/main" count="15004" uniqueCount="7375">
  <si>
    <t>GSA</t>
  </si>
  <si>
    <t>EHTP</t>
  </si>
  <si>
    <t>SECT</t>
  </si>
  <si>
    <t>INTITULE</t>
  </si>
  <si>
    <t>Responsable</t>
  </si>
  <si>
    <t>SITUATION</t>
  </si>
  <si>
    <t>Dep</t>
  </si>
  <si>
    <t>GRENOBLE</t>
  </si>
  <si>
    <t>RA2022</t>
  </si>
  <si>
    <t>Carrière St Clair</t>
  </si>
  <si>
    <t>D.Brias</t>
  </si>
  <si>
    <t>VIENNE</t>
  </si>
  <si>
    <t>RA4006</t>
  </si>
  <si>
    <t>A.Richerot</t>
  </si>
  <si>
    <t>ROMANS</t>
  </si>
  <si>
    <t>RA6006</t>
  </si>
  <si>
    <t>Carrière Chabeuil</t>
  </si>
  <si>
    <t>VALENCE</t>
  </si>
  <si>
    <t>RA8000</t>
  </si>
  <si>
    <t>Divers Agence</t>
  </si>
  <si>
    <t>J.M Fichot</t>
  </si>
  <si>
    <t>LYON</t>
  </si>
  <si>
    <t>RA9016</t>
  </si>
  <si>
    <t>ZAC Feuilly</t>
  </si>
  <si>
    <t>RA0017</t>
  </si>
  <si>
    <t>RD.104/RD.125 Grâne</t>
  </si>
  <si>
    <t>RA0112</t>
  </si>
  <si>
    <t>A.432 Satolas</t>
  </si>
  <si>
    <t>RA0117</t>
  </si>
  <si>
    <t>RD.67 Chateauneuf / Isère</t>
  </si>
  <si>
    <t>RA0118</t>
  </si>
  <si>
    <t>RH1977</t>
  </si>
  <si>
    <t>AUCHAN</t>
  </si>
  <si>
    <t>RA0121</t>
  </si>
  <si>
    <t>RH2503</t>
  </si>
  <si>
    <t>A.450</t>
  </si>
  <si>
    <t>P.Gonzalez</t>
  </si>
  <si>
    <t>RA0123</t>
  </si>
  <si>
    <t>RD.52</t>
  </si>
  <si>
    <t>LONS LE SAUNIER</t>
  </si>
  <si>
    <t>RA0201</t>
  </si>
  <si>
    <t>A.40 Le Vuache</t>
  </si>
  <si>
    <t>Ph.Fauché</t>
  </si>
  <si>
    <t>NANTUA</t>
  </si>
  <si>
    <t>RA0206</t>
  </si>
  <si>
    <t>RD N° 264 Beauvène</t>
  </si>
  <si>
    <t>PRIVAS</t>
  </si>
  <si>
    <t>RA0207</t>
  </si>
  <si>
    <t>RD.25 Soucieu</t>
  </si>
  <si>
    <t>RA0208</t>
  </si>
  <si>
    <t>RD.111 Portes les Valence</t>
  </si>
  <si>
    <t>RA0209</t>
  </si>
  <si>
    <t>RD.936/904 Misérieux/Ste Euphémie</t>
  </si>
  <si>
    <t>RA0210</t>
  </si>
  <si>
    <t>RD.67 Beaumont-Monteux</t>
  </si>
  <si>
    <t>RA0211</t>
  </si>
  <si>
    <t>"E.D"Macon</t>
  </si>
  <si>
    <t>MACON</t>
  </si>
  <si>
    <t>RA0301</t>
  </si>
  <si>
    <t>RH3519</t>
  </si>
  <si>
    <t>A.432 Bassins</t>
  </si>
  <si>
    <t>RA0302</t>
  </si>
  <si>
    <t>RD.498</t>
  </si>
  <si>
    <t>St ETIENNE</t>
  </si>
  <si>
    <t>RA0303</t>
  </si>
  <si>
    <t>RH3517</t>
  </si>
  <si>
    <t>EHTP Tartaiguille</t>
  </si>
  <si>
    <t>RA0304</t>
  </si>
  <si>
    <t>CASINO</t>
  </si>
  <si>
    <t>RA0305</t>
  </si>
  <si>
    <t>RA0306</t>
  </si>
  <si>
    <t>CHALON/SAÔNE</t>
  </si>
  <si>
    <t>RA0307</t>
  </si>
  <si>
    <t>RD.125 Grane/Allex</t>
  </si>
  <si>
    <t>RA0308</t>
  </si>
  <si>
    <t>RH3525</t>
  </si>
  <si>
    <t>A.51 Coynelle/col du Fau</t>
  </si>
  <si>
    <t>RA0309</t>
  </si>
  <si>
    <t>A.43 Mur anti bruit Belmont</t>
  </si>
  <si>
    <t>CHAMBERY</t>
  </si>
  <si>
    <t>RA0310</t>
  </si>
  <si>
    <t>RD.117 A Bourg en Bresse</t>
  </si>
  <si>
    <t>BOURG EN BRESSE</t>
  </si>
  <si>
    <t>RA0311</t>
  </si>
  <si>
    <t>RD.133 Giratoire RD.541</t>
  </si>
  <si>
    <t>MONTELIMAR</t>
  </si>
  <si>
    <t>RA0312</t>
  </si>
  <si>
    <t>RH3521</t>
  </si>
  <si>
    <t>Z.A des Murons</t>
  </si>
  <si>
    <t>RA0313</t>
  </si>
  <si>
    <t>RH3527</t>
  </si>
  <si>
    <t>RoValTain</t>
  </si>
  <si>
    <t>RA0314</t>
  </si>
  <si>
    <t>Sevrey</t>
  </si>
  <si>
    <t>RA0315</t>
  </si>
  <si>
    <t>RH3539</t>
  </si>
  <si>
    <t>Marcy</t>
  </si>
  <si>
    <t>RA0316</t>
  </si>
  <si>
    <t>A.432 Echangeur</t>
  </si>
  <si>
    <t>RA0317</t>
  </si>
  <si>
    <t>RH3535</t>
  </si>
  <si>
    <t>A.46 Communay</t>
  </si>
  <si>
    <t>RA0318</t>
  </si>
  <si>
    <t>RD.589 St Privat d'Allier</t>
  </si>
  <si>
    <t>LE PUY</t>
  </si>
  <si>
    <t>RA0319</t>
  </si>
  <si>
    <t>Auchan Villars/Le Puy</t>
  </si>
  <si>
    <t>RA0320</t>
  </si>
  <si>
    <t>RH3523</t>
  </si>
  <si>
    <t>RH3531</t>
  </si>
  <si>
    <t>La Barge GTEC</t>
  </si>
  <si>
    <t>FIRMINY</t>
  </si>
  <si>
    <t>RA0362</t>
  </si>
  <si>
    <t>RH3533</t>
  </si>
  <si>
    <t>A.7 Reventin</t>
  </si>
  <si>
    <t>RA0360</t>
  </si>
  <si>
    <t>RH3537</t>
  </si>
  <si>
    <t>ZAC de l,Orme voie férée</t>
  </si>
  <si>
    <t>RA0361</t>
  </si>
  <si>
    <t>RN.82 Giratoire des Murons</t>
  </si>
  <si>
    <t>RA0401</t>
  </si>
  <si>
    <t>Loriol Champgrand</t>
  </si>
  <si>
    <t>RA0402</t>
  </si>
  <si>
    <t>RH4541</t>
  </si>
  <si>
    <t>RD.117a / RN.79 / RD.996</t>
  </si>
  <si>
    <t>P.Fauché</t>
  </si>
  <si>
    <t>RA0403</t>
  </si>
  <si>
    <t>RH4543</t>
  </si>
  <si>
    <t>RA0404</t>
  </si>
  <si>
    <t>Saint Bonnet Bois Rond</t>
  </si>
  <si>
    <t>RA0405</t>
  </si>
  <si>
    <t>Giratoire RD.432 Valence</t>
  </si>
  <si>
    <t>RA0204</t>
  </si>
  <si>
    <t>RA0008</t>
  </si>
  <si>
    <t>RA0110</t>
  </si>
  <si>
    <t>RA0120</t>
  </si>
  <si>
    <t>RA0122</t>
  </si>
  <si>
    <t>RA0205</t>
  </si>
  <si>
    <t>RA0111</t>
  </si>
  <si>
    <t>RAC</t>
  </si>
  <si>
    <t>RAS</t>
  </si>
  <si>
    <t>RASFG</t>
  </si>
  <si>
    <t>RAE</t>
  </si>
  <si>
    <t>RAN</t>
  </si>
  <si>
    <t>RAO</t>
  </si>
  <si>
    <t>RA4007</t>
  </si>
  <si>
    <t>RH4007</t>
  </si>
  <si>
    <t>Assainissement St Peray</t>
  </si>
  <si>
    <t>T.Briançon</t>
  </si>
  <si>
    <t>RA8014</t>
  </si>
  <si>
    <t>FO2BEA</t>
  </si>
  <si>
    <t>Eclairage A,6/A,31/A,36</t>
  </si>
  <si>
    <t>J.T Rolland</t>
  </si>
  <si>
    <t>J,T Rolland</t>
  </si>
  <si>
    <t>FO2VUA</t>
  </si>
  <si>
    <t>RAT</t>
  </si>
  <si>
    <t>A,43 Belmont</t>
  </si>
  <si>
    <t>RN88 La Guide</t>
  </si>
  <si>
    <t>A7/A46 Ternay</t>
  </si>
  <si>
    <t>RN346 RN 6</t>
  </si>
  <si>
    <t>ARC RD125/RD70</t>
  </si>
  <si>
    <t>PLAT.SAPRR Macon Sud A,6</t>
  </si>
  <si>
    <t>Montant</t>
  </si>
  <si>
    <t>opération</t>
  </si>
  <si>
    <t>Saint Peray Chavaran</t>
  </si>
  <si>
    <t>RD.5 Virey</t>
  </si>
  <si>
    <t>Moutot Salaise</t>
  </si>
  <si>
    <t>AXE Bièvre</t>
  </si>
  <si>
    <t>Dourdel</t>
  </si>
  <si>
    <t>RA4008</t>
  </si>
  <si>
    <t>Stock SEPEL Eurexpo</t>
  </si>
  <si>
    <t>RH4009</t>
  </si>
  <si>
    <t>RA4010</t>
  </si>
  <si>
    <t>RH4010</t>
  </si>
  <si>
    <t>Mably</t>
  </si>
  <si>
    <t>ROANNE</t>
  </si>
  <si>
    <t>RH0405</t>
  </si>
  <si>
    <t>Loriol incendie</t>
  </si>
  <si>
    <t>DIJON</t>
  </si>
  <si>
    <t>BEAUNE</t>
  </si>
  <si>
    <t>RA4009</t>
  </si>
  <si>
    <t>RH4006</t>
  </si>
  <si>
    <t>RH6006</t>
  </si>
  <si>
    <t>RH0404</t>
  </si>
  <si>
    <t>RH0401</t>
  </si>
  <si>
    <t>RH0361</t>
  </si>
  <si>
    <t>RH0320</t>
  </si>
  <si>
    <t>RH0316</t>
  </si>
  <si>
    <t>RA4011</t>
  </si>
  <si>
    <t>RA4012</t>
  </si>
  <si>
    <t>RH4011</t>
  </si>
  <si>
    <t>RH4012</t>
  </si>
  <si>
    <t>SATOLAS</t>
  </si>
  <si>
    <t>Janeyrias</t>
  </si>
  <si>
    <t>RA4013</t>
  </si>
  <si>
    <t>GIVORS</t>
  </si>
  <si>
    <t>RH4013</t>
  </si>
  <si>
    <t>RA4014</t>
  </si>
  <si>
    <t>RH4014</t>
  </si>
  <si>
    <t>ZAC St Jean des Jardins lot 01</t>
  </si>
  <si>
    <t>RD.103 St Romain en Gier</t>
  </si>
  <si>
    <t>RA4015</t>
  </si>
  <si>
    <t>RH4015</t>
  </si>
  <si>
    <t>ZA.L'Orme les Sources</t>
  </si>
  <si>
    <t>S.Ayres</t>
  </si>
  <si>
    <t>RA4016</t>
  </si>
  <si>
    <t>RH4016</t>
  </si>
  <si>
    <t>Auchan Est</t>
  </si>
  <si>
    <t>RA4017</t>
  </si>
  <si>
    <t>Lyon Parc-auto</t>
  </si>
  <si>
    <t>RA4018</t>
  </si>
  <si>
    <t>RH4018</t>
  </si>
  <si>
    <t>RN.88 Dev Le Puy</t>
  </si>
  <si>
    <t>RA4019</t>
  </si>
  <si>
    <t>RA4020</t>
  </si>
  <si>
    <t>RH4019</t>
  </si>
  <si>
    <t>RD.138 Chabeuil Ouest</t>
  </si>
  <si>
    <t>Giratoire Montoison</t>
  </si>
  <si>
    <t>RA4021</t>
  </si>
  <si>
    <t>RA4022</t>
  </si>
  <si>
    <t>RA4023</t>
  </si>
  <si>
    <t>RA4024</t>
  </si>
  <si>
    <t>RA4025</t>
  </si>
  <si>
    <t>RA4026</t>
  </si>
  <si>
    <t>RH4021</t>
  </si>
  <si>
    <t>Rue d'Arbalestier Loriol</t>
  </si>
  <si>
    <t>RH4022</t>
  </si>
  <si>
    <t>RH4020</t>
  </si>
  <si>
    <t>Quartier Junot lot 1</t>
  </si>
  <si>
    <t>RH4024</t>
  </si>
  <si>
    <t>Sevrey lot 1 A &amp; B</t>
  </si>
  <si>
    <t>RH4023</t>
  </si>
  <si>
    <t>DOLE</t>
  </si>
  <si>
    <t>Noeud autoroute A.31/A.39</t>
  </si>
  <si>
    <t>TOTAL C.A ACQUIS  ETUDE 2004</t>
  </si>
  <si>
    <t>RH4025</t>
  </si>
  <si>
    <t>Tunnels SNCF Lyon</t>
  </si>
  <si>
    <t>RN.80 Givry</t>
  </si>
  <si>
    <t>RH4026</t>
  </si>
  <si>
    <t>RD.94/RD.538 Dev Nyons Lot 1</t>
  </si>
  <si>
    <t>RA4027</t>
  </si>
  <si>
    <t>RH4027</t>
  </si>
  <si>
    <t>BELLEGARDE</t>
  </si>
  <si>
    <t>Alimentation eau Bellegarde</t>
  </si>
  <si>
    <t>RA4028</t>
  </si>
  <si>
    <t>RH4028</t>
  </si>
  <si>
    <t>LEA LOT 22</t>
  </si>
  <si>
    <t>RA4029</t>
  </si>
  <si>
    <t>RA4030</t>
  </si>
  <si>
    <t>RH4029</t>
  </si>
  <si>
    <t>Miserieux 2 ième phase</t>
  </si>
  <si>
    <t>pour région</t>
  </si>
  <si>
    <t>RH4030</t>
  </si>
  <si>
    <t>RD.9 Devessey 2 ième phase</t>
  </si>
  <si>
    <t>RA4031</t>
  </si>
  <si>
    <t>RH4031</t>
  </si>
  <si>
    <t>RN.364 Contour Thonon</t>
  </si>
  <si>
    <t>THONON</t>
  </si>
  <si>
    <t>TOTAL C.A ACQUIS  ETUDE 2005</t>
  </si>
  <si>
    <t>RA5001</t>
  </si>
  <si>
    <t>RH5001</t>
  </si>
  <si>
    <t>A.7 TPC</t>
  </si>
  <si>
    <t>RA5002</t>
  </si>
  <si>
    <t>RH5002</t>
  </si>
  <si>
    <t>A.43 Tunnel de l'Epine</t>
  </si>
  <si>
    <t>RA5003</t>
  </si>
  <si>
    <t>RH5003</t>
  </si>
  <si>
    <t>ZAC Chantelot</t>
  </si>
  <si>
    <t>RA5004</t>
  </si>
  <si>
    <t>RH5004</t>
  </si>
  <si>
    <t>A.43 4 ième voie</t>
  </si>
  <si>
    <t>S.Betton</t>
  </si>
  <si>
    <t>RA5006</t>
  </si>
  <si>
    <t>RA5005</t>
  </si>
  <si>
    <t>Giratoire RD.2 Privas</t>
  </si>
  <si>
    <t>Giratoire RD.532 / RD.67 Chanos</t>
  </si>
  <si>
    <t>RH5005</t>
  </si>
  <si>
    <t>RH5006</t>
  </si>
  <si>
    <t>RA5007</t>
  </si>
  <si>
    <t>RH5007</t>
  </si>
  <si>
    <t>Giratoire RD.15 Montoison</t>
  </si>
  <si>
    <t>A.43 Aire Isle d'Abeau sud</t>
  </si>
  <si>
    <t>RA5009</t>
  </si>
  <si>
    <t>RH5009</t>
  </si>
  <si>
    <t>Piste 4 X 4 Eurexpo</t>
  </si>
  <si>
    <t>RA5010</t>
  </si>
  <si>
    <t>RH5010</t>
  </si>
  <si>
    <t>ZI Portuaire Porte les Valence</t>
  </si>
  <si>
    <t>RA5011</t>
  </si>
  <si>
    <t>RH5011</t>
  </si>
  <si>
    <t>Yssingeaux</t>
  </si>
  <si>
    <t>T.Ancelet</t>
  </si>
  <si>
    <t>YSSINGEAUX</t>
  </si>
  <si>
    <t>RA5012</t>
  </si>
  <si>
    <t>RH5012</t>
  </si>
  <si>
    <t>Verosvres</t>
  </si>
  <si>
    <t>RA5013</t>
  </si>
  <si>
    <t>RA5014</t>
  </si>
  <si>
    <t>R.D 42 Brignais</t>
  </si>
  <si>
    <t>RD.6 Jonage &amp; Meyzieu</t>
  </si>
  <si>
    <t>RH5013</t>
  </si>
  <si>
    <t>RA5015</t>
  </si>
  <si>
    <t>RH5015</t>
  </si>
  <si>
    <t>A.46 Genay/Mionnay</t>
  </si>
  <si>
    <t>RH5014</t>
  </si>
  <si>
    <t>RA5016</t>
  </si>
  <si>
    <t>RH5016</t>
  </si>
  <si>
    <t>Quai SNCF Vaise</t>
  </si>
  <si>
    <t>RA5017</t>
  </si>
  <si>
    <t>RH5017</t>
  </si>
  <si>
    <t>Z.A La Marelle</t>
  </si>
  <si>
    <t>RA5018</t>
  </si>
  <si>
    <t>RH5018</t>
  </si>
  <si>
    <t>Préchargement St Remi</t>
  </si>
  <si>
    <t>RA5019</t>
  </si>
  <si>
    <t>RH5019</t>
  </si>
  <si>
    <t>La Leysse</t>
  </si>
  <si>
    <t>RA5020</t>
  </si>
  <si>
    <t>RA5021</t>
  </si>
  <si>
    <t>RA5022</t>
  </si>
  <si>
    <t>RA5023</t>
  </si>
  <si>
    <t>RA5024</t>
  </si>
  <si>
    <t>RH5020</t>
  </si>
  <si>
    <t>RH5021</t>
  </si>
  <si>
    <t>RH5022</t>
  </si>
  <si>
    <t>RH5023</t>
  </si>
  <si>
    <t>RH5024</t>
  </si>
  <si>
    <t>RA5025</t>
  </si>
  <si>
    <t>RH5025</t>
  </si>
  <si>
    <t>RAF</t>
  </si>
  <si>
    <t>ZAC St Clair</t>
  </si>
  <si>
    <t>DIE</t>
  </si>
  <si>
    <t>Dev Pusignan pont CFEL</t>
  </si>
  <si>
    <t>GSM Seurre 21</t>
  </si>
  <si>
    <t>ZAC parc Valmy</t>
  </si>
  <si>
    <t>CNR Portes les Valence</t>
  </si>
  <si>
    <t>RA5026</t>
  </si>
  <si>
    <t>AEP 2005 Seurre</t>
  </si>
  <si>
    <t>RH5026</t>
  </si>
  <si>
    <t>RA6001</t>
  </si>
  <si>
    <t>RA6002</t>
  </si>
  <si>
    <t>RA6003</t>
  </si>
  <si>
    <t>RA6004</t>
  </si>
  <si>
    <t>RA6005</t>
  </si>
  <si>
    <t>RA6007</t>
  </si>
  <si>
    <t>RA6008</t>
  </si>
  <si>
    <t>RA6009</t>
  </si>
  <si>
    <t>RA6010</t>
  </si>
  <si>
    <t>RH6001</t>
  </si>
  <si>
    <t>Villeurbanne lot 2 VRD</t>
  </si>
  <si>
    <t>VILLEURBANNE</t>
  </si>
  <si>
    <t>RH6002</t>
  </si>
  <si>
    <t>BRON  voie nouvelle</t>
  </si>
  <si>
    <t>BRON</t>
  </si>
  <si>
    <t>Aurec</t>
  </si>
  <si>
    <t>A.46 Nord 2 ième</t>
  </si>
  <si>
    <t>La Duchere</t>
  </si>
  <si>
    <t>A.7 Aire de Saulce</t>
  </si>
  <si>
    <t>RH6003</t>
  </si>
  <si>
    <t>RH6004</t>
  </si>
  <si>
    <t>RH6005</t>
  </si>
  <si>
    <t>RH6007</t>
  </si>
  <si>
    <t>RH6008</t>
  </si>
  <si>
    <t>RH6009</t>
  </si>
  <si>
    <t>RH6010</t>
  </si>
  <si>
    <t>RAL</t>
  </si>
  <si>
    <t>Carriéres Upie</t>
  </si>
  <si>
    <t>RA6011</t>
  </si>
  <si>
    <t>RA6012</t>
  </si>
  <si>
    <t>RA6013</t>
  </si>
  <si>
    <t>RA6014</t>
  </si>
  <si>
    <t>RA6015</t>
  </si>
  <si>
    <t>RA6016</t>
  </si>
  <si>
    <t>RA6017</t>
  </si>
  <si>
    <t>RH6011</t>
  </si>
  <si>
    <t>RH6012</t>
  </si>
  <si>
    <t>RH6013</t>
  </si>
  <si>
    <t>RH6014</t>
  </si>
  <si>
    <t>RH6015</t>
  </si>
  <si>
    <t>RH6016</t>
  </si>
  <si>
    <t>RH6017</t>
  </si>
  <si>
    <t>TOTAL C.A ACQUIS  ETUDE 2006</t>
  </si>
  <si>
    <t>Die Pont des chaines</t>
  </si>
  <si>
    <t>A.31 Artère provisoire</t>
  </si>
  <si>
    <t>Le Parc des Lumières</t>
  </si>
  <si>
    <t>RH6019</t>
  </si>
  <si>
    <t>RA6019</t>
  </si>
  <si>
    <t>RA6020</t>
  </si>
  <si>
    <t>RH6020</t>
  </si>
  <si>
    <t>LGV R/R Périgny</t>
  </si>
  <si>
    <t>Meyzieu VN.33 Mendès lot 1</t>
  </si>
  <si>
    <t>Assainissement Rhône Crussol</t>
  </si>
  <si>
    <t>RN.82 Roanne</t>
  </si>
  <si>
    <t>Firminy</t>
  </si>
  <si>
    <t>RD.18 Roanne</t>
  </si>
  <si>
    <t>Drée</t>
  </si>
  <si>
    <t>Maillat</t>
  </si>
  <si>
    <t>OYONNAX</t>
  </si>
  <si>
    <t>RA6021</t>
  </si>
  <si>
    <t>RA6022</t>
  </si>
  <si>
    <t>RA6023</t>
  </si>
  <si>
    <t>RA6024</t>
  </si>
  <si>
    <t>RA6025</t>
  </si>
  <si>
    <t>RH6021</t>
  </si>
  <si>
    <t>RH6022</t>
  </si>
  <si>
    <t>RH6023</t>
  </si>
  <si>
    <t>RH6024</t>
  </si>
  <si>
    <t>RH6025</t>
  </si>
  <si>
    <t>RD.517 Dev Pusignan</t>
  </si>
  <si>
    <t>TOTAL</t>
  </si>
  <si>
    <t>Les Menuires Lot 1 Bruyères</t>
  </si>
  <si>
    <t>ALBERVILLE</t>
  </si>
  <si>
    <t>Etoile 26</t>
  </si>
  <si>
    <t>Cité Brunet Valence</t>
  </si>
  <si>
    <t>Val d'Isère</t>
  </si>
  <si>
    <t>BOURG ST MAURICE</t>
  </si>
  <si>
    <t>ZAC des Gaulnes</t>
  </si>
  <si>
    <t>RA6026</t>
  </si>
  <si>
    <t>RH6026</t>
  </si>
  <si>
    <t>RD501 MARLHES</t>
  </si>
  <si>
    <t>A.43 aire de l'Abis</t>
  </si>
  <si>
    <t>RD.74 / RD.126 Sauzet /ALEX</t>
  </si>
  <si>
    <t>RA6027</t>
  </si>
  <si>
    <t>RH6027</t>
  </si>
  <si>
    <t>SNCF Tranchée des Abrets</t>
  </si>
  <si>
    <t>RA6028</t>
  </si>
  <si>
    <t>RH6028</t>
  </si>
  <si>
    <t>RN86 LA BEYLESSE</t>
  </si>
  <si>
    <t>RH6029</t>
  </si>
  <si>
    <t>RA6029</t>
  </si>
  <si>
    <t>SIE CHALON SUD OUEST.AEP</t>
  </si>
  <si>
    <t>Siganataire factures</t>
  </si>
  <si>
    <t>D.BRIAS</t>
  </si>
  <si>
    <t>A.RICHEROT</t>
  </si>
  <si>
    <t>D.POURCHET</t>
  </si>
  <si>
    <t>T.BRIANCON</t>
  </si>
  <si>
    <t>P.GONZALEZ</t>
  </si>
  <si>
    <t>J.PEYRICAL</t>
  </si>
  <si>
    <t>J.MONTEL</t>
  </si>
  <si>
    <t>P.BARRE</t>
  </si>
  <si>
    <t>B.MENU</t>
  </si>
  <si>
    <t>P.FAUCHE</t>
  </si>
  <si>
    <t>B.JANISSET</t>
  </si>
  <si>
    <t>RA6030</t>
  </si>
  <si>
    <t>RA6031</t>
  </si>
  <si>
    <t>RA6032</t>
  </si>
  <si>
    <t>RA6035</t>
  </si>
  <si>
    <t>RH6030</t>
  </si>
  <si>
    <t>RH6031</t>
  </si>
  <si>
    <t>RH6032</t>
  </si>
  <si>
    <t>RH6035</t>
  </si>
  <si>
    <t>SNCF M11 Perrigny</t>
  </si>
  <si>
    <t>RN 80 Sainte Helène</t>
  </si>
  <si>
    <t>A7 Valence-Montélimar</t>
  </si>
  <si>
    <t>Is sur Tille AEP EU</t>
  </si>
  <si>
    <t>IS SUR TILLE</t>
  </si>
  <si>
    <t>SAINTE HELENE</t>
  </si>
  <si>
    <t>A6 AIRES DRACE TAPONAS</t>
  </si>
  <si>
    <t>PROTECTION YSERON OULLINS</t>
  </si>
  <si>
    <t>MARSANNAY LA COTE</t>
  </si>
  <si>
    <t>RA6037</t>
  </si>
  <si>
    <t>RH6037</t>
  </si>
  <si>
    <t>TRAVAUX DIVERS CENTRE</t>
  </si>
  <si>
    <t>RA6038</t>
  </si>
  <si>
    <t>TRAVAUX DIVERS SUD</t>
  </si>
  <si>
    <t>RA6036</t>
  </si>
  <si>
    <t>RH6036</t>
  </si>
  <si>
    <t>MARCY</t>
  </si>
  <si>
    <t>RA6033</t>
  </si>
  <si>
    <t>RH6033</t>
  </si>
  <si>
    <t>DRACE</t>
  </si>
  <si>
    <t>RH6038</t>
  </si>
  <si>
    <t>RA6039</t>
  </si>
  <si>
    <t>RH6039</t>
  </si>
  <si>
    <t>J.S.RUSSO</t>
  </si>
  <si>
    <t>BPB PLACOPLATRE</t>
  </si>
  <si>
    <t>RA6041</t>
  </si>
  <si>
    <t>RH6041</t>
  </si>
  <si>
    <t>RA6042</t>
  </si>
  <si>
    <t>RH6042</t>
  </si>
  <si>
    <t>AEP VILLETTE D'ANTHON</t>
  </si>
  <si>
    <t>VILLETTE D'ANTHON</t>
  </si>
  <si>
    <t>LAC DE NANTUA VAL TP</t>
  </si>
  <si>
    <t>AGENCE SVV</t>
  </si>
  <si>
    <t>RA7020</t>
  </si>
  <si>
    <t>RH7020</t>
  </si>
  <si>
    <t>SNCF SILLON ALPIN</t>
  </si>
  <si>
    <t>ST MARCELLIN</t>
  </si>
  <si>
    <t>T.ANCELET</t>
  </si>
  <si>
    <t>J.T.ROLLAND</t>
  </si>
  <si>
    <t>S.BETTON</t>
  </si>
  <si>
    <t>ISLE D'ABEAU</t>
  </si>
  <si>
    <t>RA7022</t>
  </si>
  <si>
    <t>RH7022</t>
  </si>
  <si>
    <t>HOPITAL CHALON / SAONE</t>
  </si>
  <si>
    <t>A47 TRAVERSEE DE GIVORS</t>
  </si>
  <si>
    <t>AEP VILLE DE GENLIS</t>
  </si>
  <si>
    <t>ROCADE URBAINE CHALON</t>
  </si>
  <si>
    <t>C.C.CARREFOUR GIVORS</t>
  </si>
  <si>
    <t>POLE ALIMENTAIRE CORBAS</t>
  </si>
  <si>
    <t>ECULLY BRETELLE A6</t>
  </si>
  <si>
    <t>GENLIS</t>
  </si>
  <si>
    <t>OULLINS</t>
  </si>
  <si>
    <t>CORBAS</t>
  </si>
  <si>
    <t>ECULLY</t>
  </si>
  <si>
    <t>RA5008</t>
  </si>
  <si>
    <t>RH5008</t>
  </si>
  <si>
    <t>RA7021</t>
  </si>
  <si>
    <t>RH7021</t>
  </si>
  <si>
    <t>RH7023</t>
  </si>
  <si>
    <t>RA7024</t>
  </si>
  <si>
    <t>RH7024</t>
  </si>
  <si>
    <t>RA7026</t>
  </si>
  <si>
    <t>RH7026</t>
  </si>
  <si>
    <t>TOTAL C.A ACQUIS  ETUDE 2007</t>
  </si>
  <si>
    <t>S.CLARET</t>
  </si>
  <si>
    <t>RA7025</t>
  </si>
  <si>
    <t>RA7027</t>
  </si>
  <si>
    <t>RH7027</t>
  </si>
  <si>
    <t>RA7028</t>
  </si>
  <si>
    <t>RH7028</t>
  </si>
  <si>
    <t>GIRATOIRE R.D.936</t>
  </si>
  <si>
    <t>AEP SAINT-JULIEN</t>
  </si>
  <si>
    <t>SAINT-JULIEN</t>
  </si>
  <si>
    <t>A40 - AIRE PLANON MUSEE</t>
  </si>
  <si>
    <t>RA6034</t>
  </si>
  <si>
    <t>RH6034</t>
  </si>
  <si>
    <t>RH7030</t>
  </si>
  <si>
    <t>RA7029</t>
  </si>
  <si>
    <t>RH7031</t>
  </si>
  <si>
    <t>AEP IS SUR TILLE 2</t>
  </si>
  <si>
    <t>RH7032</t>
  </si>
  <si>
    <t>AEP IS SUR TILLE 3</t>
  </si>
  <si>
    <t>RH7033</t>
  </si>
  <si>
    <t>AEP IS SUR TILLE 4</t>
  </si>
  <si>
    <t>RH7034</t>
  </si>
  <si>
    <t>AEP IS SUR TILLE 5</t>
  </si>
  <si>
    <t>RH7035</t>
  </si>
  <si>
    <t>AEP IS SUR TILLE 6</t>
  </si>
  <si>
    <t>RH7036</t>
  </si>
  <si>
    <t>AEP IS SUR TILLE 7</t>
  </si>
  <si>
    <t>RH7037</t>
  </si>
  <si>
    <t>AEP IS SUR TILLE 8</t>
  </si>
  <si>
    <t>RH7038</t>
  </si>
  <si>
    <t>RH7040</t>
  </si>
  <si>
    <t>ZAC des Gaulnes - Lot 2</t>
  </si>
  <si>
    <t>MEYZIEU</t>
  </si>
  <si>
    <t>RA7033</t>
  </si>
  <si>
    <t>PORT DE PLAISANCE</t>
  </si>
  <si>
    <t>PONT DE VAUX</t>
  </si>
  <si>
    <t>A6 LE TRONCHON</t>
  </si>
  <si>
    <t>DARDILLY</t>
  </si>
  <si>
    <t>AEP FONTAINE FRANCAISE</t>
  </si>
  <si>
    <t>FONTAINE FRANCAISE</t>
  </si>
  <si>
    <t>RA7036</t>
  </si>
  <si>
    <t>ARCHEMIS</t>
  </si>
  <si>
    <t>SAINT GOBAIN</t>
  </si>
  <si>
    <t>LAGNIEU</t>
  </si>
  <si>
    <t>CHU CHALON/SAONE  LOT 9</t>
  </si>
  <si>
    <t>RA7040</t>
  </si>
  <si>
    <t>Bail entretien LOT 4 Gd Lyon</t>
  </si>
  <si>
    <t>E.BLANC</t>
  </si>
  <si>
    <t>DECINES CHARPIEU</t>
  </si>
  <si>
    <t>RA6018</t>
  </si>
  <si>
    <t>RH6018</t>
  </si>
  <si>
    <t>RA7034</t>
  </si>
  <si>
    <t>RH7039</t>
  </si>
  <si>
    <t>SEMUR EN AUXOIS</t>
  </si>
  <si>
    <t>SEMUR EN AUXOIS ASST</t>
  </si>
  <si>
    <t>RA7042</t>
  </si>
  <si>
    <t>HALTE GARE JEAN MACE</t>
  </si>
  <si>
    <t>RA7043</t>
  </si>
  <si>
    <t>RH7043</t>
  </si>
  <si>
    <t>SANOFI PASTEUR BASE VIE</t>
  </si>
  <si>
    <t>RH7044</t>
  </si>
  <si>
    <t>MARCHAMPT ASSAINISSEMT</t>
  </si>
  <si>
    <t>MARCY L'ETOILE</t>
  </si>
  <si>
    <t>MARCHAMPT</t>
  </si>
  <si>
    <t>RH7045</t>
  </si>
  <si>
    <t>RD970-VERDUN SUR LE DOUBS</t>
  </si>
  <si>
    <t>VERDUN SUR LE DOUBS</t>
  </si>
  <si>
    <t>RA7046</t>
  </si>
  <si>
    <t>CARRIERE TARMAC A GIVRY</t>
  </si>
  <si>
    <t>GIVRY</t>
  </si>
  <si>
    <t>RA7047</t>
  </si>
  <si>
    <t>BIOMERIEUX MARCY</t>
  </si>
  <si>
    <t>RA7041</t>
  </si>
  <si>
    <t>RH7041</t>
  </si>
  <si>
    <t>CNR Centrales hydroélectriques</t>
  </si>
  <si>
    <t>LAVOURS</t>
  </si>
  <si>
    <t>TOTAL C.A ACQUIS  ETUDE 2008</t>
  </si>
  <si>
    <t>RA8021</t>
  </si>
  <si>
    <t>EXTENSION BUREAUX</t>
  </si>
  <si>
    <t>B.Brias</t>
  </si>
  <si>
    <t>SAINT-PRIEST</t>
  </si>
  <si>
    <t>IMMO</t>
  </si>
  <si>
    <t>RA8025</t>
  </si>
  <si>
    <t>RH8025</t>
  </si>
  <si>
    <t>A406 MACON RIVE GAUCHE</t>
  </si>
  <si>
    <t>RH8027</t>
  </si>
  <si>
    <t>ST BONNET LES OULES</t>
  </si>
  <si>
    <t>QUARTIER BRAMAFAND</t>
  </si>
  <si>
    <t>JASSANS-RIOTTIER</t>
  </si>
  <si>
    <t>RA7030</t>
  </si>
  <si>
    <t>RA7031</t>
  </si>
  <si>
    <t>RA7032</t>
  </si>
  <si>
    <t>RA7035</t>
  </si>
  <si>
    <t>RA7037</t>
  </si>
  <si>
    <t>RA7038</t>
  </si>
  <si>
    <t>RA7039</t>
  </si>
  <si>
    <t>RH7042</t>
  </si>
  <si>
    <t>RA7044</t>
  </si>
  <si>
    <t>RA7045</t>
  </si>
  <si>
    <t>RH7047</t>
  </si>
  <si>
    <t>RA8027</t>
  </si>
  <si>
    <t>M.BLANC</t>
  </si>
  <si>
    <t>RA8026</t>
  </si>
  <si>
    <t>RA8028</t>
  </si>
  <si>
    <t>TARMAC ST MARTIN</t>
  </si>
  <si>
    <t>ST MARTIN BELLE ROCHE</t>
  </si>
  <si>
    <t>Groupement</t>
  </si>
  <si>
    <t>GSA / EHTP</t>
  </si>
  <si>
    <t>Autre</t>
  </si>
  <si>
    <t>RA8029</t>
  </si>
  <si>
    <t>VIOLAY</t>
  </si>
  <si>
    <t>A89 TETE DE TUNNEL</t>
  </si>
  <si>
    <t>oui</t>
  </si>
  <si>
    <t>non</t>
  </si>
  <si>
    <t>oui /sep</t>
  </si>
  <si>
    <t>RA8030</t>
  </si>
  <si>
    <t>RA8031</t>
  </si>
  <si>
    <t>RA8032</t>
  </si>
  <si>
    <t>RH8031</t>
  </si>
  <si>
    <t>RH8032</t>
  </si>
  <si>
    <t>A432 TP1 Raccordement A46</t>
  </si>
  <si>
    <t>MIRIBEL</t>
  </si>
  <si>
    <t>ZAC des Gaulnes - Lot 1 et 10</t>
  </si>
  <si>
    <t>AEP CHASSE SUR RHONE</t>
  </si>
  <si>
    <t>CHASSE SUR RHONE</t>
  </si>
  <si>
    <t>RA8033</t>
  </si>
  <si>
    <t>RA8034</t>
  </si>
  <si>
    <t>RH8033</t>
  </si>
  <si>
    <t>RH8034</t>
  </si>
  <si>
    <t>MIONNAY</t>
  </si>
  <si>
    <t>EURONEWS DIVERS LYON</t>
  </si>
  <si>
    <t>RD38 MIONNAY</t>
  </si>
  <si>
    <t>RA8035</t>
  </si>
  <si>
    <t>RH8035</t>
  </si>
  <si>
    <t>RA8036</t>
  </si>
  <si>
    <t>RH8036</t>
  </si>
  <si>
    <t>RH8037</t>
  </si>
  <si>
    <t>RA8038</t>
  </si>
  <si>
    <t>A39 DIFFUSEUR DU JURA</t>
  </si>
  <si>
    <t>COURLAOUX</t>
  </si>
  <si>
    <t>SNCF M12 PERRIGNY</t>
  </si>
  <si>
    <t>CHENOVE</t>
  </si>
  <si>
    <t>ZAC DES GRANGES MONTBRISON</t>
  </si>
  <si>
    <t>MONTBRISON</t>
  </si>
  <si>
    <t>RD302 PUSIGNAN LOT 2</t>
  </si>
  <si>
    <t>PUSIGNAN</t>
  </si>
  <si>
    <t>RA8039</t>
  </si>
  <si>
    <t>HIPPODROME DE VILLEURBANNE</t>
  </si>
  <si>
    <t>VAULX EN VELIN</t>
  </si>
  <si>
    <t>RA8040</t>
  </si>
  <si>
    <t>Plateforme Ville de Jonage</t>
  </si>
  <si>
    <t>JONAGE</t>
  </si>
  <si>
    <t>S.AUBRY</t>
  </si>
  <si>
    <t>RA9021</t>
  </si>
  <si>
    <t>RH9021</t>
  </si>
  <si>
    <t>RN7 SAINT-PRIX</t>
  </si>
  <si>
    <t>J.Peyrical</t>
  </si>
  <si>
    <t>LAPALISSE</t>
  </si>
  <si>
    <t>RH9023</t>
  </si>
  <si>
    <t>Divers Bourgogne Assainissement</t>
  </si>
  <si>
    <t>RHSECT</t>
  </si>
  <si>
    <t>FGX</t>
  </si>
  <si>
    <t>Frais d'Agence EHTP</t>
  </si>
  <si>
    <t>J.T.Rolland</t>
  </si>
  <si>
    <t>RASEC1</t>
  </si>
  <si>
    <t>RASEC2</t>
  </si>
  <si>
    <t>RASEC3</t>
  </si>
  <si>
    <t>RASEC4</t>
  </si>
  <si>
    <t>RASEC5</t>
  </si>
  <si>
    <t>Frais de secteur Nord</t>
  </si>
  <si>
    <t>BOURGOGNE</t>
  </si>
  <si>
    <t>Frais de secteur Centre</t>
  </si>
  <si>
    <t>Frais de secteur Ouest</t>
  </si>
  <si>
    <t>Frais de secteur Grand Lyon</t>
  </si>
  <si>
    <t>Frais de secteur Grands Travaux</t>
  </si>
  <si>
    <t>D.Labouèbe</t>
  </si>
  <si>
    <t>D.LABOUEBE</t>
  </si>
  <si>
    <t>RHONE / AIN</t>
  </si>
  <si>
    <t>LOIRE / HAUTE LOIRE</t>
  </si>
  <si>
    <t>SITUATION DIVERSE</t>
  </si>
  <si>
    <t>AGGLOMERATION LYON</t>
  </si>
  <si>
    <t>TOTAL C.A ACQUIS  ETUDE 2009</t>
  </si>
  <si>
    <t>RA9020</t>
  </si>
  <si>
    <t>RH9020</t>
  </si>
  <si>
    <t>ZAC DE LA DUCHERE</t>
  </si>
  <si>
    <t>RA9022</t>
  </si>
  <si>
    <t>A89 EST REY-VIOLAY</t>
  </si>
  <si>
    <t>RD1083 MIONNAY</t>
  </si>
  <si>
    <t>RAFGAG</t>
  </si>
  <si>
    <t>RHREAG</t>
  </si>
  <si>
    <t>Frais Généraux de Région</t>
  </si>
  <si>
    <t>D.Pourchet</t>
  </si>
  <si>
    <r>
      <t xml:space="preserve">Prestations EHTP </t>
    </r>
    <r>
      <rPr>
        <b/>
        <sz val="15"/>
        <color indexed="10"/>
        <rFont val="Arial"/>
        <family val="2"/>
      </rPr>
      <t>Réseaux</t>
    </r>
  </si>
  <si>
    <r>
      <t>RAEHT</t>
    </r>
    <r>
      <rPr>
        <b/>
        <sz val="16"/>
        <color indexed="10"/>
        <rFont val="Arial"/>
        <family val="2"/>
      </rPr>
      <t>R</t>
    </r>
  </si>
  <si>
    <r>
      <t xml:space="preserve">Prestations EHTP </t>
    </r>
    <r>
      <rPr>
        <b/>
        <sz val="15"/>
        <color indexed="50"/>
        <rFont val="Arial"/>
        <family val="2"/>
      </rPr>
      <t>Rhône-Alpes</t>
    </r>
  </si>
  <si>
    <r>
      <t>RAEHT</t>
    </r>
    <r>
      <rPr>
        <b/>
        <sz val="16"/>
        <color indexed="50"/>
        <rFont val="Arial"/>
        <family val="2"/>
      </rPr>
      <t>P</t>
    </r>
  </si>
  <si>
    <t>RH9022</t>
  </si>
  <si>
    <t>RA9023</t>
  </si>
  <si>
    <t>RA9024</t>
  </si>
  <si>
    <t>RA9025</t>
  </si>
  <si>
    <t>RA9026</t>
  </si>
  <si>
    <t>RA9027</t>
  </si>
  <si>
    <t>RH9024</t>
  </si>
  <si>
    <t>RH9025</t>
  </si>
  <si>
    <t>RH9026</t>
  </si>
  <si>
    <t>RH9027</t>
  </si>
  <si>
    <t>RH9028</t>
  </si>
  <si>
    <t>AUXONNE E.U./A.E.P.</t>
  </si>
  <si>
    <t>S.Aubry</t>
  </si>
  <si>
    <t>AUXONNE</t>
  </si>
  <si>
    <t>Bail Assainissement Lot 11 G.Lyon</t>
  </si>
  <si>
    <t>Sanofi Pasteur Ramses V16</t>
  </si>
  <si>
    <t>CHÂTEAU D'EAU DE RANCE</t>
  </si>
  <si>
    <t>RANCE</t>
  </si>
  <si>
    <t>NOVOTEL TASSIN</t>
  </si>
  <si>
    <t>TASSIN-LA-DEMI-LUNE</t>
  </si>
  <si>
    <t>RH9029</t>
  </si>
  <si>
    <t>RA9030</t>
  </si>
  <si>
    <t>J.M.CRET</t>
  </si>
  <si>
    <t>MONTAGNY</t>
  </si>
  <si>
    <t>CARRIERE GRANDES BRUYERES</t>
  </si>
  <si>
    <t>RH9031</t>
  </si>
  <si>
    <t>CHEVIGNY</t>
  </si>
  <si>
    <t>CHEVIGNY ST SAUVEUR</t>
  </si>
  <si>
    <t>RA9032</t>
  </si>
  <si>
    <t>SITA MOS SATOLAS</t>
  </si>
  <si>
    <t>SATOLAS-ET-BONCE</t>
  </si>
  <si>
    <t>Coordonnées</t>
  </si>
  <si>
    <t>Administratif "SCORE"</t>
  </si>
  <si>
    <t>04.78.33.52.82</t>
  </si>
  <si>
    <t>C.BASTOS</t>
  </si>
  <si>
    <t>03.85.43.08.82</t>
  </si>
  <si>
    <t>S.CIOLFI</t>
  </si>
  <si>
    <t>04.72.47.43.75</t>
  </si>
  <si>
    <t>04.72.47.43.73</t>
  </si>
  <si>
    <t>B.RANC</t>
  </si>
  <si>
    <t>RANGEG</t>
  </si>
  <si>
    <t>Prestations NGE Génie Civil</t>
  </si>
  <si>
    <t>RA9033</t>
  </si>
  <si>
    <t>RA9034</t>
  </si>
  <si>
    <t>RA9036</t>
  </si>
  <si>
    <t>RA9037</t>
  </si>
  <si>
    <t>RH9034</t>
  </si>
  <si>
    <t>RH9035</t>
  </si>
  <si>
    <t>RH9036</t>
  </si>
  <si>
    <t>L'ONDAINE CHAMBON</t>
  </si>
  <si>
    <t>Pont SNCF Cours de Verdun</t>
  </si>
  <si>
    <t>RD303 MEYZIEU</t>
  </si>
  <si>
    <t>Rue de Dijon DAIX</t>
  </si>
  <si>
    <t>Echangeur A72 ANDREZIEUX</t>
  </si>
  <si>
    <t>CHAMBON FEUGEROLLES</t>
  </si>
  <si>
    <t>DAIX</t>
  </si>
  <si>
    <t>ANDREZIEUX BOUTHEON</t>
  </si>
  <si>
    <t>RA9038</t>
  </si>
  <si>
    <t>RH9038</t>
  </si>
  <si>
    <t>RA9039</t>
  </si>
  <si>
    <t>RA9040</t>
  </si>
  <si>
    <t>RA9041</t>
  </si>
  <si>
    <t>RA9042</t>
  </si>
  <si>
    <t>GCC SANOFI MAGASIN U8</t>
  </si>
  <si>
    <t>RH9043</t>
  </si>
  <si>
    <t>RD25 "La Goyenche"</t>
  </si>
  <si>
    <t>THURINS</t>
  </si>
  <si>
    <t>A432 - Fouilles archéologiques</t>
  </si>
  <si>
    <t>IRIGNY - Centre technique</t>
  </si>
  <si>
    <t>IRIGNY</t>
  </si>
  <si>
    <t>Groupe NICOLLIN</t>
  </si>
  <si>
    <t>ST-ROMAIN-EN-GAL</t>
  </si>
  <si>
    <t>Bassin Centre Hospitalier Oyonnax</t>
  </si>
  <si>
    <t>GEOVREISSET</t>
  </si>
  <si>
    <t>RA9044</t>
  </si>
  <si>
    <t>RA9045</t>
  </si>
  <si>
    <t>RA9046</t>
  </si>
  <si>
    <t>RA9047</t>
  </si>
  <si>
    <t>RA9048</t>
  </si>
  <si>
    <t>RA9049</t>
  </si>
  <si>
    <t>RH9044</t>
  </si>
  <si>
    <t>RH9047</t>
  </si>
  <si>
    <t>RH9048</t>
  </si>
  <si>
    <t>RH9050</t>
  </si>
  <si>
    <t>B.U.E. Lots 1 et 2</t>
  </si>
  <si>
    <t>Le Tracol - RD503</t>
  </si>
  <si>
    <t>SAINT-SAUVEUR-EN-RUE</t>
  </si>
  <si>
    <t>RD23 Sorbiers</t>
  </si>
  <si>
    <t>SORBIERS</t>
  </si>
  <si>
    <t>MONTAGNAT</t>
  </si>
  <si>
    <t>B.U.E. Vénissieux - St Priest</t>
  </si>
  <si>
    <t>VENISSIEUX</t>
  </si>
  <si>
    <t>RD1075 - Giratoire Noirefontaine</t>
  </si>
  <si>
    <t>RD31 - Déviation de Dortan</t>
  </si>
  <si>
    <t>DORTAN</t>
  </si>
  <si>
    <t>A.E.P. Morey St Denis</t>
  </si>
  <si>
    <t>MOREY-ST DENIS</t>
  </si>
  <si>
    <t>RA9051</t>
  </si>
  <si>
    <t>RH9051</t>
  </si>
  <si>
    <t>RH9052</t>
  </si>
  <si>
    <t>SNCF M15-1 Perrigny</t>
  </si>
  <si>
    <t>Le Creusot - Déviation réseau EP</t>
  </si>
  <si>
    <t>LE CREUSOT</t>
  </si>
  <si>
    <t>RA9053</t>
  </si>
  <si>
    <t>Montrond - Création Voie Nouvelle</t>
  </si>
  <si>
    <t>SAINT GENIS LAVAL</t>
  </si>
  <si>
    <t>TOTAL C.A ACQUIS  ETUDE 2010</t>
  </si>
  <si>
    <t>RHA001</t>
  </si>
  <si>
    <t>Laussonne - Réfection collecteur</t>
  </si>
  <si>
    <t>LAUSSONNE</t>
  </si>
  <si>
    <t>LISTES DES AFFAIRES ACTIVES RA/RH</t>
  </si>
  <si>
    <t>RHA002</t>
  </si>
  <si>
    <t>RHA003</t>
  </si>
  <si>
    <t>RHA004</t>
  </si>
  <si>
    <t>RAPVAL</t>
  </si>
  <si>
    <t>Prestations VAL TP</t>
  </si>
  <si>
    <t xml:space="preserve">TRAM DIJON AEP &amp; ASS            </t>
  </si>
  <si>
    <t>REMILLY-SUR-TILLE</t>
  </si>
  <si>
    <t>RAA001</t>
  </si>
  <si>
    <t>RAA002</t>
  </si>
  <si>
    <t>RAA003</t>
  </si>
  <si>
    <t>RAA004</t>
  </si>
  <si>
    <t>DIGOIN</t>
  </si>
  <si>
    <t>DIGOIN CEINTURE DE L'ARROUX</t>
  </si>
  <si>
    <t>L'OREE DU BOIS</t>
  </si>
  <si>
    <t>RAA005</t>
  </si>
  <si>
    <t>RHA005</t>
  </si>
  <si>
    <t>RAA006</t>
  </si>
  <si>
    <t>RHA006</t>
  </si>
  <si>
    <t>RAA008</t>
  </si>
  <si>
    <t>RHA008</t>
  </si>
  <si>
    <t>RAAB03</t>
  </si>
  <si>
    <t>Opérat° VAL</t>
  </si>
  <si>
    <t>PARKING SAINT-EXUPERY</t>
  </si>
  <si>
    <t>COLLECTEUR E.U. DECINES</t>
  </si>
  <si>
    <t>ECRANS ANTI-BRUIT PUSIGNAN</t>
  </si>
  <si>
    <t>TREVOUX SOFRADIM</t>
  </si>
  <si>
    <t>O.BLANC</t>
  </si>
  <si>
    <t>SATOLAS ET BONCE</t>
  </si>
  <si>
    <t>TREVOUX</t>
  </si>
  <si>
    <t>04.37.25.81.53</t>
  </si>
  <si>
    <t>RAA007</t>
  </si>
  <si>
    <t>RHA007</t>
  </si>
  <si>
    <t>CHAVANAY RESEAUX ASSAINISSEMENT</t>
  </si>
  <si>
    <t>CHAVANAY</t>
  </si>
  <si>
    <t>F.POSSETY</t>
  </si>
  <si>
    <t>RAA009</t>
  </si>
  <si>
    <t>RHA009</t>
  </si>
  <si>
    <t>RAA010</t>
  </si>
  <si>
    <t>RHA010</t>
  </si>
  <si>
    <t>RAA011</t>
  </si>
  <si>
    <t>RHA011</t>
  </si>
  <si>
    <t>LA MAISON RODOLPHE (Mérieux)</t>
  </si>
  <si>
    <t>ROCADE NORD</t>
  </si>
  <si>
    <t>BOURG-EN-BRESSE</t>
  </si>
  <si>
    <t>Terrassement plateformes Tramway</t>
  </si>
  <si>
    <t>RAA012</t>
  </si>
  <si>
    <t>RHA012</t>
  </si>
  <si>
    <t>Biomérieux Parking Craponne</t>
  </si>
  <si>
    <t>CRAPONNE</t>
  </si>
  <si>
    <t>RAA013</t>
  </si>
  <si>
    <t>RHA013</t>
  </si>
  <si>
    <t>RAA015</t>
  </si>
  <si>
    <t>RHA015</t>
  </si>
  <si>
    <t>RAA016</t>
  </si>
  <si>
    <t>RHA016</t>
  </si>
  <si>
    <t>RAA017</t>
  </si>
  <si>
    <t>RAA018</t>
  </si>
  <si>
    <t>RHA018</t>
  </si>
  <si>
    <t>RAA019</t>
  </si>
  <si>
    <t>RAA020</t>
  </si>
  <si>
    <t>RAA021</t>
  </si>
  <si>
    <t>RAA022</t>
  </si>
  <si>
    <t>RHA022</t>
  </si>
  <si>
    <t>RAA023</t>
  </si>
  <si>
    <t>RHA023</t>
  </si>
  <si>
    <t>RAA024</t>
  </si>
  <si>
    <t>RHA024</t>
  </si>
  <si>
    <t>RAAB08</t>
  </si>
  <si>
    <t>X.MALATERRE</t>
  </si>
  <si>
    <t>Lignes C1C2 Trolleybus VRD3</t>
  </si>
  <si>
    <t>RILLIEUX LA PAPE</t>
  </si>
  <si>
    <t>Système de transfert E.U.</t>
  </si>
  <si>
    <t>FONTAINES</t>
  </si>
  <si>
    <t>Camp Gitan</t>
  </si>
  <si>
    <t>LA VALBONNE</t>
  </si>
  <si>
    <t>Renault Truck</t>
  </si>
  <si>
    <t>Travaux RD CG01 lot 2</t>
  </si>
  <si>
    <t>P.MUNOS</t>
  </si>
  <si>
    <t>BELLEGARDE/VALSERINE</t>
  </si>
  <si>
    <t>Travaux RD CG01 lot 3</t>
  </si>
  <si>
    <t>MONTLUEL</t>
  </si>
  <si>
    <t>Travaux RD CG01 lot 5</t>
  </si>
  <si>
    <t>Tramway dévoiement réseaux</t>
  </si>
  <si>
    <t>Tram. centre de maintenance lot 2</t>
  </si>
  <si>
    <t>S.I.A.M.V.A. extension réseaux</t>
  </si>
  <si>
    <t>BEAUJEU</t>
  </si>
  <si>
    <t>Aire des gens du voyage</t>
  </si>
  <si>
    <t>P.Munos</t>
  </si>
  <si>
    <t>ECOIFFIER VEYZIAT</t>
  </si>
  <si>
    <t>VEYZIAT</t>
  </si>
  <si>
    <t>Affaire gérée par CS9001</t>
  </si>
  <si>
    <t>RAA025</t>
  </si>
  <si>
    <t>RHA025</t>
  </si>
  <si>
    <t>RAA026</t>
  </si>
  <si>
    <t>RHA026</t>
  </si>
  <si>
    <t>RAAB15</t>
  </si>
  <si>
    <t>ROUTE AIGUEBELLE</t>
  </si>
  <si>
    <t>F.Morel</t>
  </si>
  <si>
    <t>ALBERTVILLE</t>
  </si>
  <si>
    <t>RAAE05</t>
  </si>
  <si>
    <t>R.D.36 A  JUJURIEUX</t>
  </si>
  <si>
    <t>M.Joz</t>
  </si>
  <si>
    <t>PONCIN</t>
  </si>
  <si>
    <t>UGECAM VAL ROSAY</t>
  </si>
  <si>
    <t>F.MOREL</t>
  </si>
  <si>
    <t>M.JOZ</t>
  </si>
  <si>
    <t>ST-DIDIER AU MT D'OR</t>
  </si>
  <si>
    <t>Variable</t>
  </si>
  <si>
    <t>SNCF MOSO VRD</t>
  </si>
  <si>
    <t>N.BUGNOT</t>
  </si>
  <si>
    <t>RAA014</t>
  </si>
  <si>
    <t>RHA014</t>
  </si>
  <si>
    <t>Aménagement de la rue Carnot</t>
  </si>
  <si>
    <t>GENAS</t>
  </si>
  <si>
    <t>RAA027</t>
  </si>
  <si>
    <t>RHA027</t>
  </si>
  <si>
    <t>RAA028</t>
  </si>
  <si>
    <t>RHA028</t>
  </si>
  <si>
    <t>BELLEVILLE</t>
  </si>
  <si>
    <t>Liaison RD306-RD62</t>
  </si>
  <si>
    <t>Avenue B/8ème Desserte Renault Trucks</t>
  </si>
  <si>
    <t>Siorat</t>
  </si>
  <si>
    <t>RAB001</t>
  </si>
  <si>
    <t>RAB002</t>
  </si>
  <si>
    <t>RHB004</t>
  </si>
  <si>
    <t>Tvx Maintenance du Réseau d'Asst</t>
  </si>
  <si>
    <t>+Siorat</t>
  </si>
  <si>
    <t>RHB001</t>
  </si>
  <si>
    <t>Dijon Marché d'entretien</t>
  </si>
  <si>
    <t>Giratoire Chasse / Rhône</t>
  </si>
  <si>
    <t>TOTAL C.A ACQUIS  ETUDE 2011</t>
  </si>
  <si>
    <t>RHB002</t>
  </si>
  <si>
    <t>RAB003</t>
  </si>
  <si>
    <t>RHB003</t>
  </si>
  <si>
    <t>Ligne T4 Phase 2 Infra - VRD</t>
  </si>
  <si>
    <t>S. Betton</t>
  </si>
  <si>
    <t>J. PEYRICAL</t>
  </si>
  <si>
    <t>RHB005</t>
  </si>
  <si>
    <t>ZAC Berliet</t>
  </si>
  <si>
    <t>P. BARRE</t>
  </si>
  <si>
    <t>SAINT PRIEST</t>
  </si>
  <si>
    <t>NGEGC/Siorat</t>
  </si>
  <si>
    <t>RAB005</t>
  </si>
  <si>
    <t>RAB006</t>
  </si>
  <si>
    <t>FAMY / SACER / VAL</t>
  </si>
  <si>
    <t>Giratoire de la Chagne</t>
  </si>
  <si>
    <t>D. Brias</t>
  </si>
  <si>
    <t>S. Claret</t>
  </si>
  <si>
    <t>RAB007</t>
  </si>
  <si>
    <t>RHB007</t>
  </si>
  <si>
    <t>Parking relais de la Duchère</t>
  </si>
  <si>
    <t xml:space="preserve"> +Siorat</t>
  </si>
  <si>
    <t>RHBE03</t>
  </si>
  <si>
    <t>MOIRANS EN MONTAGNE AEP</t>
  </si>
  <si>
    <t>MOIRANS EN MOTAGNE</t>
  </si>
  <si>
    <t>P.Barre</t>
  </si>
  <si>
    <t>X.Malaterre</t>
  </si>
  <si>
    <t>04.72.47.43.84</t>
  </si>
  <si>
    <t>04.78.54.92.30</t>
  </si>
  <si>
    <t>D.GONCALVES</t>
  </si>
  <si>
    <t>04.72.47.43.81</t>
  </si>
  <si>
    <t>RAB008</t>
  </si>
  <si>
    <t>RHB008</t>
  </si>
  <si>
    <t>RAB010</t>
  </si>
  <si>
    <t>RHB010</t>
  </si>
  <si>
    <t>Place Salengro</t>
  </si>
  <si>
    <t>NGEGC</t>
  </si>
  <si>
    <t>55RAB009</t>
  </si>
  <si>
    <t>M.Gonthier</t>
  </si>
  <si>
    <t xml:space="preserve">RD13 MUR ANTIBRUIT </t>
  </si>
  <si>
    <t>Tassin Domaine Montcelard</t>
  </si>
  <si>
    <t>N°Affaire</t>
  </si>
  <si>
    <t xml:space="preserve">Libellé </t>
  </si>
  <si>
    <t>Titulaire</t>
  </si>
  <si>
    <t>SIORAT</t>
  </si>
  <si>
    <t>NGE GC</t>
  </si>
  <si>
    <t>VALTP</t>
  </si>
  <si>
    <t>OYANNAX Grandes Roches</t>
  </si>
  <si>
    <t>RAB201</t>
  </si>
  <si>
    <t>57B701</t>
  </si>
  <si>
    <t>ARBENT Désserte Bochette</t>
  </si>
  <si>
    <t>RAB202</t>
  </si>
  <si>
    <t>57B702</t>
  </si>
  <si>
    <t>OYONNAX Brillat Savarin</t>
  </si>
  <si>
    <t>RAB703</t>
  </si>
  <si>
    <t>Marché d'Enrobés du Grand Lyon</t>
  </si>
  <si>
    <t>RAB204</t>
  </si>
  <si>
    <t>RAB104</t>
  </si>
  <si>
    <t>RAB304</t>
  </si>
  <si>
    <t>Rue des Noyers Ouest n°2 VRD</t>
  </si>
  <si>
    <t>RAB205</t>
  </si>
  <si>
    <t>RAB105</t>
  </si>
  <si>
    <t>RAB305</t>
  </si>
  <si>
    <t>OYONNAX DECATHLON</t>
  </si>
  <si>
    <t>RAB706</t>
  </si>
  <si>
    <t>OYONNAX MBF</t>
  </si>
  <si>
    <t>RAB707</t>
  </si>
  <si>
    <t>RD25 VIRY</t>
  </si>
  <si>
    <t>RAB708</t>
  </si>
  <si>
    <t>RD936 MATAFELON GRANGES</t>
  </si>
  <si>
    <t>RAB709</t>
  </si>
  <si>
    <t>A432/A42 Accès Enclaves Tx Compl.</t>
  </si>
  <si>
    <t>GUINTOLI</t>
  </si>
  <si>
    <t>RAB210</t>
  </si>
  <si>
    <t>RAB110</t>
  </si>
  <si>
    <t>Ouvertures / stés</t>
  </si>
  <si>
    <t>Marché d'entretien du Grand Lyon Lot 4</t>
  </si>
  <si>
    <t>RAB211</t>
  </si>
  <si>
    <t>RAB111</t>
  </si>
  <si>
    <t>RAB311</t>
  </si>
  <si>
    <t xml:space="preserve">ZAC CASTELLANE Lot 1 </t>
  </si>
  <si>
    <t>RAB212</t>
  </si>
  <si>
    <t>RAB112</t>
  </si>
  <si>
    <t>Lycée Jacques Brel Lot 24</t>
  </si>
  <si>
    <t>RAB213</t>
  </si>
  <si>
    <t>RAB113</t>
  </si>
  <si>
    <t>ZAC CASTELANE Lot 2</t>
  </si>
  <si>
    <t>RAB214</t>
  </si>
  <si>
    <t>RAB114</t>
  </si>
  <si>
    <t>LISTES DES AFFAIRES R.A OUVERTES DEPUIS LE 1er SEPTEMBRE 2011</t>
  </si>
  <si>
    <r>
      <rPr>
        <b/>
        <u/>
        <sz val="14"/>
        <color indexed="8"/>
        <rFont val="Arial"/>
        <family val="2"/>
      </rPr>
      <t>MGBTP</t>
    </r>
    <r>
      <rPr>
        <b/>
        <sz val="14"/>
        <color indexed="8"/>
        <rFont val="Arial"/>
        <family val="2"/>
      </rPr>
      <t>/RMF/STAL/SIORAT</t>
    </r>
  </si>
  <si>
    <r>
      <rPr>
        <b/>
        <u/>
        <sz val="14"/>
        <color indexed="8"/>
        <rFont val="Arial"/>
        <family val="2"/>
      </rPr>
      <t>GUINTOLI</t>
    </r>
    <r>
      <rPr>
        <b/>
        <sz val="14"/>
        <color indexed="8"/>
        <rFont val="Arial"/>
        <family val="2"/>
      </rPr>
      <t>/EHTP/SIORAT</t>
    </r>
  </si>
  <si>
    <r>
      <rPr>
        <b/>
        <u/>
        <sz val="14"/>
        <rFont val="Arial"/>
        <family val="2"/>
      </rPr>
      <t>GUINTOLI</t>
    </r>
    <r>
      <rPr>
        <b/>
        <sz val="14"/>
        <rFont val="Arial"/>
        <family val="2"/>
      </rPr>
      <t>/EHTP/SIORAT</t>
    </r>
  </si>
  <si>
    <r>
      <rPr>
        <b/>
        <u/>
        <sz val="14"/>
        <rFont val="Arial"/>
        <family val="2"/>
      </rPr>
      <t>EHTP</t>
    </r>
    <r>
      <rPr>
        <b/>
        <sz val="14"/>
        <rFont val="Arial"/>
        <family val="2"/>
      </rPr>
      <t>/GUINTOLI</t>
    </r>
  </si>
  <si>
    <r>
      <rPr>
        <b/>
        <u/>
        <sz val="14"/>
        <rFont val="Arial"/>
        <family val="2"/>
      </rPr>
      <t>GUINTOLI</t>
    </r>
    <r>
      <rPr>
        <b/>
        <sz val="14"/>
        <rFont val="Arial"/>
        <family val="2"/>
      </rPr>
      <t>/EHTP/MOUTOT</t>
    </r>
  </si>
  <si>
    <t>RAB_01</t>
  </si>
  <si>
    <t>RAB_03</t>
  </si>
  <si>
    <t>RAB_04</t>
  </si>
  <si>
    <t>RAB_05</t>
  </si>
  <si>
    <t>RAB_06</t>
  </si>
  <si>
    <t>RAB_07</t>
  </si>
  <si>
    <t>RAB_08</t>
  </si>
  <si>
    <t>RAB_09</t>
  </si>
  <si>
    <t xml:space="preserve">RAB_10 </t>
  </si>
  <si>
    <t>RAB_11</t>
  </si>
  <si>
    <t>RAB_12</t>
  </si>
  <si>
    <t>RAB_13</t>
  </si>
  <si>
    <t>RAB_14</t>
  </si>
  <si>
    <t>RAB_02</t>
  </si>
  <si>
    <t>B. JANISSET</t>
  </si>
  <si>
    <t>LISTES DES AFFAIRES R.A OUVERTES sur 2012</t>
  </si>
  <si>
    <t>RAC 01</t>
  </si>
  <si>
    <t>RAC 02</t>
  </si>
  <si>
    <t>Quartier de la Forge à OYONNAX</t>
  </si>
  <si>
    <t>Accueil jour ALZHEIMER - Rue Molière</t>
  </si>
  <si>
    <t>VAL TP</t>
  </si>
  <si>
    <t>RAC701</t>
  </si>
  <si>
    <t>RAC702</t>
  </si>
  <si>
    <t>S. CLARET</t>
  </si>
  <si>
    <t>G. CURT</t>
  </si>
  <si>
    <t>RAC 03</t>
  </si>
  <si>
    <t>Chantiers Divers CLARET</t>
  </si>
  <si>
    <t>RAC703</t>
  </si>
  <si>
    <t>RAC 04</t>
  </si>
  <si>
    <t>CONCASSAGE REINE</t>
  </si>
  <si>
    <t>RAC704</t>
  </si>
  <si>
    <t>Concassage</t>
  </si>
  <si>
    <t>RAC 05</t>
  </si>
  <si>
    <t>RAC705</t>
  </si>
  <si>
    <t>Quartier Beauséjour Bellegarde</t>
  </si>
  <si>
    <t>RAC 06</t>
  </si>
  <si>
    <t>Terrassement BELLIGNAT Cimetière</t>
  </si>
  <si>
    <t>RAC706</t>
  </si>
  <si>
    <t>RAC 07</t>
  </si>
  <si>
    <t>RD31 Déviation de DORTAN</t>
  </si>
  <si>
    <t>Grpt GUINTOLI/FAMY/VAL TP/EHTP/EUROVIA Alpes / NGE GC</t>
  </si>
  <si>
    <t>RAC207</t>
  </si>
  <si>
    <t>RAC107</t>
  </si>
  <si>
    <t>RAC507</t>
  </si>
  <si>
    <t>RAC707</t>
  </si>
  <si>
    <t>RAC 08</t>
  </si>
  <si>
    <t>Rocade de BOURG - Suite La Chagne</t>
  </si>
  <si>
    <t xml:space="preserve">Grpt FAMY / GUINTOLI / VAL TP </t>
  </si>
  <si>
    <t>RAC208</t>
  </si>
  <si>
    <t>RAC108</t>
  </si>
  <si>
    <t>RAC 09</t>
  </si>
  <si>
    <t>PANISSIERES - Plateforme EUROMAG</t>
  </si>
  <si>
    <t>Grpt GUINTOLI / NAULIN / G.T.S.</t>
  </si>
  <si>
    <t>RAC209</t>
  </si>
  <si>
    <t>P. GONZALEZ</t>
  </si>
  <si>
    <t>RAC708</t>
  </si>
  <si>
    <t>RAC508</t>
  </si>
  <si>
    <t>RAC 10</t>
  </si>
  <si>
    <t>CHARBONNIERES</t>
  </si>
  <si>
    <t>RAC210</t>
  </si>
  <si>
    <t>RAC110</t>
  </si>
  <si>
    <t>RAC 11</t>
  </si>
  <si>
    <t>QUAI GILET ASSAINISSEMENT (SEP)</t>
  </si>
  <si>
    <t>Grpt SPIE / EHTP / NGE GC</t>
  </si>
  <si>
    <t>RAC211</t>
  </si>
  <si>
    <t>RAC111</t>
  </si>
  <si>
    <t>RAC511</t>
  </si>
  <si>
    <t>RAC 12</t>
  </si>
  <si>
    <t>COLLECTEUR EU STEP DE DORTAN</t>
  </si>
  <si>
    <t>Grpt VINCENT / SNTP / VAL TP</t>
  </si>
  <si>
    <t>RAC712</t>
  </si>
  <si>
    <t>RAC 13</t>
  </si>
  <si>
    <t>ZAC DE MONTFRAY A FAREINS (Lot 1, 2 &amp; 3)</t>
  </si>
  <si>
    <t>RAC213</t>
  </si>
  <si>
    <t>RAC113</t>
  </si>
  <si>
    <t>RAC 14</t>
  </si>
  <si>
    <t>HIPPODROME VILLEURBANNE</t>
  </si>
  <si>
    <t>RAC214</t>
  </si>
  <si>
    <t>RAC510</t>
  </si>
  <si>
    <r>
      <t xml:space="preserve">Grpt GUINTOLI / EHTP </t>
    </r>
    <r>
      <rPr>
        <b/>
        <sz val="11"/>
        <color indexed="8"/>
        <rFont val="Arial"/>
        <family val="2"/>
      </rPr>
      <t>(NGE GC stpd)</t>
    </r>
  </si>
  <si>
    <t>RAC114</t>
  </si>
  <si>
    <t>RAC313</t>
  </si>
  <si>
    <t>Grpt ETDE / SLE / GUINTOLI</t>
  </si>
  <si>
    <t>RAC311</t>
  </si>
  <si>
    <t>PLOMBIERES LES DIJON VOIRIE</t>
  </si>
  <si>
    <t>RAC215</t>
  </si>
  <si>
    <t>RAC115</t>
  </si>
  <si>
    <t>RAC315</t>
  </si>
  <si>
    <t>J. MONTEL</t>
  </si>
  <si>
    <t xml:space="preserve">RAC 15 </t>
  </si>
  <si>
    <t>ZAC CASTELANE Lot 6 (Cuve)</t>
  </si>
  <si>
    <t>Grpt GUINTOLI / EHTP</t>
  </si>
  <si>
    <t>RAC 16</t>
  </si>
  <si>
    <t>RAC216</t>
  </si>
  <si>
    <t>RAC116</t>
  </si>
  <si>
    <t>GUINTOLI stpd d'EHTP pour 10 000 € HT</t>
  </si>
  <si>
    <t>RAC 17</t>
  </si>
  <si>
    <t>Démolition Bâtiment sur RD31 DORTAN</t>
  </si>
  <si>
    <t>RAC717</t>
  </si>
  <si>
    <t>JC ALVAREZ</t>
  </si>
  <si>
    <t>RAC 18</t>
  </si>
  <si>
    <t>RAC 19</t>
  </si>
  <si>
    <t>RAC 20</t>
  </si>
  <si>
    <t>RAC 21</t>
  </si>
  <si>
    <t>RAC 22</t>
  </si>
  <si>
    <t xml:space="preserve">OYONNAX EP &amp; Assainisst </t>
  </si>
  <si>
    <t>ST CLAUDE EP Rte de Chaumont et Ranchette</t>
  </si>
  <si>
    <t>ST CLAUDE Adduction EP Haut Crêt</t>
  </si>
  <si>
    <t>FERNEY Quartier Les Tattes Ouest (Dynacité)</t>
  </si>
  <si>
    <t>Château Chalon - AEP</t>
  </si>
  <si>
    <t>RAC718</t>
  </si>
  <si>
    <t>RAC719</t>
  </si>
  <si>
    <t>RAC720</t>
  </si>
  <si>
    <t>RAC721</t>
  </si>
  <si>
    <t>RAC722</t>
  </si>
  <si>
    <t>RAC 23</t>
  </si>
  <si>
    <t>Aire de NERONDE Lot VRD</t>
  </si>
  <si>
    <t>RAC223</t>
  </si>
  <si>
    <t>Grpt GUINTOLI / EUROVIA DALA / AGILIS</t>
  </si>
  <si>
    <t>RAC 24</t>
  </si>
  <si>
    <t>Zone de Stockage de déchets de VEYZIAT</t>
  </si>
  <si>
    <t>Grpt EUROVIA Etanchéité / VAL TP / RINALDI</t>
  </si>
  <si>
    <t>RAC724</t>
  </si>
  <si>
    <t>RAC123</t>
  </si>
  <si>
    <t>RAC 25</t>
  </si>
  <si>
    <t>NANTUA Démolition Rue du Petit PORT</t>
  </si>
  <si>
    <t>Grpt VAL TP / G.T.S.</t>
  </si>
  <si>
    <t>RAC725</t>
  </si>
  <si>
    <t>RAC 26</t>
  </si>
  <si>
    <t>LOCATIONS SOBECA</t>
  </si>
  <si>
    <t>RAC726</t>
  </si>
  <si>
    <t>RAC 27</t>
  </si>
  <si>
    <t>ZAC LA DUCHERE</t>
  </si>
  <si>
    <t>Grpt GUINTOLI / EHTP / SIORAT</t>
  </si>
  <si>
    <t>RAC227</t>
  </si>
  <si>
    <t>RAC127</t>
  </si>
  <si>
    <t>RAC327</t>
  </si>
  <si>
    <t>RAC 28</t>
  </si>
  <si>
    <t>OULLINS Voie Nouvelle Pôle Multimodal</t>
  </si>
  <si>
    <t>Grpt GUINTOLI / EHTP / SIORAT / MAIA SONNIER</t>
  </si>
  <si>
    <t>RAC228</t>
  </si>
  <si>
    <t>RAC128</t>
  </si>
  <si>
    <t>RAC328</t>
  </si>
  <si>
    <t>RAC 29</t>
  </si>
  <si>
    <t>DIVONNE</t>
  </si>
  <si>
    <t>RAC729</t>
  </si>
  <si>
    <t>RAC 30</t>
  </si>
  <si>
    <t>Usine PRP à VEYZIAT</t>
  </si>
  <si>
    <t>RAC730</t>
  </si>
  <si>
    <t>RAC 31</t>
  </si>
  <si>
    <t>Réseau de Chauffage Urbain d'OYONNAX</t>
  </si>
  <si>
    <t>RAC731</t>
  </si>
  <si>
    <t>RAC 32</t>
  </si>
  <si>
    <t>RD307B DEVIATION DE COMMUNAY</t>
  </si>
  <si>
    <t>Grpt NGE G-C / GUINTOLI</t>
  </si>
  <si>
    <t>RAC232</t>
  </si>
  <si>
    <t>RAC532</t>
  </si>
  <si>
    <t>RAC 33</t>
  </si>
  <si>
    <t>Grpt SACER Sud-Est / GUINTOLI</t>
  </si>
  <si>
    <t>RAC233</t>
  </si>
  <si>
    <t>RAC133</t>
  </si>
  <si>
    <t>CHAUSSEES LA CHAGNE (Rocade Nord-Est BOURG)</t>
  </si>
  <si>
    <t>C. PERSIANI (D. BRIAS)</t>
  </si>
  <si>
    <t>A. REVOL</t>
  </si>
  <si>
    <t>RAC 34</t>
  </si>
  <si>
    <t>ZAC BELAIR</t>
  </si>
  <si>
    <t>RAC 35</t>
  </si>
  <si>
    <t>RAC 36</t>
  </si>
  <si>
    <t>OYONNAX Ilôt Croix Rousse</t>
  </si>
  <si>
    <t>Grpt VAL TP / SERFOTEX</t>
  </si>
  <si>
    <t>RAC736</t>
  </si>
  <si>
    <t>RAC234</t>
  </si>
  <si>
    <t>RAC134</t>
  </si>
  <si>
    <t>RAC334</t>
  </si>
  <si>
    <t>GIVORS - Rues Longarini et Denfert-Rochereau</t>
  </si>
  <si>
    <t>RAC235</t>
  </si>
  <si>
    <t>RAC135</t>
  </si>
  <si>
    <t>RAC335</t>
  </si>
  <si>
    <t>RAC 37</t>
  </si>
  <si>
    <t>Grpt GUINTOLI / EHTP / JEAN LEFEVRE</t>
  </si>
  <si>
    <t>RAC237</t>
  </si>
  <si>
    <t>RAC137</t>
  </si>
  <si>
    <t>RAC337</t>
  </si>
  <si>
    <t>RAC 38</t>
  </si>
  <si>
    <t>Aménagement Rue GARIBALDI Marché 2</t>
  </si>
  <si>
    <t>Grpt PERRIER TP / GUINTOLI / MAIA SONNIER</t>
  </si>
  <si>
    <t>RAC238</t>
  </si>
  <si>
    <t>RAC138</t>
  </si>
  <si>
    <t>A.REVOL</t>
  </si>
  <si>
    <t>N. DINET</t>
  </si>
  <si>
    <t>C. FAYEULLE / P.BARRE</t>
  </si>
  <si>
    <t>F. SAVANT / P. BARRE</t>
  </si>
  <si>
    <t>RAC338</t>
  </si>
  <si>
    <t>RAC 39</t>
  </si>
  <si>
    <t>RAC739</t>
  </si>
  <si>
    <t>Grpt SNTP / VAL TP</t>
  </si>
  <si>
    <t>RAC 40</t>
  </si>
  <si>
    <t>RAC240</t>
  </si>
  <si>
    <t>A406 Réparation Talus / Contournement sud de MACON</t>
  </si>
  <si>
    <t>RAC140</t>
  </si>
  <si>
    <t>RAC340</t>
  </si>
  <si>
    <t>DOMBLANS ANCIENS ODO</t>
  </si>
  <si>
    <t xml:space="preserve">DORTAN Pré VINCENT </t>
  </si>
  <si>
    <t>RAC 41</t>
  </si>
  <si>
    <t>RAC741</t>
  </si>
  <si>
    <t>RAC 42</t>
  </si>
  <si>
    <t>CHALMOUX PHOTOVOLTAIQUE</t>
  </si>
  <si>
    <t>RAC242</t>
  </si>
  <si>
    <t>RAC142</t>
  </si>
  <si>
    <t>RAC 43</t>
  </si>
  <si>
    <t>RAC743</t>
  </si>
  <si>
    <t>INTERMARCHE A NEUVILLE SUR AIN</t>
  </si>
  <si>
    <t>RAC 44</t>
  </si>
  <si>
    <t>ACCES NORD GRAND STADE DECINES Lot1</t>
  </si>
  <si>
    <t>Grpt E.J.L./EUROVIA/DE FILIPPIS/NGE G-C/E.B.M./GUINTOLI</t>
  </si>
  <si>
    <t>RAC244</t>
  </si>
  <si>
    <t>RAC144</t>
  </si>
  <si>
    <t>RAC544</t>
  </si>
  <si>
    <t>RAC 45</t>
  </si>
  <si>
    <t>CARRIERE BOUSSENOIS POUR C.D.D.</t>
  </si>
  <si>
    <t>RAC245</t>
  </si>
  <si>
    <t>RAC345</t>
  </si>
  <si>
    <t>RAC 46</t>
  </si>
  <si>
    <t>RAC246</t>
  </si>
  <si>
    <t>PLATE-FORME MATERIAUX GRAND LYON</t>
  </si>
  <si>
    <t>RAC 47</t>
  </si>
  <si>
    <t>DIVERS GRAND-LYON</t>
  </si>
  <si>
    <t>RAC247</t>
  </si>
  <si>
    <t>RAC147</t>
  </si>
  <si>
    <t>RAC347</t>
  </si>
  <si>
    <t>RAC547</t>
  </si>
  <si>
    <t>RAC145</t>
  </si>
  <si>
    <t>RAC 48</t>
  </si>
  <si>
    <t>CARRIERE THOMAS</t>
  </si>
  <si>
    <t>RAC248</t>
  </si>
  <si>
    <t>RAD 01</t>
  </si>
  <si>
    <t>RAD 02</t>
  </si>
  <si>
    <t>Création Branchement Eau Potable LE BOZET à OYONNAX</t>
  </si>
  <si>
    <t>RAD701</t>
  </si>
  <si>
    <t>RAD702</t>
  </si>
  <si>
    <t>Restauration de l'orangerie du Château à FERNEY-VOLTAIRE</t>
  </si>
  <si>
    <t>LISTES DES AFFAIRES R.A OUVERTES sur 2013</t>
  </si>
  <si>
    <t>RAD 03</t>
  </si>
  <si>
    <t>RN 88 LE PUY EN VELAY</t>
  </si>
  <si>
    <t>Groupt NGE GC / G.T.S.</t>
  </si>
  <si>
    <t>RAD203</t>
  </si>
  <si>
    <t>RAD503</t>
  </si>
  <si>
    <t>RAD 04</t>
  </si>
  <si>
    <t>HEYRIEUX</t>
  </si>
  <si>
    <t>Groupt GUINTOLI / EHTP / SIORAT</t>
  </si>
  <si>
    <t>RAD204</t>
  </si>
  <si>
    <t>RAD104</t>
  </si>
  <si>
    <t>RAD304</t>
  </si>
  <si>
    <t>RAD 05</t>
  </si>
  <si>
    <t>SAINT-LAURENT DE MURE - Rues de la Cote &amp; du 8 Mai 1945</t>
  </si>
  <si>
    <t>RAD205</t>
  </si>
  <si>
    <t>RAD105</t>
  </si>
  <si>
    <t>RAD305</t>
  </si>
  <si>
    <t>F.SAVANT &amp; P. BARRE</t>
  </si>
  <si>
    <t>RAD 06</t>
  </si>
  <si>
    <t>Groupt E.J.L. / GUINTOLI / EUROVIA</t>
  </si>
  <si>
    <t>RAD206</t>
  </si>
  <si>
    <t>RAD106</t>
  </si>
  <si>
    <t>RAD306</t>
  </si>
  <si>
    <t>BUE Vaulx en Velin La Soie - Lot1 Terrassement &amp; Assainissement</t>
  </si>
  <si>
    <t>BUE Vaulx en Velin La Soie - Lot 2 Voirie</t>
  </si>
  <si>
    <t>RAD103</t>
  </si>
  <si>
    <t>RAD 07</t>
  </si>
  <si>
    <t>TILLEUL VERT A PREVESSINS MOENS</t>
  </si>
  <si>
    <t>RAD707</t>
  </si>
  <si>
    <t>RAD 08</t>
  </si>
  <si>
    <t>RAD208</t>
  </si>
  <si>
    <t>RAD108</t>
  </si>
  <si>
    <t>RAD308</t>
  </si>
  <si>
    <t>Indivision SIMON - Lotissement à CHARBONNIERES Les Bains</t>
  </si>
  <si>
    <t>RAD 09</t>
  </si>
  <si>
    <t>RAD709</t>
  </si>
  <si>
    <t>RAD 10</t>
  </si>
  <si>
    <t>SMOBY MOIRANS EN MONTAGNE</t>
  </si>
  <si>
    <t>QUARTIER DE LA FORGE (DYNACITE) Espaces Exterieurs</t>
  </si>
  <si>
    <t>Groupt SACER / VAL TP</t>
  </si>
  <si>
    <t>RAD710</t>
  </si>
  <si>
    <t>RAD 11</t>
  </si>
  <si>
    <t>Route des Condamines à CHARLY-VERNAISON (Marché1 Voirie)</t>
  </si>
  <si>
    <t>Groupt GUINTOLI / SIORAT</t>
  </si>
  <si>
    <t>RAD211</t>
  </si>
  <si>
    <t>RAD111</t>
  </si>
  <si>
    <t>RAD311</t>
  </si>
  <si>
    <t>RAD 12</t>
  </si>
  <si>
    <t>SAINT-CLAUDE Tvx d'Assainissement E.U.</t>
  </si>
  <si>
    <t>RAD712</t>
  </si>
  <si>
    <t>RAD 13</t>
  </si>
  <si>
    <t>PLOMBIERES LES DIJON - Tvx Réseaux Eaux Pluviales / Rue de Velars &amp; F. MITTERAND</t>
  </si>
  <si>
    <t>RAD213</t>
  </si>
  <si>
    <t>RAD113</t>
  </si>
  <si>
    <t>RAD 14</t>
  </si>
  <si>
    <t>Groupt GUINTOLI / EHTP</t>
  </si>
  <si>
    <t>RAD214</t>
  </si>
  <si>
    <t>RAD114</t>
  </si>
  <si>
    <t>RAD 15</t>
  </si>
  <si>
    <t>RAD 16</t>
  </si>
  <si>
    <t>MIRIBEL Quartier "LE TREVE"</t>
  </si>
  <si>
    <t>RAD716</t>
  </si>
  <si>
    <t>RAD 17</t>
  </si>
  <si>
    <t>ST CLAUDE Renouvellement branchements plomb Lyonnaise des Eaux</t>
  </si>
  <si>
    <t>RAD717</t>
  </si>
  <si>
    <t>RAD 18</t>
  </si>
  <si>
    <t>INTERMARCHE ST TRIVIER DE COURTE</t>
  </si>
  <si>
    <t>RAD718</t>
  </si>
  <si>
    <t>RAD 19</t>
  </si>
  <si>
    <t>RAD219</t>
  </si>
  <si>
    <t>TASSIN La Maison de Claire &amp; François Lot1 V.R.D</t>
  </si>
  <si>
    <t>RAD119</t>
  </si>
  <si>
    <t>RAD319</t>
  </si>
  <si>
    <t>GENAY - Route de St André de Corcy - Création de bassins de rétention paysager</t>
  </si>
  <si>
    <t>Groupt DELAPORTE BTP/GUINOT TP/EHTP</t>
  </si>
  <si>
    <t>RAD215</t>
  </si>
  <si>
    <t>RAD115</t>
  </si>
  <si>
    <t>RAD 20</t>
  </si>
  <si>
    <t>THOIRY - Les Terrasses du Tioscan</t>
  </si>
  <si>
    <t>RAD720</t>
  </si>
  <si>
    <t>RAD 21</t>
  </si>
  <si>
    <t>RAD221</t>
  </si>
  <si>
    <t>RAD121</t>
  </si>
  <si>
    <t>RAB314</t>
  </si>
  <si>
    <t>RAD 22</t>
  </si>
  <si>
    <t>PUSIGNAN Renforcement Réseau AEP sur RD 517</t>
  </si>
  <si>
    <t>RAD222</t>
  </si>
  <si>
    <t>RAD122</t>
  </si>
  <si>
    <t>CONDRIEUX Assainissement Lotissement de la Celle</t>
  </si>
  <si>
    <t>Groupt VAL TP/GUINTOLI / SIORAT</t>
  </si>
  <si>
    <t>RAD216</t>
  </si>
  <si>
    <t>RAD116</t>
  </si>
  <si>
    <t>RAD316</t>
  </si>
  <si>
    <t>RAD 23</t>
  </si>
  <si>
    <t>Groupt G.T.S. / VAL TP</t>
  </si>
  <si>
    <t>RAD723</t>
  </si>
  <si>
    <t>RAD 24</t>
  </si>
  <si>
    <t>Viaduc de la CHAPELETTE RD105 à GRAZAC</t>
  </si>
  <si>
    <t>NGE G-C</t>
  </si>
  <si>
    <t>RAD524</t>
  </si>
  <si>
    <t>C. PERSIANI</t>
  </si>
  <si>
    <t>RAD 25</t>
  </si>
  <si>
    <t>Groupt GUINTOLI / VAL TP / SIORAT</t>
  </si>
  <si>
    <t>RAD725</t>
  </si>
  <si>
    <t>RAD225</t>
  </si>
  <si>
    <t>RAD125</t>
  </si>
  <si>
    <t>RAD325</t>
  </si>
  <si>
    <t>D. BRIAS</t>
  </si>
  <si>
    <t xml:space="preserve">GIRATOIRES RD975 A ATTIGNAT &amp; VIRIAT </t>
  </si>
  <si>
    <t>RAD 26</t>
  </si>
  <si>
    <t>ZAC du Triangle à St Priest</t>
  </si>
  <si>
    <t>RAD226</t>
  </si>
  <si>
    <t>RAD126</t>
  </si>
  <si>
    <t>RAD 27</t>
  </si>
  <si>
    <t>Giratoire RD29 - Déviation de COLOMBIER - SAUGNIEU</t>
  </si>
  <si>
    <t>RAD127</t>
  </si>
  <si>
    <t>RAD327</t>
  </si>
  <si>
    <t>D. BRIAS - A.REVOL</t>
  </si>
  <si>
    <t>RAD 28</t>
  </si>
  <si>
    <t>Extension REINE à VEYZIAT</t>
  </si>
  <si>
    <t>RAD728</t>
  </si>
  <si>
    <t>RAD 29</t>
  </si>
  <si>
    <t>Villa Toscane à DIVONNE</t>
  </si>
  <si>
    <t>RAD729</t>
  </si>
  <si>
    <t>RAD 30</t>
  </si>
  <si>
    <t>Giratoire de la Gendarmerie à Saint VULBAS</t>
  </si>
  <si>
    <t>Groupt GUINTOLI / SIORAT / NGE GC / VAL TP</t>
  </si>
  <si>
    <t>RAD230</t>
  </si>
  <si>
    <t>RAD130</t>
  </si>
  <si>
    <t>RAD330</t>
  </si>
  <si>
    <t>RAD530</t>
  </si>
  <si>
    <t>RAD227</t>
  </si>
  <si>
    <t>RAD730</t>
  </si>
  <si>
    <t>RAD 31</t>
  </si>
  <si>
    <t>RAD 32</t>
  </si>
  <si>
    <t>Rue Edouard HERRIOT à VEYZIAT - Lot 2 VRD</t>
  </si>
  <si>
    <t>RAD731</t>
  </si>
  <si>
    <t>RAD732</t>
  </si>
  <si>
    <t xml:space="preserve">Centre Social de la Plaine - Parking Normandie Niemen lot1 Assainissement </t>
  </si>
  <si>
    <t>Marché à Bons de Cde / A.E.P., Assainissement &amp; E.P à CHALON s/ Saone Lot n° 1</t>
  </si>
  <si>
    <t>Marché à Bons de Cde / A.E.P., Assainissement &amp; E.P à CHALON s/ Saone Lot n° 2</t>
  </si>
  <si>
    <t>Groupt GUINOT TP / DELAPORTE TP / EHTP</t>
  </si>
  <si>
    <t>RAD 33</t>
  </si>
  <si>
    <t>MARTIGNAT - Aménagement Voirie contre rue du Commerce</t>
  </si>
  <si>
    <t>RAD733</t>
  </si>
  <si>
    <t>Lycée Jacques Brel Lot 1</t>
  </si>
  <si>
    <t>RAB313</t>
  </si>
  <si>
    <t>RAD 34</t>
  </si>
  <si>
    <t>PENNEQUIN - Réseaux Humides à DIJON</t>
  </si>
  <si>
    <t>E.H.T.P.</t>
  </si>
  <si>
    <t>RAD134</t>
  </si>
  <si>
    <t>RAD 35</t>
  </si>
  <si>
    <t>PLOMBIERES LES DIJON - Tvx de Voiries</t>
  </si>
  <si>
    <t>RAD235</t>
  </si>
  <si>
    <t>RAD135</t>
  </si>
  <si>
    <t>RAD 36</t>
  </si>
  <si>
    <t>FERNEY-VOLTAIRE Avenue des Alpes</t>
  </si>
  <si>
    <t>RAD736</t>
  </si>
  <si>
    <t>RAD 37</t>
  </si>
  <si>
    <t>SELLONGEY</t>
  </si>
  <si>
    <t>RAD237</t>
  </si>
  <si>
    <t>RAD137</t>
  </si>
  <si>
    <t>RAD337</t>
  </si>
  <si>
    <t>RAD238</t>
  </si>
  <si>
    <t>RAD138</t>
  </si>
  <si>
    <t>RAD338</t>
  </si>
  <si>
    <t>RAD 38</t>
  </si>
  <si>
    <t>BOBBY SANDS - Aménagement Quartier la Cotonne à St Etienne</t>
  </si>
  <si>
    <t>SNCF Confortement du remblai de l'ALOMOGNE (Collonges)</t>
  </si>
  <si>
    <t>RAD 39</t>
  </si>
  <si>
    <t>DYNACITE "Le Soleil Levant" à FERNEY-VOLTAIRE</t>
  </si>
  <si>
    <t>RAD739</t>
  </si>
  <si>
    <t>P.A. MAURY</t>
  </si>
  <si>
    <t>RAD 40</t>
  </si>
  <si>
    <t>RAD240</t>
  </si>
  <si>
    <t>RAD140</t>
  </si>
  <si>
    <t>RAD340</t>
  </si>
  <si>
    <t>Rémanagt Av. Roger SALENGRO à Vaulx en Velin Marché 1</t>
  </si>
  <si>
    <t>RAD 41</t>
  </si>
  <si>
    <t>C.C.O. Travaux AEP 2013 à 2017</t>
  </si>
  <si>
    <t>Groupt VAL TP / EHTP / NGE G-C</t>
  </si>
  <si>
    <t>RAD241</t>
  </si>
  <si>
    <t>RAD141</t>
  </si>
  <si>
    <t>RAD541</t>
  </si>
  <si>
    <t>RAD741</t>
  </si>
  <si>
    <t>RAD 42</t>
  </si>
  <si>
    <t>RAD242</t>
  </si>
  <si>
    <t>RAD142</t>
  </si>
  <si>
    <t>RAD 43</t>
  </si>
  <si>
    <t>SEQUENCIEL à GEX 111 logements Lot Terrassement VRD</t>
  </si>
  <si>
    <t>VAL TP (stpd de STPFA)</t>
  </si>
  <si>
    <t>RAD743</t>
  </si>
  <si>
    <t>RAD335</t>
  </si>
  <si>
    <t>RAD234</t>
  </si>
  <si>
    <t>GUINTOLI / EHTP / SIORAT</t>
  </si>
  <si>
    <t>RAD 44</t>
  </si>
  <si>
    <t>VAISE</t>
  </si>
  <si>
    <t>Groupt GUINTOLI / EHTP / SIORAT / COIRO TP</t>
  </si>
  <si>
    <t>RAD244</t>
  </si>
  <si>
    <t>RAD144</t>
  </si>
  <si>
    <t>RAD344</t>
  </si>
  <si>
    <t>RAD 45</t>
  </si>
  <si>
    <t>RAD 46</t>
  </si>
  <si>
    <t>NANTUA - Maison Médicale</t>
  </si>
  <si>
    <t xml:space="preserve">VAL TP </t>
  </si>
  <si>
    <t>VAL TP (stpd de DEMATHIEU)</t>
  </si>
  <si>
    <t>SAMOGNAT - Barrage des Charmines</t>
  </si>
  <si>
    <t>RAD745</t>
  </si>
  <si>
    <t>RAD746</t>
  </si>
  <si>
    <t>RAD 47</t>
  </si>
  <si>
    <t>ST PIERRE DE CHANDIEU</t>
  </si>
  <si>
    <t xml:space="preserve">Groupt GUINTOLI / EHTP / SIORAT </t>
  </si>
  <si>
    <t>RAD247</t>
  </si>
  <si>
    <t>RAD147</t>
  </si>
  <si>
    <t>RAD347</t>
  </si>
  <si>
    <t>ZAC LA DUCHERE DCE 12</t>
  </si>
  <si>
    <t>RAD 48</t>
  </si>
  <si>
    <t>LE MILLESIME à DIVONNE LES BAINS VRD</t>
  </si>
  <si>
    <t>RAD748</t>
  </si>
  <si>
    <t>LISTES DES AFFAIRES R.A OUVERTES sur 2014</t>
  </si>
  <si>
    <t>RAE 01</t>
  </si>
  <si>
    <t>SAINT-MARCELLIN</t>
  </si>
  <si>
    <t>Groupt GUINTOLI / NGE G-C</t>
  </si>
  <si>
    <t>RAE201</t>
  </si>
  <si>
    <t>RAE 02</t>
  </si>
  <si>
    <t>ZAC BERLIET A ST PRIEST</t>
  </si>
  <si>
    <t>Groupt GUINTOLI / DESAMIANTAGE DAUPHINOISE</t>
  </si>
  <si>
    <t>RAE202</t>
  </si>
  <si>
    <t>RAE 03</t>
  </si>
  <si>
    <t>Rénovation Centre Culturel ARAGON  LOt1</t>
  </si>
  <si>
    <t>RAE703</t>
  </si>
  <si>
    <t>RAE704</t>
  </si>
  <si>
    <t>RAE 04</t>
  </si>
  <si>
    <t>RAE 05</t>
  </si>
  <si>
    <t>RD 1075 DEVIATION DE COUTELIEU</t>
  </si>
  <si>
    <t>Groupt GUINTOLI / VAL TP</t>
  </si>
  <si>
    <t>RAE205</t>
  </si>
  <si>
    <t>RAE705</t>
  </si>
  <si>
    <t>RAE 06</t>
  </si>
  <si>
    <t>RAE206</t>
  </si>
  <si>
    <t>RAE205*</t>
  </si>
  <si>
    <t>* Chantiers Miroirs</t>
  </si>
  <si>
    <t>SCI Les Sorbiers OYONNAX Rue Jean DONIER - 9 Logements</t>
  </si>
  <si>
    <t>RAE201*</t>
  </si>
  <si>
    <t>RAE202*</t>
  </si>
  <si>
    <t>RAE206*</t>
  </si>
  <si>
    <t>RAE 07</t>
  </si>
  <si>
    <t>Tvx Maintenance Assainisst - Lot4 Lyon 3ème</t>
  </si>
  <si>
    <t>Groupt EHTP / SEEA TP</t>
  </si>
  <si>
    <t>RAE107</t>
  </si>
  <si>
    <t>RAE107*</t>
  </si>
  <si>
    <t>RAE 08</t>
  </si>
  <si>
    <t>RAE 09</t>
  </si>
  <si>
    <t>Tvx Maintenance Assainisst - Lot8 Lyon 1er, 2ème &amp; 4ème</t>
  </si>
  <si>
    <t>Groupt EHTP / CHOLTON</t>
  </si>
  <si>
    <t>RAE108*</t>
  </si>
  <si>
    <t>RAE108</t>
  </si>
  <si>
    <t xml:space="preserve">EHTP </t>
  </si>
  <si>
    <t>RAE109*</t>
  </si>
  <si>
    <t>RAE109</t>
  </si>
  <si>
    <t>Tvx Maintenance Assainisst - Lot11 St Priest, Corbas, Moins</t>
  </si>
  <si>
    <t>RAE501</t>
  </si>
  <si>
    <t>RAE 10</t>
  </si>
  <si>
    <t>RCEA - RN80 CORTELIN Accès Nord Giratoire A6</t>
  </si>
  <si>
    <t>RAE210</t>
  </si>
  <si>
    <t>RAE210*</t>
  </si>
  <si>
    <t>RAE 11</t>
  </si>
  <si>
    <t>RAE211</t>
  </si>
  <si>
    <t>RAE211*</t>
  </si>
  <si>
    <t>BIOASTER Terrassements VRD Espaces Verts</t>
  </si>
  <si>
    <t>RAE 12</t>
  </si>
  <si>
    <t>BELLEGARDE Marché à B.C Lot2 Réseaux Divers</t>
  </si>
  <si>
    <t>Groupt FAMY / VAL TP</t>
  </si>
  <si>
    <t>RAE712</t>
  </si>
  <si>
    <t>RAE 13</t>
  </si>
  <si>
    <t>RAE213</t>
  </si>
  <si>
    <t>RAE213*</t>
  </si>
  <si>
    <t>RAE 14</t>
  </si>
  <si>
    <t>Groupt GUINTOLI / EHTP / SIORAT / RMF</t>
  </si>
  <si>
    <t>RAE214</t>
  </si>
  <si>
    <t>RAE214*</t>
  </si>
  <si>
    <t>RAE 15</t>
  </si>
  <si>
    <t>Tvx Reprise suite à intempéries CG69</t>
  </si>
  <si>
    <t>RAE215</t>
  </si>
  <si>
    <t>RAE215*</t>
  </si>
  <si>
    <t>RAE 16</t>
  </si>
  <si>
    <t>QUARTIER DE LA FORGE Collecteurs E.U. &amp; E.P</t>
  </si>
  <si>
    <t>Groupt VAL TP / DUMAS / VINCENT TP</t>
  </si>
  <si>
    <t>RAE716</t>
  </si>
  <si>
    <t>LY12 Desserte par le sud d'Eurexpo</t>
  </si>
  <si>
    <t>RAE 17</t>
  </si>
  <si>
    <t>Quartier de MATHIOLAN à MEYZIEU VRD</t>
  </si>
  <si>
    <t>RAE317</t>
  </si>
  <si>
    <t>RAE317*</t>
  </si>
  <si>
    <t>RAE 18</t>
  </si>
  <si>
    <t>Location pour MT PAYSAGE</t>
  </si>
  <si>
    <t>RAE718</t>
  </si>
  <si>
    <t>Locations</t>
  </si>
  <si>
    <t>RAE 19</t>
  </si>
  <si>
    <t>Groupt GUINTOLI / SIORAT / VAL TP</t>
  </si>
  <si>
    <t>SAINT-ETIENNE DU BOIS</t>
  </si>
  <si>
    <t>RAE219</t>
  </si>
  <si>
    <t>RAE219*</t>
  </si>
  <si>
    <t>RAE719</t>
  </si>
  <si>
    <t>RAE 20</t>
  </si>
  <si>
    <t>RAE720</t>
  </si>
  <si>
    <t>RAE721</t>
  </si>
  <si>
    <t>GAMM VERT de NEUVILLE s/ ain</t>
  </si>
  <si>
    <t>G.CURT</t>
  </si>
  <si>
    <t>LE GRAND PRE à Chatillon en Michaille</t>
  </si>
  <si>
    <t>RAE 21</t>
  </si>
  <si>
    <t>A36 Diffuseur de MONTBELIARD</t>
  </si>
  <si>
    <t>RAE 22</t>
  </si>
  <si>
    <t>OYONNAX - Place Vailland Couturier</t>
  </si>
  <si>
    <t>RAE722</t>
  </si>
  <si>
    <t>RAE 23</t>
  </si>
  <si>
    <t>ST CLAUDE - Rue des Etapes</t>
  </si>
  <si>
    <t>RAE723</t>
  </si>
  <si>
    <t>RAE 24</t>
  </si>
  <si>
    <t>OYONNAX - Route d'Echallon (Assainisst &amp; AEP)</t>
  </si>
  <si>
    <t>RAE724</t>
  </si>
  <si>
    <t>RAE 25</t>
  </si>
  <si>
    <t>OYONNAX - Hameau de Bouvent Réseaux Humides Lot 1 &amp; 2</t>
  </si>
  <si>
    <t>RAE725</t>
  </si>
  <si>
    <t>Groupt VAL TP / VINCENT TP</t>
  </si>
  <si>
    <t>RAE 26</t>
  </si>
  <si>
    <t>VIRIGNIN - Actipole de l'Eau / Phase1 Lot Terrasseement - VRD</t>
  </si>
  <si>
    <t>RAE726</t>
  </si>
  <si>
    <t>RAE 27</t>
  </si>
  <si>
    <t>RAE 28</t>
  </si>
  <si>
    <t>RAE 29</t>
  </si>
  <si>
    <t>RAE 30</t>
  </si>
  <si>
    <t>RAE 31</t>
  </si>
  <si>
    <t>Groupt VAL TP / SOTRAC</t>
  </si>
  <si>
    <t>RAE727</t>
  </si>
  <si>
    <t>RAE728</t>
  </si>
  <si>
    <t>A. REVOL / D. BRIAS</t>
  </si>
  <si>
    <t>RAE728*</t>
  </si>
  <si>
    <t>LOT 1 (F14018)</t>
  </si>
  <si>
    <t>LOT 2 (F14019)</t>
  </si>
  <si>
    <t>Groupt SOTRAC / VAL TP</t>
  </si>
  <si>
    <t>RAE729</t>
  </si>
  <si>
    <t>RAE730</t>
  </si>
  <si>
    <t>Entretien O.A. de l'Ain - Lot1 / Agence Bresse - Revermont</t>
  </si>
  <si>
    <t>Entretien O.A. de l'Ain - Lot1 / Agence Plaine de l'Ain &amp; Val de Saône</t>
  </si>
  <si>
    <t>Entretien O.A. de l'Ain - Lot2 / Agence Haut-Bugey &amp; Bas-Bugey</t>
  </si>
  <si>
    <t>Entretien O.A. de l'Ain - Lot2 / Agence Bellegarde - Gex</t>
  </si>
  <si>
    <t>Groupt VINCENT / VAL TP</t>
  </si>
  <si>
    <t>RAE731</t>
  </si>
  <si>
    <t>(remplace 57AB14)</t>
  </si>
  <si>
    <t>RAE 32</t>
  </si>
  <si>
    <t>RAE232</t>
  </si>
  <si>
    <t>RAE232*</t>
  </si>
  <si>
    <t>RAE 33</t>
  </si>
  <si>
    <t>Corporate HeadQuarter MERIEUX Lot 401-VRD</t>
  </si>
  <si>
    <t>RAE233</t>
  </si>
  <si>
    <t>RAE233*</t>
  </si>
  <si>
    <t>RAE 34</t>
  </si>
  <si>
    <t>Centrale à Béton CEMEX à DIJON</t>
  </si>
  <si>
    <t xml:space="preserve">GUINTOLI </t>
  </si>
  <si>
    <t>RAE234</t>
  </si>
  <si>
    <t>RAE234*</t>
  </si>
  <si>
    <t>RAE 35</t>
  </si>
  <si>
    <t>Berges à CHATILLON SUR CHALARONNE</t>
  </si>
  <si>
    <t>Groupt EHTP / GUINTOLI</t>
  </si>
  <si>
    <t>RAE135</t>
  </si>
  <si>
    <t>RAE135*</t>
  </si>
  <si>
    <t>RAE 36</t>
  </si>
  <si>
    <t>ZAC LYBERTEC phase 0 &amp; 1 - Lot 1 Préparation, Terrassements, Chaussées</t>
  </si>
  <si>
    <t>SEP</t>
  </si>
  <si>
    <t>Groupt GUINTOLI / RMF / SIORAT / CHAZAL</t>
  </si>
  <si>
    <t>RAD236</t>
  </si>
  <si>
    <t>RAD136</t>
  </si>
  <si>
    <t>RAD336</t>
  </si>
  <si>
    <t>Groupt EHTP / GUINTOLI / RMF / CHAZAL</t>
  </si>
  <si>
    <t>ZAC LYBERTEC phase 0 &amp; 1 - Lot 2 Réseaux Humides</t>
  </si>
  <si>
    <t>RAE 37</t>
  </si>
  <si>
    <t>GFC Aéroport LYON St Exupéry- Nouveau Terminal</t>
  </si>
  <si>
    <t>RAE237</t>
  </si>
  <si>
    <r>
      <t xml:space="preserve">GUINTOLI </t>
    </r>
    <r>
      <rPr>
        <b/>
        <sz val="12"/>
        <rFont val="Arial"/>
        <family val="2"/>
      </rPr>
      <t>(Sous-traitant de GFC)</t>
    </r>
  </si>
  <si>
    <t>RAE 38</t>
  </si>
  <si>
    <t>Parking de la Régie de L'Ain à St GENIS POUILLY</t>
  </si>
  <si>
    <t>RAE738</t>
  </si>
  <si>
    <t>RAE 39</t>
  </si>
  <si>
    <t>APRR Travaux de Viabilité Hivernale</t>
  </si>
  <si>
    <t>RAE739</t>
  </si>
  <si>
    <t>RAE 40</t>
  </si>
  <si>
    <t>Pôle Intermodale du PUY EN VELAY</t>
  </si>
  <si>
    <t>Groupt EUROVIA / GUINTOLI / EYRAUD</t>
  </si>
  <si>
    <t>RAE240</t>
  </si>
  <si>
    <t>RAE 41</t>
  </si>
  <si>
    <t>Stock COLONGES chez PHARISA (Concassage &amp; Stockage)</t>
  </si>
  <si>
    <t>M. PHILIP</t>
  </si>
  <si>
    <t>RAE 42</t>
  </si>
  <si>
    <t>FONTAINES LES DIJON</t>
  </si>
  <si>
    <t>UNIVERSITE LYON 2 à BRON BATIMENT K Lot 1</t>
  </si>
  <si>
    <t>UNIVERSITE LYON 2 à BRON BATIMENT K Lot 2</t>
  </si>
  <si>
    <t>RN 57 - Aire de Contrôle de Morre / Terrassements, Assainisst &amp; Chaussées</t>
  </si>
  <si>
    <t>RAE 43</t>
  </si>
  <si>
    <t>Groupt GUINTOLI / FAMY</t>
  </si>
  <si>
    <t>RAE243</t>
  </si>
  <si>
    <t>RAE243*</t>
  </si>
  <si>
    <t>RAE 44</t>
  </si>
  <si>
    <t>RAE 45</t>
  </si>
  <si>
    <t>Tvx RD de l'Ain - Lot 4 / Agence Val de Saône</t>
  </si>
  <si>
    <t>RAE244</t>
  </si>
  <si>
    <t>RAE244*</t>
  </si>
  <si>
    <t>Groupt GUINTOLI / VAL TP / FAMY</t>
  </si>
  <si>
    <t>RAE245</t>
  </si>
  <si>
    <t>RAE245*</t>
  </si>
  <si>
    <t>RAE745</t>
  </si>
  <si>
    <r>
      <t xml:space="preserve">Tvx RD de l'Ain - Lot 3 / Agence Dombes Plaine de l'Ain </t>
    </r>
    <r>
      <rPr>
        <b/>
        <i/>
        <u/>
        <sz val="8"/>
        <rFont val="Arial"/>
        <family val="2"/>
      </rPr>
      <t>(remplace RAA020)</t>
    </r>
  </si>
  <si>
    <t>RAE 46</t>
  </si>
  <si>
    <t>DYNACITE Entretien VRD / Agence Rhône</t>
  </si>
  <si>
    <t>RAE346*</t>
  </si>
  <si>
    <t>RAE346</t>
  </si>
  <si>
    <t>RAE342</t>
  </si>
  <si>
    <t>RAE342*</t>
  </si>
  <si>
    <t>RAE 47</t>
  </si>
  <si>
    <t>ZI DE LONGVIC Réseaux Humides &amp; Eclairage</t>
  </si>
  <si>
    <t>RAE247</t>
  </si>
  <si>
    <t>RAE247*</t>
  </si>
  <si>
    <t>RAE240*</t>
  </si>
  <si>
    <r>
      <t xml:space="preserve">Tvx RD de l'Ain - Lot 1 / Agence Haut-Bugey </t>
    </r>
    <r>
      <rPr>
        <b/>
        <i/>
        <u/>
        <sz val="8"/>
        <rFont val="Arial"/>
        <family val="2"/>
      </rPr>
      <t>(remplace 57AB14)</t>
    </r>
  </si>
  <si>
    <t>RAE 48</t>
  </si>
  <si>
    <t>Groupt VAL TP / SIORAT</t>
  </si>
  <si>
    <t>RAE748</t>
  </si>
  <si>
    <t>DYNACITE Entretien VRD / Lot 1 Agence Bourg-en-Bresse</t>
  </si>
  <si>
    <t>RAE 49</t>
  </si>
  <si>
    <t>RAE 50</t>
  </si>
  <si>
    <t>RAE 51</t>
  </si>
  <si>
    <t>DYNACITE Entretien VRD / Lot 2 Agence Ambérieu</t>
  </si>
  <si>
    <t>RAE349*</t>
  </si>
  <si>
    <t>RAE349</t>
  </si>
  <si>
    <t>RAE749</t>
  </si>
  <si>
    <t>RAE750</t>
  </si>
  <si>
    <t>RAE350</t>
  </si>
  <si>
    <t>RAE350*</t>
  </si>
  <si>
    <t>DYNACITE Entretien VRD / Lot 3 Agence Ferney - Voltaire</t>
  </si>
  <si>
    <t>DYNACITE Entretien VRD / Lot 4 Agence Oyonnax</t>
  </si>
  <si>
    <t>RAE751</t>
  </si>
  <si>
    <t>RAE 52</t>
  </si>
  <si>
    <t>Groupt VAL TP / FAMY</t>
  </si>
  <si>
    <t>RAE752</t>
  </si>
  <si>
    <r>
      <t xml:space="preserve">Tvx RD de l'Ain - Lot 2 / Agence Bellegarde - Pays de Gex </t>
    </r>
    <r>
      <rPr>
        <b/>
        <i/>
        <u/>
        <sz val="8"/>
        <rFont val="Arial"/>
        <family val="2"/>
      </rPr>
      <t>(remplace 57AE08)</t>
    </r>
  </si>
  <si>
    <t>RAE 53</t>
  </si>
  <si>
    <t>RAE253</t>
  </si>
  <si>
    <t>RAE253*</t>
  </si>
  <si>
    <t>RAE 54</t>
  </si>
  <si>
    <t>Extension Usine P.R.P. à VEYZIAT</t>
  </si>
  <si>
    <t>RAE754</t>
  </si>
  <si>
    <t>J. PELLEGRINI</t>
  </si>
  <si>
    <t>RAE 55</t>
  </si>
  <si>
    <t>RAE255</t>
  </si>
  <si>
    <t>RAE555</t>
  </si>
  <si>
    <t>PRA MAGELLAN</t>
  </si>
  <si>
    <t>Groupt NGE G-C / GUINTOLI</t>
  </si>
  <si>
    <t>RAE255*</t>
  </si>
  <si>
    <t>RAE 56</t>
  </si>
  <si>
    <t>TRAVAUX CERN</t>
  </si>
  <si>
    <t>RAE756</t>
  </si>
  <si>
    <t>M. DARMON &amp; B. JANISSET</t>
  </si>
  <si>
    <t>VAL TP / DIMENSIONE</t>
  </si>
  <si>
    <t>RAE 57</t>
  </si>
  <si>
    <t>COLGATE</t>
  </si>
  <si>
    <t>GUINTOLI???</t>
  </si>
  <si>
    <t>RAE257</t>
  </si>
  <si>
    <t>RAE257*</t>
  </si>
  <si>
    <t>LISTES DES AFFAIRES R.A OUVERTES sur 2015</t>
  </si>
  <si>
    <t>RAF 01</t>
  </si>
  <si>
    <t>RAF501</t>
  </si>
  <si>
    <t>Tvcx de G-C &amp; Maintenance sur O.A. terrestre &amp; fluviaux de grande &amp; moyenne importance</t>
  </si>
  <si>
    <t>Groupt NOUVETRA / GANTELET GALABERTHIER / MAIA SONNIER / NGE G-C</t>
  </si>
  <si>
    <t>RAF 02</t>
  </si>
  <si>
    <t>RAF 03</t>
  </si>
  <si>
    <t>RN5 - Aménagement Section MOREY - LES ROUSSES</t>
  </si>
  <si>
    <t>Gpt VAL TP / SERFOTEX / SOTRAC / ROUTIERE GUENUCHOT</t>
  </si>
  <si>
    <t>RAF702</t>
  </si>
  <si>
    <t>RAF703</t>
  </si>
  <si>
    <t>Chantiers Divers J. PELLEGRINI</t>
  </si>
  <si>
    <t>RAF 04</t>
  </si>
  <si>
    <t>Lycée MATHIAS à CHALON s/ Saône Lot 1</t>
  </si>
  <si>
    <t>RAF204</t>
  </si>
  <si>
    <t>RAF204*</t>
  </si>
  <si>
    <t>RAF 05</t>
  </si>
  <si>
    <t>Lotissement "Les Ficelles II" à ARCEAU</t>
  </si>
  <si>
    <t>RAF205</t>
  </si>
  <si>
    <t>RAF205*</t>
  </si>
  <si>
    <t>RAF 06</t>
  </si>
  <si>
    <t>GRT GAZ - Villard St Sauveur</t>
  </si>
  <si>
    <t>RAF706</t>
  </si>
  <si>
    <t>RAF 07</t>
  </si>
  <si>
    <t>SAINT GENIS POULLY "Porte France Nord" SEMCODA</t>
  </si>
  <si>
    <t>RAF707</t>
  </si>
  <si>
    <t>K. CHEVILLON</t>
  </si>
  <si>
    <t>Groupt VAL TP / GUINTOLI / EHTP / SIORAT</t>
  </si>
  <si>
    <t>RAF501*</t>
  </si>
  <si>
    <t>Tvcx de G-C &amp; Maintenance sur O.A. terrestre &amp; fluviaux de petite importance</t>
  </si>
  <si>
    <t>Groupt CARRION / GUINTOLI / GTS</t>
  </si>
  <si>
    <t>RAF 08</t>
  </si>
  <si>
    <t>RAF208</t>
  </si>
  <si>
    <t>RAF208*</t>
  </si>
  <si>
    <t>RAF 09</t>
  </si>
  <si>
    <t>RAF209</t>
  </si>
  <si>
    <t>RAF209*</t>
  </si>
  <si>
    <t>RAF 10</t>
  </si>
  <si>
    <t>DSP OYONNAX Travaux Concessif à SEHB</t>
  </si>
  <si>
    <t>RAF110</t>
  </si>
  <si>
    <t>RAF510</t>
  </si>
  <si>
    <t>RAF710</t>
  </si>
  <si>
    <t>C.BEKCI / N.DINET</t>
  </si>
  <si>
    <t>MOINS Rue Herminie - Création voie nouvelle VRD</t>
  </si>
  <si>
    <t>RAF 11</t>
  </si>
  <si>
    <t>DEVIATION DE COLOMBIER - SAUGNIEU</t>
  </si>
  <si>
    <t xml:space="preserve">RAF211 </t>
  </si>
  <si>
    <t>RAF211*</t>
  </si>
  <si>
    <t>Groupt Jean LEFEVRE / GUINTOLI / RMF</t>
  </si>
  <si>
    <t>RAF 12</t>
  </si>
  <si>
    <t>ZAC des Maraichers</t>
  </si>
  <si>
    <t>Groupt GUINTOLI / EHTP / SIORAT / ID VERDE</t>
  </si>
  <si>
    <t>RAF212</t>
  </si>
  <si>
    <t>RAF212*</t>
  </si>
  <si>
    <t>RAF 13</t>
  </si>
  <si>
    <t>P.P.P. de BELLEGARDE</t>
  </si>
  <si>
    <t>??????????</t>
  </si>
  <si>
    <t>RAF713</t>
  </si>
  <si>
    <t>RAF 14</t>
  </si>
  <si>
    <t>Accès Sud à EUREXPO</t>
  </si>
  <si>
    <t>Groupt GUINTOLI / EHTP / SIORAT / R.M.F.</t>
  </si>
  <si>
    <t>RAF 15</t>
  </si>
  <si>
    <t xml:space="preserve">POUILLY EN AUXOIS Tvx de voirie 2015 </t>
  </si>
  <si>
    <t>RAF314</t>
  </si>
  <si>
    <t>RAF314*</t>
  </si>
  <si>
    <t>RAF215</t>
  </si>
  <si>
    <t>RAF 16</t>
  </si>
  <si>
    <t>RAF216</t>
  </si>
  <si>
    <t>RAF 17</t>
  </si>
  <si>
    <t>Entretien chaussées OYONNAX</t>
  </si>
  <si>
    <t>RAF317</t>
  </si>
  <si>
    <t>RAF717</t>
  </si>
  <si>
    <t>RAF 18</t>
  </si>
  <si>
    <t>GFC La Colinière à Ste FOY les Lyon</t>
  </si>
  <si>
    <t>RAF218</t>
  </si>
  <si>
    <t>RAF218*</t>
  </si>
  <si>
    <t>RAF 19</t>
  </si>
  <si>
    <t>Rue FERRER - Aménagement Espace Public</t>
  </si>
  <si>
    <t>RAF719</t>
  </si>
  <si>
    <t>RAF 20</t>
  </si>
  <si>
    <t>INEO Réfections de tranchées</t>
  </si>
  <si>
    <t>RAF320</t>
  </si>
  <si>
    <t>RAF320*</t>
  </si>
  <si>
    <t>RAF 21</t>
  </si>
  <si>
    <t>CORIANCE Réseau de chauffage urbain</t>
  </si>
  <si>
    <t>RAF221*</t>
  </si>
  <si>
    <t>RAF221</t>
  </si>
  <si>
    <t>Groupt GUINTOLI / ISOPLUS</t>
  </si>
  <si>
    <t>N. STUDER</t>
  </si>
  <si>
    <t>RAF 22</t>
  </si>
  <si>
    <t>RAF222</t>
  </si>
  <si>
    <t>RAF222*</t>
  </si>
  <si>
    <t>LA DUCHERE DCE 14</t>
  </si>
  <si>
    <t>RAF 23</t>
  </si>
  <si>
    <t>SITA Couverture site de VAIVRE</t>
  </si>
  <si>
    <t>RAF223</t>
  </si>
  <si>
    <t>RAF223*</t>
  </si>
  <si>
    <t>RAF 24</t>
  </si>
  <si>
    <t>YZERON La Brally</t>
  </si>
  <si>
    <t>RAF124</t>
  </si>
  <si>
    <t>RAF124*</t>
  </si>
  <si>
    <t>RAF 25</t>
  </si>
  <si>
    <t xml:space="preserve">CHALLEX Route de la Plaine </t>
  </si>
  <si>
    <t xml:space="preserve">Groupt VAL TP / EHTP </t>
  </si>
  <si>
    <t>RAF725</t>
  </si>
  <si>
    <t>C. FAYEULLE</t>
  </si>
  <si>
    <t>RAF 26</t>
  </si>
  <si>
    <t>MONTANGES AEP</t>
  </si>
  <si>
    <t>RAF726</t>
  </si>
  <si>
    <t>G. BECKER / S. CLARET</t>
  </si>
  <si>
    <t>RAF725*</t>
  </si>
  <si>
    <t>RAF 27</t>
  </si>
  <si>
    <t>BUELLAS Réhabilitation Réseaux RD736</t>
  </si>
  <si>
    <t xml:space="preserve">Groupt EHTP / GUINTOLI / REHACANA </t>
  </si>
  <si>
    <t>RAF127*</t>
  </si>
  <si>
    <t>RAF127</t>
  </si>
  <si>
    <t>RAF 28</t>
  </si>
  <si>
    <t>Groupt GUINTOLI / SETELEN</t>
  </si>
  <si>
    <t>RAF228</t>
  </si>
  <si>
    <t>RAF228*</t>
  </si>
  <si>
    <t>PRECY SOUS THIL (CG 21)</t>
  </si>
  <si>
    <t>RAF 29</t>
  </si>
  <si>
    <t>DIJON Marché à Bons de Cde d'Entretien / Secteur Nord</t>
  </si>
  <si>
    <t>Groupt COLAS / GUINTOLI</t>
  </si>
  <si>
    <t>RAF229</t>
  </si>
  <si>
    <t>RAF229*</t>
  </si>
  <si>
    <t>RAF 30</t>
  </si>
  <si>
    <t>DAGNEUX AEP</t>
  </si>
  <si>
    <t>RAF130*</t>
  </si>
  <si>
    <t>RAF130</t>
  </si>
  <si>
    <t>RAF 31</t>
  </si>
  <si>
    <t>FERNEY "Les Tattes" (Sous-traitant de GFC)</t>
  </si>
  <si>
    <t>RAF731</t>
  </si>
  <si>
    <t>RAF 32</t>
  </si>
  <si>
    <t>Démolition Hôtel Grandes Roches</t>
  </si>
  <si>
    <t>Groupt VAL TP / E.O.T.P. / SFTP</t>
  </si>
  <si>
    <t>RAF732</t>
  </si>
  <si>
    <t>F. SAVANT-ROS</t>
  </si>
  <si>
    <t>RAF 33</t>
  </si>
  <si>
    <t>RAF733</t>
  </si>
  <si>
    <t>RAF733*</t>
  </si>
  <si>
    <t>RD 13 - RD 18 Giratoire de Samognat (Moulin du Pont)</t>
  </si>
  <si>
    <t>Groupt GUINTOLI / EHTP / SIORAT Gds Tvx / NGE GC / AGILIS / GUINOT TP</t>
  </si>
  <si>
    <t>RAF234</t>
  </si>
  <si>
    <t>RAF 34</t>
  </si>
  <si>
    <t>RAF134</t>
  </si>
  <si>
    <t>RAF334</t>
  </si>
  <si>
    <t>RAF534</t>
  </si>
  <si>
    <t>???????</t>
  </si>
  <si>
    <t>RN70 - TOARC RCEA (Compte NRJ / SEP)</t>
  </si>
  <si>
    <t>RAF 35</t>
  </si>
  <si>
    <t>CCHB  Viabilisation de 3 lots sur la ZA de la Tuilerie à ARBENT</t>
  </si>
  <si>
    <t>RAF735</t>
  </si>
  <si>
    <t>RAF 36</t>
  </si>
  <si>
    <t>Accord Cadre / Entretien courant DIJON</t>
  </si>
  <si>
    <t>RAF236</t>
  </si>
  <si>
    <t>RAF236*</t>
  </si>
  <si>
    <t>RAF 37</t>
  </si>
  <si>
    <t>OYONNAX Parc de l'Oyonnalithe - Reprise étanchéité et aménagements périphériques</t>
  </si>
  <si>
    <t>Groupt VAL TP / EUROVIA Etanchéité</t>
  </si>
  <si>
    <t>RAF737</t>
  </si>
  <si>
    <t>RAF 38</t>
  </si>
  <si>
    <t>V. BACOT / P. BARRE</t>
  </si>
  <si>
    <t>STRAND COSMETIQUE à LENTILLY</t>
  </si>
  <si>
    <t>RAF238</t>
  </si>
  <si>
    <t>RAF238*</t>
  </si>
  <si>
    <t>RAF 39</t>
  </si>
  <si>
    <t>P.I.P.A. Accord Cadre Multi-atributaires VRD</t>
  </si>
  <si>
    <t>RAF239</t>
  </si>
  <si>
    <t>RAF239*</t>
  </si>
  <si>
    <t>RAF 40</t>
  </si>
  <si>
    <t>RAF140</t>
  </si>
  <si>
    <t xml:space="preserve">A.P.R.R. Accord Cadre </t>
  </si>
  <si>
    <t>Groupt GUINTOLI / EHTP / SIORAT / MOURGUES</t>
  </si>
  <si>
    <t>RAF140*</t>
  </si>
  <si>
    <t>RAF 41</t>
  </si>
  <si>
    <t>Les Balcons de SERMONAZ à RILLIEUX</t>
  </si>
  <si>
    <t>RAF241</t>
  </si>
  <si>
    <t>RAF241*</t>
  </si>
  <si>
    <t>RAF 42</t>
  </si>
  <si>
    <t>PROMOGIM ZAC de la Giraudière à BRIGNAY</t>
  </si>
  <si>
    <t>RAF242</t>
  </si>
  <si>
    <t>RAF242*</t>
  </si>
  <si>
    <t>RAF 43</t>
  </si>
  <si>
    <t>C3 Lafayette / Bonnevay</t>
  </si>
  <si>
    <t>Groupt POLEN / CHOLTON / COIRO / MDTP / EHTP</t>
  </si>
  <si>
    <t>RAF143</t>
  </si>
  <si>
    <t>RAF143*</t>
  </si>
  <si>
    <t>RAF 44</t>
  </si>
  <si>
    <t>RN57 Mise en 2x2 voies entre A36 &amp; Devecey</t>
  </si>
  <si>
    <t>Groupt GUINTOLI / EHTP / SIORAT / NGE GC</t>
  </si>
  <si>
    <t>RAF344</t>
  </si>
  <si>
    <t>RAF344*</t>
  </si>
  <si>
    <t>RAF544</t>
  </si>
  <si>
    <t>RAF 45</t>
  </si>
  <si>
    <t>ZAC des Girondins</t>
  </si>
  <si>
    <t>A. ROUBERTIES / P. BARRE</t>
  </si>
  <si>
    <t>RAG 01</t>
  </si>
  <si>
    <t>RAG201</t>
  </si>
  <si>
    <t>RAF145</t>
  </si>
  <si>
    <t>RAF145*</t>
  </si>
  <si>
    <t>RAF 46</t>
  </si>
  <si>
    <t>LEYSSARD Amélioration qualité de l'Eau Potable</t>
  </si>
  <si>
    <t>RAF746*</t>
  </si>
  <si>
    <t>RAF746</t>
  </si>
  <si>
    <t>C. BEKCI</t>
  </si>
  <si>
    <t>RAG 02</t>
  </si>
  <si>
    <t>PN11 ST PIERRE DE CHANDIEU</t>
  </si>
  <si>
    <t>Groupt NGE GC / GUINTOLI</t>
  </si>
  <si>
    <t>RAG202</t>
  </si>
  <si>
    <t>RAG502</t>
  </si>
  <si>
    <t>RAG202*</t>
  </si>
  <si>
    <t>M.DARMON &amp; B. JANISSET</t>
  </si>
  <si>
    <t>RAG 03</t>
  </si>
  <si>
    <t>Passerelle en gare de QUINCIEUX</t>
  </si>
  <si>
    <t>RAG203</t>
  </si>
  <si>
    <t>RAG203*</t>
  </si>
  <si>
    <t>RAG503</t>
  </si>
  <si>
    <t>LISTES DES AFFAIRES R.A OUVERTES sur 2016</t>
  </si>
  <si>
    <t>RAG201*</t>
  </si>
  <si>
    <t>RAG 04</t>
  </si>
  <si>
    <t>BRIGNAIS Bd des Allées Fleuries - Circulation Douce</t>
  </si>
  <si>
    <t>RAG204</t>
  </si>
  <si>
    <t>RAG204*</t>
  </si>
  <si>
    <t>RAG 05</t>
  </si>
  <si>
    <t>RAG205</t>
  </si>
  <si>
    <t>RAG205*</t>
  </si>
  <si>
    <t>RAG 06</t>
  </si>
  <si>
    <t>Parvis des Halles Paul BOCUZE à LYON 3ème</t>
  </si>
  <si>
    <t>RAG206</t>
  </si>
  <si>
    <t>RAG206*</t>
  </si>
  <si>
    <t>RAG 07</t>
  </si>
  <si>
    <t>Belfort Delle</t>
  </si>
  <si>
    <t>Groupt TSO / TSO CAT. / NGE GC / GUINTOLI</t>
  </si>
  <si>
    <t>RAG207</t>
  </si>
  <si>
    <t>RAG207*</t>
  </si>
  <si>
    <t>RAG507</t>
  </si>
  <si>
    <t>RAG 08</t>
  </si>
  <si>
    <t>BRION Plateforme ETAP (S.T. de GALLEGO)</t>
  </si>
  <si>
    <t>RAG708</t>
  </si>
  <si>
    <t>RAG 09</t>
  </si>
  <si>
    <t>RAG209</t>
  </si>
  <si>
    <t>RAG209*</t>
  </si>
  <si>
    <t>RD8 Contournement de SURY-BONSON</t>
  </si>
  <si>
    <t>RAF113</t>
  </si>
  <si>
    <t>RAF213</t>
  </si>
  <si>
    <t>RAF313</t>
  </si>
  <si>
    <t>RAG 10</t>
  </si>
  <si>
    <t>LANTENAY - Mise en séparatif &amp; Renouvellement des réseaux AEP</t>
  </si>
  <si>
    <t>RAG710</t>
  </si>
  <si>
    <t>Groupt VINCENT TP / VAL TP / SOCATRA / BRUNET TP / PETTINI</t>
  </si>
  <si>
    <t>RAG 11</t>
  </si>
  <si>
    <t>ROSA PARK ZAC LA DUCHERE</t>
  </si>
  <si>
    <t>Groupt GUINTOLI / EHTP / SIORAT / SOL CONFLUENCE</t>
  </si>
  <si>
    <t>RAG211</t>
  </si>
  <si>
    <t>RAG211*</t>
  </si>
  <si>
    <t>T. RONCHARD - B. JANISSET</t>
  </si>
  <si>
    <t>RAG 12</t>
  </si>
  <si>
    <t>ILOT FONTENAY / LYON 7 - VRD</t>
  </si>
  <si>
    <t>RAG212</t>
  </si>
  <si>
    <t>RAG212*</t>
  </si>
  <si>
    <t>RAG 13</t>
  </si>
  <si>
    <t>RAG213</t>
  </si>
  <si>
    <t>RAG213*</t>
  </si>
  <si>
    <t>Vincent BACOT / J. PEYRICAL</t>
  </si>
  <si>
    <t>RAG 14</t>
  </si>
  <si>
    <t>Groupt GUINTOLI / NAULLIN</t>
  </si>
  <si>
    <t>RAG214</t>
  </si>
  <si>
    <t>RAG214*</t>
  </si>
  <si>
    <t xml:space="preserve">PANISSIERES - Plateforme </t>
  </si>
  <si>
    <t>RAG 15</t>
  </si>
  <si>
    <t>OYONNAX Route de Dortan-Norvik</t>
  </si>
  <si>
    <t>RAG715</t>
  </si>
  <si>
    <t xml:space="preserve">Groupt GUINTOLI / EHTP </t>
  </si>
  <si>
    <t>ALSTOM- Frange Ouest VILLEURBANNE</t>
  </si>
  <si>
    <t>BRIGNAIS Résidence Les Perouses I &amp; II</t>
  </si>
  <si>
    <t>RAG 16</t>
  </si>
  <si>
    <t>ST MARTIN DU FRESNE - VRD Rue de la Chire et de Château Bruneau - Lot 2 Voirie</t>
  </si>
  <si>
    <t>RAG716</t>
  </si>
  <si>
    <t>RAG 17</t>
  </si>
  <si>
    <t>ARBENT Rue des Epinettes VRD</t>
  </si>
  <si>
    <t>RAG717</t>
  </si>
  <si>
    <t>Groupt  GUINTOLI / EHTP</t>
  </si>
  <si>
    <t>RAG 18</t>
  </si>
  <si>
    <t>RAG718</t>
  </si>
  <si>
    <r>
      <t xml:space="preserve">NANTUA "Ancien Hôpital" </t>
    </r>
    <r>
      <rPr>
        <b/>
        <sz val="11"/>
        <rFont val="Arial"/>
        <family val="2"/>
      </rPr>
      <t>Restructuration EHPAD Lot01 Terrassement VRD Espaces Verts</t>
    </r>
  </si>
  <si>
    <t>RAG 19</t>
  </si>
  <si>
    <t>BELLEGARDE s/ Valserine - Percée Hydraulique</t>
  </si>
  <si>
    <t>Groupt VAL TP / E.H.T.P. / FAMY</t>
  </si>
  <si>
    <t>RAG119</t>
  </si>
  <si>
    <t>RAG119*</t>
  </si>
  <si>
    <t>RAG719</t>
  </si>
  <si>
    <t>C. FAYEULE</t>
  </si>
  <si>
    <t>RAG 20</t>
  </si>
  <si>
    <t>ZAC LA DUCHERE Modif Accès au parking du plateau : Lot STRUCTURE</t>
  </si>
  <si>
    <t>RAG520</t>
  </si>
  <si>
    <t>RAG520*</t>
  </si>
  <si>
    <t>ZAC LA DUCHERE Modif Accès au parking du plateau : Lot STRUCTURE (COMPTE PRORATA)</t>
  </si>
  <si>
    <t>RAG 21</t>
  </si>
  <si>
    <t>RAG521*</t>
  </si>
  <si>
    <t>RAG521</t>
  </si>
  <si>
    <t>M. ALARCON</t>
  </si>
  <si>
    <t>RAG 22</t>
  </si>
  <si>
    <t xml:space="preserve">A42 </t>
  </si>
  <si>
    <t>RAG322*</t>
  </si>
  <si>
    <t>RAG322</t>
  </si>
  <si>
    <t>RAG 23</t>
  </si>
  <si>
    <t>ALDI Réfection Parking &amp; pose fourreaux</t>
  </si>
  <si>
    <t>RAG723</t>
  </si>
  <si>
    <t>RAG 24</t>
  </si>
  <si>
    <t>DIVERS BOURGOGNE FRANCHE-COMTE</t>
  </si>
  <si>
    <t>RAG 25</t>
  </si>
  <si>
    <t>MATAFELON - GRANGES Réparations fuites d'eau / Réseaux</t>
  </si>
  <si>
    <t>RAG725</t>
  </si>
  <si>
    <t>RAG224</t>
  </si>
  <si>
    <t>RAG224*</t>
  </si>
  <si>
    <t>RAG 26</t>
  </si>
  <si>
    <t>RD498 ST MARCELLIN Chemin de Balet</t>
  </si>
  <si>
    <t>RAG226</t>
  </si>
  <si>
    <t>RAG226*</t>
  </si>
  <si>
    <t>Groupt SIORAT / RMF</t>
  </si>
  <si>
    <t>RAG 27</t>
  </si>
  <si>
    <t>LIDL Création magasin à CHATILLON en Michaille</t>
  </si>
  <si>
    <t>RAG727</t>
  </si>
  <si>
    <t>RAG 28</t>
  </si>
  <si>
    <t>SITA VAIVRE Tvx Prépa. Phase 1 &amp; 2 - Lot 1</t>
  </si>
  <si>
    <t>Groupt GUINTOLI / PENNEQUIN</t>
  </si>
  <si>
    <t>RAG228</t>
  </si>
  <si>
    <t>RAG228*</t>
  </si>
  <si>
    <t>E. TROUDE</t>
  </si>
  <si>
    <t>RAG727*</t>
  </si>
  <si>
    <t>RAG718*</t>
  </si>
  <si>
    <t>RAG 29</t>
  </si>
  <si>
    <t>Mise en accessibilité des arrêts de cars (CG01) Lot n° 1 - Secteur Est</t>
  </si>
  <si>
    <t>RAG729</t>
  </si>
  <si>
    <t>RAG 30</t>
  </si>
  <si>
    <t>Mise en accessibilité des arrêts de cars (CG01) Lot n° 2 - Secteur Centre</t>
  </si>
  <si>
    <t>RAG730</t>
  </si>
  <si>
    <t>RAG 31</t>
  </si>
  <si>
    <t>RAG231</t>
  </si>
  <si>
    <t>RAG231*</t>
  </si>
  <si>
    <t>RAG 32</t>
  </si>
  <si>
    <t>Tvx / Centrale Nucléaire du Bugey</t>
  </si>
  <si>
    <t>Groupt GUINTOLI / EHTP / NGE GC</t>
  </si>
  <si>
    <t>RAG232</t>
  </si>
  <si>
    <t>RAG232*</t>
  </si>
  <si>
    <t>RAG532*</t>
  </si>
  <si>
    <t>RAG 33</t>
  </si>
  <si>
    <t>RAG733</t>
  </si>
  <si>
    <t>RAG 34</t>
  </si>
  <si>
    <t>RAG 35</t>
  </si>
  <si>
    <t>CERN Fibre Optique</t>
  </si>
  <si>
    <t>RAG734</t>
  </si>
  <si>
    <t>RAG735</t>
  </si>
  <si>
    <t>RAG 36</t>
  </si>
  <si>
    <t>RAG236</t>
  </si>
  <si>
    <t>RAG236*</t>
  </si>
  <si>
    <t>Terrain des Sœurs</t>
  </si>
  <si>
    <t>RAG237</t>
  </si>
  <si>
    <t>RAG237*</t>
  </si>
  <si>
    <t>RAG 37</t>
  </si>
  <si>
    <t>RD58 POUILLY LES FEURS Réparation chaussée &amp; accotements</t>
  </si>
  <si>
    <t>SEP???</t>
  </si>
  <si>
    <t>Groupt RAZEL / GUINTOLI / COIRO</t>
  </si>
  <si>
    <t>C3 (Compte NRJ)</t>
  </si>
  <si>
    <t>SEP C3 (RAZEL Gérant)</t>
  </si>
  <si>
    <t>OYONNAX Parc René NICOD</t>
  </si>
  <si>
    <t>RAG 38</t>
  </si>
  <si>
    <t>VERSONNEX Collecteur le long de la Lilette</t>
  </si>
  <si>
    <t>Groupt REHACANA / VAL TP</t>
  </si>
  <si>
    <t>RAG738</t>
  </si>
  <si>
    <t>RAG 39</t>
  </si>
  <si>
    <t>PAE Intercommunal de VOUVRAY</t>
  </si>
  <si>
    <t>RAG739</t>
  </si>
  <si>
    <t>CERN Construction Bâtiment 773 (DIMENSIONE)</t>
  </si>
  <si>
    <t>RAG 40</t>
  </si>
  <si>
    <t>RAG740</t>
  </si>
  <si>
    <t>RAG 41</t>
  </si>
  <si>
    <t>QUETIGNY Réseau de Chaleur Urbain</t>
  </si>
  <si>
    <t>RAG241</t>
  </si>
  <si>
    <t>RAG241*</t>
  </si>
  <si>
    <t>GUINTOLI (ST d'ISO PLUS)</t>
  </si>
  <si>
    <t>RAG 42</t>
  </si>
  <si>
    <t>Grappe de BAIGNEUX Les Juifs</t>
  </si>
  <si>
    <t>RAG242</t>
  </si>
  <si>
    <t>RAG242*</t>
  </si>
  <si>
    <t>RAG 43</t>
  </si>
  <si>
    <t>Groupt RMF / SIORAT</t>
  </si>
  <si>
    <t>RAG343*</t>
  </si>
  <si>
    <t>RAG343</t>
  </si>
  <si>
    <t>F. BONNET</t>
  </si>
  <si>
    <t>A432 Renouvellement chaussées de Pusignan à St Laurent de Mure</t>
  </si>
  <si>
    <t>SAINT-CLAUDE Renouvellement conduite Eau Potable / Ranchette et au Cret Girod</t>
  </si>
  <si>
    <t>RAG 44</t>
  </si>
  <si>
    <t>MAISSIAT Réseaux EP &amp; BONAZ Réseaux Humides</t>
  </si>
  <si>
    <t xml:space="preserve"> THOIRY Aménagements de trottoirs et de cheminements piétons sécurisés</t>
  </si>
  <si>
    <t>Groupt VAL TP / BALLAND</t>
  </si>
  <si>
    <t>RAG 45</t>
  </si>
  <si>
    <t>RAG744</t>
  </si>
  <si>
    <t>RAG745</t>
  </si>
  <si>
    <t>RAG 46</t>
  </si>
  <si>
    <t>LYON 2 Place de la République / Rue Carnot - Aménagement de Voirie</t>
  </si>
  <si>
    <t>RAG246</t>
  </si>
  <si>
    <t>RAG246*</t>
  </si>
  <si>
    <t>RAE748*</t>
  </si>
  <si>
    <t>RAG247</t>
  </si>
  <si>
    <t>RAG247*</t>
  </si>
  <si>
    <t>RAG 47</t>
  </si>
  <si>
    <t>RAG 48</t>
  </si>
  <si>
    <t>RAG748</t>
  </si>
  <si>
    <t xml:space="preserve">SGAMI Sud Est - Réfection des réseaux EU/EP/EV du commissariat d’Oyonnax </t>
  </si>
  <si>
    <t>RAG 49</t>
  </si>
  <si>
    <t>RAG249</t>
  </si>
  <si>
    <t>RAG249*</t>
  </si>
  <si>
    <t>SCI FOREZ Logistique - Extension plateforme logistique</t>
  </si>
  <si>
    <t>VENISSIEUX Requalification de la Rue de Glunière</t>
  </si>
  <si>
    <t>RAG 50</t>
  </si>
  <si>
    <t>Grappe de SAINT JEAN de Losne</t>
  </si>
  <si>
    <t>RAG250</t>
  </si>
  <si>
    <t>RAG250*</t>
  </si>
  <si>
    <t>RAG 51</t>
  </si>
  <si>
    <t>MACON Création d’un complexe sportif sur le site de la Grisière</t>
  </si>
  <si>
    <t>Groupt GUINOT / GUINTOLI / EHTP</t>
  </si>
  <si>
    <t>RAG251</t>
  </si>
  <si>
    <t>RAG251*</t>
  </si>
  <si>
    <t>RAG 52</t>
  </si>
  <si>
    <t>T6 Travaux de Préparation</t>
  </si>
  <si>
    <t>Groupt GUINTOLI / MDTP / COIRO TP</t>
  </si>
  <si>
    <t>RAG252</t>
  </si>
  <si>
    <t>RAG252*</t>
  </si>
  <si>
    <t>RAG 53</t>
  </si>
  <si>
    <t>T6 Lot 1 EAP</t>
  </si>
  <si>
    <t>RAG153</t>
  </si>
  <si>
    <t>RAG153*</t>
  </si>
  <si>
    <t>RAG 54</t>
  </si>
  <si>
    <t>Divers LOIRE</t>
  </si>
  <si>
    <t>RAG254*</t>
  </si>
  <si>
    <t>RAG254</t>
  </si>
  <si>
    <t>RAG 55</t>
  </si>
  <si>
    <t>Groupt MGB TP / GUINTOLI / RAZEL BEC</t>
  </si>
  <si>
    <t>RAG255</t>
  </si>
  <si>
    <t>RAG255*</t>
  </si>
  <si>
    <t>Réfection de tranchées LYON Lot 1</t>
  </si>
  <si>
    <t>Réfection de tranchées LYON Lot 7</t>
  </si>
  <si>
    <t>RAG256</t>
  </si>
  <si>
    <t>RAG256*</t>
  </si>
  <si>
    <t>RAG 56</t>
  </si>
  <si>
    <t>RAG 57</t>
  </si>
  <si>
    <t>RAG257</t>
  </si>
  <si>
    <t>RAG257*</t>
  </si>
  <si>
    <t>RD16 "Allézieux" à CHENEREILLES</t>
  </si>
  <si>
    <t>RAG 58</t>
  </si>
  <si>
    <t>BIOMERIEUX Batiment 64</t>
  </si>
  <si>
    <t>RAG258</t>
  </si>
  <si>
    <t>RAG258*</t>
  </si>
  <si>
    <t>RAH 01</t>
  </si>
  <si>
    <t>RAH201</t>
  </si>
  <si>
    <t>RAH201*</t>
  </si>
  <si>
    <t>LISTES DES AFFAIRES R.A OUVERTES sur 2017</t>
  </si>
  <si>
    <t>RAH 02</t>
  </si>
  <si>
    <t>Marché d'entretien CHALON</t>
  </si>
  <si>
    <t>Groupt DBTP / GUINOT / EHTP</t>
  </si>
  <si>
    <t>RAH102</t>
  </si>
  <si>
    <t>C. PUSNIAK</t>
  </si>
  <si>
    <t>RAH102*</t>
  </si>
  <si>
    <t>RAH 03</t>
  </si>
  <si>
    <t>LIDL Firminy Lot 2 VRD</t>
  </si>
  <si>
    <t>RAH203*</t>
  </si>
  <si>
    <t>RAH203</t>
  </si>
  <si>
    <t>RAH 04</t>
  </si>
  <si>
    <t>ZAC VAISE Nord - Finition Abords Lot 10</t>
  </si>
  <si>
    <t>RAH204</t>
  </si>
  <si>
    <t>RAH204*</t>
  </si>
  <si>
    <t>Intégré au RAH201</t>
  </si>
  <si>
    <t>Groupt CHOLTON / COIRO / MDTP / SEEA / EHTP</t>
  </si>
  <si>
    <t>RAH 05</t>
  </si>
  <si>
    <t>RAH205</t>
  </si>
  <si>
    <t>RAH205*</t>
  </si>
  <si>
    <t>M. DOS SANTOS &amp; B. JANISSET</t>
  </si>
  <si>
    <t>RD29 COLOMBIER - SAUGNIEU</t>
  </si>
  <si>
    <t>RAH 06</t>
  </si>
  <si>
    <t>RAH706</t>
  </si>
  <si>
    <t>C. CLARET</t>
  </si>
  <si>
    <t>Réaménagt dépôt &amp; parking VAL TP</t>
  </si>
  <si>
    <t>RAH 07</t>
  </si>
  <si>
    <t>Rénovation Impasse des Fresnes et des Charmilles à OYONNAX</t>
  </si>
  <si>
    <t>Groupt EUROVIA / VAL TP</t>
  </si>
  <si>
    <t>RAH707</t>
  </si>
  <si>
    <t>RAH 08</t>
  </si>
  <si>
    <t>Le Crédo à BELLEGARDE s/ Valserine</t>
  </si>
  <si>
    <t>RAH708</t>
  </si>
  <si>
    <t>RAH 09</t>
  </si>
  <si>
    <t>RAH209</t>
  </si>
  <si>
    <t>RAH209*</t>
  </si>
  <si>
    <t>RAH 10</t>
  </si>
  <si>
    <t>OYONNAX Croix Rousse - Rue &amp; Place Voltaire / Aménagement espaces publics</t>
  </si>
  <si>
    <t>Groupt VAL TP / BALLAND / SALENDRE</t>
  </si>
  <si>
    <t>RAH710</t>
  </si>
  <si>
    <t>RAH 11</t>
  </si>
  <si>
    <t>BRIGNAIS - Les Pérouses</t>
  </si>
  <si>
    <t>RAH211</t>
  </si>
  <si>
    <t>RAH211*</t>
  </si>
  <si>
    <t>RAH 12</t>
  </si>
  <si>
    <t>MACON Réseau de Chaleur Urbain</t>
  </si>
  <si>
    <t>Groupt GUINTOLI / ??????????????</t>
  </si>
  <si>
    <t>RAH212</t>
  </si>
  <si>
    <t>RAH212*</t>
  </si>
  <si>
    <t>RAH 13</t>
  </si>
  <si>
    <t>RD8 Déviation de Sury</t>
  </si>
  <si>
    <t>RAH213</t>
  </si>
  <si>
    <t>RAH213*</t>
  </si>
  <si>
    <t>RAH 14</t>
  </si>
  <si>
    <t>BELLIGNAT Plateforme BARBAULT</t>
  </si>
  <si>
    <t>RAH314</t>
  </si>
  <si>
    <t>RAH314*</t>
  </si>
  <si>
    <t>S. WEHRLIN</t>
  </si>
  <si>
    <t>RAH 15</t>
  </si>
  <si>
    <t>RAH215</t>
  </si>
  <si>
    <t>P. MUNOS / P. BARRE</t>
  </si>
  <si>
    <t>RAH215*</t>
  </si>
  <si>
    <t>RAH 16</t>
  </si>
  <si>
    <t>OYONNAX - Parvis de l'Hotel de Ville</t>
  </si>
  <si>
    <t>Groupt VAL TP / SALENDRE / BALLAND</t>
  </si>
  <si>
    <t>RAH 17</t>
  </si>
  <si>
    <t>NOVAP à BELLIGNAT</t>
  </si>
  <si>
    <t>Groupt VAL TP / EUROVIA / EOTP</t>
  </si>
  <si>
    <t>RAH716</t>
  </si>
  <si>
    <t>RAH717</t>
  </si>
  <si>
    <t>RAH 18</t>
  </si>
  <si>
    <t>CCHB Mise aux normes des Arrets de bus</t>
  </si>
  <si>
    <t>RAH718</t>
  </si>
  <si>
    <t>RAH 19</t>
  </si>
  <si>
    <t>SIORAT Chantiers divers / Particuliers</t>
  </si>
  <si>
    <t>RAH319</t>
  </si>
  <si>
    <t>RAH319*</t>
  </si>
  <si>
    <t>D. MARQUES</t>
  </si>
  <si>
    <t>RAH 20</t>
  </si>
  <si>
    <t>RAH720</t>
  </si>
  <si>
    <t>RAH720*</t>
  </si>
  <si>
    <t>Groupt EUROVIA Alpes / VAL TP</t>
  </si>
  <si>
    <t>RAH221</t>
  </si>
  <si>
    <t>RAH221*</t>
  </si>
  <si>
    <t>F. DESPIERRES</t>
  </si>
  <si>
    <t>RAH 21</t>
  </si>
  <si>
    <t>RAH 22</t>
  </si>
  <si>
    <t>Divers Chantiers WEHRLIN</t>
  </si>
  <si>
    <t>RAH722*</t>
  </si>
  <si>
    <t>Groupt GUINTOLI / EHTP / SIORAT / SOLS CONFLUENCE</t>
  </si>
  <si>
    <t>RAH 23</t>
  </si>
  <si>
    <t>Accès GTS vers nouvelle Parcelle</t>
  </si>
  <si>
    <t>M. DOS SANTOS</t>
  </si>
  <si>
    <t>RAH722</t>
  </si>
  <si>
    <t>RAH223</t>
  </si>
  <si>
    <t>RAH223*</t>
  </si>
  <si>
    <t>Groupt EHTP / SNTP</t>
  </si>
  <si>
    <t>RAH124</t>
  </si>
  <si>
    <t>RAH124*</t>
  </si>
  <si>
    <t>RAH 24</t>
  </si>
  <si>
    <t>VAUX LES ST CLAUDE Assainissement</t>
  </si>
  <si>
    <t>RAH 25</t>
  </si>
  <si>
    <t>Grave émulsion / Département Côté d'Or</t>
  </si>
  <si>
    <t>Groupt COLAS / SIORAT</t>
  </si>
  <si>
    <t>RAH325*</t>
  </si>
  <si>
    <t>RAH325</t>
  </si>
  <si>
    <t>RAH 26</t>
  </si>
  <si>
    <t>RAH226*</t>
  </si>
  <si>
    <t>RAH226</t>
  </si>
  <si>
    <t>MECATEAM CLUSTER à Montceau Les Mines</t>
  </si>
  <si>
    <t>Groupt TSO / OFFROY / EIFFAGE RAIL / GUINTOLI / GTS</t>
  </si>
  <si>
    <t xml:space="preserve"> </t>
  </si>
  <si>
    <t>RAE751*</t>
  </si>
  <si>
    <t>Carrefour RD35 Accès CERN à PREVESSIN</t>
  </si>
  <si>
    <t>RAH 27</t>
  </si>
  <si>
    <t>Groupt ESPACIO Ingenierie / GUINTOLI / REEL / SOLS CONFLUENCE / SOLS Vallée du Rhône / DK Construction</t>
  </si>
  <si>
    <t>RAH227</t>
  </si>
  <si>
    <t>RAH227*</t>
  </si>
  <si>
    <t>T. MULLER / B. JANISSET</t>
  </si>
  <si>
    <t>RAH 28</t>
  </si>
  <si>
    <t>B.H.N.S. GEX - FERNEY</t>
  </si>
  <si>
    <t>Groupt GUINTOLI / SIORAT / EIFFAGE RCE</t>
  </si>
  <si>
    <t>RAH228</t>
  </si>
  <si>
    <t>RAH228*</t>
  </si>
  <si>
    <t>RAH 29</t>
  </si>
  <si>
    <t>Parc d'Activité de BEAUREGARD Lot 1</t>
  </si>
  <si>
    <t>Groupt EUROVIA / ROUGEOT / EHTP</t>
  </si>
  <si>
    <t>RAH129</t>
  </si>
  <si>
    <t>RAH129*</t>
  </si>
  <si>
    <t>ASF mise en accessibilité PMR des aires d'autoroutes A7, A46, A72 &amp; A89</t>
  </si>
  <si>
    <t>RAH 30</t>
  </si>
  <si>
    <t>Marché à BDC Ville de BELLEGARDE - Lot 2 Réseaux Humides</t>
  </si>
  <si>
    <t>Groupt FAMY / EHTP</t>
  </si>
  <si>
    <t>RAH130*</t>
  </si>
  <si>
    <t>RAH130</t>
  </si>
  <si>
    <t>G. BECKER / C. FAYEULLE</t>
  </si>
  <si>
    <t>RAH 31</t>
  </si>
  <si>
    <t>Marché à BDC Ville de BELLEGARDE - Lot 1 Réseaux Secs-Bordures-Enrobés</t>
  </si>
  <si>
    <t>Groupt EIFFAGE / SIORAT</t>
  </si>
  <si>
    <t>RAH331*</t>
  </si>
  <si>
    <t>RAH331</t>
  </si>
  <si>
    <t>RAH 32</t>
  </si>
  <si>
    <t>Accord Cadre / Déploiement réseaux publics FTTX Lot5 Louhannais - Est Chalonnais</t>
  </si>
  <si>
    <t>Groupt EHTP / NGE INFRANET / GUINOT TP</t>
  </si>
  <si>
    <t>RAH132*</t>
  </si>
  <si>
    <t>RAH132</t>
  </si>
  <si>
    <t>RAH 33</t>
  </si>
  <si>
    <t>CHEVIGNY St Sauveur - Aménagement des Voiries</t>
  </si>
  <si>
    <t>RAH233</t>
  </si>
  <si>
    <t>RAH233*</t>
  </si>
  <si>
    <t>RAH 34</t>
  </si>
  <si>
    <t>ST PAUL en JAREZ - Bld Noel Landry</t>
  </si>
  <si>
    <t>Groupt SIORAT / GUINTOLI</t>
  </si>
  <si>
    <t>RAH334</t>
  </si>
  <si>
    <t>RAH334*</t>
  </si>
  <si>
    <t>RAH 35</t>
  </si>
  <si>
    <t>ST CHAMOND - Rue de la Verronière</t>
  </si>
  <si>
    <t>RAH335*</t>
  </si>
  <si>
    <t>RAH335</t>
  </si>
  <si>
    <t>RAH736</t>
  </si>
  <si>
    <t>CEGELEC Tranchée pour parc éolien des Monts d'Ain</t>
  </si>
  <si>
    <t>RAH736*</t>
  </si>
  <si>
    <t>RAH 36</t>
  </si>
  <si>
    <t>RAH 37</t>
  </si>
  <si>
    <t>RAH737</t>
  </si>
  <si>
    <t>RAH737*</t>
  </si>
  <si>
    <t>AXIANS - Tranchées pour fibre  à DIVONNE</t>
  </si>
  <si>
    <t>CHALON SUR SAONE</t>
  </si>
  <si>
    <t>RAH 38</t>
  </si>
  <si>
    <t>GEX-Aménagement Giratoire au carrefour des RD984c &amp; RD15c</t>
  </si>
  <si>
    <t>Groupt GUINTOLI / EIFFAGE / SIORAT</t>
  </si>
  <si>
    <t>RAH738</t>
  </si>
  <si>
    <t>RAH738*</t>
  </si>
  <si>
    <t>RAH 39</t>
  </si>
  <si>
    <t>SITA DRAMBON Centre de stockage - Ecopôle des Grands Moulins</t>
  </si>
  <si>
    <t>RAH239</t>
  </si>
  <si>
    <t>RAH239*</t>
  </si>
  <si>
    <t>RAH 40</t>
  </si>
  <si>
    <t>RN88 Contournt du PUY - Confortement talus Ours - Mons Nord</t>
  </si>
  <si>
    <t>Groupt GUINTOLI / DAQUIN</t>
  </si>
  <si>
    <t>RAH240</t>
  </si>
  <si>
    <t>RAH240*</t>
  </si>
  <si>
    <t>RAH 41</t>
  </si>
  <si>
    <t>EDF Centrale du Bugey - Démentellement Bâtiment TRA</t>
  </si>
  <si>
    <t>RAH241</t>
  </si>
  <si>
    <t>RAH241*</t>
  </si>
  <si>
    <t>RAH 42</t>
  </si>
  <si>
    <t>RAH 43</t>
  </si>
  <si>
    <t>RD 147 Suppression du PN11 à St Pierre - Lot n° 1 Terrassement - Assainissement</t>
  </si>
  <si>
    <t>RD 147 Suppression du PN11 à St Pierre - Lot n° 2 Chaussées - Equipements</t>
  </si>
  <si>
    <t>RAH242</t>
  </si>
  <si>
    <t>RAH242*</t>
  </si>
  <si>
    <t>RAH343</t>
  </si>
  <si>
    <t>RAH343*</t>
  </si>
  <si>
    <t>RAH 44</t>
  </si>
  <si>
    <t>RAH244*</t>
  </si>
  <si>
    <t>RAH244</t>
  </si>
  <si>
    <t>RAH544</t>
  </si>
  <si>
    <t>G. DAUTHEVILLE / N. STUDER</t>
  </si>
  <si>
    <t>Reconstruction du pont de Chamblay sur la Loue lot n° 1</t>
  </si>
  <si>
    <t>Groupt NGE GC / GUINTOLI / LE DUC / CICERON Pascal / OMBA</t>
  </si>
  <si>
    <t>RAH 45</t>
  </si>
  <si>
    <t>Démolition Caissons / rue Servient à LYON 3ème</t>
  </si>
  <si>
    <t>Groupt GUINTOLI / NGE GC / GTS</t>
  </si>
  <si>
    <t>RAH245</t>
  </si>
  <si>
    <t>RAH245*</t>
  </si>
  <si>
    <t>N. MORIZON / B. JANISSET</t>
  </si>
  <si>
    <t>P. MUNOS (P. BARRE) / C. BOURDON</t>
  </si>
  <si>
    <r>
      <t xml:space="preserve">Tvx RD de l'Ain - Lot 5 / Agence Bresse - Revermont </t>
    </r>
    <r>
      <rPr>
        <b/>
        <i/>
        <u/>
        <sz val="8"/>
        <rFont val="Arial"/>
        <family val="2"/>
      </rPr>
      <t>(remplace 57AB13)</t>
    </r>
  </si>
  <si>
    <t>ACTON-MORIN à L'Horme</t>
  </si>
  <si>
    <t>RAH545</t>
  </si>
  <si>
    <t>RAFGRE</t>
  </si>
  <si>
    <t>FRAIS DE REGION Auvergne - Rhône- Saone</t>
  </si>
  <si>
    <t>D. GONCALVES</t>
  </si>
  <si>
    <t>RAABFC</t>
  </si>
  <si>
    <t>FRAIS d'AGENCE / Bourgogne Franche-Comté</t>
  </si>
  <si>
    <t>RAABFC*</t>
  </si>
  <si>
    <t>RAALYR</t>
  </si>
  <si>
    <t xml:space="preserve">FRAIS d'AGENCE / LYON - Rhône </t>
  </si>
  <si>
    <t>RAALYR*</t>
  </si>
  <si>
    <t>RAALHL</t>
  </si>
  <si>
    <t>FRAIS d'AGENCE / Loire - Haute-Loire</t>
  </si>
  <si>
    <t>RAALHL*</t>
  </si>
  <si>
    <t>RAAAIN</t>
  </si>
  <si>
    <t>FRAIS d'AGENCE / AIN</t>
  </si>
  <si>
    <t>RAAAIN*</t>
  </si>
  <si>
    <t>L. BELIN</t>
  </si>
  <si>
    <t>RAAAUV</t>
  </si>
  <si>
    <t>FRAIS d'AGENCE / AUVERGNE</t>
  </si>
  <si>
    <t>RAAAUV*</t>
  </si>
  <si>
    <t>B. MARION</t>
  </si>
  <si>
    <t>à créer par E. CHAPELLIER / Base ex MC</t>
  </si>
  <si>
    <t>RAGTOU</t>
  </si>
  <si>
    <t>FRAIS d'AGENCE / Grands Travaux EST</t>
  </si>
  <si>
    <t>RAGTOU*</t>
  </si>
  <si>
    <t>RAGTES</t>
  </si>
  <si>
    <t>RAGTES*</t>
  </si>
  <si>
    <t>FRAIS d'AGENCE / Grands Travaux OUEST</t>
  </si>
  <si>
    <t>E. CHAPELLIER</t>
  </si>
  <si>
    <t>RANGES</t>
  </si>
  <si>
    <t>FRAIS d'AGENCE Génie-Civil EST</t>
  </si>
  <si>
    <t>RANGES*</t>
  </si>
  <si>
    <t>RANGOU</t>
  </si>
  <si>
    <t>FRAIS d'AGENCE Génie-Civil OUEST</t>
  </si>
  <si>
    <t>RANGOU*</t>
  </si>
  <si>
    <t>RAEHES</t>
  </si>
  <si>
    <t>FRAIS d'AGENCE Canalisation EST</t>
  </si>
  <si>
    <t>RAEHES*</t>
  </si>
  <si>
    <t>RAEHOU</t>
  </si>
  <si>
    <t>FRAIS d'AGENCE Canalisation OUEST</t>
  </si>
  <si>
    <t>RAEHOU*</t>
  </si>
  <si>
    <t>P. PRECHONNET</t>
  </si>
  <si>
    <t>LYFSAU</t>
  </si>
  <si>
    <t>FRAIS d'AGENCE TP LYAUDET</t>
  </si>
  <si>
    <t>TP LYAUDET</t>
  </si>
  <si>
    <t>LYFSAU*</t>
  </si>
  <si>
    <t>M. MANUBY</t>
  </si>
  <si>
    <t>FRAIS GENERAUX</t>
  </si>
  <si>
    <t>RAI00</t>
  </si>
  <si>
    <t>SALZUIT RN102 Suppression passage à niveau 89</t>
  </si>
  <si>
    <t>RAI00D</t>
  </si>
  <si>
    <t>RAI00D*</t>
  </si>
  <si>
    <t>RAI00H</t>
  </si>
  <si>
    <t>B. JANISSET / C. BOURDON</t>
  </si>
  <si>
    <t>Loire &amp; Haute LOIRE + GC EST</t>
  </si>
  <si>
    <t>RAI01</t>
  </si>
  <si>
    <t>DIVERS LYON RHÔNE</t>
  </si>
  <si>
    <t>P. MUNOS</t>
  </si>
  <si>
    <t>RAI02</t>
  </si>
  <si>
    <t>DIVERS CHANTIER BEKCI</t>
  </si>
  <si>
    <t>RAI01C</t>
  </si>
  <si>
    <t>RAI01C*</t>
  </si>
  <si>
    <t>RAI02A</t>
  </si>
  <si>
    <t>RAI02A*</t>
  </si>
  <si>
    <t>LYON Rhône</t>
  </si>
  <si>
    <t>AIN</t>
  </si>
  <si>
    <t>RAI03</t>
  </si>
  <si>
    <t>RAI03C</t>
  </si>
  <si>
    <t>RAI03C*</t>
  </si>
  <si>
    <t>Groupt SIORAT / M.G.B. TP / R.M.F. TP</t>
  </si>
  <si>
    <t>Marché à BDC Enrobés LYON - Lot 6</t>
  </si>
  <si>
    <t>RAI04</t>
  </si>
  <si>
    <t>CHARLY Voie nouvelle Louis VIGNON Lot1 VRD</t>
  </si>
  <si>
    <t>RAI04C*</t>
  </si>
  <si>
    <t>RAI04C</t>
  </si>
  <si>
    <t>RAI05</t>
  </si>
  <si>
    <t>LOIRE Divers SIORAT</t>
  </si>
  <si>
    <t>RAI05D</t>
  </si>
  <si>
    <t>RAI05D*</t>
  </si>
  <si>
    <t>RAI06</t>
  </si>
  <si>
    <t>RAI06D</t>
  </si>
  <si>
    <t>RAI06D*</t>
  </si>
  <si>
    <t>RD8 Contournement SURY BONSON</t>
  </si>
  <si>
    <t>RAI07</t>
  </si>
  <si>
    <t>Démolition habitation à VOLVIC</t>
  </si>
  <si>
    <t>RAI07E</t>
  </si>
  <si>
    <t>RAI07E*</t>
  </si>
  <si>
    <t>P. MALEYRAT</t>
  </si>
  <si>
    <t>LYAUDET</t>
  </si>
  <si>
    <t>RAI08</t>
  </si>
  <si>
    <t>SIAEP DE CLIDANE CHAVANON - Programme de travaux d’alimentation en eau potable 2017</t>
  </si>
  <si>
    <t>Groupt LEMONNIER / TP LYAUDET</t>
  </si>
  <si>
    <t>RAI08L</t>
  </si>
  <si>
    <t>RAI08L*</t>
  </si>
  <si>
    <t>RAI09C</t>
  </si>
  <si>
    <t>RAI09</t>
  </si>
  <si>
    <t>Secteur Mansart-Farrère à St Priest - Lot 2</t>
  </si>
  <si>
    <t>Groupt EIFFAGE / GUINTOLI</t>
  </si>
  <si>
    <t>RAI09C*</t>
  </si>
  <si>
    <t>RAI11A</t>
  </si>
  <si>
    <t>OYONNAX Aménagement Parc René Nicod (Partie Centrale)</t>
  </si>
  <si>
    <t>RAI11A*</t>
  </si>
  <si>
    <t>RAI12A</t>
  </si>
  <si>
    <t>Chantiers Divers F. DESPIERRES</t>
  </si>
  <si>
    <t>RAI12A*</t>
  </si>
  <si>
    <t>RAI13E</t>
  </si>
  <si>
    <t>RAI13E*</t>
  </si>
  <si>
    <t xml:space="preserve">Val'Limagnes.coop - Création plateforme en enrobé </t>
  </si>
  <si>
    <t>RAI14D</t>
  </si>
  <si>
    <t>RAI10</t>
  </si>
  <si>
    <t>RAI11</t>
  </si>
  <si>
    <t>RAI12</t>
  </si>
  <si>
    <t>RAI13</t>
  </si>
  <si>
    <t>RAI14D*</t>
  </si>
  <si>
    <t>D. MARQUES / B. JANNISSET</t>
  </si>
  <si>
    <t>Les Terrasses du Dorlay</t>
  </si>
  <si>
    <t>Damien AUZELLE</t>
  </si>
  <si>
    <t>STEP AUZANCES</t>
  </si>
  <si>
    <t>STEP ST FLOUR</t>
  </si>
  <si>
    <t>RAI15I</t>
  </si>
  <si>
    <t>RAI16I</t>
  </si>
  <si>
    <t>RAI15I*</t>
  </si>
  <si>
    <t>RAI16I*</t>
  </si>
  <si>
    <t xml:space="preserve">NGE GC </t>
  </si>
  <si>
    <t>Groupt SAUR / NGE GC</t>
  </si>
  <si>
    <t>RAI17B</t>
  </si>
  <si>
    <t>RAI18B</t>
  </si>
  <si>
    <t>RN57 entre Echangeur Sud &amp; Echangeur RD1</t>
  </si>
  <si>
    <t>RAI17B*</t>
  </si>
  <si>
    <t>RAI18B*</t>
  </si>
  <si>
    <t>Groupt GUINTOLI / BALLAND Paysages / VERDET</t>
  </si>
  <si>
    <t>RAI19B</t>
  </si>
  <si>
    <t>PRIORIBUS Lot 2 - Secteur EST</t>
  </si>
  <si>
    <t>Groupt GUINTOLI / EUROVIA</t>
  </si>
  <si>
    <t>RAI19B*</t>
  </si>
  <si>
    <t>RAI20E</t>
  </si>
  <si>
    <t>RD6 BELLERIVE / ALLIER</t>
  </si>
  <si>
    <t>RAI21E</t>
  </si>
  <si>
    <t>Divers chantiers SIORAT Allier</t>
  </si>
  <si>
    <t>RAI20E*</t>
  </si>
  <si>
    <t>RAI21E*</t>
  </si>
  <si>
    <t>RAI22D</t>
  </si>
  <si>
    <t>TRAM DE SAINT-ETIENNE</t>
  </si>
  <si>
    <t>RAI22D*</t>
  </si>
  <si>
    <t>RAI23E</t>
  </si>
  <si>
    <t>ST LEGER SUR VOUZANCE - Voiries 2018</t>
  </si>
  <si>
    <t>RAI23E*</t>
  </si>
  <si>
    <t>D. AUZELLE</t>
  </si>
  <si>
    <t>RAI24L</t>
  </si>
  <si>
    <t>MAC RD Puy de Dôme 2018-2021 - Lot 5</t>
  </si>
  <si>
    <t>Groupt COUDERT/ TP LYAUDET / RMCL</t>
  </si>
  <si>
    <t>RAI24L*</t>
  </si>
  <si>
    <t>RAI25E</t>
  </si>
  <si>
    <t>MAPA Mise aux normes des déchetteries de Blanzat et Gravanches</t>
  </si>
  <si>
    <t>RAI25E*</t>
  </si>
  <si>
    <t>RAI22H</t>
  </si>
  <si>
    <t>B. JANISSET / R. GASIGLIA</t>
  </si>
  <si>
    <t>NGE GC (STPD de GUINTOLI)</t>
  </si>
  <si>
    <t>Groupt GUINTOLI / EHTP / SIORAT (NGE GC stpd de GUINTOLI)</t>
  </si>
  <si>
    <t>RAI26A</t>
  </si>
  <si>
    <t>OYONNAX Aménagement Parc PASTEUR</t>
  </si>
  <si>
    <t>RAI26A*</t>
  </si>
  <si>
    <t>Découverture &amp; Restauration du GIER</t>
  </si>
  <si>
    <t>Groupt GUINTOLI / GTS / CHAZAL / NGE GC</t>
  </si>
  <si>
    <t>RAI27D</t>
  </si>
  <si>
    <t>RAI27D*</t>
  </si>
  <si>
    <t>RAI28E</t>
  </si>
  <si>
    <t>Accords cadres / Enrobés à chaud ALLIER</t>
  </si>
  <si>
    <t>RAI28E*</t>
  </si>
  <si>
    <t>RAI29E</t>
  </si>
  <si>
    <t>Régie MIALON- Copro "Le Domaine de Pérou"</t>
  </si>
  <si>
    <t>RAI29E*</t>
  </si>
  <si>
    <t>RAI30E</t>
  </si>
  <si>
    <t>MULTITRANSPORT Reprise parking personnel</t>
  </si>
  <si>
    <t>RAI30E*</t>
  </si>
  <si>
    <t>RAI31L</t>
  </si>
  <si>
    <t>RAI31L*</t>
  </si>
  <si>
    <t>Chemin de Lachaux à ISSOIRE - Mur de soutenement en enrochement</t>
  </si>
  <si>
    <t>RAI32D</t>
  </si>
  <si>
    <t>RAI32D*</t>
  </si>
  <si>
    <t>P. CHARIGNON / F. BONNET</t>
  </si>
  <si>
    <t>RAI33L</t>
  </si>
  <si>
    <t>RAI33L*</t>
  </si>
  <si>
    <t>Parc Eolien Sioulet Chavanon</t>
  </si>
  <si>
    <t>Plateforme de Stockage de Cournon</t>
  </si>
  <si>
    <t>RAI34E</t>
  </si>
  <si>
    <t>RAI34E*</t>
  </si>
  <si>
    <t>RAI35L</t>
  </si>
  <si>
    <t>Collège PAVIN à BESSE &amp; SAINT ANASTAISE Lot 1 Gros Œuvre &amp; VRD</t>
  </si>
  <si>
    <t>97,6k€</t>
  </si>
  <si>
    <t>RAI36E</t>
  </si>
  <si>
    <t>Restauration des Rivières Narse, Labadeau &amp; Veyre</t>
  </si>
  <si>
    <t>RAI36E*</t>
  </si>
  <si>
    <t>RAI36L</t>
  </si>
  <si>
    <t>364,4k€</t>
  </si>
  <si>
    <t>RAI37E</t>
  </si>
  <si>
    <t>Accord Cadre / Tvx d'eau &amp; Assinissement Rue BAYARD 2018</t>
  </si>
  <si>
    <t>Groupt GUINTOLI / TP LYAUDET / STE</t>
  </si>
  <si>
    <t>Groupt EHTP / GRAVIERE</t>
  </si>
  <si>
    <t>RAI37E*</t>
  </si>
  <si>
    <t>316,1 k€</t>
  </si>
  <si>
    <t>Construction du Bassin de BELLE OMBRE</t>
  </si>
  <si>
    <t>8 420 k€</t>
  </si>
  <si>
    <t>RAI35I</t>
  </si>
  <si>
    <t>RAI35I*</t>
  </si>
  <si>
    <t>RAI38L</t>
  </si>
  <si>
    <t>RAI38L*</t>
  </si>
  <si>
    <t>RAI39E</t>
  </si>
  <si>
    <t>A75 TOARC Sud</t>
  </si>
  <si>
    <t>Groupt GUINTOLI/EHTP/DACQUIN/GTS/NGE GC/PASS/SIORAT</t>
  </si>
  <si>
    <t>RAI39I</t>
  </si>
  <si>
    <t>25 M€</t>
  </si>
  <si>
    <t>RAI39K</t>
  </si>
  <si>
    <t>RAI40K</t>
  </si>
  <si>
    <t>RAI39</t>
  </si>
  <si>
    <t>SNCF défense incendie du BREZET</t>
  </si>
  <si>
    <t>RAI40K*</t>
  </si>
  <si>
    <t>79 k€</t>
  </si>
  <si>
    <t>RAI41E</t>
  </si>
  <si>
    <t>Restauration de la continuité écologique sur le site de l'ABEIL sur la RANCE</t>
  </si>
  <si>
    <t>RAI41E*</t>
  </si>
  <si>
    <t>123 k€</t>
  </si>
  <si>
    <t>RAI42E</t>
  </si>
  <si>
    <t>RAI42E*</t>
  </si>
  <si>
    <t>AFPI Cournon</t>
  </si>
  <si>
    <t>86 k€</t>
  </si>
  <si>
    <t>RAI43C</t>
  </si>
  <si>
    <t>RAI43C*</t>
  </si>
  <si>
    <t>LYON 7ème - Rue de Tourville</t>
  </si>
  <si>
    <t>BRGM Réfection de la lagune n°3 - Station de traitement des Moullières à Messeix</t>
  </si>
  <si>
    <t>RAI44L</t>
  </si>
  <si>
    <t>RAI44L*</t>
  </si>
  <si>
    <t>129 k€</t>
  </si>
  <si>
    <t>RAI45K</t>
  </si>
  <si>
    <t>Accord Cadre / Petites interventions d'eau &amp; assainissement Lot7</t>
  </si>
  <si>
    <t>RAI45K*</t>
  </si>
  <si>
    <t>RAI46L</t>
  </si>
  <si>
    <t>UKAD – Travaux de curage fossé suite pollution – SAINT GEORGES DE MONS</t>
  </si>
  <si>
    <t>RAI46L*</t>
  </si>
  <si>
    <t>81 k€</t>
  </si>
  <si>
    <t>RAI47E</t>
  </si>
  <si>
    <t>LURCY-LEVIS : Renforcement chaussée &amp; enduits superficiels - Tvx 2018-2019</t>
  </si>
  <si>
    <t>RAI47E*</t>
  </si>
  <si>
    <t>322 k€</t>
  </si>
  <si>
    <t>40 k€</t>
  </si>
  <si>
    <t>RAI48I</t>
  </si>
  <si>
    <t>Centrale PONTAUMUR</t>
  </si>
  <si>
    <t>RAI48I*</t>
  </si>
  <si>
    <t>RAI49K</t>
  </si>
  <si>
    <t>ORCINES Tvx d'eau &amp; assainissement au village de MONTRODEIX</t>
  </si>
  <si>
    <t>RAI49K*</t>
  </si>
  <si>
    <t>539 k€</t>
  </si>
  <si>
    <t>Groupt SOBECA / GUINTOLI</t>
  </si>
  <si>
    <t>RAI50E</t>
  </si>
  <si>
    <t>Village Intergénérationnel "Le Clos des Vignes" à CLERMONT</t>
  </si>
  <si>
    <t>RAI50E*</t>
  </si>
  <si>
    <t>??? k€</t>
  </si>
  <si>
    <t>RAI51K</t>
  </si>
  <si>
    <t>Renouvellement &amp; extension des réseaux d'eau &amp; d'assainissement Lot 1 &amp; 2</t>
  </si>
  <si>
    <t>Groupt EHTP / ROUX</t>
  </si>
  <si>
    <t>RAI51K*</t>
  </si>
  <si>
    <t>RAI52C</t>
  </si>
  <si>
    <t>RAI52C*</t>
  </si>
  <si>
    <t>Réaménagement Cours Emile ZOLA (Compte NRJ)</t>
  </si>
  <si>
    <t>RAI53E</t>
  </si>
  <si>
    <t>Parking INTERMARCHE de MOULINS</t>
  </si>
  <si>
    <t>RAI53E*</t>
  </si>
  <si>
    <t>91,5 k€</t>
  </si>
  <si>
    <t>RAI54C</t>
  </si>
  <si>
    <t>FEYZIN - VENISSIEUX Liaison Cyclable</t>
  </si>
  <si>
    <t>RAI54C*</t>
  </si>
  <si>
    <t>995 k€</t>
  </si>
  <si>
    <t>RAI55E</t>
  </si>
  <si>
    <t>Aménagerment RD12 à Yzeure</t>
  </si>
  <si>
    <t>RAI55E*</t>
  </si>
  <si>
    <t>235 k€</t>
  </si>
  <si>
    <t>495 k€</t>
  </si>
  <si>
    <t>RAI56D</t>
  </si>
  <si>
    <t>RAI56D*</t>
  </si>
  <si>
    <t>94,5 k€</t>
  </si>
  <si>
    <t>SOTHAF Voiries batiment industriel</t>
  </si>
  <si>
    <t>SOTHAF Terrasst &amp; reconstruction de sol</t>
  </si>
  <si>
    <t>RAI27H</t>
  </si>
  <si>
    <t>RAI57E</t>
  </si>
  <si>
    <t>Pays de Tronçais - Tvx de petit entretien de la voirie revetue 2018</t>
  </si>
  <si>
    <t>RAI57E*</t>
  </si>
  <si>
    <t xml:space="preserve">D. AUZELLE </t>
  </si>
  <si>
    <t>50 K€</t>
  </si>
  <si>
    <t>RAI58E</t>
  </si>
  <si>
    <t>Lycée agricole des Combrailles à PONTAUMUR (63)</t>
  </si>
  <si>
    <t xml:space="preserve">Groupt GUINTOLI / TP LYAUDET </t>
  </si>
  <si>
    <t>RAI58E*</t>
  </si>
  <si>
    <t>RAI58L</t>
  </si>
  <si>
    <t>145 K€</t>
  </si>
  <si>
    <t>RAI59E</t>
  </si>
  <si>
    <t>SAUVIGNY Voirie Communale - Grave Emulsion</t>
  </si>
  <si>
    <t>RAI59E*</t>
  </si>
  <si>
    <t>85 K€</t>
  </si>
  <si>
    <t>RAI60C</t>
  </si>
  <si>
    <t>VILLEURBANNE Boulevard Réguillon</t>
  </si>
  <si>
    <t>RAI60C*</t>
  </si>
  <si>
    <t>V. BACOT</t>
  </si>
  <si>
    <t>1250 k€</t>
  </si>
  <si>
    <t>RAI61I</t>
  </si>
  <si>
    <t>RAI61I*</t>
  </si>
  <si>
    <t>197,5k€</t>
  </si>
  <si>
    <t>UKAD  – SAINT GEORGES DE MONS</t>
  </si>
  <si>
    <t>RAI62B</t>
  </si>
  <si>
    <t>SITA DRAMBON Création casiers K2 &amp; Aménagements périphériques</t>
  </si>
  <si>
    <t>Groupt EUROVIA Bourgogne / GUINTOLI</t>
  </si>
  <si>
    <t>RAI62B*</t>
  </si>
  <si>
    <t>779 k€</t>
  </si>
  <si>
    <t>387 k€</t>
  </si>
  <si>
    <t>RAI63E</t>
  </si>
  <si>
    <t>RAI63E*</t>
  </si>
  <si>
    <t>MAYET DE MONTAGNE</t>
  </si>
  <si>
    <t>RAI64E</t>
  </si>
  <si>
    <t>RAI64E*</t>
  </si>
  <si>
    <t>A75 - Remise au gabarit RD978</t>
  </si>
  <si>
    <t>215 k€</t>
  </si>
  <si>
    <t>NGE GC (EHTP sous-traitant de NGE GC)</t>
  </si>
  <si>
    <t>RAI61K</t>
  </si>
  <si>
    <t>RAI65E</t>
  </si>
  <si>
    <t>RAI65E*</t>
  </si>
  <si>
    <t>Groupt NGE GC / EIFFAGE (SEP) avec EHTP sous-traitant de la SEP</t>
  </si>
  <si>
    <t>Locaux SETEC / TOARC A75</t>
  </si>
  <si>
    <t>Dépenses / bureaux Moe à refacturer à VALERIAN</t>
  </si>
  <si>
    <t>RAI66I</t>
  </si>
  <si>
    <t xml:space="preserve">REQUALIFICATION  BD ST JEAN CLERMONT FERRAND   </t>
  </si>
  <si>
    <t>RAI66I*</t>
  </si>
  <si>
    <t>289 k€</t>
  </si>
  <si>
    <t>RAI64L</t>
  </si>
  <si>
    <t>GUINTOLI (avec LYAUDET sous-traitant de GUINTOLI)</t>
  </si>
  <si>
    <t>RAI67E</t>
  </si>
  <si>
    <t>RAI67E*</t>
  </si>
  <si>
    <t>75 k€</t>
  </si>
  <si>
    <t xml:space="preserve">AUBIGNY  Renforcement de chaussée et enduits superficiels </t>
  </si>
  <si>
    <t>RAI68E</t>
  </si>
  <si>
    <t xml:space="preserve">CRESSANGES  Voiries 2018 &amp; 2019 </t>
  </si>
  <si>
    <t>RAI68E*</t>
  </si>
  <si>
    <t>124,6 k€</t>
  </si>
  <si>
    <t>RAI69A</t>
  </si>
  <si>
    <t>RAI69A*</t>
  </si>
  <si>
    <t>RAI70A</t>
  </si>
  <si>
    <t>RAI70A*</t>
  </si>
  <si>
    <t>RAI71A</t>
  </si>
  <si>
    <t>RAI71A*</t>
  </si>
  <si>
    <t>RAI72C</t>
  </si>
  <si>
    <t>METRO B Lot GC02</t>
  </si>
  <si>
    <t>Groupt NGE GC (Grands Projets) / GUINTOLI / NGE Fondations</t>
  </si>
  <si>
    <t>RAI72C*</t>
  </si>
  <si>
    <t>RAI73E</t>
  </si>
  <si>
    <t>RAI73E*</t>
  </si>
  <si>
    <t>CCNB Voiries 2018</t>
  </si>
  <si>
    <t>245 k€</t>
  </si>
  <si>
    <t>RAI74A</t>
  </si>
  <si>
    <t>Parking Rue VOLTAIRE à OYONNAX</t>
  </si>
  <si>
    <t>RAI74A*</t>
  </si>
  <si>
    <t>98 k€</t>
  </si>
  <si>
    <t>40 ou 50 k€</t>
  </si>
  <si>
    <t>RAI75A</t>
  </si>
  <si>
    <t>RAI75A*</t>
  </si>
  <si>
    <t>Groupt JACQUEMET / GUINTOLI</t>
  </si>
  <si>
    <t>Réaménagement du Lange à GEILLES</t>
  </si>
  <si>
    <t>RAI76F</t>
  </si>
  <si>
    <t>Collège Louis DUMONT à Bellegarde s/ Valserine Lot 1</t>
  </si>
  <si>
    <t>RAI76F*</t>
  </si>
  <si>
    <t>D. DINET</t>
  </si>
  <si>
    <t>RAI77F*</t>
  </si>
  <si>
    <t>RAI77F</t>
  </si>
  <si>
    <t>Collège Louis DUMONT à Bellegarde s/ Valserine Lot 21</t>
  </si>
  <si>
    <t>Groupt SIORAT/ EIFFAGE</t>
  </si>
  <si>
    <t>Groupt  FAMY / GUINTOLI</t>
  </si>
  <si>
    <t>RAI78A</t>
  </si>
  <si>
    <t>RAI78A*</t>
  </si>
  <si>
    <t>RAI79A</t>
  </si>
  <si>
    <t>CD01 Entretien RD Bellegarde-Gex 2018 à 2022</t>
  </si>
  <si>
    <t>CD01 Entretien RD Val de Saône-Bresse 2018 à 2022</t>
  </si>
  <si>
    <t>CD01 Entretien RD Bresse-Revermont 2018 à 2022</t>
  </si>
  <si>
    <t>CD01 Entretien RD Haut-Bugey 2018 à 2022</t>
  </si>
  <si>
    <t>CD01 Entretien O.A. des RD 2018 à 2022</t>
  </si>
  <si>
    <t>Groupt VINCENT / GUINTOLI</t>
  </si>
  <si>
    <t>RAI79A*</t>
  </si>
  <si>
    <t>RAI80I</t>
  </si>
  <si>
    <t>STEP de BOURGES</t>
  </si>
  <si>
    <t>Part NGE GC = 24 550 k€</t>
  </si>
  <si>
    <t>RAI81E</t>
  </si>
  <si>
    <t>Voirie lourde et réseaux Val de Loire - APERAM ALLOYS IMPHY</t>
  </si>
  <si>
    <t>RAI81E*</t>
  </si>
  <si>
    <t>330 k€</t>
  </si>
  <si>
    <t>RAI82L</t>
  </si>
  <si>
    <t xml:space="preserve">MARCHE ST SAUVES </t>
  </si>
  <si>
    <t>ZAC CASTELLANE Finitions</t>
  </si>
  <si>
    <t>RAI83K</t>
  </si>
  <si>
    <t>Sécurisation SAEP de RIOM - Interconnexion entre réservoirs de Marcoin et de Chancet</t>
  </si>
  <si>
    <t>1 495 k€</t>
  </si>
  <si>
    <t>L. RICROS</t>
  </si>
  <si>
    <t>RAI83K*</t>
  </si>
  <si>
    <t>RAI84B</t>
  </si>
  <si>
    <t>RAI84B*</t>
  </si>
  <si>
    <t>Accord Cadre / Département du DOUBS - Réparations, préparations, finitions &amp; amélioration des RD - Lots 3 &amp; 4</t>
  </si>
  <si>
    <t>RAI85E</t>
  </si>
  <si>
    <t>Groupt GUINTOLI / SANCHEZ / SIORAT</t>
  </si>
  <si>
    <t>Aménagement des abords de la Scène Nationale à CLERMONT-FERRAND - VRD</t>
  </si>
  <si>
    <t>RAI85E*</t>
  </si>
  <si>
    <t>Groupt  SIORAT / BODARD</t>
  </si>
  <si>
    <t>RAI86E</t>
  </si>
  <si>
    <t>MONTMARAULT Liaison DERICHEMOND-BATARDEAU</t>
  </si>
  <si>
    <t>RAI86E*</t>
  </si>
  <si>
    <t>335 k€</t>
  </si>
  <si>
    <t>RAI87I</t>
  </si>
  <si>
    <t>DIVERS G-C</t>
  </si>
  <si>
    <t>RAI87I*</t>
  </si>
  <si>
    <t>R. MAUCHET</t>
  </si>
  <si>
    <t>RAI88A</t>
  </si>
  <si>
    <t>OYONNAX Rue du Chemin de Fer</t>
  </si>
  <si>
    <t>S. WEHRLI</t>
  </si>
  <si>
    <t>RAI88A*</t>
  </si>
  <si>
    <t>RAI89B</t>
  </si>
  <si>
    <t>MONTCHANIN SNCF</t>
  </si>
  <si>
    <t xml:space="preserve">Groupt OFFROY /GUINTOLI </t>
  </si>
  <si>
    <t>RAI89B*</t>
  </si>
  <si>
    <t xml:space="preserve">CLERMONT Tvx d'Eau &amp; Assainissement / Avenue de la République-Pérignat Les Sarliève </t>
  </si>
  <si>
    <t>RAI90K</t>
  </si>
  <si>
    <t>RAI90K*</t>
  </si>
  <si>
    <t>2 483 k€</t>
  </si>
  <si>
    <t>PONT du CHÂTEAU - Maison Médicale</t>
  </si>
  <si>
    <t>RAI91E</t>
  </si>
  <si>
    <t>RAI91E*</t>
  </si>
  <si>
    <t>RAI92K</t>
  </si>
  <si>
    <t>GUERET - Remplacement ou extension du réseau d'assainissenet</t>
  </si>
  <si>
    <t>Groupt EHTP / MIGLIORI</t>
  </si>
  <si>
    <t>RAI92K*</t>
  </si>
  <si>
    <t>100k€</t>
  </si>
  <si>
    <t>RAI93E</t>
  </si>
  <si>
    <t>Groupt GUINTOLI / TSO CATENAIRES</t>
  </si>
  <si>
    <t>RAI93E*</t>
  </si>
  <si>
    <t>A. DURIF</t>
  </si>
  <si>
    <t>1 328 k€ sur une commande de 1 598 k€</t>
  </si>
  <si>
    <t>Groupt NGE FONDATIONS / GUINTOLI</t>
  </si>
  <si>
    <t>SNCF Ligne Moret - LYON</t>
  </si>
  <si>
    <t>RAI94L</t>
  </si>
  <si>
    <t>TAUVES Tvx connexes à l'Aménagement foncier</t>
  </si>
  <si>
    <t>RAI94L*</t>
  </si>
  <si>
    <t>604 k€</t>
  </si>
  <si>
    <t>Groupt TP LYAUDET / COUDERT</t>
  </si>
  <si>
    <t>RAI95C</t>
  </si>
  <si>
    <t>BRON Terraillon (SERL)</t>
  </si>
  <si>
    <t>RAI96A</t>
  </si>
  <si>
    <t>AXIANS Tranchées Colonges</t>
  </si>
  <si>
    <t>RAI96A*</t>
  </si>
  <si>
    <t>160 k€</t>
  </si>
  <si>
    <t>RAI999</t>
  </si>
  <si>
    <t>ZAC de la Mogèrer (Miroirs Cazal)</t>
  </si>
  <si>
    <t>RAI97E</t>
  </si>
  <si>
    <t>NEUVY Rues de Bel Air et Tournemotte</t>
  </si>
  <si>
    <t>RAI97E*</t>
  </si>
  <si>
    <t>194 k€</t>
  </si>
  <si>
    <t>RAI98L</t>
  </si>
  <si>
    <t>RAI98L*</t>
  </si>
  <si>
    <t>Centrale Photovoltaïque LA GANE LACHAUD</t>
  </si>
  <si>
    <t>Groupt SIORAT / TP LYAUDET</t>
  </si>
  <si>
    <t>J01</t>
  </si>
  <si>
    <t>RAJ01C</t>
  </si>
  <si>
    <t>RAJ01C*</t>
  </si>
  <si>
    <t>P. MUNOS / A.MONIN</t>
  </si>
  <si>
    <t>J02</t>
  </si>
  <si>
    <t>SCI Le Zèbre - Restructuration d'un garage concession THIVOLLE à St Etienne</t>
  </si>
  <si>
    <t>RAJ02D</t>
  </si>
  <si>
    <t>Code Agence</t>
  </si>
  <si>
    <t>C</t>
  </si>
  <si>
    <t>D</t>
  </si>
  <si>
    <t>RAJ02D*</t>
  </si>
  <si>
    <t>1 188 k€</t>
  </si>
  <si>
    <t>FG</t>
  </si>
  <si>
    <t>Frais Généraux Etudes ARS</t>
  </si>
  <si>
    <t>Toutes Sociétés</t>
  </si>
  <si>
    <t>RAETUD</t>
  </si>
  <si>
    <t>Sous-Compte / Frais de Région</t>
  </si>
  <si>
    <t>J00</t>
  </si>
  <si>
    <t>Entretien Espaces Vert / PPP Bellegarde</t>
  </si>
  <si>
    <t>RAJ00J</t>
  </si>
  <si>
    <t>LISTES DES AFFAIRES R.A OUVERTES sur 2019</t>
  </si>
  <si>
    <t>LISTES DES AFFAIRES R.A OUVERTES sur 2018</t>
  </si>
  <si>
    <t>J03</t>
  </si>
  <si>
    <t>E</t>
  </si>
  <si>
    <t>L'OREAL Travaux Divers</t>
  </si>
  <si>
    <t>RAJ03E</t>
  </si>
  <si>
    <t>RAJ03E*</t>
  </si>
  <si>
    <t>105 k€</t>
  </si>
  <si>
    <t>RAI80K</t>
  </si>
  <si>
    <t>RAI80K*</t>
  </si>
  <si>
    <t>Groupt SUEZ / NGE GC / SAFEGE / ARCHI 3 (avec EHTP st de NGE GC)</t>
  </si>
  <si>
    <t>RAJ00J*</t>
  </si>
  <si>
    <t>J</t>
  </si>
  <si>
    <t>J04</t>
  </si>
  <si>
    <t>B</t>
  </si>
  <si>
    <t>RAJ04B</t>
  </si>
  <si>
    <t>RAJ04B*</t>
  </si>
  <si>
    <t>GER / E.P.L.E. Région BFC</t>
  </si>
  <si>
    <t>J05</t>
  </si>
  <si>
    <t>CHARMES Voiries 2019-2020</t>
  </si>
  <si>
    <t>RAJ05E</t>
  </si>
  <si>
    <t>RAJ05E*</t>
  </si>
  <si>
    <t>99 k€</t>
  </si>
  <si>
    <t>GUINTOLI (st d'EUGENIE)</t>
  </si>
  <si>
    <t>J06</t>
  </si>
  <si>
    <t>SNCF Dalots à  ISSOIRE</t>
  </si>
  <si>
    <t>RAJ06E*</t>
  </si>
  <si>
    <t>RAJ06E</t>
  </si>
  <si>
    <t>91 k€</t>
  </si>
  <si>
    <t>J07</t>
  </si>
  <si>
    <t>JOZE Aménagement de la rue du Champ</t>
  </si>
  <si>
    <t>RAJ07E</t>
  </si>
  <si>
    <t>RAJ07E*</t>
  </si>
  <si>
    <t>J08</t>
  </si>
  <si>
    <t>RAJ08C</t>
  </si>
  <si>
    <t>RAJ08C*</t>
  </si>
  <si>
    <t>LYON 3ème - Redressement Rue FLANDIN Sud</t>
  </si>
  <si>
    <t>J09</t>
  </si>
  <si>
    <t>RN57 Giratoire Ouest</t>
  </si>
  <si>
    <t>RAJ09B</t>
  </si>
  <si>
    <t>RAJ09B*</t>
  </si>
  <si>
    <t>3 550 k€</t>
  </si>
  <si>
    <t>J10</t>
  </si>
  <si>
    <t>VAULX EN VELIN - TASE</t>
  </si>
  <si>
    <t>RAJ10C</t>
  </si>
  <si>
    <t>RAJ10C*</t>
  </si>
  <si>
    <t>J11</t>
  </si>
  <si>
    <t>RD498 Contournement ST MARCELLIN - Renforcement de l'Assainissement</t>
  </si>
  <si>
    <t>RAJ11D</t>
  </si>
  <si>
    <t>RAJ11D*</t>
  </si>
  <si>
    <t>345 k€</t>
  </si>
  <si>
    <t>J12</t>
  </si>
  <si>
    <t>SAINT MARCEL EN MURAT</t>
  </si>
  <si>
    <t>RAJ12E*</t>
  </si>
  <si>
    <t>RAJ12E</t>
  </si>
  <si>
    <t>44 k€</t>
  </si>
  <si>
    <t>J13</t>
  </si>
  <si>
    <t>L</t>
  </si>
  <si>
    <t>EHPAD "Les Bruyères" à BOURG-LASTIC</t>
  </si>
  <si>
    <t>RAJ13L*</t>
  </si>
  <si>
    <t>RAJ13L</t>
  </si>
  <si>
    <t>240 k€</t>
  </si>
  <si>
    <t>J14</t>
  </si>
  <si>
    <t>Divers TP LYAUDET 2019</t>
  </si>
  <si>
    <t>RAJ14L*</t>
  </si>
  <si>
    <t>RAJ14L</t>
  </si>
  <si>
    <t>J15</t>
  </si>
  <si>
    <t>Divers SIORAT Auvergne 2019</t>
  </si>
  <si>
    <t>RAJ15E*</t>
  </si>
  <si>
    <t>RAJ15E</t>
  </si>
  <si>
    <t>J16</t>
  </si>
  <si>
    <t>N7 Auvermes</t>
  </si>
  <si>
    <t>RAJ16E*</t>
  </si>
  <si>
    <t>RAJ16E</t>
  </si>
  <si>
    <t>196,8 k€</t>
  </si>
  <si>
    <t>RAJ17E*</t>
  </si>
  <si>
    <t>RAJ17E</t>
  </si>
  <si>
    <t>J17</t>
  </si>
  <si>
    <t>Accord Cadre / Grande Plaine de CHAMPRATEL</t>
  </si>
  <si>
    <t>J18</t>
  </si>
  <si>
    <t>Travaux de réparations et confortements des OA sur la Métropole de Lyon</t>
  </si>
  <si>
    <t>Groupt MAIA SONNER / GUINTOLI / NGE GC / MAIA FONDATION</t>
  </si>
  <si>
    <t>RAJ18C</t>
  </si>
  <si>
    <t>RAJ18C*</t>
  </si>
  <si>
    <t>J19</t>
  </si>
  <si>
    <t>Marché à BDC de réfection de Tranchées Lot 6</t>
  </si>
  <si>
    <t>RAJ19C*</t>
  </si>
  <si>
    <t>Groupt RAZEL BEC / GUINTOLI / MGB / CARRION TP</t>
  </si>
  <si>
    <t>J20</t>
  </si>
  <si>
    <t>Renouvellement des canalisation d'eau potable de l'ex-SIVOM du Lac de Sylans</t>
  </si>
  <si>
    <t>Groupt EHTP / DUMAS</t>
  </si>
  <si>
    <t>RAJ20J</t>
  </si>
  <si>
    <t>RAJ20J*</t>
  </si>
  <si>
    <t>307 k€</t>
  </si>
  <si>
    <t>J21</t>
  </si>
  <si>
    <t xml:space="preserve">PRONDINES - AEP Village l'Eclache </t>
  </si>
  <si>
    <t xml:space="preserve">Groupt TP LYAUDET / LEMMONIER </t>
  </si>
  <si>
    <t>RAJ21L*</t>
  </si>
  <si>
    <t>RAJ21L</t>
  </si>
  <si>
    <t>169 k€</t>
  </si>
  <si>
    <t>J22</t>
  </si>
  <si>
    <t>SAM OUTILLAGE Construction Zone Commerciale</t>
  </si>
  <si>
    <t>RAJ22D*</t>
  </si>
  <si>
    <t>RAJ22D</t>
  </si>
  <si>
    <t>100 k€</t>
  </si>
  <si>
    <t>J23</t>
  </si>
  <si>
    <t>RAJ23E</t>
  </si>
  <si>
    <t>RAJ23E*</t>
  </si>
  <si>
    <t>SBA Tvx GC pour conteneurs de déchets ménagés &amp; assimilés</t>
  </si>
  <si>
    <t>J24</t>
  </si>
  <si>
    <t>RAJ24B</t>
  </si>
  <si>
    <t>RAJ24B*</t>
  </si>
  <si>
    <t>Y. CHAMPENOIS</t>
  </si>
  <si>
    <t>750 k€</t>
  </si>
  <si>
    <t>J25</t>
  </si>
  <si>
    <t>PIM PARTICIPATIONS</t>
  </si>
  <si>
    <t>RAJ25E</t>
  </si>
  <si>
    <t>RAJ25E*</t>
  </si>
  <si>
    <t>169,5 k€</t>
  </si>
  <si>
    <t>J26</t>
  </si>
  <si>
    <t>A</t>
  </si>
  <si>
    <t>Groupt GUINTOLI / VERDET</t>
  </si>
  <si>
    <t>RAJ26A</t>
  </si>
  <si>
    <t>RAJ26A*</t>
  </si>
  <si>
    <t>EHPAD Villa Charlotte d'OYONNAX Lot 1 Terrassement VRD</t>
  </si>
  <si>
    <t>EHPAD Villa Charlotte d'OYONNAX Autre Lot</t>
  </si>
  <si>
    <t>RAJ19C</t>
  </si>
  <si>
    <t>RAJ27B</t>
  </si>
  <si>
    <t>RAJ27B*</t>
  </si>
  <si>
    <t>Accord Cadre pour la fabrication, le transport &amp; la mise en oeuvre d'Enrobés / Doubs</t>
  </si>
  <si>
    <t>J27</t>
  </si>
  <si>
    <t>J28</t>
  </si>
  <si>
    <t>Commune de MERCY</t>
  </si>
  <si>
    <t>58 k€</t>
  </si>
  <si>
    <t>RAJ28E*</t>
  </si>
  <si>
    <t>RAJ28E</t>
  </si>
  <si>
    <t>J29</t>
  </si>
  <si>
    <t>SIVOM de Haute-Dordogne (ST de COUDERT)</t>
  </si>
  <si>
    <t>RAJ29L*</t>
  </si>
  <si>
    <t>RAJ29L</t>
  </si>
  <si>
    <t>J30</t>
  </si>
  <si>
    <t>VICHY Aménagt Tête de Pont Rive Droite - Square Albert 1er - Av. A.BRIAND - Rue Sevigne</t>
  </si>
  <si>
    <t>RAJ30E*</t>
  </si>
  <si>
    <t>RAJ30E</t>
  </si>
  <si>
    <t>486,7 k€</t>
  </si>
  <si>
    <t>Extension du Réseau de Chaleur Urbain de DIJON TALANT 2019</t>
  </si>
  <si>
    <t xml:space="preserve">Part EHTP = 650 k€ </t>
  </si>
  <si>
    <t>J31</t>
  </si>
  <si>
    <t>SAINT CLEMENT - Aménagement rue du Stade &amp; Place E. Guillaumin</t>
  </si>
  <si>
    <t>RAJ31E*</t>
  </si>
  <si>
    <t>RAJ31E</t>
  </si>
  <si>
    <t>69,4 k€</t>
  </si>
  <si>
    <t>J32</t>
  </si>
  <si>
    <t>RAJ32J</t>
  </si>
  <si>
    <t>RAJ32J*</t>
  </si>
  <si>
    <t>VALSERHONE - Voiries Rue de la République, des Jonquilles &amp; Route de Billiat</t>
  </si>
  <si>
    <t>830 k€</t>
  </si>
  <si>
    <t>J33</t>
  </si>
  <si>
    <t>PRIORIBUS Phase 2 Lot 6 Secteur B</t>
  </si>
  <si>
    <t>Groupt GUINTOLI / EUROVIA Bourgogne</t>
  </si>
  <si>
    <t>RAJ33B</t>
  </si>
  <si>
    <t>RAJ33B*</t>
  </si>
  <si>
    <t>744 k€</t>
  </si>
  <si>
    <t>J34</t>
  </si>
  <si>
    <t>CALUIRE Voirie Lot2 - Giratoire au carrefour Chemin Petit / Av. DE GAULLE</t>
  </si>
  <si>
    <t>RAJ34C</t>
  </si>
  <si>
    <t>RAJ34C*</t>
  </si>
  <si>
    <t>J35</t>
  </si>
  <si>
    <t>CCNB Tvx Voiries 2019 en Gravillonnage &amp; Infra.</t>
  </si>
  <si>
    <t>RAJ35E*</t>
  </si>
  <si>
    <t>RAJ35E</t>
  </si>
  <si>
    <t>248 k€</t>
  </si>
  <si>
    <t>J36</t>
  </si>
  <si>
    <t>Divers DURIF</t>
  </si>
  <si>
    <t>RAJ36E*</t>
  </si>
  <si>
    <t>RAJ36E</t>
  </si>
  <si>
    <t>DURIF</t>
  </si>
  <si>
    <t>J37</t>
  </si>
  <si>
    <t>F</t>
  </si>
  <si>
    <t>NUC- Hall de contrôle de Bugey</t>
  </si>
  <si>
    <t>RAJ37F</t>
  </si>
  <si>
    <t>RAJ37F*</t>
  </si>
  <si>
    <t>A. MARC-REVOL</t>
  </si>
  <si>
    <t>258 k€</t>
  </si>
  <si>
    <t>J38</t>
  </si>
  <si>
    <t>CEN Auvergne - Effacement d'une protection de berge sur l'Allier à MARINGUES</t>
  </si>
  <si>
    <t>RAJ38E</t>
  </si>
  <si>
    <t>RAJ38E*</t>
  </si>
  <si>
    <t>46 k€</t>
  </si>
  <si>
    <t>J39</t>
  </si>
  <si>
    <t>RIOM Mise en accessibilité des bâtiment ERP</t>
  </si>
  <si>
    <t>RAJ39E</t>
  </si>
  <si>
    <t>RAJ39E*</t>
  </si>
  <si>
    <t>153 k€</t>
  </si>
  <si>
    <t>J40</t>
  </si>
  <si>
    <t>Ville d'AVERMES - Tvx de Voiries diverses 2019</t>
  </si>
  <si>
    <t>RAJ40E*</t>
  </si>
  <si>
    <t>RAJ40E</t>
  </si>
  <si>
    <t>74 k€</t>
  </si>
  <si>
    <t>RAJ41E</t>
  </si>
  <si>
    <t>RAJ41E*</t>
  </si>
  <si>
    <t>F. DICHATEL</t>
  </si>
  <si>
    <t>J41</t>
  </si>
  <si>
    <t>Divers DUCHATEL</t>
  </si>
  <si>
    <t>J42</t>
  </si>
  <si>
    <t>LEMPDES Via Location - Construction Bâtiment industriel</t>
  </si>
  <si>
    <t>RAJ42E</t>
  </si>
  <si>
    <t>RAJ42E*</t>
  </si>
  <si>
    <t>J43</t>
  </si>
  <si>
    <t>H</t>
  </si>
  <si>
    <t>SNCF Viaduc d'ANDREZIEUX</t>
  </si>
  <si>
    <t>RAJ43H</t>
  </si>
  <si>
    <t>RAJ43H*</t>
  </si>
  <si>
    <t>G. DAUTHEVILLE</t>
  </si>
  <si>
    <t>375 k€</t>
  </si>
  <si>
    <t>J44</t>
  </si>
  <si>
    <t>SURY Le Comtel - Aménagement carrefour RD8 x RD54</t>
  </si>
  <si>
    <t>RAJ44D</t>
  </si>
  <si>
    <t>RAJ44D*</t>
  </si>
  <si>
    <t>N. MORIZON</t>
  </si>
  <si>
    <t>J45</t>
  </si>
  <si>
    <t>MATAFELON-GRANGES Sécurité des usagers à MEUILLAT</t>
  </si>
  <si>
    <t>RAJ45A</t>
  </si>
  <si>
    <t>RAJ45A*</t>
  </si>
  <si>
    <t>STOP</t>
  </si>
  <si>
    <t>ETUD</t>
  </si>
  <si>
    <t>Matériel Routier à l'Arret</t>
  </si>
  <si>
    <t>GUINTOLI &amp; SIORAT</t>
  </si>
  <si>
    <t>RASTOP</t>
  </si>
  <si>
    <t>T. BACCON</t>
  </si>
  <si>
    <t>J46</t>
  </si>
  <si>
    <t>BRGM Moullières - Cascade d'oxygénation de MESSEIX</t>
  </si>
  <si>
    <t>RAJ46L</t>
  </si>
  <si>
    <t>RAJ46L*</t>
  </si>
  <si>
    <t>236 k€</t>
  </si>
  <si>
    <t>J47</t>
  </si>
  <si>
    <t>I</t>
  </si>
  <si>
    <t>SNCF Protections collectives sur OA</t>
  </si>
  <si>
    <t>RAJ47I</t>
  </si>
  <si>
    <t>N. GANIERE</t>
  </si>
  <si>
    <t>255 k€</t>
  </si>
  <si>
    <t>J48</t>
  </si>
  <si>
    <t>VALTON - ISDND d'AMBERT</t>
  </si>
  <si>
    <t>RAJ48E</t>
  </si>
  <si>
    <t>RAJ48E*</t>
  </si>
  <si>
    <t>908,5 k€</t>
  </si>
  <si>
    <t>J49</t>
  </si>
  <si>
    <t>SNCF Aménagt 5PN de Vichy à Riom</t>
  </si>
  <si>
    <t>RAJ49E</t>
  </si>
  <si>
    <t>RAJ49E*</t>
  </si>
  <si>
    <t>J50</t>
  </si>
  <si>
    <t>RAJ50E</t>
  </si>
  <si>
    <t>RAJ50E*</t>
  </si>
  <si>
    <t>Restauration de la rivière Artière / ZAC des Sauzes à Aubière &amp; Clermont</t>
  </si>
  <si>
    <t>J51</t>
  </si>
  <si>
    <t>BRON - ZAC des Terrasses Lot 1</t>
  </si>
  <si>
    <t>Groupt GUINTOLI / EHTP / SIORAT / CHAZAL</t>
  </si>
  <si>
    <t>RAJ51C</t>
  </si>
  <si>
    <t>RAJ51C*</t>
  </si>
  <si>
    <t>1570 k€</t>
  </si>
  <si>
    <t>620 k€</t>
  </si>
  <si>
    <t xml:space="preserve">P. BARRE </t>
  </si>
  <si>
    <t>Philippe MUNOS</t>
  </si>
  <si>
    <t>J52</t>
  </si>
  <si>
    <t>DIJON Accord Cadre / Entretien &amp; Aménagement sur Espaces Publics Lot 4</t>
  </si>
  <si>
    <t>433,7 k€</t>
  </si>
  <si>
    <t>J59</t>
  </si>
  <si>
    <t>RAJ59B</t>
  </si>
  <si>
    <t>RAJ59B*</t>
  </si>
  <si>
    <t>ROMAGNAT - Aménagement Place François MITTERAND</t>
  </si>
  <si>
    <t>RAJ52E</t>
  </si>
  <si>
    <t>RAJ52E*</t>
  </si>
  <si>
    <t>1 233 k€</t>
  </si>
  <si>
    <t>J53</t>
  </si>
  <si>
    <t>Groupt GUINTOLI / SEMONSAT</t>
  </si>
  <si>
    <t>RAJ53E</t>
  </si>
  <si>
    <t>RAJ53E*</t>
  </si>
  <si>
    <t>SBA - Commune de LEZOUX : Construction d'un pôle de valorisation de déchets</t>
  </si>
  <si>
    <t>J54</t>
  </si>
  <si>
    <t>INTERMARCHE de Roche La Molière</t>
  </si>
  <si>
    <t>RAJ54D</t>
  </si>
  <si>
    <t>RAJ54D*</t>
  </si>
  <si>
    <t>883 k€</t>
  </si>
  <si>
    <t>J55</t>
  </si>
  <si>
    <t>RAJ55E</t>
  </si>
  <si>
    <t>RAJ55E*</t>
  </si>
  <si>
    <t>C.C. Pays de Tronçais - Tvx Voiries 2019 Lot 2</t>
  </si>
  <si>
    <t>J56</t>
  </si>
  <si>
    <t>FERNEY Bois Candide Carrefour RD35</t>
  </si>
  <si>
    <t>Groupt GUINTOLI / SIORAT / EIFFAGE</t>
  </si>
  <si>
    <t>RAJ56A</t>
  </si>
  <si>
    <t>RAJ56A*</t>
  </si>
  <si>
    <t>1 681 k€</t>
  </si>
  <si>
    <t>AGONGES - Programme Voirie 2019</t>
  </si>
  <si>
    <t>J57</t>
  </si>
  <si>
    <t>RAJ57E*</t>
  </si>
  <si>
    <t>RAJ57E</t>
  </si>
  <si>
    <t>78 k€</t>
  </si>
  <si>
    <t>J58</t>
  </si>
  <si>
    <t>ANSE ZAC du Bordelan Lot 3</t>
  </si>
  <si>
    <t>RAJ58C*</t>
  </si>
  <si>
    <t>RAJ58C</t>
  </si>
  <si>
    <t>1 180 k€</t>
  </si>
  <si>
    <t>J60</t>
  </si>
  <si>
    <t>MESSEIX Réfection de lagune n°2 / Station des Mouillères pour BRGM</t>
  </si>
  <si>
    <t>RAJ60L*</t>
  </si>
  <si>
    <t>791,7 k€</t>
  </si>
  <si>
    <t>J61</t>
  </si>
  <si>
    <t>PONT DU CHÂTEAU - Chemin des Boires (CAM)</t>
  </si>
  <si>
    <t>RAJ61E</t>
  </si>
  <si>
    <t>RAJ61E*</t>
  </si>
  <si>
    <t>132 k€</t>
  </si>
  <si>
    <t>J62</t>
  </si>
  <si>
    <t>J63</t>
  </si>
  <si>
    <t>Groupt CARRION / GUINTOLI / NGE GC</t>
  </si>
  <si>
    <t>RAJ62C</t>
  </si>
  <si>
    <t>RAJ62C*</t>
  </si>
  <si>
    <t>Tvx d'entretien spécialisé et de G-C / OA de LYON - Lot 1 / Centre Est, Nord &amp; Sud</t>
  </si>
  <si>
    <t>Tvx d'entretien spécialisé et de G-C / OA de LYON - Lot 3 / Péripheries Est &amp; Nord</t>
  </si>
  <si>
    <t>RAJ63C</t>
  </si>
  <si>
    <t>RAJ63C*</t>
  </si>
  <si>
    <t>J64</t>
  </si>
  <si>
    <t>Déneigement APRR</t>
  </si>
  <si>
    <t>RAJ64L*</t>
  </si>
  <si>
    <t>J65</t>
  </si>
  <si>
    <t>278,5 k€</t>
  </si>
  <si>
    <t>RAJ64L</t>
  </si>
  <si>
    <t>RAJ65L</t>
  </si>
  <si>
    <t>RAJ65L*</t>
  </si>
  <si>
    <t>Centrale PV Montane 3 (ST de INEO)</t>
  </si>
  <si>
    <t>J66</t>
  </si>
  <si>
    <t>RAJ66F</t>
  </si>
  <si>
    <t>RAJ66F*</t>
  </si>
  <si>
    <t>NUC- BUGEY RAOC</t>
  </si>
  <si>
    <t>GUINTOLI (NGE GC stpd)</t>
  </si>
  <si>
    <t>RAJ66H</t>
  </si>
  <si>
    <t>J67</t>
  </si>
  <si>
    <t>RAJ67D</t>
  </si>
  <si>
    <t>SAINT-ETIENNE ZAC Manufacture Plaine Achille</t>
  </si>
  <si>
    <t>RAJ67D*</t>
  </si>
  <si>
    <t>J68</t>
  </si>
  <si>
    <t>SNCF 14 dalots Nevers/Cercy</t>
  </si>
  <si>
    <t xml:space="preserve">Groupt NGE GC / GUINTOLI / OFFROY / REHACANA </t>
  </si>
  <si>
    <t>RAJ68E</t>
  </si>
  <si>
    <t>RAJ68E*</t>
  </si>
  <si>
    <t>794 k€</t>
  </si>
  <si>
    <t>J69</t>
  </si>
  <si>
    <t>ZAC ECOSPHERE Innovation à PONT d'Ain et St Jean Le Vieux</t>
  </si>
  <si>
    <t xml:space="preserve">Groupt  GUINTOLI / EHTP / DUMAS </t>
  </si>
  <si>
    <t>RAJ69A</t>
  </si>
  <si>
    <t>RAJ69A*</t>
  </si>
  <si>
    <t>D. MOYNE</t>
  </si>
  <si>
    <t>J70</t>
  </si>
  <si>
    <t>DIJON Accord Cadre / Entretien &amp; Aménagement sur Espaces Publics Lot 3</t>
  </si>
  <si>
    <t xml:space="preserve">Groupt  COLAS /GUINTOLI </t>
  </si>
  <si>
    <t>RAJ70B</t>
  </si>
  <si>
    <t>RAJ70B*</t>
  </si>
  <si>
    <t>J71</t>
  </si>
  <si>
    <t>K</t>
  </si>
  <si>
    <t>COURNON Avenue de la Margeride</t>
  </si>
  <si>
    <t>Groupt  EHTP /ROUX</t>
  </si>
  <si>
    <t>RAJ71K*</t>
  </si>
  <si>
    <t>RAJ71K</t>
  </si>
  <si>
    <t>844 k€</t>
  </si>
  <si>
    <t>J72</t>
  </si>
  <si>
    <t>CLERMONT Stade Leclanché - Transformation des gazon synthétiques</t>
  </si>
  <si>
    <t>Groupt  PARCS &amp; SPORTS / GUINTOLI</t>
  </si>
  <si>
    <t>RAJ72E</t>
  </si>
  <si>
    <t>RAJ72E*</t>
  </si>
  <si>
    <t>766 k€</t>
  </si>
  <si>
    <t>J73</t>
  </si>
  <si>
    <t>VICHY Liaisons cyclistes et pietonnes en bordure d'Allier / Secteur Nord</t>
  </si>
  <si>
    <t>RAJ73E</t>
  </si>
  <si>
    <t>RAJ73E*</t>
  </si>
  <si>
    <t>J74</t>
  </si>
  <si>
    <t>CLERMONT Rue Poncillon</t>
  </si>
  <si>
    <t>RAJ74K</t>
  </si>
  <si>
    <t>RAJ74K*</t>
  </si>
  <si>
    <t>150 k€</t>
  </si>
  <si>
    <t>J75</t>
  </si>
  <si>
    <t>SIA Vallée de l'Auzon- Réseau Assainissement sous A75</t>
  </si>
  <si>
    <t>RAJ75K*</t>
  </si>
  <si>
    <t>RAJ75K</t>
  </si>
  <si>
    <t>K01</t>
  </si>
  <si>
    <t xml:space="preserve">C </t>
  </si>
  <si>
    <t>Marché d'entretien de la Métropole Lyon Lot 4 - VILLEURBANNE</t>
  </si>
  <si>
    <t>GUINTOLI / EHTP / SIORAT / CARRION TP</t>
  </si>
  <si>
    <t>RAK01C</t>
  </si>
  <si>
    <t>RAK01C*</t>
  </si>
  <si>
    <t>LISTES DES AFFAIRES A.R.S OUVERTES sur 2020</t>
  </si>
  <si>
    <t>K02</t>
  </si>
  <si>
    <t>Marché d'entretien de la Métropole Lyon Lot 17 - LYON 6ème</t>
  </si>
  <si>
    <t>RAK02C</t>
  </si>
  <si>
    <t>RAK02C*</t>
  </si>
  <si>
    <t>K03</t>
  </si>
  <si>
    <t>GENAS Rue de la Bergerie &amp; Gambetta Lot 1</t>
  </si>
  <si>
    <t>RAK03C</t>
  </si>
  <si>
    <t>RAK03C*</t>
  </si>
  <si>
    <t>RAK04L*</t>
  </si>
  <si>
    <t>RAK04L</t>
  </si>
  <si>
    <t>CCCSM Parc d'Activité des Volcans à Manzat Lots 1 &amp; 2</t>
  </si>
  <si>
    <t>K04</t>
  </si>
  <si>
    <t>K05</t>
  </si>
  <si>
    <t>SAINT POURCAIN s/ Sioule - Travaux de Voirie 2020</t>
  </si>
  <si>
    <t>RAK05E*</t>
  </si>
  <si>
    <t>RAK05E</t>
  </si>
  <si>
    <t>73 k</t>
  </si>
  <si>
    <t>K06</t>
  </si>
  <si>
    <t>Divers G-C Ouest 2020</t>
  </si>
  <si>
    <t>RAK06I*</t>
  </si>
  <si>
    <t>RAK06I</t>
  </si>
  <si>
    <t>K07</t>
  </si>
  <si>
    <t>Batiment LEZOUX</t>
  </si>
  <si>
    <t>RAK07E</t>
  </si>
  <si>
    <t>RAK07E*</t>
  </si>
  <si>
    <t>241 K</t>
  </si>
  <si>
    <t>K08</t>
  </si>
  <si>
    <t>SATHONAY CAMP - Chaufferie</t>
  </si>
  <si>
    <t>RAK08C</t>
  </si>
  <si>
    <t>RAK08C*</t>
  </si>
  <si>
    <t>K09</t>
  </si>
  <si>
    <t>Divers TP LYAUDET 2020</t>
  </si>
  <si>
    <t>RAK09L*</t>
  </si>
  <si>
    <t>RAK09L</t>
  </si>
  <si>
    <t>K10</t>
  </si>
  <si>
    <t>SAINT LEGER s/ Vouzance - Travaux de Voirie 2020-2021</t>
  </si>
  <si>
    <t>RAK10E*</t>
  </si>
  <si>
    <t>RAK10E</t>
  </si>
  <si>
    <t>K11</t>
  </si>
  <si>
    <t>Gare de COSNE sur /Loire - Quai 2</t>
  </si>
  <si>
    <t>Groupt OFFROY / NGE GC</t>
  </si>
  <si>
    <t>RAK11I*</t>
  </si>
  <si>
    <t>RAK11I</t>
  </si>
  <si>
    <t>700 k€</t>
  </si>
  <si>
    <t>K12</t>
  </si>
  <si>
    <t>Création du poste source de LA SALLE (71)</t>
  </si>
  <si>
    <t>GUINTOLI (stpd de DEMOUY)</t>
  </si>
  <si>
    <t>RAK12B</t>
  </si>
  <si>
    <t>RAK12B*</t>
  </si>
  <si>
    <t>G. JACQUOT</t>
  </si>
  <si>
    <t>551 k€</t>
  </si>
  <si>
    <t>K13</t>
  </si>
  <si>
    <t>JENZAT - Construction d'une centrale hydroéléctrique</t>
  </si>
  <si>
    <t>RAK13I*</t>
  </si>
  <si>
    <t>RAK13I</t>
  </si>
  <si>
    <t>590 k€</t>
  </si>
  <si>
    <t>K14</t>
  </si>
  <si>
    <t>NUC- BUGEY Réseaux SEH, SEO &amp; SEU</t>
  </si>
  <si>
    <t>RAK14J</t>
  </si>
  <si>
    <t>RAK14J*</t>
  </si>
  <si>
    <t>1 000 k€</t>
  </si>
  <si>
    <t>K15</t>
  </si>
  <si>
    <t>RAK15C</t>
  </si>
  <si>
    <t>RAK15C*</t>
  </si>
  <si>
    <t>VENISSIEUX Place Ennemont ROMAND Lot 1</t>
  </si>
  <si>
    <t>570 k€</t>
  </si>
  <si>
    <t>K16</t>
  </si>
  <si>
    <t>D &amp; I</t>
  </si>
  <si>
    <t>Passerelle du Soleil / ZAC Plaine Achille à St Etienne</t>
  </si>
  <si>
    <t>NGE GC / GUINTOLI</t>
  </si>
  <si>
    <t>RAK16D</t>
  </si>
  <si>
    <t>RAK16D*</t>
  </si>
  <si>
    <t>RAK16I</t>
  </si>
  <si>
    <t>R. MAUCHET / B. JANISSET</t>
  </si>
  <si>
    <t>727  k€ (N 638 k€ + G 89 k€)</t>
  </si>
  <si>
    <t>K17</t>
  </si>
  <si>
    <t>CAM Le Clos des Vignes - Aménagement des abords du village intergénérationnel</t>
  </si>
  <si>
    <t>GUINTOLI / SIORAT</t>
  </si>
  <si>
    <t>RAK17E</t>
  </si>
  <si>
    <t>RAK17E*</t>
  </si>
  <si>
    <t>K18</t>
  </si>
  <si>
    <t>RDTA Ambérieu en Bugey</t>
  </si>
  <si>
    <t>RAK18A</t>
  </si>
  <si>
    <t>RAK18A*</t>
  </si>
  <si>
    <t>K19</t>
  </si>
  <si>
    <t>MAYET d'Ecole - Aménagement de Bourg : Abords de la Mairie &amp; rue de la Vignère - Lot 1</t>
  </si>
  <si>
    <t>RAK19E*</t>
  </si>
  <si>
    <t>RAK19E</t>
  </si>
  <si>
    <t>257 k€</t>
  </si>
  <si>
    <t>K20</t>
  </si>
  <si>
    <t>BESANCON - Aménagement du Carrefour des 4 Vents Lot 1</t>
  </si>
  <si>
    <t>RAK20B</t>
  </si>
  <si>
    <t>RAK20B*</t>
  </si>
  <si>
    <t>Y.BERNARDIN</t>
  </si>
  <si>
    <t>K21</t>
  </si>
  <si>
    <t>SEMERAP - Travaux de canalisation Eau Potable et Terrassement</t>
  </si>
  <si>
    <t>RAK21L*</t>
  </si>
  <si>
    <t>RAK21L</t>
  </si>
  <si>
    <t>K22</t>
  </si>
  <si>
    <t>CAM -Fontes Grises avenue des Co3ages à CLERMONT-FERRAND</t>
  </si>
  <si>
    <t>RAK22K*</t>
  </si>
  <si>
    <t>RAK22K</t>
  </si>
  <si>
    <t>1 075 k€</t>
  </si>
  <si>
    <t>K23</t>
  </si>
  <si>
    <t>E &amp; I</t>
  </si>
  <si>
    <t>PPP ST FLOUR - Maintenance</t>
  </si>
  <si>
    <t>RAK23E</t>
  </si>
  <si>
    <t>RAK23E*</t>
  </si>
  <si>
    <t>RAK23I</t>
  </si>
  <si>
    <t>GUINTOLI / NGE GC</t>
  </si>
  <si>
    <t>K24</t>
  </si>
  <si>
    <t>DRAMBON Casiers 2A &amp; 2B</t>
  </si>
  <si>
    <t>Groupt PENNEQUIN TP / GUINTOLI</t>
  </si>
  <si>
    <t>RAK24B</t>
  </si>
  <si>
    <t>RAK24B*</t>
  </si>
  <si>
    <t>800 k€ dont 50% pour GUINTOLI</t>
  </si>
  <si>
    <t>K25</t>
  </si>
  <si>
    <t>SIORAT Marché de Grave Emulsions</t>
  </si>
  <si>
    <t>RAK25E*</t>
  </si>
  <si>
    <t>RAK25E</t>
  </si>
  <si>
    <t>K26</t>
  </si>
  <si>
    <t>Chantiers Divers MALEYRAT</t>
  </si>
  <si>
    <t>RAK26E</t>
  </si>
  <si>
    <t>RAK26E*</t>
  </si>
  <si>
    <t>K27</t>
  </si>
  <si>
    <t>BAZOIS Loire Morvan - Voirie 2020</t>
  </si>
  <si>
    <t>Groupt SIORAT / JAILLLOT NOLIN</t>
  </si>
  <si>
    <t>RAK27E</t>
  </si>
  <si>
    <t>RAK27E*</t>
  </si>
  <si>
    <t>K28</t>
  </si>
  <si>
    <t>RAK28D</t>
  </si>
  <si>
    <t xml:space="preserve">D </t>
  </si>
  <si>
    <t>RAK28D*</t>
  </si>
  <si>
    <t>55 k€</t>
  </si>
  <si>
    <t>SURY Le Comtal Création Parking</t>
  </si>
  <si>
    <t>K29</t>
  </si>
  <si>
    <t>NUC- BUGEY Travaux Divers</t>
  </si>
  <si>
    <t>RAK29A</t>
  </si>
  <si>
    <t>RAK29A*</t>
  </si>
  <si>
    <t>L. GARNIER</t>
  </si>
  <si>
    <t>K30</t>
  </si>
  <si>
    <t>NUC- BUGEY IDT centralisée</t>
  </si>
  <si>
    <t>Groupt GUINTOLI / ORYS</t>
  </si>
  <si>
    <t>RAK30A</t>
  </si>
  <si>
    <t>RAK30A*</t>
  </si>
  <si>
    <t>2 512 k€ dont 776,5 k€ pour GUINTOLI</t>
  </si>
  <si>
    <t>K31</t>
  </si>
  <si>
    <t>INTERMARCHE St Georges de Mons</t>
  </si>
  <si>
    <t>RAK31E</t>
  </si>
  <si>
    <t>RAK31E*</t>
  </si>
  <si>
    <t>45,6 k€</t>
  </si>
  <si>
    <t>K32</t>
  </si>
  <si>
    <t xml:space="preserve">VIC LE COMTE EHPAD J-B &amp; Edmond BARGOIN </t>
  </si>
  <si>
    <t>RAK32E</t>
  </si>
  <si>
    <t>RAK32E*</t>
  </si>
  <si>
    <t>546,8 k€</t>
  </si>
  <si>
    <t>K33</t>
  </si>
  <si>
    <t xml:space="preserve">SURY Réaménagement du casier 5 – Partie Est de l’ISDD </t>
  </si>
  <si>
    <t xml:space="preserve">Groupt GUINTOLI / GEOBTP </t>
  </si>
  <si>
    <t>RAK33D</t>
  </si>
  <si>
    <t>RAK33D*</t>
  </si>
  <si>
    <t>K34</t>
  </si>
  <si>
    <t>BACACIER - Agrandissemernt parking Charles BONPAIN</t>
  </si>
  <si>
    <t>RAK34E</t>
  </si>
  <si>
    <t>RAK34E*</t>
  </si>
  <si>
    <t>142 k€</t>
  </si>
  <si>
    <t>K35</t>
  </si>
  <si>
    <t xml:space="preserve">TRAVAUX DE REPRISE DU SEUIL DE L ALLIER </t>
  </si>
  <si>
    <t>RAK35E*</t>
  </si>
  <si>
    <t>RAK35E</t>
  </si>
  <si>
    <t>K36</t>
  </si>
  <si>
    <t>T2 Extension ligne au sud de la Confluence - Tvx Débranchement T2</t>
  </si>
  <si>
    <t xml:space="preserve">Groupt TSO / GUINTOLI / TSO Catenaires / TSO Signalisation / SECA / EHTP / SPIE CITY Networks / AGILIS </t>
  </si>
  <si>
    <t>RAK36C</t>
  </si>
  <si>
    <t>RAK36C*</t>
  </si>
  <si>
    <t>K37</t>
  </si>
  <si>
    <t>MEYZIEU Extension Parking des Panettes</t>
  </si>
  <si>
    <t>RAK37C</t>
  </si>
  <si>
    <t>RAK37C*</t>
  </si>
  <si>
    <t>595 K€</t>
  </si>
  <si>
    <t>M.DOS SANTOS / J.PEYRICAL</t>
  </si>
  <si>
    <t>K38</t>
  </si>
  <si>
    <t>Ilôt Fontenay LYON7 - de la place des Pavillons et rue Mérieux</t>
  </si>
  <si>
    <t>RAK38C</t>
  </si>
  <si>
    <t>RAK38C*</t>
  </si>
  <si>
    <t>3 243 K€</t>
  </si>
  <si>
    <t>V. REPELLIN / J.PEYRICAL</t>
  </si>
  <si>
    <t>K39</t>
  </si>
  <si>
    <t>ASNIERES les Dijons - Carrefour Giratoire RD974-104</t>
  </si>
  <si>
    <t xml:space="preserve">Groupt GUINTOLI / SIORAT </t>
  </si>
  <si>
    <t>RAK39B</t>
  </si>
  <si>
    <t>RAK39B*</t>
  </si>
  <si>
    <t>480 K€</t>
  </si>
  <si>
    <t>K40</t>
  </si>
  <si>
    <t>BRGM- Pré Alerte Feu de Terril du Puy de Coincy - SAINTE FLORINE</t>
  </si>
  <si>
    <t>RAK40L*</t>
  </si>
  <si>
    <t>RAK40L</t>
  </si>
  <si>
    <t>85 k€</t>
  </si>
  <si>
    <t>Groupt GUINTOLI / NGE GC</t>
  </si>
  <si>
    <t>RAK35I</t>
  </si>
  <si>
    <t>419 k€</t>
  </si>
  <si>
    <t>K41</t>
  </si>
  <si>
    <t>Divers SIORAT Auvergne 2020</t>
  </si>
  <si>
    <t>RAK41E*</t>
  </si>
  <si>
    <t>RAK41E</t>
  </si>
  <si>
    <t>Groupt GUINTOLI / BRUNET TP</t>
  </si>
  <si>
    <t>K42</t>
  </si>
  <si>
    <t>LIDL BONSON</t>
  </si>
  <si>
    <t>RAK42D</t>
  </si>
  <si>
    <t>RAK42D*</t>
  </si>
  <si>
    <t>580 k€</t>
  </si>
  <si>
    <t>K43</t>
  </si>
  <si>
    <t>Divers SIORAT DURIF 2020</t>
  </si>
  <si>
    <t>RAK43E*</t>
  </si>
  <si>
    <t>RAK43E</t>
  </si>
  <si>
    <t>K44</t>
  </si>
  <si>
    <t>I &amp; D</t>
  </si>
  <si>
    <t>Centrale de LEMPDES sur Allagnon - Mise en conformité écologique (Barrage de Chambezon)</t>
  </si>
  <si>
    <t>RAK44D*</t>
  </si>
  <si>
    <t>RAK44D</t>
  </si>
  <si>
    <t>RAK44I</t>
  </si>
  <si>
    <t>725 k€</t>
  </si>
  <si>
    <t>K45</t>
  </si>
  <si>
    <t>C.C. Pays de Tronçais - Tvx Voirie 2020 Lot1</t>
  </si>
  <si>
    <t>RAK45E*</t>
  </si>
  <si>
    <t>RAK45E</t>
  </si>
  <si>
    <t>K46</t>
  </si>
  <si>
    <t>SNCF Accord Cadre à BDC / mise en conformité des protections collectives</t>
  </si>
  <si>
    <t>Groupt NGE GC / BOUILLOT BTP</t>
  </si>
  <si>
    <t>RAK46I*</t>
  </si>
  <si>
    <t>RAK46I</t>
  </si>
  <si>
    <t>K47</t>
  </si>
  <si>
    <t>A75 "Le Crest" Raccordement définitif RD 120</t>
  </si>
  <si>
    <t>RAK47E</t>
  </si>
  <si>
    <t>RAK47E*</t>
  </si>
  <si>
    <t>K48</t>
  </si>
  <si>
    <t>CER ROCHEFORT - MONTAGNE Lot1</t>
  </si>
  <si>
    <t>RAK48L*</t>
  </si>
  <si>
    <t>RAK48L</t>
  </si>
  <si>
    <t>K49</t>
  </si>
  <si>
    <t xml:space="preserve">C.C. Combrailles, Sioule &amp; Morge - Voirie Teilhede 2020 </t>
  </si>
  <si>
    <t>Groupt TP LYAUDET / SIORAT</t>
  </si>
  <si>
    <t>RAK49L*</t>
  </si>
  <si>
    <t>RAK49L</t>
  </si>
  <si>
    <t>K50</t>
  </si>
  <si>
    <t>GBM - Travaux entretien voiries chaussées</t>
  </si>
  <si>
    <t>GUINTOLI (stpd de BONNEFOY)</t>
  </si>
  <si>
    <t>RAK50B</t>
  </si>
  <si>
    <t>RAK50B*</t>
  </si>
  <si>
    <t>65 KE</t>
  </si>
  <si>
    <t>=&gt; Intégré à l'affaire RAI39E</t>
  </si>
  <si>
    <t>K51</t>
  </si>
  <si>
    <t>BACACIER RIOM</t>
  </si>
  <si>
    <t>RAK51E</t>
  </si>
  <si>
    <t>RAK51E*</t>
  </si>
  <si>
    <t>K52</t>
  </si>
  <si>
    <t>CAM STEP des 3 Rivières Méthanisation</t>
  </si>
  <si>
    <t>RAK52I</t>
  </si>
  <si>
    <t>53 893 k€</t>
  </si>
  <si>
    <t>COMMENTRY-MONTLUCON - Accord Cadre d'entretien EVOLEA (4ans)</t>
  </si>
  <si>
    <t>RAK53E*</t>
  </si>
  <si>
    <t>RAK53E</t>
  </si>
  <si>
    <t>K53</t>
  </si>
  <si>
    <t>SNCF Contrat GOP 2021 MOULIN - ST GERMAIN FOSSES</t>
  </si>
  <si>
    <t>Groupt NGE GC / BTPS Atlantique / GUINTOLI / AQUITAINE RAIL / OFFROY / TSO CAT. / TSO Signalisation / DYNAMIQUE Env.</t>
  </si>
  <si>
    <t>K54</t>
  </si>
  <si>
    <t>RAK54E</t>
  </si>
  <si>
    <t>RAK54E*</t>
  </si>
  <si>
    <t>RAK54I</t>
  </si>
  <si>
    <t>K55</t>
  </si>
  <si>
    <t>Groupt ODTP 43 / NGE GC / GAUTHIER</t>
  </si>
  <si>
    <t>RAK55I*</t>
  </si>
  <si>
    <t>RAK55I</t>
  </si>
  <si>
    <t>K56</t>
  </si>
  <si>
    <t>HBA Réseau d'évacuation des eaux pluviales à IZERNORE (Gendarmerie)</t>
  </si>
  <si>
    <t>RAK56J*</t>
  </si>
  <si>
    <t>RAK56J</t>
  </si>
  <si>
    <t>45 k€</t>
  </si>
  <si>
    <t>K57</t>
  </si>
  <si>
    <t>Lac Réservoir de PANNECIERE</t>
  </si>
  <si>
    <t>RAK57I*</t>
  </si>
  <si>
    <t>RAK57I</t>
  </si>
  <si>
    <t>695 k€</t>
  </si>
  <si>
    <t>K58</t>
  </si>
  <si>
    <t>J &amp; H</t>
  </si>
  <si>
    <t>STEP de St Maurice L'Exil</t>
  </si>
  <si>
    <t>Groupt NGE GC / EHTP / SOC</t>
  </si>
  <si>
    <t>RAK58J</t>
  </si>
  <si>
    <t>RAK58H</t>
  </si>
  <si>
    <t>1 171 k€</t>
  </si>
  <si>
    <t>K59</t>
  </si>
  <si>
    <t>K60</t>
  </si>
  <si>
    <t>Groupt GUINTOLI / VINCENT TP</t>
  </si>
  <si>
    <t>RAK59A</t>
  </si>
  <si>
    <t>RAK59A*</t>
  </si>
  <si>
    <t>RAK60A</t>
  </si>
  <si>
    <t>RAK60A*</t>
  </si>
  <si>
    <t>K61</t>
  </si>
  <si>
    <t>Mise en accessibilité des arrêts de cars (CG01) Lot n° 3 - Secteur Val de Saône</t>
  </si>
  <si>
    <t>RAK61A</t>
  </si>
  <si>
    <t>RAK61A*</t>
  </si>
  <si>
    <t>K62</t>
  </si>
  <si>
    <t>DIJON Métropole : Renouvellement AEP à DAIX &amp; FONTAINE LES DIJON</t>
  </si>
  <si>
    <t>Groupt BER21 / EHTP</t>
  </si>
  <si>
    <t>RAK62J</t>
  </si>
  <si>
    <t>RAK62J*</t>
  </si>
  <si>
    <t>159 k€</t>
  </si>
  <si>
    <t>K63</t>
  </si>
  <si>
    <t>A75 "Le Crest" Plateforme mât radio A71</t>
  </si>
  <si>
    <t>RAK63E*</t>
  </si>
  <si>
    <t>RAK63E</t>
  </si>
  <si>
    <t>123k€</t>
  </si>
  <si>
    <t>K64</t>
  </si>
  <si>
    <t>RAK64I</t>
  </si>
  <si>
    <t>NGE GC Divers Tvx Réha.</t>
  </si>
  <si>
    <t>K65</t>
  </si>
  <si>
    <t>NGE GC Divers Tvx Neufs</t>
  </si>
  <si>
    <t>RAK65I</t>
  </si>
  <si>
    <t>K66</t>
  </si>
  <si>
    <t>SNCF Ligne Eygurande - Clermond (Durtol): Dalôt &amp; confortement regards</t>
  </si>
  <si>
    <t>RAK66I</t>
  </si>
  <si>
    <t>K67</t>
  </si>
  <si>
    <t>VILLENEUVE Les Cerfs</t>
  </si>
  <si>
    <t>RAK67E*</t>
  </si>
  <si>
    <t>RAK67E</t>
  </si>
  <si>
    <t>66 k€</t>
  </si>
  <si>
    <t>K68</t>
  </si>
  <si>
    <t>Barrage de Villerest</t>
  </si>
  <si>
    <t>RAK68I</t>
  </si>
  <si>
    <t>K69</t>
  </si>
  <si>
    <t>OYONNAX Rue des  Burgondes</t>
  </si>
  <si>
    <t>RAK69A</t>
  </si>
  <si>
    <t>RAK69A*</t>
  </si>
  <si>
    <t>157 k€</t>
  </si>
  <si>
    <t xml:space="preserve">Groupt GUINTOLI /ASENCI TP /  Daniel DELAVET &amp; Fils </t>
  </si>
  <si>
    <t>K70</t>
  </si>
  <si>
    <t>NUC-EDF Prélèvements Carrotages</t>
  </si>
  <si>
    <t>RAK70H*</t>
  </si>
  <si>
    <t>RAK70H</t>
  </si>
  <si>
    <t>427 k€</t>
  </si>
  <si>
    <t>K71</t>
  </si>
  <si>
    <t>Réfection de chaussée route de Chaugnes / Commune de Manglieu &amp; Sallèdes</t>
  </si>
  <si>
    <t>RAK71E</t>
  </si>
  <si>
    <t>RAK71E*</t>
  </si>
  <si>
    <t>56 k€</t>
  </si>
  <si>
    <t>K72</t>
  </si>
  <si>
    <t>CAM Accord Cadre Lot7 - Rue du Vivarai à COURNON</t>
  </si>
  <si>
    <t>RAK72K</t>
  </si>
  <si>
    <t>RAK72K*</t>
  </si>
  <si>
    <t>K73</t>
  </si>
  <si>
    <t>A6 Tvx de parachèvement Accord Cadre /Aménagement 3ème voie Secteur Auxerre</t>
  </si>
  <si>
    <t>RAK73B</t>
  </si>
  <si>
    <t>RAK73B*</t>
  </si>
  <si>
    <t>317 k€</t>
  </si>
  <si>
    <t>K74</t>
  </si>
  <si>
    <t>SNCF Démolition du Pro de DOMERAT</t>
  </si>
  <si>
    <t>RAK74E</t>
  </si>
  <si>
    <t>RAK74E*</t>
  </si>
  <si>
    <t>144 k€</t>
  </si>
  <si>
    <t>K75</t>
  </si>
  <si>
    <t>Divers Franche-Comté</t>
  </si>
  <si>
    <t>RAK75B</t>
  </si>
  <si>
    <t>RAK75B*</t>
  </si>
  <si>
    <t>K76</t>
  </si>
  <si>
    <t>APRR Déneigement 2020-2024</t>
  </si>
  <si>
    <t>RAK76A</t>
  </si>
  <si>
    <t>RAK76A*</t>
  </si>
  <si>
    <t>K77</t>
  </si>
  <si>
    <t>RAK77C</t>
  </si>
  <si>
    <t>RAK77C*</t>
  </si>
  <si>
    <t>APRR Création Parking Personnel Villefranche</t>
  </si>
  <si>
    <t>K78</t>
  </si>
  <si>
    <t>VULCANIA Travaux d'aménagements divers - Lot 01</t>
  </si>
  <si>
    <t>RAK78L*</t>
  </si>
  <si>
    <t>RAK78L</t>
  </si>
  <si>
    <t>K79</t>
  </si>
  <si>
    <t xml:space="preserve">TP LYAUDET – CARRIERES DE ST SULPICE </t>
  </si>
  <si>
    <t>RAK79L</t>
  </si>
  <si>
    <t>K80</t>
  </si>
  <si>
    <t>RAK80J</t>
  </si>
  <si>
    <t>VALSERHONE G.E.R. / PPP Bellegarde</t>
  </si>
  <si>
    <t>K81</t>
  </si>
  <si>
    <t>VICHY Aménagement de l'entrée du Plan d'Eau de Saint Clément</t>
  </si>
  <si>
    <t>RAK81E</t>
  </si>
  <si>
    <t>RAK81E*</t>
  </si>
  <si>
    <t>59 k€</t>
  </si>
  <si>
    <t>K82</t>
  </si>
  <si>
    <t xml:space="preserve">SPOY Travaux de restauration écologique du site </t>
  </si>
  <si>
    <t>RAK82L</t>
  </si>
  <si>
    <t>113,75 k€</t>
  </si>
  <si>
    <t>K83</t>
  </si>
  <si>
    <t>PUP Ginko</t>
  </si>
  <si>
    <t>RAK83C</t>
  </si>
  <si>
    <t>RAK83C*</t>
  </si>
  <si>
    <t>K84</t>
  </si>
  <si>
    <t>LYON 9ème &amp; 5ème - Rue Pierre AUDRY</t>
  </si>
  <si>
    <t>RAK84C</t>
  </si>
  <si>
    <t>RAK84C*</t>
  </si>
  <si>
    <t>K85</t>
  </si>
  <si>
    <t>SNCF Ligne Montluçon - St Sulpice PRA 327+695</t>
  </si>
  <si>
    <t>RAK85I</t>
  </si>
  <si>
    <t>65 k€</t>
  </si>
  <si>
    <t>SEC</t>
  </si>
  <si>
    <t>Industries SEC Auvergne</t>
  </si>
  <si>
    <t>RASECE</t>
  </si>
  <si>
    <t>B.MARION</t>
  </si>
  <si>
    <t>K86</t>
  </si>
  <si>
    <t>SNCF Démolition Pont Route de Domérat</t>
  </si>
  <si>
    <t>RAK86I</t>
  </si>
  <si>
    <t>143,65 k€</t>
  </si>
  <si>
    <t>K87</t>
  </si>
  <si>
    <t>LARODDE Aménagement Lotissement Communal de Chambas Lots 1 &amp; 2</t>
  </si>
  <si>
    <t>Groupt TP LYAUDET / LEMMONIER</t>
  </si>
  <si>
    <t>88 k€</t>
  </si>
  <si>
    <t>K88</t>
  </si>
  <si>
    <t>RAK88E*</t>
  </si>
  <si>
    <t>RAK88E</t>
  </si>
  <si>
    <t>106,4k€</t>
  </si>
  <si>
    <t>SNCF Réfection maçonneries à Domérat / Ligne Montluçon - St Sulpice</t>
  </si>
  <si>
    <t>GUINTOLI (avec NGE GC en STPD)</t>
  </si>
  <si>
    <t>RAK88I</t>
  </si>
  <si>
    <t>GUINTOLI (stpd de NGE GC / RAK86I))</t>
  </si>
  <si>
    <t>K89</t>
  </si>
  <si>
    <t>ISSOIRE Parkings Animatis &amp; Frères Lumière</t>
  </si>
  <si>
    <t>RAK89E</t>
  </si>
  <si>
    <t>RAK89E*</t>
  </si>
  <si>
    <t>395,4k€</t>
  </si>
  <si>
    <t>K90</t>
  </si>
  <si>
    <t>STEF DONZENAC</t>
  </si>
  <si>
    <t>RAK90I</t>
  </si>
  <si>
    <t>152,6k€</t>
  </si>
  <si>
    <t>K91</t>
  </si>
  <si>
    <t xml:space="preserve">LES ANCIZES COMPS - LE CHAMPS DES SABLES: TRAVAUX DE DEMOLITIONS ET DESAMIANTAGE DES BATIMENTS (24 logts) </t>
  </si>
  <si>
    <t>RAK91E</t>
  </si>
  <si>
    <t>112k€</t>
  </si>
  <si>
    <t>RAK91E*</t>
  </si>
  <si>
    <t>K92</t>
  </si>
  <si>
    <t>ZAC CASTELLANE Finitions 2</t>
  </si>
  <si>
    <t>RAK92C</t>
  </si>
  <si>
    <t>RAK92C*</t>
  </si>
  <si>
    <t>K93</t>
  </si>
  <si>
    <t>LARODDE Diminution des eaux claires parasites</t>
  </si>
  <si>
    <t>183 k€</t>
  </si>
  <si>
    <t>RAK93L</t>
  </si>
  <si>
    <t>K94</t>
  </si>
  <si>
    <t>RD122 Déviation de SANSAC</t>
  </si>
  <si>
    <t>RAK94E</t>
  </si>
  <si>
    <t>RAK94I</t>
  </si>
  <si>
    <t>RAK94E*</t>
  </si>
  <si>
    <t>DIVERS LYON RHÔNE 2021</t>
  </si>
  <si>
    <t>RAL01C</t>
  </si>
  <si>
    <t>RAL01C*</t>
  </si>
  <si>
    <t>LISTES DES AFFAIRES A.R.S OUVERTES sur 2021</t>
  </si>
  <si>
    <t>YSSINGEAUX TOARC Doublement RD88</t>
  </si>
  <si>
    <t>Groupt GUINTOLI / EHTP / SIORAT / NGE GC / AGILIS / NGE Fondations</t>
  </si>
  <si>
    <t>RAK95C</t>
  </si>
  <si>
    <t>RAK95C*</t>
  </si>
  <si>
    <t>RAK95I</t>
  </si>
  <si>
    <t>17 500 k€</t>
  </si>
  <si>
    <t>K95</t>
  </si>
  <si>
    <t>K96</t>
  </si>
  <si>
    <t>CD25 Accord Cadre d'entretien RD - Lot2 MONTBELIARD</t>
  </si>
  <si>
    <t>RAK96B</t>
  </si>
  <si>
    <t>RAK96B*</t>
  </si>
  <si>
    <t>Y. BERNARDIN</t>
  </si>
  <si>
    <t>K97</t>
  </si>
  <si>
    <t>RAK97H</t>
  </si>
  <si>
    <t>K98</t>
  </si>
  <si>
    <t xml:space="preserve">ZAC  de Trémonteix - Lot4 </t>
  </si>
  <si>
    <t xml:space="preserve">Groupt GUINTOLI / SOLS Loire Auvergne / </t>
  </si>
  <si>
    <t>RAK98E</t>
  </si>
  <si>
    <t>RAK98E*</t>
  </si>
  <si>
    <t>573 k€</t>
  </si>
  <si>
    <t>K99</t>
  </si>
  <si>
    <t>300 k€</t>
  </si>
  <si>
    <t>K1A</t>
  </si>
  <si>
    <t>I &amp; B</t>
  </si>
  <si>
    <t>SNCF Tvx APMR Auxerre</t>
  </si>
  <si>
    <t>Groupt NGE GC / GUINTOLI / OFFROY / NGE FONDATIONS</t>
  </si>
  <si>
    <t>RAK1AB</t>
  </si>
  <si>
    <t>RAK1AB*</t>
  </si>
  <si>
    <t>RAK1AI</t>
  </si>
  <si>
    <t>K1B</t>
  </si>
  <si>
    <t>Les VALLONS (NRJ SEP + Tvx Propres)</t>
  </si>
  <si>
    <t>Groupt EIFFAGE / GUINTOLI / EHTP</t>
  </si>
  <si>
    <t>RAK1BC</t>
  </si>
  <si>
    <t>RAK1BC*</t>
  </si>
  <si>
    <t>C.E. AUGEREAU / J. PEYRICAL</t>
  </si>
  <si>
    <t>L01</t>
  </si>
  <si>
    <t>L02</t>
  </si>
  <si>
    <t>E&amp;I</t>
  </si>
  <si>
    <t>SNCF ADAP MOULINS Lot 2</t>
  </si>
  <si>
    <t>Groupt NGE GC / GUINTOLI / OFFROY / TECHNIC'ELEC</t>
  </si>
  <si>
    <t>RAL02E</t>
  </si>
  <si>
    <t>RAL02E*</t>
  </si>
  <si>
    <t>RAL02I</t>
  </si>
  <si>
    <t>L03</t>
  </si>
  <si>
    <t>HBA Accord Cadre/ AEP, Assainissement &amp; EP - Lot1 HBA Nord</t>
  </si>
  <si>
    <t>Groupt DUMAS TP / EHTP / SNTP / VINCENT TP</t>
  </si>
  <si>
    <t>RAL03J*</t>
  </si>
  <si>
    <t>RAL03J</t>
  </si>
  <si>
    <t>C. BEKCI / N. DINET</t>
  </si>
  <si>
    <t>L04</t>
  </si>
  <si>
    <t>CAM Accord Cadre - Tvx AEP &amp; Assainissement / rue du Moulin au CENDRE Lot 1</t>
  </si>
  <si>
    <t>RAL04K*</t>
  </si>
  <si>
    <t>RAL04K</t>
  </si>
  <si>
    <t>L05</t>
  </si>
  <si>
    <t>Divers MALEYRAT 2021</t>
  </si>
  <si>
    <t>RAL05E</t>
  </si>
  <si>
    <t>RAL05E*</t>
  </si>
  <si>
    <t>L06</t>
  </si>
  <si>
    <t>RAL06I</t>
  </si>
  <si>
    <t>L07</t>
  </si>
  <si>
    <t>Groupt GUINTOLI / SADOURNY</t>
  </si>
  <si>
    <t>RAL07E</t>
  </si>
  <si>
    <t>RAL07E*</t>
  </si>
  <si>
    <t>M. BRAY</t>
  </si>
  <si>
    <t>ASSEMBLIA Dépollution et désamiantage d'un résidence de 18 logements à CLERMONT</t>
  </si>
  <si>
    <t>SNCF Passerelle de TARARE</t>
  </si>
  <si>
    <t>Groupt NGE GC / LEGRAND / BOUYGUES Energies &amp; Services / DR EQUIPEMENT</t>
  </si>
  <si>
    <t>L. GRAND</t>
  </si>
  <si>
    <t>NGE GC = 1 010 k€ / Total de 1 867 k€</t>
  </si>
  <si>
    <t>L08</t>
  </si>
  <si>
    <t>LE CENDRE Renouvellement réseau AEP Rue du Moulin</t>
  </si>
  <si>
    <t>RAL08K*</t>
  </si>
  <si>
    <t>RAL08K</t>
  </si>
  <si>
    <t>P.PRECHONNET</t>
  </si>
  <si>
    <t>68,3 k€</t>
  </si>
  <si>
    <r>
      <t xml:space="preserve">Groupt NGE GC / </t>
    </r>
    <r>
      <rPr>
        <b/>
        <sz val="14"/>
        <color indexed="10"/>
        <rFont val="Arial"/>
        <family val="2"/>
      </rPr>
      <t>OFFROY</t>
    </r>
  </si>
  <si>
    <t>L09</t>
  </si>
  <si>
    <t>ST POUCAIN s/ Sioule - Démol. &amp; Reconstruction d'un O.A. de franchissement de la Rivière</t>
  </si>
  <si>
    <t>RAL09E</t>
  </si>
  <si>
    <t>RAL09E*</t>
  </si>
  <si>
    <t>48,65 k€</t>
  </si>
  <si>
    <t>L10</t>
  </si>
  <si>
    <t>BESSAY s/ Allier - Programme Voirie 2021</t>
  </si>
  <si>
    <t>RAL10E*</t>
  </si>
  <si>
    <t>RAL10E</t>
  </si>
  <si>
    <t>D. LOPES</t>
  </si>
  <si>
    <t>56,6 k€</t>
  </si>
  <si>
    <t>L11</t>
  </si>
  <si>
    <t>CCDSV Accord Cadre Réhab. Tvx d'entretien &amp; VRD</t>
  </si>
  <si>
    <t>Groupt COIRO / GUINTOLI</t>
  </si>
  <si>
    <t>RAL11C*</t>
  </si>
  <si>
    <t>RAL11C</t>
  </si>
  <si>
    <t>L12</t>
  </si>
  <si>
    <t>LYON Réfection de Tranchées Lot1</t>
  </si>
  <si>
    <t>Groupt MGB / RAZEL / CARRION / GUINTOLI</t>
  </si>
  <si>
    <t>RAL12C</t>
  </si>
  <si>
    <t>RAL12C*</t>
  </si>
  <si>
    <t>L13</t>
  </si>
  <si>
    <t>LYON Réfection de Tranchées Lot6</t>
  </si>
  <si>
    <t>Groupt RAZEL / GUINTOLI / MGB / CARRION</t>
  </si>
  <si>
    <t>L14</t>
  </si>
  <si>
    <t>LYON Réfection de Tranchées Lot7</t>
  </si>
  <si>
    <t>RAL13C</t>
  </si>
  <si>
    <t>RAL13C*</t>
  </si>
  <si>
    <t>RAL14C</t>
  </si>
  <si>
    <t>RAL14C*</t>
  </si>
  <si>
    <t>L15</t>
  </si>
  <si>
    <t>ENGIE R.C.U. LYON (Compte NRJ SEP)</t>
  </si>
  <si>
    <t>Groupt EHTP / COIRO (COIRO Gérant de la SEP)</t>
  </si>
  <si>
    <t>RAL15J</t>
  </si>
  <si>
    <t>RAL15J*</t>
  </si>
  <si>
    <t>F. NOUVET</t>
  </si>
  <si>
    <t>L16</t>
  </si>
  <si>
    <t>LA TOUR D'Auvergne - Diminution des eaux claires parasites dans
les réseaux d’eaux usées – Phase n°1 : Mise
en séparatif de la route de Tauves</t>
  </si>
  <si>
    <t>RAL16L*</t>
  </si>
  <si>
    <t>Y. PERRY</t>
  </si>
  <si>
    <t>RAL16L</t>
  </si>
  <si>
    <t>146ke</t>
  </si>
  <si>
    <t>L17</t>
  </si>
  <si>
    <t>CLERMONT - Louis Gentil - Mise en conformité sur l'installation terminale embranchée</t>
  </si>
  <si>
    <t>517ke</t>
  </si>
  <si>
    <t>Groupt OFFROY / GUINTOLI</t>
  </si>
  <si>
    <t>RAL17E</t>
  </si>
  <si>
    <t>RAL17E*</t>
  </si>
  <si>
    <t>L18</t>
  </si>
  <si>
    <t>FCA Vision - ZAC du Petit Pont</t>
  </si>
  <si>
    <t>RAL18E</t>
  </si>
  <si>
    <t>RAL18E*</t>
  </si>
  <si>
    <t>88ke</t>
  </si>
  <si>
    <t>L19</t>
  </si>
  <si>
    <t>Divers Y. CHAMPENOIS / Bourgogne</t>
  </si>
  <si>
    <t>RAL19B</t>
  </si>
  <si>
    <t>RAL19B*</t>
  </si>
  <si>
    <t>L20</t>
  </si>
  <si>
    <t>Divers P. VAISSIERE / Bourgogne</t>
  </si>
  <si>
    <t>RAL20B</t>
  </si>
  <si>
    <t>RAL20B*</t>
  </si>
  <si>
    <t>L21</t>
  </si>
  <si>
    <t>Groupt GUINTOLI / OFFROY</t>
  </si>
  <si>
    <t>RAL21B</t>
  </si>
  <si>
    <t>RAL21B*</t>
  </si>
  <si>
    <t>P. VAISSIERE</t>
  </si>
  <si>
    <t>1471 KE (50/50)</t>
  </si>
  <si>
    <t>SNCF mise en accessibilité PMR des quais de la Gare de MONTBARD Lot2</t>
  </si>
  <si>
    <t>SNCF mise en accessibilité PMR des quais de la Gare de MONTBARD Lot 1</t>
  </si>
  <si>
    <t>SEPH23</t>
  </si>
  <si>
    <t>SEPH22</t>
  </si>
  <si>
    <t>RAK52E</t>
  </si>
  <si>
    <t>RAK52K</t>
  </si>
  <si>
    <t>Groupt DEGREMONT / NGE GC / SCATE Automatisation / SUEZ Consulting / CARLES HEBRAS Maitrias Architecte (avec GUINTOLI &amp; EHTP soustraitants de NGE GC)</t>
  </si>
  <si>
    <t>L22</t>
  </si>
  <si>
    <t>CAM Aménagement de voirie Rue Paul Doumer à PONT DU CHÂTEAU</t>
  </si>
  <si>
    <t>RAL22E</t>
  </si>
  <si>
    <t>RAL22E*</t>
  </si>
  <si>
    <t>PASSAGE A ACTIFS</t>
  </si>
  <si>
    <t>SNCF PN22 à GEMEAUX (21)</t>
  </si>
  <si>
    <t>Groupt OFFROY /GUINTOLI / TSO CAT</t>
  </si>
  <si>
    <t>L23</t>
  </si>
  <si>
    <t>RAL23B</t>
  </si>
  <si>
    <t>RAL23B*</t>
  </si>
  <si>
    <t>147k€ pour GUINTOLI</t>
  </si>
  <si>
    <t>170 ke</t>
  </si>
  <si>
    <t>L24</t>
  </si>
  <si>
    <t>TONNERRE Réservoir</t>
  </si>
  <si>
    <t>RAL24I</t>
  </si>
  <si>
    <t>RAL24I*</t>
  </si>
  <si>
    <t>239 k€</t>
  </si>
  <si>
    <t>L25</t>
  </si>
  <si>
    <t>E &amp; L</t>
  </si>
  <si>
    <t>PUY LONG</t>
  </si>
  <si>
    <t>Group GUINTOLI / TP LYAUDET / SEMONSAT / GETEC</t>
  </si>
  <si>
    <t>RAL25E</t>
  </si>
  <si>
    <t>RAL25L</t>
  </si>
  <si>
    <t>L26</t>
  </si>
  <si>
    <t>ENEDIS Accord Cadre de Réfection Définitives post Tvx</t>
  </si>
  <si>
    <t>RAL26B</t>
  </si>
  <si>
    <t>RAL26B*</t>
  </si>
  <si>
    <t>1 100 k€ de 2021 à 2023 + 400 k€ si 2024</t>
  </si>
  <si>
    <t>RAJ52K</t>
  </si>
  <si>
    <t>1 000 k€ pour G + 1 469 k€ pour TP LYAUDET</t>
  </si>
  <si>
    <t>L27</t>
  </si>
  <si>
    <t>DIVERS SIORAT ALLIER (03)</t>
  </si>
  <si>
    <t>DIVERS SIORAT PUY DE DÔME (63)</t>
  </si>
  <si>
    <t>RAL27E*</t>
  </si>
  <si>
    <t>RAL27E</t>
  </si>
  <si>
    <t>RAL28E*</t>
  </si>
  <si>
    <t>RAL28E</t>
  </si>
  <si>
    <t>L28</t>
  </si>
  <si>
    <t>L29</t>
  </si>
  <si>
    <t>INTERMARCHE ST HEAND</t>
  </si>
  <si>
    <t>RAL29D*</t>
  </si>
  <si>
    <t>RAL29D</t>
  </si>
  <si>
    <t>T. GAY-PEILLER</t>
  </si>
  <si>
    <t>53,7 k€</t>
  </si>
  <si>
    <t>L30</t>
  </si>
  <si>
    <t>RAL30K*</t>
  </si>
  <si>
    <t>RAL30K</t>
  </si>
  <si>
    <t>Prestations Miroirs de CAZAL</t>
  </si>
  <si>
    <t>L31</t>
  </si>
  <si>
    <t>CAM Lot7 Allée du Stade à COURNON</t>
  </si>
  <si>
    <t>GCC Bassin des Saulzes</t>
  </si>
  <si>
    <t>EHTP (st de GCC)</t>
  </si>
  <si>
    <t>RAL31K*</t>
  </si>
  <si>
    <t>RAL31K</t>
  </si>
  <si>
    <t>485 k€</t>
  </si>
  <si>
    <t>L32</t>
  </si>
  <si>
    <t>A46 3OA / Diffuseur de Rillieux La Pape</t>
  </si>
  <si>
    <t>RAL32I</t>
  </si>
  <si>
    <t>549 k€</t>
  </si>
  <si>
    <t>L33</t>
  </si>
  <si>
    <t>CAM Tvx AEP &amp; EU Avenue de la Gare à CHAMALIERES</t>
  </si>
  <si>
    <t>RAL33K*</t>
  </si>
  <si>
    <t>RAL33K</t>
  </si>
  <si>
    <t>382 k€</t>
  </si>
  <si>
    <t>L34</t>
  </si>
  <si>
    <t>Parc AEROPOSTAL de Colombier-Saugnieu</t>
  </si>
  <si>
    <t>RAL34D*</t>
  </si>
  <si>
    <t>RAL34D</t>
  </si>
  <si>
    <t>182,5 k€</t>
  </si>
  <si>
    <t>T.GAY-PEILLER</t>
  </si>
  <si>
    <t>L35</t>
  </si>
  <si>
    <t>RAL35I</t>
  </si>
  <si>
    <t>144,8 k€</t>
  </si>
  <si>
    <t>ST ETIENNE Barrage de Soulages - Reprise bétons de dissipation &amp; Tvx annexes</t>
  </si>
  <si>
    <t>L36</t>
  </si>
  <si>
    <t>MONTLUçON Pont Lamaron</t>
  </si>
  <si>
    <t>Groupt NGE GC / CHAPTARD / SMC</t>
  </si>
  <si>
    <t>RAL36I</t>
  </si>
  <si>
    <t>L37</t>
  </si>
  <si>
    <t>G.B. BOURG EN BRESSE - Accord Cadre AEP Lots n° 3 &amp; Lot n° 8</t>
  </si>
  <si>
    <t>Groupt EHTP / DUMAS TP</t>
  </si>
  <si>
    <t>RAL37J*</t>
  </si>
  <si>
    <t>RAL37J</t>
  </si>
  <si>
    <t>L38</t>
  </si>
  <si>
    <t>OYONNAX Démolition ancien Commissariat Rue Pasteur - Lot 2</t>
  </si>
  <si>
    <t>RAL38A</t>
  </si>
  <si>
    <t>RAL38A*</t>
  </si>
  <si>
    <t>S.WEHRLIN</t>
  </si>
  <si>
    <t>L39</t>
  </si>
  <si>
    <t>COURNON Plateforme Auvergne</t>
  </si>
  <si>
    <t>RAL39E</t>
  </si>
  <si>
    <t>RAL39E*</t>
  </si>
  <si>
    <t>L40</t>
  </si>
  <si>
    <t>VICHY Habitat - Déconstruction des Hotels de Tours et des Charmilles</t>
  </si>
  <si>
    <t>RAL40E</t>
  </si>
  <si>
    <t>RAL40E*</t>
  </si>
  <si>
    <t>L41</t>
  </si>
  <si>
    <t>SNCF Tvx Maçonnerie (ST de BOUILLOT BTP) / Ligne St Germain des Fossés à Nimes</t>
  </si>
  <si>
    <t>NGE GC (ST de BOUILLOT BTP)</t>
  </si>
  <si>
    <t>RAL41I</t>
  </si>
  <si>
    <t>L42</t>
  </si>
  <si>
    <t>APRR Déservoir d'écrêtement A75 Le Crest</t>
  </si>
  <si>
    <t>RAL42L*</t>
  </si>
  <si>
    <t>RAL42L</t>
  </si>
  <si>
    <t>190 k€</t>
  </si>
  <si>
    <t>L43</t>
  </si>
  <si>
    <t>OYONNAX Aménagement parking rue de l'Ancienne Piscine - VRD</t>
  </si>
  <si>
    <t>Groupt GUINTOLI / SIORAT / RINALDI / VERDET</t>
  </si>
  <si>
    <t>RAL43A*</t>
  </si>
  <si>
    <t>RAL43A</t>
  </si>
  <si>
    <t>187 k€</t>
  </si>
  <si>
    <t>L44</t>
  </si>
  <si>
    <t>Groupt GUINTOLI / MDDD</t>
  </si>
  <si>
    <t>RAL44A</t>
  </si>
  <si>
    <t>RAL44A*</t>
  </si>
  <si>
    <t>262 k€</t>
  </si>
  <si>
    <t>MONTREAL LA CLUSE - Désamiantage &amp; Démolition d'un bâtiment au 86, rue de Savoie</t>
  </si>
  <si>
    <t>L45</t>
  </si>
  <si>
    <t>T2 Extension au sud de Confluence - Perrache</t>
  </si>
  <si>
    <t>Groupt TSO / TSO CATENAIRES /  GUINTOLI / SECA</t>
  </si>
  <si>
    <t>RAL45C</t>
  </si>
  <si>
    <t>RAL45C*</t>
  </si>
  <si>
    <t>997 k€</t>
  </si>
  <si>
    <t>L46</t>
  </si>
  <si>
    <t>STEP de SAONEOR</t>
  </si>
  <si>
    <t>EHTP (STPD de TOURNIER)</t>
  </si>
  <si>
    <t>RAL46J*</t>
  </si>
  <si>
    <t>RAL46J</t>
  </si>
  <si>
    <t>443 k€</t>
  </si>
  <si>
    <t>L47</t>
  </si>
  <si>
    <t>CANTAL Grosse réparation &amp; Consolidations d'O.A. / Antenne de Mauriac &amp; Riom-és-Montagne</t>
  </si>
  <si>
    <t>RAL47I</t>
  </si>
  <si>
    <t>825 k€</t>
  </si>
  <si>
    <t>L48</t>
  </si>
  <si>
    <t>ST ETIENNE Aménagement du Boulevard Duval "Cœur de Quartier" rue Dieudonné Costes &amp; Création d'un escalier urbain - Quartier La Cotonne</t>
  </si>
  <si>
    <t>RAL48D</t>
  </si>
  <si>
    <t>RAL48D*</t>
  </si>
  <si>
    <t>L49</t>
  </si>
  <si>
    <t>MICHELIN Modification Pont de Bourges</t>
  </si>
  <si>
    <t>RAL49I</t>
  </si>
  <si>
    <t>295 k€</t>
  </si>
  <si>
    <t>L50</t>
  </si>
  <si>
    <t>MATAFELON-GRANGES Mise en conformité DECI</t>
  </si>
  <si>
    <t>RAL50A</t>
  </si>
  <si>
    <t>RAL50A*</t>
  </si>
  <si>
    <t>L51</t>
  </si>
  <si>
    <t>CHAURIAT Aménagement Quartier Les Plantades</t>
  </si>
  <si>
    <t>RAL51E</t>
  </si>
  <si>
    <t>RAL51E*</t>
  </si>
  <si>
    <t>163 k€</t>
  </si>
  <si>
    <t>LONGVIC - Tvx de renouvellement de réseau AEP</t>
  </si>
  <si>
    <t>RAL52J</t>
  </si>
  <si>
    <t>RAL52J*</t>
  </si>
  <si>
    <t>80 ke</t>
  </si>
  <si>
    <t>SIE St Clair du Rhône  - Tvx de remplacement de conduites AEP Lots 1, 3 &amp; 5</t>
  </si>
  <si>
    <t>RAL53J*</t>
  </si>
  <si>
    <t>RAL53J</t>
  </si>
  <si>
    <t>160 ke</t>
  </si>
  <si>
    <t>L52</t>
  </si>
  <si>
    <t>L53</t>
  </si>
  <si>
    <t>L54</t>
  </si>
  <si>
    <t>ST PRIEST EN JAREZ Tvx de Voirie 2021</t>
  </si>
  <si>
    <t>RAL54D</t>
  </si>
  <si>
    <t>RAL54D*</t>
  </si>
  <si>
    <t>T. GAY-PEILLER / S. CHARTIER</t>
  </si>
  <si>
    <t>L55</t>
  </si>
  <si>
    <t>NUC- VRD CCL CNPE du Bugey</t>
  </si>
  <si>
    <t>RAL55A</t>
  </si>
  <si>
    <t>RAL55A*</t>
  </si>
  <si>
    <t>341 k€ / Cde totale de 768 k€ (Délta pour CNPE CIVAUX-TOURS)</t>
  </si>
  <si>
    <t>L56</t>
  </si>
  <si>
    <t>VILLEURBANNE Extesnion &amp; Réhabilitation du GC Ernest Renan Sud</t>
  </si>
  <si>
    <t>RAL56C</t>
  </si>
  <si>
    <t>RAL56C*</t>
  </si>
  <si>
    <t>Groupt GUINTOLI / EHTP / BERANGIER Dépollution</t>
  </si>
  <si>
    <t>400 k€</t>
  </si>
  <si>
    <t>V. BACOT (M. BRAY)</t>
  </si>
  <si>
    <t>L57</t>
  </si>
  <si>
    <t>LYON Ginko Lot 19</t>
  </si>
  <si>
    <t>RAL57C</t>
  </si>
  <si>
    <t>RAL57C*</t>
  </si>
  <si>
    <t>L58</t>
  </si>
  <si>
    <t>ST JEAN DE NIOST Aménagement de sous l'Eglise</t>
  </si>
  <si>
    <t>Groupt GUINTOLI/ SIORAT</t>
  </si>
  <si>
    <t>RAL58A</t>
  </si>
  <si>
    <t>RAL58A*</t>
  </si>
  <si>
    <t>R. DENEPOUX</t>
  </si>
  <si>
    <t>L59</t>
  </si>
  <si>
    <t>RAL59E</t>
  </si>
  <si>
    <t>RAL59E*</t>
  </si>
  <si>
    <t>L60</t>
  </si>
  <si>
    <t>AGILIS Achats de Longrines préfabriquées pour A630</t>
  </si>
  <si>
    <t>RAL60I</t>
  </si>
  <si>
    <t>L61</t>
  </si>
  <si>
    <t>VALLAURIS Construction d'un immeuble de logement à CLERMONT - Marché Démolition</t>
  </si>
  <si>
    <t>VALLAURIS Construction d'un immeuble de logement à CLERMONT - Marché Terrassement</t>
  </si>
  <si>
    <t>RAL61E</t>
  </si>
  <si>
    <t>RAL61E*</t>
  </si>
  <si>
    <t>L62</t>
  </si>
  <si>
    <t>Groupt AGILIS / GUINTOLI / ALBIZZIA</t>
  </si>
  <si>
    <t>GBM Campus BOULOIE TEMIS AERA SPORT</t>
  </si>
  <si>
    <t>RAL62B</t>
  </si>
  <si>
    <t>RAL62B*</t>
  </si>
  <si>
    <t>YannBERNARDIN</t>
  </si>
  <si>
    <t>L63</t>
  </si>
  <si>
    <t>SNCF St Florentin</t>
  </si>
  <si>
    <t>RAL63I</t>
  </si>
  <si>
    <t>Groupt NGE GC / GUINTOLI / TSO CAT</t>
  </si>
  <si>
    <t>L64</t>
  </si>
  <si>
    <t>FONCIA Copro GUILLERMIN à BRON - Démolition chaufferie collective</t>
  </si>
  <si>
    <t>RAL64C</t>
  </si>
  <si>
    <t>RAL64C*</t>
  </si>
  <si>
    <t>B. MORGUEN / M. BRAY</t>
  </si>
  <si>
    <t>RAL63B</t>
  </si>
  <si>
    <t>M. BRAY / A. RAVAUT</t>
  </si>
  <si>
    <t>L65</t>
  </si>
  <si>
    <t xml:space="preserve">RHD LABO La Talaudière - Extension Plateforme </t>
  </si>
  <si>
    <t>RAL65D</t>
  </si>
  <si>
    <t>RAL65D*</t>
  </si>
  <si>
    <t>T. GAY PEILLER</t>
  </si>
  <si>
    <t>261 k€</t>
  </si>
  <si>
    <t>L66</t>
  </si>
  <si>
    <t>Collège Jacques Prévert à ANDEZIEUX-BOUTHEON</t>
  </si>
  <si>
    <t>RAL66D</t>
  </si>
  <si>
    <t>RAL66D*</t>
  </si>
  <si>
    <t>47 k€</t>
  </si>
  <si>
    <t>L67</t>
  </si>
  <si>
    <t>RAL67D</t>
  </si>
  <si>
    <t>RAL67D*</t>
  </si>
  <si>
    <t>Divers GUINTOLI LOIRE</t>
  </si>
  <si>
    <t>L68</t>
  </si>
  <si>
    <t>CEA Centre de VALDUC</t>
  </si>
  <si>
    <t>RAL68B</t>
  </si>
  <si>
    <t>RAL68B*</t>
  </si>
  <si>
    <t>192,7 k€</t>
  </si>
  <si>
    <t>L69</t>
  </si>
  <si>
    <t>SIAEP CLIDANE CHAVANON - Réhabilitatiion AEP Route de Tulle à BOURG LASTIC</t>
  </si>
  <si>
    <t>Groupt TP LYAUDET / LEMONNIER</t>
  </si>
  <si>
    <t>RAL69L</t>
  </si>
  <si>
    <t>168,4 k€</t>
  </si>
  <si>
    <t>L70</t>
  </si>
  <si>
    <t>CAM Tvx Assainsissement rue &amp; impasse Crouel à CLERMONT</t>
  </si>
  <si>
    <t>231,1 k€</t>
  </si>
  <si>
    <t>RAL70K*</t>
  </si>
  <si>
    <t>RAL70K</t>
  </si>
  <si>
    <t>CA Grand Sénonais - nouveau franchissement féroviaire PLM - lot 1</t>
  </si>
  <si>
    <t>Groupt NGE GC / NGE Fondations / GUINTOLI</t>
  </si>
  <si>
    <t>RAL71I</t>
  </si>
  <si>
    <t>2 695 k€</t>
  </si>
  <si>
    <t>L72</t>
  </si>
  <si>
    <t>Dép. Côte d'Or - VONGES Pont sur la Bèze</t>
  </si>
  <si>
    <t>RAL72B</t>
  </si>
  <si>
    <t>RAL72B*</t>
  </si>
  <si>
    <t>123,4 k€</t>
  </si>
  <si>
    <t>L73</t>
  </si>
  <si>
    <t>UTT St POURCAIN - Reprise ponctuelle d'accotement et de petits rayons RD22 &amp; 130</t>
  </si>
  <si>
    <t>Groupt SIORAT / NGE GC</t>
  </si>
  <si>
    <t>RAL73E*</t>
  </si>
  <si>
    <t>RAL73E</t>
  </si>
  <si>
    <t>RAL73I</t>
  </si>
  <si>
    <t>34,4 k€</t>
  </si>
  <si>
    <t>L74</t>
  </si>
  <si>
    <t>BESANCON Aménagement d'une piste cyclable à Planoise</t>
  </si>
  <si>
    <t>RAL74B</t>
  </si>
  <si>
    <t>RAL74B*</t>
  </si>
  <si>
    <t>G. JACQUOT / Y. BERNARDIN</t>
  </si>
  <si>
    <t>850 k€</t>
  </si>
  <si>
    <t>L75</t>
  </si>
  <si>
    <t>CAM Boulevard de Broglie à Cournon Lot7</t>
  </si>
  <si>
    <t>RAL75K*</t>
  </si>
  <si>
    <t>RAL75K</t>
  </si>
  <si>
    <t>L76</t>
  </si>
  <si>
    <t>RAL76C</t>
  </si>
  <si>
    <t>RAL76C*</t>
  </si>
  <si>
    <t>VILLEFRANCHE Esplanade Ferdinand Buisson</t>
  </si>
  <si>
    <t>L77</t>
  </si>
  <si>
    <t>CAM Rue du CHarolais Lot7</t>
  </si>
  <si>
    <t>RAL77K*</t>
  </si>
  <si>
    <t>RAL77K</t>
  </si>
  <si>
    <t>L78</t>
  </si>
  <si>
    <t>ST ETIENNE - Création d'un bassin de stockage/restitution au niveau du talweg RIO à Fontanès</t>
  </si>
  <si>
    <t>GUINTOLI / EHTP</t>
  </si>
  <si>
    <t>RAL78D</t>
  </si>
  <si>
    <t>RAL78D*</t>
  </si>
  <si>
    <t>L79</t>
  </si>
  <si>
    <t>SOUCIEU - Château Brun</t>
  </si>
  <si>
    <t>RAL79C</t>
  </si>
  <si>
    <t>RAL79C*</t>
  </si>
  <si>
    <t>335,5 k€</t>
  </si>
  <si>
    <t>L80</t>
  </si>
  <si>
    <t>SIAVA Renouvellement 2021 du réseau intercommunal</t>
  </si>
  <si>
    <t>RAL80K*</t>
  </si>
  <si>
    <t>RAL80K</t>
  </si>
  <si>
    <t>L81</t>
  </si>
  <si>
    <t>Travaux de Reprise / EYGURANDE</t>
  </si>
  <si>
    <t>RAL81K*</t>
  </si>
  <si>
    <t>RAL81K</t>
  </si>
  <si>
    <t>L82</t>
  </si>
  <si>
    <t xml:space="preserve">SNCF Mise en place de Protections contre heurts à AUXERRE </t>
  </si>
  <si>
    <t>RAL82I</t>
  </si>
  <si>
    <t>I &amp; E</t>
  </si>
  <si>
    <t>SNCF Dalôt LOUROUX de Bouble</t>
  </si>
  <si>
    <t>Groupt NGE GC / GUINTOLI / SAGES RAIL / TSO Signalisation / OFFROY</t>
  </si>
  <si>
    <t>RAL83E</t>
  </si>
  <si>
    <t>RAL83E*</t>
  </si>
  <si>
    <t>RAL83I</t>
  </si>
  <si>
    <t>L83</t>
  </si>
  <si>
    <t>CHEVIGNY Extension salle de tennis &amp; club house</t>
  </si>
  <si>
    <t>L84</t>
  </si>
  <si>
    <t>RAL84B</t>
  </si>
  <si>
    <t>RAL84B*</t>
  </si>
  <si>
    <t>90 k€</t>
  </si>
  <si>
    <t>L85</t>
  </si>
  <si>
    <t>JOZE rue de la Croix des Rameaux</t>
  </si>
  <si>
    <t>RAL85E</t>
  </si>
  <si>
    <t>RAL85E*</t>
  </si>
  <si>
    <t>243 k€</t>
  </si>
  <si>
    <t>L86</t>
  </si>
  <si>
    <t>Ilôt PARDIEU à CLERMONT</t>
  </si>
  <si>
    <t>RAL86E</t>
  </si>
  <si>
    <t>RAL86E*</t>
  </si>
  <si>
    <t>537 k€</t>
  </si>
  <si>
    <t>L87</t>
  </si>
  <si>
    <t>VOLCANE Foncière Rénovation atelier &amp; bureau</t>
  </si>
  <si>
    <t>RAL87E*</t>
  </si>
  <si>
    <t>RAL87E</t>
  </si>
  <si>
    <t>L88</t>
  </si>
  <si>
    <t>SNCF Aménagement voie 18 Bâtiment BOURG EN BRESSE</t>
  </si>
  <si>
    <t>RAL88A</t>
  </si>
  <si>
    <t>RAL88A*</t>
  </si>
  <si>
    <t>218 k€</t>
  </si>
  <si>
    <t>L89</t>
  </si>
  <si>
    <t>SOGETREL Fibre AIN</t>
  </si>
  <si>
    <t>RAL89A</t>
  </si>
  <si>
    <t>RAL89C</t>
  </si>
  <si>
    <t>L90</t>
  </si>
  <si>
    <t>ENGIE Centrale solaire Les Martines</t>
  </si>
  <si>
    <t>RAL90L</t>
  </si>
  <si>
    <t>L91</t>
  </si>
  <si>
    <t>SNCF Réfection des quais en gares d'ETALANS et MORRE</t>
  </si>
  <si>
    <t>Groupt NGE GC / GUINTOLI / OFFROY (seul GUINTOLI aura du CA)</t>
  </si>
  <si>
    <t>RAL91B</t>
  </si>
  <si>
    <t>RAL91B*</t>
  </si>
  <si>
    <t>167,6 k€</t>
  </si>
  <si>
    <t>L92</t>
  </si>
  <si>
    <t>MICHELIN Projet OASIS</t>
  </si>
  <si>
    <t>RAL92K*</t>
  </si>
  <si>
    <t>RAL92K</t>
  </si>
  <si>
    <t>H. PERIER</t>
  </si>
  <si>
    <t>940 k€</t>
  </si>
  <si>
    <t>L93</t>
  </si>
  <si>
    <t>BACACIER Site de RIOM - Lot VRD</t>
  </si>
  <si>
    <t>BACACIER Site de RIOM - Lot Gros Œuvre</t>
  </si>
  <si>
    <t>RAL93E</t>
  </si>
  <si>
    <t>RAL93E*</t>
  </si>
  <si>
    <t>RAL93I</t>
  </si>
  <si>
    <t>426 k€</t>
  </si>
  <si>
    <t>RAL94E</t>
  </si>
  <si>
    <t>RAL94E*</t>
  </si>
  <si>
    <t>L94</t>
  </si>
  <si>
    <t>L95</t>
  </si>
  <si>
    <t>AGILIS Achats de Longrines préfabriquées pour A57</t>
  </si>
  <si>
    <t>RAL94I</t>
  </si>
  <si>
    <t>L96</t>
  </si>
  <si>
    <t>CD21 Giratoire d'accès aux parking de la Cité des Vins sur l'Avenue Charles de Gaulle à BEAUNE</t>
  </si>
  <si>
    <t>RAL96B</t>
  </si>
  <si>
    <t>RAL96B*</t>
  </si>
  <si>
    <t>395 k€</t>
  </si>
  <si>
    <t>L97</t>
  </si>
  <si>
    <t>CD21 Rocade de BEAUNE - Requalification entre le giratoire avec la RD970 et le carrefour de Challanges</t>
  </si>
  <si>
    <t>RAL97B</t>
  </si>
  <si>
    <t>RAL97B*</t>
  </si>
  <si>
    <t>1249 k€</t>
  </si>
  <si>
    <t>L98</t>
  </si>
  <si>
    <t>CAM Gros Entretien du Chemin du Grand Beaulieu à CLERMONT</t>
  </si>
  <si>
    <t>Group GUINTOLI / SIORAT / TP LYAUDET</t>
  </si>
  <si>
    <t>RAL98E</t>
  </si>
  <si>
    <t>RAL98E*</t>
  </si>
  <si>
    <t>F. DUCHATEL</t>
  </si>
  <si>
    <t>227 k€</t>
  </si>
  <si>
    <t>L99</t>
  </si>
  <si>
    <t>RAL99L</t>
  </si>
  <si>
    <t>208 k€</t>
  </si>
  <si>
    <t>L1A</t>
  </si>
  <si>
    <t>RAL1AL</t>
  </si>
  <si>
    <t>210,5 k€</t>
  </si>
  <si>
    <t>ENGIE Centrale Photovoltaïque de ZAC Montane 4 à St Priest de Gimel</t>
  </si>
  <si>
    <t>ENGIE Centrale Photovoltaïque de ZAC de l'Empreur à Ussel</t>
  </si>
  <si>
    <t>L1B</t>
  </si>
  <si>
    <t>APRR - A75 Travaux de minéralisation et modelage</t>
  </si>
  <si>
    <t>RAL1BE</t>
  </si>
  <si>
    <t>RAL1BE*</t>
  </si>
  <si>
    <t>F.CELLIER</t>
  </si>
  <si>
    <t>53 k€</t>
  </si>
  <si>
    <t>L1C</t>
  </si>
  <si>
    <t>LYON 7 - Parc de l'Artillerie - Lot1 VRD</t>
  </si>
  <si>
    <t>Groupt GUINTOLI / CARRION TP</t>
  </si>
  <si>
    <t>688 k€</t>
  </si>
  <si>
    <t>L1D</t>
  </si>
  <si>
    <t>CCVG - Aménagement rue Giraudière &amp; chemin des Vieilles Vignes à BRIGNAIS - Lot 1 VRD</t>
  </si>
  <si>
    <t>Groupt GUINTOLI / SIORAT / SOLS CONFLUENCE</t>
  </si>
  <si>
    <t>RAL1CC</t>
  </si>
  <si>
    <t>RAL1CC*</t>
  </si>
  <si>
    <t>RAL1DC</t>
  </si>
  <si>
    <t>RAL1DC*</t>
  </si>
  <si>
    <t>C.E.AUGEREAU / J.PEYRICAL</t>
  </si>
  <si>
    <t>L1E</t>
  </si>
  <si>
    <t>PPI 2021-2026 Réseau Vélo Express, pietonnisation &amp; petites opérations</t>
  </si>
  <si>
    <t>Groupt EIFFAGE/ GUINTOLI / COIRO</t>
  </si>
  <si>
    <t>RAL1EC</t>
  </si>
  <si>
    <t>RAL1EC*</t>
  </si>
  <si>
    <t>Y.BERCHARD / P.MUNOS</t>
  </si>
  <si>
    <t>V.BACOT / P.MUNOS</t>
  </si>
  <si>
    <t>OYONNAX City Stade / Rue Pierre Loti</t>
  </si>
  <si>
    <t>L1F</t>
  </si>
  <si>
    <t>RAL1FA</t>
  </si>
  <si>
    <t>RAL1FA*</t>
  </si>
  <si>
    <t>119,5 k€</t>
  </si>
  <si>
    <t>L1G</t>
  </si>
  <si>
    <t>AGILIS Préfabrication Passerelle de Terrelet</t>
  </si>
  <si>
    <t>RAL1GI</t>
  </si>
  <si>
    <t>L1H</t>
  </si>
  <si>
    <t>Groupt GUINTOLI / SIORAT (straitant SOLS LOIRE)</t>
  </si>
  <si>
    <t>RAL1HE</t>
  </si>
  <si>
    <t>RAL1HE*</t>
  </si>
  <si>
    <t>ISSOIRE - Requalification square René Cassin et André Roux - Lot 1</t>
  </si>
  <si>
    <t>320 K€</t>
  </si>
  <si>
    <t>L1I</t>
  </si>
  <si>
    <t>RAL1II</t>
  </si>
  <si>
    <t>139 K€</t>
  </si>
  <si>
    <t>NGE GENIE CIVIL</t>
  </si>
  <si>
    <t>MONTLUCON - RD72 REFCTION DU PONT DES ILES LOT 1</t>
  </si>
  <si>
    <t>M. VIRAT</t>
  </si>
  <si>
    <t>L1J</t>
  </si>
  <si>
    <t>TAUVES Réparation viaduc RD922</t>
  </si>
  <si>
    <t>Groupt NGE GC / NGE Fondations / TPE</t>
  </si>
  <si>
    <t>RAL1JI</t>
  </si>
  <si>
    <t>L1K</t>
  </si>
  <si>
    <t>NUC-EDF Sécurisation accès aux BK / CNPE Bugey</t>
  </si>
  <si>
    <t>Groupt GUINTOLI / AGILIS / SERIC</t>
  </si>
  <si>
    <t>RAL1KA</t>
  </si>
  <si>
    <t>RAL1KA*</t>
  </si>
  <si>
    <t>L1L</t>
  </si>
  <si>
    <t>RAL1LA</t>
  </si>
  <si>
    <t>RAL1LA*</t>
  </si>
  <si>
    <t>141,6 k€</t>
  </si>
  <si>
    <t>L1M</t>
  </si>
  <si>
    <t>BIZENEUILLE RD94 Aménagement traversée du bourg lot2</t>
  </si>
  <si>
    <t>RAL1ME*</t>
  </si>
  <si>
    <t>RAL1ME</t>
  </si>
  <si>
    <t>V. ALAMARTINE</t>
  </si>
  <si>
    <t>L1N</t>
  </si>
  <si>
    <t>APRR A71/A714 Marché subséquent de Petit travaux de Gc &amp; reprise de drainage</t>
  </si>
  <si>
    <t>RAL1NE*</t>
  </si>
  <si>
    <t>RAL1NE</t>
  </si>
  <si>
    <t>165 k€</t>
  </si>
  <si>
    <t>L1O</t>
  </si>
  <si>
    <t>BESSE &amp; SAINT ANASTAISE - Tvx 2021 sur réseaux AEP &amp; Assainissement</t>
  </si>
  <si>
    <t>RAL1OL</t>
  </si>
  <si>
    <t>250 k€</t>
  </si>
  <si>
    <t>L1P</t>
  </si>
  <si>
    <t>GENAS Requalification parking Hotel de Ville</t>
  </si>
  <si>
    <t>Groupt GUINTOLI / SIORAT / CHAZAL</t>
  </si>
  <si>
    <t>RAL1PC</t>
  </si>
  <si>
    <t>RAL1PC*</t>
  </si>
  <si>
    <t>L1Q</t>
  </si>
  <si>
    <t>HBA DORTAN Réseaux Humides rue Colonel R. PETIT et rue du Parc</t>
  </si>
  <si>
    <t>RAL1QJ*</t>
  </si>
  <si>
    <t>RAL1QJ</t>
  </si>
  <si>
    <t>L1R</t>
  </si>
  <si>
    <t>EHPAD Le Chavanon - Construction d'ombrières photovoltaïques</t>
  </si>
  <si>
    <t>RAL1RL</t>
  </si>
  <si>
    <t>104,5 k€</t>
  </si>
  <si>
    <t>RAL7BB</t>
  </si>
  <si>
    <t>RAL7BB*</t>
  </si>
  <si>
    <t>L71 &amp; L7B</t>
  </si>
  <si>
    <t>L1S</t>
  </si>
  <si>
    <t>OMEXOM Photovolitaique Miremont</t>
  </si>
  <si>
    <t>RAL1SI</t>
  </si>
  <si>
    <t>60 k€</t>
  </si>
  <si>
    <t xml:space="preserve">Groupt DUMAS TP / EHTP / SNTP </t>
  </si>
  <si>
    <t>LUXEL Tvx Préparatoires / Centrale Voltaïque de Ste Julie</t>
  </si>
  <si>
    <t>L1T</t>
  </si>
  <si>
    <t>PROMEDO Déconstruction à CHARENCY-VEZIN</t>
  </si>
  <si>
    <t>RAL1TC</t>
  </si>
  <si>
    <t>RAL1TC*</t>
  </si>
  <si>
    <t>ISSOIRE - Requalification square René Cassin et André Roux - Lot 3</t>
  </si>
  <si>
    <t>Groupt GUINTOLI / NGE GC / SICA</t>
  </si>
  <si>
    <t>Parc d'Activité de BEAUREGARD Phase 2</t>
  </si>
  <si>
    <t>RAL1UB</t>
  </si>
  <si>
    <t>RAL1UB*</t>
  </si>
  <si>
    <t>489 k€</t>
  </si>
  <si>
    <t>L1U</t>
  </si>
  <si>
    <t>L1V</t>
  </si>
  <si>
    <t>SITA DRAMBON Lot 2 Casier K2Ha &amp; Aménagement connexes</t>
  </si>
  <si>
    <t>Groupt EUROVIA / GUINTOLI</t>
  </si>
  <si>
    <t>RAL1VB</t>
  </si>
  <si>
    <t>RAL1VB*</t>
  </si>
  <si>
    <t>L1W</t>
  </si>
  <si>
    <t>PASSERELLE BONNEVAY</t>
  </si>
  <si>
    <t>RAL1WH</t>
  </si>
  <si>
    <t>690 K€</t>
  </si>
  <si>
    <t>L1X</t>
  </si>
  <si>
    <t>CDR Construction - Docks de Blois 2-lots 1 &amp; 21</t>
  </si>
  <si>
    <t>RAL1XE*</t>
  </si>
  <si>
    <t>RAL1XE</t>
  </si>
  <si>
    <t>165 K€</t>
  </si>
  <si>
    <t>L1Y</t>
  </si>
  <si>
    <t>ESPINASSE VOZELLE - Aménagement de la route de Vendat</t>
  </si>
  <si>
    <t>RAL1YE*</t>
  </si>
  <si>
    <t>RAL1YE</t>
  </si>
  <si>
    <t>RAL1ZL</t>
  </si>
  <si>
    <t>112,8 k€</t>
  </si>
  <si>
    <t>L1Z</t>
  </si>
  <si>
    <t>CCDSA Création de dressertes forestières à St Julien Puy Lavèze</t>
  </si>
  <si>
    <t>L2A</t>
  </si>
  <si>
    <t>GA SMART BUILDING - PF ANTOLIN à Besançon</t>
  </si>
  <si>
    <t>545,1 k€</t>
  </si>
  <si>
    <t>RAL2AB</t>
  </si>
  <si>
    <t>RAL2AB*</t>
  </si>
  <si>
    <t>L2B</t>
  </si>
  <si>
    <t>RAL2AE*</t>
  </si>
  <si>
    <t>RAL2AE</t>
  </si>
  <si>
    <t>64,8 k€</t>
  </si>
  <si>
    <t>RIOM &amp; St BONNET PRES RIOM - Renouvellement couches de surfaces</t>
  </si>
  <si>
    <t>L2I</t>
  </si>
  <si>
    <t>ST CLEMENT - RD120 Réfection du pont sur le Bief</t>
  </si>
  <si>
    <t>RAL2II</t>
  </si>
  <si>
    <t>122 k€</t>
  </si>
  <si>
    <t>L2D</t>
  </si>
  <si>
    <t>RAL2DH</t>
  </si>
  <si>
    <t>NGE GENIE CIVIL / GUINTOLI</t>
  </si>
  <si>
    <t>1120 K€</t>
  </si>
  <si>
    <t>L2E</t>
  </si>
  <si>
    <t>GUINTOLI / BERENGIER DEPOLLUTION</t>
  </si>
  <si>
    <t>RAL2EB</t>
  </si>
  <si>
    <t>RAL2EB*</t>
  </si>
  <si>
    <t>300 K€</t>
  </si>
  <si>
    <t>L2F</t>
  </si>
  <si>
    <t>Hôtel Dieu à CLERMONT (ST de NGE Fondations)</t>
  </si>
  <si>
    <t>F. CELLIER</t>
  </si>
  <si>
    <t>18,2 K€</t>
  </si>
  <si>
    <t>RAL2FE</t>
  </si>
  <si>
    <t>RAL2FE*</t>
  </si>
  <si>
    <t>L2G</t>
  </si>
  <si>
    <t>ENGIE Démolition &amp; Désamiantage à PONTIVY</t>
  </si>
  <si>
    <t>RAL2GC</t>
  </si>
  <si>
    <t>RAL2GC*</t>
  </si>
  <si>
    <t>21,45 k€</t>
  </si>
  <si>
    <t>L2H</t>
  </si>
  <si>
    <t>Les Balcons de Sermenaz - Accord Cadre à BDC / Tvx VRD</t>
  </si>
  <si>
    <t>Groupt GUINTOLI/ EHTP / SIORAT</t>
  </si>
  <si>
    <t>RAL2HC</t>
  </si>
  <si>
    <t>RAL2HC*</t>
  </si>
  <si>
    <t>1 400 k€</t>
  </si>
  <si>
    <t>CC Cotière Montluel - Renouvellement réseaux AEP de Montluel &amp; Dagneux</t>
  </si>
  <si>
    <t>RAL2IJ*</t>
  </si>
  <si>
    <t>RAL2IJ</t>
  </si>
  <si>
    <t>C. DUCROUX</t>
  </si>
  <si>
    <t>RAL2DC</t>
  </si>
  <si>
    <t>RAL2DC*</t>
  </si>
  <si>
    <t>L. GRAND / M. BRAY</t>
  </si>
  <si>
    <t>H &amp; C</t>
  </si>
  <si>
    <t>SNCF VENISSIEUX QUAI B</t>
  </si>
  <si>
    <t>SNCF LES LAUMES Déconstruction</t>
  </si>
  <si>
    <t>L2J</t>
  </si>
  <si>
    <t>RN122 Déviation de SANSAC</t>
  </si>
  <si>
    <t>Groupt SIORAT (GTx) / GUINTOLI / AGILIS</t>
  </si>
  <si>
    <t>RAL2JE</t>
  </si>
  <si>
    <t>RAL2JE*</t>
  </si>
  <si>
    <t>A.GIRAUD</t>
  </si>
  <si>
    <t>2 000 k€ pour GUINTOLI</t>
  </si>
  <si>
    <t>L2K</t>
  </si>
  <si>
    <t>SNCF Régénération AURILLAC Arvant ligne 720 000 Pk / Section Aurillac Neussargues</t>
  </si>
  <si>
    <t>Groupt TSO/ GUINTOLI / TSO CAT./ FVF / NGE GC / NGE Fondations</t>
  </si>
  <si>
    <t>RAL2KE</t>
  </si>
  <si>
    <t>RAL2KE*</t>
  </si>
  <si>
    <t>RAL2KI*</t>
  </si>
  <si>
    <t>A.GIRAUD / R. MAUCHET</t>
  </si>
  <si>
    <t>L2L</t>
  </si>
  <si>
    <t>SMVVA Renforcement conduite de refoulement de Longues</t>
  </si>
  <si>
    <t>RAL2LK*</t>
  </si>
  <si>
    <t>RAL2LK</t>
  </si>
  <si>
    <t>410k€</t>
  </si>
  <si>
    <t>Groupt EHTP / NGE GC</t>
  </si>
  <si>
    <t>RAL2LI</t>
  </si>
  <si>
    <t>L2M</t>
  </si>
  <si>
    <t>CAM Réhabilitation du terrain de foot des Gravanches en terrain synthétique</t>
  </si>
  <si>
    <t>Groupt Parcs &amp; Sports/ Trève Paysages / GUINTOLI</t>
  </si>
  <si>
    <t>RAL2ME</t>
  </si>
  <si>
    <t>RAL2ME*</t>
  </si>
  <si>
    <t>L2N</t>
  </si>
  <si>
    <t>SEM Reprise du pont du Dorlay à St Paul en Jarez</t>
  </si>
  <si>
    <t>RAL2NI</t>
  </si>
  <si>
    <t>M01</t>
  </si>
  <si>
    <t>DIVERS LYON RHÔNE 2022</t>
  </si>
  <si>
    <t>RAM01C</t>
  </si>
  <si>
    <t>RAM01C*</t>
  </si>
  <si>
    <t>LISTES DES AFFAIRES A.R.S OUVERTES sur 2022</t>
  </si>
  <si>
    <t>M02</t>
  </si>
  <si>
    <t>RAM02E</t>
  </si>
  <si>
    <t>RAM02E*</t>
  </si>
  <si>
    <t>M03</t>
  </si>
  <si>
    <t>Groupt GUINTOLI / SIORAT / TP LYAUDET</t>
  </si>
  <si>
    <t>RAM03E</t>
  </si>
  <si>
    <t>RAM02L*</t>
  </si>
  <si>
    <t>M04</t>
  </si>
  <si>
    <t>Divers N. STUDER / Franche-Comté</t>
  </si>
  <si>
    <t>RAM04B</t>
  </si>
  <si>
    <t>RAM04B*</t>
  </si>
  <si>
    <t>M05</t>
  </si>
  <si>
    <t>RAM05B</t>
  </si>
  <si>
    <t>RAM05B*</t>
  </si>
  <si>
    <t>Divers G. JACQUOT / Franche-Comté</t>
  </si>
  <si>
    <t>M06</t>
  </si>
  <si>
    <t>CD63 Accord cadre / Tvx courants de voirie et de petits investissement sur les RD - Lot 9 &amp; 10</t>
  </si>
  <si>
    <t>MOULINS - Construction EPHAD LOT 1</t>
  </si>
  <si>
    <t>RAM06E</t>
  </si>
  <si>
    <t>RAM06E*</t>
  </si>
  <si>
    <t>SIORAT Auvergne  237 k€</t>
  </si>
  <si>
    <t>J. BESSAIT - en attente docs défin pour ouverture auprès du siège</t>
  </si>
  <si>
    <t>M07</t>
  </si>
  <si>
    <t>CLERMONT AUVERGNE METROPOLE - Accord cadre tx entretien voirie de l'espace public et tx divers - lot 5</t>
  </si>
  <si>
    <t>GUINTOLI / SIORAT / EIFFAGE ROUTE</t>
  </si>
  <si>
    <t xml:space="preserve">GUINTOLI Auvergne </t>
  </si>
  <si>
    <t>OBSERVATIONS</t>
  </si>
  <si>
    <t>RAM07E*</t>
  </si>
  <si>
    <t>RAM07E</t>
  </si>
  <si>
    <t>L. PRINGENT
Demande d'ouverture à faire auprès du siège.</t>
  </si>
  <si>
    <t>M08</t>
  </si>
  <si>
    <t>CD Nièvre - Accord cadre / Grosses réparations sur OA</t>
  </si>
  <si>
    <t>V. DENIEL</t>
  </si>
  <si>
    <t xml:space="preserve">NGE GC Auvergne </t>
  </si>
  <si>
    <t>RAM08I</t>
  </si>
  <si>
    <t>M09</t>
  </si>
  <si>
    <t>Divers Loire &amp; Haute-Loire</t>
  </si>
  <si>
    <t>RAM09D*</t>
  </si>
  <si>
    <t>RAM09D</t>
  </si>
  <si>
    <t>M10</t>
  </si>
  <si>
    <t>Divers LHL à Reventiler</t>
  </si>
  <si>
    <t>SIORAT &amp; GUINTOLI</t>
  </si>
  <si>
    <t>RAM10D</t>
  </si>
  <si>
    <t>M11</t>
  </si>
  <si>
    <t>VALTOM Extension Casier 3 et couvertures alvéoles 3-1 &amp; 3-2 / ISDND du Poyet (Ambert)</t>
  </si>
  <si>
    <t>RAM11L</t>
  </si>
  <si>
    <t>M12</t>
  </si>
  <si>
    <t>Divers DURIF GUINTOLI 2022</t>
  </si>
  <si>
    <t>RAM12E</t>
  </si>
  <si>
    <t>RAM12E*</t>
  </si>
  <si>
    <t>M13</t>
  </si>
  <si>
    <t>VILLEURBANNE Cours E. ZOLA Tr D - Baratin Souvenir LOt1</t>
  </si>
  <si>
    <t>RAM13C</t>
  </si>
  <si>
    <t>RAM13C*</t>
  </si>
  <si>
    <t>V. REPPELIN</t>
  </si>
  <si>
    <t>1231,34 ke pour GUINTOLI / Marché de 1 680,85</t>
  </si>
  <si>
    <t>M14</t>
  </si>
  <si>
    <t>Divers L. PRIGENT/  GUINTOLI</t>
  </si>
  <si>
    <t>RAM14E</t>
  </si>
  <si>
    <t>RAM14E*</t>
  </si>
  <si>
    <t>L. PRIGENT</t>
  </si>
  <si>
    <t>M15</t>
  </si>
  <si>
    <t>SEM Accord Cadre / Tvx d'Entretien et d'aménagement de moyenne et grande ampleur</t>
  </si>
  <si>
    <t>Groupt EIFFAGE Route / GUINTOLI</t>
  </si>
  <si>
    <t>RAM15D</t>
  </si>
  <si>
    <t>RAM15D*</t>
  </si>
  <si>
    <t>M16</t>
  </si>
  <si>
    <t>N. MORIZON / B.JANISSET</t>
  </si>
  <si>
    <t>SEM Accord Cadre / Tvx d'Entretien et d'aménagement de moyenne et grande ampleur FURAN MS 1</t>
  </si>
  <si>
    <t>SEM Accord Cadre / Tvx d'Entretien et d'aménagement de moyenne et grande ampleur PLAINE MS 4</t>
  </si>
  <si>
    <t>RAM16D</t>
  </si>
  <si>
    <t>RAM16D*</t>
  </si>
  <si>
    <t>RAM17D</t>
  </si>
  <si>
    <t>RAM17D*</t>
  </si>
  <si>
    <t>M17</t>
  </si>
  <si>
    <t>M18</t>
  </si>
  <si>
    <t>SEM Voies de Tram entre Grouchy et cité du Design à St Etienne - Lot 1 &amp; 2</t>
  </si>
  <si>
    <t>Groupt TSO / GUINTOLI / AGILIS / TERIDEAL</t>
  </si>
  <si>
    <t>RAM18D</t>
  </si>
  <si>
    <t>RAM18D*</t>
  </si>
  <si>
    <t>CD63 Accord cadre / Tvx courants de voirie et de petits investissement sur les RD - Lot 11</t>
  </si>
  <si>
    <t>N° complémentaire au RAM02E à la demande de P. MALEYRAT</t>
  </si>
  <si>
    <t>M19</t>
  </si>
  <si>
    <t>RAM19E</t>
  </si>
  <si>
    <t>RAM19E*</t>
  </si>
  <si>
    <t xml:space="preserve">CD63 Accord cadre / Tvx courants de voirie et de petits investissement sur les RD - Lot 1 &amp; 2 </t>
  </si>
  <si>
    <t>M20</t>
  </si>
  <si>
    <t>APRR A75 VRD Bretelle de Pérignat</t>
  </si>
  <si>
    <t>RAM20E</t>
  </si>
  <si>
    <t>RAM20E*</t>
  </si>
  <si>
    <t>109 k€</t>
  </si>
  <si>
    <t>M21</t>
  </si>
  <si>
    <t>Parc du Picou - Constrction d'un ensemble commercial</t>
  </si>
  <si>
    <t>RAM21E</t>
  </si>
  <si>
    <t>RAM21E*</t>
  </si>
  <si>
    <t>M22</t>
  </si>
  <si>
    <t>S.E.C. Tvx de GC du Stockage et Pont Bascule</t>
  </si>
  <si>
    <t>RAM22I</t>
  </si>
  <si>
    <t>84,5 k€</t>
  </si>
  <si>
    <t>B. RATHIER</t>
  </si>
  <si>
    <t>M23</t>
  </si>
  <si>
    <t>SUEZ ISDD DRAMBON Création Casier Amiante Am4</t>
  </si>
  <si>
    <t>RAM23B</t>
  </si>
  <si>
    <t>RAM23B*</t>
  </si>
  <si>
    <t>60% pour GUINTOLI &amp; 40% pour PENNEQUIN</t>
  </si>
  <si>
    <t>k€</t>
  </si>
  <si>
    <t>M24</t>
  </si>
  <si>
    <t>APRR A75 Le Crest - Lit de séchage</t>
  </si>
  <si>
    <t>RAM24E</t>
  </si>
  <si>
    <t>RAM24E*</t>
  </si>
  <si>
    <t>M25</t>
  </si>
  <si>
    <t xml:space="preserve">Puy de Dôme Département - RD 941 Aménagement de l'accès du site de Lemptegy </t>
  </si>
  <si>
    <t>RAM25E</t>
  </si>
  <si>
    <t>RAM25E*</t>
  </si>
  <si>
    <t>M26</t>
  </si>
  <si>
    <t>ZAC DES GAULNES Remise en état des chaussées - Lot 1</t>
  </si>
  <si>
    <t xml:space="preserve">Groupt GUINTOLI / EHTP / SIORAT  </t>
  </si>
  <si>
    <t>RAM26C</t>
  </si>
  <si>
    <t>RAM26C*</t>
  </si>
  <si>
    <t>M27</t>
  </si>
  <si>
    <t>Puy de Dôme Département - Accord Cadre / Tvx courants &amp; Petits invest sur RD  2022-2025 Lot 8 : Secteur Herment</t>
  </si>
  <si>
    <t>Groupt COLAS Ets Monteil TP / RMCL / TP LYAUDET</t>
  </si>
  <si>
    <t>RAM27L</t>
  </si>
  <si>
    <t>M28</t>
  </si>
  <si>
    <t>CORIANCE Tour Bagatelle à DIJON - Brachement C.U.</t>
  </si>
  <si>
    <t>EHTP (st de BER21)</t>
  </si>
  <si>
    <t>RAM27B*</t>
  </si>
  <si>
    <t>RAM27B</t>
  </si>
  <si>
    <t>M29</t>
  </si>
  <si>
    <t>GUINTOLI / NGE GENIE CIVIL</t>
  </si>
  <si>
    <t>RAM29D</t>
  </si>
  <si>
    <t>RAM29D*</t>
  </si>
  <si>
    <t>RAM29I</t>
  </si>
  <si>
    <t>FIRMINY - Barrage de l'Echapre LOT 1</t>
  </si>
  <si>
    <t>NGE GC AUVERGNE</t>
  </si>
  <si>
    <t>M30</t>
  </si>
  <si>
    <t>Dép.25- Marché subséquent à BDC de Grave-émulsion 2022</t>
  </si>
  <si>
    <t>RAM30B</t>
  </si>
  <si>
    <t>RAM30B*</t>
  </si>
  <si>
    <t>M31</t>
  </si>
  <si>
    <t>MURAT LE QUAIRE - Chemin des Planettes - Lot 1</t>
  </si>
  <si>
    <t>RAM31L</t>
  </si>
  <si>
    <t>M32</t>
  </si>
  <si>
    <t>Groupt GUINTOLI / AGD ENERGY</t>
  </si>
  <si>
    <t>RAM32D</t>
  </si>
  <si>
    <t>RAM32D*</t>
  </si>
  <si>
    <t>M33</t>
  </si>
  <si>
    <t>VALSERHONE Plaine des Jeux d'ARLOD Lot 1 Terrasst VRD</t>
  </si>
  <si>
    <t>Groupt FAMY / GUINTOLI</t>
  </si>
  <si>
    <t>RAM33A</t>
  </si>
  <si>
    <t>RAM33A*</t>
  </si>
  <si>
    <t>M34</t>
  </si>
  <si>
    <t>VALSERHONE - MBC Réseaux Humides Lot 1 Réparation é intervention d'astreinte</t>
  </si>
  <si>
    <t>VALSERHONE - MBC Réseaux Humides Lot 2 création branchement et raccordements</t>
  </si>
  <si>
    <t>Groupt FAMY / TST / GUINTOLI</t>
  </si>
  <si>
    <t>RAM34A</t>
  </si>
  <si>
    <t>RAM34A*</t>
  </si>
  <si>
    <t>JB BOUCHARDON</t>
  </si>
  <si>
    <t>M35</t>
  </si>
  <si>
    <t>SIORAT Divers ALLIER 2022</t>
  </si>
  <si>
    <t>RAM35E*</t>
  </si>
  <si>
    <t>RAM35E</t>
  </si>
  <si>
    <t>M36</t>
  </si>
  <si>
    <t>DRA ST PRIEST - travaux d'Aménagement</t>
  </si>
  <si>
    <t>RAM36C</t>
  </si>
  <si>
    <t>RAM36C*</t>
  </si>
  <si>
    <t>M37</t>
  </si>
  <si>
    <t>Groupt SIORAT / MGB / RMF</t>
  </si>
  <si>
    <t>RAM37C</t>
  </si>
  <si>
    <t>RAM37C*</t>
  </si>
  <si>
    <t>VILLEURBANNE - MBDC ENROBES LOT 6</t>
  </si>
  <si>
    <t>AC MINI 1K€ MAXI 4,8K€</t>
  </si>
  <si>
    <t>P. MUNOS / A. MONIN</t>
  </si>
  <si>
    <t>M38</t>
  </si>
  <si>
    <t>CD71 Tvx d'Assainissment sur RD 2022-2025 lots 1, 3, 4, 12 ,13, 14, 15 ,18</t>
  </si>
  <si>
    <t>RAM38B*</t>
  </si>
  <si>
    <t>RAM38B</t>
  </si>
  <si>
    <t>AC MAX 300K€ / An</t>
  </si>
  <si>
    <t>M39</t>
  </si>
  <si>
    <t>RAM39J*</t>
  </si>
  <si>
    <t>RAM39J</t>
  </si>
  <si>
    <t>M. BROYER</t>
  </si>
  <si>
    <t>498,6 k€</t>
  </si>
  <si>
    <t>SIAHVY Tvx Réseaux EU et EP et mise en séparatif au droit du carrefour du Quincieux à Ste Consorce</t>
  </si>
  <si>
    <t>M40</t>
  </si>
  <si>
    <t>NUC-EDF MBDC CNPE CREYS-MALVILLE (récup SVV)</t>
  </si>
  <si>
    <t>Groupt GUINTOLI / NGE GC / PREZIOSO</t>
  </si>
  <si>
    <t>RAM40A</t>
  </si>
  <si>
    <t>RAM40A*</t>
  </si>
  <si>
    <t>Pas de compte commun - chacun facture ses commandes</t>
  </si>
  <si>
    <t>Pas de compte commun - la quote-part de chacun est mentionnée sur la situation globale et payée directement à chaque co-traitant</t>
  </si>
  <si>
    <t>M41</t>
  </si>
  <si>
    <t>SAINT DONAT Construction d'un nouvelle STEP au Bourg</t>
  </si>
  <si>
    <t>RAM41L</t>
  </si>
  <si>
    <t>RAM41L*</t>
  </si>
  <si>
    <t>M42</t>
  </si>
  <si>
    <t>JORIS IDE - Lempdes sur Allagnon</t>
  </si>
  <si>
    <t>GUINTOLI &amp; NGE GC</t>
  </si>
  <si>
    <t xml:space="preserve">RAM42E </t>
  </si>
  <si>
    <t xml:space="preserve">RAM42E* </t>
  </si>
  <si>
    <t xml:space="preserve">RAM42I </t>
  </si>
  <si>
    <t>Une commande à GUINTOLI de 67 k€ + Une commande au groupt de 1 069 k€</t>
  </si>
  <si>
    <t>M43</t>
  </si>
  <si>
    <t>SNCF Augéa Régénaration ouvrage et remplacement buses</t>
  </si>
  <si>
    <t>RAM43B</t>
  </si>
  <si>
    <t>RAM43B*</t>
  </si>
  <si>
    <t>M44</t>
  </si>
  <si>
    <t>SCI BANASSAT - Constuction d'un manège à chevaux</t>
  </si>
  <si>
    <t xml:space="preserve">RAM44I </t>
  </si>
  <si>
    <t>401,4 k€</t>
  </si>
  <si>
    <t>M45</t>
  </si>
  <si>
    <t>DRA ST PRIEST - travaux connexes d'Aménagements provisoires</t>
  </si>
  <si>
    <t>RAM45C</t>
  </si>
  <si>
    <t>RAM45C*</t>
  </si>
  <si>
    <t>à refacturer à La Foncière des Alpilles</t>
  </si>
  <si>
    <t>à ventiler à 50/50 avec NGE Fondations (Refact)</t>
  </si>
  <si>
    <t>M46</t>
  </si>
  <si>
    <t>VILLEURBANNE - MBDC ENROBES LOT 4</t>
  </si>
  <si>
    <t>Groupt MGBTP / SIORAT / RMF</t>
  </si>
  <si>
    <t>RAM46C</t>
  </si>
  <si>
    <t>AC MAX 8M€/2 ANS</t>
  </si>
  <si>
    <t>RAM46C*</t>
  </si>
  <si>
    <t>M47</t>
  </si>
  <si>
    <t>CPER Aurillac Arvant</t>
  </si>
  <si>
    <t>Groupt EUGENIE / GUINTOLI</t>
  </si>
  <si>
    <t>RAM47E</t>
  </si>
  <si>
    <t>RAM47E*</t>
  </si>
  <si>
    <t>M. DE SOUSA</t>
  </si>
  <si>
    <t>M48</t>
  </si>
  <si>
    <t>VICHY Aménagement base de loisirs de St YORRE</t>
  </si>
  <si>
    <t>RAM48E*</t>
  </si>
  <si>
    <t>RAM48E</t>
  </si>
  <si>
    <t>M49</t>
  </si>
  <si>
    <t>ALLIER Réfection de la buse de Montvernay RD 207 à St Pierre Laval</t>
  </si>
  <si>
    <t>Groupt NGE GC / GUINTOLI / SIORAT</t>
  </si>
  <si>
    <t>RAM49E*</t>
  </si>
  <si>
    <t>RAM49I</t>
  </si>
  <si>
    <t>445,5 k€</t>
  </si>
  <si>
    <t>M50</t>
  </si>
  <si>
    <t>CAM Boulevard Charcot à CLERMONT</t>
  </si>
  <si>
    <t>Groupt EHTP / ROUX TP</t>
  </si>
  <si>
    <t>RAM50K</t>
  </si>
  <si>
    <t>RAM50K*</t>
  </si>
  <si>
    <t>H.PERIER</t>
  </si>
  <si>
    <t>M51</t>
  </si>
  <si>
    <t>Dompierre sur Besbre - Espace Détente à la piscine Lot 1</t>
  </si>
  <si>
    <t>RAM51E*</t>
  </si>
  <si>
    <t>RAM51E</t>
  </si>
  <si>
    <t>139,5 k€</t>
  </si>
  <si>
    <t>M52</t>
  </si>
  <si>
    <t>OVIDEA Bassin d'orage / STEP Eauvitale à DIJON</t>
  </si>
  <si>
    <t>Groupt NGE GC / NGE Fondations / SOC / GUINTOLI</t>
  </si>
  <si>
    <t>RAM52B</t>
  </si>
  <si>
    <t>RAM52B*</t>
  </si>
  <si>
    <t>RAM52I</t>
  </si>
  <si>
    <t>M53</t>
  </si>
  <si>
    <t>Divers D. MARQUES / AIN</t>
  </si>
  <si>
    <t>RAM53A*</t>
  </si>
  <si>
    <t>RAM53A</t>
  </si>
  <si>
    <t>M54</t>
  </si>
  <si>
    <t>CHEVIGNY St Sauveur - Accord Cadres à BDC / Aménagement des voiries</t>
  </si>
  <si>
    <t>RAM54B</t>
  </si>
  <si>
    <t>RAM54B*</t>
  </si>
  <si>
    <t>M55</t>
  </si>
  <si>
    <t>CHALON s/ Saône - MBC de Tvx sur les Réseaux AU, AEP, EP &amp; Ouvrages Annexes Lots 1 &amp; 2</t>
  </si>
  <si>
    <t>RAM55B*</t>
  </si>
  <si>
    <t>RAM55B</t>
  </si>
  <si>
    <t>RAM49E</t>
  </si>
  <si>
    <t>M56</t>
  </si>
  <si>
    <t>CHARBONNIERES LES BAINS
Dévoiement conduites AEP</t>
  </si>
  <si>
    <t>Groupt EHTP / SIORAT / PETAVIT</t>
  </si>
  <si>
    <t>RAM56J*</t>
  </si>
  <si>
    <t>RAM56J</t>
  </si>
  <si>
    <t>DALKIA R.C.U. LYON OL(Compte NRJ SEP)</t>
  </si>
  <si>
    <t>M57</t>
  </si>
  <si>
    <t>Groupt EHTP / COIRO / Nord-Est TP (COIRO Gérant de la SEP COIRO - EHTP)</t>
  </si>
  <si>
    <t>RAM57J*</t>
  </si>
  <si>
    <t>RAM57J</t>
  </si>
  <si>
    <t>M58</t>
  </si>
  <si>
    <t>LYON 7 - 3 RUE CLAIR TISSEUR
Désamiantage, dépollution et démolition des existant</t>
  </si>
  <si>
    <t>98 K€HT</t>
  </si>
  <si>
    <t>B. MORGUEN</t>
  </si>
  <si>
    <t>RAM58C</t>
  </si>
  <si>
    <t>RAM58C*</t>
  </si>
  <si>
    <t>SEPH40</t>
  </si>
  <si>
    <t>M59</t>
  </si>
  <si>
    <t>CD ALLIER Réfection de la buse des Biefs RD26 à Arfeuilles</t>
  </si>
  <si>
    <t xml:space="preserve">RAM59I </t>
  </si>
  <si>
    <t>RAM59E*</t>
  </si>
  <si>
    <t>RAM59E</t>
  </si>
  <si>
    <t>M60</t>
  </si>
  <si>
    <t>VICHY Base de Loisirs de St Germain des Fossés / Billy</t>
  </si>
  <si>
    <t>Groupt SIORAT / VERT &amp; SPORT</t>
  </si>
  <si>
    <t>RAM60E*</t>
  </si>
  <si>
    <t>RAM60E</t>
  </si>
  <si>
    <t>M61</t>
  </si>
  <si>
    <t>VILLEFRANCHE/SAONE Réaménagement centre technique municipal</t>
  </si>
  <si>
    <t>RAM61C</t>
  </si>
  <si>
    <t>RAM61C*</t>
  </si>
  <si>
    <t>355K€</t>
  </si>
  <si>
    <t>V. BACOT / P. MUNOS</t>
  </si>
  <si>
    <t>M62</t>
  </si>
  <si>
    <t>SBA Installation de conteners PAV</t>
  </si>
  <si>
    <t>RAM62E</t>
  </si>
  <si>
    <t>RAM62E*</t>
  </si>
  <si>
    <t>M63</t>
  </si>
  <si>
    <t>Groupement GUINTOLI (ARS et SVV) / NGE Fondations</t>
  </si>
  <si>
    <t>RAM63A</t>
  </si>
  <si>
    <t>RAM63A*</t>
  </si>
  <si>
    <t>APRR-AREA Tvx de Maintenance des talus / Réseaux Sud</t>
  </si>
  <si>
    <t>M64</t>
  </si>
  <si>
    <t>VIENNE CONDRIEU - AC Travaux Lot n° 4 : Sud Est
Travaux de voirie communataire</t>
  </si>
  <si>
    <t xml:space="preserve">Groupt GUINTOLI / GUILLAUD TP / MOLINA / MTPE  </t>
  </si>
  <si>
    <t>RAM64C</t>
  </si>
  <si>
    <t>RAM64C*</t>
  </si>
  <si>
    <t>Mini/maxi annuel : 275 000€/1 000K€ (reconductible 3 fois 1 an)</t>
  </si>
  <si>
    <t>P. MUNOS / V. BACOT</t>
  </si>
  <si>
    <t>EPASE Requalification du Parc Manufacture et rue Annino Lot 1</t>
  </si>
  <si>
    <t>EPASE Requalification du Parc Manufacture et rue Annino Lot 2</t>
  </si>
  <si>
    <t>Groupt ID VERDE / GUINTOLI</t>
  </si>
  <si>
    <t>M65</t>
  </si>
  <si>
    <t>SAUR Contrat de Prestations en Régie</t>
  </si>
  <si>
    <t>RAM65A*</t>
  </si>
  <si>
    <t>RAM65A</t>
  </si>
  <si>
    <t>Contrat de M.A.D. de matériel et personnel selon barême prévu au contrat</t>
  </si>
  <si>
    <t>M66</t>
  </si>
  <si>
    <t>SAINT PRIEST IKEA - Mise en peinture</t>
  </si>
  <si>
    <t>RAM66C*</t>
  </si>
  <si>
    <t>RAM66C</t>
  </si>
  <si>
    <t>500 K€</t>
  </si>
  <si>
    <t>M67</t>
  </si>
  <si>
    <t>RLV Renaturation du Bédat dans la tranversée de Chappes</t>
  </si>
  <si>
    <t>Groupt GUINTOLI / EHTP / NGE GC / STE</t>
  </si>
  <si>
    <t>RAM67E</t>
  </si>
  <si>
    <t>RAM67E*</t>
  </si>
  <si>
    <t>M68</t>
  </si>
  <si>
    <t>LA TOUR D'AUVERGNE Aménagement d'une station service</t>
  </si>
  <si>
    <t>RAM68L*</t>
  </si>
  <si>
    <t>RAM68L</t>
  </si>
  <si>
    <t>97 k€</t>
  </si>
  <si>
    <t>M69</t>
  </si>
  <si>
    <t>BRENNTAG Torcy (71)</t>
  </si>
  <si>
    <t>RAM69B</t>
  </si>
  <si>
    <t>RAM69B*</t>
  </si>
  <si>
    <t>125 k€</t>
  </si>
  <si>
    <t>M.BRAY</t>
  </si>
  <si>
    <t>M70</t>
  </si>
  <si>
    <t>GBM Pouilley les Vignes - rue des Vignes et rue Masson</t>
  </si>
  <si>
    <t>RAM70B</t>
  </si>
  <si>
    <t>RAM70B*</t>
  </si>
  <si>
    <t>441 k€</t>
  </si>
  <si>
    <t>RAM67I</t>
  </si>
  <si>
    <t>M71</t>
  </si>
  <si>
    <t>BELLEYDOUX Aménagement RD33 &amp; RD13</t>
  </si>
  <si>
    <t>RAM71A*</t>
  </si>
  <si>
    <t>250,5 k€</t>
  </si>
  <si>
    <t>M72</t>
  </si>
  <si>
    <t>CAM Boulevard Lafayette Partie1 entre la rue Fernand Raynaud et le boulevard Bingen à CLERMONT</t>
  </si>
  <si>
    <t>RAM72K*</t>
  </si>
  <si>
    <t>RAM72K</t>
  </si>
  <si>
    <t>1 737 k€</t>
  </si>
  <si>
    <t>M73</t>
  </si>
  <si>
    <t>SCI FF Industrie - SIEGRIST</t>
  </si>
  <si>
    <t>RAM73E</t>
  </si>
  <si>
    <t>RAM73E*</t>
  </si>
  <si>
    <t>M74</t>
  </si>
  <si>
    <t>CAM Rue Henri Dunant à ROMAGNAT</t>
  </si>
  <si>
    <t>RAM74K</t>
  </si>
  <si>
    <t>RAM74K*</t>
  </si>
  <si>
    <t>M75</t>
  </si>
  <si>
    <t>MICHELIN Projet IOTA Instrumentation du terrain Michelin Ladoux</t>
  </si>
  <si>
    <t>RAM75K*</t>
  </si>
  <si>
    <t>RAM75K</t>
  </si>
  <si>
    <t>C. VOLDOIRE</t>
  </si>
  <si>
    <t>363 k€</t>
  </si>
  <si>
    <t>RAM76E</t>
  </si>
  <si>
    <t>M76</t>
  </si>
  <si>
    <t>BACACIER Restructuration site de RIOM - Phase2 Lot100</t>
  </si>
  <si>
    <t>RAM76E*</t>
  </si>
  <si>
    <t>RAM76I</t>
  </si>
  <si>
    <t>990k€</t>
  </si>
  <si>
    <t>M77</t>
  </si>
  <si>
    <t>DIJON Désimperméabilisation, végétalisation des cours des écoles du Nord et des Coteaux du Suzon</t>
  </si>
  <si>
    <t>RAM77B</t>
  </si>
  <si>
    <t>RAM77B*</t>
  </si>
  <si>
    <t>288k€</t>
  </si>
  <si>
    <t>M78</t>
  </si>
  <si>
    <t>RLV Assainissementet enfouissements des réseaux secs à Fontêtes (2ème trancheà</t>
  </si>
  <si>
    <t>RAM78L*</t>
  </si>
  <si>
    <t>RAM78L</t>
  </si>
  <si>
    <t>800 k€</t>
  </si>
  <si>
    <t>M79</t>
  </si>
  <si>
    <t>C.C.D.S.V Extension ZAC Monfray à Fareins Lot 1 VRD</t>
  </si>
  <si>
    <t xml:space="preserve">Groupt GUINTOLI / EHTP / EIFFAGE </t>
  </si>
  <si>
    <t>RAM79C</t>
  </si>
  <si>
    <t>RAM79C*</t>
  </si>
  <si>
    <t>V.BACOT</t>
  </si>
  <si>
    <t>899 k€</t>
  </si>
  <si>
    <t>M80</t>
  </si>
  <si>
    <t>S.I.D.E. Bresse Suran Revermont - Programme 2022 Moyenne Reyssouze : ETREZ Impasse et route des Combes - FOISSIAT route des Orcières</t>
  </si>
  <si>
    <t xml:space="preserve">Groupt DUMAS / EHTP  </t>
  </si>
  <si>
    <t>RAM80A*</t>
  </si>
  <si>
    <t>RAM80A</t>
  </si>
  <si>
    <t>J-B BOUCHARDON</t>
  </si>
  <si>
    <t>312 k€</t>
  </si>
  <si>
    <t>M81</t>
  </si>
  <si>
    <t>SPL Sud Bourgogne Aménagement - Coulée verte ZAC SAONEOR Phase II Lot 1</t>
  </si>
  <si>
    <t>RAM81B</t>
  </si>
  <si>
    <t>RAM81B*</t>
  </si>
  <si>
    <t>460 k€</t>
  </si>
  <si>
    <t>M82</t>
  </si>
  <si>
    <t>SODIEN RCU DIJON</t>
  </si>
  <si>
    <t>Groupt EHTP / SCR / THEFFO TP / ISOPLUS France</t>
  </si>
  <si>
    <t>RAM82B</t>
  </si>
  <si>
    <t>RAM82B*</t>
  </si>
  <si>
    <t>367 k€</t>
  </si>
  <si>
    <t>M83</t>
  </si>
  <si>
    <t>SIAEP Clidane Chavanon - Réhab. Réseau AEP Rue du Bois Joli à MESSEIX</t>
  </si>
  <si>
    <t>RAM83L*</t>
  </si>
  <si>
    <t>RAM83L</t>
  </si>
  <si>
    <t>M84</t>
  </si>
  <si>
    <t>LEYGATECH Plateforme YSSINGEAUX</t>
  </si>
  <si>
    <t>RAM84D</t>
  </si>
  <si>
    <t>RAM84D*</t>
  </si>
  <si>
    <t>M85</t>
  </si>
  <si>
    <t>ST PAUL EN JAREZ - Aménagement VRD Complexe sportif des Fraries</t>
  </si>
  <si>
    <t>RAM85D</t>
  </si>
  <si>
    <t>RAM85D*</t>
  </si>
  <si>
    <t>M86</t>
  </si>
  <si>
    <t>MONTLUCON Démolition et reconstruction de la passerelle de la Glacerie</t>
  </si>
  <si>
    <t>Groupt NGE GC / GUINTOLI / SIORAT / ATLANTIC Marine</t>
  </si>
  <si>
    <t>RAM86E</t>
  </si>
  <si>
    <t>RAM86E*</t>
  </si>
  <si>
    <t>RAM86I</t>
  </si>
  <si>
    <t>348,6 k€</t>
  </si>
  <si>
    <t>M87</t>
  </si>
  <si>
    <t>DIJON Centre de Tri</t>
  </si>
  <si>
    <t>RAM87B</t>
  </si>
  <si>
    <t>RAM87B*</t>
  </si>
  <si>
    <t>T. CROISY</t>
  </si>
  <si>
    <t>1 237 k€</t>
  </si>
  <si>
    <t>M88</t>
  </si>
  <si>
    <t>MONTLUCON Golf de St Agathe</t>
  </si>
  <si>
    <t>RAM88L*</t>
  </si>
  <si>
    <t>RAM88L</t>
  </si>
  <si>
    <t>41 k€</t>
  </si>
  <si>
    <t>RAM89L*</t>
  </si>
  <si>
    <t>RAM89L</t>
  </si>
  <si>
    <t>M89</t>
  </si>
  <si>
    <t>ASF - A89 Aire de la Loutre</t>
  </si>
  <si>
    <t>M90</t>
  </si>
  <si>
    <t>Groupt SOC / TP LYAUDET</t>
  </si>
  <si>
    <t>RAM90L*</t>
  </si>
  <si>
    <t>RAM90L</t>
  </si>
  <si>
    <t>SIVOM Sermaises</t>
  </si>
  <si>
    <t>Plaine du Nord Loiret</t>
  </si>
  <si>
    <t>La Tour d'AuVERGNE Piste de Ski</t>
  </si>
  <si>
    <t>RAM91L*</t>
  </si>
  <si>
    <t>RAM91L</t>
  </si>
  <si>
    <t>405 k€</t>
  </si>
  <si>
    <t>M91</t>
  </si>
  <si>
    <t>M92</t>
  </si>
  <si>
    <t>CAM Restauration de la rivière Bédat dans la traversée de Cébazat</t>
  </si>
  <si>
    <t>Group GUINTOLI / JD Paysages</t>
  </si>
  <si>
    <t>RAM92E</t>
  </si>
  <si>
    <t>RAM92E*</t>
  </si>
  <si>
    <t>M93</t>
  </si>
  <si>
    <t>RAM93L*</t>
  </si>
  <si>
    <t>RAM93L</t>
  </si>
  <si>
    <t>260 k€</t>
  </si>
  <si>
    <t>CLERMONT Ilôt Pardieu - Construction d'un bâtiment de bureaux</t>
  </si>
  <si>
    <t>M94</t>
  </si>
  <si>
    <t>RAM94A</t>
  </si>
  <si>
    <t>RAM94A*</t>
  </si>
  <si>
    <t>SYNDICAT AEP BRESSE SURAN REVERMONT - Alimentation AEP Corveissiat/Arnans/Cuvergnat</t>
  </si>
  <si>
    <t>435 K€</t>
  </si>
  <si>
    <t>Groupt EHTP (m) / DUMAS TP</t>
  </si>
  <si>
    <t>M95</t>
  </si>
  <si>
    <t>Divers J-B BOUCHARDON</t>
  </si>
  <si>
    <t>RAM95A</t>
  </si>
  <si>
    <t>RAM95A*</t>
  </si>
  <si>
    <t>M96</t>
  </si>
  <si>
    <t>TSG IRVE TOTAL</t>
  </si>
  <si>
    <t>RAM96A</t>
  </si>
  <si>
    <t>RAM96A*</t>
  </si>
  <si>
    <t>RAM96B</t>
  </si>
  <si>
    <t>RAM96B*</t>
  </si>
  <si>
    <t>M97</t>
  </si>
  <si>
    <t>STARTERRE La Clinique Site de Voglans</t>
  </si>
  <si>
    <t>Groupt GUINTOLI / MILLET Paysages</t>
  </si>
  <si>
    <t>RAM97C</t>
  </si>
  <si>
    <t>RAM97C*</t>
  </si>
  <si>
    <t>190 k€ / 205 k€</t>
  </si>
  <si>
    <t>CD01 Entretien RD Haut-Bugey 2022 à 2026</t>
  </si>
  <si>
    <t>M98</t>
  </si>
  <si>
    <t>RAM98A</t>
  </si>
  <si>
    <t>RAM98A*</t>
  </si>
  <si>
    <t>M99</t>
  </si>
  <si>
    <t>NOVIM ZAIN Loire Sud à Andrezieux et La Fouillouse - Lot 1</t>
  </si>
  <si>
    <t>RAM99D</t>
  </si>
  <si>
    <t>RAM99D*</t>
  </si>
  <si>
    <t>859,4 k€</t>
  </si>
  <si>
    <t>M1A</t>
  </si>
  <si>
    <t>RAM1AA*</t>
  </si>
  <si>
    <t>RAM1AA</t>
  </si>
  <si>
    <t>HBA Accord Cadre/ AEP, Assainissement &amp; EP 2022- Lot1 HBA Nord</t>
  </si>
  <si>
    <t>M1B</t>
  </si>
  <si>
    <t>SNCF - BELFORT Démolition poste 2</t>
  </si>
  <si>
    <t>Groupt GUINTOLI / BERENGIER / TSO</t>
  </si>
  <si>
    <t>RAM1BB*</t>
  </si>
  <si>
    <t>RAM1BB</t>
  </si>
  <si>
    <t>334 k€</t>
  </si>
  <si>
    <t>M1C</t>
  </si>
  <si>
    <t>BARBIER Création de Parking à Ste Sigolène</t>
  </si>
  <si>
    <t>RAM1CD</t>
  </si>
  <si>
    <t>RAM1CD*</t>
  </si>
  <si>
    <t>N.MORIZON</t>
  </si>
  <si>
    <t>M1D</t>
  </si>
  <si>
    <t>V. REPELLIN</t>
  </si>
  <si>
    <t>Group GUINTOLI / EHTP / SIORAT</t>
  </si>
  <si>
    <t>LYON 3 - Esplanade N. Mandela - lot 1 VRD</t>
  </si>
  <si>
    <t>RAM1DC</t>
  </si>
  <si>
    <t>RAM1DC*</t>
  </si>
  <si>
    <t>1619 K€</t>
  </si>
  <si>
    <t>M1E</t>
  </si>
  <si>
    <t>MIONNAY - Assainissement des Plattières</t>
  </si>
  <si>
    <t>Group ALBERTAZZI / COIRO / EHTP</t>
  </si>
  <si>
    <t>RAM1EJ</t>
  </si>
  <si>
    <t>RAM1EJ*</t>
  </si>
  <si>
    <t>313 k€ (part EHTP)</t>
  </si>
  <si>
    <t>M1F</t>
  </si>
  <si>
    <t>AGILIS Longrines Préfa / RD1215 Déviation de St Aubin le Taillan</t>
  </si>
  <si>
    <t>RAM1FI*</t>
  </si>
  <si>
    <t>RAM1FI</t>
  </si>
  <si>
    <t>59,4 k€</t>
  </si>
  <si>
    <t>M1G</t>
  </si>
  <si>
    <t xml:space="preserve">QUETIGNY Avenue du 8 Mai </t>
  </si>
  <si>
    <t>RAM1GB</t>
  </si>
  <si>
    <t>RAM1GB*</t>
  </si>
  <si>
    <t>356 k€</t>
  </si>
  <si>
    <t>M1H</t>
  </si>
  <si>
    <t>VICHY Réparation du Pont De Lattre de Tassigny</t>
  </si>
  <si>
    <t>RAM1HI</t>
  </si>
  <si>
    <t>720,74 k€</t>
  </si>
  <si>
    <t>RAM1HE*</t>
  </si>
  <si>
    <t>RAM1HE</t>
  </si>
  <si>
    <t>Group NGE GC / SIORAT</t>
  </si>
  <si>
    <t>M1I</t>
  </si>
  <si>
    <t>Group GUINTOLI / SIORAT</t>
  </si>
  <si>
    <t>RAM1IE*</t>
  </si>
  <si>
    <t>RAM1IE</t>
  </si>
  <si>
    <t>CD01 Entretien RD Bellegarde-Gex 2022 à 2026</t>
  </si>
  <si>
    <t>CD01 Entretien RD Val de Saône-Bresse 2022 à 2026</t>
  </si>
  <si>
    <t>CD01 Entretien RD Bresse-Revermont 2022 à 2026</t>
  </si>
  <si>
    <t>M1J</t>
  </si>
  <si>
    <t>M1K</t>
  </si>
  <si>
    <t>M1L</t>
  </si>
  <si>
    <t>RAM1JA</t>
  </si>
  <si>
    <t>RAM1JA*</t>
  </si>
  <si>
    <t>RAM1KA</t>
  </si>
  <si>
    <t>RAM1KA*</t>
  </si>
  <si>
    <t>RAM1LA</t>
  </si>
  <si>
    <t>RAM1LA*</t>
  </si>
  <si>
    <t>M1M</t>
  </si>
  <si>
    <t>RAM1MA</t>
  </si>
  <si>
    <t>RAM1MA*</t>
  </si>
  <si>
    <t>M1N</t>
  </si>
  <si>
    <t>SNCF - Allongement des quais</t>
  </si>
  <si>
    <t>RAM1NH</t>
  </si>
  <si>
    <t>Géré par D. Marques mais périmètre J Peyrical</t>
  </si>
  <si>
    <t>Groupt NGE GC / BOUYGUES ENERG. SERV</t>
  </si>
  <si>
    <t>5 744 K€</t>
  </si>
  <si>
    <t>M1O</t>
  </si>
  <si>
    <t>GBM Entretien 2022-2026</t>
  </si>
  <si>
    <t>RAM1OB</t>
  </si>
  <si>
    <t>RAM1OB*</t>
  </si>
  <si>
    <t>M1P</t>
  </si>
  <si>
    <t>GBM Préverdissement Grette / Brulard</t>
  </si>
  <si>
    <t>RAM1PB</t>
  </si>
  <si>
    <t>RAM1PB*</t>
  </si>
  <si>
    <t>GUINTOLI (ST de BONNEFOY TP)</t>
  </si>
  <si>
    <t>M1Q</t>
  </si>
  <si>
    <t>Université de DIJON - Marché d'entretien, de menues et grosses réparation des bâtiments (Lot 7)</t>
  </si>
  <si>
    <t>RAM1QB</t>
  </si>
  <si>
    <t>RAM1QB*</t>
  </si>
  <si>
    <t>M1R</t>
  </si>
  <si>
    <t>CD21 Tx expérimentaux / RD9 à Juilly et Flavigny s/Ozerain</t>
  </si>
  <si>
    <t>RAM1RB</t>
  </si>
  <si>
    <t>RAM1RB*</t>
  </si>
  <si>
    <t>SNCF - Allongement des quais (ST de NGE GC)</t>
  </si>
  <si>
    <t>RAM1NC</t>
  </si>
  <si>
    <t>RAM1NC*</t>
  </si>
  <si>
    <t>T. LAFON / J. PEYRICAL</t>
  </si>
  <si>
    <t>Centrale d'Enrobé de DIJON</t>
  </si>
  <si>
    <t>M1S</t>
  </si>
  <si>
    <t>RAM1SB</t>
  </si>
  <si>
    <t>RAM1SB*</t>
  </si>
  <si>
    <t>M1T</t>
  </si>
  <si>
    <t>CAM Bibliothèque métropolitaine / Hôtel Dieu</t>
  </si>
  <si>
    <t>RAM1TE</t>
  </si>
  <si>
    <t>RAM1TE*</t>
  </si>
  <si>
    <t>M1U</t>
  </si>
  <si>
    <t>CHAPONOST Doumer/Chapard/Lésignano Lot 1</t>
  </si>
  <si>
    <t>Groupt GUINTOLI/EHTP/SIORAT</t>
  </si>
  <si>
    <t>RAM1UC</t>
  </si>
  <si>
    <t>RAM1UC*</t>
  </si>
  <si>
    <t>574 K€</t>
  </si>
  <si>
    <t>M1V</t>
  </si>
  <si>
    <t>DIJON Ecoquartier de l'Arsenal</t>
  </si>
  <si>
    <t>RAM1VB</t>
  </si>
  <si>
    <t>RAM1VB*</t>
  </si>
  <si>
    <t>1 155 k€</t>
  </si>
  <si>
    <t>M1W</t>
  </si>
  <si>
    <t>IRRMANN PAPON SIA du Haut-Buron</t>
  </si>
  <si>
    <t>RAM1WK*</t>
  </si>
  <si>
    <t>RAM1WK</t>
  </si>
  <si>
    <t>80 k€</t>
  </si>
  <si>
    <t>M1X</t>
  </si>
  <si>
    <t>TAUVES Voie d'accès Manaranche / les Sagnes</t>
  </si>
  <si>
    <t>RAM1XL*</t>
  </si>
  <si>
    <t>RAM1XL</t>
  </si>
  <si>
    <t>M1Y</t>
  </si>
  <si>
    <t>SNCF ADAP Gare d'ISSOIRE Lot 1</t>
  </si>
  <si>
    <t>Groupt NGE GC / GUINTOLI / NGE Fondations / TSO Signalisation / TECHNIC ELEC 58</t>
  </si>
  <si>
    <t>RAM1YE</t>
  </si>
  <si>
    <t>RAM1YE*</t>
  </si>
  <si>
    <t>RAM1YI</t>
  </si>
  <si>
    <t>M1Z</t>
  </si>
  <si>
    <t>VILLEURBANNE TERRAIN DES SŒURS Finitions</t>
  </si>
  <si>
    <t>Groupt  GUINTOLI / EHTP / SIORAT</t>
  </si>
  <si>
    <t>RAM1ZC</t>
  </si>
  <si>
    <t>RAM1ZC*</t>
  </si>
  <si>
    <t>411 K€</t>
  </si>
  <si>
    <t>M2A</t>
  </si>
  <si>
    <t>LYON T6 NORD Tramway - Tx préparatoires infra et finitions</t>
  </si>
  <si>
    <t>Groupt COIRO / MDTP / GUINTOLI</t>
  </si>
  <si>
    <t>RAM2AC</t>
  </si>
  <si>
    <t>RAM2AC*</t>
  </si>
  <si>
    <t>P. MUNOS / P. THOMAS</t>
  </si>
  <si>
    <t>M2B</t>
  </si>
  <si>
    <t>MANZAT Réseau d'Eaux Pluviales / Route de Riom</t>
  </si>
  <si>
    <t>RAM2BL*</t>
  </si>
  <si>
    <t>RAM2BL</t>
  </si>
  <si>
    <t>T6 NORD Tramway - AEP</t>
  </si>
  <si>
    <t>4300 K€</t>
  </si>
  <si>
    <t>Groupt SOGEA / MDTP / COIRO / EHTP</t>
  </si>
  <si>
    <t>RAM2CJ</t>
  </si>
  <si>
    <t>RAM2CJ*</t>
  </si>
  <si>
    <t>M2C</t>
  </si>
  <si>
    <t>M2D</t>
  </si>
  <si>
    <t>Rives de Saône - SAINT USAGE Renouvelleme nt ouvrage maçonné passant sous le bief 76S du canal de Bourgogne</t>
  </si>
  <si>
    <t>RAM2DB</t>
  </si>
  <si>
    <t>RAM2DB*</t>
  </si>
  <si>
    <t>???/DE MESQUITA</t>
  </si>
  <si>
    <t>144,5 k€</t>
  </si>
  <si>
    <t>M2E</t>
  </si>
  <si>
    <t xml:space="preserve">Groupt EHTP / SIORAT </t>
  </si>
  <si>
    <t>RAM2EB*</t>
  </si>
  <si>
    <t>RAM2EB</t>
  </si>
  <si>
    <t>465,9 k€</t>
  </si>
  <si>
    <t>C.C.Gevrey-Chanbertin &amp; Nuit-St-Georges ZAC des Terres d'Or III lot2 réseaux</t>
  </si>
  <si>
    <t>M2F</t>
  </si>
  <si>
    <t>SCI CHATERHUSS Dépollution futur site SAUR</t>
  </si>
  <si>
    <t>RAM2FD*</t>
  </si>
  <si>
    <t>RAM2FD</t>
  </si>
  <si>
    <t>86,6 k€</t>
  </si>
  <si>
    <t>CD01 Entretien O.A. OUEST des RD 2018 à 2022</t>
  </si>
  <si>
    <t>M2G</t>
  </si>
  <si>
    <t>VILLARS Dépôt de Bourgeat - Nettoyage et remodelage d'un terrain communal</t>
  </si>
  <si>
    <t>RAM2GD</t>
  </si>
  <si>
    <t>RAM2GD*</t>
  </si>
  <si>
    <t>209,15k€</t>
  </si>
  <si>
    <t>M2H</t>
  </si>
  <si>
    <t>Ministère des Armées - Démolition &amp; installation de monte-charges / AIA-CF : Lot 7</t>
  </si>
  <si>
    <t>RAM2HE</t>
  </si>
  <si>
    <t>RAM2HE*</t>
  </si>
  <si>
    <t>M2I</t>
  </si>
  <si>
    <t>OFFROY FRET SNCF DIJON</t>
  </si>
  <si>
    <t>RAM2II</t>
  </si>
  <si>
    <t>43,9 k€</t>
  </si>
  <si>
    <t>N01</t>
  </si>
  <si>
    <t>LISTES DES AFFAIRES A.R.S OUVERTES sur 2023</t>
  </si>
  <si>
    <t>RAN01C</t>
  </si>
  <si>
    <t>RAN01C*</t>
  </si>
  <si>
    <t>DIVERS LYON RHÔNE 2023</t>
  </si>
  <si>
    <t>N02</t>
  </si>
  <si>
    <t>NUC-EDF BUGEY Nettoyage, inspections téléVisuelles et réparation des réseaux gravitaires SEO, SEU &amp; SEH de 2023 à 2029</t>
  </si>
  <si>
    <t>RAN02A</t>
  </si>
  <si>
    <t>RAN02A*</t>
  </si>
  <si>
    <t>R. DENEPOUX / L. GARNIER</t>
  </si>
  <si>
    <t>426,8 k€</t>
  </si>
  <si>
    <t>N03</t>
  </si>
  <si>
    <t>DALKIA R.C.U. T6 NORD(Compte NRJ SEP)</t>
  </si>
  <si>
    <t>Groupt COIRO (Mandataire &amp; Gérant de la SEP COIRO / EHTP) / EHTP / SCR / N.E.S.T.P. / IMPAL</t>
  </si>
  <si>
    <t>RAN03J*</t>
  </si>
  <si>
    <t>RAN03J</t>
  </si>
  <si>
    <t>M2J</t>
  </si>
  <si>
    <t>RAM2JD</t>
  </si>
  <si>
    <t>RAM2JD*</t>
  </si>
  <si>
    <t>Compte initial mal créé</t>
  </si>
  <si>
    <t>Compte de régul pour CA</t>
  </si>
  <si>
    <t>N04</t>
  </si>
  <si>
    <t>Ministère de l'Interieur - Digues de Roanne Programme 2022</t>
  </si>
  <si>
    <t>RAN04I</t>
  </si>
  <si>
    <t>N05</t>
  </si>
  <si>
    <t>LOIRE FOREZ Agglo - Accord Cadre / Voirie d'intérêt communautaire Lot 1</t>
  </si>
  <si>
    <t>RAN05D</t>
  </si>
  <si>
    <t>RAN05D*</t>
  </si>
  <si>
    <t>LOIRE</t>
  </si>
  <si>
    <t>N06</t>
  </si>
  <si>
    <t>SIAEP Basse Limagne - Accord Cadre SBL - Programme 2023 / Marché Subséquent n° 6</t>
  </si>
  <si>
    <t>RAN06K</t>
  </si>
  <si>
    <t>RAN06K*</t>
  </si>
  <si>
    <t>Cana OUEST</t>
  </si>
  <si>
    <t>N07</t>
  </si>
  <si>
    <t>SMVVA Aydat - Assainissement - Restructuration du réseau de transfert Syndical &amp; construction d'un réseau de collecte à Ponteix</t>
  </si>
  <si>
    <t>Group EHTP / TP LYAUDET</t>
  </si>
  <si>
    <t>RAN07K*</t>
  </si>
  <si>
    <t>RAN07K</t>
  </si>
  <si>
    <t>Cana OUEST (TP LYAUDET ne fera pas de travaux)</t>
  </si>
  <si>
    <t>N08</t>
  </si>
  <si>
    <t>RLV AEP de Paugnat (Charbonnières les Varennes)</t>
  </si>
  <si>
    <t>RAN08L*</t>
  </si>
  <si>
    <t>RAN08L</t>
  </si>
  <si>
    <t>389 k€</t>
  </si>
  <si>
    <t>N09</t>
  </si>
  <si>
    <t xml:space="preserve">LA STELE Lot 12 VRD </t>
  </si>
  <si>
    <t>Group COUDERT / TP LYAUDET</t>
  </si>
  <si>
    <t>RAN09L*</t>
  </si>
  <si>
    <t>RAN09L</t>
  </si>
  <si>
    <t>95 k€</t>
  </si>
  <si>
    <t>N10</t>
  </si>
  <si>
    <t xml:space="preserve">SNCF Ligne Aurillac - Arvant </t>
  </si>
  <si>
    <t>GUINTOLI (ST du groupt BTPS/BOUILLOT)</t>
  </si>
  <si>
    <t>RAN10E</t>
  </si>
  <si>
    <t>RAN10E*</t>
  </si>
  <si>
    <t>207,5 k€</t>
  </si>
  <si>
    <t>N11</t>
  </si>
  <si>
    <t>CD63 - Commune de JOZE : RD1093</t>
  </si>
  <si>
    <t>RAN11E</t>
  </si>
  <si>
    <t>RAN11E*</t>
  </si>
  <si>
    <t>499,5 k€</t>
  </si>
  <si>
    <t>RAGCES</t>
  </si>
  <si>
    <t>RAGCOU</t>
  </si>
  <si>
    <t>N12</t>
  </si>
  <si>
    <t>SIORAT A REVENTILER LYON</t>
  </si>
  <si>
    <t>RAN12C</t>
  </si>
  <si>
    <t>RAN12C*</t>
  </si>
  <si>
    <t>N13</t>
  </si>
  <si>
    <t>RAN13E</t>
  </si>
  <si>
    <t>RAN13E*</t>
  </si>
  <si>
    <t>RIOM - Remise à niveau diffuseur A71- G s/t de FREYSSINET</t>
  </si>
  <si>
    <t>80 K€</t>
  </si>
  <si>
    <t>GUINTOLI (ST de FREYSSINET)</t>
  </si>
  <si>
    <t>T. ROBERT</t>
  </si>
  <si>
    <t>N14</t>
  </si>
  <si>
    <t>LANGEAC Construction de 2 passerelles flottantes</t>
  </si>
  <si>
    <t>RAN14I</t>
  </si>
  <si>
    <t>447 k€</t>
  </si>
  <si>
    <t>N15</t>
  </si>
  <si>
    <t>CD01 Aménagement Giratoire ZA Veyle Nord</t>
  </si>
  <si>
    <t>Groupt FAMY / GUINTOLI / SIORAT</t>
  </si>
  <si>
    <t>RAN15A</t>
  </si>
  <si>
    <t>RAN15A*</t>
  </si>
  <si>
    <t>N16</t>
  </si>
  <si>
    <t>VENISSIEUX - TECHNICENTRE MARCHE B</t>
  </si>
  <si>
    <t>Groupt TSO / GUINTOLI / OFFROY</t>
  </si>
  <si>
    <t>RAN16C</t>
  </si>
  <si>
    <t>RAN16C*</t>
  </si>
  <si>
    <t>269,50 K€ (part GUINTOLI)</t>
  </si>
  <si>
    <t>N17</t>
  </si>
  <si>
    <t>DUMEZ Bibliothèque Hotel Dieu CLERMONT</t>
  </si>
  <si>
    <t>Groupt GUINTOLI / NGE Fondations</t>
  </si>
  <si>
    <t>RAN17E</t>
  </si>
  <si>
    <t>RAN17E*</t>
  </si>
  <si>
    <t>N18</t>
  </si>
  <si>
    <t>DIVERS SIORAT ALLIER 2023 (T. ROBERT)</t>
  </si>
  <si>
    <t>RAN18E</t>
  </si>
  <si>
    <t>RAN18E*</t>
  </si>
  <si>
    <t>LFA à SAVIGNEUX - rue des Laitiers &amp; Allée Chanteclair</t>
  </si>
  <si>
    <t>RAN19D</t>
  </si>
  <si>
    <t>N19</t>
  </si>
  <si>
    <t>RAN19D*</t>
  </si>
  <si>
    <t>D. MOYNE / B.JANISSET</t>
  </si>
  <si>
    <t>LFA à BONSON - rue des Javelottes</t>
  </si>
  <si>
    <t>RAN20D</t>
  </si>
  <si>
    <t>RAN20D*</t>
  </si>
  <si>
    <t>N20</t>
  </si>
  <si>
    <t>N21</t>
  </si>
  <si>
    <t>LEMPDES s/ Allagnon - Passe à Poisson du seuil</t>
  </si>
  <si>
    <t>Groupt  CHEVALIER / NGE GC</t>
  </si>
  <si>
    <t>RAN21I</t>
  </si>
  <si>
    <t>314,9 k€</t>
  </si>
  <si>
    <t>N22</t>
  </si>
  <si>
    <t>CVBE E22 Ouest Bourbonnais - Métha Verneix</t>
  </si>
  <si>
    <t>RAN22I</t>
  </si>
  <si>
    <t>1 765 k€</t>
  </si>
  <si>
    <t>M2K</t>
  </si>
  <si>
    <t>RAM2KD</t>
  </si>
  <si>
    <t>RAM2KD*</t>
  </si>
  <si>
    <t>N23</t>
  </si>
  <si>
    <t>N24</t>
  </si>
  <si>
    <t>NGE GC Travaux Neufs Divers  2023</t>
  </si>
  <si>
    <t>NGE GC Travaux Réha Divers  2023</t>
  </si>
  <si>
    <t>RAN23I</t>
  </si>
  <si>
    <t>RAN24I</t>
  </si>
  <si>
    <t>NGE GC Plateforme Préfa Cournon</t>
  </si>
  <si>
    <t>RAN25I</t>
  </si>
  <si>
    <t>N25</t>
  </si>
  <si>
    <t>N26</t>
  </si>
  <si>
    <t>DIVERS C.GARNIER 2023</t>
  </si>
  <si>
    <t>RAN26E</t>
  </si>
  <si>
    <t>RAN26E*</t>
  </si>
  <si>
    <t>C. GARNIER</t>
  </si>
  <si>
    <t>N27</t>
  </si>
  <si>
    <t>CD de la Nièvre - RD200 point de  Loire à IMPHY</t>
  </si>
  <si>
    <t>RAN27I</t>
  </si>
  <si>
    <t>767,7 k€</t>
  </si>
  <si>
    <t>N28</t>
  </si>
  <si>
    <t>ENGIE VNF Création de Bornes Eléctriques</t>
  </si>
  <si>
    <t>Groupt EHTP / NGE GC / COIRO TP</t>
  </si>
  <si>
    <t>RAN28J*</t>
  </si>
  <si>
    <t>RAN28J</t>
  </si>
  <si>
    <t>J - H</t>
  </si>
  <si>
    <t>RAN28H</t>
  </si>
  <si>
    <t>M. DOS SANTOS / G. DAUTHEVILLE</t>
  </si>
  <si>
    <t>N29</t>
  </si>
  <si>
    <t>VICHY Parc des Sources</t>
  </si>
  <si>
    <t>Groupt SIORAT / EHTP / PASS</t>
  </si>
  <si>
    <t>RAN29E*</t>
  </si>
  <si>
    <t>RAN29E</t>
  </si>
  <si>
    <t>4 700 k€</t>
  </si>
  <si>
    <t>N30</t>
  </si>
  <si>
    <t xml:space="preserve">Groupt EHTP / ROUX </t>
  </si>
  <si>
    <t>RAN30K*</t>
  </si>
  <si>
    <t>RAN30K</t>
  </si>
  <si>
    <t>2 850 k€</t>
  </si>
  <si>
    <t>CLERMONT Blvd SCHUMAN et rue de l'Oradou</t>
  </si>
  <si>
    <t>RAN31I</t>
  </si>
  <si>
    <t>N31</t>
  </si>
  <si>
    <t>SEM Passage Canadien / Barrage du Pas du Riot</t>
  </si>
  <si>
    <t>SMTC Agglo CLERMONT. MS Aménagement des abords de la Halle aux blés / projet InsPire</t>
  </si>
  <si>
    <t>Groupt EIFFAGE Route C-E / GUINTOLI</t>
  </si>
  <si>
    <t>RAN32E</t>
  </si>
  <si>
    <t>N32</t>
  </si>
  <si>
    <t>RAN32E*</t>
  </si>
  <si>
    <t>C.GARNIER / P-A ZABERN</t>
  </si>
  <si>
    <t>N33</t>
  </si>
  <si>
    <t>Groupt  GUINTOLI / SIORAT</t>
  </si>
  <si>
    <t>RAN33E</t>
  </si>
  <si>
    <t>RAN33E*</t>
  </si>
  <si>
    <t>CD Puy de Dôme - RD22 Aménagement en traverse d'Artonne</t>
  </si>
  <si>
    <t>189,5 k€</t>
  </si>
  <si>
    <t>SEPH52</t>
  </si>
  <si>
    <t>SEPH51</t>
  </si>
  <si>
    <t>N34</t>
  </si>
  <si>
    <t>SAEP Basse Limagne - A-C AEP 2023</t>
  </si>
  <si>
    <t>RAN34K*</t>
  </si>
  <si>
    <t>RAN34K</t>
  </si>
  <si>
    <t>F. MARQUIER</t>
  </si>
  <si>
    <t>138,5 k€</t>
  </si>
  <si>
    <t>N35</t>
  </si>
  <si>
    <t>RMF (M) / GUINTOLI/COIRO</t>
  </si>
  <si>
    <t>PUSIGNAN - ZA Satolas Green - lot 1 VRD</t>
  </si>
  <si>
    <t>RAN35C</t>
  </si>
  <si>
    <t>RAN35C*</t>
  </si>
  <si>
    <t>P. MUNOS / B. HEYRAUD</t>
  </si>
  <si>
    <t>834 K€</t>
  </si>
  <si>
    <t>N36</t>
  </si>
  <si>
    <t>MS Voirie aménagement rue henri Dunant ROMAGNAT</t>
  </si>
  <si>
    <t>RAN36E</t>
  </si>
  <si>
    <t>RAN36E*</t>
  </si>
  <si>
    <t>P-A. ZABERN / B.MARION</t>
  </si>
  <si>
    <t>N37</t>
  </si>
  <si>
    <t>MS Voirie Réhabilitation du boulevard LAFAYETTE</t>
  </si>
  <si>
    <t>RAN37E</t>
  </si>
  <si>
    <t>RAN37E*</t>
  </si>
  <si>
    <t>N38</t>
  </si>
  <si>
    <t>SNCF OA Bourges - Monluçon</t>
  </si>
  <si>
    <t>RAN38I</t>
  </si>
  <si>
    <t>482 k€</t>
  </si>
  <si>
    <t>N39</t>
  </si>
  <si>
    <t>CHARADE</t>
  </si>
  <si>
    <t>RAN39E</t>
  </si>
  <si>
    <t>RAN39E*</t>
  </si>
  <si>
    <t>M. DE SOUSA / B.MARION</t>
  </si>
  <si>
    <t>N40</t>
  </si>
  <si>
    <t>SMTC Agglo CLERMONT. Protection Ouvrage Hydrdaulique Dépôt Bus / projet InsPire</t>
  </si>
  <si>
    <t>RAN40E</t>
  </si>
  <si>
    <t>RAN40E*</t>
  </si>
  <si>
    <t>RAN40I</t>
  </si>
  <si>
    <t>N41</t>
  </si>
  <si>
    <t>PPI Ligne2 Blvd Stalingrad</t>
  </si>
  <si>
    <t>RAN41C</t>
  </si>
  <si>
    <t>RAN41C*</t>
  </si>
  <si>
    <t>1 700 K€</t>
  </si>
  <si>
    <t>N42</t>
  </si>
  <si>
    <t>ASF COMMUNAY Aire Covoiturage Echangeur16</t>
  </si>
  <si>
    <t>RAN42C</t>
  </si>
  <si>
    <t>RAN42C*</t>
  </si>
  <si>
    <t>D. MARQUES / P. DANTAUX</t>
  </si>
  <si>
    <t>Groupt  GUINTOLI / GENEVREY Paysages</t>
  </si>
  <si>
    <t>N43</t>
  </si>
  <si>
    <t>EPASE Square de la Cartonnerie à St Etienne</t>
  </si>
  <si>
    <t xml:space="preserve">Groupt ID VERDE /  GUINTOLI </t>
  </si>
  <si>
    <t>D. MOYNES / B. JANISSET</t>
  </si>
  <si>
    <t>258,3 k€</t>
  </si>
  <si>
    <t>N44</t>
  </si>
  <si>
    <t>EPASE Jardin EDEN à St Etienne</t>
  </si>
  <si>
    <t>Groupt  GUINTOLI / DE FILIPPIS</t>
  </si>
  <si>
    <t>C. CUSSET / B. JANISSET</t>
  </si>
  <si>
    <t>334,9 k€</t>
  </si>
  <si>
    <t>N45</t>
  </si>
  <si>
    <t>CNR Passe à poisson FEYSSINE</t>
  </si>
  <si>
    <t>RAN43D</t>
  </si>
  <si>
    <t>RAN43D*</t>
  </si>
  <si>
    <t>RAN44D</t>
  </si>
  <si>
    <t>RAN44D*</t>
  </si>
  <si>
    <t>RAN45C</t>
  </si>
  <si>
    <t>RAN45C*</t>
  </si>
  <si>
    <t>V. BACOT / J. PEYRICAL</t>
  </si>
  <si>
    <t>N46</t>
  </si>
  <si>
    <t>HBA Séparatif RD12 à MAILLAT</t>
  </si>
  <si>
    <t>EHTP (STPD de DUMAS)</t>
  </si>
  <si>
    <t>RAN46A</t>
  </si>
  <si>
    <t>RAN46A*</t>
  </si>
  <si>
    <t>N47</t>
  </si>
  <si>
    <t>SEM Plateforme TRAM Place Massenet</t>
  </si>
  <si>
    <t>902,4 k€</t>
  </si>
  <si>
    <t xml:space="preserve">Groupt TSO / GUINTOLI / LAQUET </t>
  </si>
  <si>
    <t>N48</t>
  </si>
  <si>
    <t>SNCF RFQ Cantal - Figeac Arvant PK364+744 - Confortement perré</t>
  </si>
  <si>
    <t>RAN48E</t>
  </si>
  <si>
    <t>RAN48E*</t>
  </si>
  <si>
    <t>RAN47D</t>
  </si>
  <si>
    <t>RAN47D*</t>
  </si>
  <si>
    <t>N49</t>
  </si>
  <si>
    <t>CDC Pyrénées Audoises - Confortement de berges en sécurisation d'un aciennen décharge sauvage</t>
  </si>
  <si>
    <t>Groupt CAZAL / TP LYAUDET</t>
  </si>
  <si>
    <t>RAN49L</t>
  </si>
  <si>
    <t>RAN49L*</t>
  </si>
  <si>
    <t>N50</t>
  </si>
  <si>
    <t>Groupt SOGEA/COIRO/EHTP/MDTP</t>
  </si>
  <si>
    <t>RAN50J</t>
  </si>
  <si>
    <t>SYTRAL T9 VAULX EN VELIN/LA SOIE AEP LOT 3</t>
  </si>
  <si>
    <t>RAN50J*</t>
  </si>
  <si>
    <t>? SEP</t>
  </si>
  <si>
    <t>3 250 K€ (marché global)</t>
  </si>
  <si>
    <t>N51</t>
  </si>
  <si>
    <t>RAN51E</t>
  </si>
  <si>
    <t>RAN51E*</t>
  </si>
  <si>
    <t>C. GARNIER / P-A.ZABERN</t>
  </si>
  <si>
    <t>1 600 K€ (marché global)</t>
  </si>
  <si>
    <t>SMTC Reconstructions riveraine et murs de clôtures</t>
  </si>
  <si>
    <t>N52</t>
  </si>
  <si>
    <t>Groupt GUINTOLI / PASS</t>
  </si>
  <si>
    <t>RAN52E</t>
  </si>
  <si>
    <t>RAN52E*</t>
  </si>
  <si>
    <t>CAM Piste cyclable / Boulevards Sud de Clermont</t>
  </si>
  <si>
    <t>2 737,1 K€ (marché global)</t>
  </si>
  <si>
    <t>N53</t>
  </si>
  <si>
    <t>SYTRAL T9 VAULX EN VELIN/LA SOIE ASSAINISSEMENT LOT 3</t>
  </si>
  <si>
    <t>Groupt COIRO/SOGEA/EHTP/MDTP/COIRO CALADE</t>
  </si>
  <si>
    <t>5 100 K€ (marché global)</t>
  </si>
  <si>
    <t>N54</t>
  </si>
  <si>
    <t>CAM Accord Cadre - Avenue Centrale / LE CENDRE</t>
  </si>
  <si>
    <t>RAN54K*</t>
  </si>
  <si>
    <t>RAN54K</t>
  </si>
  <si>
    <t>CAM Accord Cadre lot3- rue Roche Genès &amp; Rue de Pariou</t>
  </si>
  <si>
    <t>N55</t>
  </si>
  <si>
    <t>RAN55K*</t>
  </si>
  <si>
    <t>RAN55K</t>
  </si>
  <si>
    <t>N56</t>
  </si>
  <si>
    <t>La Tour d'Auvergne - Assainissement La Stèle</t>
  </si>
  <si>
    <t>RAN56L*</t>
  </si>
  <si>
    <t>RAN56L</t>
  </si>
  <si>
    <t>124,5 k€</t>
  </si>
  <si>
    <t>N57</t>
  </si>
  <si>
    <t>SIAEP Plaine de RIOM - SPRIOM ACGT 2023 / AUBIAT</t>
  </si>
  <si>
    <t>RAN57K*</t>
  </si>
  <si>
    <t>RAN57K</t>
  </si>
  <si>
    <t>501,8 k€</t>
  </si>
  <si>
    <t>N58</t>
  </si>
  <si>
    <t>Station MONTRAMBERT à Chambon Feugerolles - Curage des bassins de décantation et de la lagune</t>
  </si>
  <si>
    <t>RAN58L*</t>
  </si>
  <si>
    <t>RAN58L</t>
  </si>
  <si>
    <t>475 k€</t>
  </si>
  <si>
    <t>N59</t>
  </si>
  <si>
    <t>OYONNAX Parking Vieille rue d'Echallon - Lot 3</t>
  </si>
  <si>
    <t>RAN59A</t>
  </si>
  <si>
    <t>RAN59A*</t>
  </si>
  <si>
    <t>38,7 k€</t>
  </si>
  <si>
    <t>N60</t>
  </si>
  <si>
    <t>VILLEFRANCHE/SAONE - ENTRETIEN PONT RAIL A6</t>
  </si>
  <si>
    <t>RAN60H</t>
  </si>
  <si>
    <t>RAN60H*</t>
  </si>
  <si>
    <t>123,5 K€ (TF + TO1)</t>
  </si>
  <si>
    <t>N61</t>
  </si>
  <si>
    <t>EHTP (m)/SOGEA/MDTP/COIRO</t>
  </si>
  <si>
    <t>RAN61J</t>
  </si>
  <si>
    <t>RAN61J*</t>
  </si>
  <si>
    <t>N62</t>
  </si>
  <si>
    <t>MDTP (m)/SOGEA/EHTP/COIRO</t>
  </si>
  <si>
    <t xml:space="preserve">LYON 7 - TRAM T10 LOT 3 AEP </t>
  </si>
  <si>
    <t>LYON 7 - TRAM T10 LOT 3 ASSAINISSEMENT</t>
  </si>
  <si>
    <t>N63</t>
  </si>
  <si>
    <t>RAN63C</t>
  </si>
  <si>
    <t>GUINTOLI (m)/TSO/AGILIS/RAZEL/COIRO/MDTP/CHAZAL</t>
  </si>
  <si>
    <t>RAN63C*</t>
  </si>
  <si>
    <t>N64</t>
  </si>
  <si>
    <t>ST PIERRE LE CHASTEL - Assainissement le Bourg-Bonnabaud-Roure</t>
  </si>
  <si>
    <t>RAN64L*</t>
  </si>
  <si>
    <t>RAN64L</t>
  </si>
  <si>
    <t>418,2 k€</t>
  </si>
  <si>
    <t>N65</t>
  </si>
  <si>
    <t>N66</t>
  </si>
  <si>
    <t>MORNAND en Forez - RD113 &amp; place de l'église</t>
  </si>
  <si>
    <t>RAN66D</t>
  </si>
  <si>
    <t>RAN66D*</t>
  </si>
  <si>
    <t>RAN65H</t>
  </si>
  <si>
    <t>VENISSIEUX SNCF ATELIER LEGER AURA</t>
  </si>
  <si>
    <t>NGE GC (m)/GLI/TSO/TSO CAT/CMB</t>
  </si>
  <si>
    <t>3 138 K€</t>
  </si>
  <si>
    <t>G. DAUTHEVILLE / L.GRAND</t>
  </si>
  <si>
    <t>N67</t>
  </si>
  <si>
    <t>VILLEURBANNE - Place Grand Clément 
Lot 1</t>
  </si>
  <si>
    <t>GUINTOLI (m)COIRO/SIORAT/EHTP
(STPD Berengier)</t>
  </si>
  <si>
    <t>RAN67C</t>
  </si>
  <si>
    <t>RAN67C*</t>
  </si>
  <si>
    <t>N68</t>
  </si>
  <si>
    <t>SEM Aménagement Chateauneuf</t>
  </si>
  <si>
    <t>NGE GC / GUINTOLI / NGE Fondations</t>
  </si>
  <si>
    <t>RAN68D</t>
  </si>
  <si>
    <t>RAN68D*</t>
  </si>
  <si>
    <t>RAN68I</t>
  </si>
  <si>
    <t>N69</t>
  </si>
  <si>
    <t>NGE GC / NGE Fondations</t>
  </si>
  <si>
    <t>RAN69I</t>
  </si>
  <si>
    <t>SMTC OA Trémie SCHUMANN</t>
  </si>
  <si>
    <t>J a</t>
  </si>
  <si>
    <t>J b</t>
  </si>
  <si>
    <t>SEPHXX</t>
  </si>
  <si>
    <t>T6 NORD Villeurbanne- Hôpitaux Est - La Doua -  INFRA ET VOIE FERREE</t>
  </si>
  <si>
    <t>UCELIA</t>
  </si>
  <si>
    <t>RAN53I</t>
  </si>
  <si>
    <t>232 k€</t>
  </si>
  <si>
    <t>RAN65C</t>
  </si>
  <si>
    <t>RAN65C*</t>
  </si>
  <si>
    <t>P.DANTAUX / D. MARQUES</t>
  </si>
  <si>
    <t>C a</t>
  </si>
  <si>
    <t>C b</t>
  </si>
  <si>
    <t>TSO (m) /GUINTOLI /AGILIS/RAZEL/COIRO/MDTP/CHAZAL</t>
  </si>
  <si>
    <t>29 560 k€</t>
  </si>
  <si>
    <t>35 544 k€</t>
  </si>
  <si>
    <t>SMVVA Restructuration du réseau de transfert Syndicat entre les Martrers de Vveyre et Veyre Mouton</t>
  </si>
  <si>
    <t>RAN62K*</t>
  </si>
  <si>
    <t>RAN62K</t>
  </si>
  <si>
    <t>Groupt EHTP / HUGON TP</t>
  </si>
  <si>
    <t>1 970,3 k€</t>
  </si>
  <si>
    <t>Groupt NGE GC / BORIE TP / SGC</t>
  </si>
  <si>
    <t>N70</t>
  </si>
  <si>
    <t>NICOLLIN ST FONS Centre de tri Tumulus</t>
  </si>
  <si>
    <t>RAN70C</t>
  </si>
  <si>
    <t>RAN70C*</t>
  </si>
  <si>
    <t>528 k€</t>
  </si>
  <si>
    <t>N71</t>
  </si>
  <si>
    <t>VICAT à MONTALIEU VERCIEUSilo Clinker 2</t>
  </si>
  <si>
    <t>RAN71C</t>
  </si>
  <si>
    <t>RAN71C*</t>
  </si>
  <si>
    <t>714 k€</t>
  </si>
  <si>
    <t xml:space="preserve">GUINTOLI (m)/ EHTP /SIORAT/BERENGIER 
</t>
  </si>
  <si>
    <t xml:space="preserve">GUINTOLI (m)/ AGILIS
</t>
  </si>
  <si>
    <t xml:space="preserve">GUINTOLI (m)/ EIFFAGE Route CE
</t>
  </si>
  <si>
    <t>RAN72D</t>
  </si>
  <si>
    <t>RAN72D*</t>
  </si>
  <si>
    <t>819 k€</t>
  </si>
  <si>
    <t>RD8 Aménagement piste cyclable St Just-St Rambert et Bonson</t>
  </si>
  <si>
    <t>N73</t>
  </si>
  <si>
    <t>BELLEVILLE EN BEAUJOLAIS - RD109 Déviation Sud-Est - Lot 1</t>
  </si>
  <si>
    <t xml:space="preserve">GUINTOLI (m)/ NGE GC / NGE FONDATIONS / AGILIS
</t>
  </si>
  <si>
    <t>RAN73C</t>
  </si>
  <si>
    <t>J. PEYRICAL / V. BACOT</t>
  </si>
  <si>
    <t>RAN73C*</t>
  </si>
  <si>
    <t>N72</t>
  </si>
  <si>
    <t>N74</t>
  </si>
  <si>
    <t xml:space="preserve">BESSE &amp; St Anastaise - Renouvellement réseaux AEP &amp;  Assainissement </t>
  </si>
  <si>
    <t>RAN74L*</t>
  </si>
  <si>
    <t>RAN74L</t>
  </si>
  <si>
    <t>239,5 k€</t>
  </si>
  <si>
    <t>N75</t>
  </si>
  <si>
    <t>GANNAT Pont St James RD2009</t>
  </si>
  <si>
    <t>RAN75I</t>
  </si>
  <si>
    <t>N76</t>
  </si>
  <si>
    <t>CD01 Pile P3 à TENAY</t>
  </si>
  <si>
    <t>RAN76H</t>
  </si>
  <si>
    <t>N77</t>
  </si>
  <si>
    <t>PHARM ADIS</t>
  </si>
  <si>
    <t>NGE GC / TECHNICOUPE</t>
  </si>
  <si>
    <t>RAN77I</t>
  </si>
  <si>
    <t>N78</t>
  </si>
  <si>
    <t>T9 Vaulx en Vvelin - La Soie &lt;&gt; Villeurbanne - Charpennes via La Soie - Tvx Prépa - Reconstitutions riveraines</t>
  </si>
  <si>
    <t>MDTP (m)/COIRO / GUINTOLI / CHAZAL / ESPACS</t>
  </si>
  <si>
    <t>RAN78C</t>
  </si>
  <si>
    <t>RAN78C*</t>
  </si>
  <si>
    <t>J. PEDRERO / P. MUNOS</t>
  </si>
  <si>
    <t>Groupt NGE TMF / NGE Fondations / GUINTOLI / IDREO / SATIF</t>
  </si>
  <si>
    <t>N79</t>
  </si>
  <si>
    <t>CHHB Relocalisation de l'unité hospitalière de courte durée</t>
  </si>
  <si>
    <t>GUINTOLI (m)/SIORAT</t>
  </si>
  <si>
    <t>RAN79A</t>
  </si>
  <si>
    <t>RAN79A*</t>
  </si>
  <si>
    <t>90k€</t>
  </si>
  <si>
    <t>N80</t>
  </si>
  <si>
    <t>NOVIM A/C ZAC des Plaines</t>
  </si>
  <si>
    <t>RAN80D</t>
  </si>
  <si>
    <t>RAN80D*</t>
  </si>
  <si>
    <t>N81</t>
  </si>
  <si>
    <t>FONTAINES St Martin - Elargissement rue du Prado Lot 3: OA &amp; maçonnerie</t>
  </si>
  <si>
    <t>NGE GC (m)/NGE Fondations</t>
  </si>
  <si>
    <t>N82</t>
  </si>
  <si>
    <t>GUINTOLI (m)/BERENGIER / TERIDEAL</t>
  </si>
  <si>
    <t>RAN82D</t>
  </si>
  <si>
    <t>RAN82D*</t>
  </si>
  <si>
    <t xml:space="preserve">N. MORIZON  </t>
  </si>
  <si>
    <t>SEM Lit et berges de l'Ondaine au Chabon Feugerolles</t>
  </si>
  <si>
    <t>N83</t>
  </si>
  <si>
    <t>Ministère de l'Interieur - Digues de Roanne Programme 2023</t>
  </si>
  <si>
    <t>RAN83I</t>
  </si>
  <si>
    <t>172,8 k€</t>
  </si>
  <si>
    <t>N84</t>
  </si>
  <si>
    <t>ENGIE Centrale Photovoltaïque de Montbeugny</t>
  </si>
  <si>
    <t>RAN84L*</t>
  </si>
  <si>
    <t>RAN84L</t>
  </si>
  <si>
    <t>515 k€</t>
  </si>
  <si>
    <t>N85</t>
  </si>
  <si>
    <t>Sécurisation HTA Les Martres d'Artière</t>
  </si>
  <si>
    <t>GUINTOLI (ST de 2nd rang de VB Energies &amp; Services)</t>
  </si>
  <si>
    <t>RAN85E</t>
  </si>
  <si>
    <t>RAN85E*</t>
  </si>
  <si>
    <t>167,7 k€</t>
  </si>
  <si>
    <t>FONTAINES St Martin - Elargissement rue du Prado Lot 2</t>
  </si>
  <si>
    <t>GUINTOLI (m)/ CHAZAL / SERIC</t>
  </si>
  <si>
    <t>GUINTOLI (m)/SIORAT / SOBECA / TERIDEAL /  SADE</t>
  </si>
  <si>
    <t>GUINTOLI &amp; SIORAT ont du CA (pas de compte commun)</t>
  </si>
  <si>
    <t>N86</t>
  </si>
  <si>
    <t>OELIE - Travaux AEP</t>
  </si>
  <si>
    <t>RAN86D</t>
  </si>
  <si>
    <t>RAN86D*</t>
  </si>
  <si>
    <t>157,6 k€</t>
  </si>
  <si>
    <t>N87</t>
  </si>
  <si>
    <t>YZEURE Quartier Le Fournier</t>
  </si>
  <si>
    <t>Groupt BERENGIER / GUINTOLI</t>
  </si>
  <si>
    <t>RAN87E</t>
  </si>
  <si>
    <t>RAN87E*</t>
  </si>
  <si>
    <t>N88</t>
  </si>
  <si>
    <t xml:space="preserve">LOYES Mise en Séparatif des réseaux d'assainissement </t>
  </si>
  <si>
    <t>RAN88A*</t>
  </si>
  <si>
    <t>RAN88A</t>
  </si>
  <si>
    <t>SEPH56</t>
  </si>
  <si>
    <t>T6 NORD VRD Secteurs Sud et Nord</t>
  </si>
  <si>
    <t>Groupt GUINTOLI/RAZEL/COIRO/MDTP/AGILIS</t>
  </si>
  <si>
    <t>C c</t>
  </si>
  <si>
    <t>N89</t>
  </si>
  <si>
    <t>SNCF PASO ST GERMAIN MONT D'OR</t>
  </si>
  <si>
    <t>Groupt NGE GC / BES / ETANDEX</t>
  </si>
  <si>
    <t>RAN89H</t>
  </si>
  <si>
    <t>1200K€</t>
  </si>
  <si>
    <t>N90</t>
  </si>
  <si>
    <t>Groupt SADE / EHTP</t>
  </si>
  <si>
    <t>RAN90J</t>
  </si>
  <si>
    <t>RAN90J*</t>
  </si>
  <si>
    <t>1 000K€/an pour EHTP</t>
  </si>
  <si>
    <t>AC EAU PUBLIQUE GDLYON - LOT 3 EPGL</t>
  </si>
  <si>
    <t>N91</t>
  </si>
  <si>
    <t>NGE GC (ST de Vinci Constrution Terrassement ALTEA)</t>
  </si>
  <si>
    <t>RAN91I</t>
  </si>
  <si>
    <t>SNCF Voie Mère de Calais - Tvx Murs anti-bruit =&gt; Longrines Préfa en BA</t>
  </si>
  <si>
    <t>143 K€</t>
  </si>
  <si>
    <t>N92</t>
  </si>
  <si>
    <t>E-K-I</t>
  </si>
  <si>
    <t xml:space="preserve">GUINTOLI (m)/ AGILIS / EHTP / NGE GC / NGE ROUTES / NGE FONDATIONS
</t>
  </si>
  <si>
    <t>RAN92E</t>
  </si>
  <si>
    <t>RAN92K</t>
  </si>
  <si>
    <t>RAN92I</t>
  </si>
  <si>
    <t>24 960 k€</t>
  </si>
  <si>
    <t>SMTC - BHNS Clermont</t>
  </si>
  <si>
    <t>N93</t>
  </si>
  <si>
    <t>Fibre Auvergne (ST de NGE Infranet)</t>
  </si>
  <si>
    <t>DC4 de 5 000 k€</t>
  </si>
  <si>
    <t>RAN93K*</t>
  </si>
  <si>
    <t>RAN93K</t>
  </si>
  <si>
    <t>N94</t>
  </si>
  <si>
    <t>Groupt SNTP / VINCENT TP / FAMY TP / EHTP</t>
  </si>
  <si>
    <t>RAN94A*</t>
  </si>
  <si>
    <t>RAN94A</t>
  </si>
  <si>
    <t>519 k€ / Total de 2 599 k€</t>
  </si>
  <si>
    <t>HBA Réseau Transfert EU Martignat</t>
  </si>
  <si>
    <t>VILLEURBANNE - Place Grand Clément 
Lot 2</t>
  </si>
  <si>
    <t>DE FILIPPIS / GUINTOLI / COIRO</t>
  </si>
  <si>
    <t>N95</t>
  </si>
  <si>
    <t>T9 Vaulx en Velin la Soie/Villeurbanne Charpennes - Travaux préparatoires pour dépose de lignes aériennes de contact trolleybus</t>
  </si>
  <si>
    <t xml:space="preserve">TSO CATENAIRES (m) / GUINTOLI </t>
  </si>
  <si>
    <t>RAN95C</t>
  </si>
  <si>
    <t>RAN95C*</t>
  </si>
  <si>
    <t>794 K€ / PART GLI 365 100€</t>
  </si>
  <si>
    <t>N96</t>
  </si>
  <si>
    <t>SNCF Gare ST ETIENNE-CHATEAUCREUX CréationTechnicentre TER</t>
  </si>
  <si>
    <t xml:space="preserve">TSO  (m) / GUINTOLI </t>
  </si>
  <si>
    <t>RAN96D</t>
  </si>
  <si>
    <t>RAN96D*</t>
  </si>
  <si>
    <t xml:space="preserve">2 734 k€ </t>
  </si>
  <si>
    <t>N97</t>
  </si>
  <si>
    <t>SNCF Arvant-Aurillac FSA Alagnon Confortement de berges</t>
  </si>
  <si>
    <t>RAN97E</t>
  </si>
  <si>
    <t>RAN97E*</t>
  </si>
  <si>
    <t>N98</t>
  </si>
  <si>
    <t>GUINTOLI (m) / EHTP / NGE ROUTES 
EUROVIA STPD</t>
  </si>
  <si>
    <t>RAN98C</t>
  </si>
  <si>
    <t>CCEL - AC - Bassins de rétention - Lot 2</t>
  </si>
  <si>
    <t>RAN98C*</t>
  </si>
  <si>
    <t>Max 250 K€</t>
  </si>
  <si>
    <t>O00</t>
  </si>
  <si>
    <t>RAO00J*</t>
  </si>
  <si>
    <t>RAO00J</t>
  </si>
  <si>
    <r>
      <rPr>
        <b/>
        <u/>
        <sz val="12"/>
        <rFont val="Arial"/>
        <family val="2"/>
      </rPr>
      <t>SOGEA RA</t>
    </r>
    <r>
      <rPr>
        <b/>
        <sz val="12"/>
        <rFont val="Arial"/>
        <family val="2"/>
      </rPr>
      <t xml:space="preserve"> / SADE CGTH/ EHTP</t>
    </r>
  </si>
  <si>
    <r>
      <rPr>
        <b/>
        <u/>
        <sz val="12"/>
        <rFont val="Arial"/>
        <family val="2"/>
      </rPr>
      <t xml:space="preserve">EHTP </t>
    </r>
    <r>
      <rPr>
        <b/>
        <sz val="12"/>
        <rFont val="Arial"/>
        <family val="2"/>
      </rPr>
      <t>/ SADE CGTH / SOGEA RA</t>
    </r>
  </si>
  <si>
    <t>8 023 k€ TF + 1 277 k€ TO</t>
  </si>
  <si>
    <t>O01</t>
  </si>
  <si>
    <t>RAO01C</t>
  </si>
  <si>
    <t>RAO01C*</t>
  </si>
  <si>
    <t>LISTES DES AFFAIRES R.A OUVERTES sur 2024</t>
  </si>
  <si>
    <t>BIOPARC Travaux de finitions LOT 1 VRD</t>
  </si>
  <si>
    <t>GUINTOLI / NGE ROUTES</t>
  </si>
  <si>
    <t>NGE ROUTES</t>
  </si>
  <si>
    <t>170 K€</t>
  </si>
  <si>
    <t>SYTRAL BHNS Part-Dieu Dévoiement de réseau Lot 1 AEP</t>
  </si>
  <si>
    <t>SYTRAL BHNS Part-Dieu Dévoiement de réseau Lot 2 AEP</t>
  </si>
  <si>
    <t>R. THOMAS</t>
  </si>
  <si>
    <t>O02</t>
  </si>
  <si>
    <t>SANOFI Réhabilitation &amp; eaux souterraines / site de MARAT</t>
  </si>
  <si>
    <t>RAO02E</t>
  </si>
  <si>
    <t>RAO02E*</t>
  </si>
  <si>
    <t>A.S. LENY / P. MALEYRAT</t>
  </si>
  <si>
    <t>O03</t>
  </si>
  <si>
    <t>GUINTOLI / NGE ROUTES / FAMY (+NGE Energies Solutions en STPD)</t>
  </si>
  <si>
    <t>RAO03A*</t>
  </si>
  <si>
    <t>RAO03A</t>
  </si>
  <si>
    <t>999,9 k€</t>
  </si>
  <si>
    <t>CD01 RD975 / RD29a Chemin de la Gare à VIRIAT- Aménagement giratoire et carrefour</t>
  </si>
  <si>
    <t>O04</t>
  </si>
  <si>
    <t>CHAZAL (m) / GUINTOLI / DEAL</t>
  </si>
  <si>
    <t>RAO04C</t>
  </si>
  <si>
    <t>AC MINI 2 000 M€ / MAXI 8 000 K€</t>
  </si>
  <si>
    <t>ACCORD-CADRE PPI TRAVAUX PAYSAGERS</t>
  </si>
  <si>
    <t>RAO04C*</t>
  </si>
  <si>
    <t>P. MUNOS/Y. BERCHARD</t>
  </si>
  <si>
    <t>O05</t>
  </si>
  <si>
    <t>NGE GC Travaux Neufs Divers  2024</t>
  </si>
  <si>
    <t>NGE GC Travaux Réha Divers  2024</t>
  </si>
  <si>
    <t>RAO05I</t>
  </si>
  <si>
    <t>RAO06I</t>
  </si>
  <si>
    <t>O06</t>
  </si>
  <si>
    <t>O07</t>
  </si>
  <si>
    <t>RAO07C</t>
  </si>
  <si>
    <t xml:space="preserve">AC GD LYON - Réparation, confortement technicité moyenne à haute </t>
  </si>
  <si>
    <t xml:space="preserve">AC </t>
  </si>
  <si>
    <t>RAO07C*</t>
  </si>
  <si>
    <t>NGE E.S.</t>
  </si>
  <si>
    <t>O08</t>
  </si>
  <si>
    <t>SPL CAP METROPOLE EcoQuartier Les  Molières au Chambon-Feugerolles</t>
  </si>
  <si>
    <t>RAO08D</t>
  </si>
  <si>
    <t>RAO08D*</t>
  </si>
  <si>
    <t>RAO03F</t>
  </si>
  <si>
    <t>O09</t>
  </si>
  <si>
    <t>INSPIRE Déplacements réseaux humides / Avenue Ernest Cristal</t>
  </si>
  <si>
    <t>RAO09K*</t>
  </si>
  <si>
    <t>RAO09K</t>
  </si>
  <si>
    <t>O10</t>
  </si>
  <si>
    <t>EHTP + GUINTOLI + TP LYAUDET</t>
  </si>
  <si>
    <t>RAO10E</t>
  </si>
  <si>
    <t>E/L</t>
  </si>
  <si>
    <t>RAO01E*</t>
  </si>
  <si>
    <t>RAO10L</t>
  </si>
  <si>
    <t>C. GARNIER &amp; N. SEPCHAT</t>
  </si>
  <si>
    <t>EHTP, GUINTO, &amp; TP LYAUDET SousTraitants de NGE INFRANET</t>
  </si>
  <si>
    <t>O11</t>
  </si>
  <si>
    <t>LAMIBOIS Construction d'une nouvelle usine LVL à LEMPDES sur Allagnon - Lot 1</t>
  </si>
  <si>
    <t>Groupt CHEVAILLIER / GUINTOLI</t>
  </si>
  <si>
    <t>RAO11E</t>
  </si>
  <si>
    <t>RAO11E*</t>
  </si>
  <si>
    <t>Marché privé &amp; Pas de compte commun</t>
  </si>
  <si>
    <t>C. MAGNIN - P. MALEYRAT - B. JANISSET</t>
  </si>
  <si>
    <t>O12</t>
  </si>
  <si>
    <t>CHALLES</t>
  </si>
  <si>
    <t>FAMY (m) / NGE GC</t>
  </si>
  <si>
    <t>O13</t>
  </si>
  <si>
    <t>GUINTOLI / CARRION / NGE ROUTES</t>
  </si>
  <si>
    <t>LYON 6 - ENTRETIEN VOIRIE - LOT 17</t>
  </si>
  <si>
    <t>RAO12H*</t>
  </si>
  <si>
    <t>RAO12H</t>
  </si>
  <si>
    <t>O14</t>
  </si>
  <si>
    <t>CONSTELLIUNM Issoire</t>
  </si>
  <si>
    <t>RAO14I</t>
  </si>
  <si>
    <t>200k€</t>
  </si>
  <si>
    <t>O15</t>
  </si>
  <si>
    <t>VILLEURBANNE - Rue Anatole France</t>
  </si>
  <si>
    <t>Sous-ptojet du RAK01C =&gt; Projet test à NGE Transitions !</t>
  </si>
  <si>
    <t>Y.FALCOU / P.MUNOS</t>
  </si>
  <si>
    <t>RAO15C</t>
  </si>
  <si>
    <t>RAO15C*</t>
  </si>
  <si>
    <t>O16</t>
  </si>
  <si>
    <t>Groupt NGE ROUTES / MGB / RMF</t>
  </si>
  <si>
    <t>Sous-ptojet du RAM37C =&gt; Projet test à NGE Transitions !</t>
  </si>
  <si>
    <t>RAO16C</t>
  </si>
  <si>
    <t>RAO16C*</t>
  </si>
  <si>
    <t>O17</t>
  </si>
  <si>
    <t>SIAEP Plaine de RIOM Marché Subséquent n° 5</t>
  </si>
  <si>
    <t>Groupt EHTP / SOGEA</t>
  </si>
  <si>
    <t>RAO17K*</t>
  </si>
  <si>
    <t>RAO17K</t>
  </si>
  <si>
    <t>L. RICROS / F.MARQUIER</t>
  </si>
  <si>
    <t>O18</t>
  </si>
  <si>
    <t>SIA de Morge et Chambaron - Accord Cadre / Tvx Assainisst, EP &amp; Enfouissement réseaux seecs</t>
  </si>
  <si>
    <t>RAO18K*</t>
  </si>
  <si>
    <t>RAO18K</t>
  </si>
  <si>
    <t>NGE E-S</t>
  </si>
  <si>
    <r>
      <t xml:space="preserve">NGE GC / </t>
    </r>
    <r>
      <rPr>
        <b/>
        <sz val="12"/>
        <color indexed="10"/>
        <rFont val="Arial"/>
        <family val="2"/>
      </rPr>
      <t>NGE Fondations (Avenant de transfert de NGE Fondations à NGE TMF)</t>
    </r>
  </si>
  <si>
    <t>O19</t>
  </si>
  <si>
    <t>SEMBAT</t>
  </si>
  <si>
    <t>NGE GC / NGE ROUTES</t>
  </si>
  <si>
    <t>RAO19H</t>
  </si>
  <si>
    <t>RAO19H*</t>
  </si>
  <si>
    <t>650 K€</t>
  </si>
  <si>
    <t>O20</t>
  </si>
  <si>
    <t xml:space="preserve">USSEL Distribution </t>
  </si>
  <si>
    <t>RAO20I*</t>
  </si>
  <si>
    <t>RAO20I</t>
  </si>
  <si>
    <t>820 K€</t>
  </si>
  <si>
    <t>RAN81H</t>
  </si>
  <si>
    <t>RAN81H*</t>
  </si>
  <si>
    <t>Projet géré par NGE GC pour les 2 lots avec GUINTOLI miroir de NGE GC</t>
  </si>
  <si>
    <t xml:space="preserve">NGE Energies Solutions - Divers LYON </t>
  </si>
  <si>
    <t>RAO21F*</t>
  </si>
  <si>
    <t>RAO21F</t>
  </si>
  <si>
    <t>A. BARBIER</t>
  </si>
  <si>
    <t>O21</t>
  </si>
  <si>
    <t>O22</t>
  </si>
  <si>
    <t>SEM Barrage de Soulages</t>
  </si>
  <si>
    <t>RAO22I*</t>
  </si>
  <si>
    <t>RAO22I</t>
  </si>
  <si>
    <t>280 K€</t>
  </si>
  <si>
    <t>O23</t>
  </si>
  <si>
    <t>ASF A/C MS n° 3 / A89 BM 4448</t>
  </si>
  <si>
    <t>RAO23I*</t>
  </si>
  <si>
    <t>RAO23I</t>
  </si>
  <si>
    <t>515 K€</t>
  </si>
  <si>
    <t>REHACANA / NGE GC / EHTP</t>
  </si>
  <si>
    <t>O24</t>
  </si>
  <si>
    <t>ASF A/C MS n° 1 / A89-A72-A711-A7 nord &amp; sud-A9 est-A54 BM 1208</t>
  </si>
  <si>
    <t>RAO24D*</t>
  </si>
  <si>
    <t>RAO24D</t>
  </si>
  <si>
    <t>533 K€</t>
  </si>
  <si>
    <t>O25</t>
  </si>
  <si>
    <t>Divers VRD Puy de Dôme</t>
  </si>
  <si>
    <t>RAO25E</t>
  </si>
  <si>
    <t>RAO25E*</t>
  </si>
  <si>
    <t>M. DE MACEDO</t>
  </si>
  <si>
    <t>O26</t>
  </si>
  <si>
    <t>AUBETERRE ENERGIE PAP &amp; modif turbine Moulin d'Aubeterre</t>
  </si>
  <si>
    <t>RAO26I*</t>
  </si>
  <si>
    <t>RAO26I</t>
  </si>
  <si>
    <t>O27</t>
  </si>
  <si>
    <t>Divers Travaux Industriels &amp; Privés</t>
  </si>
  <si>
    <t>RAO27C</t>
  </si>
  <si>
    <t>RAO27C*</t>
  </si>
  <si>
    <t>B.ANNE &amp; P. DANTAUX</t>
  </si>
  <si>
    <t>SECHE Environnement / NGE FONDATIONS / GUINTOLI</t>
  </si>
  <si>
    <t>O28</t>
  </si>
  <si>
    <t>RAO13C</t>
  </si>
  <si>
    <t>RAO13C*</t>
  </si>
  <si>
    <t>RAO28C</t>
  </si>
  <si>
    <t>RAO28C*</t>
  </si>
  <si>
    <t>LYON 5&amp;9 - ENTRETIEN VOIRIE LOT 16</t>
  </si>
  <si>
    <t>O29</t>
  </si>
  <si>
    <t>RAO29K*</t>
  </si>
  <si>
    <t>RAO29K</t>
  </si>
  <si>
    <t xml:space="preserve">SMEA Basse Limagne MS12 ACC SBL - Beaumont Les Randan </t>
  </si>
  <si>
    <t>L. RICROS / S. HUET</t>
  </si>
  <si>
    <t>87 k€</t>
  </si>
  <si>
    <t>SEM MS48 Réaménagement des ruees Vaillant et 11 Novembre à St Etienne</t>
  </si>
  <si>
    <t>EIFFAGE / GUINTOLI</t>
  </si>
  <si>
    <t>RAO30D</t>
  </si>
  <si>
    <t>RAO30D*</t>
  </si>
  <si>
    <t>MAIA SONNIER (m) / MAIA Fondations
GUINTOLI/NGE GC</t>
  </si>
  <si>
    <t>O30</t>
  </si>
  <si>
    <t>O31</t>
  </si>
  <si>
    <t>FREYSSINET Viaduc de GANNAT</t>
  </si>
  <si>
    <t>RAO31I*</t>
  </si>
  <si>
    <t>RAO31I</t>
  </si>
  <si>
    <t>M. VIRAT / V. DENIEL</t>
  </si>
  <si>
    <t>217,7 k€</t>
  </si>
  <si>
    <t>O32</t>
  </si>
  <si>
    <t>EHTP / ROUX</t>
  </si>
  <si>
    <t>CAM MS EA INSPIRE Av. Maréchal Leclerc et Marysé Bastié à COURNON</t>
  </si>
  <si>
    <t>RAO32K*</t>
  </si>
  <si>
    <t>RAO32K</t>
  </si>
  <si>
    <t>O33</t>
  </si>
  <si>
    <t>TRELLEBORG Batiment FP12 Réfection  plancher</t>
  </si>
  <si>
    <t>62 k€</t>
  </si>
  <si>
    <t>RAO33I*</t>
  </si>
  <si>
    <t>RAO33I</t>
  </si>
  <si>
    <t>O34</t>
  </si>
  <si>
    <t>BESSE ET SAINT ANASTAISE Programme Tvx 2024 EP &amp; Assainissement Rue Abbéé Blé &amp; Av. Pierre Tournadre</t>
  </si>
  <si>
    <t>RAO34L*</t>
  </si>
  <si>
    <t>RAO34L</t>
  </si>
  <si>
    <t>263,9 k€</t>
  </si>
  <si>
    <t>O35</t>
  </si>
  <si>
    <t>Groupt TP LYAUDET / MOUTON TP / H2O</t>
  </si>
  <si>
    <t>RAO35L*</t>
  </si>
  <si>
    <t>RAO35L</t>
  </si>
  <si>
    <t>430 k€</t>
  </si>
  <si>
    <t>ST VICTOR Dépollution des parcelles 112, 115 section ZE</t>
  </si>
  <si>
    <t>O36</t>
  </si>
  <si>
    <t>SNCF Aménagement  de bases travaux</t>
  </si>
  <si>
    <t>RAO36A</t>
  </si>
  <si>
    <t>RAO36A*</t>
  </si>
  <si>
    <t>O37</t>
  </si>
  <si>
    <t>SNCF ARBRESLE Passerelle</t>
  </si>
  <si>
    <t>NGE GC / CMB</t>
  </si>
  <si>
    <t>RAO37H*</t>
  </si>
  <si>
    <t>RAO37H</t>
  </si>
  <si>
    <t>O38</t>
  </si>
  <si>
    <t xml:space="preserve">STORENGY ETREZ Voie d'accès </t>
  </si>
  <si>
    <t>RAO38A</t>
  </si>
  <si>
    <t>RAO38A*</t>
  </si>
  <si>
    <t>859 K€</t>
  </si>
  <si>
    <t>385 K€</t>
  </si>
  <si>
    <t>O39</t>
  </si>
  <si>
    <t>EDF NUC- Travaux  Divers Bugey avec la DP2D</t>
  </si>
  <si>
    <t>RAO39A</t>
  </si>
  <si>
    <t>RAO39A*</t>
  </si>
  <si>
    <t>O40</t>
  </si>
  <si>
    <t>SNCF CULOZ PASSERELLE</t>
  </si>
  <si>
    <t>NGE GC / GUINTOLI / LEGRAND / NGE FONDATIONS / BOUYGUES E.S. / POSE RHONE ALPES</t>
  </si>
  <si>
    <t>RAO40H</t>
  </si>
  <si>
    <t>RAO40H*</t>
  </si>
  <si>
    <t>3 700K€</t>
  </si>
  <si>
    <t>PART GC 958 K€</t>
  </si>
  <si>
    <t>O41</t>
  </si>
  <si>
    <t>LA ROCHE BLANCHE - La Méridienne</t>
  </si>
  <si>
    <t xml:space="preserve">GUINTOLI / EHTP  </t>
  </si>
  <si>
    <t>?? EN ATTENTE DE COMMANDE (création n° suite à demande de PYA) 3 M€</t>
  </si>
  <si>
    <t>RAO41E</t>
  </si>
  <si>
    <t>RAO41E*</t>
  </si>
  <si>
    <t>E-K</t>
  </si>
  <si>
    <t>RAO41K</t>
  </si>
  <si>
    <t>O42</t>
  </si>
  <si>
    <t>CAM MS VOIRIE LIAISON CYCLABLE ENTRE AVE ROUSSILON ET CHEMIN DE LA GANNE A
AUBIERE</t>
  </si>
  <si>
    <t>RAO42E</t>
  </si>
  <si>
    <t>RAO42E*</t>
  </si>
  <si>
    <t>500 k€</t>
  </si>
  <si>
    <t>O43</t>
  </si>
  <si>
    <t>SMTC - MS14 Aménagement A. France</t>
  </si>
  <si>
    <t>RAO43E</t>
  </si>
  <si>
    <t>RAO43E*</t>
  </si>
  <si>
    <t>A. ZARZA</t>
  </si>
  <si>
    <t>700 K€</t>
  </si>
  <si>
    <t>O44</t>
  </si>
  <si>
    <t>CAM MS VOIRIE / Aménagement de la section Nord de la rue Poncillon à CLERMONT-FERRAND</t>
  </si>
  <si>
    <t>RAO44E</t>
  </si>
  <si>
    <t>RAO44E*</t>
  </si>
  <si>
    <t>600 K€</t>
  </si>
  <si>
    <t>O45</t>
  </si>
  <si>
    <t>CD ALLIER Accord Cadre d'entretien spécialisé des OA Lot 2 - CERILLY/BOURBON l'Archambaud</t>
  </si>
  <si>
    <t>RAO45I</t>
  </si>
  <si>
    <t>O46</t>
  </si>
  <si>
    <t>RAO46I</t>
  </si>
  <si>
    <t>CD ALLIER Accord Cadre d'entretien spécialisé des OA Lot 4 - COMMENTRY / MONTLUCON</t>
  </si>
  <si>
    <t>O47</t>
  </si>
  <si>
    <t>ST GERMAIN Près HERMENT - Sécurisation Réseau AEP, Conduite de captages et conduite de Montelbrut</t>
  </si>
  <si>
    <t>RAO47L</t>
  </si>
  <si>
    <t>155 k€</t>
  </si>
  <si>
    <t>O48</t>
  </si>
  <si>
    <t>OA LOT2 - Entretien spécialisé et gc Nord/ouest/Est et Sud</t>
  </si>
  <si>
    <t>CARRION (m)/COIRO/GUINTOLI</t>
  </si>
  <si>
    <t>RAO48C</t>
  </si>
  <si>
    <t>RAO48C*</t>
  </si>
  <si>
    <t>BPU avec rabais de -2% - MINI 625K€ MAXI 2000K€</t>
  </si>
  <si>
    <t>SNCF Réseaux - ACBC Entretien OA lot AN01</t>
  </si>
  <si>
    <t>SNCF Réseaux - ACBC Entretien OA lot AN05</t>
  </si>
  <si>
    <t>O49</t>
  </si>
  <si>
    <t>RAO49L</t>
  </si>
  <si>
    <t>300,7 k€</t>
  </si>
  <si>
    <t>SMSM St  Pardoux - Renouvellements cana AEP &amp; branchements</t>
  </si>
  <si>
    <t>O50</t>
  </si>
  <si>
    <t>TERIDEAL TARVEL / GUINTOLI</t>
  </si>
  <si>
    <t>RAO50D</t>
  </si>
  <si>
    <t>RAO50D*</t>
  </si>
  <si>
    <t>655,3 k€</t>
  </si>
  <si>
    <t>VILLARD - Aménagement GS Jean RAVON</t>
  </si>
  <si>
    <t>O51</t>
  </si>
  <si>
    <t>150 M€</t>
  </si>
  <si>
    <t xml:space="preserve">M. VIRAT   </t>
  </si>
  <si>
    <t>MONTMERLE s/ Saône RD27 - réglage Suspension pont</t>
  </si>
  <si>
    <t>RAO52L</t>
  </si>
  <si>
    <t>O52</t>
  </si>
  <si>
    <t>CLERMONT FD réfection ilot CACF La Pardieu</t>
  </si>
  <si>
    <t>219,5 k€</t>
  </si>
  <si>
    <t>NGE GC (ST de FREYSSINET) (+ EHTP STPE de NGE GC)</t>
  </si>
  <si>
    <t>RAO31K</t>
  </si>
  <si>
    <t>I - K</t>
  </si>
  <si>
    <t>O53</t>
  </si>
  <si>
    <t>NGE GC / SADE / JOHN COCKERILL SERVICES</t>
  </si>
  <si>
    <t>RAO53I</t>
  </si>
  <si>
    <t>Roannaise de l'Eau - Barrage du Rouchain</t>
  </si>
  <si>
    <t>O54</t>
  </si>
  <si>
    <t>SNCF COLLONGES Allong. Quais</t>
  </si>
  <si>
    <t xml:space="preserve">NGE GC / GUINTOLI    </t>
  </si>
  <si>
    <t>RAO54C</t>
  </si>
  <si>
    <t>P. DANTAUX</t>
  </si>
  <si>
    <t>RAO54C*</t>
  </si>
  <si>
    <t>655 k€</t>
  </si>
  <si>
    <t>Affiaire en intégralité chez GUINTOLI !!!</t>
  </si>
  <si>
    <t>O55</t>
  </si>
  <si>
    <t>CAM Renaturation des Berges de la Tiretaine, rue de la Papeterie à Chamalière</t>
  </si>
  <si>
    <t>GUINTOLI / JD PAYSAGES</t>
  </si>
  <si>
    <t>RAO55E</t>
  </si>
  <si>
    <t>RAO55E*</t>
  </si>
  <si>
    <t>299,7 k€</t>
  </si>
  <si>
    <t>RAO51I</t>
  </si>
  <si>
    <t>O56</t>
  </si>
  <si>
    <t>RAO56F</t>
  </si>
  <si>
    <t>Divers BDC</t>
  </si>
  <si>
    <t>WAAT Diverses Opérations</t>
  </si>
  <si>
    <t>O57</t>
  </si>
  <si>
    <t>LAC T3/T5 - Remisage Meyzieu</t>
  </si>
  <si>
    <t>TSO CAT/GUINTOLI/NGE F.</t>
  </si>
  <si>
    <t>RAO57C</t>
  </si>
  <si>
    <t>RAO57C*</t>
  </si>
  <si>
    <t>1 500 K€ (part GLI 181 K€)</t>
  </si>
  <si>
    <t xml:space="preserve">NGE E-S </t>
  </si>
  <si>
    <t>O58</t>
  </si>
  <si>
    <t>RAO58F</t>
  </si>
  <si>
    <t>41,5 k€</t>
  </si>
  <si>
    <t>CD01  Signalisation Lumineuse Tricolore / Aménagement carrefour à feux RD975 / RD26</t>
  </si>
  <si>
    <t>O59</t>
  </si>
  <si>
    <t>SADE Réfection de tranchées AEP à L'ETRAT</t>
  </si>
  <si>
    <t>RAO59D</t>
  </si>
  <si>
    <t>RAO59D*</t>
  </si>
  <si>
    <t>St de SADE</t>
  </si>
  <si>
    <t>170 k€</t>
  </si>
  <si>
    <t>O60</t>
  </si>
  <si>
    <t>IDEX - Extension RCU OYONNAX</t>
  </si>
  <si>
    <t>EHTP / FAMY / PETAVIT</t>
  </si>
  <si>
    <t>RAO60A*</t>
  </si>
  <si>
    <t>RAO60A</t>
  </si>
  <si>
    <t>D. GAZE</t>
  </si>
  <si>
    <t>O61</t>
  </si>
  <si>
    <t>RAO61F</t>
  </si>
  <si>
    <t>MBDC Accord Cadre AIN</t>
  </si>
  <si>
    <t>O62</t>
  </si>
  <si>
    <t>Aubert et Duval ISSOIRE - Galerie entre FT22 &amp; FT23</t>
  </si>
  <si>
    <t>RAO62I</t>
  </si>
  <si>
    <t>117 k€</t>
  </si>
  <si>
    <t>O63</t>
  </si>
  <si>
    <t>Groupt NGE GC / GUINTOLI / FRANKI Fondation</t>
  </si>
  <si>
    <t>RAO63I</t>
  </si>
  <si>
    <t>2 580 k€</t>
  </si>
  <si>
    <t>SMTC - Marché d'OA n°2 / COURNON &amp; ORADOU</t>
  </si>
  <si>
    <t>O64</t>
  </si>
  <si>
    <t>AUBERT et DUVAL - Démolition et reconstruction des fosses 7-8 &amp; 9</t>
  </si>
  <si>
    <t>RAO64I</t>
  </si>
  <si>
    <t>401 k€</t>
  </si>
  <si>
    <t>O65</t>
  </si>
  <si>
    <t>ST OURS La Charbonnière - Renouvellement AEP</t>
  </si>
  <si>
    <t>RAO65L</t>
  </si>
  <si>
    <t>O66</t>
  </si>
  <si>
    <t>INFRA LAC Ligne aérienne trolley</t>
  </si>
  <si>
    <t>TSO CAT/MDTP/NGE GC/MDTS/NGEF</t>
  </si>
  <si>
    <t>RAO66H</t>
  </si>
  <si>
    <t>RAO66H*</t>
  </si>
  <si>
    <t>1 861 K€</t>
  </si>
  <si>
    <t>O67</t>
  </si>
  <si>
    <t>Divers CANA EST</t>
  </si>
  <si>
    <t>RAO67J*</t>
  </si>
  <si>
    <t>RAO67J</t>
  </si>
  <si>
    <t>O68</t>
  </si>
  <si>
    <t>EHTP / DUMAS TP</t>
  </si>
  <si>
    <t>RAO68A*</t>
  </si>
  <si>
    <t>RAO68A</t>
  </si>
  <si>
    <t>HBA Construction d'un poste de refoulement d'EU à BRION</t>
  </si>
  <si>
    <t>112,4 k€</t>
  </si>
  <si>
    <t>O69</t>
  </si>
  <si>
    <t>BHNS TREVOUX - Dépose voie ferrée</t>
  </si>
  <si>
    <t>GUINTOLI/COIRO/TSO</t>
  </si>
  <si>
    <t>RAO69C</t>
  </si>
  <si>
    <t>RAO69C*</t>
  </si>
  <si>
    <t>P. MUNOS/Y.BERCHARD</t>
  </si>
  <si>
    <t>999 K€</t>
  </si>
  <si>
    <t>GUINTOLI (NGE ES en ST)</t>
  </si>
  <si>
    <t>RAO38F</t>
  </si>
  <si>
    <t>A-F</t>
  </si>
  <si>
    <t>O70</t>
  </si>
  <si>
    <t>STEP de Roanne Lot2 Renouvellement des raidisseurs</t>
  </si>
  <si>
    <t>RAO70I</t>
  </si>
  <si>
    <t>110 k€</t>
  </si>
  <si>
    <t>O71</t>
  </si>
  <si>
    <t>CD01 RD933A Stabilisation de chaussée à PONT DE VAUX</t>
  </si>
  <si>
    <t>Groupt GUINTOLI / FAMY / NGE ROUTES</t>
  </si>
  <si>
    <t>RAO71A*</t>
  </si>
  <si>
    <t>RAO71A</t>
  </si>
  <si>
    <t>317,5 k€</t>
  </si>
  <si>
    <t>NGE Transitions</t>
  </si>
  <si>
    <t>O72</t>
  </si>
  <si>
    <t>T</t>
  </si>
  <si>
    <t>NGE Transitions (ST de GUINTOLI / RAO42E)</t>
  </si>
  <si>
    <t>RAO72T</t>
  </si>
  <si>
    <t>A. ZARZA / B. MARION</t>
  </si>
  <si>
    <t>30 k€</t>
  </si>
  <si>
    <t>CAM MS VOIRIE LIAISON CYCLABLE AUBIERE
AUBIERE</t>
  </si>
  <si>
    <t>O73</t>
  </si>
  <si>
    <t>Les Halles Solidaires - Construction d'une Ressourcerie à RILLIEUX La Pape</t>
  </si>
  <si>
    <t>RAO73T</t>
  </si>
  <si>
    <t>B.ANNE / P. DANTAUX / B. MARION</t>
  </si>
  <si>
    <t>O74</t>
  </si>
  <si>
    <t xml:space="preserve">NGE E-S (RA) / GUINTOLI (SVV) / AGILIS </t>
  </si>
  <si>
    <t>RAO74F</t>
  </si>
  <si>
    <t>MALATAVERNE CFO/CFA Bornes de recharge PL Milence</t>
  </si>
  <si>
    <t>181 k€ / 1 597 k€</t>
  </si>
  <si>
    <t>O75</t>
  </si>
  <si>
    <t>CAM Ilot Pardieu Lot 7 - Terrassements Généraux</t>
  </si>
  <si>
    <t>RAO75E</t>
  </si>
  <si>
    <t>RAO75E*</t>
  </si>
  <si>
    <t>426,3 k€</t>
  </si>
  <si>
    <t>RAO63E</t>
  </si>
  <si>
    <t>RAO63E*</t>
  </si>
  <si>
    <t>O76</t>
  </si>
  <si>
    <t>CD71 RD979 à SENS s/ Seille - Réparation du pont de l'Estalet</t>
  </si>
  <si>
    <t>RAO76I</t>
  </si>
  <si>
    <t>314 k€</t>
  </si>
  <si>
    <t>O77</t>
  </si>
  <si>
    <t>CONSTELLIUNM Issoire AW3</t>
  </si>
  <si>
    <t>RAO77I</t>
  </si>
  <si>
    <t>1 305 k€</t>
  </si>
  <si>
    <t>O78</t>
  </si>
  <si>
    <t>ST QUENTIN FALLAVIER - Collège les Allinges</t>
  </si>
  <si>
    <t>RAO78C*</t>
  </si>
  <si>
    <t>RAO78C</t>
  </si>
  <si>
    <t>P. MUNOS/T.TOURNIER</t>
  </si>
  <si>
    <t>1 770 k€</t>
  </si>
  <si>
    <t>O79</t>
  </si>
  <si>
    <t>RAO79F</t>
  </si>
  <si>
    <t>DRIVECO Diverses Affaires</t>
  </si>
  <si>
    <t>O80</t>
  </si>
  <si>
    <t>TSO CAT (m) / NGE ES</t>
  </si>
  <si>
    <t>RAO80F</t>
  </si>
  <si>
    <t>BHNS PART-DIEU CFO/CFA</t>
  </si>
  <si>
    <t>2 737 K€</t>
  </si>
  <si>
    <t>O81</t>
  </si>
  <si>
    <t xml:space="preserve">CD CANTAL RD62 Stabilisation du glissement de la Maurinie </t>
  </si>
  <si>
    <t>Groupt NGE Fondations / NGE GC</t>
  </si>
  <si>
    <t>RAO81I</t>
  </si>
  <si>
    <t>S.CHABRIER / M. VIRAT</t>
  </si>
  <si>
    <t>O82</t>
  </si>
  <si>
    <t>SADE / NGE ROUTES</t>
  </si>
  <si>
    <t>RAO82D*</t>
  </si>
  <si>
    <t>RAO82D</t>
  </si>
  <si>
    <t>C. CUSSET / N.MORIZON</t>
  </si>
  <si>
    <t>L - E</t>
  </si>
  <si>
    <t>VSB Projet Eolien TORTEBESSE</t>
  </si>
  <si>
    <t>TP LYAUDET (avec GUINTOLI en ST)</t>
  </si>
  <si>
    <t>RAO83E</t>
  </si>
  <si>
    <t>O83</t>
  </si>
  <si>
    <t>RAO83E*</t>
  </si>
  <si>
    <t>RAO83L</t>
  </si>
  <si>
    <t>3 300 k€</t>
  </si>
  <si>
    <t>VSB Projet Eolien SAINT SULPICE</t>
  </si>
  <si>
    <t>RAO84E</t>
  </si>
  <si>
    <t>RAO84E*</t>
  </si>
  <si>
    <t>RAO84L</t>
  </si>
  <si>
    <t>1 420 k€</t>
  </si>
  <si>
    <t>O84</t>
  </si>
  <si>
    <t>O85</t>
  </si>
  <si>
    <t>SADE / GUINTOLI</t>
  </si>
  <si>
    <t>C.C du Pilat Rhodanien - Tvx de Sécurisation des captages de Jassoux à St Michel s/ Rhône Lot 1</t>
  </si>
  <si>
    <t>C.C du Pilat Rhodanien - Tvx de Sécurisation des captages de Jassoux à St Michel s/ Rhône Lot 2</t>
  </si>
  <si>
    <t>RAO85D</t>
  </si>
  <si>
    <t>RAO85D*</t>
  </si>
  <si>
    <t>391  k€</t>
  </si>
  <si>
    <t>O86</t>
  </si>
  <si>
    <t>La Tour d'Auvergne - Lotisst Le Grand Mégnaud Tranche4</t>
  </si>
  <si>
    <t xml:space="preserve">TP LYAUDET </t>
  </si>
  <si>
    <t>199 k€</t>
  </si>
  <si>
    <t>O87</t>
  </si>
  <si>
    <t>EPA ST ETIENNE - Dévoiement du réseau d'exhaure - Démolition de réseaux divers Ilot J3-J4</t>
  </si>
  <si>
    <t>RAO87D</t>
  </si>
  <si>
    <t>RAO87D*</t>
  </si>
  <si>
    <t>55  k€</t>
  </si>
  <si>
    <t>O88</t>
  </si>
  <si>
    <t>DALKIA Feeder SAINT-PRIEST</t>
  </si>
  <si>
    <t>COIRO / EHTP / SOGEA / Nord Est TP Cana / INPAL</t>
  </si>
  <si>
    <t>RAO88J</t>
  </si>
  <si>
    <t>RAO88J*</t>
  </si>
  <si>
    <t>F. NOUVET / M. DOS SANTOS</t>
  </si>
  <si>
    <t>2230  k€ pour EHTP/ 9 900 k€</t>
  </si>
  <si>
    <t>O89</t>
  </si>
  <si>
    <t>LISSIEU/LIMONEST - VL4 - VRD</t>
  </si>
  <si>
    <t>RAO89C</t>
  </si>
  <si>
    <t>RAO89C*</t>
  </si>
  <si>
    <t xml:space="preserve">P. MUNOS </t>
  </si>
  <si>
    <t>3 925 K€</t>
  </si>
  <si>
    <t>O90</t>
  </si>
  <si>
    <t>PIC Auvergne VRD</t>
  </si>
  <si>
    <t>RAO90E</t>
  </si>
  <si>
    <t>RAO90E*</t>
  </si>
  <si>
    <t>O91</t>
  </si>
  <si>
    <t>VILLAGES EN VILLE - Parc d'Activités des GRAVACHES</t>
  </si>
  <si>
    <t>Groupt GUINTOLI / TP LYAUDET / sas J-F SEMONSAT</t>
  </si>
  <si>
    <t>RAO91E</t>
  </si>
  <si>
    <t>RAO91E*</t>
  </si>
  <si>
    <t>693,6 k€</t>
  </si>
  <si>
    <t>O92</t>
  </si>
  <si>
    <t>LYON 8 - Réaménagement av. Frères Lumière - Lot 1 VRD</t>
  </si>
  <si>
    <t>Groupt GUINTOLI / EHTP / NGE Routes</t>
  </si>
  <si>
    <t>RAO92C</t>
  </si>
  <si>
    <t>RAO92C*</t>
  </si>
  <si>
    <t>3 000 K€</t>
  </si>
  <si>
    <t>O93</t>
  </si>
  <si>
    <t>LYON 7 - Aménagement parc BLANDAN - phase 3 - Lot 1 VRD</t>
  </si>
  <si>
    <t>Groupt GUINTOLI / EHTP / SOLS CONFLUENCE</t>
  </si>
  <si>
    <t>RAO93C</t>
  </si>
  <si>
    <t>RAO93C*</t>
  </si>
  <si>
    <t>767 K€</t>
  </si>
  <si>
    <t>O94</t>
  </si>
  <si>
    <t xml:space="preserve">Groupt IRRMANN PAPON TP &amp; Espaces Vertts / EHTP </t>
  </si>
  <si>
    <t>RAO94K</t>
  </si>
  <si>
    <t>RAO94K*</t>
  </si>
  <si>
    <t>477,6 K€ sur un total de 899,3 k€</t>
  </si>
  <si>
    <t>SIA du Haut-Buron - Prog 2024 / Aigueperse-Chaptuzat-Montpensier</t>
  </si>
  <si>
    <t>O95</t>
  </si>
  <si>
    <t>LIVAMO - Bellerive sur Allier</t>
  </si>
  <si>
    <t>Groupt TP LYAUDET / GUINTOLI</t>
  </si>
  <si>
    <t>RAO95E</t>
  </si>
  <si>
    <t>RAO95E*</t>
  </si>
  <si>
    <t>M. DE SOUSA / B. JANISSET</t>
  </si>
  <si>
    <t>450 k€</t>
  </si>
  <si>
    <t>O96</t>
  </si>
  <si>
    <t>CALIDER Industrie Site de GURIGNY</t>
  </si>
  <si>
    <t>RAO96I</t>
  </si>
  <si>
    <t>278,75 k€</t>
  </si>
  <si>
    <t>P. MUNOS/A. MONIN</t>
  </si>
  <si>
    <t>O97</t>
  </si>
  <si>
    <t>SYTRAL - ACC lignes aériennes trolley bus</t>
  </si>
  <si>
    <t>TSO CAT (m) / GLI / MDTP / NGE FOND / NGE GC / MDTS</t>
  </si>
  <si>
    <t>RAO97C</t>
  </si>
  <si>
    <t>AC MAXI 25 M€ SUR 4 ANS</t>
  </si>
  <si>
    <t>RAO97C*</t>
  </si>
  <si>
    <t>O98</t>
  </si>
  <si>
    <t>RAO98L*</t>
  </si>
  <si>
    <t>RAO98L</t>
  </si>
  <si>
    <t>RAO86D</t>
  </si>
  <si>
    <t>RAO86D*</t>
  </si>
  <si>
    <t>94 k€</t>
  </si>
  <si>
    <t>SAUR Rue RANC</t>
  </si>
  <si>
    <t>O99</t>
  </si>
  <si>
    <t>LEYGATECH Phase 2</t>
  </si>
  <si>
    <t>RAO99D</t>
  </si>
  <si>
    <t>RAO99D*</t>
  </si>
  <si>
    <t>RAO78F</t>
  </si>
  <si>
    <t>GUINTOLI / EHTP (NGE E-S STPD de GUINTOLI)</t>
  </si>
  <si>
    <t>ST LAURENT DE MURE - Secteur Clair Matin VRD</t>
  </si>
  <si>
    <t>1 300K€</t>
  </si>
  <si>
    <t>O1A</t>
  </si>
  <si>
    <t>RAO1AC</t>
  </si>
  <si>
    <t>O1B</t>
  </si>
  <si>
    <t>SOFIPA Dépollution Ets LAURENT à St Etienne</t>
  </si>
  <si>
    <t>RAO1BD</t>
  </si>
  <si>
    <t>RAO1BD*</t>
  </si>
  <si>
    <t>242 K€</t>
  </si>
  <si>
    <t>RAO1AC*</t>
  </si>
  <si>
    <t>O1C</t>
  </si>
  <si>
    <t>SYTRAL IMC C5 Trolley Bus - Tvx de Bâtiment et Energie de Traction (23M0161)</t>
  </si>
  <si>
    <t>TSO / NGE E-S</t>
  </si>
  <si>
    <t>RAO1CF</t>
  </si>
  <si>
    <t>280 k€ / Marché de 1 400 k€</t>
  </si>
  <si>
    <t>O1D</t>
  </si>
  <si>
    <t>LIMAGRAIN ATHENZA MPF</t>
  </si>
  <si>
    <t>NGE GC / SOREDAL</t>
  </si>
  <si>
    <t>RAO1DI</t>
  </si>
  <si>
    <t>B. RATHIER / S.CHABRIER</t>
  </si>
  <si>
    <t>O1E</t>
  </si>
  <si>
    <t>Plateforme GC de VEYRE-MONTON</t>
  </si>
  <si>
    <t>RAO1EI</t>
  </si>
  <si>
    <t>O1F</t>
  </si>
  <si>
    <t>CAM Coulée Verte à LEMPDES</t>
  </si>
  <si>
    <t>RAO1FE</t>
  </si>
  <si>
    <t>RAO1FE*</t>
  </si>
  <si>
    <t>374 k€</t>
  </si>
  <si>
    <t>O1G</t>
  </si>
  <si>
    <t>SEM - BERGES GIER LOT 01</t>
  </si>
  <si>
    <t>RAO1GH</t>
  </si>
  <si>
    <t>2 800 K€</t>
  </si>
  <si>
    <t>SEPZDE</t>
  </si>
  <si>
    <t>SEP ZDE Gérée par TSO</t>
  </si>
  <si>
    <t>O1H</t>
  </si>
  <si>
    <t>CANTAL  Grosses réparations d'OA lot 3 GROA Antenne de Mauriac</t>
  </si>
  <si>
    <t>230 K€</t>
  </si>
  <si>
    <t>RAO1HI*</t>
  </si>
  <si>
    <t>RAO1HI</t>
  </si>
  <si>
    <t>O1I</t>
  </si>
  <si>
    <t>RAO1IC</t>
  </si>
  <si>
    <t>RAO1IC*</t>
  </si>
  <si>
    <t>B.HEYRAUD / J.PEYRICAL</t>
  </si>
  <si>
    <t>1 053 k€</t>
  </si>
  <si>
    <t>PPI Métro VL 7N SQ3 RILLIEUX la Pape</t>
  </si>
  <si>
    <t>O1J</t>
  </si>
  <si>
    <t>GETNOW ANCYCLA TERNAY</t>
  </si>
  <si>
    <t>RAO1JC</t>
  </si>
  <si>
    <t>RAO1JC*</t>
  </si>
  <si>
    <t>C. DANTAUX</t>
  </si>
  <si>
    <t>780 k€</t>
  </si>
  <si>
    <t>NGE GC / GLI / NGE Fondations / SADE / AGILIS / BERENGIER / TERIDEAL</t>
  </si>
  <si>
    <t>RAO1GD</t>
  </si>
  <si>
    <t>RAO1GD*</t>
  </si>
  <si>
    <t>L. GRAND/P.COMPARET + N. MORIZON / F.PONNET</t>
  </si>
  <si>
    <t>H-D</t>
  </si>
  <si>
    <t>O1K</t>
  </si>
  <si>
    <t>ST ETIENNE Sécurisation d'un fontis minier</t>
  </si>
  <si>
    <t>RAO1KD</t>
  </si>
  <si>
    <t>RAO1KD*</t>
  </si>
  <si>
    <t>C.CUSSET</t>
  </si>
  <si>
    <t>45k€</t>
  </si>
  <si>
    <t>LISTES DES AFFAIRES R.A OUVERTES sur 2025</t>
  </si>
  <si>
    <t>P01</t>
  </si>
  <si>
    <t>CD42 RD1082 à La Versanne</t>
  </si>
  <si>
    <t>RAP01D</t>
  </si>
  <si>
    <t>RAP01D*</t>
  </si>
  <si>
    <t>C.CUSSET / N.MORIZON</t>
  </si>
  <si>
    <t>174 K€</t>
  </si>
  <si>
    <t>P02</t>
  </si>
  <si>
    <t>SEM Cité du Design -  Aménagement Espaces Publics</t>
  </si>
  <si>
    <t>RAP02D</t>
  </si>
  <si>
    <t>RAP02D*</t>
  </si>
  <si>
    <t>GUINTOLI / NGE ROUTES / COIRO</t>
  </si>
  <si>
    <t>1 855,9 K€</t>
  </si>
  <si>
    <t>NGE Transitions (NGE E-S sous-traitant de NGE Transitions)</t>
  </si>
  <si>
    <t>RAO73F</t>
  </si>
  <si>
    <t>P00</t>
  </si>
  <si>
    <t>DALKIA Travbersée sous T3</t>
  </si>
  <si>
    <t>RAP00J</t>
  </si>
  <si>
    <t>RAP00J*</t>
  </si>
  <si>
    <t>C. ANTONIALI</t>
  </si>
  <si>
    <t>P03</t>
  </si>
  <si>
    <t xml:space="preserve">CCEL Tvx d'Entretien et de GC </t>
  </si>
  <si>
    <t>RAP03C</t>
  </si>
  <si>
    <t>RAP03C*</t>
  </si>
  <si>
    <t>mini 20 000€ maxi 300 000€</t>
  </si>
  <si>
    <t>P04</t>
  </si>
  <si>
    <t>SMAE de la Basse Limagne - Accord Cadre 2025 / CEBAZAT Avenue Debussy</t>
  </si>
  <si>
    <t>RAP04K*</t>
  </si>
  <si>
    <t>RAP04K</t>
  </si>
  <si>
    <t>P05</t>
  </si>
  <si>
    <t>IDEF Maison de la Petite Enfance à Bron</t>
  </si>
  <si>
    <t>R. NOWAK &amp; E.JEAN-VICTOR</t>
  </si>
  <si>
    <t>F-C</t>
  </si>
  <si>
    <t>P06</t>
  </si>
  <si>
    <t>SYDER MBDC Eclairage Lot 3</t>
  </si>
  <si>
    <t xml:space="preserve">Groupt SERPOLLET / RAMPA / NGE E-S </t>
  </si>
  <si>
    <t>RAP06F*</t>
  </si>
  <si>
    <t>RAP05C</t>
  </si>
  <si>
    <t>RAP05C*</t>
  </si>
  <si>
    <t>RAP05F</t>
  </si>
  <si>
    <t>RAP06F</t>
  </si>
  <si>
    <t>A.BEVAND</t>
  </si>
  <si>
    <t>P07</t>
  </si>
  <si>
    <t>P08</t>
  </si>
  <si>
    <t xml:space="preserve">Groupt TSO / GUINTOLI (SVV) / SOC / SAGES Rail / NGE E-S </t>
  </si>
  <si>
    <t>RAP07F*</t>
  </si>
  <si>
    <t>RAP07F</t>
  </si>
  <si>
    <t xml:space="preserve">R. NOWAK </t>
  </si>
  <si>
    <t>198 k€</t>
  </si>
  <si>
    <t>RAP08F</t>
  </si>
  <si>
    <t xml:space="preserve">Groupt GANTELET / GUINTOLI LHL / TSO / TSO CAT / NGE E-S </t>
  </si>
  <si>
    <t>RAP08D</t>
  </si>
  <si>
    <t>RAP08D*</t>
  </si>
  <si>
    <t>SNCF Réseaux Eclairage Quais Gare de VALENCE</t>
  </si>
  <si>
    <t>SNCF Gares &amp; Connexions Eclairage Quais Gare de RIVE de Gier</t>
  </si>
  <si>
    <t>160 k€ pour NGE E-S &amp; 481 k€ pour GUINTOLI</t>
  </si>
  <si>
    <t>P09</t>
  </si>
  <si>
    <t>NUC-EDF Démolition bassins à CREYS-MALVILLE</t>
  </si>
  <si>
    <t xml:space="preserve">Groupt SARPI Remédiation / GUINTOLI </t>
  </si>
  <si>
    <t>RAP09A</t>
  </si>
  <si>
    <t>RAP09A*</t>
  </si>
  <si>
    <t>P10</t>
  </si>
  <si>
    <t>Parking Ilot Pardieu</t>
  </si>
  <si>
    <t>RAP10I</t>
  </si>
  <si>
    <t>Anthony AUGER</t>
  </si>
  <si>
    <t>P11</t>
  </si>
  <si>
    <t>RAP11A</t>
  </si>
  <si>
    <t>RAP11A*</t>
  </si>
  <si>
    <t>NUC-EDF Accord Cadre DP2D CREYS-MALVILLE/ Tvx de GC, étanchéité et peinture</t>
  </si>
  <si>
    <t>Groupt GUINTOLI / ALTRAD PREZIOSO / SOPREMA</t>
  </si>
  <si>
    <t>P12</t>
  </si>
  <si>
    <t>RAP12I</t>
  </si>
  <si>
    <t>Divers GC Tvx Réha</t>
  </si>
  <si>
    <t>RAP13I</t>
  </si>
  <si>
    <t>P13</t>
  </si>
  <si>
    <t>Divers GC Tvx Neufs</t>
  </si>
  <si>
    <t>P14</t>
  </si>
  <si>
    <t>AVEIZIEUX Aménagement Centre Bourg</t>
  </si>
  <si>
    <t>RAP14D</t>
  </si>
  <si>
    <t>RAP14D*</t>
  </si>
  <si>
    <t>484,6 k€</t>
  </si>
  <si>
    <t>P15</t>
  </si>
  <si>
    <t>EHTP / SADE / GANTELET</t>
  </si>
  <si>
    <t>RAP15J</t>
  </si>
  <si>
    <t>BRON/CHASSIEU - Maintenance réseau lot 5</t>
  </si>
  <si>
    <t>Mini 300 000 / max 1 500 000€</t>
  </si>
  <si>
    <t>RAP15J*</t>
  </si>
  <si>
    <t>P16</t>
  </si>
  <si>
    <t>VENISSIEUX - Aménagement VRD et espaces verts - lot 1 VRD</t>
  </si>
  <si>
    <t>RAP16C</t>
  </si>
  <si>
    <t>RAP16C*</t>
  </si>
  <si>
    <t>Maxi 800 000€</t>
  </si>
  <si>
    <t>P17</t>
  </si>
  <si>
    <t>Terre &amp; Lac Solaire / Parking LECLERC à St CHAMOND</t>
  </si>
  <si>
    <t>RAP17D</t>
  </si>
  <si>
    <t>RAP17D*</t>
  </si>
  <si>
    <t>60,7 k€</t>
  </si>
  <si>
    <t>P18</t>
  </si>
  <si>
    <t>BOURG LASTIC Aménagement axe nord du bourg - création Placette de l'EHPAD</t>
  </si>
  <si>
    <t>RAP18L*</t>
  </si>
  <si>
    <t>RAP18L</t>
  </si>
  <si>
    <t>196 k€</t>
  </si>
  <si>
    <t>P19</t>
  </si>
  <si>
    <t>CORBONOD RD991 Hameau de la Trille &amp; Gignez</t>
  </si>
  <si>
    <t>Groupt GUINTOLI / NGE ROUTES</t>
  </si>
  <si>
    <t>RAP19A</t>
  </si>
  <si>
    <t>RAP19A*</t>
  </si>
  <si>
    <t>275 k€</t>
  </si>
  <si>
    <t>P20</t>
  </si>
  <si>
    <t>OYONNAX Renouvellement RCU Quartier de la Plaine</t>
  </si>
  <si>
    <t>Groupt GUINTOLI / FAMY / PETAVIT / SERVIGNAT</t>
  </si>
  <si>
    <t>RAP20A</t>
  </si>
  <si>
    <t>RAP20A*</t>
  </si>
  <si>
    <t>3 998 k€</t>
  </si>
  <si>
    <t>P21</t>
  </si>
  <si>
    <t>ACE Batiment indistriel à LA ROCHE BLANCHE</t>
  </si>
  <si>
    <t>RAP21E</t>
  </si>
  <si>
    <t>RAP21E*</t>
  </si>
  <si>
    <t>P22</t>
  </si>
  <si>
    <t>SPRIO AC GT MS8 / ST CLEMENT DE REGNAT</t>
  </si>
  <si>
    <t>EHTP / SADE</t>
  </si>
  <si>
    <t>RAP22K*</t>
  </si>
  <si>
    <t>RAP22K</t>
  </si>
  <si>
    <t>468,4 k€</t>
  </si>
  <si>
    <t>P23</t>
  </si>
  <si>
    <t>LYON - Réfection tranchées enrobés - Lot 3 Est centre sud</t>
  </si>
  <si>
    <t>MGB / RAZEL BEC / NGE ROUTES / CARRION TP</t>
  </si>
  <si>
    <t>RAP23C*</t>
  </si>
  <si>
    <t>RAP23C</t>
  </si>
  <si>
    <t>AC mini/maix 3 500K€ / 10 500K€</t>
  </si>
  <si>
    <t>P24</t>
  </si>
  <si>
    <t>EDF / CUSSET Curage du Canal de JONAGE</t>
  </si>
  <si>
    <t>NGE TMF / GUINTOLI</t>
  </si>
  <si>
    <t>RAP24C</t>
  </si>
  <si>
    <t>RAP24C*</t>
  </si>
  <si>
    <t>P25</t>
  </si>
  <si>
    <t>GUINTOLI / EHTP / NGE ROUTES</t>
  </si>
  <si>
    <t>UTA Création d'un centrale de compression &amp; distribution de GNV / Adaptation du remisage et de l'atelier</t>
  </si>
  <si>
    <t>RAP25C</t>
  </si>
  <si>
    <t>RAP25C*</t>
  </si>
  <si>
    <t>P26</t>
  </si>
  <si>
    <t>VICHY Tvx de renouvellement du réseau d'eau potable lot Ouest (Bellerive sur Allier &amp; Vichy)</t>
  </si>
  <si>
    <t>RAP26K*</t>
  </si>
  <si>
    <t>RAP26K</t>
  </si>
  <si>
    <t>P27</t>
  </si>
  <si>
    <t>GENAY - BASF travaux de maçonnerie</t>
  </si>
  <si>
    <t>RAP27H</t>
  </si>
  <si>
    <t>P28</t>
  </si>
  <si>
    <t xml:space="preserve">SPL Construction de trois centrales photovoltaïques (PV) sur une toiture, un parking et un tertre du site de la STEP de Clermont </t>
  </si>
  <si>
    <t>RAP28I</t>
  </si>
  <si>
    <t>J.MOREL / J. REVIRON</t>
  </si>
  <si>
    <t>P29</t>
  </si>
  <si>
    <t>GENAS - CHEMIN DE LA GRANGE Mise en séparatif</t>
  </si>
  <si>
    <t>SADE / EHTP</t>
  </si>
  <si>
    <t>RAP29J</t>
  </si>
  <si>
    <t>RAP29J*</t>
  </si>
  <si>
    <t>P30</t>
  </si>
  <si>
    <t>MONTBRISON Bassin de Rétention</t>
  </si>
  <si>
    <t>GUINTOLI / SADE</t>
  </si>
  <si>
    <t>RAP30D</t>
  </si>
  <si>
    <t>RAP30D*</t>
  </si>
  <si>
    <t>740 K€</t>
  </si>
  <si>
    <t>212,9 K€ + 23,2 k€</t>
  </si>
  <si>
    <t>P31</t>
  </si>
  <si>
    <t>SCI Le Zèbre - Parking ALPINE</t>
  </si>
  <si>
    <t>RAP31D</t>
  </si>
  <si>
    <t>RAP31D*</t>
  </si>
  <si>
    <t>67 k€</t>
  </si>
  <si>
    <t>P32</t>
  </si>
  <si>
    <t>APRR PI440 Ecran acoustique</t>
  </si>
  <si>
    <t>RAP32H</t>
  </si>
  <si>
    <t>425 K€</t>
  </si>
  <si>
    <t>P33</t>
  </si>
  <si>
    <t>ASF A/C MS n° 9 / A89 Buse BM 4448</t>
  </si>
  <si>
    <t>RAP33I*</t>
  </si>
  <si>
    <t>RAP33I</t>
  </si>
  <si>
    <t>P34</t>
  </si>
  <si>
    <t>ST ETIENNE - Technicentre lot 2 tx ferroviaires</t>
  </si>
  <si>
    <t>RAP34H</t>
  </si>
  <si>
    <t>TSO / NGE GC (sous-traitant)</t>
  </si>
  <si>
    <t>P35</t>
  </si>
  <si>
    <t>NUC-EDF CREYS-MALVILLE ST de ONET</t>
  </si>
  <si>
    <t>RAP35A</t>
  </si>
  <si>
    <t>RAP35A*</t>
  </si>
  <si>
    <t>SousTraitant de ONET</t>
  </si>
  <si>
    <t>635 k€</t>
  </si>
  <si>
    <t>P36</t>
  </si>
  <si>
    <t>SADE (mandataire)/GUINTOLI</t>
  </si>
  <si>
    <t>RAP36C</t>
  </si>
  <si>
    <t>RAP36C*</t>
  </si>
  <si>
    <t>290 K€</t>
  </si>
  <si>
    <t>ST EXUPERY SASCA - Rabotage et enrobés</t>
  </si>
  <si>
    <t>P37</t>
  </si>
  <si>
    <t>GUINTOLI / TP LYAUDET / COSEEC France</t>
  </si>
  <si>
    <t>RAP37L*</t>
  </si>
  <si>
    <t>RAP37L</t>
  </si>
  <si>
    <t>1 050K€</t>
  </si>
  <si>
    <t>CEBAZAT Terrain de football synthétique</t>
  </si>
  <si>
    <t>P38</t>
  </si>
  <si>
    <t>NGE Fondations / GUINTOLI</t>
  </si>
  <si>
    <t>RAP38D</t>
  </si>
  <si>
    <t>RAP38D*</t>
  </si>
  <si>
    <t>Part GUINTOLI = 189 k€</t>
  </si>
  <si>
    <t>Part TP LYAUDET = 540 k€</t>
  </si>
  <si>
    <t>HYDROSTADIUM =&gt;VENDETS (43) Remise en état du barrage de la Chapelette</t>
  </si>
  <si>
    <t>1 272 k€</t>
  </si>
  <si>
    <t>P39</t>
  </si>
  <si>
    <t>CAM Collecteur Herbet STEP Lot 1</t>
  </si>
  <si>
    <t>SADE / NGE Fondations / NGE GC / EHTP / HYDRO PIPE POLUTIONS</t>
  </si>
  <si>
    <t>RAP39I</t>
  </si>
  <si>
    <t>Part NGE GC = 279 k€</t>
  </si>
  <si>
    <t>5 522 k€</t>
  </si>
  <si>
    <t>RAP39E*</t>
  </si>
  <si>
    <t>E-I</t>
  </si>
  <si>
    <t>RAP39E</t>
  </si>
  <si>
    <t>RAP39KE*</t>
  </si>
  <si>
    <t>EHTP / MM Auvergne</t>
  </si>
  <si>
    <t>P40</t>
  </si>
  <si>
    <t>RIOM LIMAGNE &amp; VOLCANS Voie douce Ambène Riom Clerlande Ennezat Lot2</t>
  </si>
  <si>
    <t>RAP40E</t>
  </si>
  <si>
    <t>RAP40E*</t>
  </si>
  <si>
    <t>43 k€</t>
  </si>
  <si>
    <t>P41</t>
  </si>
  <si>
    <t>LOIRE FOREZ Agglo - Réfection de 4 OA à Montbrison</t>
  </si>
  <si>
    <t>RAP41I</t>
  </si>
  <si>
    <t>P42</t>
  </si>
  <si>
    <t>AUBERT &amp; DUVAL Four Poche</t>
  </si>
  <si>
    <t>RAP42I</t>
  </si>
  <si>
    <t>565 k€</t>
  </si>
  <si>
    <t>P43</t>
  </si>
  <si>
    <t xml:space="preserve">Divers E-S LYON R.NOWAK </t>
  </si>
  <si>
    <t>RAP43F*</t>
  </si>
  <si>
    <t>RAP43F</t>
  </si>
  <si>
    <t>R. NOWAK</t>
  </si>
  <si>
    <t>P44</t>
  </si>
  <si>
    <t>SNCF LEZOUX</t>
  </si>
  <si>
    <t>RAP44I</t>
  </si>
  <si>
    <t>N. GANIERE / B. RATHIER</t>
  </si>
  <si>
    <t>P45</t>
  </si>
  <si>
    <t>MCH MAYET D'ECOLE</t>
  </si>
  <si>
    <t>RAP45I</t>
  </si>
  <si>
    <t>216 k€</t>
  </si>
  <si>
    <t>P46</t>
  </si>
  <si>
    <t>VITRAC Lotissement Les Charmeix II</t>
  </si>
  <si>
    <t>RAP46L</t>
  </si>
  <si>
    <t>Y.PERRY</t>
  </si>
  <si>
    <t>296 k€</t>
  </si>
  <si>
    <t>P47</t>
  </si>
  <si>
    <t>ST GERMAIN Prés Herment - Voirie Communale 2025</t>
  </si>
  <si>
    <t>RAP47L</t>
  </si>
  <si>
    <t>P48</t>
  </si>
  <si>
    <t>JST Transformateurs - Tvx fosse définitive (ST de NGE Fondations)</t>
  </si>
  <si>
    <t>RAP48I</t>
  </si>
  <si>
    <t>RAP28E</t>
  </si>
  <si>
    <t>P49</t>
  </si>
  <si>
    <t>RAP49C</t>
  </si>
  <si>
    <t>RAP49C*</t>
  </si>
  <si>
    <t>1 400K€</t>
  </si>
  <si>
    <t>PPI  VL 78 à TASSIN</t>
  </si>
  <si>
    <t>P50</t>
  </si>
  <si>
    <t>RAP50J</t>
  </si>
  <si>
    <t>RAP50J*</t>
  </si>
  <si>
    <t>C. JEAN JOSEPH / R. THOMAS</t>
  </si>
  <si>
    <t>4 400 k€</t>
  </si>
  <si>
    <t>GUINTOLI / NGE ROUTES (NGE E-S stpd de GUINTOLI)</t>
  </si>
  <si>
    <t>RAP50F</t>
  </si>
  <si>
    <t>DC4 NGE E-S = 150 k€</t>
  </si>
  <si>
    <t>P51</t>
  </si>
  <si>
    <t>VILLEURBANNE - Parc R. Planchon ancien site ACI -
Lot 1</t>
  </si>
  <si>
    <t>RAP51E</t>
  </si>
  <si>
    <t>RAP51E*</t>
  </si>
  <si>
    <t>P.MALEYRAT</t>
  </si>
  <si>
    <t>344 k€</t>
  </si>
  <si>
    <t>CAM Renaturation de l'Artière Le long de la promenade A.COTTE à AUBIERE</t>
  </si>
  <si>
    <t>P52</t>
  </si>
  <si>
    <t>CAM Aménagement Av. de la République à CEBAZAT lot 1</t>
  </si>
  <si>
    <t>RAP52E</t>
  </si>
  <si>
    <t>RAP52E*</t>
  </si>
  <si>
    <t>2 775 k€</t>
  </si>
  <si>
    <t>P53</t>
  </si>
  <si>
    <t>VAULX EN VELIN - LES NOIRETTES LOT 2</t>
  </si>
  <si>
    <t>GUINTOLI / NGE ROUTES / NGE ES</t>
  </si>
  <si>
    <t>RAP53C</t>
  </si>
  <si>
    <t>RAP53C*</t>
  </si>
  <si>
    <t>2 500 K€</t>
  </si>
  <si>
    <t>Compte bancaire</t>
  </si>
  <si>
    <t>RAP53F</t>
  </si>
  <si>
    <t xml:space="preserve">ENEDIS MBDC Sud Ambérieu </t>
  </si>
  <si>
    <r>
      <t>NGE E-S</t>
    </r>
    <r>
      <rPr>
        <b/>
        <sz val="12"/>
        <color indexed="10"/>
        <rFont val="Arial"/>
        <family val="2"/>
      </rPr>
      <t xml:space="preserve"> (géré par l'AIN)</t>
    </r>
  </si>
  <si>
    <t>P54</t>
  </si>
  <si>
    <r>
      <t>NGE E-S</t>
    </r>
    <r>
      <rPr>
        <b/>
        <sz val="12"/>
        <color indexed="10"/>
        <rFont val="Arial"/>
        <family val="2"/>
      </rPr>
      <t xml:space="preserve"> (géré par CANA EST)</t>
    </r>
  </si>
  <si>
    <t>RAP54F</t>
  </si>
  <si>
    <t>A. BARBIER (idem RAO61F)</t>
  </si>
  <si>
    <t>P55</t>
  </si>
  <si>
    <t>BELLEVILLE EN BEAUJOLAIS Lot 2</t>
  </si>
  <si>
    <t>GUINTOLI STPD de EIFFAGE Route CE</t>
  </si>
  <si>
    <t>RAP55C</t>
  </si>
  <si>
    <t>RAP55C*</t>
  </si>
  <si>
    <t>V. BACOT / JPEYRICAL</t>
  </si>
  <si>
    <t xml:space="preserve"> GUINTOLI SOUS TRAITANT</t>
  </si>
  <si>
    <t>DC4 GLI : 475 371,90€</t>
  </si>
  <si>
    <t>P56</t>
  </si>
  <si>
    <t>ST FONS - Les Clochettes Cœur de par lot 1</t>
  </si>
  <si>
    <t>RAP56C</t>
  </si>
  <si>
    <t>RAP56C*</t>
  </si>
  <si>
    <t>OUI</t>
  </si>
  <si>
    <t>2 460 K€</t>
  </si>
  <si>
    <t>P57</t>
  </si>
  <si>
    <t>SIAHVY BRINDAS - Assainissement</t>
  </si>
  <si>
    <t>RAP57J</t>
  </si>
  <si>
    <t>RAP57J*</t>
  </si>
  <si>
    <t>JL SAUTERON</t>
  </si>
  <si>
    <t>Part EHTP 136 K€</t>
  </si>
  <si>
    <t>P58</t>
  </si>
  <si>
    <t>CAM Rue Anatole France - Liaison cyclable</t>
  </si>
  <si>
    <t>RAP58E</t>
  </si>
  <si>
    <t>M. DE MACEDO / B. JANISSET</t>
  </si>
  <si>
    <t>RAP58E*</t>
  </si>
  <si>
    <t>NGE E-S (GUINTOLI ST de NGE E-S)</t>
  </si>
  <si>
    <t>P59</t>
  </si>
  <si>
    <t>SMVA Transfert II - rue du Juzerat MARTRES DE VEYRE</t>
  </si>
  <si>
    <t>RAP59K*</t>
  </si>
  <si>
    <t>RAP59K</t>
  </si>
  <si>
    <t>2 070 k€</t>
  </si>
  <si>
    <t>EHTP / HUGON TP</t>
  </si>
  <si>
    <t>P60</t>
  </si>
  <si>
    <t>SNCF Mûrs de soutènement de la Miouze &amp; Protections de fondations à CLERMONT  Ligne 711 000 d'Etgurande - Merlines</t>
  </si>
  <si>
    <t>NGE GC / BTPS ATLANTIQUE / BOUILLOT TP</t>
  </si>
  <si>
    <t>RAP60I</t>
  </si>
  <si>
    <t>EIFFAGE E-S / NGE GC (+GUINTOLI ST de NGE GC)</t>
  </si>
  <si>
    <t>P61</t>
  </si>
  <si>
    <t>SEM Accord Cadre / Tvx d'urgence Lot 5 GIER 1</t>
  </si>
  <si>
    <t>RAP61D</t>
  </si>
  <si>
    <t>RAP61D*</t>
  </si>
  <si>
    <t>C.CUSSET / N. MORIZON</t>
  </si>
  <si>
    <t>P62</t>
  </si>
  <si>
    <t>SEM Accord Cadre / Tvx d'urgence Lot 5 GIER 2</t>
  </si>
  <si>
    <t>RAP62D</t>
  </si>
  <si>
    <t>RAP62D*</t>
  </si>
  <si>
    <t>P63</t>
  </si>
  <si>
    <t>EIFFAGE Route C-E / GUINTOLI</t>
  </si>
  <si>
    <t>RAP63D</t>
  </si>
  <si>
    <t>RAP63D*</t>
  </si>
  <si>
    <t>SEM Boulevard Georges Clémenceau à St CHAMOND / MS 77</t>
  </si>
  <si>
    <t>736,8 k€</t>
  </si>
  <si>
    <t>L. MOREL / N. MORIZON</t>
  </si>
  <si>
    <t>P64</t>
  </si>
  <si>
    <t>AUBERT &amp; DUVAL Opération Titane</t>
  </si>
  <si>
    <t>RAP64I</t>
  </si>
  <si>
    <t>256 k€</t>
  </si>
  <si>
    <t>CAPMétropole Station de Tram (AFPA) Bd du 8 mai à St Etienne</t>
  </si>
  <si>
    <t>RAP65D</t>
  </si>
  <si>
    <t>P65</t>
  </si>
  <si>
    <t>RAP65D*</t>
  </si>
  <si>
    <t>657,1 k€</t>
  </si>
  <si>
    <t>Alex DELRIEU / B. RATHIER</t>
  </si>
  <si>
    <t>P66</t>
  </si>
  <si>
    <t xml:space="preserve">PPI VL VILLEURBANNE </t>
  </si>
  <si>
    <t>EIFFAGE (m)/GUINTOLI/COIRO</t>
  </si>
  <si>
    <t>RAP66C</t>
  </si>
  <si>
    <t>ENV. 5M€ POUR GUINTOLI</t>
  </si>
  <si>
    <t>RAP66C*</t>
  </si>
  <si>
    <t>P67</t>
  </si>
  <si>
    <t>VILLEURBANNE - VL4 A. Philip - F. De Pressensé - Lot 1</t>
  </si>
  <si>
    <t>RAP67C</t>
  </si>
  <si>
    <t>RAP67C*</t>
  </si>
  <si>
    <t>GUINTOLI / EHTP / EIFFAGE / AGILIS</t>
  </si>
  <si>
    <t>2 700 M€</t>
  </si>
  <si>
    <t>J-F</t>
  </si>
  <si>
    <t>P68</t>
  </si>
  <si>
    <t>SNCF Mûr BROLAC à Vic Le Comte</t>
  </si>
  <si>
    <t>Tout pour GUINTOLI</t>
  </si>
  <si>
    <t>P. MALEYRAT / B. JANISSET</t>
  </si>
  <si>
    <t>RAP68E</t>
  </si>
  <si>
    <t>RAP68E*</t>
  </si>
  <si>
    <t>P69</t>
  </si>
  <si>
    <t>SEM A/C Tvx d'entretien et d'aménagement de voirie de moyenne et grande ampleur</t>
  </si>
  <si>
    <t>RAP69D</t>
  </si>
  <si>
    <t>RAP69D*</t>
  </si>
  <si>
    <t>25 M€ / an</t>
  </si>
  <si>
    <t>L.MOREL / N.MORIZON</t>
  </si>
  <si>
    <t>P70</t>
  </si>
  <si>
    <t>I-E</t>
  </si>
  <si>
    <t>CAM Construction d'une passerelle sur l'Allier</t>
  </si>
  <si>
    <t>NGE GC / NGE Fondations / NGE TMF / GUINTOLI / ITC / MATIERE</t>
  </si>
  <si>
    <t>RAP70E</t>
  </si>
  <si>
    <t>RAP70E*</t>
  </si>
  <si>
    <t>RAP70I</t>
  </si>
  <si>
    <t>J.REVIRON DE NARDI</t>
  </si>
  <si>
    <t>3 670 k€ (1 421 k€ pour NGE GC &amp; 683 k€ pour GUINTOLI)</t>
  </si>
  <si>
    <t>P71</t>
  </si>
  <si>
    <t>CEN Auvergne - Effacement de la protection de berge de l'Ile des Bravards sur l'ALLIER à Charnat/Limons</t>
  </si>
  <si>
    <t>RAP71E</t>
  </si>
  <si>
    <t>RAP71E*</t>
  </si>
  <si>
    <t>132,7 k€</t>
  </si>
  <si>
    <t>P72</t>
  </si>
  <si>
    <t>SNCF Gerland Adaptation de quais</t>
  </si>
  <si>
    <t>RAP72H</t>
  </si>
  <si>
    <t>GAPD 2% POUR RG</t>
  </si>
  <si>
    <t>L. GRAND / P. COMPARET</t>
  </si>
  <si>
    <t>3 665 K€ (hors part optionnelle 73 120€)</t>
  </si>
  <si>
    <t>P73</t>
  </si>
  <si>
    <t>TP LYAUDET / GUINTOLI</t>
  </si>
  <si>
    <t>RAP73L</t>
  </si>
  <si>
    <t>525 k€</t>
  </si>
  <si>
    <t>VALTOM Création Centre de valorisation des biodéchets à St Sauves d'Auvergne</t>
  </si>
  <si>
    <t>RAP73L*</t>
  </si>
  <si>
    <t>P74</t>
  </si>
  <si>
    <t>CAM MS Aménagement Voirie Rue de Jarzy à BLANZAT</t>
  </si>
  <si>
    <t>RAP74E</t>
  </si>
  <si>
    <t>RAP74E*</t>
  </si>
  <si>
    <t>P75</t>
  </si>
  <si>
    <t>ST ETIENNE Bâtiment STAM</t>
  </si>
  <si>
    <t>RAP75D</t>
  </si>
  <si>
    <t>RAP75D*</t>
  </si>
  <si>
    <t>C. CUSSET</t>
  </si>
  <si>
    <t>101 k€</t>
  </si>
  <si>
    <t>P76</t>
  </si>
  <si>
    <t>UCELIA Travaux 2025-2026</t>
  </si>
  <si>
    <t>RAP76I</t>
  </si>
  <si>
    <t>A. DELRIEU / J. REVIRON DE NARDI</t>
  </si>
  <si>
    <t>P77</t>
  </si>
  <si>
    <t>DANONE projet VOLVIC Reuse</t>
  </si>
  <si>
    <t>RAP77I</t>
  </si>
  <si>
    <t>A BAREIRO / B.RATHIER / J. REVIRON DE NARDI</t>
  </si>
  <si>
    <t>P78</t>
  </si>
  <si>
    <t>DYNACITE Résidentialisation des quartier à Oyonnax</t>
  </si>
  <si>
    <t>RAP78A</t>
  </si>
  <si>
    <t>RAP78A*</t>
  </si>
  <si>
    <t>327,4 k€</t>
  </si>
  <si>
    <t>P79</t>
  </si>
  <si>
    <t>OYONNAX Aménagement îlot Brunet</t>
  </si>
  <si>
    <t>VERDET / GUINTOLI / EUROVIOA</t>
  </si>
  <si>
    <t>RAP79A</t>
  </si>
  <si>
    <t>RAP79A*</t>
  </si>
  <si>
    <t>739 k€</t>
  </si>
  <si>
    <t>P80</t>
  </si>
  <si>
    <t>CAM Aménagement Boulevard Fleury &amp; Lafayette</t>
  </si>
  <si>
    <t>GUINTOLI / AGILIS</t>
  </si>
  <si>
    <t>RAP80E</t>
  </si>
  <si>
    <t>RAP80E*</t>
  </si>
  <si>
    <t>P81</t>
  </si>
  <si>
    <t>LAPALISSE Rénovation de la Passerelle béton sur la Besbre</t>
  </si>
  <si>
    <t>RAP81I</t>
  </si>
  <si>
    <t>115 k€</t>
  </si>
  <si>
    <t>SEM A/C Tvx de Réparation des O.A. après intempéries des 17 &amp; 18 Oct-24 / Lot n° 2 - Doizieux, La Terrasse sur Dorlay &amp; St Paul en Jarez</t>
  </si>
  <si>
    <t>RAP82I</t>
  </si>
  <si>
    <t>P82</t>
  </si>
  <si>
    <t>ST ETIENNE Bâtiment STAM - Réfection Dallage Extérieur</t>
  </si>
  <si>
    <t>RAP76H</t>
  </si>
  <si>
    <t>Lucas GRAND</t>
  </si>
  <si>
    <t>70,4 k€</t>
  </si>
  <si>
    <t>P83</t>
  </si>
  <si>
    <t>RAP83A</t>
  </si>
  <si>
    <t>RAP83A*</t>
  </si>
  <si>
    <t>P84</t>
  </si>
  <si>
    <t>SMCT (MS n° 9)Aménagements du Réseaux Restructuré de Bus - Opérations 2025 (RRB2025)</t>
  </si>
  <si>
    <t>RAP84E</t>
  </si>
  <si>
    <t>RAP84E*</t>
  </si>
  <si>
    <t>P85</t>
  </si>
  <si>
    <t>BRGM Installations Hydroliques de Sécurité des Gauthrins</t>
  </si>
  <si>
    <t>RAP85L*</t>
  </si>
  <si>
    <t>RAP85L</t>
  </si>
  <si>
    <t>308,1 k€</t>
  </si>
  <si>
    <t>P86</t>
  </si>
  <si>
    <t>TP LYAUDET / LOUVET &amp; Fils</t>
  </si>
  <si>
    <t>RAP86L*</t>
  </si>
  <si>
    <t>RAP86L</t>
  </si>
  <si>
    <t>C.C.Dôme Sancy Artense - Dessertes Forestières / Lots 1, 2 &amp; 3</t>
  </si>
  <si>
    <t>212,4 k€</t>
  </si>
  <si>
    <t>P87</t>
  </si>
  <si>
    <t>CAM - MS/AC : Enfouissement des réseaux / rue de Laubize à ROMAGNAT</t>
  </si>
  <si>
    <t>RAP87E</t>
  </si>
  <si>
    <t>RAP87E*</t>
  </si>
  <si>
    <t>285,4 k€</t>
  </si>
  <si>
    <t>CPS et GAPD envoyées le 11/08</t>
  </si>
  <si>
    <t xml:space="preserve">MARCHE N° </t>
  </si>
  <si>
    <t>2025-12</t>
  </si>
  <si>
    <t>GUINTOLI / SADE (NGE ES et NGE Transition ST de GUINTOLI)</t>
  </si>
  <si>
    <t>RAP49T</t>
  </si>
  <si>
    <t>Chantier sous-traité en quasi-totalité à NGE Transitions</t>
  </si>
  <si>
    <t>P88</t>
  </si>
  <si>
    <t>25M0005</t>
  </si>
  <si>
    <t>SYTRAL - C25 TROLLEY BUS IMC</t>
  </si>
  <si>
    <t>RAP88J</t>
  </si>
  <si>
    <t>RAP88H</t>
  </si>
  <si>
    <t>C. ANTONIALI/JB GASTON</t>
  </si>
  <si>
    <t>MDTP mandataire -Contre garantie à prévoir</t>
  </si>
  <si>
    <t>J/H</t>
  </si>
  <si>
    <t>RAP88J*</t>
  </si>
  <si>
    <t>MDTP (m)/MDTS/GUINTOLI/NGE GC/NGE FOND (Agilis STPD)</t>
  </si>
  <si>
    <t>P89</t>
  </si>
  <si>
    <t>SAUR Renouvellement Canalisations</t>
  </si>
  <si>
    <t>RAP89D*</t>
  </si>
  <si>
    <t>RAP89D</t>
  </si>
  <si>
    <t>P90</t>
  </si>
  <si>
    <t>NUC-EDF Inspection Conduites enterrées BUGEY</t>
  </si>
  <si>
    <t>RAP90A</t>
  </si>
  <si>
    <t>RAP90A*</t>
  </si>
  <si>
    <t>613 k€ (yc TRICASTIN)</t>
  </si>
  <si>
    <t>Groupt NGE GC / GUINTOLI / FRANKI</t>
  </si>
  <si>
    <t>P91</t>
  </si>
  <si>
    <t>SEM Berges Ondaine risques de crues - Lot A</t>
  </si>
  <si>
    <t>GUINTOLI / NGE Fondations / NGE GC / BERENGIER / TERIDEAL</t>
  </si>
  <si>
    <t>RAP91D</t>
  </si>
  <si>
    <t>RAP91D*</t>
  </si>
  <si>
    <t>1 950 K€</t>
  </si>
  <si>
    <t>RAP91H</t>
  </si>
  <si>
    <t>P92</t>
  </si>
  <si>
    <t>CAM MS VOIRIE AMENAGEMENT PLACE JOSEPH CLAUSSAT A ROYAT</t>
  </si>
  <si>
    <t>RAP92E</t>
  </si>
  <si>
    <t>RAP92E*</t>
  </si>
  <si>
    <t>P93</t>
  </si>
  <si>
    <t>SIVAP Réhabilitation des ouvrages d'Eau potable du Syndicat</t>
  </si>
  <si>
    <t>NGE GC / SADE</t>
  </si>
  <si>
    <t>M. VIRAT / P. LEFRANC</t>
  </si>
  <si>
    <t>RAP93I</t>
  </si>
  <si>
    <t>P. MUNOS / Y.BERCHARD</t>
  </si>
  <si>
    <t>P94</t>
  </si>
  <si>
    <t>VILLEURBANNE ZAC GRATTE CIEL Réseaux Beauvoir Sud</t>
  </si>
  <si>
    <t>RAP94J</t>
  </si>
  <si>
    <t>RAP94J*</t>
  </si>
  <si>
    <t>78 K€</t>
  </si>
  <si>
    <t>25-27165</t>
  </si>
  <si>
    <t>P95</t>
  </si>
  <si>
    <t>SBA Tvx de G-C pour l'installation de conteneurs enterrés, semi-enterrés et aériens de collecte de déchets ménagers et assimilés</t>
  </si>
  <si>
    <t>RAP95E</t>
  </si>
  <si>
    <t>RAP95E*</t>
  </si>
  <si>
    <t>P96</t>
  </si>
  <si>
    <t>H-C</t>
  </si>
  <si>
    <t>P97</t>
  </si>
  <si>
    <t xml:space="preserve">SMVVA Création Zone de rejet Végétalisée (ZRV) en sortie de l'étang des Pèdes à ORCET </t>
  </si>
  <si>
    <t>RAP96C</t>
  </si>
  <si>
    <t>RAP96C*</t>
  </si>
  <si>
    <t>RAP96H</t>
  </si>
  <si>
    <t>G. DAUTHEVILLE / B. DE LA ROCHE</t>
  </si>
  <si>
    <t>TOTAL Energies VRD Hangar UPC</t>
  </si>
  <si>
    <t>P98</t>
  </si>
  <si>
    <t>APRR Accord Cadre Déneigement 2025-2029</t>
  </si>
  <si>
    <t>BIOMERIEUX La Balme Les Grottes</t>
  </si>
  <si>
    <t>RAP97E</t>
  </si>
  <si>
    <t>RAP97E*</t>
  </si>
  <si>
    <t>RAP98A</t>
  </si>
  <si>
    <t>RAP98A*</t>
  </si>
  <si>
    <t>P99</t>
  </si>
  <si>
    <t>RAP99A</t>
  </si>
  <si>
    <t>RAP99A*</t>
  </si>
  <si>
    <t>P1A</t>
  </si>
  <si>
    <t>CAM Aménagement de la Rue Antoine LANNES à CHATEAUGAY</t>
  </si>
  <si>
    <t>RAP1AE</t>
  </si>
  <si>
    <t>RAP1AE*</t>
  </si>
  <si>
    <t>293,4 k€</t>
  </si>
  <si>
    <t>P1B</t>
  </si>
  <si>
    <t>Déneigement 2025-2029</t>
  </si>
  <si>
    <t>RAP1BL*</t>
  </si>
  <si>
    <t>RAP1BL</t>
  </si>
  <si>
    <t>GUINTOLI / NGE PAYSAGES</t>
  </si>
  <si>
    <t>RAP1CC</t>
  </si>
  <si>
    <t>2025-0400</t>
  </si>
  <si>
    <t>GRAND LYON HABITAT - Désimperméabilisation des sols - MAPA</t>
  </si>
  <si>
    <t>mini/maxi 100 000€/600 000€</t>
  </si>
  <si>
    <t>compte conjoint en cours</t>
  </si>
  <si>
    <t>révisables mai 2025</t>
  </si>
  <si>
    <t>RAP1CC*</t>
  </si>
  <si>
    <t>P1C</t>
  </si>
  <si>
    <t>P1D</t>
  </si>
  <si>
    <t>RAP1DK*</t>
  </si>
  <si>
    <t>RAP1DK</t>
  </si>
  <si>
    <t>SIAREC - Mise en séparatif des réseaux d'assainissement
et renouvellement du réseau d’eau potable
sur la rue de l’Artière, la rue des Teilleurs,
le passage des Allouches et la rue du Lin
aux Martres-d’Artière</t>
  </si>
  <si>
    <t>2024F3201</t>
  </si>
  <si>
    <t>P1E</t>
  </si>
  <si>
    <t>BRON ZAC TERRASSES CLAIRIERE - gestion provisoire</t>
  </si>
  <si>
    <t>RAP1EC</t>
  </si>
  <si>
    <t>RAP1EC*</t>
  </si>
  <si>
    <t>P. MUNOS /Y. BERCHARD</t>
  </si>
  <si>
    <t>2025DA-T0036</t>
  </si>
  <si>
    <t>max 500 000€</t>
  </si>
  <si>
    <t>P1F</t>
  </si>
  <si>
    <t>NUC-EDF Travaux Divers CREYS-MALVILLE</t>
  </si>
  <si>
    <t>RAP1FA</t>
  </si>
  <si>
    <t>RAP1FA*</t>
  </si>
  <si>
    <t>R. BEIGNON / L. GARNIER</t>
  </si>
  <si>
    <t>P1G</t>
  </si>
  <si>
    <t>LE CENDRE Réhabilitation du Pont de César</t>
  </si>
  <si>
    <t>RAP1GI</t>
  </si>
  <si>
    <t>164 k€</t>
  </si>
  <si>
    <t>P1H</t>
  </si>
  <si>
    <t>GUINTOLI / SOMEC</t>
  </si>
  <si>
    <t>RAP1HA</t>
  </si>
  <si>
    <t>RAP1HA*</t>
  </si>
  <si>
    <t>P1I</t>
  </si>
  <si>
    <t>NGE GC / GUINTOLI / MADIC</t>
  </si>
  <si>
    <t>RAP1IE</t>
  </si>
  <si>
    <t>RAP1IE*</t>
  </si>
  <si>
    <t>RAP1II*</t>
  </si>
  <si>
    <t>SNCF Voyageurs - Rallongement de l'Aire de Distribution Courte de la Station Service Technicentre AURA de Clermont-Ferrand</t>
  </si>
  <si>
    <t>P1J</t>
  </si>
  <si>
    <t>GUINTOLI / NGE ROUTES / FAMY / NGE E-S</t>
  </si>
  <si>
    <t>RAP1JA</t>
  </si>
  <si>
    <t>RAP1JF</t>
  </si>
  <si>
    <t>CD01 - RD936 x VC du Moulin Neuf - Aménagement Carrefour à feux à St Denis Les Bourg</t>
  </si>
  <si>
    <t>RAP77E</t>
  </si>
  <si>
    <t>RAP77E*</t>
  </si>
  <si>
    <t>P1K</t>
  </si>
  <si>
    <t>SEM Réparation des OA des voies métropolitaines - lot 2 Ondaine et Plaine</t>
  </si>
  <si>
    <t>RAP1KI</t>
  </si>
  <si>
    <t>2 000 k€</t>
  </si>
  <si>
    <t>P. LEFRANC / M. VIRAT</t>
  </si>
  <si>
    <t>P1L</t>
  </si>
  <si>
    <t>CD63 Marché à BDC Lot 1</t>
  </si>
  <si>
    <t>RAP1LE</t>
  </si>
  <si>
    <t>RAP1LE*</t>
  </si>
  <si>
    <t>A.DURIF / J. POUPEAU</t>
  </si>
  <si>
    <t>P1M</t>
  </si>
  <si>
    <t>P1N</t>
  </si>
  <si>
    <t>CD63 Marché à BDC Lot 5</t>
  </si>
  <si>
    <t>CD63 Marché à BDC Lot 13</t>
  </si>
  <si>
    <t>RAP1ME</t>
  </si>
  <si>
    <t>RAP1ME*</t>
  </si>
  <si>
    <t>RAP1NE</t>
  </si>
  <si>
    <t>RAP1NE*</t>
  </si>
  <si>
    <t>à décider à quelle société on l'affecte</t>
  </si>
  <si>
    <t>P1O</t>
  </si>
  <si>
    <t>NGE Pont du Château Aménagements Extérieurs</t>
  </si>
  <si>
    <t>RAP1OE</t>
  </si>
  <si>
    <t>RAP1OE*</t>
  </si>
  <si>
    <t>J. POUPEAU</t>
  </si>
  <si>
    <t>Aménagement extérieur de la DRA Auvergne suite à reprise du bâtiment SEMONSAT</t>
  </si>
  <si>
    <t>P1P</t>
  </si>
  <si>
    <t>SEM Aménagement de l'Aire de Grand Passage d'Andrezieux-Bouthéon</t>
  </si>
  <si>
    <t>RAP1PD</t>
  </si>
  <si>
    <t>RAP1PD*</t>
  </si>
  <si>
    <t>231 k€</t>
  </si>
  <si>
    <t>P1Q</t>
  </si>
  <si>
    <t>SEM &amp; Ville - MS n° 1 / FURAN</t>
  </si>
  <si>
    <t>Marché à BDC sur 4 ans</t>
  </si>
  <si>
    <t>RAP1QD</t>
  </si>
  <si>
    <t>RAP1QD*</t>
  </si>
  <si>
    <t>P1R</t>
  </si>
  <si>
    <t>Divers Chantiers C. MAGNIN</t>
  </si>
  <si>
    <t>C.MAGNIN / P. MALEYRAT</t>
  </si>
  <si>
    <t>RAP1RE</t>
  </si>
  <si>
    <t>RAP1RE*</t>
  </si>
  <si>
    <t>SDIS de l'AIN - Tvx d'entretien, de réparation &amp; d'aménagement du patrimoine - Lot 1</t>
  </si>
  <si>
    <t>P1S</t>
  </si>
  <si>
    <t>DYNACITE Création de 9 logements et parking - 8 &amp; 10 Av. J. JAURES à Oyonnax</t>
  </si>
  <si>
    <t>RAP1SA</t>
  </si>
  <si>
    <t>RAP1SA*</t>
  </si>
  <si>
    <t>P1T</t>
  </si>
  <si>
    <t>SEM  - MS n° 6 / GIER</t>
  </si>
  <si>
    <t>RAP1TD</t>
  </si>
  <si>
    <t>RAP1TD*</t>
  </si>
  <si>
    <t>LISTES DES AFFAIRES R.A OUVERTES sur 2026</t>
  </si>
  <si>
    <t>Q00</t>
  </si>
  <si>
    <t>TERNAY A7 - Remplacement garde corps</t>
  </si>
  <si>
    <t>2025-29-00</t>
  </si>
  <si>
    <t>Compte unique GUINTOLI</t>
  </si>
  <si>
    <t>RAQ00C</t>
  </si>
  <si>
    <t>RAQ00C*</t>
  </si>
  <si>
    <t>MOA</t>
  </si>
  <si>
    <t>Cté communes Pays de l'Ozon</t>
  </si>
  <si>
    <t>P. MUNOS / Y. BERCHARD</t>
  </si>
  <si>
    <t>Q01</t>
  </si>
  <si>
    <t>APRR A6 PI432 Remise à niveau</t>
  </si>
  <si>
    <t>NGE GC/GLI/NGE FOND.</t>
  </si>
  <si>
    <t>Consult. BPC002639</t>
  </si>
  <si>
    <t>2 740 K€</t>
  </si>
  <si>
    <t>APRR Jonage</t>
  </si>
  <si>
    <t>L. GRAND / M. MEHATS</t>
  </si>
  <si>
    <t>Q02</t>
  </si>
  <si>
    <t>VILLEURBANNE - projet ACI Lot 1 VRD</t>
  </si>
  <si>
    <t>GLI / EHTP / NGE Transitions</t>
  </si>
  <si>
    <t>Métropole de Lyon</t>
  </si>
  <si>
    <t>Q03</t>
  </si>
  <si>
    <t>Plateforme GC de VEYRE-MONTON 2026</t>
  </si>
  <si>
    <t>RAQ03I</t>
  </si>
  <si>
    <t>H. PEREIRA GOMES / B. RATHIER</t>
  </si>
  <si>
    <t>Remplace le RAO1EI à compter du 1/01/2026</t>
  </si>
  <si>
    <t>Q04</t>
  </si>
  <si>
    <t>I-E-K</t>
  </si>
  <si>
    <t>AUBERT &amp; DUVAL- Réalisationdu BSR</t>
  </si>
  <si>
    <t>NGE GC / EHTP / GUINTOLI / SOC</t>
  </si>
  <si>
    <t>RAQ04E</t>
  </si>
  <si>
    <t>RAQ04K</t>
  </si>
  <si>
    <t>RAQ04E*</t>
  </si>
  <si>
    <t>RAQ04I</t>
  </si>
  <si>
    <t>AUBERT &amp; DUVAL</t>
  </si>
  <si>
    <t>V.COURNIL / B. RATHIER pour NGE GC)</t>
  </si>
  <si>
    <t>Réunion avec P. BAYARD pour définir le fonctionnement du groupement</t>
  </si>
  <si>
    <t>4 620 K€ (2 809 k€ pour NGE GC + 138 k€ pour EHTP + 792 k€ pour GUINTOLI + 881 k€ pour SOC)</t>
  </si>
  <si>
    <t>Q05</t>
  </si>
  <si>
    <t>EBREUIL Energie - Micro Centrale Hydraulique</t>
  </si>
  <si>
    <t>RAQ05I</t>
  </si>
  <si>
    <t>EBREUIL Energie</t>
  </si>
  <si>
    <t>NGE GC (avec GUINTOLI &amp; EHTP en STPE)</t>
  </si>
  <si>
    <t>Q06</t>
  </si>
  <si>
    <t>RAQ06K*</t>
  </si>
  <si>
    <t>RAQ06K</t>
  </si>
  <si>
    <t>S. HUET</t>
  </si>
  <si>
    <t>SMEA de la BASSE LIMAGNE</t>
  </si>
  <si>
    <t>SBL Travaux sectorisation divers à CULHAT</t>
  </si>
  <si>
    <t>2 commandes de 33 k€ &amp; 64 k€</t>
  </si>
  <si>
    <t>paiement comptes séparés</t>
  </si>
  <si>
    <t>Q07</t>
  </si>
  <si>
    <t>TP LYAUDET Chantiers Divers</t>
  </si>
  <si>
    <t>RAQ07L</t>
  </si>
  <si>
    <t>CD63 Accord cadre / Tvx courants de voirie et de petits investissement sur les RD - Lot 7 &amp; 8</t>
  </si>
  <si>
    <t>CD63 Accord cadre / Tvx courants de voirie et de petits investissement sur les RD - Lot 9</t>
  </si>
  <si>
    <t>CD63 Accord cadre / Tvx courants de voirie et de petits investissement sur les RD - Lot 10 &amp; 11</t>
  </si>
  <si>
    <t>COUDERT / RMCL / TP LYAUDET</t>
  </si>
  <si>
    <t>TP LYAUDET / MONTEIL / COUDERT</t>
  </si>
  <si>
    <t>Q08</t>
  </si>
  <si>
    <t>Q09</t>
  </si>
  <si>
    <t>Q10</t>
  </si>
  <si>
    <t>Q11</t>
  </si>
  <si>
    <t>RAQ08L</t>
  </si>
  <si>
    <t>RAQ09L</t>
  </si>
  <si>
    <t>RAQ10L</t>
  </si>
  <si>
    <t>RAQ11L</t>
  </si>
  <si>
    <t>49 k€</t>
  </si>
  <si>
    <t>BRGM</t>
  </si>
  <si>
    <t>BRGM - Quartie de la Descente à LAVAVEIX Les Mines</t>
  </si>
  <si>
    <t>RAQ10E</t>
  </si>
  <si>
    <t>Q12</t>
  </si>
  <si>
    <t>CAM - MS Aménagement de la rue Meyrand-des-Pradeaux à Clermont</t>
  </si>
  <si>
    <t>RAQ12E</t>
  </si>
  <si>
    <t>RAQ12E*</t>
  </si>
  <si>
    <t>CAM</t>
  </si>
  <si>
    <t>158 ke</t>
  </si>
  <si>
    <t>RAQ01C</t>
  </si>
  <si>
    <t>RAQ01C*</t>
  </si>
  <si>
    <t>Q13</t>
  </si>
  <si>
    <t>CD de l'AIN - MBDC RD Lot 3 - Haut-Bugey</t>
  </si>
  <si>
    <t>GUINTOLI / FAMY / VINCENT TP / SOCATRA</t>
  </si>
  <si>
    <t>RAQ13A</t>
  </si>
  <si>
    <t>RAQ13A*</t>
  </si>
  <si>
    <t>2 162 K€</t>
  </si>
  <si>
    <t>Q14</t>
  </si>
  <si>
    <t>ASF- A89/A72 Viaduc du Chadon</t>
  </si>
  <si>
    <t>RAQ14I</t>
  </si>
  <si>
    <t>ASF</t>
  </si>
  <si>
    <t>MS1 A89-2221</t>
  </si>
  <si>
    <t>Q15</t>
  </si>
  <si>
    <t>SNCF - Travaux Voie Issoire-Sarlièvre</t>
  </si>
  <si>
    <t>TSO / SAGES Rail / TSO Signalisation / GUINTOLI</t>
  </si>
  <si>
    <t>RAQ15E</t>
  </si>
  <si>
    <t>RAQ15E*</t>
  </si>
  <si>
    <t>SNCF Réseau</t>
  </si>
  <si>
    <t>356,6 ke / marché de 2 634,7 k€</t>
  </si>
  <si>
    <t>Q16</t>
  </si>
  <si>
    <t>Aménagement du lit et des berges de l’Ondaine au Chambon-Feugerolles pour la réduction du risque de crues – LOT B</t>
  </si>
  <si>
    <t>GUINTOLI / NGE Fondations / NGE GC  BERENGIER / TERIDEAL / GAGNE</t>
  </si>
  <si>
    <t>RAQ16D</t>
  </si>
  <si>
    <t>RAQ16D*</t>
  </si>
  <si>
    <t>RAQ16H</t>
  </si>
  <si>
    <t>Part GUINTOLI = 3 009,4 k€</t>
  </si>
  <si>
    <t>Q17</t>
  </si>
  <si>
    <t>RAQ17D</t>
  </si>
  <si>
    <t>RAQ17D*</t>
  </si>
  <si>
    <t>525,75 k€</t>
  </si>
  <si>
    <t>Q18</t>
  </si>
  <si>
    <t>NGE GC L-R Préfabrication Voussoirs BFUP du PS8 / RD68 St Gely du Fesc (LRPG80</t>
  </si>
  <si>
    <t>RAQ18I</t>
  </si>
  <si>
    <t>NGE GC L-R (PPI)</t>
  </si>
  <si>
    <t>Pas de facturation clients possible (PPI)</t>
  </si>
  <si>
    <t>525,656 k€</t>
  </si>
  <si>
    <t>Q19</t>
  </si>
  <si>
    <t>NUC-ENDEL Démantèlement de la cuve du PTC et du solde de la zone 2 sur le site EDF de CREYS-MALVILLE</t>
  </si>
  <si>
    <t>RAQ19A</t>
  </si>
  <si>
    <t>RAQ19A*</t>
  </si>
  <si>
    <t>R.BEIGNON - L. GARNIER</t>
  </si>
  <si>
    <t>Cde n° E03 CAST - 569</t>
  </si>
  <si>
    <t>ENDEL</t>
  </si>
  <si>
    <t>152,54 k€</t>
  </si>
  <si>
    <t>Q20</t>
  </si>
  <si>
    <t>Divers Chantiers M. DE MACEDO</t>
  </si>
  <si>
    <t>RAQ20E</t>
  </si>
  <si>
    <t>RAQ20E*</t>
  </si>
  <si>
    <t>M. DE MACEDO- B. JANISSET</t>
  </si>
  <si>
    <t>Q21</t>
  </si>
  <si>
    <t>AUBERT &amp; DUVAL- Projet Titane Béta (Four) Lot GC et bâtiment TV2</t>
  </si>
  <si>
    <t>RAQ21I</t>
  </si>
  <si>
    <t>NGE GC / BRIAND</t>
  </si>
  <si>
    <t>V. COURNIL / B. RATHIER</t>
  </si>
  <si>
    <t>P. MUNOS / R. DENEPOUX</t>
  </si>
  <si>
    <t>BNP 00011394073</t>
  </si>
  <si>
    <t>2026-14</t>
  </si>
  <si>
    <t>CA MONTCLUCON Communauté - Station de Pompage</t>
  </si>
  <si>
    <t>TP LYAUDET / SOC</t>
  </si>
  <si>
    <t>RAQ22L</t>
  </si>
  <si>
    <t>CA Montluçon Communauté</t>
  </si>
  <si>
    <t>85 ke</t>
  </si>
  <si>
    <t>MCH MOULIN DES GRAVES</t>
  </si>
  <si>
    <t>285 k€</t>
  </si>
  <si>
    <t>Q22</t>
  </si>
  <si>
    <t>Q23</t>
  </si>
  <si>
    <t>RAQ23I</t>
  </si>
  <si>
    <t>Q24</t>
  </si>
  <si>
    <t>SADE (m)/GLI Sous-traitant</t>
  </si>
  <si>
    <t>SEM ETRAT Collecteur asssain. Rive droite du Furan</t>
  </si>
  <si>
    <t>RAQ24D</t>
  </si>
  <si>
    <t>RAQ24D*</t>
  </si>
  <si>
    <t>2026-ASRI-005</t>
  </si>
  <si>
    <t>SEM ST ETIENNE</t>
  </si>
  <si>
    <t>Total marché : 1 535K€ - part GLI : 276 k€</t>
  </si>
  <si>
    <t>N. MORIZON/C.CUSSET</t>
  </si>
  <si>
    <t>PAIEMENT DIRECT MOA</t>
  </si>
  <si>
    <t>Q25</t>
  </si>
  <si>
    <t>DIVERS CHANTIERS REHA</t>
  </si>
  <si>
    <t>RAQ25I</t>
  </si>
  <si>
    <t xml:space="preserve">SEM VOLVIC Cuves EM Mise en Séparatif  EI-EP </t>
  </si>
  <si>
    <t>Q26</t>
  </si>
  <si>
    <t>RAQ26K*</t>
  </si>
  <si>
    <t>RAQ26K</t>
  </si>
  <si>
    <t>329 k€</t>
  </si>
  <si>
    <t>SEM VOLVIC</t>
  </si>
  <si>
    <t>Q27</t>
  </si>
  <si>
    <t>Divers ROMAGNAT 2026</t>
  </si>
  <si>
    <t>RAQ27E</t>
  </si>
  <si>
    <t>RAQ27E*</t>
  </si>
  <si>
    <t>Q28</t>
  </si>
  <si>
    <t>Syndicat d'Eau Potable Bresse Dombes Saône - Programme 2026 de renouvellement et de renforcement du réseau AEP / Montmerle et environs</t>
  </si>
  <si>
    <t>RAQ28J*</t>
  </si>
  <si>
    <t>RAQ28J</t>
  </si>
  <si>
    <t>D. GAZE / N. DINET</t>
  </si>
  <si>
    <t>Syndicat d'Eau Potable Bresse Dombes Saône</t>
  </si>
  <si>
    <t>N° SIRET MOA pour Chorus : 200 086 0353 00022 (Imputation Budgétaire Compte 2315)</t>
  </si>
  <si>
    <t>262,77 k€</t>
  </si>
  <si>
    <t>SADE Travaux Divers</t>
  </si>
  <si>
    <t>Q29</t>
  </si>
  <si>
    <t>RAQ29D</t>
  </si>
  <si>
    <t>RAQ29D*</t>
  </si>
  <si>
    <t>Q30</t>
  </si>
  <si>
    <t>Vienne-Condrieu Aménagement Boulevard du Rhône (RD1407) - Lot 1</t>
  </si>
  <si>
    <t>RAQ30C</t>
  </si>
  <si>
    <t>RAQ30C*</t>
  </si>
  <si>
    <t>3 564,4 k€</t>
  </si>
  <si>
    <t>Q31</t>
  </si>
  <si>
    <t>CC Monts du Lyonnais - Accord Cadre / Tvx de Voirie 2026-2029 Lots 1 &amp; 2</t>
  </si>
  <si>
    <t>MGB TP / GUINTOLI / STAL TP</t>
  </si>
  <si>
    <t>RAQ31D</t>
  </si>
  <si>
    <t>RAQ31D*</t>
  </si>
  <si>
    <t>25AAA36L1 &amp; 25AAA36L2</t>
  </si>
  <si>
    <t>C.C. des Monts du Lyonnais</t>
  </si>
  <si>
    <t>Marché de 12 mois renouvelables 3 fois</t>
  </si>
  <si>
    <t>Q32</t>
  </si>
  <si>
    <t>Divers Tvx Neuf GC 2026</t>
  </si>
  <si>
    <t>RAQ32I</t>
  </si>
  <si>
    <t>APRR A432-Réfection des chausssées du PR0 à 12 sesn 1 &amp; 2 et des bifurcations A46/A432 et A432/A42</t>
  </si>
  <si>
    <t>NGE ROUTES (Agence Mobile et RA LYON) / RMF TP</t>
  </si>
  <si>
    <t>RAQ33C*</t>
  </si>
  <si>
    <t>RAQ33C</t>
  </si>
  <si>
    <t>D. MARQUES / J. PEYRICAL</t>
  </si>
  <si>
    <t>60 à 65 000 T d'enrobés / 6 semaines de tvx en Juillet-Août 2026 +  6 semaines de tvx en Juillet-Août 2027 / Tvx de nuit</t>
  </si>
  <si>
    <t>APRR (Moe = SETEC)</t>
  </si>
  <si>
    <t>Q33</t>
  </si>
  <si>
    <t>80% NGE ROUTES (à répartir entre Agence Mobile et RA) / 20% RMF</t>
  </si>
  <si>
    <t>Q34</t>
  </si>
  <si>
    <t>SYTRAL MBDC - Tx préparation et accompagnement</t>
  </si>
  <si>
    <t>MDTP(m)/CHAZAL/COIRO/GUINTOLI/LNP</t>
  </si>
  <si>
    <t>RAQ34C</t>
  </si>
  <si>
    <t>RAQ34C*</t>
  </si>
  <si>
    <t>25M079</t>
  </si>
  <si>
    <t>SYTRAL Mobilités/EGIS RAIL</t>
  </si>
  <si>
    <t>AC sur 3 ans reconductible et révisable</t>
  </si>
  <si>
    <t>J.PEYRICAL / V. BACOT</t>
  </si>
  <si>
    <t>P.MUNOS / E.JEAN VICTOR</t>
  </si>
  <si>
    <t>Q35</t>
  </si>
  <si>
    <t>LMH BRON ZAC Terrasses phase 2 - Lot 11</t>
  </si>
  <si>
    <t>RAQ35C</t>
  </si>
  <si>
    <t>RAQ35C*</t>
  </si>
  <si>
    <t>Q36</t>
  </si>
  <si>
    <t>L-A</t>
  </si>
  <si>
    <t>RAQ36A</t>
  </si>
  <si>
    <t>RAQ36A*</t>
  </si>
  <si>
    <t>RAQ36L</t>
  </si>
  <si>
    <t>Syndicat du Haut-Rhône : Evacuation de la décharge d el'ancienne UIOM de PEYRIEU (Murs et Géligneux)</t>
  </si>
  <si>
    <t>1 398,45 k€</t>
  </si>
  <si>
    <t>Y.PERRY / N.SEPCHAT + M.DOS SANTOS / N.DINET</t>
  </si>
  <si>
    <t>Q37</t>
  </si>
  <si>
    <t>CAM - A/C Entretien Voirie ed l'espace public et Tvx divers - Lot 5 ZAE sur plusieurs communes</t>
  </si>
  <si>
    <t>GUINTOLI / EIFFAGE/ NGE ROUTES</t>
  </si>
  <si>
    <t>26-25013-05</t>
  </si>
  <si>
    <t>CLERMONT Auvergne Métropole</t>
  </si>
  <si>
    <t>RAQ37E</t>
  </si>
  <si>
    <t>RAQ37E*</t>
  </si>
  <si>
    <t>Total 2 000 k€ =&gt; 800 k€ pour GUINTOLI + 200 k€ pour NGE ROUTES (+1000 k€ pour EIFFAGE)</t>
  </si>
  <si>
    <t>Q38</t>
  </si>
  <si>
    <t>SYSEG - A/C Tvx d'Assainissement et Eaux Pluvilales</t>
  </si>
  <si>
    <t>RAQ38J*</t>
  </si>
  <si>
    <t>RAQ38J</t>
  </si>
  <si>
    <t>SYSEG</t>
  </si>
  <si>
    <t>Max 800K€/an</t>
  </si>
  <si>
    <t>COMPTE UNIQUE EHTP</t>
  </si>
  <si>
    <t>LMH/ BASE-SCE</t>
  </si>
  <si>
    <t>AC de 72 mois - Prix révisables TP01</t>
  </si>
  <si>
    <t>Q39</t>
  </si>
  <si>
    <t>CAM MS Lot1 Avenue Centrale LE CENDRE</t>
  </si>
  <si>
    <t>RAQ39K*</t>
  </si>
  <si>
    <t>RAQ39K</t>
  </si>
  <si>
    <t>L. FERREIRA / F. MARQUIER</t>
  </si>
  <si>
    <t>263 k€</t>
  </si>
  <si>
    <t>Q40</t>
  </si>
  <si>
    <t>SEM - ROCHE LA MOLIERE Aménagement rue V. HUGO &amp; parking du Château</t>
  </si>
  <si>
    <t>RAQ40D</t>
  </si>
  <si>
    <t>RAQ40D*</t>
  </si>
  <si>
    <t>RAQ40H</t>
  </si>
  <si>
    <t>L.GRAND</t>
  </si>
  <si>
    <t>2025-ACT-073</t>
  </si>
  <si>
    <t>SEM</t>
  </si>
  <si>
    <t>210 k€</t>
  </si>
  <si>
    <t>SCI BAROLO à BAS EN BASSET - Construction d'un atelier de maintenance mécanique P.L. &amp; aménagement d'une plateforme de stationnement pour autobus</t>
  </si>
  <si>
    <t>Révisables TP02</t>
  </si>
  <si>
    <t>M26-029</t>
  </si>
  <si>
    <t>Mini 150 K€ / Maxi 6 000 K€</t>
  </si>
  <si>
    <t>AC multi-attributaires</t>
  </si>
  <si>
    <t>RAP1KD</t>
  </si>
  <si>
    <t>RAP1KD*</t>
  </si>
  <si>
    <r>
      <t xml:space="preserve">NGE GC </t>
    </r>
    <r>
      <rPr>
        <b/>
        <sz val="11"/>
        <color indexed="10"/>
        <rFont val="Arial"/>
        <family val="2"/>
      </rPr>
      <t>(avec GUINTOLI  en STPE ou STPD)</t>
    </r>
  </si>
  <si>
    <t>Q41</t>
  </si>
  <si>
    <t>SIAEP de la Plaine de RIOM - A.C.T 2026 MS n° 5 / BEAUREGARD-VENDON &amp; DAVAYAT</t>
  </si>
  <si>
    <t>RAQ41K*</t>
  </si>
  <si>
    <t>RAQ41K</t>
  </si>
  <si>
    <t>SIAEP PLAINE DE RIOM</t>
  </si>
  <si>
    <t>365,6 k€</t>
  </si>
  <si>
    <t>Q42</t>
  </si>
  <si>
    <t>Syndicat Mixte CELE - FIGEAC Tvc expérimentaux de résorption de décharges sauvages sur la bassin Célé - Lot Médian</t>
  </si>
  <si>
    <t>TP LYAUDET / BERENGIER</t>
  </si>
  <si>
    <t>RAQ42L</t>
  </si>
  <si>
    <t>RAQ42L*</t>
  </si>
  <si>
    <t>20_2025</t>
  </si>
  <si>
    <t>Pas de compte commun</t>
  </si>
  <si>
    <t>Marché de 172 k€ dont 2 k€ pour BERENGIER</t>
  </si>
  <si>
    <t>Q43</t>
  </si>
  <si>
    <t>RAQ43E</t>
  </si>
  <si>
    <t>RAQ43E*</t>
  </si>
  <si>
    <t>Divers DURIF 2026</t>
  </si>
  <si>
    <t>Q44</t>
  </si>
  <si>
    <t>PIM Réhabilitation d'une ancienne concession Citroen à CLERMONT FERRAND - VRD</t>
  </si>
  <si>
    <t>RAQ44L</t>
  </si>
  <si>
    <t>PIM Patricipation</t>
  </si>
  <si>
    <t>350 ke</t>
  </si>
  <si>
    <t>Q45</t>
  </si>
  <si>
    <t>CC Combrailles Sioule &amp; Morge - MBDC Voirie communautaire Lot 2 Secteur Ouest</t>
  </si>
  <si>
    <t>RAQ45L</t>
  </si>
  <si>
    <t>2025-11</t>
  </si>
  <si>
    <t>CC Combrailles Sioule &amp; Morge</t>
  </si>
  <si>
    <t>150 ke</t>
  </si>
  <si>
    <t>Q46</t>
  </si>
  <si>
    <t>Syndicat du Bois de l'Aumône - Création d'un pôle de valorisation, d'un espace économie circulaire et d'une recyclerie - Tvx Prépa</t>
  </si>
  <si>
    <t>RAQ46E</t>
  </si>
  <si>
    <t>RAQ46E*</t>
  </si>
  <si>
    <t>Syndicat du Bois de l'Aumône</t>
  </si>
  <si>
    <t>145 k€</t>
  </si>
  <si>
    <t>GUINTOLI / SOC / NGE ROUTES</t>
  </si>
  <si>
    <t>Q47</t>
  </si>
  <si>
    <t>D-H</t>
  </si>
  <si>
    <t>SEM - Chronobus M6+</t>
  </si>
  <si>
    <t>TSO CAT / NGE GC / GUINTOLI / NGE Fondations</t>
  </si>
  <si>
    <t>RAQ47D</t>
  </si>
  <si>
    <t>RAQ47D*</t>
  </si>
  <si>
    <t>RAQ47H</t>
  </si>
  <si>
    <t>ST ETIENNE Métropole</t>
  </si>
  <si>
    <t>25CRA117</t>
  </si>
  <si>
    <t>BNP 00011403094</t>
  </si>
  <si>
    <t>Vienne Condrieu Agglomération</t>
  </si>
  <si>
    <t>voir MDTP mandataire</t>
  </si>
  <si>
    <t>2025DA-T0080</t>
  </si>
  <si>
    <t>en attente RIB du siège</t>
  </si>
  <si>
    <t>marché signé par SVV</t>
  </si>
  <si>
    <t>BNP 00011401251</t>
  </si>
  <si>
    <t>Q48</t>
  </si>
  <si>
    <t>SYTRAL MBDC - Tx9 Travaux de Finitions d'Infra de VRD</t>
  </si>
  <si>
    <t>COIRO / MDTP / GUINTOLI</t>
  </si>
  <si>
    <t>RAQ48C</t>
  </si>
  <si>
    <t>RAQ48C*</t>
  </si>
  <si>
    <t>A. MONIN / P. MUNOS</t>
  </si>
  <si>
    <t>25M113</t>
  </si>
  <si>
    <t>SYTRAL Mobilités</t>
  </si>
  <si>
    <t>RAQ02H</t>
  </si>
  <si>
    <t>RAQ02C*</t>
  </si>
  <si>
    <t>RAQ02C</t>
  </si>
  <si>
    <t>Q49</t>
  </si>
  <si>
    <t>BACACIER / JORIS</t>
  </si>
  <si>
    <t>RAQ49I</t>
  </si>
  <si>
    <t>BACACIER &amp; JORIS (2 clients)</t>
  </si>
  <si>
    <t>Q50</t>
  </si>
  <si>
    <t>Université de CLERMONT - Rénovation de la station universitaire de BESSE</t>
  </si>
  <si>
    <t>RAQ50L</t>
  </si>
  <si>
    <t>2026DPIE006</t>
  </si>
  <si>
    <t>Université de CLERMONT</t>
  </si>
  <si>
    <t>169,6 k€</t>
  </si>
  <si>
    <t>Q51</t>
  </si>
  <si>
    <t>TEPSA Gestion des contrats voirie</t>
  </si>
  <si>
    <t>RAQ51C</t>
  </si>
  <si>
    <t>RAQ51C*</t>
  </si>
  <si>
    <t>B. DELAROCHE/R. DENEPOUX</t>
  </si>
  <si>
    <t>CDF E0043 2026 007449</t>
  </si>
  <si>
    <t>TEPSA</t>
  </si>
  <si>
    <t xml:space="preserve">GLI sous-traitant de SADE </t>
  </si>
  <si>
    <t>162 K€</t>
  </si>
  <si>
    <t>Q52</t>
  </si>
  <si>
    <t>SMTC Réfection du Viaduc des Carmes</t>
  </si>
  <si>
    <t>NGE GC / RCA Sud Ouest (Robert CHARTIER Application)</t>
  </si>
  <si>
    <t>RAQ52I</t>
  </si>
  <si>
    <t>290,6 k€ / Total de 324,2 k€</t>
  </si>
  <si>
    <t>SMTC</t>
  </si>
  <si>
    <t>A. ANGER / M. VIRAT</t>
  </si>
  <si>
    <t>M 26-13</t>
  </si>
  <si>
    <t>Q53</t>
  </si>
  <si>
    <t>LA TOUR D'AUVERGNE - Assainissement Route du Midio</t>
  </si>
  <si>
    <t>RAQ53L</t>
  </si>
  <si>
    <t>Mairie de La Tour d'Auvergne</t>
  </si>
  <si>
    <t>493,8 k€</t>
  </si>
  <si>
    <t>Q54</t>
  </si>
  <si>
    <t>AUBERT &amp; DUVAL - LAMA</t>
  </si>
  <si>
    <t>RAQ54I</t>
  </si>
  <si>
    <t>Cde 026300265</t>
  </si>
  <si>
    <t>Cde initiale de 87 500 € qui devrait être complétée par une autre de 586 k€</t>
  </si>
  <si>
    <t>Q55</t>
  </si>
  <si>
    <t>SNCF Réfection Dalots sur L785</t>
  </si>
  <si>
    <t>RAQ55E</t>
  </si>
  <si>
    <t>RAQ55E*</t>
  </si>
  <si>
    <t>RAQ55I</t>
  </si>
  <si>
    <t>SNCF</t>
  </si>
  <si>
    <t>D-I</t>
  </si>
  <si>
    <t>ROANNAISE de l'Eau - Réhab. Système d'endiguement de St Cyr de Favières</t>
  </si>
  <si>
    <t>SADE (m)/GUINTOLI/ NGE GC / TMF</t>
  </si>
  <si>
    <t>RAQ56D</t>
  </si>
  <si>
    <t>RAQ56D*</t>
  </si>
  <si>
    <t>RAQ56I</t>
  </si>
  <si>
    <t>n° 26007</t>
  </si>
  <si>
    <t xml:space="preserve">Roannaise de l'Eau </t>
  </si>
  <si>
    <t>590 k€ dont 305 k€ pour GUINTOLI &amp; 188 k€ pour NGE GC</t>
  </si>
  <si>
    <t>Q56</t>
  </si>
  <si>
    <t>Q57</t>
  </si>
  <si>
    <t>Centre Médical CEYRAT</t>
  </si>
  <si>
    <t>RAQ57L</t>
  </si>
  <si>
    <t>Q58</t>
  </si>
  <si>
    <t>SNCF M1 - Tvx sur Ouvrage en terre Boutiron et passage à niveau n° 1 &amp; 7</t>
  </si>
  <si>
    <t>GUINTOLI / SAGES Rail</t>
  </si>
  <si>
    <t>RAQ58E</t>
  </si>
  <si>
    <t>RAQ58E*</t>
  </si>
  <si>
    <t>2026CTC0556607</t>
  </si>
  <si>
    <t>SNCF Réseaux</t>
  </si>
  <si>
    <t>399,8 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</si>
</sst>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0\ &quot;€&quot;;[Red]\-#,##0\ &quot;€&quot;"/>
    <numFmt numFmtId="174" formatCode="00"/>
  </numFmts>
  <fonts count="124">
    <font>
      <sz val="10"/>
      <name val="Helv"/>
    </font>
    <font>
      <i/>
      <sz val="10"/>
      <name val="Helv"/>
    </font>
    <font>
      <b/>
      <i/>
      <sz val="10"/>
      <name val="Helv"/>
    </font>
    <font>
      <sz val="10"/>
      <name val="Arial"/>
      <family val="2"/>
    </font>
    <font>
      <b/>
      <sz val="12"/>
      <name val="Arial"/>
      <family val="2"/>
    </font>
    <font>
      <b/>
      <sz val="10"/>
      <name val="Arial"/>
      <family val="2"/>
    </font>
    <font>
      <sz val="8"/>
      <name val="Arial"/>
      <family val="2"/>
    </font>
    <font>
      <b/>
      <sz val="8"/>
      <name val="Arial"/>
      <family val="2"/>
    </font>
    <font>
      <b/>
      <sz val="12"/>
      <name val="CG Times (WN)"/>
    </font>
    <font>
      <sz val="12"/>
      <name val="Arial"/>
      <family val="2"/>
    </font>
    <font>
      <b/>
      <sz val="16"/>
      <name val="Arial"/>
      <family val="2"/>
    </font>
    <font>
      <b/>
      <sz val="10"/>
      <name val="Arial"/>
      <family val="2"/>
    </font>
    <font>
      <b/>
      <sz val="12"/>
      <name val="Arial"/>
      <family val="2"/>
    </font>
    <font>
      <b/>
      <sz val="9"/>
      <name val="CG Times"/>
      <family val="1"/>
    </font>
    <font>
      <sz val="14"/>
      <name val="Arial"/>
      <family val="2"/>
    </font>
    <font>
      <sz val="10"/>
      <color indexed="10"/>
      <name val="Arial"/>
      <family val="2"/>
    </font>
    <font>
      <b/>
      <sz val="10"/>
      <color indexed="10"/>
      <name val="Arial"/>
      <family val="2"/>
    </font>
    <font>
      <b/>
      <sz val="16"/>
      <color indexed="10"/>
      <name val="Arial"/>
      <family val="2"/>
    </font>
    <font>
      <sz val="14"/>
      <name val="Arial"/>
      <family val="2"/>
    </font>
    <font>
      <b/>
      <sz val="16"/>
      <color indexed="14"/>
      <name val="Arial"/>
      <family val="2"/>
    </font>
    <font>
      <b/>
      <sz val="14"/>
      <color indexed="56"/>
      <name val="Arial"/>
      <family val="2"/>
    </font>
    <font>
      <sz val="14"/>
      <name val="Helv"/>
    </font>
    <font>
      <sz val="8"/>
      <name val="Helv"/>
    </font>
    <font>
      <b/>
      <sz val="14"/>
      <name val="Arial"/>
      <family val="2"/>
    </font>
    <font>
      <sz val="10"/>
      <name val="Helv"/>
    </font>
    <font>
      <b/>
      <sz val="15"/>
      <name val="Arial"/>
      <family val="2"/>
    </font>
    <font>
      <b/>
      <sz val="15"/>
      <color indexed="10"/>
      <name val="Arial"/>
      <family val="2"/>
    </font>
    <font>
      <b/>
      <sz val="16"/>
      <color indexed="50"/>
      <name val="Arial"/>
      <family val="2"/>
    </font>
    <font>
      <b/>
      <sz val="15"/>
      <color indexed="50"/>
      <name val="Arial"/>
      <family val="2"/>
    </font>
    <font>
      <sz val="10"/>
      <color indexed="50"/>
      <name val="Arial"/>
      <family val="2"/>
    </font>
    <font>
      <sz val="14"/>
      <color indexed="50"/>
      <name val="Arial"/>
      <family val="2"/>
    </font>
    <font>
      <b/>
      <sz val="12"/>
      <color indexed="50"/>
      <name val="Arial"/>
      <family val="2"/>
    </font>
    <font>
      <b/>
      <sz val="10"/>
      <color indexed="50"/>
      <name val="Arial"/>
      <family val="2"/>
    </font>
    <font>
      <b/>
      <sz val="16"/>
      <color indexed="50"/>
      <name val="Arial"/>
      <family val="2"/>
    </font>
    <font>
      <b/>
      <sz val="14"/>
      <color indexed="50"/>
      <name val="Arial"/>
      <family val="2"/>
    </font>
    <font>
      <sz val="8"/>
      <color indexed="50"/>
      <name val="Arial"/>
      <family val="2"/>
    </font>
    <font>
      <b/>
      <sz val="16"/>
      <color indexed="48"/>
      <name val="Arial"/>
      <family val="2"/>
    </font>
    <font>
      <sz val="11"/>
      <name val="Arial"/>
      <family val="2"/>
    </font>
    <font>
      <sz val="11"/>
      <color indexed="10"/>
      <name val="Arial"/>
      <family val="2"/>
    </font>
    <font>
      <sz val="11"/>
      <color indexed="48"/>
      <name val="Arial"/>
      <family val="2"/>
    </font>
    <font>
      <sz val="16"/>
      <name val="Arial"/>
      <family val="2"/>
    </font>
    <font>
      <sz val="15"/>
      <name val="Arial"/>
      <family val="2"/>
    </font>
    <font>
      <sz val="16"/>
      <color indexed="10"/>
      <name val="Arial"/>
      <family val="2"/>
    </font>
    <font>
      <b/>
      <u/>
      <sz val="14"/>
      <color indexed="8"/>
      <name val="Arial"/>
      <family val="2"/>
    </font>
    <font>
      <b/>
      <sz val="14"/>
      <color indexed="8"/>
      <name val="Arial"/>
      <family val="2"/>
    </font>
    <font>
      <b/>
      <u/>
      <sz val="14"/>
      <name val="Arial"/>
      <family val="2"/>
    </font>
    <font>
      <b/>
      <sz val="14"/>
      <color indexed="10"/>
      <name val="Arial"/>
      <family val="2"/>
    </font>
    <font>
      <b/>
      <sz val="14"/>
      <color indexed="8"/>
      <name val="Arial"/>
      <family val="2"/>
    </font>
    <font>
      <i/>
      <sz val="15"/>
      <color indexed="8"/>
      <name val="Arial"/>
      <family val="2"/>
    </font>
    <font>
      <b/>
      <i/>
      <sz val="10"/>
      <name val="Arial"/>
      <family val="2"/>
    </font>
    <font>
      <b/>
      <sz val="16"/>
      <name val="CG Times (WN)"/>
    </font>
    <font>
      <b/>
      <sz val="8"/>
      <color indexed="8"/>
      <name val="Arial"/>
      <family val="2"/>
    </font>
    <font>
      <b/>
      <sz val="11"/>
      <color indexed="8"/>
      <name val="Arial"/>
      <family val="2"/>
    </font>
    <font>
      <b/>
      <i/>
      <sz val="8"/>
      <name val="Arial"/>
      <family val="2"/>
    </font>
    <font>
      <b/>
      <sz val="11"/>
      <name val="Arial"/>
      <family val="2"/>
    </font>
    <font>
      <b/>
      <sz val="12"/>
      <color indexed="8"/>
      <name val="Arial"/>
      <family val="2"/>
    </font>
    <font>
      <b/>
      <sz val="9"/>
      <name val="Arial"/>
      <family val="2"/>
    </font>
    <font>
      <i/>
      <sz val="10"/>
      <name val="Arial"/>
      <family val="2"/>
    </font>
    <font>
      <b/>
      <i/>
      <u/>
      <sz val="10"/>
      <name val="Helv"/>
    </font>
    <font>
      <i/>
      <sz val="12"/>
      <name val="Arial"/>
      <family val="2"/>
    </font>
    <font>
      <b/>
      <i/>
      <sz val="14"/>
      <name val="Arial"/>
      <family val="2"/>
    </font>
    <font>
      <b/>
      <i/>
      <u/>
      <sz val="8"/>
      <name val="Arial"/>
      <family val="2"/>
    </font>
    <font>
      <b/>
      <i/>
      <sz val="12"/>
      <name val="Arial"/>
      <family val="2"/>
    </font>
    <font>
      <sz val="9"/>
      <color indexed="81"/>
      <name val="Tahoma"/>
      <family val="2"/>
    </font>
    <font>
      <b/>
      <sz val="9"/>
      <color indexed="81"/>
      <name val="Tahoma"/>
      <family val="2"/>
    </font>
    <font>
      <b/>
      <i/>
      <u/>
      <sz val="12"/>
      <name val="Arial"/>
      <family val="2"/>
    </font>
    <font>
      <b/>
      <sz val="12"/>
      <name val="Garamond"/>
      <family val="1"/>
    </font>
    <font>
      <b/>
      <sz val="11"/>
      <name val="Garamond"/>
      <family val="1"/>
    </font>
    <font>
      <strike/>
      <sz val="12"/>
      <name val="Arial"/>
      <family val="2"/>
    </font>
    <font>
      <b/>
      <strike/>
      <sz val="14"/>
      <name val="Arial"/>
      <family val="2"/>
    </font>
    <font>
      <b/>
      <strike/>
      <sz val="12"/>
      <name val="Arial"/>
      <family val="2"/>
    </font>
    <font>
      <sz val="22"/>
      <name val="Arial"/>
      <family val="2"/>
    </font>
    <font>
      <sz val="22"/>
      <name val="Helv"/>
    </font>
    <font>
      <i/>
      <sz val="9"/>
      <color indexed="8"/>
      <name val="Arial"/>
      <family val="2"/>
    </font>
    <font>
      <i/>
      <sz val="15"/>
      <name val="Arial"/>
      <family val="2"/>
    </font>
    <font>
      <i/>
      <sz val="9"/>
      <name val="Arial"/>
      <family val="2"/>
    </font>
    <font>
      <b/>
      <sz val="14"/>
      <color indexed="10"/>
      <name val="Arial"/>
      <family val="2"/>
    </font>
    <font>
      <sz val="9"/>
      <color indexed="81"/>
      <name val="Tahoma"/>
      <family val="2"/>
    </font>
    <font>
      <b/>
      <sz val="9"/>
      <color indexed="81"/>
      <name val="Tahoma"/>
      <family val="2"/>
    </font>
    <font>
      <b/>
      <u/>
      <sz val="12"/>
      <name val="Arial"/>
      <family val="2"/>
    </font>
    <font>
      <i/>
      <sz val="14"/>
      <name val="Arial"/>
      <family val="2"/>
    </font>
    <font>
      <b/>
      <sz val="12"/>
      <color indexed="10"/>
      <name val="Arial"/>
      <family val="2"/>
    </font>
    <font>
      <sz val="9"/>
      <name val="Arial"/>
      <family val="2"/>
    </font>
    <font>
      <b/>
      <sz val="12"/>
      <color indexed="10"/>
      <name val="Arial"/>
      <family val="2"/>
    </font>
    <font>
      <sz val="16"/>
      <name val="Aptos"/>
      <family val="2"/>
    </font>
    <font>
      <b/>
      <sz val="16"/>
      <name val="Aptos"/>
      <family val="2"/>
    </font>
    <font>
      <b/>
      <sz val="11"/>
      <color indexed="10"/>
      <name val="Arial"/>
      <family val="2"/>
    </font>
    <font>
      <sz val="11"/>
      <color theme="1"/>
      <name val="Calibri"/>
      <family val="2"/>
      <scheme val="minor"/>
    </font>
    <font>
      <sz val="12"/>
      <color rgb="FFFF0000"/>
      <name val="Arial"/>
      <family val="2"/>
    </font>
    <font>
      <b/>
      <sz val="14"/>
      <color rgb="FFFF0000"/>
      <name val="Arial"/>
      <family val="2"/>
    </font>
    <font>
      <b/>
      <sz val="12"/>
      <color rgb="FFFF0000"/>
      <name val="Arial"/>
      <family val="2"/>
    </font>
    <font>
      <i/>
      <sz val="12"/>
      <color rgb="FFFF0000"/>
      <name val="Arial"/>
      <family val="2"/>
    </font>
    <font>
      <b/>
      <i/>
      <sz val="14"/>
      <color rgb="FFFF0000"/>
      <name val="Arial"/>
      <family val="2"/>
    </font>
    <font>
      <b/>
      <i/>
      <sz val="12"/>
      <color rgb="FFFF0000"/>
      <name val="Arial"/>
      <family val="2"/>
    </font>
    <font>
      <b/>
      <sz val="11"/>
      <color rgb="FFFF0000"/>
      <name val="Arial"/>
      <family val="2"/>
    </font>
    <font>
      <b/>
      <sz val="14"/>
      <color theme="1"/>
      <name val="Arial"/>
      <family val="2"/>
    </font>
    <font>
      <b/>
      <sz val="11"/>
      <color theme="1"/>
      <name val="Arial"/>
      <family val="2"/>
    </font>
    <font>
      <sz val="12"/>
      <color theme="1"/>
      <name val="Arial"/>
      <family val="2"/>
    </font>
    <font>
      <b/>
      <i/>
      <u/>
      <sz val="12"/>
      <color rgb="FFFF0000"/>
      <name val="Arial"/>
      <family val="2"/>
    </font>
    <font>
      <b/>
      <i/>
      <u/>
      <sz val="9"/>
      <color rgb="FFFF0000"/>
      <name val="Arial"/>
      <family val="2"/>
    </font>
    <font>
      <sz val="10"/>
      <color rgb="FFFF0000"/>
      <name val="Helv"/>
    </font>
    <font>
      <b/>
      <i/>
      <sz val="10"/>
      <color rgb="FFFF0000"/>
      <name val="Arial"/>
      <family val="2"/>
    </font>
    <font>
      <b/>
      <strike/>
      <sz val="14"/>
      <color rgb="FFFF0000"/>
      <name val="Arial"/>
      <family val="2"/>
    </font>
    <font>
      <b/>
      <strike/>
      <sz val="12"/>
      <color rgb="FFFF0000"/>
      <name val="Arial"/>
      <family val="2"/>
    </font>
    <font>
      <b/>
      <i/>
      <strike/>
      <sz val="10"/>
      <color rgb="FFFF0000"/>
      <name val="Arial"/>
      <family val="2"/>
    </font>
    <font>
      <i/>
      <sz val="10"/>
      <color rgb="FFFF0000"/>
      <name val="Helv"/>
    </font>
    <font>
      <b/>
      <i/>
      <u/>
      <sz val="10"/>
      <color theme="0"/>
      <name val="Helv"/>
    </font>
    <font>
      <b/>
      <sz val="14"/>
      <color rgb="FF0070C0"/>
      <name val="Arial"/>
      <family val="2"/>
    </font>
    <font>
      <b/>
      <sz val="12"/>
      <color rgb="FF0070C0"/>
      <name val="Arial"/>
      <family val="2"/>
    </font>
    <font>
      <i/>
      <sz val="10"/>
      <color rgb="FF0070C0"/>
      <name val="Helv"/>
    </font>
    <font>
      <i/>
      <sz val="12"/>
      <color rgb="FF0070C0"/>
      <name val="Arial"/>
      <family val="2"/>
    </font>
    <font>
      <sz val="10"/>
      <color rgb="FF0070C0"/>
      <name val="Helv"/>
    </font>
    <font>
      <i/>
      <sz val="10"/>
      <color rgb="FFFF0000"/>
      <name val="Arial"/>
      <family val="2"/>
    </font>
    <font>
      <strike/>
      <sz val="10"/>
      <color rgb="FFFF0000"/>
      <name val="Cambria"/>
      <family val="1"/>
    </font>
    <font>
      <b/>
      <strike/>
      <sz val="14"/>
      <color rgb="FFFF0000"/>
      <name val="Cambria"/>
      <family val="1"/>
    </font>
    <font>
      <b/>
      <strike/>
      <sz val="12"/>
      <color rgb="FFFF0000"/>
      <name val="Cambria"/>
      <family val="1"/>
    </font>
    <font>
      <i/>
      <sz val="9"/>
      <color rgb="FFFF0000"/>
      <name val="Arial"/>
      <family val="2"/>
    </font>
    <font>
      <i/>
      <sz val="15"/>
      <color theme="0"/>
      <name val="Arial"/>
      <family val="2"/>
    </font>
    <font>
      <b/>
      <sz val="12"/>
      <color theme="0"/>
      <name val="Arial"/>
      <family val="2"/>
    </font>
    <font>
      <b/>
      <i/>
      <sz val="12"/>
      <color theme="0"/>
      <name val="Arial"/>
      <family val="2"/>
    </font>
    <font>
      <sz val="10"/>
      <color rgb="FFFF0000"/>
      <name val="Arial"/>
      <family val="2"/>
    </font>
    <font>
      <b/>
      <sz val="11"/>
      <color theme="0"/>
      <name val="Arial"/>
      <family val="2"/>
    </font>
    <font>
      <b/>
      <i/>
      <sz val="10"/>
      <color rgb="FFFF0000"/>
      <name val="Helv"/>
    </font>
    <font>
      <b/>
      <sz val="16"/>
      <color theme="3"/>
      <name val="Aptos"/>
      <family val="2"/>
    </font>
  </fonts>
  <fills count="14">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indexed="55"/>
        <bgColor indexed="64"/>
      </patternFill>
    </fill>
    <fill>
      <patternFill patternType="solid">
        <fgColor indexed="47"/>
        <bgColor indexed="64"/>
      </patternFill>
    </fill>
    <fill>
      <patternFill patternType="solid">
        <fgColor indexed="47"/>
        <bgColor indexed="22"/>
      </patternFill>
    </fill>
    <fill>
      <patternFill patternType="solid">
        <fgColor theme="0" tint="-0.249977111117893"/>
        <bgColor indexed="64"/>
      </patternFill>
    </fill>
    <fill>
      <patternFill patternType="solid">
        <fgColor rgb="FFFFFF00"/>
        <bgColor indexed="64"/>
      </patternFill>
    </fill>
    <fill>
      <patternFill patternType="solid">
        <fgColor theme="0"/>
        <bgColor indexed="64"/>
      </patternFill>
    </fill>
    <fill>
      <patternFill patternType="solid">
        <fgColor theme="1" tint="0.249977111117893"/>
        <bgColor indexed="64"/>
      </patternFill>
    </fill>
    <fill>
      <patternFill patternType="solid">
        <fgColor rgb="FF0070C0"/>
        <bgColor indexed="64"/>
      </patternFill>
    </fill>
    <fill>
      <patternFill patternType="solid">
        <fgColor theme="3" tint="0.79998168889431442"/>
        <bgColor indexed="64"/>
      </patternFill>
    </fill>
    <fill>
      <patternFill patternType="solid">
        <fgColor theme="0" tint="-0.14999847407452621"/>
        <bgColor indexed="64"/>
      </patternFill>
    </fill>
  </fills>
  <borders count="141">
    <border>
      <left/>
      <right/>
      <top/>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
      <left style="double">
        <color indexed="64"/>
      </left>
      <right style="thin">
        <color indexed="64"/>
      </right>
      <top style="hair">
        <color indexed="64"/>
      </top>
      <bottom style="hair">
        <color indexed="64"/>
      </bottom>
      <diagonal/>
    </border>
    <border>
      <left style="double">
        <color indexed="64"/>
      </left>
      <right style="thin">
        <color indexed="64"/>
      </right>
      <top style="hair">
        <color indexed="64"/>
      </top>
      <bottom/>
      <diagonal/>
    </border>
    <border>
      <left/>
      <right style="thin">
        <color indexed="64"/>
      </right>
      <top/>
      <bottom style="hair">
        <color indexed="64"/>
      </bottom>
      <diagonal/>
    </border>
    <border>
      <left style="thin">
        <color indexed="64"/>
      </left>
      <right style="thin">
        <color indexed="64"/>
      </right>
      <top style="double">
        <color indexed="64"/>
      </top>
      <bottom style="double">
        <color indexed="64"/>
      </bottom>
      <diagonal/>
    </border>
    <border>
      <left/>
      <right/>
      <top style="double">
        <color indexed="64"/>
      </top>
      <bottom style="double">
        <color indexed="64"/>
      </bottom>
      <diagonal/>
    </border>
    <border>
      <left/>
      <right style="thin">
        <color indexed="64"/>
      </right>
      <top style="double">
        <color indexed="64"/>
      </top>
      <bottom style="double">
        <color indexed="64"/>
      </bottom>
      <diagonal/>
    </border>
    <border>
      <left/>
      <right style="thin">
        <color indexed="64"/>
      </right>
      <top style="hair">
        <color indexed="64"/>
      </top>
      <bottom/>
      <diagonal/>
    </border>
    <border>
      <left style="double">
        <color indexed="64"/>
      </left>
      <right/>
      <top style="double">
        <color indexed="64"/>
      </top>
      <bottom style="double">
        <color indexed="64"/>
      </bottom>
      <diagonal/>
    </border>
    <border>
      <left style="double">
        <color indexed="64"/>
      </left>
      <right style="double">
        <color indexed="64"/>
      </right>
      <top style="double">
        <color indexed="64"/>
      </top>
      <bottom/>
      <diagonal/>
    </border>
    <border>
      <left/>
      <right/>
      <top/>
      <bottom style="double">
        <color indexed="64"/>
      </bottom>
      <diagonal/>
    </border>
    <border>
      <left style="thin">
        <color indexed="64"/>
      </left>
      <right/>
      <top style="double">
        <color indexed="64"/>
      </top>
      <bottom style="double">
        <color indexed="64"/>
      </bottom>
      <diagonal/>
    </border>
    <border>
      <left/>
      <right style="thin">
        <color indexed="64"/>
      </right>
      <top/>
      <bottom/>
      <diagonal/>
    </border>
    <border>
      <left style="thick">
        <color indexed="64"/>
      </left>
      <right style="thick">
        <color indexed="64"/>
      </right>
      <top style="thick">
        <color indexed="64"/>
      </top>
      <bottom style="thick">
        <color indexed="64"/>
      </bottom>
      <diagonal/>
    </border>
    <border>
      <left style="thick">
        <color indexed="64"/>
      </left>
      <right style="thick">
        <color indexed="64"/>
      </right>
      <top style="thick">
        <color indexed="64"/>
      </top>
      <bottom/>
      <diagonal/>
    </border>
    <border>
      <left style="double">
        <color indexed="64"/>
      </left>
      <right style="thin">
        <color indexed="64"/>
      </right>
      <top/>
      <bottom/>
      <diagonal/>
    </border>
    <border>
      <left style="double">
        <color indexed="64"/>
      </left>
      <right/>
      <top style="hair">
        <color indexed="64"/>
      </top>
      <bottom style="hair">
        <color indexed="64"/>
      </bottom>
      <diagonal/>
    </border>
    <border>
      <left style="thin">
        <color indexed="64"/>
      </left>
      <right style="thin">
        <color indexed="64"/>
      </right>
      <top style="thick">
        <color indexed="64"/>
      </top>
      <bottom style="hair">
        <color indexed="64"/>
      </bottom>
      <diagonal/>
    </border>
    <border>
      <left style="double">
        <color indexed="64"/>
      </left>
      <right/>
      <top style="hair">
        <color indexed="64"/>
      </top>
      <bottom/>
      <diagonal/>
    </border>
    <border>
      <left style="thin">
        <color indexed="64"/>
      </left>
      <right/>
      <top/>
      <bottom style="hair">
        <color indexed="64"/>
      </bottom>
      <diagonal/>
    </border>
    <border>
      <left style="double">
        <color indexed="64"/>
      </left>
      <right style="double">
        <color indexed="64"/>
      </right>
      <top/>
      <bottom style="double">
        <color indexed="64"/>
      </bottom>
      <diagonal/>
    </border>
    <border>
      <left style="thin">
        <color indexed="64"/>
      </left>
      <right/>
      <top style="hair">
        <color indexed="64"/>
      </top>
      <bottom/>
      <diagonal/>
    </border>
    <border>
      <left style="thin">
        <color indexed="64"/>
      </left>
      <right style="thin">
        <color indexed="64"/>
      </right>
      <top/>
      <bottom/>
      <diagonal/>
    </border>
    <border>
      <left/>
      <right style="double">
        <color indexed="64"/>
      </right>
      <top style="double">
        <color indexed="64"/>
      </top>
      <bottom style="double">
        <color indexed="64"/>
      </bottom>
      <diagonal/>
    </border>
    <border>
      <left style="thin">
        <color indexed="64"/>
      </left>
      <right style="thin">
        <color indexed="64"/>
      </right>
      <top style="thin">
        <color indexed="64"/>
      </top>
      <bottom style="thin">
        <color indexed="64"/>
      </bottom>
      <diagonal/>
    </border>
    <border>
      <left style="double">
        <color indexed="64"/>
      </left>
      <right/>
      <top style="thin">
        <color indexed="64"/>
      </top>
      <bottom style="double">
        <color indexed="64"/>
      </bottom>
      <diagonal/>
    </border>
    <border>
      <left/>
      <right/>
      <top style="thin">
        <color indexed="64"/>
      </top>
      <bottom style="double">
        <color indexed="64"/>
      </bottom>
      <diagonal/>
    </border>
    <border>
      <left style="double">
        <color indexed="64"/>
      </left>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double">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double">
        <color indexed="64"/>
      </left>
      <right style="thin">
        <color indexed="64"/>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double">
        <color indexed="64"/>
      </left>
      <right/>
      <top style="thin">
        <color indexed="64"/>
      </top>
      <bottom style="hair">
        <color indexed="64"/>
      </bottom>
      <diagonal/>
    </border>
    <border>
      <left style="double">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bottom style="double">
        <color indexed="64"/>
      </bottom>
      <diagonal/>
    </border>
    <border>
      <left style="double">
        <color indexed="64"/>
      </left>
      <right style="thin">
        <color indexed="64"/>
      </right>
      <top/>
      <bottom style="hair">
        <color indexed="64"/>
      </bottom>
      <diagonal/>
    </border>
    <border>
      <left style="double">
        <color indexed="64"/>
      </left>
      <right style="thin">
        <color indexed="64"/>
      </right>
      <top style="double">
        <color indexed="64"/>
      </top>
      <bottom style="double">
        <color indexed="64"/>
      </bottom>
      <diagonal/>
    </border>
    <border>
      <left style="thick">
        <color indexed="64"/>
      </left>
      <right style="thick">
        <color indexed="64"/>
      </right>
      <top/>
      <bottom style="thick">
        <color indexed="64"/>
      </bottom>
      <diagonal/>
    </border>
    <border>
      <left/>
      <right/>
      <top style="thin">
        <color indexed="64"/>
      </top>
      <bottom style="hair">
        <color indexed="64"/>
      </bottom>
      <diagonal/>
    </border>
    <border>
      <left/>
      <right style="thin">
        <color indexed="64"/>
      </right>
      <top style="double">
        <color indexed="64"/>
      </top>
      <bottom style="hair">
        <color indexed="64"/>
      </bottom>
      <diagonal/>
    </border>
    <border>
      <left style="thin">
        <color indexed="64"/>
      </left>
      <right style="double">
        <color indexed="64"/>
      </right>
      <top style="double">
        <color indexed="64"/>
      </top>
      <bottom style="double">
        <color indexed="64"/>
      </bottom>
      <diagonal/>
    </border>
    <border>
      <left/>
      <right style="double">
        <color indexed="64"/>
      </right>
      <top style="double">
        <color indexed="64"/>
      </top>
      <bottom style="hair">
        <color indexed="64"/>
      </bottom>
      <diagonal/>
    </border>
    <border>
      <left/>
      <right style="double">
        <color indexed="64"/>
      </right>
      <top style="hair">
        <color indexed="64"/>
      </top>
      <bottom style="hair">
        <color indexed="64"/>
      </bottom>
      <diagonal/>
    </border>
    <border>
      <left/>
      <right style="double">
        <color indexed="64"/>
      </right>
      <top/>
      <bottom style="hair">
        <color indexed="64"/>
      </bottom>
      <diagonal/>
    </border>
    <border>
      <left style="thin">
        <color indexed="64"/>
      </left>
      <right style="double">
        <color indexed="64"/>
      </right>
      <top/>
      <bottom style="hair">
        <color indexed="64"/>
      </bottom>
      <diagonal/>
    </border>
    <border>
      <left style="thin">
        <color indexed="64"/>
      </left>
      <right style="double">
        <color indexed="64"/>
      </right>
      <top style="hair">
        <color indexed="64"/>
      </top>
      <bottom style="hair">
        <color indexed="64"/>
      </bottom>
      <diagonal/>
    </border>
    <border>
      <left style="thin">
        <color indexed="64"/>
      </left>
      <right style="double">
        <color indexed="64"/>
      </right>
      <top style="hair">
        <color indexed="64"/>
      </top>
      <bottom/>
      <diagonal/>
    </border>
    <border>
      <left style="thin">
        <color indexed="64"/>
      </left>
      <right style="double">
        <color indexed="64"/>
      </right>
      <top style="thin">
        <color indexed="64"/>
      </top>
      <bottom style="thin">
        <color indexed="64"/>
      </bottom>
      <diagonal/>
    </border>
    <border>
      <left/>
      <right style="double">
        <color indexed="64"/>
      </right>
      <top style="thin">
        <color indexed="64"/>
      </top>
      <bottom style="double">
        <color indexed="64"/>
      </bottom>
      <diagonal/>
    </border>
    <border>
      <left style="double">
        <color indexed="64"/>
      </left>
      <right/>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style="thin">
        <color indexed="64"/>
      </top>
      <bottom style="hair">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style="hair">
        <color indexed="64"/>
      </bottom>
      <diagonal/>
    </border>
    <border>
      <left style="medium">
        <color indexed="64"/>
      </left>
      <right style="thin">
        <color indexed="64"/>
      </right>
      <top/>
      <bottom style="hair">
        <color indexed="64"/>
      </bottom>
      <diagonal/>
    </border>
    <border>
      <left style="medium">
        <color indexed="64"/>
      </left>
      <right style="thin">
        <color indexed="64"/>
      </right>
      <top style="hair">
        <color indexed="64"/>
      </top>
      <bottom style="hair">
        <color indexed="64"/>
      </bottom>
      <diagonal/>
    </border>
    <border>
      <left style="medium">
        <color indexed="64"/>
      </left>
      <right/>
      <top style="hair">
        <color indexed="64"/>
      </top>
      <bottom style="hair">
        <color indexed="64"/>
      </bottom>
      <diagonal/>
    </border>
    <border>
      <left style="medium">
        <color indexed="64"/>
      </left>
      <right style="thin">
        <color indexed="64"/>
      </right>
      <top/>
      <bottom/>
      <diagonal/>
    </border>
    <border>
      <left style="medium">
        <color indexed="64"/>
      </left>
      <right style="thin">
        <color indexed="64"/>
      </right>
      <top style="hair">
        <color indexed="64"/>
      </top>
      <bottom/>
      <diagonal/>
    </border>
    <border>
      <left style="medium">
        <color indexed="64"/>
      </left>
      <right/>
      <top style="hair">
        <color indexed="64"/>
      </top>
      <bottom/>
      <diagonal/>
    </border>
    <border>
      <left style="medium">
        <color indexed="64"/>
      </left>
      <right/>
      <top style="hair">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hair">
        <color indexed="64"/>
      </bottom>
      <diagonal/>
    </border>
    <border>
      <left style="medium">
        <color indexed="64"/>
      </left>
      <right/>
      <top style="thin">
        <color indexed="64"/>
      </top>
      <bottom style="hair">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right/>
      <top/>
      <bottom style="hair">
        <color indexed="64"/>
      </bottom>
      <diagonal/>
    </border>
    <border>
      <left/>
      <right/>
      <top style="hair">
        <color indexed="64"/>
      </top>
      <bottom style="hair">
        <color indexed="64"/>
      </bottom>
      <diagonal/>
    </border>
    <border>
      <left style="thin">
        <color indexed="64"/>
      </left>
      <right/>
      <top style="hair">
        <color indexed="64"/>
      </top>
      <bottom style="hair">
        <color indexed="64"/>
      </bottom>
      <diagonal/>
    </border>
    <border>
      <left style="thin">
        <color indexed="64"/>
      </left>
      <right/>
      <top style="thin">
        <color indexed="64"/>
      </top>
      <bottom style="hair">
        <color indexed="64"/>
      </bottom>
      <diagonal/>
    </border>
    <border>
      <left style="medium">
        <color indexed="64"/>
      </left>
      <right style="medium">
        <color indexed="64"/>
      </right>
      <top style="hair">
        <color indexed="64"/>
      </top>
      <bottom style="hair">
        <color indexed="64"/>
      </bottom>
      <diagonal/>
    </border>
    <border>
      <left style="medium">
        <color indexed="64"/>
      </left>
      <right style="medium">
        <color indexed="64"/>
      </right>
      <top/>
      <bottom/>
      <diagonal/>
    </border>
    <border>
      <left style="medium">
        <color indexed="64"/>
      </left>
      <right style="medium">
        <color indexed="64"/>
      </right>
      <top style="hair">
        <color indexed="64"/>
      </top>
      <bottom/>
      <diagonal/>
    </border>
    <border>
      <left style="medium">
        <color indexed="64"/>
      </left>
      <right style="medium">
        <color indexed="64"/>
      </right>
      <top style="hair">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bottom/>
      <diagonal/>
    </border>
    <border>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right style="medium">
        <color indexed="64"/>
      </right>
      <top/>
      <bottom style="thin">
        <color indexed="64"/>
      </bottom>
      <diagonal/>
    </border>
    <border>
      <left style="medium">
        <color indexed="64"/>
      </left>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diagonal/>
    </border>
    <border>
      <left/>
      <right style="medium">
        <color indexed="64"/>
      </right>
      <top style="medium">
        <color indexed="64"/>
      </top>
      <bottom/>
      <diagonal/>
    </border>
    <border>
      <left/>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double">
        <color indexed="64"/>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bottom/>
      <diagonal/>
    </border>
    <border>
      <left/>
      <right style="thin">
        <color indexed="64"/>
      </right>
      <top style="medium">
        <color indexed="64"/>
      </top>
      <bottom style="medium">
        <color indexed="64"/>
      </bottom>
      <diagonal/>
    </border>
    <border>
      <left style="double">
        <color indexed="64"/>
      </left>
      <right/>
      <top style="double">
        <color indexed="64"/>
      </top>
      <bottom style="thin">
        <color indexed="64"/>
      </bottom>
      <diagonal/>
    </border>
    <border>
      <left/>
      <right style="double">
        <color indexed="64"/>
      </right>
      <top style="double">
        <color indexed="64"/>
      </top>
      <bottom style="thin">
        <color indexed="64"/>
      </bottom>
      <diagonal/>
    </border>
    <border>
      <left/>
      <right/>
      <top style="medium">
        <color indexed="64"/>
      </top>
      <bottom/>
      <diagonal/>
    </border>
    <border>
      <left style="medium">
        <color indexed="64"/>
      </left>
      <right style="thin">
        <color indexed="64"/>
      </right>
      <top/>
      <bottom style="medium">
        <color indexed="64"/>
      </bottom>
      <diagonal/>
    </border>
    <border>
      <left style="double">
        <color rgb="FF0070C0"/>
      </left>
      <right style="double">
        <color rgb="FF0070C0"/>
      </right>
      <top style="thin">
        <color indexed="64"/>
      </top>
      <bottom style="thin">
        <color indexed="64"/>
      </bottom>
      <diagonal/>
    </border>
    <border>
      <left style="double">
        <color rgb="FF0070C0"/>
      </left>
      <right style="double">
        <color rgb="FF0070C0"/>
      </right>
      <top style="double">
        <color rgb="FF0070C0"/>
      </top>
      <bottom style="medium">
        <color indexed="64"/>
      </bottom>
      <diagonal/>
    </border>
    <border>
      <left style="double">
        <color rgb="FF0070C0"/>
      </left>
      <right style="double">
        <color rgb="FF0070C0"/>
      </right>
      <top style="thin">
        <color indexed="64"/>
      </top>
      <bottom style="double">
        <color rgb="FF0070C0"/>
      </bottom>
      <diagonal/>
    </border>
  </borders>
  <cellStyleXfs count="2">
    <xf numFmtId="0" fontId="0" fillId="0" borderId="0"/>
    <xf numFmtId="0" fontId="87" fillId="0" borderId="0"/>
  </cellStyleXfs>
  <cellXfs count="1172">
    <xf numFmtId="0" fontId="0" fillId="0" borderId="0" xfId="0"/>
    <xf numFmtId="0" fontId="9" fillId="0" borderId="0" xfId="0" applyFont="1" applyAlignment="1">
      <alignment vertical="center"/>
    </xf>
    <xf numFmtId="0" fontId="10" fillId="0" borderId="1" xfId="0" applyFont="1" applyBorder="1" applyAlignment="1">
      <alignment vertical="center"/>
    </xf>
    <xf numFmtId="0" fontId="10" fillId="0" borderId="2" xfId="0" applyFont="1" applyBorder="1" applyAlignment="1">
      <alignment vertical="center"/>
    </xf>
    <xf numFmtId="4" fontId="10" fillId="0" borderId="1" xfId="0" applyNumberFormat="1" applyFont="1" applyBorder="1" applyAlignment="1">
      <alignment vertical="center"/>
    </xf>
    <xf numFmtId="4" fontId="10" fillId="0" borderId="2" xfId="0" applyNumberFormat="1" applyFont="1" applyBorder="1" applyAlignment="1">
      <alignment vertical="center"/>
    </xf>
    <xf numFmtId="0" fontId="10" fillId="0" borderId="3" xfId="0" applyFont="1" applyBorder="1" applyAlignment="1">
      <alignment vertical="center"/>
    </xf>
    <xf numFmtId="4" fontId="10" fillId="0" borderId="4" xfId="0" applyNumberFormat="1" applyFont="1" applyBorder="1" applyAlignment="1">
      <alignment vertical="center"/>
    </xf>
    <xf numFmtId="0" fontId="10" fillId="0" borderId="5" xfId="0" applyFont="1" applyBorder="1" applyAlignment="1">
      <alignment vertical="center"/>
    </xf>
    <xf numFmtId="0" fontId="10" fillId="0" borderId="6" xfId="0" applyFont="1" applyBorder="1" applyAlignment="1">
      <alignment vertical="center"/>
    </xf>
    <xf numFmtId="0" fontId="10" fillId="0" borderId="7" xfId="0" applyFont="1" applyBorder="1" applyAlignment="1">
      <alignment vertical="center"/>
    </xf>
    <xf numFmtId="4" fontId="10" fillId="0" borderId="7" xfId="0" applyNumberFormat="1" applyFont="1" applyBorder="1" applyAlignment="1">
      <alignment vertical="center"/>
    </xf>
    <xf numFmtId="0" fontId="5" fillId="0" borderId="8" xfId="0" applyFont="1" applyBorder="1" applyAlignment="1">
      <alignment horizontal="center" vertical="center"/>
    </xf>
    <xf numFmtId="0" fontId="5" fillId="0" borderId="9" xfId="0" applyFont="1" applyBorder="1" applyAlignment="1">
      <alignment horizontal="center" vertical="center"/>
    </xf>
    <xf numFmtId="0" fontId="5" fillId="0" borderId="0" xfId="0" applyFont="1" applyAlignment="1">
      <alignment horizontal="center" vertical="center"/>
    </xf>
    <xf numFmtId="0" fontId="5" fillId="0" borderId="10" xfId="0" applyFont="1" applyBorder="1" applyAlignment="1">
      <alignment horizontal="center" vertical="center"/>
    </xf>
    <xf numFmtId="0" fontId="10" fillId="0" borderId="11" xfId="0" applyFont="1" applyBorder="1" applyAlignment="1">
      <alignment vertical="center"/>
    </xf>
    <xf numFmtId="0" fontId="10" fillId="2" borderId="11" xfId="0" applyFont="1" applyFill="1" applyBorder="1" applyAlignment="1">
      <alignment vertical="center"/>
    </xf>
    <xf numFmtId="0" fontId="10" fillId="2" borderId="7" xfId="0" applyFont="1" applyFill="1" applyBorder="1" applyAlignment="1">
      <alignment vertical="center"/>
    </xf>
    <xf numFmtId="0" fontId="10" fillId="2" borderId="1" xfId="0" applyFont="1" applyFill="1" applyBorder="1" applyAlignment="1">
      <alignment vertical="center"/>
    </xf>
    <xf numFmtId="0" fontId="3" fillId="0" borderId="0" xfId="0" applyFont="1" applyAlignment="1">
      <alignment vertical="center"/>
    </xf>
    <xf numFmtId="174" fontId="6" fillId="0" borderId="0" xfId="0" applyNumberFormat="1" applyFont="1" applyAlignment="1">
      <alignment horizontal="center" vertical="center"/>
    </xf>
    <xf numFmtId="0" fontId="8" fillId="0" borderId="12" xfId="0" applyFont="1" applyBorder="1" applyAlignment="1">
      <alignment horizontal="centerContinuous" vertical="center"/>
    </xf>
    <xf numFmtId="0" fontId="8" fillId="0" borderId="9" xfId="0" applyFont="1" applyBorder="1" applyAlignment="1">
      <alignment horizontal="centerContinuous" vertical="center"/>
    </xf>
    <xf numFmtId="0" fontId="3" fillId="0" borderId="9" xfId="0" applyFont="1" applyBorder="1" applyAlignment="1">
      <alignment horizontal="centerContinuous" vertical="center"/>
    </xf>
    <xf numFmtId="0" fontId="4" fillId="0" borderId="0" xfId="0" applyFont="1" applyAlignment="1">
      <alignment horizontal="left" vertical="center"/>
    </xf>
    <xf numFmtId="0" fontId="8" fillId="0" borderId="0" xfId="0" applyFont="1" applyBorder="1" applyAlignment="1">
      <alignment horizontal="centerContinuous" vertical="center"/>
    </xf>
    <xf numFmtId="0" fontId="3" fillId="0" borderId="0" xfId="0" applyFont="1" applyBorder="1" applyAlignment="1">
      <alignment horizontal="centerContinuous" vertical="center"/>
    </xf>
    <xf numFmtId="0" fontId="11" fillId="0" borderId="13" xfId="0" applyFont="1" applyBorder="1" applyAlignment="1">
      <alignment horizontal="center" vertical="center"/>
    </xf>
    <xf numFmtId="0" fontId="5" fillId="0" borderId="14" xfId="0" applyFont="1" applyBorder="1" applyAlignment="1">
      <alignment horizontal="centerContinuous" vertical="center"/>
    </xf>
    <xf numFmtId="0" fontId="5" fillId="0" borderId="0" xfId="0" applyFont="1" applyBorder="1" applyAlignment="1">
      <alignment horizontal="centerContinuous" vertical="center"/>
    </xf>
    <xf numFmtId="0" fontId="10" fillId="3" borderId="11" xfId="0" applyFont="1" applyFill="1" applyBorder="1" applyAlignment="1">
      <alignment vertical="center"/>
    </xf>
    <xf numFmtId="0" fontId="5" fillId="0" borderId="15" xfId="0" applyFont="1" applyBorder="1" applyAlignment="1">
      <alignment horizontal="center" vertical="center"/>
    </xf>
    <xf numFmtId="3" fontId="12" fillId="0" borderId="4" xfId="0" applyNumberFormat="1" applyFont="1" applyBorder="1" applyAlignment="1">
      <alignment vertical="center"/>
    </xf>
    <xf numFmtId="3" fontId="12" fillId="0" borderId="2" xfId="0" applyNumberFormat="1" applyFont="1" applyBorder="1" applyAlignment="1">
      <alignment vertical="center"/>
    </xf>
    <xf numFmtId="3" fontId="12" fillId="0" borderId="3" xfId="0" applyNumberFormat="1" applyFont="1" applyBorder="1" applyAlignment="1">
      <alignment vertical="center"/>
    </xf>
    <xf numFmtId="0" fontId="10" fillId="3" borderId="16" xfId="0" applyFont="1" applyFill="1" applyBorder="1" applyAlignment="1">
      <alignment vertical="center"/>
    </xf>
    <xf numFmtId="0" fontId="10" fillId="2" borderId="16" xfId="0" applyFont="1" applyFill="1" applyBorder="1" applyAlignment="1">
      <alignment vertical="center"/>
    </xf>
    <xf numFmtId="0" fontId="10" fillId="3" borderId="17" xfId="0" applyFont="1" applyFill="1" applyBorder="1" applyAlignment="1">
      <alignment vertical="center"/>
    </xf>
    <xf numFmtId="0" fontId="10" fillId="0" borderId="17" xfId="0" applyFont="1" applyBorder="1" applyAlignment="1">
      <alignment vertical="center"/>
    </xf>
    <xf numFmtId="0" fontId="10" fillId="3" borderId="18" xfId="0" applyFont="1" applyFill="1" applyBorder="1" applyAlignment="1">
      <alignment vertical="center"/>
    </xf>
    <xf numFmtId="0" fontId="10" fillId="0" borderId="19" xfId="0" applyFont="1" applyBorder="1" applyAlignment="1">
      <alignment vertical="center"/>
    </xf>
    <xf numFmtId="0" fontId="10" fillId="3" borderId="5" xfId="0" applyFont="1" applyFill="1" applyBorder="1" applyAlignment="1">
      <alignment vertical="center"/>
    </xf>
    <xf numFmtId="0" fontId="10" fillId="2" borderId="20" xfId="0" applyFont="1" applyFill="1" applyBorder="1" applyAlignment="1">
      <alignment vertical="center"/>
    </xf>
    <xf numFmtId="0" fontId="10" fillId="0" borderId="20" xfId="0" applyFont="1" applyBorder="1" applyAlignment="1">
      <alignment vertical="center"/>
    </xf>
    <xf numFmtId="0" fontId="10" fillId="3" borderId="20" xfId="0" applyFont="1" applyFill="1" applyBorder="1" applyAlignment="1">
      <alignment vertical="center"/>
    </xf>
    <xf numFmtId="0" fontId="10" fillId="3" borderId="1" xfId="0" applyFont="1" applyFill="1" applyBorder="1" applyAlignment="1">
      <alignment vertical="center"/>
    </xf>
    <xf numFmtId="0" fontId="10" fillId="3" borderId="21" xfId="0" applyFont="1" applyFill="1" applyBorder="1" applyAlignment="1">
      <alignment vertical="center"/>
    </xf>
    <xf numFmtId="0" fontId="10" fillId="3" borderId="2" xfId="0" applyFont="1" applyFill="1" applyBorder="1" applyAlignment="1">
      <alignment vertical="center"/>
    </xf>
    <xf numFmtId="0" fontId="10" fillId="0" borderId="22" xfId="0" applyFont="1" applyBorder="1" applyAlignment="1">
      <alignment vertical="center"/>
    </xf>
    <xf numFmtId="0" fontId="10" fillId="3" borderId="4" xfId="0" applyFont="1" applyFill="1" applyBorder="1" applyAlignment="1">
      <alignment vertical="center"/>
    </xf>
    <xf numFmtId="0" fontId="10" fillId="0" borderId="23" xfId="0" applyFont="1" applyBorder="1" applyAlignment="1">
      <alignment vertical="center"/>
    </xf>
    <xf numFmtId="3" fontId="13" fillId="0" borderId="24" xfId="0" applyNumberFormat="1" applyFont="1" applyBorder="1" applyAlignment="1">
      <alignment horizontal="center" vertical="center"/>
    </xf>
    <xf numFmtId="0" fontId="10" fillId="0" borderId="25" xfId="0" applyFont="1" applyBorder="1" applyAlignment="1">
      <alignment horizontal="right" vertical="center"/>
    </xf>
    <xf numFmtId="3" fontId="12" fillId="0" borderId="26" xfId="0" applyNumberFormat="1" applyFont="1" applyBorder="1" applyAlignment="1">
      <alignment vertical="center"/>
    </xf>
    <xf numFmtId="3" fontId="12" fillId="0" borderId="17" xfId="0" applyNumberFormat="1" applyFont="1" applyBorder="1" applyAlignment="1">
      <alignment vertical="center"/>
    </xf>
    <xf numFmtId="0" fontId="10" fillId="0" borderId="3" xfId="0" applyFont="1" applyBorder="1" applyAlignment="1">
      <alignment horizontal="left" vertical="center"/>
    </xf>
    <xf numFmtId="0" fontId="10" fillId="3" borderId="3" xfId="0" applyFont="1" applyFill="1" applyBorder="1" applyAlignment="1">
      <alignment vertical="center"/>
    </xf>
    <xf numFmtId="0" fontId="10" fillId="3" borderId="26" xfId="0" applyFont="1" applyFill="1" applyBorder="1" applyAlignment="1">
      <alignment vertical="center"/>
    </xf>
    <xf numFmtId="0" fontId="10" fillId="0" borderId="25" xfId="0" applyFont="1" applyBorder="1" applyAlignment="1">
      <alignment horizontal="left" vertical="center"/>
    </xf>
    <xf numFmtId="14" fontId="14" fillId="0" borderId="0" xfId="0" applyNumberFormat="1" applyFont="1" applyAlignment="1">
      <alignment vertical="center"/>
    </xf>
    <xf numFmtId="0" fontId="15" fillId="0" borderId="0" xfId="0" applyFont="1" applyAlignment="1">
      <alignment vertical="center"/>
    </xf>
    <xf numFmtId="0" fontId="15" fillId="0" borderId="27" xfId="0" applyFont="1" applyBorder="1" applyAlignment="1">
      <alignment horizontal="centerContinuous" vertical="center"/>
    </xf>
    <xf numFmtId="0" fontId="15" fillId="0" borderId="0" xfId="0" applyFont="1" applyBorder="1" applyAlignment="1">
      <alignment horizontal="centerContinuous" vertical="center"/>
    </xf>
    <xf numFmtId="0" fontId="16" fillId="0" borderId="8" xfId="0" applyFont="1" applyBorder="1" applyAlignment="1">
      <alignment horizontal="center" vertical="center"/>
    </xf>
    <xf numFmtId="0" fontId="17" fillId="0" borderId="7" xfId="0" applyFont="1" applyBorder="1" applyAlignment="1">
      <alignment vertical="center"/>
    </xf>
    <xf numFmtId="0" fontId="17" fillId="0" borderId="1" xfId="0" applyFont="1" applyBorder="1" applyAlignment="1">
      <alignment vertical="center"/>
    </xf>
    <xf numFmtId="0" fontId="17" fillId="0" borderId="16" xfId="0" applyFont="1" applyBorder="1" applyAlignment="1">
      <alignment vertical="center"/>
    </xf>
    <xf numFmtId="0" fontId="17" fillId="0" borderId="26" xfId="0" applyFont="1" applyBorder="1" applyAlignment="1">
      <alignment vertical="center"/>
    </xf>
    <xf numFmtId="0" fontId="17" fillId="0" borderId="3" xfId="0" applyFont="1" applyBorder="1" applyAlignment="1">
      <alignment vertical="center"/>
    </xf>
    <xf numFmtId="0" fontId="10" fillId="3" borderId="28" xfId="0" applyFont="1" applyFill="1" applyBorder="1" applyAlignment="1">
      <alignment vertical="center"/>
    </xf>
    <xf numFmtId="4" fontId="10" fillId="0" borderId="3" xfId="0" applyNumberFormat="1" applyFont="1" applyBorder="1" applyAlignment="1">
      <alignment vertical="center"/>
    </xf>
    <xf numFmtId="0" fontId="3" fillId="0" borderId="29" xfId="0" applyFont="1" applyBorder="1" applyAlignment="1">
      <alignment vertical="center"/>
    </xf>
    <xf numFmtId="0" fontId="3" fillId="0" borderId="30" xfId="0" applyFont="1" applyBorder="1" applyAlignment="1">
      <alignment vertical="center"/>
    </xf>
    <xf numFmtId="0" fontId="10" fillId="0" borderId="30" xfId="0" applyFont="1" applyBorder="1" applyAlignment="1">
      <alignment vertical="center"/>
    </xf>
    <xf numFmtId="3" fontId="12" fillId="0" borderId="30" xfId="0" applyNumberFormat="1" applyFont="1" applyBorder="1" applyAlignment="1">
      <alignment vertical="center"/>
    </xf>
    <xf numFmtId="0" fontId="17" fillId="0" borderId="30" xfId="0" applyFont="1" applyBorder="1" applyAlignment="1">
      <alignment vertical="center"/>
    </xf>
    <xf numFmtId="4" fontId="10" fillId="0" borderId="30" xfId="0" applyNumberFormat="1" applyFont="1" applyBorder="1" applyAlignment="1">
      <alignment vertical="center"/>
    </xf>
    <xf numFmtId="14" fontId="18" fillId="0" borderId="0" xfId="0" applyNumberFormat="1" applyFont="1" applyAlignment="1">
      <alignment vertical="center"/>
    </xf>
    <xf numFmtId="0" fontId="19" fillId="0" borderId="1" xfId="0" applyFont="1" applyBorder="1" applyAlignment="1">
      <alignment vertical="center"/>
    </xf>
    <xf numFmtId="0" fontId="19" fillId="0" borderId="3" xfId="0" applyFont="1" applyBorder="1" applyAlignment="1">
      <alignment vertical="center"/>
    </xf>
    <xf numFmtId="0" fontId="10" fillId="0" borderId="31" xfId="0" applyFont="1" applyBorder="1" applyAlignment="1">
      <alignment vertical="center"/>
    </xf>
    <xf numFmtId="0" fontId="10" fillId="0" borderId="32" xfId="0" applyFont="1" applyBorder="1" applyAlignment="1">
      <alignment vertical="center"/>
    </xf>
    <xf numFmtId="0" fontId="10" fillId="0" borderId="33" xfId="0" applyFont="1" applyBorder="1" applyAlignment="1">
      <alignment horizontal="left" vertical="center"/>
    </xf>
    <xf numFmtId="3" fontId="12" fillId="0" borderId="32" xfId="0" applyNumberFormat="1" applyFont="1" applyBorder="1" applyAlignment="1">
      <alignment vertical="center"/>
    </xf>
    <xf numFmtId="0" fontId="10" fillId="0" borderId="34" xfId="0" applyFont="1" applyBorder="1" applyAlignment="1">
      <alignment vertical="center"/>
    </xf>
    <xf numFmtId="4" fontId="10" fillId="0" borderId="32" xfId="0" applyNumberFormat="1" applyFont="1" applyBorder="1" applyAlignment="1">
      <alignment vertical="center"/>
    </xf>
    <xf numFmtId="0" fontId="10" fillId="0" borderId="35" xfId="0" applyFont="1" applyBorder="1" applyAlignment="1">
      <alignment vertical="center"/>
    </xf>
    <xf numFmtId="0" fontId="10" fillId="3" borderId="36" xfId="0" applyFont="1" applyFill="1" applyBorder="1" applyAlignment="1">
      <alignment vertical="center"/>
    </xf>
    <xf numFmtId="0" fontId="10" fillId="0" borderId="37" xfId="0" applyFont="1" applyBorder="1" applyAlignment="1">
      <alignment horizontal="right" vertical="center"/>
    </xf>
    <xf numFmtId="0" fontId="10" fillId="0" borderId="36" xfId="0" applyFont="1" applyBorder="1" applyAlignment="1">
      <alignment vertical="center"/>
    </xf>
    <xf numFmtId="0" fontId="10" fillId="0" borderId="28" xfId="0" applyFont="1" applyBorder="1" applyAlignment="1">
      <alignment vertical="center"/>
    </xf>
    <xf numFmtId="0" fontId="17" fillId="0" borderId="28" xfId="0" applyFont="1" applyBorder="1" applyAlignment="1">
      <alignment vertical="center"/>
    </xf>
    <xf numFmtId="4" fontId="10" fillId="0" borderId="28" xfId="0" applyNumberFormat="1" applyFont="1" applyBorder="1" applyAlignment="1">
      <alignment vertical="center"/>
    </xf>
    <xf numFmtId="0" fontId="10" fillId="0" borderId="38" xfId="0" applyFont="1" applyBorder="1" applyAlignment="1">
      <alignment vertical="center"/>
    </xf>
    <xf numFmtId="0" fontId="10" fillId="3" borderId="39" xfId="0" applyFont="1" applyFill="1" applyBorder="1" applyAlignment="1">
      <alignment vertical="center"/>
    </xf>
    <xf numFmtId="0" fontId="10" fillId="0" borderId="39" xfId="0" applyFont="1" applyBorder="1" applyAlignment="1">
      <alignment vertical="center"/>
    </xf>
    <xf numFmtId="0" fontId="10" fillId="0" borderId="40" xfId="0" applyFont="1" applyBorder="1" applyAlignment="1">
      <alignment vertical="center"/>
    </xf>
    <xf numFmtId="3" fontId="12" fillId="0" borderId="28" xfId="0" applyNumberFormat="1" applyFont="1" applyBorder="1" applyAlignment="1">
      <alignment vertical="center"/>
    </xf>
    <xf numFmtId="3" fontId="12" fillId="0" borderId="40" xfId="0" applyNumberFormat="1" applyFont="1" applyBorder="1" applyAlignment="1">
      <alignment vertical="center"/>
    </xf>
    <xf numFmtId="0" fontId="10" fillId="0" borderId="40" xfId="0" applyFont="1" applyBorder="1" applyAlignment="1">
      <alignment horizontal="left" vertical="center"/>
    </xf>
    <xf numFmtId="0" fontId="17" fillId="0" borderId="40" xfId="0" applyFont="1" applyBorder="1" applyAlignment="1">
      <alignment vertical="center"/>
    </xf>
    <xf numFmtId="0" fontId="17" fillId="0" borderId="32" xfId="0" applyFont="1" applyBorder="1" applyAlignment="1">
      <alignment vertical="center"/>
    </xf>
    <xf numFmtId="0" fontId="10" fillId="2" borderId="38" xfId="0" applyFont="1" applyFill="1" applyBorder="1" applyAlignment="1">
      <alignment vertical="center"/>
    </xf>
    <xf numFmtId="0" fontId="10" fillId="0" borderId="41" xfId="0" applyFont="1" applyBorder="1" applyAlignment="1">
      <alignment vertical="center"/>
    </xf>
    <xf numFmtId="0" fontId="10" fillId="2" borderId="28" xfId="0" applyFont="1" applyFill="1" applyBorder="1" applyAlignment="1">
      <alignment vertical="center"/>
    </xf>
    <xf numFmtId="0" fontId="10" fillId="0" borderId="38" xfId="0" applyFont="1" applyFill="1" applyBorder="1" applyAlignment="1">
      <alignment vertical="center"/>
    </xf>
    <xf numFmtId="0" fontId="10" fillId="0" borderId="42" xfId="0" applyFont="1" applyFill="1" applyBorder="1" applyAlignment="1">
      <alignment vertical="center"/>
    </xf>
    <xf numFmtId="0" fontId="10" fillId="3" borderId="43" xfId="0" applyFont="1" applyFill="1" applyBorder="1" applyAlignment="1">
      <alignment vertical="center"/>
    </xf>
    <xf numFmtId="0" fontId="10" fillId="0" borderId="44" xfId="0" applyFont="1" applyBorder="1" applyAlignment="1">
      <alignment horizontal="left" vertical="center"/>
    </xf>
    <xf numFmtId="3" fontId="12" fillId="0" borderId="45" xfId="0" applyNumberFormat="1" applyFont="1" applyBorder="1" applyAlignment="1">
      <alignment vertical="center"/>
    </xf>
    <xf numFmtId="0" fontId="10" fillId="0" borderId="43" xfId="0" applyFont="1" applyBorder="1" applyAlignment="1">
      <alignment vertical="center"/>
    </xf>
    <xf numFmtId="0" fontId="10" fillId="0" borderId="45" xfId="0" applyFont="1" applyBorder="1" applyAlignment="1">
      <alignment vertical="center"/>
    </xf>
    <xf numFmtId="0" fontId="17" fillId="0" borderId="45" xfId="0" applyFont="1" applyBorder="1" applyAlignment="1">
      <alignment vertical="center"/>
    </xf>
    <xf numFmtId="0" fontId="10" fillId="3" borderId="35" xfId="0" applyFont="1" applyFill="1" applyBorder="1" applyAlignment="1">
      <alignment vertical="center"/>
    </xf>
    <xf numFmtId="0" fontId="10" fillId="3" borderId="42" xfId="0" applyFont="1" applyFill="1" applyBorder="1" applyAlignment="1">
      <alignment vertical="center"/>
    </xf>
    <xf numFmtId="0" fontId="10" fillId="0" borderId="37" xfId="0" applyFont="1" applyBorder="1" applyAlignment="1">
      <alignment vertical="center"/>
    </xf>
    <xf numFmtId="4" fontId="23" fillId="0" borderId="28" xfId="0" applyNumberFormat="1" applyFont="1" applyBorder="1" applyAlignment="1">
      <alignment vertical="center"/>
    </xf>
    <xf numFmtId="0" fontId="10" fillId="3" borderId="0" xfId="0" applyFont="1" applyFill="1" applyBorder="1" applyAlignment="1">
      <alignment vertical="center"/>
    </xf>
    <xf numFmtId="0" fontId="3" fillId="0" borderId="0" xfId="0" applyFont="1" applyFill="1" applyAlignment="1">
      <alignment vertical="center"/>
    </xf>
    <xf numFmtId="0" fontId="8" fillId="0" borderId="9" xfId="0" applyFont="1" applyFill="1" applyBorder="1" applyAlignment="1">
      <alignment horizontal="centerContinuous" vertical="center"/>
    </xf>
    <xf numFmtId="0" fontId="8" fillId="0" borderId="0" xfId="0" applyFont="1" applyFill="1" applyBorder="1" applyAlignment="1">
      <alignment horizontal="centerContinuous" vertical="center"/>
    </xf>
    <xf numFmtId="0" fontId="10" fillId="0" borderId="7" xfId="0" applyFont="1" applyFill="1" applyBorder="1" applyAlignment="1">
      <alignment vertical="center"/>
    </xf>
    <xf numFmtId="0" fontId="10" fillId="0" borderId="1" xfId="0" applyFont="1" applyFill="1" applyBorder="1" applyAlignment="1">
      <alignment vertical="center"/>
    </xf>
    <xf numFmtId="0" fontId="10" fillId="0" borderId="11" xfId="0" applyFont="1" applyFill="1" applyBorder="1" applyAlignment="1">
      <alignment vertical="center"/>
    </xf>
    <xf numFmtId="0" fontId="10" fillId="0" borderId="0" xfId="0" applyFont="1" applyFill="1" applyBorder="1" applyAlignment="1">
      <alignment vertical="center"/>
    </xf>
    <xf numFmtId="0" fontId="10" fillId="0" borderId="16" xfId="0" applyFont="1" applyFill="1" applyBorder="1" applyAlignment="1">
      <alignment vertical="center"/>
    </xf>
    <xf numFmtId="0" fontId="10" fillId="0" borderId="34" xfId="0" applyFont="1" applyFill="1" applyBorder="1" applyAlignment="1">
      <alignment vertical="center"/>
    </xf>
    <xf numFmtId="0" fontId="10" fillId="0" borderId="36" xfId="0" applyFont="1" applyFill="1" applyBorder="1" applyAlignment="1">
      <alignment vertical="center"/>
    </xf>
    <xf numFmtId="0" fontId="10" fillId="0" borderId="39" xfId="0" applyFont="1" applyFill="1" applyBorder="1" applyAlignment="1">
      <alignment vertical="center"/>
    </xf>
    <xf numFmtId="0" fontId="10" fillId="0" borderId="43" xfId="0" applyFont="1" applyFill="1" applyBorder="1" applyAlignment="1">
      <alignment vertical="center"/>
    </xf>
    <xf numFmtId="0" fontId="3" fillId="0" borderId="30" xfId="0" applyFont="1" applyFill="1" applyBorder="1" applyAlignment="1">
      <alignment vertical="center"/>
    </xf>
    <xf numFmtId="0" fontId="5" fillId="0" borderId="46" xfId="0" applyFont="1" applyFill="1" applyBorder="1" applyAlignment="1">
      <alignment horizontal="center" vertical="center"/>
    </xf>
    <xf numFmtId="0" fontId="5" fillId="0" borderId="46" xfId="0" applyFont="1" applyBorder="1" applyAlignment="1">
      <alignment horizontal="center" vertical="center"/>
    </xf>
    <xf numFmtId="0" fontId="10" fillId="0" borderId="47" xfId="0" applyFont="1" applyBorder="1" applyAlignment="1">
      <alignment vertical="center"/>
    </xf>
    <xf numFmtId="0" fontId="5" fillId="0" borderId="48" xfId="0" applyFont="1" applyBorder="1" applyAlignment="1">
      <alignment horizontal="center" vertical="center"/>
    </xf>
    <xf numFmtId="0" fontId="11" fillId="0" borderId="24" xfId="0" applyFont="1" applyBorder="1" applyAlignment="1">
      <alignment horizontal="center" vertical="center"/>
    </xf>
    <xf numFmtId="0" fontId="10" fillId="2" borderId="36" xfId="0" applyFont="1" applyFill="1" applyBorder="1" applyAlignment="1">
      <alignment vertical="center"/>
    </xf>
    <xf numFmtId="0" fontId="23" fillId="0" borderId="11" xfId="0" applyFont="1" applyBorder="1" applyAlignment="1">
      <alignment horizontal="center" vertical="center"/>
    </xf>
    <xf numFmtId="4" fontId="23" fillId="0" borderId="36" xfId="0" applyNumberFormat="1" applyFont="1" applyBorder="1" applyAlignment="1">
      <alignment vertical="center"/>
    </xf>
    <xf numFmtId="0" fontId="10" fillId="0" borderId="11" xfId="0" applyFont="1" applyFill="1" applyBorder="1" applyAlignment="1">
      <alignment horizontal="center" vertical="center"/>
    </xf>
    <xf numFmtId="0" fontId="10" fillId="0" borderId="11" xfId="0" applyFont="1" applyBorder="1" applyAlignment="1">
      <alignment horizontal="center" vertical="center"/>
    </xf>
    <xf numFmtId="0" fontId="10" fillId="0" borderId="49" xfId="0" applyFont="1" applyBorder="1" applyAlignment="1">
      <alignment vertical="center"/>
    </xf>
    <xf numFmtId="0" fontId="10" fillId="2" borderId="35" xfId="0" applyFont="1" applyFill="1" applyBorder="1" applyAlignment="1">
      <alignment vertical="center"/>
    </xf>
    <xf numFmtId="0" fontId="10" fillId="3" borderId="50" xfId="0" applyFont="1" applyFill="1" applyBorder="1" applyAlignment="1">
      <alignment vertical="center"/>
    </xf>
    <xf numFmtId="0" fontId="25" fillId="0" borderId="36" xfId="0" applyFont="1" applyBorder="1" applyAlignment="1">
      <alignment vertical="center"/>
    </xf>
    <xf numFmtId="0" fontId="25" fillId="0" borderId="39" xfId="0" applyFont="1" applyBorder="1" applyAlignment="1">
      <alignment vertical="center"/>
    </xf>
    <xf numFmtId="0" fontId="25" fillId="0" borderId="43" xfId="0" applyFont="1" applyBorder="1" applyAlignment="1">
      <alignment vertical="center"/>
    </xf>
    <xf numFmtId="0" fontId="23" fillId="0" borderId="28" xfId="0" applyFont="1" applyBorder="1" applyAlignment="1">
      <alignment horizontal="center" vertical="center"/>
    </xf>
    <xf numFmtId="0" fontId="23" fillId="0" borderId="36" xfId="0" applyFont="1" applyBorder="1" applyAlignment="1">
      <alignment horizontal="center" vertical="center"/>
    </xf>
    <xf numFmtId="0" fontId="10" fillId="0" borderId="28" xfId="0" applyFont="1" applyBorder="1" applyAlignment="1">
      <alignment horizontal="center" vertical="center"/>
    </xf>
    <xf numFmtId="0" fontId="25" fillId="0" borderId="35" xfId="0" applyFont="1" applyBorder="1" applyAlignment="1">
      <alignment vertical="center"/>
    </xf>
    <xf numFmtId="174" fontId="7" fillId="0" borderId="8" xfId="0" applyNumberFormat="1" applyFont="1" applyBorder="1" applyAlignment="1">
      <alignment horizontal="center" vertical="center"/>
    </xf>
    <xf numFmtId="174" fontId="10" fillId="0" borderId="51" xfId="0" applyNumberFormat="1" applyFont="1" applyBorder="1" applyAlignment="1">
      <alignment horizontal="center" vertical="center"/>
    </xf>
    <xf numFmtId="174" fontId="10" fillId="0" borderId="1" xfId="0" applyNumberFormat="1" applyFont="1" applyBorder="1" applyAlignment="1">
      <alignment horizontal="center" vertical="center"/>
    </xf>
    <xf numFmtId="174" fontId="10" fillId="0" borderId="7" xfId="0" applyNumberFormat="1" applyFont="1" applyBorder="1" applyAlignment="1">
      <alignment horizontal="center" vertical="center"/>
    </xf>
    <xf numFmtId="174" fontId="10" fillId="0" borderId="4" xfId="0" applyNumberFormat="1" applyFont="1" applyBorder="1" applyAlignment="1">
      <alignment horizontal="center" vertical="center"/>
    </xf>
    <xf numFmtId="174" fontId="10" fillId="0" borderId="2" xfId="0" applyNumberFormat="1" applyFont="1" applyBorder="1" applyAlignment="1">
      <alignment horizontal="center" vertical="center"/>
    </xf>
    <xf numFmtId="174" fontId="10" fillId="2" borderId="2" xfId="0" applyNumberFormat="1" applyFont="1" applyFill="1" applyBorder="1" applyAlignment="1">
      <alignment horizontal="center" vertical="center"/>
    </xf>
    <xf numFmtId="174" fontId="10" fillId="4" borderId="2" xfId="0" applyNumberFormat="1" applyFont="1" applyFill="1" applyBorder="1" applyAlignment="1">
      <alignment horizontal="center" vertical="center"/>
    </xf>
    <xf numFmtId="174" fontId="10" fillId="0" borderId="3" xfId="0" applyNumberFormat="1" applyFont="1" applyBorder="1" applyAlignment="1">
      <alignment horizontal="center" vertical="center"/>
    </xf>
    <xf numFmtId="174" fontId="10" fillId="0" borderId="32" xfId="0" applyNumberFormat="1" applyFont="1" applyBorder="1" applyAlignment="1">
      <alignment horizontal="center" vertical="center"/>
    </xf>
    <xf numFmtId="174" fontId="10" fillId="0" borderId="28" xfId="0" applyNumberFormat="1" applyFont="1" applyBorder="1" applyAlignment="1">
      <alignment horizontal="center" vertical="center"/>
    </xf>
    <xf numFmtId="174" fontId="10" fillId="0" borderId="30" xfId="0" applyNumberFormat="1" applyFont="1" applyBorder="1" applyAlignment="1">
      <alignment horizontal="center" vertical="center"/>
    </xf>
    <xf numFmtId="0" fontId="29" fillId="0" borderId="0" xfId="0" applyFont="1" applyFill="1" applyAlignment="1">
      <alignment vertical="center"/>
    </xf>
    <xf numFmtId="14" fontId="30" fillId="0" borderId="0" xfId="0" applyNumberFormat="1" applyFont="1" applyFill="1" applyAlignment="1">
      <alignment vertical="center"/>
    </xf>
    <xf numFmtId="0" fontId="31" fillId="0" borderId="0" xfId="0" applyFont="1" applyFill="1" applyAlignment="1">
      <alignment horizontal="left" vertical="center"/>
    </xf>
    <xf numFmtId="0" fontId="32" fillId="0" borderId="9" xfId="0" applyFont="1" applyFill="1" applyBorder="1" applyAlignment="1">
      <alignment horizontal="center" vertical="center"/>
    </xf>
    <xf numFmtId="4" fontId="33" fillId="0" borderId="7" xfId="0" applyNumberFormat="1" applyFont="1" applyFill="1" applyBorder="1" applyAlignment="1">
      <alignment vertical="center"/>
    </xf>
    <xf numFmtId="4" fontId="33" fillId="0" borderId="1" xfId="0" applyNumberFormat="1" applyFont="1" applyFill="1" applyBorder="1" applyAlignment="1">
      <alignment vertical="center"/>
    </xf>
    <xf numFmtId="4" fontId="33" fillId="0" borderId="11" xfId="0" applyNumberFormat="1" applyFont="1" applyFill="1" applyBorder="1" applyAlignment="1">
      <alignment vertical="center"/>
    </xf>
    <xf numFmtId="0" fontId="33" fillId="0" borderId="11" xfId="0" applyFont="1" applyFill="1" applyBorder="1" applyAlignment="1">
      <alignment vertical="center"/>
    </xf>
    <xf numFmtId="4" fontId="33" fillId="0" borderId="34" xfId="0" applyNumberFormat="1" applyFont="1" applyFill="1" applyBorder="1" applyAlignment="1">
      <alignment vertical="center"/>
    </xf>
    <xf numFmtId="4" fontId="33" fillId="0" borderId="36" xfId="0" applyNumberFormat="1" applyFont="1" applyFill="1" applyBorder="1" applyAlignment="1">
      <alignment vertical="center"/>
    </xf>
    <xf numFmtId="0" fontId="33" fillId="0" borderId="36" xfId="0" applyFont="1" applyFill="1" applyBorder="1" applyAlignment="1">
      <alignment vertical="center"/>
    </xf>
    <xf numFmtId="4" fontId="34" fillId="0" borderId="36" xfId="0" applyNumberFormat="1" applyFont="1" applyFill="1" applyBorder="1" applyAlignment="1">
      <alignment vertical="center"/>
    </xf>
    <xf numFmtId="4" fontId="33" fillId="0" borderId="30" xfId="0" applyNumberFormat="1" applyFont="1" applyFill="1" applyBorder="1" applyAlignment="1">
      <alignment vertical="center"/>
    </xf>
    <xf numFmtId="174" fontId="35" fillId="0" borderId="0" xfId="0" applyNumberFormat="1" applyFont="1" applyFill="1" applyAlignment="1">
      <alignment horizontal="center" vertical="center"/>
    </xf>
    <xf numFmtId="174" fontId="32" fillId="0" borderId="52" xfId="0" applyNumberFormat="1" applyFont="1" applyFill="1" applyBorder="1" applyAlignment="1">
      <alignment horizontal="center" vertical="center"/>
    </xf>
    <xf numFmtId="174" fontId="33" fillId="0" borderId="53" xfId="0" applyNumberFormat="1" applyFont="1" applyFill="1" applyBorder="1" applyAlignment="1">
      <alignment horizontal="center" vertical="center"/>
    </xf>
    <xf numFmtId="174" fontId="33" fillId="0" borderId="54" xfId="0" applyNumberFormat="1" applyFont="1" applyFill="1" applyBorder="1" applyAlignment="1">
      <alignment horizontal="center" vertical="center"/>
    </xf>
    <xf numFmtId="174" fontId="33" fillId="0" borderId="55" xfId="0" applyNumberFormat="1" applyFont="1" applyFill="1" applyBorder="1" applyAlignment="1">
      <alignment horizontal="center" vertical="center"/>
    </xf>
    <xf numFmtId="174" fontId="33" fillId="0" borderId="56" xfId="0" applyNumberFormat="1" applyFont="1" applyFill="1" applyBorder="1" applyAlignment="1">
      <alignment horizontal="center" vertical="center"/>
    </xf>
    <xf numFmtId="174" fontId="33" fillId="0" borderId="57" xfId="0" applyNumberFormat="1" applyFont="1" applyFill="1" applyBorder="1" applyAlignment="1">
      <alignment horizontal="center" vertical="center"/>
    </xf>
    <xf numFmtId="174" fontId="33" fillId="0" borderId="58" xfId="0" applyNumberFormat="1" applyFont="1" applyFill="1" applyBorder="1" applyAlignment="1">
      <alignment horizontal="center" vertical="center"/>
    </xf>
    <xf numFmtId="174" fontId="33" fillId="0" borderId="59" xfId="0" applyNumberFormat="1" applyFont="1" applyFill="1" applyBorder="1" applyAlignment="1">
      <alignment horizontal="center" vertical="center"/>
    </xf>
    <xf numFmtId="174" fontId="33" fillId="0" borderId="60" xfId="0" applyNumberFormat="1" applyFont="1" applyFill="1" applyBorder="1" applyAlignment="1">
      <alignment horizontal="center" vertical="center"/>
    </xf>
    <xf numFmtId="0" fontId="8" fillId="0" borderId="27" xfId="0" applyFont="1" applyBorder="1" applyAlignment="1">
      <alignment horizontal="centerContinuous" vertical="center"/>
    </xf>
    <xf numFmtId="4" fontId="25" fillId="0" borderId="28" xfId="0" applyNumberFormat="1" applyFont="1" applyBorder="1" applyAlignment="1">
      <alignment vertical="center"/>
    </xf>
    <xf numFmtId="0" fontId="10" fillId="0" borderId="35" xfId="0" applyFont="1" applyFill="1" applyBorder="1" applyAlignment="1">
      <alignment vertical="center"/>
    </xf>
    <xf numFmtId="0" fontId="36" fillId="0" borderId="28" xfId="0" applyFont="1" applyBorder="1" applyAlignment="1">
      <alignment vertical="center"/>
    </xf>
    <xf numFmtId="0" fontId="10" fillId="0" borderId="36" xfId="0" applyFont="1" applyFill="1" applyBorder="1" applyAlignment="1">
      <alignment horizontal="center" vertical="center"/>
    </xf>
    <xf numFmtId="0" fontId="10" fillId="3" borderId="36" xfId="0" applyFont="1" applyFill="1" applyBorder="1" applyAlignment="1">
      <alignment horizontal="center" vertical="center"/>
    </xf>
    <xf numFmtId="0" fontId="10" fillId="3" borderId="36" xfId="0" quotePrefix="1" applyFont="1" applyFill="1" applyBorder="1" applyAlignment="1">
      <alignment horizontal="center" vertical="center"/>
    </xf>
    <xf numFmtId="0" fontId="10" fillId="0" borderId="37" xfId="0" applyFont="1" applyBorder="1" applyAlignment="1">
      <alignment horizontal="left" vertical="center"/>
    </xf>
    <xf numFmtId="3" fontId="12" fillId="0" borderId="28" xfId="0" applyNumberFormat="1" applyFont="1" applyBorder="1" applyAlignment="1">
      <alignment horizontal="right" vertical="center"/>
    </xf>
    <xf numFmtId="0" fontId="10" fillId="3" borderId="36" xfId="0" applyFont="1" applyFill="1" applyBorder="1" applyAlignment="1">
      <alignment horizontal="center" vertical="center" wrapText="1" shrinkToFit="1"/>
    </xf>
    <xf numFmtId="0" fontId="11" fillId="3" borderId="36" xfId="0" applyFont="1" applyFill="1" applyBorder="1" applyAlignment="1">
      <alignment horizontal="center" vertical="center" wrapText="1"/>
    </xf>
    <xf numFmtId="4" fontId="27" fillId="0" borderId="36" xfId="0" applyNumberFormat="1" applyFont="1" applyFill="1" applyBorder="1" applyAlignment="1">
      <alignment vertical="center"/>
    </xf>
    <xf numFmtId="174" fontId="27" fillId="0" borderId="59" xfId="0" applyNumberFormat="1" applyFont="1" applyFill="1" applyBorder="1" applyAlignment="1">
      <alignment horizontal="center" vertical="center"/>
    </xf>
    <xf numFmtId="0" fontId="10" fillId="3" borderId="36" xfId="0" applyFont="1" applyFill="1" applyBorder="1" applyAlignment="1">
      <alignment horizontal="left" vertical="center"/>
    </xf>
    <xf numFmtId="0" fontId="15" fillId="0" borderId="0" xfId="0" applyFont="1" applyFill="1" applyAlignment="1">
      <alignment vertical="center"/>
    </xf>
    <xf numFmtId="0" fontId="3" fillId="0" borderId="61" xfId="0" applyFont="1" applyFill="1" applyBorder="1" applyAlignment="1">
      <alignment vertical="center"/>
    </xf>
    <xf numFmtId="0" fontId="10" fillId="0" borderId="62" xfId="0" applyFont="1" applyFill="1" applyBorder="1" applyAlignment="1">
      <alignment vertical="center"/>
    </xf>
    <xf numFmtId="0" fontId="25" fillId="0" borderId="62" xfId="0" applyFont="1" applyFill="1" applyBorder="1" applyAlignment="1">
      <alignment vertical="center"/>
    </xf>
    <xf numFmtId="0" fontId="10" fillId="0" borderId="63" xfId="0" applyFont="1" applyFill="1" applyBorder="1" applyAlignment="1">
      <alignment vertical="center"/>
    </xf>
    <xf numFmtId="0" fontId="3" fillId="0" borderId="14" xfId="0" applyFont="1" applyFill="1" applyBorder="1" applyAlignment="1">
      <alignment vertical="center"/>
    </xf>
    <xf numFmtId="0" fontId="10" fillId="0" borderId="62" xfId="0" applyFont="1" applyFill="1" applyBorder="1" applyAlignment="1">
      <alignment horizontal="center" vertical="center"/>
    </xf>
    <xf numFmtId="0" fontId="23" fillId="0" borderId="62" xfId="0" applyFont="1" applyFill="1" applyBorder="1" applyAlignment="1">
      <alignment horizontal="center" vertical="center"/>
    </xf>
    <xf numFmtId="0" fontId="23" fillId="0" borderId="63" xfId="0" applyFont="1" applyFill="1" applyBorder="1" applyAlignment="1">
      <alignment horizontal="center" vertical="center"/>
    </xf>
    <xf numFmtId="0" fontId="10" fillId="0" borderId="62" xfId="0" quotePrefix="1" applyFont="1" applyFill="1" applyBorder="1" applyAlignment="1">
      <alignment horizontal="center" vertical="center"/>
    </xf>
    <xf numFmtId="0" fontId="10" fillId="0" borderId="62" xfId="0" applyFont="1" applyFill="1" applyBorder="1" applyAlignment="1">
      <alignment horizontal="center" vertical="center" wrapText="1" shrinkToFit="1"/>
    </xf>
    <xf numFmtId="0" fontId="11" fillId="0" borderId="62" xfId="0" applyFont="1" applyFill="1" applyBorder="1" applyAlignment="1">
      <alignment horizontal="center" vertical="center" wrapText="1"/>
    </xf>
    <xf numFmtId="0" fontId="10" fillId="0" borderId="62" xfId="0" applyFont="1" applyFill="1" applyBorder="1" applyAlignment="1">
      <alignment horizontal="left" vertical="center"/>
    </xf>
    <xf numFmtId="0" fontId="10" fillId="0" borderId="45" xfId="0" applyFont="1" applyBorder="1" applyAlignment="1">
      <alignment horizontal="left" vertical="center"/>
    </xf>
    <xf numFmtId="0" fontId="10" fillId="0" borderId="14" xfId="0" applyFont="1" applyFill="1" applyBorder="1" applyAlignment="1">
      <alignment vertical="center"/>
    </xf>
    <xf numFmtId="0" fontId="10" fillId="0" borderId="62" xfId="0" applyFont="1" applyFill="1" applyBorder="1" applyAlignment="1">
      <alignment horizontal="right" vertical="center"/>
    </xf>
    <xf numFmtId="3" fontId="12" fillId="0" borderId="14" xfId="0" applyNumberFormat="1" applyFont="1" applyFill="1" applyBorder="1" applyAlignment="1">
      <alignment vertical="center"/>
    </xf>
    <xf numFmtId="3" fontId="12" fillId="0" borderId="62" xfId="0" applyNumberFormat="1" applyFont="1" applyFill="1" applyBorder="1" applyAlignment="1">
      <alignment vertical="center"/>
    </xf>
    <xf numFmtId="3" fontId="12" fillId="0" borderId="62" xfId="0" applyNumberFormat="1" applyFont="1" applyFill="1" applyBorder="1" applyAlignment="1">
      <alignment horizontal="right" vertical="center"/>
    </xf>
    <xf numFmtId="3" fontId="12" fillId="0" borderId="63" xfId="0" applyNumberFormat="1" applyFont="1" applyFill="1" applyBorder="1" applyAlignment="1">
      <alignment vertical="center"/>
    </xf>
    <xf numFmtId="0" fontId="25" fillId="0" borderId="63" xfId="0" applyFont="1" applyFill="1" applyBorder="1" applyAlignment="1">
      <alignment vertical="center"/>
    </xf>
    <xf numFmtId="0" fontId="17" fillId="0" borderId="14" xfId="0" applyFont="1" applyFill="1" applyBorder="1" applyAlignment="1">
      <alignment vertical="center"/>
    </xf>
    <xf numFmtId="0" fontId="17" fillId="0" borderId="62" xfId="0" applyFont="1" applyFill="1" applyBorder="1" applyAlignment="1">
      <alignment vertical="center"/>
    </xf>
    <xf numFmtId="0" fontId="17" fillId="0" borderId="64" xfId="0" applyFont="1" applyFill="1" applyBorder="1" applyAlignment="1">
      <alignment vertical="center"/>
    </xf>
    <xf numFmtId="0" fontId="17" fillId="0" borderId="63" xfId="0" applyFont="1" applyFill="1" applyBorder="1" applyAlignment="1">
      <alignment vertical="center"/>
    </xf>
    <xf numFmtId="0" fontId="37" fillId="0" borderId="62" xfId="0" applyFont="1" applyFill="1" applyBorder="1" applyAlignment="1">
      <alignment vertical="center"/>
    </xf>
    <xf numFmtId="0" fontId="37" fillId="0" borderId="62" xfId="0" applyFont="1" applyFill="1" applyBorder="1" applyAlignment="1">
      <alignment horizontal="center" vertical="center"/>
    </xf>
    <xf numFmtId="3" fontId="37" fillId="0" borderId="62" xfId="0" applyNumberFormat="1" applyFont="1" applyFill="1" applyBorder="1" applyAlignment="1">
      <alignment vertical="center"/>
    </xf>
    <xf numFmtId="0" fontId="38" fillId="0" borderId="62" xfId="0" applyFont="1" applyFill="1" applyBorder="1" applyAlignment="1">
      <alignment vertical="center"/>
    </xf>
    <xf numFmtId="0" fontId="38" fillId="0" borderId="65" xfId="0" applyFont="1" applyFill="1" applyBorder="1" applyAlignment="1">
      <alignment vertical="center"/>
    </xf>
    <xf numFmtId="0" fontId="38" fillId="0" borderId="64" xfId="0" applyFont="1" applyFill="1" applyBorder="1" applyAlignment="1">
      <alignment vertical="center"/>
    </xf>
    <xf numFmtId="0" fontId="40" fillId="0" borderId="62" xfId="0" applyFont="1" applyFill="1" applyBorder="1" applyAlignment="1">
      <alignment vertical="center"/>
    </xf>
    <xf numFmtId="0" fontId="40" fillId="0" borderId="62" xfId="0" applyFont="1" applyFill="1" applyBorder="1" applyAlignment="1">
      <alignment horizontal="right" vertical="center"/>
    </xf>
    <xf numFmtId="3" fontId="9" fillId="0" borderId="62" xfId="0" applyNumberFormat="1" applyFont="1" applyFill="1" applyBorder="1" applyAlignment="1">
      <alignment vertical="center"/>
    </xf>
    <xf numFmtId="0" fontId="41" fillId="0" borderId="62" xfId="0" applyFont="1" applyFill="1" applyBorder="1" applyAlignment="1">
      <alignment vertical="center"/>
    </xf>
    <xf numFmtId="0" fontId="42" fillId="0" borderId="62" xfId="0" applyFont="1" applyFill="1" applyBorder="1" applyAlignment="1">
      <alignment vertical="center"/>
    </xf>
    <xf numFmtId="0" fontId="14" fillId="0" borderId="62" xfId="0" applyFont="1" applyFill="1" applyBorder="1" applyAlignment="1">
      <alignment horizontal="center" vertical="center"/>
    </xf>
    <xf numFmtId="0" fontId="42" fillId="0" borderId="64" xfId="0" applyFont="1" applyFill="1" applyBorder="1" applyAlignment="1">
      <alignment vertical="center"/>
    </xf>
    <xf numFmtId="0" fontId="47" fillId="0" borderId="28" xfId="0" applyFont="1" applyBorder="1" applyAlignment="1">
      <alignment horizontal="left" vertical="center"/>
    </xf>
    <xf numFmtId="0" fontId="47" fillId="5" borderId="28" xfId="0" applyFont="1" applyFill="1" applyBorder="1" applyAlignment="1">
      <alignment horizontal="left" vertical="center"/>
    </xf>
    <xf numFmtId="0" fontId="37" fillId="0" borderId="66" xfId="0" applyFont="1" applyFill="1" applyBorder="1" applyAlignment="1">
      <alignment vertical="center"/>
    </xf>
    <xf numFmtId="0" fontId="37" fillId="0" borderId="66" xfId="0" applyFont="1" applyFill="1" applyBorder="1" applyAlignment="1">
      <alignment horizontal="center" vertical="center"/>
    </xf>
    <xf numFmtId="3" fontId="37" fillId="0" borderId="66" xfId="0" applyNumberFormat="1" applyFont="1" applyFill="1" applyBorder="1" applyAlignment="1">
      <alignment vertical="center"/>
    </xf>
    <xf numFmtId="0" fontId="38" fillId="0" borderId="67" xfId="0" applyFont="1" applyFill="1" applyBorder="1" applyAlignment="1">
      <alignment vertical="center"/>
    </xf>
    <xf numFmtId="0" fontId="10" fillId="0" borderId="68" xfId="0" applyFont="1" applyBorder="1" applyAlignment="1">
      <alignment vertical="center"/>
    </xf>
    <xf numFmtId="0" fontId="10" fillId="0" borderId="69" xfId="0" applyFont="1" applyBorder="1" applyAlignment="1">
      <alignment vertical="center"/>
    </xf>
    <xf numFmtId="0" fontId="10" fillId="0" borderId="70" xfId="0" applyFont="1" applyBorder="1" applyAlignment="1">
      <alignment vertical="center"/>
    </xf>
    <xf numFmtId="0" fontId="10" fillId="3" borderId="70" xfId="0" applyFont="1" applyFill="1" applyBorder="1" applyAlignment="1">
      <alignment vertical="center"/>
    </xf>
    <xf numFmtId="0" fontId="10" fillId="2" borderId="70" xfId="0" applyFont="1" applyFill="1" applyBorder="1" applyAlignment="1">
      <alignment vertical="center"/>
    </xf>
    <xf numFmtId="0" fontId="10" fillId="3" borderId="69" xfId="0" applyFont="1" applyFill="1" applyBorder="1" applyAlignment="1">
      <alignment vertical="center"/>
    </xf>
    <xf numFmtId="0" fontId="10" fillId="0" borderId="71" xfId="0" applyFont="1" applyBorder="1" applyAlignment="1">
      <alignment vertical="center"/>
    </xf>
    <xf numFmtId="0" fontId="10" fillId="0" borderId="72" xfId="0" applyFont="1" applyBorder="1" applyAlignment="1">
      <alignment vertical="center"/>
    </xf>
    <xf numFmtId="0" fontId="10" fillId="0" borderId="73" xfId="0" applyFont="1" applyBorder="1" applyAlignment="1">
      <alignment vertical="center"/>
    </xf>
    <xf numFmtId="0" fontId="10" fillId="0" borderId="74" xfId="0" applyFont="1" applyBorder="1" applyAlignment="1">
      <alignment vertical="center"/>
    </xf>
    <xf numFmtId="0" fontId="10" fillId="0" borderId="75" xfId="0" applyFont="1" applyBorder="1" applyAlignment="1">
      <alignment vertical="center"/>
    </xf>
    <xf numFmtId="0" fontId="10" fillId="0" borderId="76" xfId="0" applyFont="1" applyBorder="1" applyAlignment="1">
      <alignment vertical="center"/>
    </xf>
    <xf numFmtId="0" fontId="10" fillId="2" borderId="76" xfId="0" applyFont="1" applyFill="1" applyBorder="1" applyAlignment="1">
      <alignment vertical="center"/>
    </xf>
    <xf numFmtId="0" fontId="10" fillId="0" borderId="77" xfId="0" applyFont="1" applyBorder="1" applyAlignment="1">
      <alignment vertical="center"/>
    </xf>
    <xf numFmtId="0" fontId="10" fillId="0" borderId="76" xfId="0" applyFont="1" applyFill="1" applyBorder="1" applyAlignment="1">
      <alignment vertical="center"/>
    </xf>
    <xf numFmtId="0" fontId="10" fillId="0" borderId="78" xfId="0" applyFont="1" applyFill="1" applyBorder="1" applyAlignment="1">
      <alignment vertical="center"/>
    </xf>
    <xf numFmtId="0" fontId="47" fillId="0" borderId="75" xfId="0" applyFont="1" applyBorder="1" applyAlignment="1">
      <alignment vertical="center"/>
    </xf>
    <xf numFmtId="0" fontId="47" fillId="0" borderId="79" xfId="0" applyFont="1" applyBorder="1" applyAlignment="1">
      <alignment vertical="center"/>
    </xf>
    <xf numFmtId="0" fontId="10" fillId="0" borderId="80" xfId="0" applyFont="1" applyBorder="1" applyAlignment="1">
      <alignment vertical="center"/>
    </xf>
    <xf numFmtId="0" fontId="10" fillId="0" borderId="81" xfId="0" applyFont="1" applyBorder="1" applyAlignment="1">
      <alignment vertical="center"/>
    </xf>
    <xf numFmtId="0" fontId="10" fillId="0" borderId="82" xfId="0" applyFont="1" applyBorder="1" applyAlignment="1">
      <alignment vertical="center"/>
    </xf>
    <xf numFmtId="0" fontId="10" fillId="0" borderId="25" xfId="0" applyFont="1" applyBorder="1" applyAlignment="1">
      <alignment vertical="center"/>
    </xf>
    <xf numFmtId="0" fontId="10" fillId="0" borderId="83" xfId="0" applyFont="1" applyBorder="1" applyAlignment="1">
      <alignment vertical="center"/>
    </xf>
    <xf numFmtId="0" fontId="10" fillId="0" borderId="44" xfId="0" applyFont="1" applyBorder="1" applyAlignment="1">
      <alignment vertical="center"/>
    </xf>
    <xf numFmtId="0" fontId="17" fillId="0" borderId="67" xfId="0" applyFont="1" applyBorder="1" applyAlignment="1">
      <alignment vertical="center"/>
    </xf>
    <xf numFmtId="0" fontId="19" fillId="0" borderId="84" xfId="0" applyFont="1" applyBorder="1" applyAlignment="1">
      <alignment vertical="center"/>
    </xf>
    <xf numFmtId="0" fontId="17" fillId="0" borderId="84" xfId="0" applyFont="1" applyBorder="1" applyAlignment="1">
      <alignment vertical="center"/>
    </xf>
    <xf numFmtId="0" fontId="17" fillId="0" borderId="85" xfId="0" applyFont="1" applyBorder="1" applyAlignment="1">
      <alignment vertical="center"/>
    </xf>
    <xf numFmtId="0" fontId="17" fillId="0" borderId="86" xfId="0" applyFont="1" applyBorder="1" applyAlignment="1">
      <alignment vertical="center"/>
    </xf>
    <xf numFmtId="0" fontId="19" fillId="0" borderId="86" xfId="0" applyFont="1" applyBorder="1" applyAlignment="1">
      <alignment vertical="center"/>
    </xf>
    <xf numFmtId="0" fontId="17" fillId="0" borderId="87" xfId="0" applyFont="1" applyBorder="1" applyAlignment="1">
      <alignment vertical="center"/>
    </xf>
    <xf numFmtId="0" fontId="17" fillId="0" borderId="62" xfId="0" applyFont="1" applyBorder="1" applyAlignment="1">
      <alignment vertical="center"/>
    </xf>
    <xf numFmtId="0" fontId="17" fillId="0" borderId="65" xfId="0" applyFont="1" applyBorder="1" applyAlignment="1">
      <alignment vertical="center"/>
    </xf>
    <xf numFmtId="0" fontId="17" fillId="0" borderId="64" xfId="0" applyFont="1" applyBorder="1" applyAlignment="1">
      <alignment vertical="center"/>
    </xf>
    <xf numFmtId="0" fontId="47" fillId="0" borderId="88" xfId="0" applyFont="1" applyBorder="1" applyAlignment="1">
      <alignment vertical="center"/>
    </xf>
    <xf numFmtId="0" fontId="47" fillId="0" borderId="89" xfId="0" applyFont="1" applyBorder="1" applyAlignment="1">
      <alignment vertical="center"/>
    </xf>
    <xf numFmtId="0" fontId="47" fillId="0" borderId="90" xfId="0" applyFont="1" applyBorder="1" applyAlignment="1">
      <alignment vertical="center"/>
    </xf>
    <xf numFmtId="0" fontId="46" fillId="0" borderId="89" xfId="0" applyFont="1" applyBorder="1" applyAlignment="1">
      <alignment vertical="center"/>
    </xf>
    <xf numFmtId="0" fontId="47" fillId="0" borderId="89" xfId="0" applyFont="1" applyFill="1" applyBorder="1" applyAlignment="1">
      <alignment vertical="center"/>
    </xf>
    <xf numFmtId="0" fontId="38" fillId="0" borderId="89" xfId="0" applyFont="1" applyFill="1" applyBorder="1" applyAlignment="1">
      <alignment vertical="center"/>
    </xf>
    <xf numFmtId="0" fontId="38" fillId="0" borderId="91" xfId="0" applyFont="1" applyFill="1" applyBorder="1" applyAlignment="1">
      <alignment vertical="center"/>
    </xf>
    <xf numFmtId="0" fontId="23" fillId="3" borderId="28" xfId="0" applyFont="1" applyFill="1" applyBorder="1" applyAlignment="1">
      <alignment horizontal="left" vertical="center"/>
    </xf>
    <xf numFmtId="0" fontId="23" fillId="0" borderId="28" xfId="0" applyFont="1" applyBorder="1" applyAlignment="1">
      <alignment horizontal="left" vertical="center"/>
    </xf>
    <xf numFmtId="3" fontId="23" fillId="0" borderId="28" xfId="0" applyNumberFormat="1" applyFont="1" applyBorder="1" applyAlignment="1">
      <alignment horizontal="left" vertical="center"/>
    </xf>
    <xf numFmtId="0" fontId="23" fillId="5" borderId="28" xfId="0" applyFont="1" applyFill="1" applyBorder="1" applyAlignment="1">
      <alignment horizontal="left" vertical="center"/>
    </xf>
    <xf numFmtId="3" fontId="23" fillId="5" borderId="28" xfId="0" applyNumberFormat="1" applyFont="1" applyFill="1" applyBorder="1" applyAlignment="1">
      <alignment horizontal="left" vertical="center"/>
    </xf>
    <xf numFmtId="0" fontId="23" fillId="0" borderId="28" xfId="0" applyFont="1" applyFill="1" applyBorder="1" applyAlignment="1">
      <alignment horizontal="left" vertical="center"/>
    </xf>
    <xf numFmtId="0" fontId="37" fillId="0" borderId="28" xfId="0" applyFont="1" applyFill="1" applyBorder="1" applyAlignment="1">
      <alignment horizontal="center" vertical="center"/>
    </xf>
    <xf numFmtId="0" fontId="37" fillId="0" borderId="28" xfId="0" applyFont="1" applyFill="1" applyBorder="1" applyAlignment="1">
      <alignment vertical="center"/>
    </xf>
    <xf numFmtId="3" fontId="37" fillId="0" borderId="28" xfId="0" applyNumberFormat="1" applyFont="1" applyFill="1" applyBorder="1" applyAlignment="1">
      <alignment vertical="center"/>
    </xf>
    <xf numFmtId="0" fontId="47" fillId="6" borderId="92" xfId="0" applyFont="1" applyFill="1" applyBorder="1" applyAlignment="1">
      <alignment horizontal="left" vertical="center"/>
    </xf>
    <xf numFmtId="0" fontId="47" fillId="0" borderId="93" xfId="0" applyFont="1" applyBorder="1" applyAlignment="1">
      <alignment horizontal="left" vertical="center"/>
    </xf>
    <xf numFmtId="0" fontId="47" fillId="0" borderId="79" xfId="0" applyFont="1" applyBorder="1" applyAlignment="1">
      <alignment horizontal="left" vertical="center"/>
    </xf>
    <xf numFmtId="0" fontId="47" fillId="5" borderId="79" xfId="0" applyFont="1" applyFill="1" applyBorder="1" applyAlignment="1">
      <alignment horizontal="left" vertical="center"/>
    </xf>
    <xf numFmtId="0" fontId="23" fillId="5" borderId="79" xfId="0" applyFont="1" applyFill="1" applyBorder="1" applyAlignment="1">
      <alignment horizontal="left" vertical="center"/>
    </xf>
    <xf numFmtId="0" fontId="23" fillId="0" borderId="79" xfId="0" applyFont="1" applyBorder="1" applyAlignment="1">
      <alignment horizontal="left" vertical="center"/>
    </xf>
    <xf numFmtId="0" fontId="39" fillId="0" borderId="79" xfId="0" applyFont="1" applyFill="1" applyBorder="1" applyAlignment="1">
      <alignment vertical="center"/>
    </xf>
    <xf numFmtId="0" fontId="37" fillId="0" borderId="79" xfId="0" applyFont="1" applyFill="1" applyBorder="1" applyAlignment="1">
      <alignment vertical="center"/>
    </xf>
    <xf numFmtId="0" fontId="37" fillId="0" borderId="94" xfId="0" applyFont="1" applyFill="1" applyBorder="1" applyAlignment="1">
      <alignment vertical="center"/>
    </xf>
    <xf numFmtId="3" fontId="37" fillId="0" borderId="94" xfId="0" applyNumberFormat="1" applyFont="1" applyFill="1" applyBorder="1" applyAlignment="1">
      <alignment vertical="center"/>
    </xf>
    <xf numFmtId="0" fontId="37" fillId="0" borderId="95" xfId="0" applyFont="1" applyFill="1" applyBorder="1" applyAlignment="1">
      <alignment vertical="center"/>
    </xf>
    <xf numFmtId="0" fontId="47" fillId="0" borderId="96" xfId="0" applyFont="1" applyBorder="1" applyAlignment="1">
      <alignment horizontal="left" vertical="center"/>
    </xf>
    <xf numFmtId="0" fontId="47" fillId="0" borderId="36" xfId="0" applyFont="1" applyBorder="1" applyAlignment="1">
      <alignment horizontal="left" vertical="center"/>
    </xf>
    <xf numFmtId="0" fontId="47" fillId="5" borderId="36" xfId="0" applyFont="1" applyFill="1" applyBorder="1" applyAlignment="1">
      <alignment horizontal="left" vertical="center"/>
    </xf>
    <xf numFmtId="0" fontId="23" fillId="3" borderId="36" xfId="0" applyFont="1" applyFill="1" applyBorder="1" applyAlignment="1">
      <alignment horizontal="left" vertical="center"/>
    </xf>
    <xf numFmtId="0" fontId="23" fillId="0" borderId="36" xfId="0" applyFont="1" applyBorder="1" applyAlignment="1">
      <alignment horizontal="left" vertical="center"/>
    </xf>
    <xf numFmtId="0" fontId="23" fillId="0" borderId="36" xfId="0" applyFont="1" applyFill="1" applyBorder="1" applyAlignment="1">
      <alignment horizontal="left" vertical="center"/>
    </xf>
    <xf numFmtId="0" fontId="37" fillId="0" borderId="36" xfId="0" applyFont="1" applyFill="1" applyBorder="1" applyAlignment="1">
      <alignment horizontal="center" vertical="center"/>
    </xf>
    <xf numFmtId="0" fontId="37" fillId="0" borderId="97" xfId="0" applyFont="1" applyFill="1" applyBorder="1" applyAlignment="1">
      <alignment horizontal="center" vertical="center"/>
    </xf>
    <xf numFmtId="0" fontId="23" fillId="2" borderId="28" xfId="0" applyFont="1" applyFill="1" applyBorder="1" applyAlignment="1">
      <alignment horizontal="left" vertical="center"/>
    </xf>
    <xf numFmtId="0" fontId="47" fillId="0" borderId="98" xfId="0" applyFont="1" applyBorder="1" applyAlignment="1">
      <alignment vertical="center"/>
    </xf>
    <xf numFmtId="0" fontId="47" fillId="0" borderId="92" xfId="0" applyFont="1" applyBorder="1" applyAlignment="1">
      <alignment horizontal="left" vertical="center"/>
    </xf>
    <xf numFmtId="0" fontId="47" fillId="0" borderId="93" xfId="0" applyFont="1" applyBorder="1" applyAlignment="1">
      <alignment vertical="center"/>
    </xf>
    <xf numFmtId="0" fontId="23" fillId="0" borderId="75" xfId="0" applyFont="1" applyBorder="1" applyAlignment="1">
      <alignment vertical="center"/>
    </xf>
    <xf numFmtId="0" fontId="23" fillId="0" borderId="79" xfId="0" applyFont="1" applyFill="1" applyBorder="1" applyAlignment="1">
      <alignment vertical="center"/>
    </xf>
    <xf numFmtId="0" fontId="23" fillId="0" borderId="79" xfId="0" applyFont="1" applyBorder="1" applyAlignment="1">
      <alignment horizontal="center" vertical="center"/>
    </xf>
    <xf numFmtId="0" fontId="23" fillId="2" borderId="75" xfId="0" applyFont="1" applyFill="1" applyBorder="1" applyAlignment="1">
      <alignment vertical="center"/>
    </xf>
    <xf numFmtId="0" fontId="23" fillId="0" borderId="75" xfId="0" applyFont="1" applyFill="1" applyBorder="1" applyAlignment="1">
      <alignment vertical="center"/>
    </xf>
    <xf numFmtId="0" fontId="37" fillId="0" borderId="75" xfId="0" applyFont="1" applyFill="1" applyBorder="1" applyAlignment="1">
      <alignment vertical="center"/>
    </xf>
    <xf numFmtId="0" fontId="37" fillId="0" borderId="79" xfId="0" applyFont="1" applyFill="1" applyBorder="1" applyAlignment="1">
      <alignment horizontal="center" vertical="center"/>
    </xf>
    <xf numFmtId="0" fontId="37" fillId="0" borderId="99" xfId="0" applyFont="1" applyFill="1" applyBorder="1" applyAlignment="1">
      <alignment vertical="center"/>
    </xf>
    <xf numFmtId="0" fontId="37" fillId="0" borderId="95" xfId="0" applyFont="1" applyFill="1" applyBorder="1" applyAlignment="1">
      <alignment horizontal="center" vertical="center"/>
    </xf>
    <xf numFmtId="0" fontId="48" fillId="0" borderId="100" xfId="0" applyFont="1" applyBorder="1" applyAlignment="1">
      <alignment horizontal="center" vertical="center"/>
    </xf>
    <xf numFmtId="0" fontId="48" fillId="0" borderId="101" xfId="0" applyFont="1" applyBorder="1" applyAlignment="1">
      <alignment horizontal="center" vertical="center"/>
    </xf>
    <xf numFmtId="0" fontId="48" fillId="0" borderId="102" xfId="0" applyFont="1" applyBorder="1" applyAlignment="1">
      <alignment horizontal="center" vertical="center"/>
    </xf>
    <xf numFmtId="0" fontId="49" fillId="0" borderId="0" xfId="0" applyFont="1" applyAlignment="1">
      <alignment horizontal="center" vertical="center"/>
    </xf>
    <xf numFmtId="0" fontId="50" fillId="0" borderId="12" xfId="0" applyFont="1" applyBorder="1" applyAlignment="1">
      <alignment horizontal="centerContinuous" vertical="center"/>
    </xf>
    <xf numFmtId="0" fontId="50" fillId="0" borderId="9" xfId="0" applyFont="1" applyBorder="1" applyAlignment="1">
      <alignment horizontal="centerContinuous" vertical="center"/>
    </xf>
    <xf numFmtId="0" fontId="50" fillId="0" borderId="9" xfId="0" applyFont="1" applyFill="1" applyBorder="1" applyAlignment="1">
      <alignment horizontal="centerContinuous" vertical="center"/>
    </xf>
    <xf numFmtId="0" fontId="40" fillId="0" borderId="9" xfId="0" applyFont="1" applyBorder="1" applyAlignment="1">
      <alignment horizontal="centerContinuous" vertical="center"/>
    </xf>
    <xf numFmtId="0" fontId="42" fillId="0" borderId="27" xfId="0" applyFont="1" applyBorder="1" applyAlignment="1">
      <alignment horizontal="centerContinuous" vertical="center"/>
    </xf>
    <xf numFmtId="0" fontId="40" fillId="0" borderId="0" xfId="0" applyFont="1" applyAlignment="1">
      <alignment vertical="center"/>
    </xf>
    <xf numFmtId="0" fontId="47" fillId="0" borderId="93" xfId="0" applyFont="1" applyFill="1" applyBorder="1" applyAlignment="1">
      <alignment horizontal="left" vertical="center"/>
    </xf>
    <xf numFmtId="0" fontId="47" fillId="0" borderId="36" xfId="0" applyFont="1" applyFill="1" applyBorder="1" applyAlignment="1">
      <alignment horizontal="left" vertical="center"/>
    </xf>
    <xf numFmtId="0" fontId="47" fillId="0" borderId="28" xfId="0" applyFont="1" applyFill="1" applyBorder="1" applyAlignment="1">
      <alignment horizontal="left" vertical="center"/>
    </xf>
    <xf numFmtId="0" fontId="47" fillId="0" borderId="79" xfId="0" applyFont="1" applyFill="1" applyBorder="1" applyAlignment="1">
      <alignment horizontal="left" vertical="center"/>
    </xf>
    <xf numFmtId="3" fontId="23" fillId="0" borderId="28" xfId="0" applyNumberFormat="1" applyFont="1" applyFill="1" applyBorder="1" applyAlignment="1">
      <alignment horizontal="left" vertical="center"/>
    </xf>
    <xf numFmtId="0" fontId="23" fillId="0" borderId="79" xfId="0" applyFont="1" applyFill="1" applyBorder="1" applyAlignment="1">
      <alignment horizontal="left" vertical="center"/>
    </xf>
    <xf numFmtId="0" fontId="47" fillId="4" borderId="96" xfId="0" applyFont="1" applyFill="1" applyBorder="1" applyAlignment="1">
      <alignment horizontal="left" vertical="center"/>
    </xf>
    <xf numFmtId="0" fontId="47" fillId="4" borderId="92" xfId="0" applyFont="1" applyFill="1" applyBorder="1" applyAlignment="1">
      <alignment horizontal="left" vertical="center"/>
    </xf>
    <xf numFmtId="0" fontId="47" fillId="4" borderId="36" xfId="0" applyFont="1" applyFill="1" applyBorder="1" applyAlignment="1">
      <alignment horizontal="left" vertical="center"/>
    </xf>
    <xf numFmtId="0" fontId="47" fillId="4" borderId="28" xfId="0" applyFont="1" applyFill="1" applyBorder="1" applyAlignment="1">
      <alignment horizontal="left" vertical="center"/>
    </xf>
    <xf numFmtId="0" fontId="47" fillId="0" borderId="62" xfId="0" applyFont="1" applyBorder="1" applyAlignment="1">
      <alignment vertical="center"/>
    </xf>
    <xf numFmtId="0" fontId="44" fillId="0" borderId="75" xfId="0" applyFont="1" applyBorder="1" applyAlignment="1">
      <alignment vertical="center"/>
    </xf>
    <xf numFmtId="0" fontId="44" fillId="0" borderId="79" xfId="0" applyFont="1" applyBorder="1" applyAlignment="1">
      <alignment vertical="center"/>
    </xf>
    <xf numFmtId="0" fontId="44" fillId="0" borderId="79" xfId="0" applyFont="1" applyFill="1" applyBorder="1" applyAlignment="1">
      <alignment horizontal="left" vertical="center"/>
    </xf>
    <xf numFmtId="0" fontId="44" fillId="0" borderId="28" xfId="0" applyFont="1" applyBorder="1" applyAlignment="1">
      <alignment horizontal="left" vertical="center"/>
    </xf>
    <xf numFmtId="0" fontId="44" fillId="0" borderId="90" xfId="0" applyFont="1" applyBorder="1" applyAlignment="1">
      <alignment vertical="center"/>
    </xf>
    <xf numFmtId="0" fontId="51" fillId="0" borderId="79" xfId="0" applyFont="1" applyBorder="1" applyAlignment="1">
      <alignment vertical="center"/>
    </xf>
    <xf numFmtId="0" fontId="47" fillId="3" borderId="28" xfId="0" applyFont="1" applyFill="1" applyBorder="1" applyAlignment="1">
      <alignment horizontal="left" vertical="center"/>
    </xf>
    <xf numFmtId="0" fontId="23" fillId="0" borderId="89" xfId="0" applyFont="1" applyBorder="1" applyAlignment="1">
      <alignment vertical="center"/>
    </xf>
    <xf numFmtId="0" fontId="53" fillId="0" borderId="0" xfId="0" applyFont="1" applyAlignment="1">
      <alignment vertical="center"/>
    </xf>
    <xf numFmtId="0" fontId="4" fillId="3" borderId="28" xfId="0" applyFont="1" applyFill="1" applyBorder="1" applyAlignment="1">
      <alignment horizontal="left" vertical="center"/>
    </xf>
    <xf numFmtId="0" fontId="23" fillId="0" borderId="36" xfId="0" applyFont="1" applyFill="1" applyBorder="1" applyAlignment="1">
      <alignment horizontal="center" vertical="center"/>
    </xf>
    <xf numFmtId="0" fontId="23" fillId="0" borderId="28" xfId="0" applyFont="1" applyFill="1" applyBorder="1" applyAlignment="1">
      <alignment vertical="center"/>
    </xf>
    <xf numFmtId="0" fontId="54" fillId="0" borderId="89" xfId="0" applyFont="1" applyFill="1" applyBorder="1" applyAlignment="1">
      <alignment vertical="center"/>
    </xf>
    <xf numFmtId="0" fontId="4" fillId="0" borderId="79" xfId="0" applyFont="1" applyFill="1" applyBorder="1" applyAlignment="1">
      <alignment horizontal="center" vertical="center"/>
    </xf>
    <xf numFmtId="0" fontId="44" fillId="4" borderId="96" xfId="0" applyFont="1" applyFill="1" applyBorder="1" applyAlignment="1">
      <alignment horizontal="left" vertical="center"/>
    </xf>
    <xf numFmtId="0" fontId="44" fillId="4" borderId="92" xfId="0" applyFont="1" applyFill="1" applyBorder="1" applyAlignment="1">
      <alignment horizontal="left" vertical="center"/>
    </xf>
    <xf numFmtId="0" fontId="23" fillId="0" borderId="0" xfId="0" applyFont="1" applyAlignment="1">
      <alignment vertical="center"/>
    </xf>
    <xf numFmtId="0" fontId="4" fillId="0" borderId="89" xfId="0" applyFont="1" applyFill="1" applyBorder="1" applyAlignment="1">
      <alignment vertical="center"/>
    </xf>
    <xf numFmtId="0" fontId="23" fillId="0" borderId="79" xfId="0" applyFont="1" applyFill="1" applyBorder="1" applyAlignment="1">
      <alignment horizontal="center" vertical="center"/>
    </xf>
    <xf numFmtId="3" fontId="23" fillId="0" borderId="28" xfId="0" applyNumberFormat="1" applyFont="1" applyFill="1" applyBorder="1" applyAlignment="1">
      <alignment vertical="center"/>
    </xf>
    <xf numFmtId="0" fontId="23" fillId="0" borderId="89" xfId="0" applyFont="1" applyFill="1" applyBorder="1" applyAlignment="1">
      <alignment vertical="center"/>
    </xf>
    <xf numFmtId="0" fontId="5" fillId="0" borderId="79" xfId="0" applyFont="1" applyFill="1" applyBorder="1" applyAlignment="1">
      <alignment horizontal="center" vertical="center"/>
    </xf>
    <xf numFmtId="0" fontId="54" fillId="4" borderId="79" xfId="0" applyFont="1" applyFill="1" applyBorder="1" applyAlignment="1">
      <alignment vertical="center"/>
    </xf>
    <xf numFmtId="0" fontId="4" fillId="0" borderId="0" xfId="0" applyFont="1" applyAlignment="1">
      <alignment vertical="center"/>
    </xf>
    <xf numFmtId="0" fontId="54" fillId="0" borderId="62" xfId="0" applyFont="1" applyFill="1" applyBorder="1" applyAlignment="1">
      <alignment vertical="center"/>
    </xf>
    <xf numFmtId="0" fontId="23" fillId="0" borderId="66" xfId="0" applyFont="1" applyFill="1" applyBorder="1" applyAlignment="1">
      <alignment vertical="center"/>
    </xf>
    <xf numFmtId="0" fontId="23" fillId="0" borderId="62" xfId="0" applyFont="1" applyFill="1" applyBorder="1" applyAlignment="1">
      <alignment vertical="center"/>
    </xf>
    <xf numFmtId="0" fontId="23" fillId="0" borderId="62" xfId="0" applyFont="1" applyFill="1" applyBorder="1" applyAlignment="1">
      <alignment horizontal="left" vertical="center"/>
    </xf>
    <xf numFmtId="0" fontId="4" fillId="0" borderId="28" xfId="0" applyFont="1" applyFill="1" applyBorder="1" applyAlignment="1">
      <alignment horizontal="left" vertical="center"/>
    </xf>
    <xf numFmtId="0" fontId="4" fillId="0" borderId="79" xfId="0" applyFont="1" applyFill="1" applyBorder="1" applyAlignment="1">
      <alignment horizontal="left" vertical="center"/>
    </xf>
    <xf numFmtId="0" fontId="23" fillId="0" borderId="99" xfId="0" applyFont="1" applyFill="1" applyBorder="1" applyAlignment="1">
      <alignment vertical="center"/>
    </xf>
    <xf numFmtId="0" fontId="23" fillId="4" borderId="92" xfId="0" applyFont="1" applyFill="1" applyBorder="1" applyAlignment="1">
      <alignment horizontal="left" vertical="center"/>
    </xf>
    <xf numFmtId="0" fontId="4" fillId="0" borderId="62" xfId="0" applyFont="1" applyFill="1" applyBorder="1" applyAlignment="1">
      <alignment horizontal="left" vertical="center"/>
    </xf>
    <xf numFmtId="0" fontId="4" fillId="0" borderId="36" xfId="0" applyFont="1" applyFill="1" applyBorder="1" applyAlignment="1">
      <alignment horizontal="center" vertical="center"/>
    </xf>
    <xf numFmtId="0" fontId="55" fillId="4" borderId="92" xfId="0" applyFont="1" applyFill="1" applyBorder="1" applyAlignment="1">
      <alignment horizontal="left" vertical="center"/>
    </xf>
    <xf numFmtId="0" fontId="4" fillId="0" borderId="28" xfId="0" applyFont="1" applyFill="1" applyBorder="1" applyAlignment="1">
      <alignment horizontal="center" vertical="center"/>
    </xf>
    <xf numFmtId="0" fontId="4" fillId="0" borderId="97" xfId="0" applyFont="1" applyFill="1" applyBorder="1" applyAlignment="1">
      <alignment horizontal="center" vertical="center"/>
    </xf>
    <xf numFmtId="0" fontId="4" fillId="0" borderId="94" xfId="0" applyFont="1" applyFill="1" applyBorder="1" applyAlignment="1">
      <alignment horizontal="center" vertical="center"/>
    </xf>
    <xf numFmtId="3" fontId="4" fillId="0" borderId="94" xfId="0" applyNumberFormat="1" applyFont="1" applyFill="1" applyBorder="1" applyAlignment="1">
      <alignment horizontal="center" vertical="center"/>
    </xf>
    <xf numFmtId="0" fontId="4" fillId="4" borderId="92" xfId="0" applyFont="1" applyFill="1" applyBorder="1" applyAlignment="1">
      <alignment horizontal="left" vertical="center"/>
    </xf>
    <xf numFmtId="0" fontId="55" fillId="4" borderId="96" xfId="0" applyFont="1" applyFill="1" applyBorder="1" applyAlignment="1">
      <alignment horizontal="left" vertical="center"/>
    </xf>
    <xf numFmtId="0" fontId="4" fillId="0" borderId="62" xfId="0" applyFont="1" applyFill="1" applyBorder="1" applyAlignment="1">
      <alignment horizontal="center" vertical="center"/>
    </xf>
    <xf numFmtId="0" fontId="4" fillId="0" borderId="89" xfId="0" applyFont="1" applyBorder="1" applyAlignment="1">
      <alignment vertical="center"/>
    </xf>
    <xf numFmtId="0" fontId="54" fillId="0" borderId="62" xfId="0" applyFont="1" applyFill="1" applyBorder="1" applyAlignment="1">
      <alignment horizontal="center" vertical="center"/>
    </xf>
    <xf numFmtId="0" fontId="54" fillId="0" borderId="64" xfId="0" applyFont="1" applyFill="1" applyBorder="1" applyAlignment="1">
      <alignment vertical="center"/>
    </xf>
    <xf numFmtId="0" fontId="46" fillId="4" borderId="96" xfId="0" applyFont="1" applyFill="1" applyBorder="1" applyAlignment="1">
      <alignment horizontal="left" vertical="center"/>
    </xf>
    <xf numFmtId="3" fontId="54" fillId="0" borderId="62" xfId="0" applyNumberFormat="1" applyFont="1" applyFill="1" applyBorder="1" applyAlignment="1">
      <alignment vertical="center"/>
    </xf>
    <xf numFmtId="0" fontId="4" fillId="0" borderId="62" xfId="0" applyFont="1" applyFill="1" applyBorder="1" applyAlignment="1">
      <alignment vertical="center"/>
    </xf>
    <xf numFmtId="0" fontId="23" fillId="4" borderId="96" xfId="0" applyFont="1" applyFill="1" applyBorder="1" applyAlignment="1">
      <alignment horizontal="left" vertical="center"/>
    </xf>
    <xf numFmtId="0" fontId="4" fillId="0" borderId="64" xfId="0" applyFont="1" applyFill="1" applyBorder="1" applyAlignment="1">
      <alignment vertical="center"/>
    </xf>
    <xf numFmtId="0" fontId="56" fillId="0" borderId="62" xfId="0" applyFont="1" applyFill="1" applyBorder="1" applyAlignment="1">
      <alignment horizontal="center" vertical="center"/>
    </xf>
    <xf numFmtId="3" fontId="23" fillId="0" borderId="62" xfId="0" applyNumberFormat="1" applyFont="1" applyFill="1" applyBorder="1" applyAlignment="1">
      <alignment vertical="center"/>
    </xf>
    <xf numFmtId="0" fontId="23" fillId="0" borderId="93" xfId="0" applyFont="1" applyBorder="1" applyAlignment="1">
      <alignment vertical="center"/>
    </xf>
    <xf numFmtId="0" fontId="23" fillId="4" borderId="28" xfId="0" applyFont="1" applyFill="1" applyBorder="1" applyAlignment="1">
      <alignment horizontal="left" vertical="center"/>
    </xf>
    <xf numFmtId="0" fontId="23" fillId="0" borderId="96" xfId="0" applyFont="1" applyFill="1" applyBorder="1" applyAlignment="1">
      <alignment horizontal="left" vertical="center"/>
    </xf>
    <xf numFmtId="0" fontId="54" fillId="0" borderId="62" xfId="0" applyFont="1" applyFill="1" applyBorder="1" applyAlignment="1">
      <alignment horizontal="left" vertical="center"/>
    </xf>
    <xf numFmtId="0" fontId="23" fillId="0" borderId="92" xfId="0" applyFont="1" applyFill="1" applyBorder="1" applyAlignment="1">
      <alignment horizontal="left" vertical="center"/>
    </xf>
    <xf numFmtId="0" fontId="5" fillId="0" borderId="93" xfId="0" applyFont="1" applyBorder="1" applyAlignment="1">
      <alignment vertical="center"/>
    </xf>
    <xf numFmtId="0" fontId="23" fillId="4" borderId="103" xfId="0" applyFont="1" applyFill="1" applyBorder="1" applyAlignment="1">
      <alignment horizontal="left" vertical="center"/>
    </xf>
    <xf numFmtId="0" fontId="23" fillId="0" borderId="78" xfId="0" applyFont="1" applyBorder="1" applyAlignment="1">
      <alignment vertical="center"/>
    </xf>
    <xf numFmtId="0" fontId="54" fillId="0" borderId="64" xfId="0" applyFont="1" applyFill="1" applyBorder="1" applyAlignment="1">
      <alignment horizontal="left" vertical="center"/>
    </xf>
    <xf numFmtId="0" fontId="23" fillId="0" borderId="104" xfId="0" applyFont="1" applyBorder="1" applyAlignment="1">
      <alignment vertical="center"/>
    </xf>
    <xf numFmtId="0" fontId="23" fillId="0" borderId="105" xfId="0" applyFont="1" applyFill="1" applyBorder="1" applyAlignment="1">
      <alignment horizontal="left" vertical="center"/>
    </xf>
    <xf numFmtId="0" fontId="23" fillId="0" borderId="106" xfId="0" applyFont="1" applyFill="1" applyBorder="1" applyAlignment="1">
      <alignment horizontal="left" vertical="center"/>
    </xf>
    <xf numFmtId="0" fontId="23" fillId="4" borderId="106" xfId="0" applyFont="1" applyFill="1" applyBorder="1" applyAlignment="1">
      <alignment horizontal="left" vertical="center"/>
    </xf>
    <xf numFmtId="0" fontId="23" fillId="0" borderId="107" xfId="0" applyFont="1" applyBorder="1" applyAlignment="1">
      <alignment vertical="center"/>
    </xf>
    <xf numFmtId="0" fontId="23" fillId="0" borderId="108" xfId="0" applyFont="1" applyBorder="1" applyAlignment="1">
      <alignment vertical="center"/>
    </xf>
    <xf numFmtId="0" fontId="23" fillId="0" borderId="66" xfId="0" applyFont="1" applyFill="1" applyBorder="1" applyAlignment="1">
      <alignment horizontal="left" vertical="center"/>
    </xf>
    <xf numFmtId="0" fontId="54" fillId="0" borderId="109" xfId="0" applyFont="1" applyBorder="1" applyAlignment="1">
      <alignment vertical="center"/>
    </xf>
    <xf numFmtId="0" fontId="23" fillId="0" borderId="110" xfId="0" applyFont="1" applyFill="1" applyBorder="1" applyAlignment="1">
      <alignment horizontal="left" vertical="center"/>
    </xf>
    <xf numFmtId="0" fontId="23" fillId="0" borderId="103" xfId="0" applyFont="1" applyFill="1" applyBorder="1" applyAlignment="1">
      <alignment horizontal="left" vertical="center"/>
    </xf>
    <xf numFmtId="0" fontId="23" fillId="0" borderId="111" xfId="0" applyFont="1" applyBorder="1" applyAlignment="1">
      <alignment vertical="center"/>
    </xf>
    <xf numFmtId="0" fontId="9" fillId="0" borderId="112" xfId="0" applyFont="1" applyBorder="1" applyAlignment="1">
      <alignment vertical="center"/>
    </xf>
    <xf numFmtId="0" fontId="54" fillId="0" borderId="113" xfId="0" applyFont="1" applyFill="1" applyBorder="1" applyAlignment="1">
      <alignment horizontal="left" vertical="center"/>
    </xf>
    <xf numFmtId="0" fontId="5" fillId="0" borderId="93" xfId="0" applyFont="1" applyFill="1" applyBorder="1" applyAlignment="1">
      <alignment horizontal="left" vertical="center"/>
    </xf>
    <xf numFmtId="0" fontId="9" fillId="0" borderId="114" xfId="0" applyFont="1" applyBorder="1" applyAlignment="1">
      <alignment vertical="center"/>
    </xf>
    <xf numFmtId="0" fontId="54" fillId="0" borderId="63" xfId="0" applyFont="1" applyFill="1" applyBorder="1" applyAlignment="1">
      <alignment horizontal="left" vertical="center"/>
    </xf>
    <xf numFmtId="0" fontId="5" fillId="0" borderId="115" xfId="0" applyFont="1" applyFill="1" applyBorder="1" applyAlignment="1">
      <alignment horizontal="left" vertical="center"/>
    </xf>
    <xf numFmtId="0" fontId="23" fillId="4" borderId="116" xfId="0" applyFont="1" applyFill="1" applyBorder="1" applyAlignment="1">
      <alignment horizontal="left" vertical="center"/>
    </xf>
    <xf numFmtId="0" fontId="23" fillId="4" borderId="117" xfId="0" applyFont="1" applyFill="1" applyBorder="1" applyAlignment="1">
      <alignment horizontal="left" vertical="center"/>
    </xf>
    <xf numFmtId="0" fontId="4" fillId="0" borderId="93" xfId="0" applyFont="1" applyBorder="1" applyAlignment="1">
      <alignment vertical="center"/>
    </xf>
    <xf numFmtId="0" fontId="45" fillId="0" borderId="92" xfId="0" applyFont="1" applyFill="1" applyBorder="1" applyAlignment="1">
      <alignment horizontal="left" vertical="center"/>
    </xf>
    <xf numFmtId="0" fontId="23" fillId="0" borderId="98" xfId="0" applyFont="1" applyBorder="1" applyAlignment="1">
      <alignment vertical="center"/>
    </xf>
    <xf numFmtId="0" fontId="23" fillId="0" borderId="92" xfId="0" applyFont="1" applyBorder="1" applyAlignment="1">
      <alignment horizontal="left" vertical="center"/>
    </xf>
    <xf numFmtId="0" fontId="23" fillId="7" borderId="92" xfId="0" applyFont="1" applyFill="1" applyBorder="1" applyAlignment="1">
      <alignment horizontal="left" vertical="center"/>
    </xf>
    <xf numFmtId="0" fontId="23" fillId="0" borderId="88" xfId="0" applyFont="1" applyBorder="1" applyAlignment="1">
      <alignment vertical="center"/>
    </xf>
    <xf numFmtId="0" fontId="57" fillId="0" borderId="0" xfId="0" applyFont="1" applyAlignment="1">
      <alignment vertical="center"/>
    </xf>
    <xf numFmtId="0" fontId="4" fillId="0" borderId="92" xfId="0" applyFont="1" applyBorder="1" applyAlignment="1">
      <alignment horizontal="left" vertical="center"/>
    </xf>
    <xf numFmtId="0" fontId="54" fillId="0" borderId="93" xfId="0" applyFont="1" applyBorder="1" applyAlignment="1">
      <alignment vertical="center"/>
    </xf>
    <xf numFmtId="0" fontId="88" fillId="0" borderId="0" xfId="0" applyFont="1" applyAlignment="1">
      <alignment vertical="center"/>
    </xf>
    <xf numFmtId="0" fontId="89" fillId="0" borderId="98" xfId="0" applyFont="1" applyBorder="1" applyAlignment="1">
      <alignment vertical="center"/>
    </xf>
    <xf numFmtId="0" fontId="89" fillId="0" borderId="92" xfId="0" applyFont="1" applyBorder="1" applyAlignment="1">
      <alignment horizontal="left" vertical="center"/>
    </xf>
    <xf numFmtId="0" fontId="89" fillId="0" borderId="93" xfId="0" applyFont="1" applyBorder="1" applyAlignment="1">
      <alignment vertical="center"/>
    </xf>
    <xf numFmtId="0" fontId="89" fillId="4" borderId="96" xfId="0" applyFont="1" applyFill="1" applyBorder="1" applyAlignment="1">
      <alignment horizontal="left" vertical="center"/>
    </xf>
    <xf numFmtId="0" fontId="89" fillId="4" borderId="92" xfId="0" applyFont="1" applyFill="1" applyBorder="1" applyAlignment="1">
      <alignment horizontal="left" vertical="center"/>
    </xf>
    <xf numFmtId="0" fontId="89" fillId="0" borderId="28" xfId="0" applyFont="1" applyFill="1" applyBorder="1" applyAlignment="1">
      <alignment horizontal="left" vertical="center"/>
    </xf>
    <xf numFmtId="0" fontId="89" fillId="0" borderId="88" xfId="0" applyFont="1" applyBorder="1" applyAlignment="1">
      <alignment vertical="center"/>
    </xf>
    <xf numFmtId="0" fontId="89" fillId="0" borderId="92" xfId="0" applyFont="1" applyFill="1" applyBorder="1" applyAlignment="1">
      <alignment horizontal="left" vertical="center"/>
    </xf>
    <xf numFmtId="0" fontId="90" fillId="0" borderId="92" xfId="0" applyFont="1" applyBorder="1" applyAlignment="1">
      <alignment horizontal="left" vertical="center"/>
    </xf>
    <xf numFmtId="0" fontId="88" fillId="0" borderId="0" xfId="0" applyFont="1" applyBorder="1" applyAlignment="1">
      <alignment vertical="center"/>
    </xf>
    <xf numFmtId="0" fontId="23" fillId="0" borderId="118" xfId="0" applyFont="1" applyBorder="1" applyAlignment="1">
      <alignment vertical="center"/>
    </xf>
    <xf numFmtId="0" fontId="4" fillId="0" borderId="116" xfId="0" applyFont="1" applyBorder="1" applyAlignment="1">
      <alignment horizontal="left" vertical="center"/>
    </xf>
    <xf numFmtId="0" fontId="23" fillId="0" borderId="119" xfId="0" applyFont="1" applyBorder="1" applyAlignment="1">
      <alignment vertical="center"/>
    </xf>
    <xf numFmtId="0" fontId="9" fillId="0" borderId="0" xfId="0" applyFont="1" applyBorder="1" applyAlignment="1">
      <alignment vertical="center"/>
    </xf>
    <xf numFmtId="0" fontId="59" fillId="0" borderId="0" xfId="0" applyFont="1" applyBorder="1" applyAlignment="1">
      <alignment vertical="center"/>
    </xf>
    <xf numFmtId="0" fontId="60" fillId="0" borderId="98" xfId="0" applyFont="1" applyBorder="1" applyAlignment="1">
      <alignment vertical="center"/>
    </xf>
    <xf numFmtId="0" fontId="62" fillId="0" borderId="93" xfId="0" applyFont="1" applyBorder="1" applyAlignment="1">
      <alignment vertical="center"/>
    </xf>
    <xf numFmtId="0" fontId="60" fillId="0" borderId="96" xfId="0" applyFont="1" applyFill="1" applyBorder="1" applyAlignment="1">
      <alignment horizontal="left" vertical="center"/>
    </xf>
    <xf numFmtId="0" fontId="60" fillId="4" borderId="92" xfId="0" applyFont="1" applyFill="1" applyBorder="1" applyAlignment="1">
      <alignment horizontal="left" vertical="center"/>
    </xf>
    <xf numFmtId="0" fontId="60" fillId="0" borderId="88" xfId="0" applyFont="1" applyBorder="1" applyAlignment="1">
      <alignment vertical="center"/>
    </xf>
    <xf numFmtId="0" fontId="59" fillId="0" borderId="0" xfId="0" applyFont="1" applyAlignment="1">
      <alignment vertical="center"/>
    </xf>
    <xf numFmtId="0" fontId="90" fillId="0" borderId="93" xfId="0" applyFont="1" applyBorder="1" applyAlignment="1">
      <alignment vertical="center"/>
    </xf>
    <xf numFmtId="0" fontId="89" fillId="0" borderId="96" xfId="0" applyFont="1" applyFill="1" applyBorder="1" applyAlignment="1">
      <alignment horizontal="left" vertical="center"/>
    </xf>
    <xf numFmtId="0" fontId="45" fillId="0" borderId="96" xfId="0" applyFont="1" applyFill="1" applyBorder="1" applyAlignment="1">
      <alignment horizontal="left" vertical="center"/>
    </xf>
    <xf numFmtId="0" fontId="91" fillId="0" borderId="0" xfId="0" applyFont="1" applyBorder="1" applyAlignment="1">
      <alignment vertical="center"/>
    </xf>
    <xf numFmtId="0" fontId="92" fillId="0" borderId="98" xfId="0" applyFont="1" applyBorder="1" applyAlignment="1">
      <alignment vertical="center"/>
    </xf>
    <xf numFmtId="0" fontId="93" fillId="0" borderId="93" xfId="0" applyFont="1" applyBorder="1" applyAlignment="1">
      <alignment vertical="center"/>
    </xf>
    <xf numFmtId="0" fontId="91" fillId="0" borderId="0" xfId="0" applyFont="1" applyAlignment="1">
      <alignment vertical="center"/>
    </xf>
    <xf numFmtId="0" fontId="89" fillId="7" borderId="92" xfId="0" applyFont="1" applyFill="1" applyBorder="1" applyAlignment="1">
      <alignment horizontal="left" vertical="center"/>
    </xf>
    <xf numFmtId="0" fontId="94" fillId="0" borderId="93" xfId="0" applyFont="1" applyBorder="1" applyAlignment="1">
      <alignment vertical="center" wrapText="1"/>
    </xf>
    <xf numFmtId="0" fontId="56" fillId="0" borderId="92" xfId="0" applyFont="1" applyBorder="1" applyAlignment="1">
      <alignment horizontal="left" vertical="center" wrapText="1"/>
    </xf>
    <xf numFmtId="0" fontId="54" fillId="0" borderId="93" xfId="0" applyFont="1" applyBorder="1" applyAlignment="1">
      <alignment vertical="center" wrapText="1"/>
    </xf>
    <xf numFmtId="0" fontId="54" fillId="0" borderId="88" xfId="0" applyFont="1" applyBorder="1" applyAlignment="1">
      <alignment vertical="center"/>
    </xf>
    <xf numFmtId="0" fontId="89" fillId="0" borderId="75" xfId="0" applyFont="1" applyBorder="1" applyAlignment="1">
      <alignment vertical="center"/>
    </xf>
    <xf numFmtId="0" fontId="94" fillId="0" borderId="62" xfId="0" applyFont="1" applyFill="1" applyBorder="1" applyAlignment="1">
      <alignment horizontal="left" vertical="center"/>
    </xf>
    <xf numFmtId="0" fontId="89" fillId="0" borderId="89" xfId="0" applyFont="1" applyBorder="1" applyAlignment="1">
      <alignment vertical="center"/>
    </xf>
    <xf numFmtId="0" fontId="5" fillId="0" borderId="92" xfId="0" applyFont="1" applyBorder="1" applyAlignment="1">
      <alignment horizontal="left" vertical="center" wrapText="1"/>
    </xf>
    <xf numFmtId="0" fontId="0" fillId="0" borderId="0" xfId="0" applyFont="1"/>
    <xf numFmtId="0" fontId="4" fillId="0" borderId="0" xfId="0" applyFont="1" applyBorder="1" applyAlignment="1">
      <alignment vertical="center"/>
    </xf>
    <xf numFmtId="0" fontId="54" fillId="0" borderId="93" xfId="0" applyFont="1" applyFill="1" applyBorder="1" applyAlignment="1">
      <alignment vertical="center" wrapText="1"/>
    </xf>
    <xf numFmtId="0" fontId="9" fillId="0" borderId="0" xfId="0" applyFont="1" applyFill="1" applyAlignment="1">
      <alignment vertical="center"/>
    </xf>
    <xf numFmtId="0" fontId="54" fillId="0" borderId="62" xfId="0" applyFont="1" applyFill="1" applyBorder="1" applyAlignment="1">
      <alignment horizontal="left" vertical="center" wrapText="1"/>
    </xf>
    <xf numFmtId="0" fontId="95" fillId="0" borderId="75" xfId="0" applyFont="1" applyBorder="1" applyAlignment="1">
      <alignment vertical="center"/>
    </xf>
    <xf numFmtId="0" fontId="96" fillId="0" borderId="62" xfId="0" applyFont="1" applyFill="1" applyBorder="1" applyAlignment="1">
      <alignment horizontal="left" vertical="center"/>
    </xf>
    <xf numFmtId="0" fontId="96" fillId="0" borderId="93" xfId="0" applyFont="1" applyFill="1" applyBorder="1" applyAlignment="1">
      <alignment vertical="center" wrapText="1"/>
    </xf>
    <xf numFmtId="0" fontId="95" fillId="7" borderId="92" xfId="0" applyFont="1" applyFill="1" applyBorder="1" applyAlignment="1">
      <alignment horizontal="left" vertical="center"/>
    </xf>
    <xf numFmtId="0" fontId="95" fillId="0" borderId="92" xfId="0" applyFont="1" applyFill="1" applyBorder="1" applyAlignment="1">
      <alignment horizontal="left" vertical="center"/>
    </xf>
    <xf numFmtId="0" fontId="95" fillId="0" borderId="89" xfId="0" applyFont="1" applyBorder="1" applyAlignment="1">
      <alignment vertical="center"/>
    </xf>
    <xf numFmtId="0" fontId="97" fillId="0" borderId="0" xfId="0" applyFont="1" applyAlignment="1">
      <alignment vertical="center"/>
    </xf>
    <xf numFmtId="0" fontId="96" fillId="0" borderId="62" xfId="0" applyFont="1" applyFill="1" applyBorder="1" applyAlignment="1">
      <alignment horizontal="left" vertical="center" wrapText="1"/>
    </xf>
    <xf numFmtId="0" fontId="4" fillId="3" borderId="28" xfId="0" applyFont="1" applyFill="1" applyBorder="1" applyAlignment="1">
      <alignment horizontal="left" vertical="center" wrapText="1"/>
    </xf>
    <xf numFmtId="0" fontId="4" fillId="0" borderId="28" xfId="0" applyFont="1" applyBorder="1" applyAlignment="1">
      <alignment horizontal="left" vertical="center" wrapText="1"/>
    </xf>
    <xf numFmtId="0" fontId="9" fillId="0" borderId="109" xfId="0" applyFont="1" applyBorder="1" applyAlignment="1">
      <alignment vertical="center"/>
    </xf>
    <xf numFmtId="0" fontId="9" fillId="0" borderId="120" xfId="0" applyFont="1" applyBorder="1" applyAlignment="1">
      <alignment vertical="center"/>
    </xf>
    <xf numFmtId="0" fontId="4" fillId="0" borderId="103" xfId="0" applyFont="1" applyBorder="1" applyAlignment="1">
      <alignment horizontal="left" vertical="center" wrapText="1"/>
    </xf>
    <xf numFmtId="0" fontId="54" fillId="0" borderId="109" xfId="0" applyFont="1" applyBorder="1" applyAlignment="1">
      <alignment vertical="center" wrapText="1"/>
    </xf>
    <xf numFmtId="0" fontId="23" fillId="7" borderId="103" xfId="0" applyFont="1" applyFill="1" applyBorder="1" applyAlignment="1">
      <alignment horizontal="left" vertical="center"/>
    </xf>
    <xf numFmtId="0" fontId="90" fillId="0" borderId="92" xfId="0" applyFont="1" applyBorder="1" applyAlignment="1">
      <alignment horizontal="left" vertical="center" wrapText="1"/>
    </xf>
    <xf numFmtId="0" fontId="89" fillId="0" borderId="118" xfId="0" applyFont="1" applyBorder="1" applyAlignment="1">
      <alignment vertical="center"/>
    </xf>
    <xf numFmtId="0" fontId="90" fillId="0" borderId="94" xfId="0" applyFont="1" applyBorder="1" applyAlignment="1">
      <alignment horizontal="left" vertical="center" wrapText="1"/>
    </xf>
    <xf numFmtId="0" fontId="94" fillId="0" borderId="121" xfId="0" applyFont="1" applyBorder="1" applyAlignment="1">
      <alignment vertical="center" wrapText="1"/>
    </xf>
    <xf numFmtId="0" fontId="89" fillId="7" borderId="116" xfId="0" applyFont="1" applyFill="1" applyBorder="1" applyAlignment="1">
      <alignment horizontal="left" vertical="center"/>
    </xf>
    <xf numFmtId="0" fontId="89" fillId="0" borderId="119" xfId="0" applyFont="1" applyBorder="1" applyAlignment="1">
      <alignment vertical="center"/>
    </xf>
    <xf numFmtId="0" fontId="88" fillId="0" borderId="122" xfId="0" applyFont="1" applyBorder="1" applyAlignment="1">
      <alignment vertical="center"/>
    </xf>
    <xf numFmtId="0" fontId="88" fillId="0" borderId="123" xfId="0" applyFont="1" applyBorder="1" applyAlignment="1">
      <alignment vertical="center"/>
    </xf>
    <xf numFmtId="0" fontId="23" fillId="0" borderId="124" xfId="0" applyFont="1" applyBorder="1" applyAlignment="1">
      <alignment vertical="center"/>
    </xf>
    <xf numFmtId="0" fontId="23" fillId="7" borderId="106" xfId="0" applyFont="1" applyFill="1" applyBorder="1" applyAlignment="1">
      <alignment horizontal="left" vertical="center"/>
    </xf>
    <xf numFmtId="0" fontId="4" fillId="0" borderId="45" xfId="0" applyFont="1" applyBorder="1" applyAlignment="1">
      <alignment horizontal="left" vertical="center" wrapText="1"/>
    </xf>
    <xf numFmtId="0" fontId="54" fillId="0" borderId="104" xfId="0" applyFont="1" applyBorder="1" applyAlignment="1">
      <alignment vertical="center" wrapText="1"/>
    </xf>
    <xf numFmtId="0" fontId="23" fillId="0" borderId="125" xfId="0" applyFont="1" applyBorder="1" applyAlignment="1">
      <alignment vertical="center"/>
    </xf>
    <xf numFmtId="0" fontId="23" fillId="0" borderId="28" xfId="0" applyFont="1" applyBorder="1" applyAlignment="1">
      <alignment horizontal="left" vertical="center" wrapText="1"/>
    </xf>
    <xf numFmtId="0" fontId="23" fillId="0" borderId="98" xfId="0" applyFont="1" applyFill="1" applyBorder="1" applyAlignment="1">
      <alignment vertical="center"/>
    </xf>
    <xf numFmtId="0" fontId="23" fillId="0" borderId="28" xfId="0" applyFont="1" applyFill="1" applyBorder="1" applyAlignment="1">
      <alignment horizontal="left" vertical="center" wrapText="1"/>
    </xf>
    <xf numFmtId="0" fontId="23" fillId="0" borderId="111" xfId="0" applyFont="1" applyFill="1" applyBorder="1" applyAlignment="1">
      <alignment vertical="center"/>
    </xf>
    <xf numFmtId="0" fontId="66" fillId="0" borderId="0" xfId="0" applyFont="1" applyAlignment="1">
      <alignment wrapText="1"/>
    </xf>
    <xf numFmtId="0" fontId="67" fillId="0" borderId="0" xfId="0" applyFont="1" applyAlignment="1">
      <alignment vertical="center" wrapText="1"/>
    </xf>
    <xf numFmtId="0" fontId="66" fillId="0" borderId="28" xfId="0" applyFont="1" applyBorder="1" applyAlignment="1">
      <alignment wrapText="1"/>
    </xf>
    <xf numFmtId="0" fontId="54" fillId="0" borderId="28" xfId="0" applyFont="1" applyFill="1" applyBorder="1" applyAlignment="1">
      <alignment horizontal="left" vertical="center" wrapText="1"/>
    </xf>
    <xf numFmtId="0" fontId="89" fillId="0" borderId="62" xfId="0" applyFont="1" applyFill="1" applyBorder="1" applyAlignment="1">
      <alignment horizontal="center" vertical="center"/>
    </xf>
    <xf numFmtId="0" fontId="90" fillId="0" borderId="64" xfId="0" applyFont="1" applyFill="1" applyBorder="1" applyAlignment="1">
      <alignment vertical="center"/>
    </xf>
    <xf numFmtId="0" fontId="98" fillId="0" borderId="0" xfId="0" applyFont="1" applyAlignment="1">
      <alignment vertical="center"/>
    </xf>
    <xf numFmtId="0" fontId="68" fillId="0" borderId="0" xfId="0" applyFont="1" applyAlignment="1">
      <alignment vertical="center"/>
    </xf>
    <xf numFmtId="0" fontId="69" fillId="0" borderId="98" xfId="0" applyFont="1" applyBorder="1" applyAlignment="1">
      <alignment vertical="center"/>
    </xf>
    <xf numFmtId="0" fontId="69" fillId="0" borderId="62" xfId="0" applyFont="1" applyFill="1" applyBorder="1" applyAlignment="1">
      <alignment horizontal="left" vertical="center" wrapText="1"/>
    </xf>
    <xf numFmtId="0" fontId="69" fillId="0" borderId="62" xfId="0" applyFont="1" applyFill="1" applyBorder="1" applyAlignment="1">
      <alignment horizontal="center" vertical="center"/>
    </xf>
    <xf numFmtId="0" fontId="69" fillId="4" borderId="96" xfId="0" applyFont="1" applyFill="1" applyBorder="1" applyAlignment="1">
      <alignment horizontal="left" vertical="center"/>
    </xf>
    <xf numFmtId="0" fontId="70" fillId="0" borderId="64" xfId="0" applyFont="1" applyFill="1" applyBorder="1" applyAlignment="1">
      <alignment vertical="center"/>
    </xf>
    <xf numFmtId="0" fontId="4" fillId="0" borderId="62" xfId="0" applyFont="1" applyFill="1" applyBorder="1" applyAlignment="1">
      <alignment horizontal="left" vertical="center" wrapText="1"/>
    </xf>
    <xf numFmtId="0" fontId="23" fillId="8" borderId="62" xfId="0" applyFont="1" applyFill="1" applyBorder="1" applyAlignment="1">
      <alignment horizontal="center" vertical="center"/>
    </xf>
    <xf numFmtId="0" fontId="94" fillId="0" borderId="93" xfId="0" applyFont="1" applyFill="1" applyBorder="1" applyAlignment="1">
      <alignment vertical="center" wrapText="1"/>
    </xf>
    <xf numFmtId="0" fontId="23" fillId="0" borderId="62" xfId="0" applyFont="1" applyFill="1" applyBorder="1" applyAlignment="1">
      <alignment horizontal="center" vertical="center" wrapText="1"/>
    </xf>
    <xf numFmtId="0" fontId="94" fillId="0" borderId="62" xfId="0" applyFont="1" applyFill="1" applyBorder="1" applyAlignment="1">
      <alignment horizontal="left" vertical="center" wrapText="1"/>
    </xf>
    <xf numFmtId="0" fontId="4" fillId="0" borderId="88" xfId="0" applyFont="1" applyBorder="1" applyAlignment="1">
      <alignment vertical="center"/>
    </xf>
    <xf numFmtId="0" fontId="23" fillId="0" borderId="28" xfId="0" applyFont="1" applyBorder="1" applyAlignment="1">
      <alignment vertical="center"/>
    </xf>
    <xf numFmtId="0" fontId="23" fillId="0" borderId="28" xfId="0" applyFont="1" applyFill="1" applyBorder="1" applyAlignment="1">
      <alignment horizontal="center" vertical="center"/>
    </xf>
    <xf numFmtId="0" fontId="4" fillId="0" borderId="28" xfId="0" applyFont="1" applyFill="1" applyBorder="1" applyAlignment="1">
      <alignment vertical="center"/>
    </xf>
    <xf numFmtId="0" fontId="23" fillId="0" borderId="28" xfId="0" applyFont="1" applyFill="1" applyBorder="1" applyAlignment="1">
      <alignment horizontal="center" vertical="center" wrapText="1"/>
    </xf>
    <xf numFmtId="0" fontId="54" fillId="0" borderId="28" xfId="0" applyFont="1" applyFill="1" applyBorder="1" applyAlignment="1">
      <alignment horizontal="left" vertical="center"/>
    </xf>
    <xf numFmtId="0" fontId="54" fillId="0" borderId="28" xfId="0" applyFont="1" applyFill="1" applyBorder="1" applyAlignment="1">
      <alignment vertical="center" wrapText="1"/>
    </xf>
    <xf numFmtId="0" fontId="89" fillId="0" borderId="28" xfId="0" applyFont="1" applyFill="1" applyBorder="1" applyAlignment="1">
      <alignment horizontal="center" vertical="center"/>
    </xf>
    <xf numFmtId="0" fontId="90" fillId="0" borderId="28" xfId="0" applyFont="1" applyFill="1" applyBorder="1" applyAlignment="1">
      <alignment vertical="center"/>
    </xf>
    <xf numFmtId="0" fontId="54" fillId="0" borderId="28" xfId="0" applyFont="1" applyBorder="1" applyAlignment="1">
      <alignment vertical="center" wrapText="1"/>
    </xf>
    <xf numFmtId="0" fontId="23" fillId="0" borderId="103" xfId="0" applyFont="1" applyFill="1" applyBorder="1" applyAlignment="1">
      <alignment horizontal="center" vertical="center"/>
    </xf>
    <xf numFmtId="0" fontId="4" fillId="0" borderId="103" xfId="0" applyFont="1" applyFill="1" applyBorder="1" applyAlignment="1">
      <alignment vertical="center"/>
    </xf>
    <xf numFmtId="0" fontId="23" fillId="0" borderId="103" xfId="0" applyFont="1" applyFill="1" applyBorder="1" applyAlignment="1">
      <alignment horizontal="center" vertical="center" wrapText="1"/>
    </xf>
    <xf numFmtId="0" fontId="89" fillId="0" borderId="28" xfId="0" applyFont="1" applyBorder="1" applyAlignment="1">
      <alignment horizontal="center" vertical="center"/>
    </xf>
    <xf numFmtId="0" fontId="90" fillId="0" borderId="28" xfId="0" applyFont="1" applyFill="1" applyBorder="1" applyAlignment="1">
      <alignment horizontal="center" vertical="center"/>
    </xf>
    <xf numFmtId="0" fontId="89" fillId="0" borderId="103" xfId="0" applyFont="1" applyFill="1" applyBorder="1" applyAlignment="1">
      <alignment horizontal="center" vertical="center"/>
    </xf>
    <xf numFmtId="0" fontId="99" fillId="0" borderId="0" xfId="0" applyFont="1" applyAlignment="1">
      <alignment vertical="center"/>
    </xf>
    <xf numFmtId="0" fontId="89" fillId="0" borderId="103" xfId="0" applyFont="1" applyFill="1" applyBorder="1" applyAlignment="1">
      <alignment horizontal="center" vertical="center" wrapText="1"/>
    </xf>
    <xf numFmtId="0" fontId="89" fillId="7" borderId="103" xfId="0" applyFont="1" applyFill="1" applyBorder="1" applyAlignment="1">
      <alignment horizontal="center" vertical="center"/>
    </xf>
    <xf numFmtId="0" fontId="4" fillId="0" borderId="28" xfId="0" applyFont="1" applyFill="1" applyBorder="1" applyAlignment="1">
      <alignment horizontal="center" vertical="center" wrapText="1"/>
    </xf>
    <xf numFmtId="0" fontId="23" fillId="7" borderId="103" xfId="0" applyFont="1" applyFill="1" applyBorder="1" applyAlignment="1">
      <alignment horizontal="center" vertical="center"/>
    </xf>
    <xf numFmtId="0" fontId="94" fillId="0" borderId="28" xfId="0" applyFont="1" applyFill="1" applyBorder="1" applyAlignment="1">
      <alignment horizontal="left" vertical="center"/>
    </xf>
    <xf numFmtId="0" fontId="90" fillId="0" borderId="28" xfId="0" applyFont="1" applyFill="1" applyBorder="1" applyAlignment="1">
      <alignment horizontal="center" vertical="center" wrapText="1"/>
    </xf>
    <xf numFmtId="0" fontId="4" fillId="0" borderId="0" xfId="0" applyFont="1" applyBorder="1" applyAlignment="1">
      <alignment horizontal="center" vertical="center"/>
    </xf>
    <xf numFmtId="0" fontId="23"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54" fillId="0" borderId="28" xfId="0" applyFont="1" applyFill="1" applyBorder="1" applyAlignment="1">
      <alignment horizontal="center" vertical="center" wrapText="1"/>
    </xf>
    <xf numFmtId="0" fontId="23" fillId="0" borderId="103" xfId="0" applyFont="1" applyBorder="1" applyAlignment="1">
      <alignment horizontal="center" vertical="center"/>
    </xf>
    <xf numFmtId="0" fontId="4" fillId="0" borderId="103" xfId="0" applyFont="1" applyFill="1" applyBorder="1" applyAlignment="1">
      <alignment horizontal="center" vertical="center" wrapText="1"/>
    </xf>
    <xf numFmtId="0" fontId="23" fillId="0" borderId="98" xfId="0" applyFont="1" applyBorder="1" applyAlignment="1">
      <alignment horizontal="center" vertical="center"/>
    </xf>
    <xf numFmtId="0" fontId="23" fillId="0" borderId="92" xfId="0" applyFont="1" applyFill="1" applyBorder="1" applyAlignment="1">
      <alignment horizontal="center" vertical="center" wrapText="1"/>
    </xf>
    <xf numFmtId="0" fontId="23" fillId="0" borderId="92" xfId="0" applyFont="1" applyFill="1" applyBorder="1" applyAlignment="1">
      <alignment horizontal="center" vertical="center"/>
    </xf>
    <xf numFmtId="0" fontId="23" fillId="7" borderId="92" xfId="0" applyFont="1" applyFill="1" applyBorder="1" applyAlignment="1">
      <alignment horizontal="center" vertical="center"/>
    </xf>
    <xf numFmtId="0" fontId="4" fillId="0" borderId="93" xfId="0" applyFont="1" applyFill="1" applyBorder="1" applyAlignment="1">
      <alignment vertical="center"/>
    </xf>
    <xf numFmtId="0" fontId="23" fillId="0" borderId="75" xfId="0" applyFont="1" applyBorder="1" applyAlignment="1">
      <alignment horizontal="center" vertical="center"/>
    </xf>
    <xf numFmtId="0" fontId="4" fillId="0" borderId="79" xfId="0" applyFont="1" applyFill="1" applyBorder="1" applyAlignment="1">
      <alignment vertical="center"/>
    </xf>
    <xf numFmtId="0" fontId="89" fillId="0" borderId="75" xfId="0" applyFont="1" applyBorder="1" applyAlignment="1">
      <alignment horizontal="center" vertical="center"/>
    </xf>
    <xf numFmtId="0" fontId="90" fillId="0" borderId="79" xfId="0" applyFont="1" applyFill="1" applyBorder="1" applyAlignment="1">
      <alignment vertical="center"/>
    </xf>
    <xf numFmtId="0" fontId="89" fillId="0" borderId="99" xfId="0" applyFont="1" applyBorder="1" applyAlignment="1">
      <alignment horizontal="center" vertical="center"/>
    </xf>
    <xf numFmtId="0" fontId="89" fillId="0" borderId="117" xfId="0" applyFont="1" applyFill="1" applyBorder="1" applyAlignment="1">
      <alignment horizontal="center" vertical="center" wrapText="1"/>
    </xf>
    <xf numFmtId="0" fontId="89" fillId="0" borderId="94" xfId="0" applyFont="1" applyFill="1" applyBorder="1" applyAlignment="1">
      <alignment horizontal="center" vertical="center"/>
    </xf>
    <xf numFmtId="0" fontId="89" fillId="0" borderId="94" xfId="0" applyFont="1" applyBorder="1" applyAlignment="1">
      <alignment horizontal="center" vertical="center"/>
    </xf>
    <xf numFmtId="0" fontId="89" fillId="7" borderId="94" xfId="0" applyFont="1" applyFill="1" applyBorder="1" applyAlignment="1">
      <alignment horizontal="center" vertical="center"/>
    </xf>
    <xf numFmtId="0" fontId="90" fillId="0" borderId="95" xfId="0" applyFont="1" applyFill="1" applyBorder="1" applyAlignment="1">
      <alignment vertical="center"/>
    </xf>
    <xf numFmtId="0" fontId="4" fillId="0" borderId="28" xfId="0" applyFont="1" applyFill="1" applyBorder="1" applyAlignment="1">
      <alignment horizontal="left" vertical="center" wrapText="1"/>
    </xf>
    <xf numFmtId="0" fontId="94" fillId="0" borderId="28" xfId="0" applyFont="1" applyFill="1" applyBorder="1" applyAlignment="1">
      <alignment horizontal="center" vertical="center" wrapText="1"/>
    </xf>
    <xf numFmtId="0" fontId="94" fillId="0" borderId="28" xfId="0" applyFont="1" applyFill="1" applyBorder="1" applyAlignment="1">
      <alignment horizontal="centerContinuous" vertical="center" wrapText="1"/>
    </xf>
    <xf numFmtId="0" fontId="9" fillId="0" borderId="0" xfId="0" applyFont="1" applyAlignment="1">
      <alignment horizontal="center" vertical="center"/>
    </xf>
    <xf numFmtId="0" fontId="9" fillId="0" borderId="45" xfId="0" applyFont="1" applyBorder="1" applyAlignment="1">
      <alignment vertical="center"/>
    </xf>
    <xf numFmtId="0" fontId="9" fillId="0" borderId="103" xfId="0" applyFont="1" applyBorder="1" applyAlignment="1">
      <alignment vertical="center"/>
    </xf>
    <xf numFmtId="0" fontId="94" fillId="0" borderId="28" xfId="0" applyFont="1" applyFill="1" applyBorder="1" applyAlignment="1">
      <alignment horizontal="left" vertical="center" wrapText="1"/>
    </xf>
    <xf numFmtId="0" fontId="94" fillId="0" borderId="28" xfId="0" applyFont="1" applyFill="1" applyBorder="1" applyAlignment="1">
      <alignment vertical="center" wrapText="1"/>
    </xf>
    <xf numFmtId="0" fontId="89" fillId="0" borderId="28" xfId="0" applyFont="1" applyBorder="1" applyAlignment="1">
      <alignment vertical="center"/>
    </xf>
    <xf numFmtId="0" fontId="90" fillId="0" borderId="28" xfId="0" applyFont="1" applyBorder="1" applyAlignment="1">
      <alignment horizontal="left" vertical="center" wrapText="1"/>
    </xf>
    <xf numFmtId="0" fontId="94" fillId="0" borderId="28" xfId="0" applyFont="1" applyBorder="1" applyAlignment="1">
      <alignment vertical="center" wrapText="1"/>
    </xf>
    <xf numFmtId="0" fontId="62" fillId="0" borderId="0" xfId="0" applyFont="1" applyAlignment="1">
      <alignment vertical="center"/>
    </xf>
    <xf numFmtId="0" fontId="89" fillId="0" borderId="28" xfId="0" applyFont="1" applyBorder="1" applyAlignment="1">
      <alignment horizontal="left" vertical="center"/>
    </xf>
    <xf numFmtId="0" fontId="88" fillId="8" borderId="0" xfId="0" applyFont="1" applyFill="1" applyAlignment="1">
      <alignment vertical="center"/>
    </xf>
    <xf numFmtId="0" fontId="89" fillId="8" borderId="28" xfId="0" applyFont="1" applyFill="1" applyBorder="1" applyAlignment="1">
      <alignment horizontal="center" vertical="center"/>
    </xf>
    <xf numFmtId="0" fontId="94" fillId="8" borderId="28" xfId="0" applyFont="1" applyFill="1" applyBorder="1" applyAlignment="1">
      <alignment horizontal="left" vertical="center"/>
    </xf>
    <xf numFmtId="0" fontId="94" fillId="8" borderId="28" xfId="0" applyFont="1" applyFill="1" applyBorder="1" applyAlignment="1">
      <alignment horizontal="center" vertical="center" wrapText="1"/>
    </xf>
    <xf numFmtId="0" fontId="89" fillId="8" borderId="103" xfId="0" applyFont="1" applyFill="1" applyBorder="1" applyAlignment="1">
      <alignment horizontal="center" vertical="center"/>
    </xf>
    <xf numFmtId="0" fontId="90" fillId="8" borderId="28" xfId="0" applyFont="1" applyFill="1" applyBorder="1" applyAlignment="1">
      <alignment vertical="center"/>
    </xf>
    <xf numFmtId="0" fontId="89" fillId="0" borderId="28" xfId="0" applyFont="1" applyFill="1" applyBorder="1" applyAlignment="1">
      <alignment vertical="center"/>
    </xf>
    <xf numFmtId="0" fontId="89" fillId="0" borderId="36" xfId="0" applyFont="1" applyBorder="1" applyAlignment="1">
      <alignment horizontal="center" vertical="center"/>
    </xf>
    <xf numFmtId="0" fontId="94" fillId="0" borderId="28" xfId="0" applyFont="1" applyBorder="1" applyAlignment="1">
      <alignment vertical="center"/>
    </xf>
    <xf numFmtId="0" fontId="90" fillId="0" borderId="28" xfId="0" applyFont="1" applyFill="1" applyBorder="1" applyAlignment="1">
      <alignment horizontal="left" vertical="center" wrapText="1"/>
    </xf>
    <xf numFmtId="0" fontId="94" fillId="0" borderId="28" xfId="0" applyFont="1" applyFill="1" applyBorder="1" applyAlignment="1">
      <alignment vertical="center"/>
    </xf>
    <xf numFmtId="0" fontId="89" fillId="0" borderId="36" xfId="0" applyFont="1" applyFill="1" applyBorder="1" applyAlignment="1">
      <alignment horizontal="center" vertical="center"/>
    </xf>
    <xf numFmtId="0" fontId="100" fillId="0" borderId="0" xfId="0" applyFont="1" applyAlignment="1">
      <alignment vertical="center"/>
    </xf>
    <xf numFmtId="0" fontId="94" fillId="8" borderId="28" xfId="0" applyFont="1" applyFill="1" applyBorder="1" applyAlignment="1">
      <alignment vertical="center"/>
    </xf>
    <xf numFmtId="0" fontId="89" fillId="8" borderId="36" xfId="0" applyFont="1" applyFill="1" applyBorder="1" applyAlignment="1">
      <alignment horizontal="center" vertical="center"/>
    </xf>
    <xf numFmtId="0" fontId="89" fillId="7" borderId="36" xfId="0" applyFont="1" applyFill="1" applyBorder="1" applyAlignment="1">
      <alignment horizontal="center" vertical="center"/>
    </xf>
    <xf numFmtId="0" fontId="23" fillId="0" borderId="126" xfId="0" applyFont="1" applyBorder="1" applyAlignment="1">
      <alignment horizontal="center" vertical="center"/>
    </xf>
    <xf numFmtId="0" fontId="73" fillId="0" borderId="100" xfId="0" applyFont="1" applyBorder="1" applyAlignment="1">
      <alignment horizontal="center" vertical="center" wrapText="1"/>
    </xf>
    <xf numFmtId="0" fontId="91" fillId="8" borderId="0" xfId="0" applyFont="1" applyFill="1" applyAlignment="1">
      <alignment vertical="center"/>
    </xf>
    <xf numFmtId="0" fontId="23" fillId="0" borderId="126" xfId="0" applyFont="1" applyFill="1" applyBorder="1" applyAlignment="1">
      <alignment horizontal="center" vertical="center"/>
    </xf>
    <xf numFmtId="0" fontId="89" fillId="0" borderId="126" xfId="0" applyFont="1" applyBorder="1" applyAlignment="1">
      <alignment horizontal="center" vertical="center"/>
    </xf>
    <xf numFmtId="0" fontId="89" fillId="0" borderId="62" xfId="0" applyFont="1" applyFill="1" applyBorder="1" applyAlignment="1">
      <alignment horizontal="center" vertical="center" wrapText="1"/>
    </xf>
    <xf numFmtId="0" fontId="4" fillId="0" borderId="62" xfId="0" applyFont="1" applyFill="1" applyBorder="1" applyAlignment="1">
      <alignment horizontal="center" vertical="center" wrapText="1"/>
    </xf>
    <xf numFmtId="0" fontId="90" fillId="0" borderId="62" xfId="0" applyFont="1" applyFill="1" applyBorder="1" applyAlignment="1">
      <alignment horizontal="center" vertical="center" wrapText="1"/>
    </xf>
    <xf numFmtId="0" fontId="90" fillId="0" borderId="89" xfId="0" applyFont="1" applyFill="1" applyBorder="1" applyAlignment="1">
      <alignment horizontal="center" vertical="center" wrapText="1"/>
    </xf>
    <xf numFmtId="0" fontId="89" fillId="0" borderId="127" xfId="0" applyFont="1" applyFill="1" applyBorder="1" applyAlignment="1">
      <alignment horizontal="center" vertical="center" wrapText="1"/>
    </xf>
    <xf numFmtId="0" fontId="89" fillId="7" borderId="110" xfId="0" applyFont="1" applyFill="1" applyBorder="1" applyAlignment="1">
      <alignment horizontal="center" vertical="center"/>
    </xf>
    <xf numFmtId="0" fontId="0" fillId="0" borderId="103" xfId="0" applyBorder="1" applyAlignment="1">
      <alignment horizontal="center" vertical="center"/>
    </xf>
    <xf numFmtId="0" fontId="89" fillId="0" borderId="28" xfId="0" applyFont="1" applyBorder="1" applyAlignment="1">
      <alignment horizontal="center" vertical="center"/>
    </xf>
    <xf numFmtId="0" fontId="4" fillId="0" borderId="89" xfId="0" applyFont="1" applyFill="1" applyBorder="1" applyAlignment="1">
      <alignment horizontal="center" vertical="center" wrapText="1"/>
    </xf>
    <xf numFmtId="0" fontId="23" fillId="0" borderId="127" xfId="0" applyFont="1" applyFill="1" applyBorder="1" applyAlignment="1">
      <alignment horizontal="center" vertical="center" wrapText="1"/>
    </xf>
    <xf numFmtId="0" fontId="23" fillId="7" borderId="110" xfId="0" applyFont="1" applyFill="1" applyBorder="1" applyAlignment="1">
      <alignment horizontal="center" vertical="center"/>
    </xf>
    <xf numFmtId="0" fontId="0" fillId="0" borderId="103" xfId="0" applyFont="1" applyBorder="1" applyAlignment="1">
      <alignment horizontal="center" vertical="center"/>
    </xf>
    <xf numFmtId="0" fontId="4" fillId="3" borderId="28" xfId="0" applyFont="1" applyFill="1" applyBorder="1" applyAlignment="1">
      <alignment horizontal="left" vertical="top" wrapText="1"/>
    </xf>
    <xf numFmtId="0" fontId="101" fillId="0" borderId="0" xfId="0" applyFont="1" applyAlignment="1">
      <alignment horizontal="center" vertical="center"/>
    </xf>
    <xf numFmtId="0" fontId="90" fillId="3" borderId="28" xfId="0" applyFont="1" applyFill="1" applyBorder="1" applyAlignment="1">
      <alignment horizontal="left" vertical="center" wrapText="1"/>
    </xf>
    <xf numFmtId="0" fontId="40" fillId="0" borderId="27" xfId="0" applyFont="1" applyBorder="1" applyAlignment="1">
      <alignment horizontal="centerContinuous" vertical="center"/>
    </xf>
    <xf numFmtId="0" fontId="74" fillId="0" borderId="100" xfId="0" applyFont="1" applyBorder="1" applyAlignment="1">
      <alignment horizontal="center" vertical="center"/>
    </xf>
    <xf numFmtId="0" fontId="75" fillId="0" borderId="100" xfId="0" applyFont="1" applyBorder="1" applyAlignment="1">
      <alignment horizontal="center" vertical="center" wrapText="1"/>
    </xf>
    <xf numFmtId="0" fontId="74" fillId="0" borderId="101" xfId="0" applyFont="1" applyBorder="1" applyAlignment="1">
      <alignment horizontal="center" vertical="center"/>
    </xf>
    <xf numFmtId="0" fontId="89" fillId="0" borderId="89" xfId="0" applyFont="1" applyFill="1" applyBorder="1" applyAlignment="1">
      <alignment horizontal="center" vertical="center" wrapText="1"/>
    </xf>
    <xf numFmtId="0" fontId="23" fillId="0" borderId="89" xfId="0" applyFont="1" applyFill="1" applyBorder="1" applyAlignment="1">
      <alignment horizontal="center" vertical="center" wrapText="1"/>
    </xf>
    <xf numFmtId="0" fontId="102" fillId="0" borderId="28" xfId="0" applyFont="1" applyBorder="1" applyAlignment="1">
      <alignment horizontal="center" vertical="center"/>
    </xf>
    <xf numFmtId="0" fontId="102" fillId="0" borderId="126" xfId="0" applyFont="1" applyBorder="1" applyAlignment="1">
      <alignment horizontal="center" vertical="center"/>
    </xf>
    <xf numFmtId="0" fontId="103" fillId="0" borderId="28" xfId="0" applyFont="1" applyBorder="1" applyAlignment="1">
      <alignment horizontal="left" vertical="center" wrapText="1"/>
    </xf>
    <xf numFmtId="0" fontId="102" fillId="0" borderId="89" xfId="0" applyFont="1" applyFill="1" applyBorder="1" applyAlignment="1">
      <alignment horizontal="center" vertical="center" wrapText="1"/>
    </xf>
    <xf numFmtId="0" fontId="102" fillId="0" borderId="103" xfId="0" applyFont="1" applyFill="1" applyBorder="1" applyAlignment="1">
      <alignment horizontal="center" vertical="center"/>
    </xf>
    <xf numFmtId="0" fontId="102" fillId="7" borderId="103" xfId="0" applyFont="1" applyFill="1" applyBorder="1" applyAlignment="1">
      <alignment horizontal="center" vertical="center"/>
    </xf>
    <xf numFmtId="0" fontId="103" fillId="0" borderId="28" xfId="0" applyFont="1" applyFill="1" applyBorder="1" applyAlignment="1">
      <alignment vertical="center"/>
    </xf>
    <xf numFmtId="0" fontId="104" fillId="0" borderId="0" xfId="0" applyFont="1" applyAlignment="1">
      <alignment horizontal="center" vertical="center"/>
    </xf>
    <xf numFmtId="0" fontId="98" fillId="0" borderId="0" xfId="0" quotePrefix="1" applyFont="1" applyAlignment="1">
      <alignment vertical="center"/>
    </xf>
    <xf numFmtId="0" fontId="89" fillId="0" borderId="28" xfId="0" applyFont="1" applyFill="1" applyBorder="1" applyAlignment="1">
      <alignment horizontal="center" vertical="center" wrapText="1"/>
    </xf>
    <xf numFmtId="0" fontId="0" fillId="0" borderId="28" xfId="0" applyBorder="1"/>
    <xf numFmtId="0" fontId="89" fillId="0" borderId="28" xfId="0" applyFont="1" applyBorder="1" applyAlignment="1">
      <alignment horizontal="center" vertical="center" wrapText="1"/>
    </xf>
    <xf numFmtId="0" fontId="105" fillId="0" borderId="28" xfId="0" applyFont="1" applyBorder="1" applyAlignment="1">
      <alignment vertical="center"/>
    </xf>
    <xf numFmtId="0" fontId="23" fillId="8" borderId="28" xfId="0" applyFont="1" applyFill="1" applyBorder="1" applyAlignment="1">
      <alignment horizontal="center" vertical="center"/>
    </xf>
    <xf numFmtId="0" fontId="4" fillId="8" borderId="28" xfId="0" applyFont="1" applyFill="1" applyBorder="1" applyAlignment="1">
      <alignment horizontal="left" vertical="center" wrapText="1"/>
    </xf>
    <xf numFmtId="0" fontId="1" fillId="0" borderId="28" xfId="0" applyFont="1" applyBorder="1" applyAlignment="1">
      <alignment vertical="center"/>
    </xf>
    <xf numFmtId="0" fontId="88" fillId="0" borderId="0" xfId="0" applyFont="1" applyAlignment="1">
      <alignment vertical="center" textRotation="90"/>
    </xf>
    <xf numFmtId="0" fontId="89" fillId="9" borderId="103" xfId="0" applyFont="1" applyFill="1" applyBorder="1" applyAlignment="1">
      <alignment horizontal="center" vertical="center"/>
    </xf>
    <xf numFmtId="0" fontId="0" fillId="10" borderId="0" xfId="0" applyFill="1"/>
    <xf numFmtId="0" fontId="106" fillId="10" borderId="0" xfId="0" applyFont="1" applyFill="1"/>
    <xf numFmtId="0" fontId="89" fillId="8" borderId="126" xfId="0" applyFont="1" applyFill="1" applyBorder="1" applyAlignment="1">
      <alignment horizontal="center" vertical="center"/>
    </xf>
    <xf numFmtId="0" fontId="89" fillId="8" borderId="62" xfId="0" applyFont="1" applyFill="1" applyBorder="1" applyAlignment="1">
      <alignment horizontal="center" vertical="center" wrapText="1"/>
    </xf>
    <xf numFmtId="0" fontId="89" fillId="8" borderId="28" xfId="0" applyFont="1" applyFill="1" applyBorder="1" applyAlignment="1">
      <alignment horizontal="center" vertical="center" wrapText="1"/>
    </xf>
    <xf numFmtId="0" fontId="107" fillId="0" borderId="28" xfId="0" applyFont="1" applyBorder="1" applyAlignment="1">
      <alignment horizontal="center" vertical="center"/>
    </xf>
    <xf numFmtId="0" fontId="107" fillId="0" borderId="28" xfId="0" applyFont="1" applyFill="1" applyBorder="1" applyAlignment="1">
      <alignment horizontal="center" vertical="center"/>
    </xf>
    <xf numFmtId="0" fontId="108" fillId="0" borderId="28" xfId="0" applyFont="1" applyBorder="1" applyAlignment="1">
      <alignment horizontal="left" vertical="center" wrapText="1"/>
    </xf>
    <xf numFmtId="0" fontId="107" fillId="0" borderId="28" xfId="0" applyFont="1" applyFill="1" applyBorder="1" applyAlignment="1">
      <alignment horizontal="center" vertical="center" wrapText="1"/>
    </xf>
    <xf numFmtId="0" fontId="107" fillId="0" borderId="103" xfId="0" applyFont="1" applyFill="1" applyBorder="1" applyAlignment="1">
      <alignment horizontal="center" vertical="center"/>
    </xf>
    <xf numFmtId="0" fontId="107" fillId="7" borderId="28" xfId="0" applyFont="1" applyFill="1" applyBorder="1" applyAlignment="1">
      <alignment horizontal="center" vertical="center"/>
    </xf>
    <xf numFmtId="0" fontId="109" fillId="0" borderId="28" xfId="0" applyFont="1" applyBorder="1" applyAlignment="1">
      <alignment vertical="center"/>
    </xf>
    <xf numFmtId="0" fontId="110" fillId="0" borderId="0" xfId="0" applyFont="1" applyAlignment="1">
      <alignment vertical="center"/>
    </xf>
    <xf numFmtId="0" fontId="111" fillId="0" borderId="0" xfId="0" applyFont="1"/>
    <xf numFmtId="0" fontId="105" fillId="0" borderId="28" xfId="0" applyFont="1" applyBorder="1" applyAlignment="1">
      <alignment horizontal="center" vertical="center"/>
    </xf>
    <xf numFmtId="0" fontId="90" fillId="0" borderId="28" xfId="0" applyFont="1" applyFill="1" applyBorder="1" applyAlignment="1">
      <alignment vertical="center" wrapText="1"/>
    </xf>
    <xf numFmtId="0" fontId="74" fillId="0" borderId="122" xfId="0" applyFont="1" applyBorder="1" applyAlignment="1">
      <alignment horizontal="center" vertical="center"/>
    </xf>
    <xf numFmtId="0" fontId="59" fillId="0" borderId="28" xfId="0" applyFont="1" applyBorder="1" applyAlignment="1">
      <alignment vertical="center"/>
    </xf>
    <xf numFmtId="0" fontId="4" fillId="0" borderId="28" xfId="0" applyFont="1" applyFill="1" applyBorder="1" applyAlignment="1">
      <alignment vertical="center" wrapText="1"/>
    </xf>
    <xf numFmtId="3" fontId="9" fillId="0" borderId="0" xfId="0" applyNumberFormat="1" applyFont="1" applyAlignment="1">
      <alignment vertical="center"/>
    </xf>
    <xf numFmtId="0" fontId="91" fillId="0" borderId="28" xfId="0" applyFont="1" applyBorder="1" applyAlignment="1">
      <alignment vertical="center"/>
    </xf>
    <xf numFmtId="0" fontId="23" fillId="0" borderId="28" xfId="0" applyFont="1" applyBorder="1" applyAlignment="1">
      <alignment horizontal="center" vertical="center" wrapText="1"/>
    </xf>
    <xf numFmtId="0" fontId="9" fillId="0" borderId="28" xfId="0" applyFont="1" applyFill="1" applyBorder="1" applyAlignment="1">
      <alignment vertical="center" textRotation="90"/>
    </xf>
    <xf numFmtId="2" fontId="23" fillId="0" borderId="62" xfId="0" applyNumberFormat="1" applyFont="1" applyFill="1" applyBorder="1" applyAlignment="1">
      <alignment horizontal="center" vertical="center" wrapText="1"/>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94" fillId="0" borderId="28" xfId="0" applyFont="1" applyBorder="1" applyAlignment="1">
      <alignment horizontal="center" vertical="center"/>
    </xf>
    <xf numFmtId="0" fontId="100" fillId="0" borderId="28" xfId="0" applyFont="1" applyBorder="1"/>
    <xf numFmtId="0" fontId="100" fillId="0" borderId="0" xfId="0" applyFont="1"/>
    <xf numFmtId="0" fontId="54" fillId="0" borderId="28" xfId="0" applyFont="1" applyBorder="1" applyAlignment="1">
      <alignment horizontal="center" vertical="center"/>
    </xf>
    <xf numFmtId="0" fontId="0" fillId="0" borderId="28" xfId="0" applyFont="1" applyBorder="1"/>
    <xf numFmtId="0" fontId="4" fillId="0" borderId="28" xfId="0" applyFont="1" applyBorder="1" applyAlignment="1">
      <alignment horizontal="center" vertical="center" wrapText="1"/>
    </xf>
    <xf numFmtId="0" fontId="4" fillId="0" borderId="28" xfId="0" applyFont="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0" fillId="0" borderId="0" xfId="0" applyAlignment="1">
      <alignment vertical="center"/>
    </xf>
    <xf numFmtId="0" fontId="89" fillId="7" borderId="28" xfId="0" applyFont="1" applyFill="1" applyBorder="1" applyAlignment="1">
      <alignment horizontal="center" vertical="center"/>
    </xf>
    <xf numFmtId="0" fontId="59" fillId="0" borderId="28" xfId="0" applyFont="1" applyBorder="1" applyAlignment="1">
      <alignment vertical="center" wrapText="1"/>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69" fillId="0" borderId="75" xfId="0" applyFont="1" applyBorder="1" applyAlignment="1">
      <alignment horizontal="center" vertical="center"/>
    </xf>
    <xf numFmtId="0" fontId="69" fillId="0" borderId="28" xfId="0" applyFont="1" applyFill="1" applyBorder="1" applyAlignment="1">
      <alignment horizontal="center" vertical="center" wrapText="1"/>
    </xf>
    <xf numFmtId="0" fontId="69" fillId="0" borderId="28" xfId="0" applyFont="1" applyFill="1" applyBorder="1" applyAlignment="1">
      <alignment horizontal="center" vertical="center"/>
    </xf>
    <xf numFmtId="0" fontId="69" fillId="0" borderId="103" xfId="0" applyFont="1" applyFill="1" applyBorder="1" applyAlignment="1">
      <alignment horizontal="center" vertical="center"/>
    </xf>
    <xf numFmtId="0" fontId="69" fillId="7" borderId="103" xfId="0" applyFont="1" applyFill="1" applyBorder="1" applyAlignment="1">
      <alignment horizontal="center" vertical="center"/>
    </xf>
    <xf numFmtId="0" fontId="70" fillId="0" borderId="79" xfId="0" applyFont="1" applyFill="1" applyBorder="1" applyAlignment="1">
      <alignment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23" fillId="0" borderId="62" xfId="0" applyFont="1" applyFill="1" applyBorder="1" applyAlignment="1">
      <alignment horizontal="left" vertical="center" wrapText="1"/>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8" fillId="0" borderId="28" xfId="0" applyFont="1" applyFill="1" applyBorder="1" applyAlignment="1">
      <alignment vertical="center" textRotation="90"/>
    </xf>
    <xf numFmtId="0" fontId="88" fillId="0" borderId="28" xfId="0" applyFont="1" applyFill="1" applyBorder="1" applyAlignment="1">
      <alignment horizontal="center" vertical="center" textRotation="90"/>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23" fillId="9" borderId="28" xfId="0" applyFont="1" applyFill="1" applyBorder="1" applyAlignment="1">
      <alignment horizontal="center" vertical="center"/>
    </xf>
    <xf numFmtId="0" fontId="4" fillId="9" borderId="28" xfId="0" applyFont="1" applyFill="1" applyBorder="1" applyAlignment="1">
      <alignment horizontal="left" vertical="center" wrapText="1"/>
    </xf>
    <xf numFmtId="0" fontId="4" fillId="9" borderId="28" xfId="0" applyFont="1" applyFill="1" applyBorder="1" applyAlignment="1">
      <alignment horizontal="center" vertical="center" wrapText="1"/>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3" fontId="0" fillId="0" borderId="0" xfId="0" applyNumberFormat="1"/>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112" fillId="0" borderId="28" xfId="0" applyFont="1" applyFill="1" applyBorder="1" applyAlignment="1">
      <alignment vertical="center" wrapText="1"/>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4" fillId="0" borderId="0" xfId="0" applyFont="1"/>
    <xf numFmtId="0" fontId="4" fillId="0" borderId="0" xfId="0" applyFont="1" applyAlignment="1">
      <alignment horizont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23" fillId="9" borderId="103"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0" fillId="0" borderId="126" xfId="0" applyBorder="1"/>
    <xf numFmtId="0" fontId="0" fillId="0" borderId="36" xfId="0" applyBorder="1"/>
    <xf numFmtId="0" fontId="0" fillId="0" borderId="110" xfId="0" applyBorder="1"/>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105" fillId="0" borderId="0" xfId="0" applyFont="1" applyAlignment="1">
      <alignment wrapText="1"/>
    </xf>
    <xf numFmtId="0" fontId="113" fillId="0" borderId="0" xfId="0" applyFont="1"/>
    <xf numFmtId="0" fontId="114" fillId="0" borderId="28" xfId="0" applyFont="1" applyFill="1" applyBorder="1" applyAlignment="1">
      <alignment horizontal="center" vertical="center"/>
    </xf>
    <xf numFmtId="0" fontId="115" fillId="0" borderId="28" xfId="0" applyFont="1" applyBorder="1" applyAlignment="1">
      <alignment horizontal="left" vertical="center" wrapText="1"/>
    </xf>
    <xf numFmtId="0" fontId="115" fillId="0" borderId="28" xfId="0" applyFont="1" applyBorder="1" applyAlignment="1">
      <alignment horizontal="center" vertical="center" wrapText="1"/>
    </xf>
    <xf numFmtId="0" fontId="114" fillId="7" borderId="103" xfId="0" applyFont="1" applyFill="1" applyBorder="1" applyAlignment="1">
      <alignment horizontal="center" vertical="center"/>
    </xf>
    <xf numFmtId="0" fontId="115" fillId="0" borderId="28" xfId="0" applyFont="1" applyFill="1" applyBorder="1" applyAlignment="1">
      <alignment vertical="center" wrapText="1"/>
    </xf>
    <xf numFmtId="0" fontId="89" fillId="7" borderId="28" xfId="0" applyFont="1" applyFill="1" applyBorder="1" applyAlignment="1">
      <alignment horizontal="center" vertical="center"/>
    </xf>
    <xf numFmtId="0" fontId="23" fillId="0" borderId="45"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75" fillId="0" borderId="28" xfId="0" applyFont="1" applyBorder="1" applyAlignment="1">
      <alignment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116" fillId="0" borderId="28" xfId="0" applyFont="1" applyBorder="1" applyAlignment="1">
      <alignment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74" fillId="0" borderId="101" xfId="0" applyFont="1" applyBorder="1" applyAlignment="1">
      <alignment horizontal="center" vertical="center" wrapText="1"/>
    </xf>
    <xf numFmtId="0" fontId="4" fillId="0" borderId="103" xfId="0" applyFont="1" applyBorder="1" applyAlignment="1">
      <alignment horizontal="center" vertical="center" wrapText="1"/>
    </xf>
    <xf numFmtId="0" fontId="89" fillId="7" borderId="26" xfId="0" applyFont="1" applyFill="1" applyBorder="1" applyAlignment="1">
      <alignment horizontal="center" vertical="center"/>
    </xf>
    <xf numFmtId="0" fontId="4" fillId="0" borderId="103" xfId="0" applyFont="1" applyFill="1" applyBorder="1" applyAlignment="1">
      <alignment vertical="center" wrapText="1"/>
    </xf>
    <xf numFmtId="0" fontId="50" fillId="0" borderId="128" xfId="0" applyFont="1" applyBorder="1" applyAlignment="1">
      <alignment horizontal="centerContinuous" vertical="center"/>
    </xf>
    <xf numFmtId="0" fontId="50" fillId="0" borderId="129" xfId="0" applyFont="1" applyBorder="1" applyAlignment="1">
      <alignment horizontal="centerContinuous" vertical="center"/>
    </xf>
    <xf numFmtId="0" fontId="50" fillId="0" borderId="129" xfId="0" applyFont="1" applyFill="1" applyBorder="1" applyAlignment="1">
      <alignment horizontal="centerContinuous" vertical="center"/>
    </xf>
    <xf numFmtId="0" fontId="40" fillId="0" borderId="129" xfId="0" applyFont="1" applyBorder="1" applyAlignment="1">
      <alignment horizontal="centerContinuous" vertical="center"/>
    </xf>
    <xf numFmtId="0" fontId="40" fillId="0" borderId="130" xfId="0" applyFont="1" applyBorder="1" applyAlignment="1">
      <alignment horizontal="centerContinuous" vertical="center"/>
    </xf>
    <xf numFmtId="0" fontId="40" fillId="0" borderId="131" xfId="0" applyFont="1" applyBorder="1" applyAlignment="1">
      <alignment horizontal="centerContinuous" vertical="center"/>
    </xf>
    <xf numFmtId="0" fontId="8" fillId="0" borderId="132" xfId="0" applyFont="1" applyBorder="1" applyAlignment="1">
      <alignment horizontal="centerContinuous" vertical="center"/>
    </xf>
    <xf numFmtId="0" fontId="3" fillId="0" borderId="0" xfId="0" applyFont="1" applyBorder="1" applyAlignment="1">
      <alignment vertical="center"/>
    </xf>
    <xf numFmtId="0" fontId="3" fillId="0" borderId="90" xfId="0" applyFont="1" applyBorder="1" applyAlignment="1">
      <alignment horizontal="centerContinuous" vertical="center"/>
    </xf>
    <xf numFmtId="0" fontId="74" fillId="0" borderId="133" xfId="0" applyFont="1" applyBorder="1" applyAlignment="1">
      <alignment horizontal="center" vertical="center"/>
    </xf>
    <xf numFmtId="0" fontId="74" fillId="0" borderId="118" xfId="0" applyFont="1" applyBorder="1" applyAlignment="1">
      <alignment horizontal="center" vertical="center"/>
    </xf>
    <xf numFmtId="0" fontId="74" fillId="0" borderId="116" xfId="0" applyFont="1" applyBorder="1" applyAlignment="1">
      <alignment horizontal="center" vertical="center"/>
    </xf>
    <xf numFmtId="0" fontId="80" fillId="0" borderId="116" xfId="0" applyFont="1" applyBorder="1" applyAlignment="1">
      <alignment horizontal="center" vertical="center"/>
    </xf>
    <xf numFmtId="0" fontId="8" fillId="0" borderId="132" xfId="0" applyFont="1" applyBorder="1" applyAlignment="1">
      <alignment horizontal="left" vertical="center"/>
    </xf>
    <xf numFmtId="0" fontId="57" fillId="0" borderId="0" xfId="0" applyFont="1" applyAlignment="1">
      <alignment horizontal="left"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2" fillId="0" borderId="28" xfId="0" applyFont="1" applyBorder="1" applyAlignment="1">
      <alignment vertical="center"/>
    </xf>
    <xf numFmtId="0" fontId="3" fillId="0" borderId="0" xfId="0" applyFont="1"/>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5" fillId="0" borderId="28" xfId="0" applyFont="1" applyFill="1" applyBorder="1" applyAlignment="1">
      <alignment vertical="center" wrapText="1"/>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2" fillId="0" borderId="28" xfId="0" applyFont="1" applyBorder="1" applyAlignment="1">
      <alignment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22" fontId="20" fillId="0" borderId="0" xfId="0" applyNumberFormat="1" applyFont="1" applyAlignment="1">
      <alignment vertical="center"/>
    </xf>
    <xf numFmtId="0" fontId="21" fillId="0" borderId="0" xfId="0" applyFont="1" applyAlignment="1">
      <alignment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54" fillId="0" borderId="62" xfId="0" applyFont="1" applyFill="1" applyBorder="1" applyAlignment="1">
      <alignment horizontal="center" vertical="center" wrapText="1"/>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54" fillId="0" borderId="28" xfId="0" applyFont="1" applyBorder="1" applyAlignment="1">
      <alignment horizontal="center" vertical="center" wrapText="1"/>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0" fillId="0" borderId="122" xfId="0" applyBorder="1"/>
    <xf numFmtId="0" fontId="0" fillId="0" borderId="123" xfId="0" applyBorder="1"/>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74" fillId="0" borderId="102" xfId="0" applyFont="1" applyBorder="1" applyAlignment="1">
      <alignment horizontal="center" vertical="center"/>
    </xf>
    <xf numFmtId="0" fontId="4" fillId="0" borderId="37" xfId="0" applyFont="1" applyFill="1" applyBorder="1" applyAlignment="1">
      <alignment vertical="center"/>
    </xf>
    <xf numFmtId="0" fontId="4" fillId="0" borderId="37" xfId="0" applyFont="1" applyFill="1" applyBorder="1" applyAlignment="1">
      <alignment vertical="center" wrapText="1"/>
    </xf>
    <xf numFmtId="0" fontId="74" fillId="0" borderId="119" xfId="0" applyFont="1" applyBorder="1" applyAlignment="1">
      <alignment horizontal="center" vertical="center"/>
    </xf>
    <xf numFmtId="0" fontId="4" fillId="0" borderId="36" xfId="0" applyFont="1" applyFill="1" applyBorder="1" applyAlignment="1">
      <alignment vertical="center"/>
    </xf>
    <xf numFmtId="0" fontId="4" fillId="0" borderId="36" xfId="0" applyFont="1" applyFill="1" applyBorder="1" applyAlignment="1">
      <alignment vertical="center" wrapText="1"/>
    </xf>
    <xf numFmtId="0" fontId="90" fillId="0" borderId="36" xfId="0" applyFont="1" applyFill="1" applyBorder="1" applyAlignment="1">
      <alignment vertical="center"/>
    </xf>
    <xf numFmtId="0" fontId="75" fillId="0" borderId="36" xfId="0" applyFont="1" applyBorder="1" applyAlignment="1">
      <alignment vertical="center"/>
    </xf>
    <xf numFmtId="0" fontId="90" fillId="0" borderId="36" xfId="0" applyFont="1" applyFill="1" applyBorder="1" applyAlignment="1">
      <alignment vertical="center" wrapText="1"/>
    </xf>
    <xf numFmtId="0" fontId="93" fillId="0" borderId="138" xfId="0" applyFont="1" applyFill="1" applyBorder="1" applyAlignment="1">
      <alignment vertical="center" wrapText="1"/>
    </xf>
    <xf numFmtId="0" fontId="117" fillId="11" borderId="139" xfId="0" applyFont="1" applyFill="1" applyBorder="1" applyAlignment="1">
      <alignment horizontal="center" vertical="center"/>
    </xf>
    <xf numFmtId="0" fontId="118" fillId="11" borderId="138" xfId="0" applyFont="1" applyFill="1" applyBorder="1" applyAlignment="1">
      <alignment vertical="center"/>
    </xf>
    <xf numFmtId="0" fontId="118" fillId="11" borderId="138" xfId="0" applyFont="1" applyFill="1" applyBorder="1" applyAlignment="1">
      <alignment horizontal="center" vertical="center"/>
    </xf>
    <xf numFmtId="0" fontId="118" fillId="11" borderId="138" xfId="0" applyFont="1" applyFill="1" applyBorder="1" applyAlignment="1">
      <alignment vertical="center" wrapText="1"/>
    </xf>
    <xf numFmtId="0" fontId="119" fillId="11" borderId="138" xfId="0" applyFont="1" applyFill="1" applyBorder="1" applyAlignment="1">
      <alignment vertical="center" wrapText="1"/>
    </xf>
    <xf numFmtId="0" fontId="118" fillId="11" borderId="140"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118" fillId="11" borderId="138" xfId="0" applyFont="1" applyFill="1" applyBorder="1" applyAlignment="1">
      <alignment horizontal="center" vertical="center" wrapText="1"/>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4" fillId="9" borderId="28" xfId="0" applyFont="1" applyFill="1" applyBorder="1" applyAlignment="1">
      <alignment horizontal="center" vertical="center"/>
    </xf>
    <xf numFmtId="6" fontId="0" fillId="0" borderId="0" xfId="0" applyNumberFormat="1"/>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49" fillId="0" borderId="28" xfId="0" applyFont="1" applyFill="1" applyBorder="1" applyAlignment="1">
      <alignment vertical="center" wrapText="1"/>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9" fillId="7" borderId="28" xfId="0" applyFont="1" applyFill="1" applyBorder="1" applyAlignment="1">
      <alignment horizontal="center" vertical="center"/>
    </xf>
    <xf numFmtId="0" fontId="84" fillId="0" borderId="0" xfId="0" applyFont="1" applyAlignment="1">
      <alignment vertical="center"/>
    </xf>
    <xf numFmtId="0" fontId="89" fillId="9" borderId="28" xfId="0" applyFont="1" applyFill="1" applyBorder="1" applyAlignment="1">
      <alignment horizontal="center" vertical="center"/>
    </xf>
    <xf numFmtId="0" fontId="0" fillId="9" borderId="0" xfId="0" applyFill="1"/>
    <xf numFmtId="0" fontId="23" fillId="9" borderId="75" xfId="0" applyFont="1" applyFill="1" applyBorder="1" applyAlignment="1">
      <alignment horizontal="center" vertical="center"/>
    </xf>
    <xf numFmtId="0" fontId="89" fillId="9" borderId="79" xfId="0" applyFont="1" applyFill="1" applyBorder="1" applyAlignment="1">
      <alignment horizontal="center" vertical="center"/>
    </xf>
    <xf numFmtId="0" fontId="23" fillId="9" borderId="99" xfId="0" applyFont="1" applyFill="1" applyBorder="1" applyAlignment="1">
      <alignment horizontal="center" vertical="center"/>
    </xf>
    <xf numFmtId="0" fontId="5" fillId="0" borderId="0" xfId="0" applyFont="1" applyAlignment="1">
      <alignment vertical="center"/>
    </xf>
    <xf numFmtId="0" fontId="74" fillId="12" borderId="100" xfId="0" applyFont="1" applyFill="1" applyBorder="1" applyAlignment="1">
      <alignment horizontal="center" vertical="center"/>
    </xf>
    <xf numFmtId="0" fontId="75" fillId="12" borderId="100" xfId="0" applyFont="1" applyFill="1" applyBorder="1" applyAlignment="1">
      <alignment horizontal="center" vertical="center" wrapText="1"/>
    </xf>
    <xf numFmtId="0" fontId="74" fillId="12" borderId="102" xfId="0" applyFont="1" applyFill="1" applyBorder="1" applyAlignment="1">
      <alignment horizontal="center" vertical="center"/>
    </xf>
    <xf numFmtId="0" fontId="74" fillId="12" borderId="118" xfId="0" applyFont="1" applyFill="1" applyBorder="1" applyAlignment="1">
      <alignment horizontal="center" vertical="center"/>
    </xf>
    <xf numFmtId="0" fontId="74" fillId="12" borderId="116" xfId="0" applyFont="1" applyFill="1" applyBorder="1" applyAlignment="1">
      <alignment horizontal="center" vertical="center"/>
    </xf>
    <xf numFmtId="0" fontId="80" fillId="12" borderId="116" xfId="0" applyFont="1" applyFill="1" applyBorder="1" applyAlignment="1">
      <alignment horizontal="center" vertical="center" wrapText="1"/>
    </xf>
    <xf numFmtId="0" fontId="80" fillId="12" borderId="121" xfId="0" applyFont="1" applyFill="1" applyBorder="1" applyAlignment="1">
      <alignment horizontal="center" vertical="center" wrapText="1"/>
    </xf>
    <xf numFmtId="0" fontId="74" fillId="12" borderId="101" xfId="0" applyFont="1" applyFill="1" applyBorder="1" applyAlignment="1">
      <alignment horizontal="center" vertical="center"/>
    </xf>
    <xf numFmtId="0" fontId="89" fillId="13" borderId="28" xfId="0" applyFont="1" applyFill="1" applyBorder="1" applyAlignment="1">
      <alignment horizontal="center" vertical="center"/>
    </xf>
    <xf numFmtId="0" fontId="89" fillId="13" borderId="79" xfId="0" applyFont="1" applyFill="1" applyBorder="1" applyAlignment="1">
      <alignment horizontal="center" vertical="center"/>
    </xf>
    <xf numFmtId="0" fontId="37" fillId="0" borderId="36" xfId="0" applyFont="1" applyFill="1" applyBorder="1" applyAlignment="1">
      <alignment horizontal="center" vertical="center" wrapText="1"/>
    </xf>
    <xf numFmtId="0" fontId="9" fillId="0" borderId="36" xfId="0" applyFont="1" applyFill="1" applyBorder="1" applyAlignment="1">
      <alignment vertical="center"/>
    </xf>
    <xf numFmtId="0" fontId="9" fillId="0" borderId="126" xfId="0" applyFont="1" applyFill="1" applyBorder="1" applyAlignment="1">
      <alignment vertical="center" wrapText="1"/>
    </xf>
    <xf numFmtId="0" fontId="9" fillId="0" borderId="36" xfId="0" applyFont="1" applyFill="1" applyBorder="1" applyAlignment="1">
      <alignment vertical="center" wrapText="1"/>
    </xf>
    <xf numFmtId="6" fontId="0" fillId="0" borderId="0" xfId="0" applyNumberFormat="1" applyAlignment="1">
      <alignment horizontal="right"/>
    </xf>
    <xf numFmtId="0" fontId="0" fillId="0" borderId="0" xfId="0" applyAlignment="1">
      <alignment horizontal="right"/>
    </xf>
    <xf numFmtId="0" fontId="9" fillId="0" borderId="28" xfId="0" applyFont="1" applyFill="1" applyBorder="1" applyAlignment="1">
      <alignment vertical="center" wrapText="1"/>
    </xf>
    <xf numFmtId="0" fontId="3" fillId="0" borderId="28" xfId="0" applyFont="1" applyFill="1" applyBorder="1" applyAlignment="1">
      <alignment vertical="center" wrapText="1"/>
    </xf>
    <xf numFmtId="0" fontId="9" fillId="0" borderId="37" xfId="0" applyFont="1" applyBorder="1" applyAlignment="1">
      <alignment horizontal="center" vertical="center" wrapText="1"/>
    </xf>
    <xf numFmtId="0" fontId="37" fillId="0" borderId="127" xfId="0" applyFont="1" applyFill="1" applyBorder="1" applyAlignment="1">
      <alignment horizontal="center" vertical="center"/>
    </xf>
    <xf numFmtId="0" fontId="37" fillId="0" borderId="127" xfId="0" applyFont="1" applyFill="1" applyBorder="1" applyAlignment="1">
      <alignment horizontal="center" vertical="center" wrapText="1"/>
    </xf>
    <xf numFmtId="0" fontId="23" fillId="9" borderId="79" xfId="0" applyFont="1" applyFill="1" applyBorder="1" applyAlignment="1">
      <alignment horizontal="center" vertical="center"/>
    </xf>
    <xf numFmtId="0" fontId="23" fillId="13" borderId="75" xfId="0" applyFont="1" applyFill="1" applyBorder="1" applyAlignment="1">
      <alignment horizontal="center" vertical="center"/>
    </xf>
    <xf numFmtId="0" fontId="23" fillId="13" borderId="28" xfId="0" applyFont="1" applyFill="1" applyBorder="1" applyAlignment="1">
      <alignment horizontal="center" vertical="center"/>
    </xf>
    <xf numFmtId="0" fontId="0" fillId="0" borderId="0" xfId="0" applyAlignment="1">
      <alignment horizontal="left"/>
    </xf>
    <xf numFmtId="0" fontId="9" fillId="8" borderId="36" xfId="0" applyFont="1" applyFill="1" applyBorder="1" applyAlignment="1">
      <alignment vertical="center"/>
    </xf>
    <xf numFmtId="0" fontId="92" fillId="8" borderId="75" xfId="0" applyFont="1" applyFill="1" applyBorder="1" applyAlignment="1">
      <alignment horizontal="center" vertical="center"/>
    </xf>
    <xf numFmtId="0" fontId="92" fillId="8" borderId="28" xfId="0" applyFont="1" applyFill="1" applyBorder="1" applyAlignment="1">
      <alignment horizontal="center" vertical="center"/>
    </xf>
    <xf numFmtId="0" fontId="120" fillId="8" borderId="28" xfId="0" applyFont="1" applyFill="1" applyBorder="1" applyAlignment="1">
      <alignment vertical="center" wrapText="1"/>
    </xf>
    <xf numFmtId="0" fontId="9" fillId="0" borderId="36" xfId="0" applyFont="1" applyFill="1" applyBorder="1" applyAlignment="1">
      <alignment horizontal="center" vertical="center" wrapText="1"/>
    </xf>
    <xf numFmtId="0" fontId="0" fillId="0" borderId="0" xfId="0" applyAlignment="1">
      <alignment wrapText="1"/>
    </xf>
    <xf numFmtId="0" fontId="95" fillId="9" borderId="28" xfId="0" applyFont="1" applyFill="1" applyBorder="1" applyAlignment="1">
      <alignment horizontal="center" vertical="center"/>
    </xf>
    <xf numFmtId="0" fontId="85" fillId="0" borderId="131" xfId="0" applyFont="1" applyBorder="1" applyAlignment="1">
      <alignment vertical="center"/>
    </xf>
    <xf numFmtId="0" fontId="4" fillId="11" borderId="138" xfId="0" applyFont="1" applyFill="1" applyBorder="1" applyAlignment="1">
      <alignment horizontal="center" vertical="center"/>
    </xf>
    <xf numFmtId="0" fontId="9" fillId="0" borderId="37" xfId="0" applyFont="1" applyFill="1" applyBorder="1" applyAlignment="1">
      <alignment horizontal="center" vertical="center" wrapText="1"/>
    </xf>
    <xf numFmtId="0" fontId="121" fillId="11" borderId="138" xfId="0" applyFont="1" applyFill="1" applyBorder="1" applyAlignment="1">
      <alignment horizontal="center" vertical="center"/>
    </xf>
    <xf numFmtId="1" fontId="118" fillId="11" borderId="138" xfId="0" applyNumberFormat="1" applyFont="1" applyFill="1" applyBorder="1" applyAlignment="1">
      <alignment horizontal="center" vertical="center" wrapText="1"/>
    </xf>
    <xf numFmtId="0" fontId="90" fillId="7" borderId="28" xfId="0" applyFont="1" applyFill="1" applyBorder="1" applyAlignment="1">
      <alignment horizontal="center" vertical="center"/>
    </xf>
    <xf numFmtId="0" fontId="9" fillId="0" borderId="28" xfId="0" applyFont="1" applyBorder="1" applyAlignment="1">
      <alignment horizontal="center" vertical="center" wrapText="1"/>
    </xf>
    <xf numFmtId="22" fontId="20" fillId="0" borderId="0" xfId="0" applyNumberFormat="1" applyFont="1" applyAlignment="1">
      <alignment vertical="center"/>
    </xf>
    <xf numFmtId="0" fontId="21" fillId="0" borderId="0" xfId="0" applyFont="1" applyAlignment="1">
      <alignment vertical="center"/>
    </xf>
    <xf numFmtId="0" fontId="20" fillId="0" borderId="0" xfId="0" applyFont="1" applyAlignment="1">
      <alignment horizontal="right" vertical="center"/>
    </xf>
    <xf numFmtId="0" fontId="5" fillId="0" borderId="134" xfId="0" applyFont="1" applyFill="1" applyBorder="1" applyAlignment="1">
      <alignment horizontal="center" vertical="center"/>
    </xf>
    <xf numFmtId="0" fontId="24" fillId="0" borderId="135" xfId="0" applyFont="1" applyBorder="1" applyAlignment="1">
      <alignment horizontal="center" vertical="center"/>
    </xf>
    <xf numFmtId="0" fontId="4" fillId="0" borderId="112" xfId="0" applyFont="1" applyBorder="1" applyAlignment="1">
      <alignment horizontal="center" vertical="center"/>
    </xf>
    <xf numFmtId="0" fontId="4" fillId="0" borderId="136" xfId="0" applyFont="1" applyBorder="1" applyAlignment="1">
      <alignment horizontal="center" vertical="center"/>
    </xf>
    <xf numFmtId="0" fontId="4" fillId="0" borderId="125" xfId="0" applyFont="1" applyBorder="1" applyAlignment="1">
      <alignment horizontal="center" vertical="center"/>
    </xf>
    <xf numFmtId="0" fontId="23" fillId="0" borderId="122" xfId="0" applyFont="1" applyBorder="1" applyAlignment="1">
      <alignment horizontal="center" vertical="center"/>
    </xf>
    <xf numFmtId="0" fontId="23" fillId="0" borderId="123" xfId="0" applyFont="1" applyBorder="1" applyAlignment="1">
      <alignment horizontal="center" vertical="center"/>
    </xf>
    <xf numFmtId="0" fontId="23" fillId="0" borderId="124" xfId="0" applyFont="1" applyFill="1" applyBorder="1" applyAlignment="1">
      <alignment horizontal="center" vertical="center"/>
    </xf>
    <xf numFmtId="0" fontId="23" fillId="0" borderId="137" xfId="0" applyFont="1" applyFill="1" applyBorder="1" applyAlignment="1">
      <alignment horizontal="center" vertical="center"/>
    </xf>
    <xf numFmtId="0" fontId="23" fillId="0" borderId="106" xfId="0" applyFont="1" applyFill="1" applyBorder="1" applyAlignment="1">
      <alignment horizontal="center" vertical="center"/>
    </xf>
    <xf numFmtId="0" fontId="23" fillId="0" borderId="117" xfId="0" applyFont="1" applyFill="1" applyBorder="1" applyAlignment="1">
      <alignment horizontal="center" vertical="center"/>
    </xf>
    <xf numFmtId="0" fontId="23" fillId="0" borderId="104" xfId="0" applyFont="1" applyBorder="1" applyAlignment="1">
      <alignment horizontal="left" vertical="center"/>
    </xf>
    <xf numFmtId="0" fontId="0" fillId="0" borderId="115" xfId="0" applyBorder="1" applyAlignment="1">
      <alignment horizontal="left" vertical="center"/>
    </xf>
    <xf numFmtId="0" fontId="23" fillId="0" borderId="124" xfId="0" applyNumberFormat="1" applyFont="1" applyBorder="1" applyAlignment="1">
      <alignment horizontal="left" vertical="center"/>
    </xf>
    <xf numFmtId="0" fontId="0" fillId="0" borderId="137" xfId="0" applyNumberFormat="1" applyBorder="1" applyAlignment="1">
      <alignment horizontal="left" vertical="center"/>
    </xf>
    <xf numFmtId="0" fontId="65" fillId="0" borderId="122" xfId="0" applyFont="1" applyBorder="1" applyAlignment="1">
      <alignment horizontal="center" vertical="center" textRotation="90" wrapText="1"/>
    </xf>
    <xf numFmtId="0" fontId="58" fillId="0" borderId="123" xfId="0" applyFont="1" applyBorder="1" applyAlignment="1">
      <alignment horizontal="center" vertical="center" textRotation="90" wrapText="1"/>
    </xf>
    <xf numFmtId="0" fontId="23" fillId="0" borderId="124" xfId="0" applyFont="1" applyBorder="1" applyAlignment="1">
      <alignment vertical="center"/>
    </xf>
    <xf numFmtId="0" fontId="0" fillId="0" borderId="137" xfId="0" applyBorder="1" applyAlignment="1">
      <alignment vertical="center"/>
    </xf>
    <xf numFmtId="0" fontId="4" fillId="3" borderId="45" xfId="0" applyFont="1" applyFill="1" applyBorder="1" applyAlignment="1">
      <alignment horizontal="left" vertical="center"/>
    </xf>
    <xf numFmtId="0" fontId="0" fillId="0" borderId="103" xfId="0" applyBorder="1" applyAlignment="1">
      <alignment horizontal="left" vertical="center"/>
    </xf>
    <xf numFmtId="0" fontId="23" fillId="0" borderId="124" xfId="0" applyFont="1" applyFill="1" applyBorder="1" applyAlignment="1">
      <alignment horizontal="left" vertical="center"/>
    </xf>
    <xf numFmtId="0" fontId="0" fillId="0" borderId="137" xfId="0" applyBorder="1" applyAlignment="1">
      <alignment horizontal="left" vertical="center"/>
    </xf>
    <xf numFmtId="0" fontId="23" fillId="7" borderId="106" xfId="0" applyFont="1" applyFill="1" applyBorder="1" applyAlignment="1">
      <alignment horizontal="left" vertical="center"/>
    </xf>
    <xf numFmtId="0" fontId="0" fillId="0" borderId="117" xfId="0" applyBorder="1" applyAlignment="1">
      <alignment horizontal="left" vertical="center"/>
    </xf>
    <xf numFmtId="0" fontId="23" fillId="0" borderId="104" xfId="0" applyFont="1" applyBorder="1" applyAlignment="1">
      <alignment vertical="center"/>
    </xf>
    <xf numFmtId="0" fontId="0" fillId="0" borderId="115" xfId="0" applyBorder="1" applyAlignment="1">
      <alignment vertical="center"/>
    </xf>
    <xf numFmtId="0" fontId="71" fillId="0" borderId="122" xfId="0" applyFont="1" applyBorder="1" applyAlignment="1">
      <alignment vertical="center" textRotation="90"/>
    </xf>
    <xf numFmtId="0" fontId="72" fillId="0" borderId="85" xfId="0" applyFont="1" applyBorder="1" applyAlignment="1">
      <alignment vertical="center" textRotation="90"/>
    </xf>
    <xf numFmtId="0" fontId="72" fillId="0" borderId="123" xfId="0" applyFont="1" applyBorder="1" applyAlignment="1">
      <alignment vertical="center" textRotation="90"/>
    </xf>
    <xf numFmtId="0" fontId="54" fillId="0" borderId="45" xfId="0" applyFont="1" applyFill="1" applyBorder="1" applyAlignment="1">
      <alignment horizontal="center" vertical="center" wrapText="1"/>
    </xf>
    <xf numFmtId="0" fontId="0" fillId="0" borderId="103" xfId="0" applyBorder="1" applyAlignment="1">
      <alignment horizontal="center" vertical="center" wrapText="1"/>
    </xf>
    <xf numFmtId="0" fontId="54" fillId="0" borderId="45" xfId="0" applyFont="1" applyFill="1" applyBorder="1" applyAlignment="1">
      <alignment horizontal="left" vertical="center" wrapText="1"/>
    </xf>
    <xf numFmtId="0" fontId="0" fillId="0" borderId="103" xfId="0" applyBorder="1" applyAlignment="1">
      <alignment horizontal="left" vertical="center" wrapText="1"/>
    </xf>
    <xf numFmtId="0" fontId="23" fillId="0" borderId="28" xfId="0" applyFont="1" applyBorder="1" applyAlignment="1">
      <alignment horizontal="center" vertical="center"/>
    </xf>
    <xf numFmtId="0" fontId="0" fillId="0" borderId="28" xfId="0" applyFont="1" applyBorder="1" applyAlignment="1">
      <alignment horizontal="center"/>
    </xf>
    <xf numFmtId="0" fontId="23" fillId="0" borderId="43" xfId="0" applyFont="1" applyBorder="1" applyAlignment="1">
      <alignment horizontal="center" vertical="center"/>
    </xf>
    <xf numFmtId="0" fontId="0" fillId="0" borderId="110" xfId="0" applyFont="1" applyBorder="1" applyAlignment="1">
      <alignment horizontal="center"/>
    </xf>
    <xf numFmtId="0" fontId="23" fillId="0" borderId="28" xfId="0" applyFont="1" applyFill="1" applyBorder="1" applyAlignment="1">
      <alignment horizontal="center" vertical="center"/>
    </xf>
    <xf numFmtId="0" fontId="4" fillId="0" borderId="45" xfId="0" applyFont="1" applyFill="1" applyBorder="1" applyAlignment="1">
      <alignment horizontal="center" vertical="center"/>
    </xf>
    <xf numFmtId="0" fontId="0" fillId="0" borderId="103" xfId="0" applyFont="1" applyBorder="1" applyAlignment="1">
      <alignment horizontal="center" vertical="center"/>
    </xf>
    <xf numFmtId="0" fontId="89" fillId="0" borderId="45" xfId="0" applyFont="1" applyBorder="1" applyAlignment="1">
      <alignment horizontal="center" vertical="center"/>
    </xf>
    <xf numFmtId="0" fontId="0" fillId="0" borderId="103" xfId="0" applyBorder="1" applyAlignment="1">
      <alignment horizontal="center" vertical="center"/>
    </xf>
    <xf numFmtId="0" fontId="89" fillId="0" borderId="120" xfId="0" applyFont="1" applyBorder="1" applyAlignment="1">
      <alignment horizontal="center" vertical="center"/>
    </xf>
    <xf numFmtId="0" fontId="0" fillId="0" borderId="109" xfId="0" applyBorder="1" applyAlignment="1">
      <alignment horizontal="center" vertical="center"/>
    </xf>
    <xf numFmtId="0" fontId="89" fillId="0" borderId="78" xfId="0" applyFont="1" applyFill="1" applyBorder="1" applyAlignment="1">
      <alignment horizontal="center" vertical="center"/>
    </xf>
    <xf numFmtId="0" fontId="0" fillId="0" borderId="108" xfId="0" applyBorder="1" applyAlignment="1">
      <alignment horizontal="center" vertical="center"/>
    </xf>
    <xf numFmtId="0" fontId="90" fillId="0" borderId="45" xfId="0" applyFont="1" applyFill="1" applyBorder="1" applyAlignment="1">
      <alignment horizontal="center" vertical="center"/>
    </xf>
    <xf numFmtId="0" fontId="4" fillId="0" borderId="102" xfId="0" applyFont="1" applyBorder="1" applyAlignment="1">
      <alignment horizontal="center" vertical="center"/>
    </xf>
    <xf numFmtId="0" fontId="4" fillId="0" borderId="101" xfId="0" applyFont="1" applyBorder="1" applyAlignment="1">
      <alignment horizontal="center" vertical="center"/>
    </xf>
    <xf numFmtId="0" fontId="0" fillId="0" borderId="119" xfId="0" applyFont="1" applyBorder="1" applyAlignment="1">
      <alignment horizontal="center" vertical="center"/>
    </xf>
    <xf numFmtId="0" fontId="89" fillId="0" borderId="45" xfId="0" applyFont="1" applyFill="1" applyBorder="1" applyAlignment="1">
      <alignment horizontal="center" vertical="center" wrapText="1"/>
    </xf>
    <xf numFmtId="0" fontId="0" fillId="0" borderId="103" xfId="0" applyFill="1" applyBorder="1" applyAlignment="1">
      <alignment horizontal="center" vertical="center" wrapText="1"/>
    </xf>
    <xf numFmtId="0" fontId="89" fillId="0" borderId="45" xfId="0" applyFont="1" applyFill="1" applyBorder="1" applyAlignment="1">
      <alignment horizontal="center" vertical="center"/>
    </xf>
    <xf numFmtId="0" fontId="105" fillId="0" borderId="45" xfId="0" applyFont="1" applyBorder="1" applyAlignment="1">
      <alignment vertical="center"/>
    </xf>
    <xf numFmtId="0" fontId="0" fillId="0" borderId="103" xfId="0" applyBorder="1" applyAlignment="1">
      <alignment vertical="center"/>
    </xf>
    <xf numFmtId="0" fontId="23" fillId="0" borderId="45" xfId="0" applyFont="1" applyBorder="1" applyAlignment="1">
      <alignment horizontal="center" vertical="center"/>
    </xf>
    <xf numFmtId="0" fontId="23" fillId="0" borderId="120" xfId="0" applyFont="1" applyBorder="1" applyAlignment="1">
      <alignment horizontal="center" vertical="center"/>
    </xf>
    <xf numFmtId="0" fontId="23" fillId="0" borderId="28" xfId="0" applyFont="1" applyBorder="1" applyAlignment="1">
      <alignment horizontal="center" vertical="center" wrapText="1"/>
    </xf>
    <xf numFmtId="0" fontId="0" fillId="0" borderId="28" xfId="0" applyBorder="1" applyAlignment="1"/>
    <xf numFmtId="0" fontId="89" fillId="7" borderId="28" xfId="0" applyFont="1" applyFill="1" applyBorder="1" applyAlignment="1">
      <alignment horizontal="center" vertical="center"/>
    </xf>
    <xf numFmtId="0" fontId="23" fillId="0" borderId="45" xfId="0" applyFont="1" applyFill="1" applyBorder="1" applyAlignment="1">
      <alignment horizontal="center" vertical="center"/>
    </xf>
    <xf numFmtId="0" fontId="23" fillId="0" borderId="78" xfId="0" applyFont="1" applyFill="1" applyBorder="1" applyAlignment="1">
      <alignment horizontal="center" vertical="center"/>
    </xf>
    <xf numFmtId="0" fontId="4" fillId="0" borderId="45" xfId="0" applyFont="1" applyBorder="1" applyAlignment="1">
      <alignment horizontal="left" vertical="center" wrapText="1"/>
    </xf>
    <xf numFmtId="0" fontId="4" fillId="0" borderId="45" xfId="0" applyFont="1" applyBorder="1" applyAlignment="1">
      <alignment horizontal="center" vertical="center"/>
    </xf>
    <xf numFmtId="0" fontId="23" fillId="0" borderId="45" xfId="0" applyFont="1" applyBorder="1" applyAlignment="1">
      <alignment horizontal="center" vertical="center" wrapText="1"/>
    </xf>
    <xf numFmtId="0" fontId="4" fillId="0" borderId="45" xfId="0" applyFont="1" applyFill="1" applyBorder="1" applyAlignment="1">
      <alignment vertical="center"/>
    </xf>
    <xf numFmtId="0" fontId="122" fillId="0" borderId="122" xfId="0" applyFont="1" applyBorder="1" applyAlignment="1">
      <alignment horizontal="center" textRotation="180"/>
    </xf>
    <xf numFmtId="0" fontId="122" fillId="0" borderId="123" xfId="0" applyFont="1" applyBorder="1" applyAlignment="1">
      <alignment horizontal="center" textRotation="180"/>
    </xf>
    <xf numFmtId="0" fontId="23" fillId="0" borderId="43" xfId="0" applyFont="1" applyFill="1" applyBorder="1" applyAlignment="1">
      <alignment horizontal="center" vertical="center"/>
    </xf>
    <xf numFmtId="0" fontId="0" fillId="0" borderId="110" xfId="0" applyBorder="1" applyAlignment="1">
      <alignment horizontal="center" vertical="center"/>
    </xf>
    <xf numFmtId="0" fontId="122" fillId="0" borderId="85" xfId="0" applyFont="1" applyBorder="1" applyAlignment="1">
      <alignment horizontal="center" textRotation="180"/>
    </xf>
    <xf numFmtId="0" fontId="23" fillId="0" borderId="26" xfId="0" applyFont="1" applyFill="1" applyBorder="1" applyAlignment="1">
      <alignment horizontal="center" vertical="center"/>
    </xf>
    <xf numFmtId="0" fontId="4" fillId="0" borderId="45" xfId="0" applyFont="1" applyFill="1" applyBorder="1" applyAlignment="1">
      <alignment vertical="center" wrapText="1"/>
    </xf>
    <xf numFmtId="0" fontId="0" fillId="0" borderId="103" xfId="0" applyBorder="1" applyAlignment="1">
      <alignment vertical="center" wrapText="1"/>
    </xf>
    <xf numFmtId="0" fontId="4" fillId="0" borderId="78" xfId="0" applyFont="1" applyBorder="1" applyAlignment="1">
      <alignment horizontal="center" vertical="center" wrapText="1"/>
    </xf>
    <xf numFmtId="0" fontId="0" fillId="0" borderId="108" xfId="0" applyBorder="1" applyAlignment="1">
      <alignment horizontal="center" vertical="center" wrapText="1"/>
    </xf>
    <xf numFmtId="0" fontId="122" fillId="8" borderId="122" xfId="0" applyFont="1" applyFill="1" applyBorder="1" applyAlignment="1">
      <alignment horizontal="center" vertical="center" textRotation="180"/>
    </xf>
    <xf numFmtId="0" fontId="122" fillId="8" borderId="123" xfId="0" applyFont="1" applyFill="1" applyBorder="1" applyAlignment="1">
      <alignment horizontal="center" vertical="center" textRotation="180"/>
    </xf>
    <xf numFmtId="0" fontId="23" fillId="0" borderId="16" xfId="0" applyFont="1" applyFill="1" applyBorder="1" applyAlignment="1">
      <alignment horizontal="center" vertical="center"/>
    </xf>
    <xf numFmtId="0" fontId="4" fillId="0" borderId="26" xfId="0" applyFont="1" applyFill="1" applyBorder="1" applyAlignment="1">
      <alignment vertical="center"/>
    </xf>
    <xf numFmtId="0" fontId="0" fillId="0" borderId="101" xfId="0" applyFont="1" applyBorder="1" applyAlignment="1">
      <alignment horizontal="center" vertical="center"/>
    </xf>
    <xf numFmtId="0" fontId="0" fillId="0" borderId="101" xfId="0" applyBorder="1" applyAlignment="1">
      <alignment horizontal="center" vertical="center"/>
    </xf>
    <xf numFmtId="0" fontId="0" fillId="0" borderId="119" xfId="0" applyBorder="1" applyAlignment="1">
      <alignment horizontal="center" vertical="center"/>
    </xf>
    <xf numFmtId="0" fontId="4" fillId="12" borderId="102" xfId="0" applyFont="1" applyFill="1" applyBorder="1" applyAlignment="1">
      <alignment horizontal="center" vertical="center"/>
    </xf>
    <xf numFmtId="0" fontId="4" fillId="12" borderId="101" xfId="0" applyFont="1" applyFill="1" applyBorder="1" applyAlignment="1">
      <alignment horizontal="center" vertical="center"/>
    </xf>
    <xf numFmtId="0" fontId="0" fillId="12" borderId="101" xfId="0" applyFont="1" applyFill="1" applyBorder="1" applyAlignment="1">
      <alignment horizontal="center" vertical="center"/>
    </xf>
    <xf numFmtId="0" fontId="0" fillId="12" borderId="101" xfId="0" applyFill="1" applyBorder="1" applyAlignment="1">
      <alignment horizontal="center" vertical="center"/>
    </xf>
    <xf numFmtId="0" fontId="0" fillId="12" borderId="119" xfId="0" applyFill="1" applyBorder="1" applyAlignment="1">
      <alignment horizontal="center" vertical="center"/>
    </xf>
    <xf numFmtId="0" fontId="123" fillId="0" borderId="128" xfId="0" applyFont="1" applyBorder="1" applyAlignment="1">
      <alignment horizontal="center" vertical="center"/>
    </xf>
    <xf numFmtId="0" fontId="123" fillId="0" borderId="129" xfId="0" applyFont="1" applyBorder="1" applyAlignment="1">
      <alignment horizontal="center" vertical="center"/>
    </xf>
  </cellXfs>
  <cellStyles count="2">
    <cellStyle name="Normal" xfId="0" builtinId="0"/>
    <cellStyle name="Normal 2" xfId="1" xr:uid="{B1DD32C3-995C-449C-95C5-8E3264D21BB7}"/>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drawings/_rels/drawing17.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99060</xdr:colOff>
      <xdr:row>1</xdr:row>
      <xdr:rowOff>0</xdr:rowOff>
    </xdr:from>
    <xdr:to>
      <xdr:col>13</xdr:col>
      <xdr:colOff>3226</xdr:colOff>
      <xdr:row>3</xdr:row>
      <xdr:rowOff>160132</xdr:rowOff>
    </xdr:to>
    <xdr:sp macro="" textlink="">
      <xdr:nvSpPr>
        <xdr:cNvPr id="1025" name="Texte 1">
          <a:extLst>
            <a:ext uri="{FF2B5EF4-FFF2-40B4-BE49-F238E27FC236}">
              <a16:creationId xmlns:a16="http://schemas.microsoft.com/office/drawing/2014/main" id="{216A14F6-C1B9-FEBF-3335-DDC82EAEC2FF}"/>
            </a:ext>
          </a:extLst>
        </xdr:cNvPr>
        <xdr:cNvSpPr>
          <a:spLocks noChangeArrowheads="1"/>
        </xdr:cNvSpPr>
      </xdr:nvSpPr>
      <xdr:spPr bwMode="auto">
        <a:xfrm>
          <a:off x="38100" y="238125"/>
          <a:ext cx="16792575" cy="352425"/>
        </a:xfrm>
        <a:prstGeom prst="roundRect">
          <a:avLst>
            <a:gd name="adj" fmla="val 16667"/>
          </a:avLst>
        </a:prstGeom>
        <a:solidFill>
          <a:srgbClr val="FFFFFF"/>
        </a:solidFill>
        <a:ln w="9525">
          <a:solidFill>
            <a:srgbClr val="000000"/>
          </a:solidFill>
          <a:round/>
          <a:headEnd/>
          <a:tailEnd/>
        </a:ln>
        <a:effectLst>
          <a:outerShdw dist="35921" dir="2700000" algn="ctr" rotWithShape="0">
            <a:srgbClr val="000000"/>
          </a:outerShdw>
        </a:effectLst>
      </xdr:spPr>
      <xdr:txBody>
        <a:bodyPr vertOverflow="clip" wrap="square" lIns="36576" tIns="32004" rIns="36576" bIns="32004" anchor="ctr" upright="1"/>
        <a:lstStyle/>
        <a:p>
          <a:pPr algn="ctr" rtl="0">
            <a:defRPr sz="1000"/>
          </a:pPr>
          <a:r>
            <a:rPr lang="fr-FR" sz="1800" b="1" i="0" u="none" strike="noStrike" baseline="0">
              <a:solidFill>
                <a:srgbClr val="000000"/>
              </a:solidFill>
              <a:latin typeface="CG Times (WN)"/>
            </a:rPr>
            <a:t>GUINTOLI / EHTP/NGE GC/SIORAT    RHONE ALPES </a:t>
          </a:r>
        </a:p>
        <a:p>
          <a:pPr algn="ctr" rtl="0">
            <a:defRPr sz="1000"/>
          </a:pPr>
          <a:endParaRPr lang="fr-FR" sz="1800" b="1" i="0" u="none" strike="noStrike" baseline="0">
            <a:solidFill>
              <a:srgbClr val="000000"/>
            </a:solidFill>
            <a:latin typeface="CG Times (WN)"/>
          </a:endParaRPr>
        </a:p>
        <a:p>
          <a:pPr algn="ctr" rtl="0">
            <a:defRPr sz="1000"/>
          </a:pPr>
          <a:endParaRPr lang="fr-FR" sz="1800" b="1" i="0" u="none" strike="noStrike" baseline="0">
            <a:solidFill>
              <a:srgbClr val="000000"/>
            </a:solidFill>
            <a:latin typeface="CG Times (WN)"/>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530860</xdr:colOff>
      <xdr:row>1</xdr:row>
      <xdr:rowOff>0</xdr:rowOff>
    </xdr:from>
    <xdr:to>
      <xdr:col>10</xdr:col>
      <xdr:colOff>2426</xdr:colOff>
      <xdr:row>3</xdr:row>
      <xdr:rowOff>3075</xdr:rowOff>
    </xdr:to>
    <xdr:sp macro="" textlink="">
      <xdr:nvSpPr>
        <xdr:cNvPr id="2" name="Texte 1">
          <a:extLst>
            <a:ext uri="{FF2B5EF4-FFF2-40B4-BE49-F238E27FC236}">
              <a16:creationId xmlns:a16="http://schemas.microsoft.com/office/drawing/2014/main" id="{73443741-ABC8-3D41-8581-1AAD1E22560E}"/>
            </a:ext>
          </a:extLst>
        </xdr:cNvPr>
        <xdr:cNvSpPr>
          <a:spLocks noChangeArrowheads="1"/>
        </xdr:cNvSpPr>
      </xdr:nvSpPr>
      <xdr:spPr bwMode="auto">
        <a:xfrm>
          <a:off x="38100" y="238125"/>
          <a:ext cx="16792575" cy="352425"/>
        </a:xfrm>
        <a:prstGeom prst="roundRect">
          <a:avLst>
            <a:gd name="adj" fmla="val 16667"/>
          </a:avLst>
        </a:prstGeom>
        <a:solidFill>
          <a:srgbClr val="FFFFFF"/>
        </a:solidFill>
        <a:ln w="9525">
          <a:solidFill>
            <a:srgbClr val="000000"/>
          </a:solidFill>
          <a:round/>
          <a:headEnd/>
          <a:tailEnd/>
        </a:ln>
        <a:effectLst>
          <a:outerShdw dist="35921" dir="2700000" algn="ctr" rotWithShape="0">
            <a:srgbClr val="000000"/>
          </a:outerShdw>
        </a:effectLst>
      </xdr:spPr>
      <xdr:txBody>
        <a:bodyPr vertOverflow="clip" wrap="square" lIns="36576" tIns="32004" rIns="36576" bIns="32004" anchor="ctr" upright="1"/>
        <a:lstStyle/>
        <a:p>
          <a:pPr algn="ctr" rtl="0">
            <a:defRPr sz="1000"/>
          </a:pPr>
          <a:r>
            <a:rPr lang="fr-FR" sz="1800" b="1" i="0" u="none" strike="noStrike" baseline="0">
              <a:solidFill>
                <a:srgbClr val="000000"/>
              </a:solidFill>
              <a:latin typeface="CG Times (WN)"/>
            </a:rPr>
            <a:t>GUINTOLI / EHTP/NGE GC/SIORAT / VAL TP    RHONE ALPES </a:t>
          </a:r>
        </a:p>
        <a:p>
          <a:pPr algn="ctr" rtl="0">
            <a:defRPr sz="1000"/>
          </a:pPr>
          <a:endParaRPr lang="fr-FR" sz="1800" b="1" i="0" u="none" strike="noStrike" baseline="0">
            <a:solidFill>
              <a:srgbClr val="000000"/>
            </a:solidFill>
            <a:latin typeface="CG Times (WN)"/>
          </a:endParaRPr>
        </a:p>
        <a:p>
          <a:pPr algn="ctr" rtl="0">
            <a:defRPr sz="1000"/>
          </a:pPr>
          <a:endParaRPr lang="fr-FR" sz="1800" b="1" i="0" u="none" strike="noStrike" baseline="0">
            <a:solidFill>
              <a:srgbClr val="000000"/>
            </a:solidFill>
            <a:latin typeface="CG Times (WN)"/>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140970</xdr:colOff>
      <xdr:row>1</xdr:row>
      <xdr:rowOff>0</xdr:rowOff>
    </xdr:from>
    <xdr:to>
      <xdr:col>9</xdr:col>
      <xdr:colOff>983794</xdr:colOff>
      <xdr:row>3</xdr:row>
      <xdr:rowOff>72899</xdr:rowOff>
    </xdr:to>
    <xdr:sp macro="" textlink="">
      <xdr:nvSpPr>
        <xdr:cNvPr id="2" name="Texte 1">
          <a:extLst>
            <a:ext uri="{FF2B5EF4-FFF2-40B4-BE49-F238E27FC236}">
              <a16:creationId xmlns:a16="http://schemas.microsoft.com/office/drawing/2014/main" id="{A5215F6C-EF47-1EB6-D2D8-E57F67BB48B6}"/>
            </a:ext>
          </a:extLst>
        </xdr:cNvPr>
        <xdr:cNvSpPr>
          <a:spLocks noChangeArrowheads="1"/>
        </xdr:cNvSpPr>
      </xdr:nvSpPr>
      <xdr:spPr bwMode="auto">
        <a:xfrm>
          <a:off x="38100" y="238125"/>
          <a:ext cx="16792575" cy="352425"/>
        </a:xfrm>
        <a:prstGeom prst="roundRect">
          <a:avLst>
            <a:gd name="adj" fmla="val 16667"/>
          </a:avLst>
        </a:prstGeom>
        <a:solidFill>
          <a:srgbClr val="FFFFFF"/>
        </a:solidFill>
        <a:ln w="9525">
          <a:solidFill>
            <a:srgbClr val="000000"/>
          </a:solidFill>
          <a:round/>
          <a:headEnd/>
          <a:tailEnd/>
        </a:ln>
        <a:effectLst>
          <a:outerShdw dist="35921" dir="2700000" algn="ctr" rotWithShape="0">
            <a:srgbClr val="000000"/>
          </a:outerShdw>
        </a:effectLst>
      </xdr:spPr>
      <xdr:txBody>
        <a:bodyPr vertOverflow="clip" wrap="square" lIns="36576" tIns="32004" rIns="36576" bIns="32004" anchor="ctr" upright="1"/>
        <a:lstStyle/>
        <a:p>
          <a:pPr algn="ctr" rtl="0">
            <a:defRPr sz="1000"/>
          </a:pPr>
          <a:r>
            <a:rPr lang="fr-FR" sz="1800" b="1" i="0" u="none" strike="noStrike" baseline="0">
              <a:solidFill>
                <a:srgbClr val="000000"/>
              </a:solidFill>
              <a:latin typeface="CG Times (WN)"/>
            </a:rPr>
            <a:t>GUINTOLI / EHTP/NGE GC/SIORAT / VAL TP    RHONE ALPES </a:t>
          </a:r>
        </a:p>
        <a:p>
          <a:pPr algn="ctr" rtl="0">
            <a:defRPr sz="1000"/>
          </a:pPr>
          <a:endParaRPr lang="fr-FR" sz="1800" b="1" i="0" u="none" strike="noStrike" baseline="0">
            <a:solidFill>
              <a:srgbClr val="000000"/>
            </a:solidFill>
            <a:latin typeface="CG Times (WN)"/>
          </a:endParaRPr>
        </a:p>
        <a:p>
          <a:pPr algn="ctr" rtl="0">
            <a:defRPr sz="1000"/>
          </a:pPr>
          <a:endParaRPr lang="fr-FR" sz="1800" b="1" i="0" u="none" strike="noStrike" baseline="0">
            <a:solidFill>
              <a:srgbClr val="000000"/>
            </a:solidFill>
            <a:latin typeface="CG Times (WN)"/>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86995</xdr:colOff>
      <xdr:row>1</xdr:row>
      <xdr:rowOff>0</xdr:rowOff>
    </xdr:from>
    <xdr:to>
      <xdr:col>10</xdr:col>
      <xdr:colOff>42</xdr:colOff>
      <xdr:row>3</xdr:row>
      <xdr:rowOff>73689</xdr:rowOff>
    </xdr:to>
    <xdr:sp macro="" textlink="">
      <xdr:nvSpPr>
        <xdr:cNvPr id="2" name="Texte 1">
          <a:extLst>
            <a:ext uri="{FF2B5EF4-FFF2-40B4-BE49-F238E27FC236}">
              <a16:creationId xmlns:a16="http://schemas.microsoft.com/office/drawing/2014/main" id="{1546AE58-FBD3-00E1-1F38-243FC5B9B7FD}"/>
            </a:ext>
          </a:extLst>
        </xdr:cNvPr>
        <xdr:cNvSpPr>
          <a:spLocks noChangeArrowheads="1"/>
        </xdr:cNvSpPr>
      </xdr:nvSpPr>
      <xdr:spPr bwMode="auto">
        <a:xfrm>
          <a:off x="38100" y="238125"/>
          <a:ext cx="16792575" cy="352425"/>
        </a:xfrm>
        <a:prstGeom prst="roundRect">
          <a:avLst>
            <a:gd name="adj" fmla="val 16667"/>
          </a:avLst>
        </a:prstGeom>
        <a:solidFill>
          <a:srgbClr val="FFFFFF"/>
        </a:solidFill>
        <a:ln w="9525">
          <a:solidFill>
            <a:srgbClr val="000000"/>
          </a:solidFill>
          <a:round/>
          <a:headEnd/>
          <a:tailEnd/>
        </a:ln>
        <a:effectLst>
          <a:outerShdw dist="35921" dir="2700000" algn="ctr" rotWithShape="0">
            <a:srgbClr val="000000"/>
          </a:outerShdw>
        </a:effectLst>
      </xdr:spPr>
      <xdr:txBody>
        <a:bodyPr vertOverflow="clip" wrap="square" lIns="36576" tIns="32004" rIns="36576" bIns="32004" anchor="ctr" upright="1"/>
        <a:lstStyle/>
        <a:p>
          <a:pPr algn="ctr" rtl="0">
            <a:defRPr sz="1000"/>
          </a:pPr>
          <a:r>
            <a:rPr lang="fr-FR" sz="1800" b="1" i="0" u="none" strike="noStrike" baseline="0">
              <a:solidFill>
                <a:srgbClr val="000000"/>
              </a:solidFill>
              <a:latin typeface="CG Times (WN)"/>
            </a:rPr>
            <a:t>GUINTOLI / EHTP/NGE GC/SIORAT / VAL TP    RHONE ALPES </a:t>
          </a:r>
        </a:p>
        <a:p>
          <a:pPr algn="ctr" rtl="0">
            <a:defRPr sz="1000"/>
          </a:pPr>
          <a:endParaRPr lang="fr-FR" sz="1800" b="1" i="0" u="none" strike="noStrike" baseline="0">
            <a:solidFill>
              <a:srgbClr val="000000"/>
            </a:solidFill>
            <a:latin typeface="CG Times (WN)"/>
          </a:endParaRPr>
        </a:p>
        <a:p>
          <a:pPr algn="ctr" rtl="0">
            <a:defRPr sz="1000"/>
          </a:pPr>
          <a:endParaRPr lang="fr-FR" sz="1800" b="1" i="0" u="none" strike="noStrike" baseline="0">
            <a:solidFill>
              <a:srgbClr val="000000"/>
            </a:solidFill>
            <a:latin typeface="CG Times (WN)"/>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85090</xdr:colOff>
      <xdr:row>1</xdr:row>
      <xdr:rowOff>0</xdr:rowOff>
    </xdr:from>
    <xdr:to>
      <xdr:col>9</xdr:col>
      <xdr:colOff>1163552</xdr:colOff>
      <xdr:row>3</xdr:row>
      <xdr:rowOff>72811</xdr:rowOff>
    </xdr:to>
    <xdr:sp macro="" textlink="">
      <xdr:nvSpPr>
        <xdr:cNvPr id="2" name="Texte 1">
          <a:extLst>
            <a:ext uri="{FF2B5EF4-FFF2-40B4-BE49-F238E27FC236}">
              <a16:creationId xmlns:a16="http://schemas.microsoft.com/office/drawing/2014/main" id="{ECC761AB-35A5-30FA-58B0-7D84E795765A}"/>
            </a:ext>
          </a:extLst>
        </xdr:cNvPr>
        <xdr:cNvSpPr>
          <a:spLocks noChangeArrowheads="1"/>
        </xdr:cNvSpPr>
      </xdr:nvSpPr>
      <xdr:spPr bwMode="auto">
        <a:xfrm>
          <a:off x="66675" y="238125"/>
          <a:ext cx="14563725" cy="352425"/>
        </a:xfrm>
        <a:prstGeom prst="roundRect">
          <a:avLst>
            <a:gd name="adj" fmla="val 16667"/>
          </a:avLst>
        </a:prstGeom>
        <a:solidFill>
          <a:srgbClr val="FFFFFF"/>
        </a:solidFill>
        <a:ln w="9525">
          <a:solidFill>
            <a:srgbClr val="000000"/>
          </a:solidFill>
          <a:round/>
          <a:headEnd/>
          <a:tailEnd/>
        </a:ln>
        <a:effectLst>
          <a:outerShdw dist="35921" dir="2700000" algn="ctr" rotWithShape="0">
            <a:srgbClr val="000000"/>
          </a:outerShdw>
        </a:effectLst>
      </xdr:spPr>
      <xdr:txBody>
        <a:bodyPr vertOverflow="clip" wrap="square" lIns="36576" tIns="32004" rIns="36576" bIns="32004" anchor="ctr" upright="1"/>
        <a:lstStyle/>
        <a:p>
          <a:pPr algn="ctr" rtl="0">
            <a:defRPr sz="1000"/>
          </a:pPr>
          <a:r>
            <a:rPr lang="fr-FR" sz="1800" b="1" i="0" u="none" strike="noStrike" baseline="0">
              <a:solidFill>
                <a:srgbClr val="000000"/>
              </a:solidFill>
              <a:latin typeface="CG Times (WN)"/>
            </a:rPr>
            <a:t>GUINTOLI / EHTP/NGE GC/SIORAT / VAL TP    RHONE ALPES </a:t>
          </a:r>
        </a:p>
        <a:p>
          <a:pPr algn="ctr" rtl="0">
            <a:defRPr sz="1000"/>
          </a:pPr>
          <a:endParaRPr lang="fr-FR" sz="1800" b="1" i="0" u="none" strike="noStrike" baseline="0">
            <a:solidFill>
              <a:srgbClr val="000000"/>
            </a:solidFill>
            <a:latin typeface="CG Times (WN)"/>
          </a:endParaRPr>
        </a:p>
        <a:p>
          <a:pPr algn="ctr" rtl="0">
            <a:defRPr sz="1000"/>
          </a:pPr>
          <a:endParaRPr lang="fr-FR" sz="1800" b="1" i="0" u="none" strike="noStrike" baseline="0">
            <a:solidFill>
              <a:srgbClr val="000000"/>
            </a:solidFill>
            <a:latin typeface="CG Times (WN)"/>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0</xdr:colOff>
      <xdr:row>1</xdr:row>
      <xdr:rowOff>0</xdr:rowOff>
    </xdr:from>
    <xdr:to>
      <xdr:col>10</xdr:col>
      <xdr:colOff>90</xdr:colOff>
      <xdr:row>3</xdr:row>
      <xdr:rowOff>74087</xdr:rowOff>
    </xdr:to>
    <xdr:sp macro="" textlink="">
      <xdr:nvSpPr>
        <xdr:cNvPr id="2" name="Texte 1">
          <a:extLst>
            <a:ext uri="{FF2B5EF4-FFF2-40B4-BE49-F238E27FC236}">
              <a16:creationId xmlns:a16="http://schemas.microsoft.com/office/drawing/2014/main" id="{A52B2E73-36C4-E7CD-70A6-EB1C37C2B89B}"/>
            </a:ext>
          </a:extLst>
        </xdr:cNvPr>
        <xdr:cNvSpPr>
          <a:spLocks noChangeArrowheads="1"/>
        </xdr:cNvSpPr>
      </xdr:nvSpPr>
      <xdr:spPr bwMode="auto">
        <a:xfrm>
          <a:off x="504825" y="238125"/>
          <a:ext cx="14458950" cy="352425"/>
        </a:xfrm>
        <a:prstGeom prst="roundRect">
          <a:avLst>
            <a:gd name="adj" fmla="val 16667"/>
          </a:avLst>
        </a:prstGeom>
        <a:solidFill>
          <a:srgbClr val="FFFFFF"/>
        </a:solidFill>
        <a:ln w="9525">
          <a:solidFill>
            <a:srgbClr val="000000"/>
          </a:solidFill>
          <a:round/>
          <a:headEnd/>
          <a:tailEnd/>
        </a:ln>
        <a:effectLst>
          <a:outerShdw dist="35921" dir="2700000" algn="ctr" rotWithShape="0">
            <a:srgbClr val="000000"/>
          </a:outerShdw>
        </a:effectLst>
      </xdr:spPr>
      <xdr:txBody>
        <a:bodyPr vertOverflow="clip" wrap="square" lIns="36576" tIns="32004" rIns="36576" bIns="32004" anchor="ctr" upright="1"/>
        <a:lstStyle/>
        <a:p>
          <a:pPr algn="ctr" rtl="0">
            <a:defRPr sz="1000"/>
          </a:pPr>
          <a:r>
            <a:rPr lang="fr-FR" sz="1800" b="1" i="0" u="none" strike="noStrike" baseline="0">
              <a:solidFill>
                <a:srgbClr val="000000"/>
              </a:solidFill>
              <a:latin typeface="CG Times (WN)"/>
            </a:rPr>
            <a:t>GUINTOLI / EHTP/NGE GC/SIORAT / VAL TP    RHONE ALPES </a:t>
          </a:r>
        </a:p>
        <a:p>
          <a:pPr algn="ctr" rtl="0">
            <a:defRPr sz="1000"/>
          </a:pPr>
          <a:endParaRPr lang="fr-FR" sz="1800" b="1" i="0" u="none" strike="noStrike" baseline="0">
            <a:solidFill>
              <a:srgbClr val="000000"/>
            </a:solidFill>
            <a:latin typeface="CG Times (WN)"/>
          </a:endParaRPr>
        </a:p>
        <a:p>
          <a:pPr algn="ctr" rtl="0">
            <a:defRPr sz="1000"/>
          </a:pPr>
          <a:endParaRPr lang="fr-FR" sz="1800" b="1" i="0" u="none" strike="noStrike" baseline="0">
            <a:solidFill>
              <a:srgbClr val="000000"/>
            </a:solidFill>
            <a:latin typeface="CG Times (WN)"/>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119380</xdr:colOff>
      <xdr:row>1</xdr:row>
      <xdr:rowOff>0</xdr:rowOff>
    </xdr:from>
    <xdr:to>
      <xdr:col>10</xdr:col>
      <xdr:colOff>3011</xdr:colOff>
      <xdr:row>3</xdr:row>
      <xdr:rowOff>73689</xdr:rowOff>
    </xdr:to>
    <xdr:sp macro="" textlink="">
      <xdr:nvSpPr>
        <xdr:cNvPr id="2" name="Texte 1">
          <a:extLst>
            <a:ext uri="{FF2B5EF4-FFF2-40B4-BE49-F238E27FC236}">
              <a16:creationId xmlns:a16="http://schemas.microsoft.com/office/drawing/2014/main" id="{EA38B376-5120-19E2-513F-0F310A1B11EE}"/>
            </a:ext>
          </a:extLst>
        </xdr:cNvPr>
        <xdr:cNvSpPr>
          <a:spLocks noChangeArrowheads="1"/>
        </xdr:cNvSpPr>
      </xdr:nvSpPr>
      <xdr:spPr bwMode="auto">
        <a:xfrm>
          <a:off x="428625" y="85725"/>
          <a:ext cx="12858750" cy="352425"/>
        </a:xfrm>
        <a:prstGeom prst="roundRect">
          <a:avLst>
            <a:gd name="adj" fmla="val 16667"/>
          </a:avLst>
        </a:prstGeom>
        <a:solidFill>
          <a:srgbClr val="FFFFFF"/>
        </a:solidFill>
        <a:ln w="9525">
          <a:solidFill>
            <a:srgbClr val="000000"/>
          </a:solidFill>
          <a:round/>
          <a:headEnd/>
          <a:tailEnd/>
        </a:ln>
        <a:effectLst>
          <a:outerShdw dist="35921" dir="2700000" algn="ctr" rotWithShape="0">
            <a:srgbClr val="000000"/>
          </a:outerShdw>
        </a:effectLst>
      </xdr:spPr>
      <xdr:txBody>
        <a:bodyPr vertOverflow="clip" wrap="square" lIns="36576" tIns="32004" rIns="36576" bIns="32004" anchor="ctr" upright="1"/>
        <a:lstStyle/>
        <a:p>
          <a:pPr algn="ctr" rtl="0">
            <a:defRPr sz="1000"/>
          </a:pPr>
          <a:r>
            <a:rPr lang="fr-FR" sz="1800" b="1" i="0" u="none" strike="noStrike" baseline="0">
              <a:solidFill>
                <a:srgbClr val="000000"/>
              </a:solidFill>
              <a:latin typeface="CG Times (WN)"/>
            </a:rPr>
            <a:t>GUINTOLI / EHTP/NGE GC/SIORAT / VAL TP    RHONE ALPES </a:t>
          </a:r>
        </a:p>
        <a:p>
          <a:pPr algn="ctr" rtl="0">
            <a:defRPr sz="1000"/>
          </a:pPr>
          <a:endParaRPr lang="fr-FR" sz="1800" b="1" i="0" u="none" strike="noStrike" baseline="0">
            <a:solidFill>
              <a:srgbClr val="000000"/>
            </a:solidFill>
            <a:latin typeface="CG Times (WN)"/>
          </a:endParaRPr>
        </a:p>
        <a:p>
          <a:pPr algn="ctr" rtl="0">
            <a:defRPr sz="1000"/>
          </a:pPr>
          <a:endParaRPr lang="fr-FR" sz="1800" b="1" i="0" u="none" strike="noStrike" baseline="0">
            <a:solidFill>
              <a:srgbClr val="000000"/>
            </a:solidFill>
            <a:latin typeface="CG Times (WN)"/>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3175</xdr:colOff>
      <xdr:row>1</xdr:row>
      <xdr:rowOff>0</xdr:rowOff>
    </xdr:from>
    <xdr:to>
      <xdr:col>10</xdr:col>
      <xdr:colOff>60</xdr:colOff>
      <xdr:row>3</xdr:row>
      <xdr:rowOff>72811</xdr:rowOff>
    </xdr:to>
    <xdr:sp macro="" textlink="">
      <xdr:nvSpPr>
        <xdr:cNvPr id="3" name="Texte 1">
          <a:extLst>
            <a:ext uri="{FF2B5EF4-FFF2-40B4-BE49-F238E27FC236}">
              <a16:creationId xmlns:a16="http://schemas.microsoft.com/office/drawing/2014/main" id="{5C5A21CF-0B13-DFB4-5B4A-112E358643BA}"/>
            </a:ext>
          </a:extLst>
        </xdr:cNvPr>
        <xdr:cNvSpPr>
          <a:spLocks noChangeArrowheads="1"/>
        </xdr:cNvSpPr>
      </xdr:nvSpPr>
      <xdr:spPr bwMode="auto">
        <a:xfrm>
          <a:off x="219075" y="85725"/>
          <a:ext cx="13963650" cy="352425"/>
        </a:xfrm>
        <a:prstGeom prst="roundRect">
          <a:avLst>
            <a:gd name="adj" fmla="val 16667"/>
          </a:avLst>
        </a:prstGeom>
        <a:solidFill>
          <a:srgbClr val="FFFFFF"/>
        </a:solidFill>
        <a:ln w="9525">
          <a:solidFill>
            <a:srgbClr val="000000"/>
          </a:solidFill>
          <a:round/>
          <a:headEnd/>
          <a:tailEnd/>
        </a:ln>
        <a:effectLst>
          <a:outerShdw dist="35921" dir="2700000" algn="ctr" rotWithShape="0">
            <a:srgbClr val="000000"/>
          </a:outerShdw>
        </a:effectLst>
      </xdr:spPr>
      <xdr:txBody>
        <a:bodyPr vertOverflow="clip" wrap="square" lIns="36576" tIns="32004" rIns="36576" bIns="32004" anchor="ctr" upright="1"/>
        <a:lstStyle/>
        <a:p>
          <a:pPr algn="ctr" rtl="0">
            <a:defRPr sz="1000"/>
          </a:pPr>
          <a:r>
            <a:rPr lang="fr-FR" sz="1800" b="1" i="0" u="none" strike="noStrike" baseline="0">
              <a:solidFill>
                <a:srgbClr val="000000"/>
              </a:solidFill>
              <a:latin typeface="CG Times (WN)"/>
            </a:rPr>
            <a:t>GUINTOLI / EHTP/NGE GC/SIORAT / VAL TP    RHONE ALPES </a:t>
          </a:r>
        </a:p>
        <a:p>
          <a:pPr algn="ctr" rtl="0">
            <a:defRPr sz="1000"/>
          </a:pPr>
          <a:endParaRPr lang="fr-FR" sz="1800" b="1" i="0" u="none" strike="noStrike" baseline="0">
            <a:solidFill>
              <a:srgbClr val="000000"/>
            </a:solidFill>
            <a:latin typeface="CG Times (WN)"/>
          </a:endParaRPr>
        </a:p>
        <a:p>
          <a:pPr algn="ctr" rtl="0">
            <a:defRPr sz="1000"/>
          </a:pPr>
          <a:endParaRPr lang="fr-FR" sz="1800" b="1" i="0" u="none" strike="noStrike" baseline="0">
            <a:solidFill>
              <a:srgbClr val="000000"/>
            </a:solidFill>
            <a:latin typeface="CG Times (WN)"/>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3175</xdr:colOff>
      <xdr:row>1</xdr:row>
      <xdr:rowOff>0</xdr:rowOff>
    </xdr:from>
    <xdr:to>
      <xdr:col>10</xdr:col>
      <xdr:colOff>11</xdr:colOff>
      <xdr:row>3</xdr:row>
      <xdr:rowOff>41757</xdr:rowOff>
    </xdr:to>
    <xdr:sp macro="" textlink="">
      <xdr:nvSpPr>
        <xdr:cNvPr id="2" name="Texte 1">
          <a:extLst>
            <a:ext uri="{FF2B5EF4-FFF2-40B4-BE49-F238E27FC236}">
              <a16:creationId xmlns:a16="http://schemas.microsoft.com/office/drawing/2014/main" id="{7F4E40B5-5B19-8167-8AA0-E6537158166F}"/>
            </a:ext>
          </a:extLst>
        </xdr:cNvPr>
        <xdr:cNvSpPr>
          <a:spLocks noChangeArrowheads="1"/>
        </xdr:cNvSpPr>
      </xdr:nvSpPr>
      <xdr:spPr bwMode="auto">
        <a:xfrm>
          <a:off x="419100" y="85725"/>
          <a:ext cx="14601825" cy="352425"/>
        </a:xfrm>
        <a:prstGeom prst="roundRect">
          <a:avLst>
            <a:gd name="adj" fmla="val 16667"/>
          </a:avLst>
        </a:prstGeom>
        <a:solidFill>
          <a:srgbClr val="FFFFFF"/>
        </a:solidFill>
        <a:ln w="9525">
          <a:solidFill>
            <a:srgbClr val="000000"/>
          </a:solidFill>
          <a:round/>
          <a:headEnd/>
          <a:tailEnd/>
        </a:ln>
        <a:effectLst>
          <a:outerShdw dist="35921" dir="2700000" algn="ctr" rotWithShape="0">
            <a:srgbClr val="000000"/>
          </a:outerShdw>
        </a:effectLst>
      </xdr:spPr>
      <xdr:txBody>
        <a:bodyPr vertOverflow="clip" wrap="square" lIns="36576" tIns="32004" rIns="36576" bIns="32004" anchor="ctr" upright="1"/>
        <a:lstStyle/>
        <a:p>
          <a:pPr algn="ctr" rtl="0">
            <a:defRPr sz="1000"/>
          </a:pPr>
          <a:r>
            <a:rPr lang="fr-FR" sz="1800" b="1" i="0" u="none" strike="noStrike" baseline="0">
              <a:solidFill>
                <a:srgbClr val="000000"/>
              </a:solidFill>
              <a:latin typeface="CG Times (WN)"/>
            </a:rPr>
            <a:t>GUINTOLI / EHTP/NGE GC/SIORAT / VAL TP    RHONE ALPES </a:t>
          </a:r>
        </a:p>
        <a:p>
          <a:pPr algn="ctr" rtl="0">
            <a:defRPr sz="1000"/>
          </a:pPr>
          <a:endParaRPr lang="fr-FR" sz="1800" b="1" i="0" u="none" strike="noStrike" baseline="0">
            <a:solidFill>
              <a:srgbClr val="000000"/>
            </a:solidFill>
            <a:latin typeface="CG Times (WN)"/>
          </a:endParaRPr>
        </a:p>
        <a:p>
          <a:pPr algn="ctr" rtl="0">
            <a:defRPr sz="1000"/>
          </a:pPr>
          <a:endParaRPr lang="fr-FR" sz="1800" b="1" i="0" u="none" strike="noStrike" baseline="0">
            <a:solidFill>
              <a:srgbClr val="000000"/>
            </a:solidFill>
            <a:latin typeface="CG Times (WN)"/>
          </a:endParaRPr>
        </a:p>
      </xdr:txBody>
    </xdr:sp>
    <xdr:clientData/>
  </xdr:twoCellAnchor>
  <xdr:twoCellAnchor>
    <xdr:from>
      <xdr:col>1</xdr:col>
      <xdr:colOff>3175</xdr:colOff>
      <xdr:row>1</xdr:row>
      <xdr:rowOff>0</xdr:rowOff>
    </xdr:from>
    <xdr:to>
      <xdr:col>10</xdr:col>
      <xdr:colOff>11</xdr:colOff>
      <xdr:row>3</xdr:row>
      <xdr:rowOff>41757</xdr:rowOff>
    </xdr:to>
    <xdr:sp macro="" textlink="">
      <xdr:nvSpPr>
        <xdr:cNvPr id="3" name="Texte 1">
          <a:extLst>
            <a:ext uri="{FF2B5EF4-FFF2-40B4-BE49-F238E27FC236}">
              <a16:creationId xmlns:a16="http://schemas.microsoft.com/office/drawing/2014/main" id="{876F651C-EB4E-37CF-9D0D-F908DBF90FF0}"/>
            </a:ext>
          </a:extLst>
        </xdr:cNvPr>
        <xdr:cNvSpPr>
          <a:spLocks noChangeArrowheads="1"/>
        </xdr:cNvSpPr>
      </xdr:nvSpPr>
      <xdr:spPr bwMode="auto">
        <a:xfrm>
          <a:off x="419100" y="85725"/>
          <a:ext cx="14601825" cy="352425"/>
        </a:xfrm>
        <a:prstGeom prst="roundRect">
          <a:avLst>
            <a:gd name="adj" fmla="val 16667"/>
          </a:avLst>
        </a:prstGeom>
        <a:solidFill>
          <a:srgbClr val="FFFFFF"/>
        </a:solidFill>
        <a:ln w="9525">
          <a:solidFill>
            <a:srgbClr val="000000"/>
          </a:solidFill>
          <a:round/>
          <a:headEnd/>
          <a:tailEnd/>
        </a:ln>
        <a:effectLst>
          <a:outerShdw dist="35921" dir="2700000" algn="ctr" rotWithShape="0">
            <a:srgbClr val="000000"/>
          </a:outerShdw>
        </a:effectLst>
      </xdr:spPr>
      <xdr:txBody>
        <a:bodyPr vertOverflow="clip" wrap="square" lIns="36576" tIns="32004" rIns="36576" bIns="32004" anchor="ctr" upright="1"/>
        <a:lstStyle/>
        <a:p>
          <a:pPr algn="ctr" rtl="0">
            <a:defRPr sz="1000"/>
          </a:pPr>
          <a:r>
            <a:rPr lang="fr-FR" sz="1800" b="1" i="0" u="none" strike="noStrike" baseline="0">
              <a:solidFill>
                <a:srgbClr val="000000"/>
              </a:solidFill>
              <a:latin typeface="CG Times (WN)"/>
            </a:rPr>
            <a:t>GUINTOLI / EHTP/NGE GC/SIORAT en AUVERGNE -RHONE-SAONE </a:t>
          </a:r>
        </a:p>
        <a:p>
          <a:pPr algn="ctr" rtl="0">
            <a:defRPr sz="1000"/>
          </a:pPr>
          <a:endParaRPr lang="fr-FR" sz="1800" b="1" i="0" u="none" strike="noStrike" baseline="0">
            <a:solidFill>
              <a:srgbClr val="000000"/>
            </a:solidFill>
            <a:latin typeface="CG Times (WN)"/>
          </a:endParaRPr>
        </a:p>
        <a:p>
          <a:pPr algn="ctr" rtl="0">
            <a:defRPr sz="1000"/>
          </a:pPr>
          <a:endParaRPr lang="fr-FR" sz="1800" b="1" i="0" u="none" strike="noStrike" baseline="0">
            <a:solidFill>
              <a:srgbClr val="000000"/>
            </a:solidFill>
            <a:latin typeface="CG Times (WN)"/>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xdr:col>
      <xdr:colOff>0</xdr:colOff>
      <xdr:row>1</xdr:row>
      <xdr:rowOff>0</xdr:rowOff>
    </xdr:from>
    <xdr:to>
      <xdr:col>11</xdr:col>
      <xdr:colOff>99</xdr:colOff>
      <xdr:row>3</xdr:row>
      <xdr:rowOff>41830</xdr:rowOff>
    </xdr:to>
    <xdr:sp macro="" textlink="">
      <xdr:nvSpPr>
        <xdr:cNvPr id="2" name="Texte 1">
          <a:extLst>
            <a:ext uri="{FF2B5EF4-FFF2-40B4-BE49-F238E27FC236}">
              <a16:creationId xmlns:a16="http://schemas.microsoft.com/office/drawing/2014/main" id="{700A316C-CB2C-285A-F66C-A48622D47579}"/>
            </a:ext>
          </a:extLst>
        </xdr:cNvPr>
        <xdr:cNvSpPr>
          <a:spLocks noChangeArrowheads="1"/>
        </xdr:cNvSpPr>
      </xdr:nvSpPr>
      <xdr:spPr bwMode="auto">
        <a:xfrm>
          <a:off x="419100" y="85725"/>
          <a:ext cx="15573375" cy="361950"/>
        </a:xfrm>
        <a:prstGeom prst="roundRect">
          <a:avLst>
            <a:gd name="adj" fmla="val 16667"/>
          </a:avLst>
        </a:prstGeom>
        <a:solidFill>
          <a:srgbClr val="FFFFFF"/>
        </a:solidFill>
        <a:ln w="9525">
          <a:solidFill>
            <a:srgbClr val="000000"/>
          </a:solidFill>
          <a:round/>
          <a:headEnd/>
          <a:tailEnd/>
        </a:ln>
        <a:effectLst>
          <a:outerShdw dist="35921" dir="2700000" algn="ctr" rotWithShape="0">
            <a:srgbClr val="000000"/>
          </a:outerShdw>
        </a:effectLst>
      </xdr:spPr>
      <xdr:txBody>
        <a:bodyPr vertOverflow="clip" wrap="square" lIns="36576" tIns="32004" rIns="36576" bIns="32004" anchor="ctr" upright="1"/>
        <a:lstStyle/>
        <a:p>
          <a:pPr algn="ctr" rtl="0">
            <a:defRPr sz="1000"/>
          </a:pPr>
          <a:r>
            <a:rPr lang="fr-FR" sz="1800" b="1" i="0" u="none" strike="noStrike" baseline="0">
              <a:solidFill>
                <a:srgbClr val="000000"/>
              </a:solidFill>
              <a:latin typeface="CG Times (WN)"/>
            </a:rPr>
            <a:t>GUINTOLI / EHTP/NGE GC/SIORAT / VAL TP    RHONE ALPES </a:t>
          </a:r>
        </a:p>
        <a:p>
          <a:pPr algn="ctr" rtl="0">
            <a:defRPr sz="1000"/>
          </a:pPr>
          <a:endParaRPr lang="fr-FR" sz="1800" b="1" i="0" u="none" strike="noStrike" baseline="0">
            <a:solidFill>
              <a:srgbClr val="000000"/>
            </a:solidFill>
            <a:latin typeface="CG Times (WN)"/>
          </a:endParaRPr>
        </a:p>
        <a:p>
          <a:pPr algn="ctr" rtl="0">
            <a:defRPr sz="1000"/>
          </a:pPr>
          <a:endParaRPr lang="fr-FR" sz="1800" b="1" i="0" u="none" strike="noStrike" baseline="0">
            <a:solidFill>
              <a:srgbClr val="000000"/>
            </a:solidFill>
            <a:latin typeface="CG Times (WN)"/>
          </a:endParaRPr>
        </a:p>
      </xdr:txBody>
    </xdr:sp>
    <xdr:clientData/>
  </xdr:twoCellAnchor>
  <xdr:twoCellAnchor>
    <xdr:from>
      <xdr:col>1</xdr:col>
      <xdr:colOff>0</xdr:colOff>
      <xdr:row>1</xdr:row>
      <xdr:rowOff>0</xdr:rowOff>
    </xdr:from>
    <xdr:to>
      <xdr:col>11</xdr:col>
      <xdr:colOff>99</xdr:colOff>
      <xdr:row>3</xdr:row>
      <xdr:rowOff>41830</xdr:rowOff>
    </xdr:to>
    <xdr:sp macro="" textlink="">
      <xdr:nvSpPr>
        <xdr:cNvPr id="3" name="Texte 1">
          <a:extLst>
            <a:ext uri="{FF2B5EF4-FFF2-40B4-BE49-F238E27FC236}">
              <a16:creationId xmlns:a16="http://schemas.microsoft.com/office/drawing/2014/main" id="{6B996022-6562-E9BB-DD78-00853AE2BD54}"/>
            </a:ext>
          </a:extLst>
        </xdr:cNvPr>
        <xdr:cNvSpPr>
          <a:spLocks noChangeArrowheads="1"/>
        </xdr:cNvSpPr>
      </xdr:nvSpPr>
      <xdr:spPr bwMode="auto">
        <a:xfrm>
          <a:off x="419100" y="85725"/>
          <a:ext cx="15573375" cy="361950"/>
        </a:xfrm>
        <a:prstGeom prst="roundRect">
          <a:avLst>
            <a:gd name="adj" fmla="val 16667"/>
          </a:avLst>
        </a:prstGeom>
        <a:solidFill>
          <a:srgbClr val="FFFFFF"/>
        </a:solidFill>
        <a:ln w="9525">
          <a:solidFill>
            <a:srgbClr val="000000"/>
          </a:solidFill>
          <a:round/>
          <a:headEnd/>
          <a:tailEnd/>
        </a:ln>
        <a:effectLst>
          <a:outerShdw dist="35921" dir="2700000" algn="ctr" rotWithShape="0">
            <a:srgbClr val="000000"/>
          </a:outerShdw>
        </a:effectLst>
      </xdr:spPr>
      <xdr:txBody>
        <a:bodyPr vertOverflow="clip" wrap="square" lIns="36576" tIns="32004" rIns="36576" bIns="32004" anchor="ctr" upright="1"/>
        <a:lstStyle/>
        <a:p>
          <a:pPr algn="ctr" rtl="0">
            <a:defRPr sz="1000"/>
          </a:pPr>
          <a:r>
            <a:rPr lang="fr-FR" sz="1800" b="1" i="0" u="none" strike="noStrike" baseline="0">
              <a:solidFill>
                <a:srgbClr val="000000"/>
              </a:solidFill>
              <a:latin typeface="CG Times (WN)"/>
            </a:rPr>
            <a:t>GUINTOLI / EHTP/NGE GC/SIORAT en AUVERGNE -RHONE-SAONE </a:t>
          </a:r>
        </a:p>
        <a:p>
          <a:pPr algn="ctr" rtl="0">
            <a:defRPr sz="1000"/>
          </a:pPr>
          <a:endParaRPr lang="fr-FR" sz="1800" b="1" i="0" u="none" strike="noStrike" baseline="0">
            <a:solidFill>
              <a:srgbClr val="000000"/>
            </a:solidFill>
            <a:latin typeface="CG Times (WN)"/>
          </a:endParaRPr>
        </a:p>
        <a:p>
          <a:pPr algn="ctr" rtl="0">
            <a:defRPr sz="1000"/>
          </a:pPr>
          <a:endParaRPr lang="fr-FR" sz="1800" b="1" i="0" u="none" strike="noStrike" baseline="0">
            <a:solidFill>
              <a:srgbClr val="000000"/>
            </a:solidFill>
            <a:latin typeface="CG Times (WN)"/>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xdr:col>
      <xdr:colOff>82550</xdr:colOff>
      <xdr:row>1</xdr:row>
      <xdr:rowOff>0</xdr:rowOff>
    </xdr:from>
    <xdr:to>
      <xdr:col>11</xdr:col>
      <xdr:colOff>695</xdr:colOff>
      <xdr:row>3</xdr:row>
      <xdr:rowOff>41757</xdr:rowOff>
    </xdr:to>
    <xdr:sp macro="" textlink="">
      <xdr:nvSpPr>
        <xdr:cNvPr id="4" name="Texte 1">
          <a:extLst>
            <a:ext uri="{FF2B5EF4-FFF2-40B4-BE49-F238E27FC236}">
              <a16:creationId xmlns:a16="http://schemas.microsoft.com/office/drawing/2014/main" id="{EA41B389-66E2-6A11-D0BD-259DFC38964A}"/>
            </a:ext>
          </a:extLst>
        </xdr:cNvPr>
        <xdr:cNvSpPr>
          <a:spLocks noChangeArrowheads="1"/>
        </xdr:cNvSpPr>
      </xdr:nvSpPr>
      <xdr:spPr bwMode="auto">
        <a:xfrm>
          <a:off x="419100" y="85725"/>
          <a:ext cx="12954000" cy="355656"/>
        </a:xfrm>
        <a:prstGeom prst="roundRect">
          <a:avLst>
            <a:gd name="adj" fmla="val 16667"/>
          </a:avLst>
        </a:prstGeom>
        <a:solidFill>
          <a:srgbClr val="FFFFFF"/>
        </a:solidFill>
        <a:ln w="9525">
          <a:solidFill>
            <a:srgbClr val="000000"/>
          </a:solidFill>
          <a:round/>
          <a:headEnd/>
          <a:tailEnd/>
        </a:ln>
        <a:effectLst>
          <a:outerShdw dist="35921" dir="2700000" algn="ctr" rotWithShape="0">
            <a:srgbClr val="000000"/>
          </a:outerShdw>
        </a:effectLst>
      </xdr:spPr>
      <xdr:txBody>
        <a:bodyPr vertOverflow="clip" wrap="square" lIns="36576" tIns="32004" rIns="36576" bIns="32004" anchor="ctr" upright="1"/>
        <a:lstStyle/>
        <a:p>
          <a:pPr algn="ctr" rtl="0">
            <a:defRPr sz="1000"/>
          </a:pPr>
          <a:r>
            <a:rPr lang="fr-FR" sz="1800" b="1" i="0" u="none" strike="noStrike" baseline="0">
              <a:solidFill>
                <a:srgbClr val="000000"/>
              </a:solidFill>
              <a:latin typeface="CG Times (WN)"/>
            </a:rPr>
            <a:t>GUINTOLI / EHTP/NGE GC/SIORAT / VAL TP    RHONE ALPES </a:t>
          </a:r>
        </a:p>
        <a:p>
          <a:pPr algn="ctr" rtl="0">
            <a:defRPr sz="1000"/>
          </a:pPr>
          <a:endParaRPr lang="fr-FR" sz="1800" b="1" i="0" u="none" strike="noStrike" baseline="0">
            <a:solidFill>
              <a:srgbClr val="000000"/>
            </a:solidFill>
            <a:latin typeface="CG Times (WN)"/>
          </a:endParaRPr>
        </a:p>
        <a:p>
          <a:pPr algn="ctr" rtl="0">
            <a:defRPr sz="1000"/>
          </a:pPr>
          <a:endParaRPr lang="fr-FR" sz="1800" b="1" i="0" u="none" strike="noStrike" baseline="0">
            <a:solidFill>
              <a:srgbClr val="000000"/>
            </a:solidFill>
            <a:latin typeface="CG Times (WN)"/>
          </a:endParaRPr>
        </a:p>
      </xdr:txBody>
    </xdr:sp>
    <xdr:clientData/>
  </xdr:twoCellAnchor>
  <xdr:twoCellAnchor>
    <xdr:from>
      <xdr:col>1</xdr:col>
      <xdr:colOff>82550</xdr:colOff>
      <xdr:row>1</xdr:row>
      <xdr:rowOff>0</xdr:rowOff>
    </xdr:from>
    <xdr:to>
      <xdr:col>11</xdr:col>
      <xdr:colOff>695</xdr:colOff>
      <xdr:row>3</xdr:row>
      <xdr:rowOff>41757</xdr:rowOff>
    </xdr:to>
    <xdr:sp macro="" textlink="">
      <xdr:nvSpPr>
        <xdr:cNvPr id="5" name="Texte 1">
          <a:extLst>
            <a:ext uri="{FF2B5EF4-FFF2-40B4-BE49-F238E27FC236}">
              <a16:creationId xmlns:a16="http://schemas.microsoft.com/office/drawing/2014/main" id="{3C843F3F-D40B-A69E-0865-C68DD0D0712F}"/>
            </a:ext>
          </a:extLst>
        </xdr:cNvPr>
        <xdr:cNvSpPr>
          <a:spLocks noChangeArrowheads="1"/>
        </xdr:cNvSpPr>
      </xdr:nvSpPr>
      <xdr:spPr bwMode="auto">
        <a:xfrm>
          <a:off x="419100" y="85725"/>
          <a:ext cx="12954000" cy="355656"/>
        </a:xfrm>
        <a:prstGeom prst="roundRect">
          <a:avLst>
            <a:gd name="adj" fmla="val 16667"/>
          </a:avLst>
        </a:prstGeom>
        <a:solidFill>
          <a:srgbClr val="FFFFFF"/>
        </a:solidFill>
        <a:ln w="9525">
          <a:solidFill>
            <a:srgbClr val="000000"/>
          </a:solidFill>
          <a:round/>
          <a:headEnd/>
          <a:tailEnd/>
        </a:ln>
        <a:effectLst>
          <a:outerShdw dist="35921" dir="2700000" algn="ctr" rotWithShape="0">
            <a:srgbClr val="000000"/>
          </a:outerShdw>
        </a:effectLst>
      </xdr:spPr>
      <xdr:txBody>
        <a:bodyPr vertOverflow="clip" wrap="square" lIns="36576" tIns="32004" rIns="36576" bIns="32004" anchor="ctr" upright="1"/>
        <a:lstStyle/>
        <a:p>
          <a:pPr algn="ctr" rtl="0">
            <a:defRPr sz="1000"/>
          </a:pPr>
          <a:r>
            <a:rPr lang="fr-FR" sz="1800" b="1" i="0" u="none" strike="noStrike" baseline="0">
              <a:solidFill>
                <a:srgbClr val="000000"/>
              </a:solidFill>
              <a:latin typeface="CG Times (WN)"/>
            </a:rPr>
            <a:t>GUINTOLI / EHTP/NGE GC/SIORAT en AUVERGNE -RHONE-SAONE </a:t>
          </a:r>
        </a:p>
        <a:p>
          <a:pPr algn="ctr" rtl="0">
            <a:defRPr sz="1000"/>
          </a:pPr>
          <a:endParaRPr lang="fr-FR" sz="1800" b="1" i="0" u="none" strike="noStrike" baseline="0">
            <a:solidFill>
              <a:srgbClr val="000000"/>
            </a:solidFill>
            <a:latin typeface="CG Times (WN)"/>
          </a:endParaRPr>
        </a:p>
        <a:p>
          <a:pPr algn="ctr" rtl="0">
            <a:defRPr sz="1000"/>
          </a:pPr>
          <a:endParaRPr lang="fr-FR" sz="1800" b="1" i="0" u="none" strike="noStrike" baseline="0">
            <a:solidFill>
              <a:srgbClr val="000000"/>
            </a:solidFill>
            <a:latin typeface="CG Times (WN)"/>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376555</xdr:colOff>
      <xdr:row>1</xdr:row>
      <xdr:rowOff>0</xdr:rowOff>
    </xdr:from>
    <xdr:to>
      <xdr:col>11</xdr:col>
      <xdr:colOff>1958</xdr:colOff>
      <xdr:row>4</xdr:row>
      <xdr:rowOff>8277</xdr:rowOff>
    </xdr:to>
    <xdr:sp macro="" textlink="">
      <xdr:nvSpPr>
        <xdr:cNvPr id="2" name="Texte 1">
          <a:extLst>
            <a:ext uri="{FF2B5EF4-FFF2-40B4-BE49-F238E27FC236}">
              <a16:creationId xmlns:a16="http://schemas.microsoft.com/office/drawing/2014/main" id="{02137042-8675-134F-7300-E0D2121303CA}"/>
            </a:ext>
          </a:extLst>
        </xdr:cNvPr>
        <xdr:cNvSpPr>
          <a:spLocks noChangeArrowheads="1"/>
        </xdr:cNvSpPr>
      </xdr:nvSpPr>
      <xdr:spPr bwMode="auto">
        <a:xfrm>
          <a:off x="342900" y="85725"/>
          <a:ext cx="13982700" cy="355656"/>
        </a:xfrm>
        <a:prstGeom prst="roundRect">
          <a:avLst>
            <a:gd name="adj" fmla="val 16667"/>
          </a:avLst>
        </a:prstGeom>
        <a:solidFill>
          <a:srgbClr val="FFFFFF"/>
        </a:solidFill>
        <a:ln w="9525">
          <a:solidFill>
            <a:srgbClr val="000000"/>
          </a:solidFill>
          <a:round/>
          <a:headEnd/>
          <a:tailEnd/>
        </a:ln>
        <a:effectLst>
          <a:outerShdw dist="35921" dir="2700000" algn="ctr" rotWithShape="0">
            <a:srgbClr val="000000"/>
          </a:outerShdw>
        </a:effectLst>
      </xdr:spPr>
      <xdr:txBody>
        <a:bodyPr vertOverflow="clip" wrap="square" lIns="36576" tIns="32004" rIns="36576" bIns="32004" anchor="ctr" upright="1"/>
        <a:lstStyle/>
        <a:p>
          <a:pPr algn="ctr" rtl="0">
            <a:defRPr sz="1000"/>
          </a:pPr>
          <a:r>
            <a:rPr lang="fr-FR" sz="1800" b="1" i="0" u="none" strike="noStrike" baseline="0">
              <a:solidFill>
                <a:srgbClr val="000000"/>
              </a:solidFill>
              <a:latin typeface="CG Times (WN)"/>
            </a:rPr>
            <a:t>GUINTOLI / EHTP/NGE GC/SIORAT / VAL TP    RHONE ALPES </a:t>
          </a:r>
        </a:p>
        <a:p>
          <a:pPr algn="ctr" rtl="0">
            <a:defRPr sz="1000"/>
          </a:pPr>
          <a:endParaRPr lang="fr-FR" sz="1800" b="1" i="0" u="none" strike="noStrike" baseline="0">
            <a:solidFill>
              <a:srgbClr val="000000"/>
            </a:solidFill>
            <a:latin typeface="CG Times (WN)"/>
          </a:endParaRPr>
        </a:p>
        <a:p>
          <a:pPr algn="ctr" rtl="0">
            <a:defRPr sz="1000"/>
          </a:pPr>
          <a:endParaRPr lang="fr-FR" sz="1800" b="1" i="0" u="none" strike="noStrike" baseline="0">
            <a:solidFill>
              <a:srgbClr val="000000"/>
            </a:solidFill>
            <a:latin typeface="CG Times (WN)"/>
          </a:endParaRPr>
        </a:p>
      </xdr:txBody>
    </xdr:sp>
    <xdr:clientData/>
  </xdr:twoCellAnchor>
  <xdr:twoCellAnchor>
    <xdr:from>
      <xdr:col>1</xdr:col>
      <xdr:colOff>376555</xdr:colOff>
      <xdr:row>1</xdr:row>
      <xdr:rowOff>0</xdr:rowOff>
    </xdr:from>
    <xdr:to>
      <xdr:col>11</xdr:col>
      <xdr:colOff>1958</xdr:colOff>
      <xdr:row>4</xdr:row>
      <xdr:rowOff>8277</xdr:rowOff>
    </xdr:to>
    <xdr:sp macro="" textlink="">
      <xdr:nvSpPr>
        <xdr:cNvPr id="3" name="Texte 1">
          <a:extLst>
            <a:ext uri="{FF2B5EF4-FFF2-40B4-BE49-F238E27FC236}">
              <a16:creationId xmlns:a16="http://schemas.microsoft.com/office/drawing/2014/main" id="{0A1A0185-0B75-7368-D34D-2373DDA6EE48}"/>
            </a:ext>
          </a:extLst>
        </xdr:cNvPr>
        <xdr:cNvSpPr>
          <a:spLocks noChangeArrowheads="1"/>
        </xdr:cNvSpPr>
      </xdr:nvSpPr>
      <xdr:spPr bwMode="auto">
        <a:xfrm>
          <a:off x="342900" y="85725"/>
          <a:ext cx="13982700" cy="355656"/>
        </a:xfrm>
        <a:prstGeom prst="roundRect">
          <a:avLst>
            <a:gd name="adj" fmla="val 16667"/>
          </a:avLst>
        </a:prstGeom>
        <a:solidFill>
          <a:srgbClr val="FFFFFF"/>
        </a:solidFill>
        <a:ln w="9525">
          <a:solidFill>
            <a:srgbClr val="000000"/>
          </a:solidFill>
          <a:round/>
          <a:headEnd/>
          <a:tailEnd/>
        </a:ln>
        <a:effectLst>
          <a:outerShdw dist="35921" dir="2700000" algn="ctr" rotWithShape="0">
            <a:srgbClr val="000000"/>
          </a:outerShdw>
        </a:effectLst>
      </xdr:spPr>
      <xdr:txBody>
        <a:bodyPr vertOverflow="clip" wrap="square" lIns="36576" tIns="32004" rIns="36576" bIns="32004" anchor="ctr" upright="1"/>
        <a:lstStyle/>
        <a:p>
          <a:pPr algn="ctr" rtl="0">
            <a:defRPr sz="1000"/>
          </a:pPr>
          <a:r>
            <a:rPr lang="fr-FR" sz="1800" b="1" i="0" u="none" strike="noStrike" baseline="0">
              <a:solidFill>
                <a:srgbClr val="000000"/>
              </a:solidFill>
              <a:latin typeface="CG Times (WN)"/>
            </a:rPr>
            <a:t>GUINTOLI / EHTP/NGE GC/SIORAT en AUVERGNE -RHONE-SAONE </a:t>
          </a:r>
        </a:p>
        <a:p>
          <a:pPr algn="ctr" rtl="0">
            <a:defRPr sz="1000"/>
          </a:pPr>
          <a:endParaRPr lang="fr-FR" sz="1800" b="1" i="0" u="none" strike="noStrike" baseline="0">
            <a:solidFill>
              <a:srgbClr val="000000"/>
            </a:solidFill>
            <a:latin typeface="CG Times (WN)"/>
          </a:endParaRPr>
        </a:p>
        <a:p>
          <a:pPr algn="ctr" rtl="0">
            <a:defRPr sz="1000"/>
          </a:pPr>
          <a:endParaRPr lang="fr-FR" sz="1800" b="1" i="0" u="none" strike="noStrike" baseline="0">
            <a:solidFill>
              <a:srgbClr val="000000"/>
            </a:solidFill>
            <a:latin typeface="CG Times (WN)"/>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1</xdr:col>
      <xdr:colOff>97790</xdr:colOff>
      <xdr:row>1</xdr:row>
      <xdr:rowOff>0</xdr:rowOff>
    </xdr:from>
    <xdr:to>
      <xdr:col>10</xdr:col>
      <xdr:colOff>1870979</xdr:colOff>
      <xdr:row>3</xdr:row>
      <xdr:rowOff>41830</xdr:rowOff>
    </xdr:to>
    <xdr:sp macro="" textlink="">
      <xdr:nvSpPr>
        <xdr:cNvPr id="2" name="Texte 1">
          <a:extLst>
            <a:ext uri="{FF2B5EF4-FFF2-40B4-BE49-F238E27FC236}">
              <a16:creationId xmlns:a16="http://schemas.microsoft.com/office/drawing/2014/main" id="{64B0E089-3A77-CC34-51D2-50DED665B5F6}"/>
            </a:ext>
          </a:extLst>
        </xdr:cNvPr>
        <xdr:cNvSpPr>
          <a:spLocks noChangeArrowheads="1"/>
        </xdr:cNvSpPr>
      </xdr:nvSpPr>
      <xdr:spPr bwMode="auto">
        <a:xfrm>
          <a:off x="387350" y="82550"/>
          <a:ext cx="15938500" cy="352481"/>
        </a:xfrm>
        <a:prstGeom prst="roundRect">
          <a:avLst>
            <a:gd name="adj" fmla="val 16667"/>
          </a:avLst>
        </a:prstGeom>
        <a:solidFill>
          <a:srgbClr val="FFFFFF"/>
        </a:solidFill>
        <a:ln w="9525">
          <a:solidFill>
            <a:srgbClr val="000000"/>
          </a:solidFill>
          <a:round/>
          <a:headEnd/>
          <a:tailEnd/>
        </a:ln>
        <a:effectLst>
          <a:outerShdw dist="35921" dir="2700000" algn="ctr" rotWithShape="0">
            <a:srgbClr val="000000"/>
          </a:outerShdw>
        </a:effectLst>
      </xdr:spPr>
      <xdr:txBody>
        <a:bodyPr vertOverflow="clip" wrap="square" lIns="36576" tIns="32004" rIns="36576" bIns="32004" anchor="ctr" upright="1"/>
        <a:lstStyle/>
        <a:p>
          <a:pPr algn="ctr" rtl="0">
            <a:defRPr sz="1000"/>
          </a:pPr>
          <a:r>
            <a:rPr lang="fr-FR" sz="1800" b="1" i="0" u="none" strike="noStrike" baseline="0">
              <a:solidFill>
                <a:srgbClr val="000000"/>
              </a:solidFill>
              <a:latin typeface="CG Times (WN)"/>
            </a:rPr>
            <a:t>GUINTOLI / EHTP/NGE GC/SIORAT / VAL TP    RHONE ALPES </a:t>
          </a:r>
        </a:p>
        <a:p>
          <a:pPr algn="ctr" rtl="0">
            <a:defRPr sz="1000"/>
          </a:pPr>
          <a:endParaRPr lang="fr-FR" sz="1800" b="1" i="0" u="none" strike="noStrike" baseline="0">
            <a:solidFill>
              <a:srgbClr val="000000"/>
            </a:solidFill>
            <a:latin typeface="CG Times (WN)"/>
          </a:endParaRPr>
        </a:p>
        <a:p>
          <a:pPr algn="ctr" rtl="0">
            <a:defRPr sz="1000"/>
          </a:pPr>
          <a:endParaRPr lang="fr-FR" sz="1800" b="1" i="0" u="none" strike="noStrike" baseline="0">
            <a:solidFill>
              <a:srgbClr val="000000"/>
            </a:solidFill>
            <a:latin typeface="CG Times (WN)"/>
          </a:endParaRPr>
        </a:p>
      </xdr:txBody>
    </xdr:sp>
    <xdr:clientData/>
  </xdr:twoCellAnchor>
  <xdr:twoCellAnchor>
    <xdr:from>
      <xdr:col>1</xdr:col>
      <xdr:colOff>97790</xdr:colOff>
      <xdr:row>1</xdr:row>
      <xdr:rowOff>0</xdr:rowOff>
    </xdr:from>
    <xdr:to>
      <xdr:col>10</xdr:col>
      <xdr:colOff>1870979</xdr:colOff>
      <xdr:row>3</xdr:row>
      <xdr:rowOff>41830</xdr:rowOff>
    </xdr:to>
    <xdr:sp macro="" textlink="">
      <xdr:nvSpPr>
        <xdr:cNvPr id="3" name="Texte 1">
          <a:extLst>
            <a:ext uri="{FF2B5EF4-FFF2-40B4-BE49-F238E27FC236}">
              <a16:creationId xmlns:a16="http://schemas.microsoft.com/office/drawing/2014/main" id="{1DAC51A1-84E2-5113-68A2-23924BDDB120}"/>
            </a:ext>
          </a:extLst>
        </xdr:cNvPr>
        <xdr:cNvSpPr>
          <a:spLocks noChangeArrowheads="1"/>
        </xdr:cNvSpPr>
      </xdr:nvSpPr>
      <xdr:spPr bwMode="auto">
        <a:xfrm>
          <a:off x="387350" y="82550"/>
          <a:ext cx="15938500" cy="352481"/>
        </a:xfrm>
        <a:prstGeom prst="roundRect">
          <a:avLst>
            <a:gd name="adj" fmla="val 16667"/>
          </a:avLst>
        </a:prstGeom>
        <a:solidFill>
          <a:srgbClr val="FFFFFF"/>
        </a:solidFill>
        <a:ln w="9525">
          <a:solidFill>
            <a:srgbClr val="000000"/>
          </a:solidFill>
          <a:round/>
          <a:headEnd/>
          <a:tailEnd/>
        </a:ln>
        <a:effectLst>
          <a:outerShdw dist="35921" dir="2700000" algn="ctr" rotWithShape="0">
            <a:srgbClr val="000000"/>
          </a:outerShdw>
        </a:effectLst>
      </xdr:spPr>
      <xdr:txBody>
        <a:bodyPr vertOverflow="clip" wrap="square" lIns="36576" tIns="32004" rIns="36576" bIns="32004" anchor="ctr" upright="1"/>
        <a:lstStyle/>
        <a:p>
          <a:pPr algn="ctr" rtl="0">
            <a:defRPr sz="1000"/>
          </a:pPr>
          <a:r>
            <a:rPr lang="fr-FR" sz="1800" b="1" i="0" u="none" strike="noStrike" baseline="0">
              <a:solidFill>
                <a:srgbClr val="000000"/>
              </a:solidFill>
              <a:latin typeface="CG Times (WN)"/>
            </a:rPr>
            <a:t>GUINTOLI / EHTP/NGE GC/SIORAT en AUVERGNE -RHONE-SAONE </a:t>
          </a:r>
        </a:p>
        <a:p>
          <a:pPr algn="ctr" rtl="0">
            <a:defRPr sz="1000"/>
          </a:pPr>
          <a:endParaRPr lang="fr-FR" sz="1800" b="1" i="0" u="none" strike="noStrike" baseline="0">
            <a:solidFill>
              <a:srgbClr val="000000"/>
            </a:solidFill>
            <a:latin typeface="CG Times (WN)"/>
          </a:endParaRPr>
        </a:p>
        <a:p>
          <a:pPr algn="ctr" rtl="0">
            <a:defRPr sz="1000"/>
          </a:pPr>
          <a:endParaRPr lang="fr-FR" sz="1800" b="1" i="0" u="none" strike="noStrike" baseline="0">
            <a:solidFill>
              <a:srgbClr val="000000"/>
            </a:solidFill>
            <a:latin typeface="CG Times (WN)"/>
          </a:endParaRP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1</xdr:col>
      <xdr:colOff>0</xdr:colOff>
      <xdr:row>1</xdr:row>
      <xdr:rowOff>0</xdr:rowOff>
    </xdr:from>
    <xdr:to>
      <xdr:col>12</xdr:col>
      <xdr:colOff>19</xdr:colOff>
      <xdr:row>3</xdr:row>
      <xdr:rowOff>41830</xdr:rowOff>
    </xdr:to>
    <xdr:sp macro="" textlink="">
      <xdr:nvSpPr>
        <xdr:cNvPr id="2" name="Texte 1">
          <a:extLst>
            <a:ext uri="{FF2B5EF4-FFF2-40B4-BE49-F238E27FC236}">
              <a16:creationId xmlns:a16="http://schemas.microsoft.com/office/drawing/2014/main" id="{448A72F7-0E48-FC47-AE30-607F601CC56B}"/>
            </a:ext>
          </a:extLst>
        </xdr:cNvPr>
        <xdr:cNvSpPr>
          <a:spLocks noChangeArrowheads="1"/>
        </xdr:cNvSpPr>
      </xdr:nvSpPr>
      <xdr:spPr bwMode="auto">
        <a:xfrm>
          <a:off x="625475" y="82550"/>
          <a:ext cx="16138536" cy="371898"/>
        </a:xfrm>
        <a:prstGeom prst="roundRect">
          <a:avLst>
            <a:gd name="adj" fmla="val 16667"/>
          </a:avLst>
        </a:prstGeom>
        <a:solidFill>
          <a:srgbClr val="FFFFFF"/>
        </a:solidFill>
        <a:ln w="9525">
          <a:solidFill>
            <a:srgbClr val="000000"/>
          </a:solidFill>
          <a:round/>
          <a:headEnd/>
          <a:tailEnd/>
        </a:ln>
        <a:effectLst>
          <a:outerShdw dist="35921" dir="2700000" algn="ctr" rotWithShape="0">
            <a:srgbClr val="000000"/>
          </a:outerShdw>
        </a:effectLst>
      </xdr:spPr>
      <xdr:txBody>
        <a:bodyPr vertOverflow="clip" wrap="square" lIns="36576" tIns="32004" rIns="36576" bIns="32004" anchor="ctr" upright="1"/>
        <a:lstStyle/>
        <a:p>
          <a:pPr algn="ctr" rtl="0">
            <a:defRPr sz="1000"/>
          </a:pPr>
          <a:r>
            <a:rPr lang="fr-FR" sz="1800" b="1" i="0" u="none" strike="noStrike" baseline="0">
              <a:solidFill>
                <a:srgbClr val="000000"/>
              </a:solidFill>
              <a:latin typeface="CG Times (WN)"/>
            </a:rPr>
            <a:t>GUINTOLI / EHTP/NGE GC/SIORAT / VAL TP    RHONE ALPES </a:t>
          </a:r>
        </a:p>
        <a:p>
          <a:pPr algn="ctr" rtl="0">
            <a:defRPr sz="1000"/>
          </a:pPr>
          <a:endParaRPr lang="fr-FR" sz="1800" b="1" i="0" u="none" strike="noStrike" baseline="0">
            <a:solidFill>
              <a:srgbClr val="000000"/>
            </a:solidFill>
            <a:latin typeface="CG Times (WN)"/>
          </a:endParaRPr>
        </a:p>
        <a:p>
          <a:pPr algn="ctr" rtl="0">
            <a:defRPr sz="1000"/>
          </a:pPr>
          <a:endParaRPr lang="fr-FR" sz="1800" b="1" i="0" u="none" strike="noStrike" baseline="0">
            <a:solidFill>
              <a:srgbClr val="000000"/>
            </a:solidFill>
            <a:latin typeface="CG Times (WN)"/>
          </a:endParaRPr>
        </a:p>
      </xdr:txBody>
    </xdr:sp>
    <xdr:clientData/>
  </xdr:twoCellAnchor>
  <xdr:twoCellAnchor>
    <xdr:from>
      <xdr:col>1</xdr:col>
      <xdr:colOff>0</xdr:colOff>
      <xdr:row>1</xdr:row>
      <xdr:rowOff>0</xdr:rowOff>
    </xdr:from>
    <xdr:to>
      <xdr:col>12</xdr:col>
      <xdr:colOff>19</xdr:colOff>
      <xdr:row>3</xdr:row>
      <xdr:rowOff>41830</xdr:rowOff>
    </xdr:to>
    <xdr:sp macro="" textlink="">
      <xdr:nvSpPr>
        <xdr:cNvPr id="3" name="Texte 1">
          <a:extLst>
            <a:ext uri="{FF2B5EF4-FFF2-40B4-BE49-F238E27FC236}">
              <a16:creationId xmlns:a16="http://schemas.microsoft.com/office/drawing/2014/main" id="{84102045-7164-8BCD-DA08-4C4F7C461B5E}"/>
            </a:ext>
          </a:extLst>
        </xdr:cNvPr>
        <xdr:cNvSpPr>
          <a:spLocks noChangeArrowheads="1"/>
        </xdr:cNvSpPr>
      </xdr:nvSpPr>
      <xdr:spPr bwMode="auto">
        <a:xfrm>
          <a:off x="625475" y="82550"/>
          <a:ext cx="16138536" cy="371898"/>
        </a:xfrm>
        <a:prstGeom prst="roundRect">
          <a:avLst>
            <a:gd name="adj" fmla="val 16667"/>
          </a:avLst>
        </a:prstGeom>
        <a:solidFill>
          <a:srgbClr val="FFFFFF"/>
        </a:solidFill>
        <a:ln w="9525">
          <a:solidFill>
            <a:srgbClr val="000000"/>
          </a:solidFill>
          <a:round/>
          <a:headEnd/>
          <a:tailEnd/>
        </a:ln>
        <a:effectLst>
          <a:outerShdw dist="35921" dir="2700000" algn="ctr" rotWithShape="0">
            <a:srgbClr val="000000"/>
          </a:outerShdw>
        </a:effectLst>
      </xdr:spPr>
      <xdr:txBody>
        <a:bodyPr vertOverflow="clip" wrap="square" lIns="36576" tIns="32004" rIns="36576" bIns="32004" anchor="ctr" upright="1"/>
        <a:lstStyle/>
        <a:p>
          <a:pPr algn="ctr" rtl="0">
            <a:defRPr sz="1000"/>
          </a:pPr>
          <a:r>
            <a:rPr lang="fr-FR" sz="1800" b="1" i="0" u="none" strike="noStrike" baseline="0">
              <a:solidFill>
                <a:srgbClr val="000000"/>
              </a:solidFill>
              <a:latin typeface="CG Times (WN)"/>
            </a:rPr>
            <a:t>GUINTOLI / EHTP/NGE GC/SIORAT en AUVERGNE -RHONE-SAONE </a:t>
          </a:r>
        </a:p>
        <a:p>
          <a:pPr algn="ctr" rtl="0">
            <a:defRPr sz="1000"/>
          </a:pPr>
          <a:endParaRPr lang="fr-FR" sz="1800" b="1" i="0" u="none" strike="noStrike" baseline="0">
            <a:solidFill>
              <a:srgbClr val="000000"/>
            </a:solidFill>
            <a:latin typeface="CG Times (WN)"/>
          </a:endParaRPr>
        </a:p>
        <a:p>
          <a:pPr algn="ctr" rtl="0">
            <a:defRPr sz="1000"/>
          </a:pPr>
          <a:endParaRPr lang="fr-FR" sz="1800" b="1" i="0" u="none" strike="noStrike" baseline="0">
            <a:solidFill>
              <a:srgbClr val="000000"/>
            </a:solidFill>
            <a:latin typeface="CG Times (WN)"/>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1</xdr:col>
      <xdr:colOff>600075</xdr:colOff>
      <xdr:row>1</xdr:row>
      <xdr:rowOff>41275</xdr:rowOff>
    </xdr:from>
    <xdr:to>
      <xdr:col>13</xdr:col>
      <xdr:colOff>449640</xdr:colOff>
      <xdr:row>3</xdr:row>
      <xdr:rowOff>47468</xdr:rowOff>
    </xdr:to>
    <xdr:sp macro="" textlink="">
      <xdr:nvSpPr>
        <xdr:cNvPr id="3" name="Texte 1">
          <a:extLst>
            <a:ext uri="{FF2B5EF4-FFF2-40B4-BE49-F238E27FC236}">
              <a16:creationId xmlns:a16="http://schemas.microsoft.com/office/drawing/2014/main" id="{B8FCA483-33E0-6A85-4DA5-CA2CCDAA73CD}"/>
            </a:ext>
          </a:extLst>
        </xdr:cNvPr>
        <xdr:cNvSpPr>
          <a:spLocks noChangeArrowheads="1"/>
        </xdr:cNvSpPr>
      </xdr:nvSpPr>
      <xdr:spPr bwMode="auto">
        <a:xfrm>
          <a:off x="941070" y="54610"/>
          <a:ext cx="12332984" cy="396130"/>
        </a:xfrm>
        <a:prstGeom prst="roundRect">
          <a:avLst>
            <a:gd name="adj" fmla="val 16667"/>
          </a:avLst>
        </a:prstGeom>
        <a:solidFill>
          <a:srgbClr val="FFFFFF"/>
        </a:solidFill>
        <a:ln w="9525">
          <a:solidFill>
            <a:srgbClr val="000000"/>
          </a:solidFill>
          <a:round/>
          <a:headEnd/>
          <a:tailEnd/>
        </a:ln>
        <a:effectLst>
          <a:outerShdw dist="35921" dir="2700000" algn="ctr" rotWithShape="0">
            <a:srgbClr val="000000"/>
          </a:outerShdw>
        </a:effectLst>
      </xdr:spPr>
      <xdr:txBody>
        <a:bodyPr vertOverflow="clip" wrap="square" lIns="36576" tIns="32004" rIns="36576" bIns="32004" anchor="ctr" upright="1"/>
        <a:lstStyle/>
        <a:p>
          <a:pPr algn="ctr" rtl="0">
            <a:defRPr sz="1000"/>
          </a:pPr>
          <a:r>
            <a:rPr lang="fr-FR" sz="1800" b="1" i="0" u="none" strike="noStrike" baseline="0">
              <a:solidFill>
                <a:srgbClr val="000000"/>
              </a:solidFill>
              <a:latin typeface="CG Times (WN)"/>
            </a:rPr>
            <a:t>GUINTOLI / EHTP/NGE GC/NGE ROUTES en RHÔNE - AUVERGNE</a:t>
          </a:r>
        </a:p>
        <a:p>
          <a:pPr algn="ctr" rtl="0">
            <a:defRPr sz="1000"/>
          </a:pPr>
          <a:endParaRPr lang="fr-FR" sz="1800" b="1" i="0" u="none" strike="noStrike" baseline="0">
            <a:solidFill>
              <a:srgbClr val="000000"/>
            </a:solidFill>
            <a:latin typeface="CG Times (WN)"/>
          </a:endParaRPr>
        </a:p>
        <a:p>
          <a:pPr algn="ctr" rtl="0">
            <a:defRPr sz="1000"/>
          </a:pPr>
          <a:endParaRPr lang="fr-FR" sz="1800" b="1" i="0" u="none" strike="noStrike" baseline="0">
            <a:solidFill>
              <a:srgbClr val="000000"/>
            </a:solidFill>
            <a:latin typeface="CG Times (WN)"/>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1</xdr:col>
      <xdr:colOff>521970</xdr:colOff>
      <xdr:row>0</xdr:row>
      <xdr:rowOff>43180</xdr:rowOff>
    </xdr:from>
    <xdr:to>
      <xdr:col>15</xdr:col>
      <xdr:colOff>413543</xdr:colOff>
      <xdr:row>2</xdr:row>
      <xdr:rowOff>147810</xdr:rowOff>
    </xdr:to>
    <xdr:sp macro="" textlink="">
      <xdr:nvSpPr>
        <xdr:cNvPr id="2" name="Texte 1">
          <a:extLst>
            <a:ext uri="{FF2B5EF4-FFF2-40B4-BE49-F238E27FC236}">
              <a16:creationId xmlns:a16="http://schemas.microsoft.com/office/drawing/2014/main" id="{E65425F7-28E8-01D6-28C6-E57EDEAD1FA8}"/>
            </a:ext>
          </a:extLst>
        </xdr:cNvPr>
        <xdr:cNvSpPr>
          <a:spLocks noChangeArrowheads="1"/>
        </xdr:cNvSpPr>
      </xdr:nvSpPr>
      <xdr:spPr bwMode="auto">
        <a:xfrm>
          <a:off x="603885" y="29845"/>
          <a:ext cx="15722002" cy="714640"/>
        </a:xfrm>
        <a:prstGeom prst="roundRect">
          <a:avLst>
            <a:gd name="adj" fmla="val 16667"/>
          </a:avLst>
        </a:prstGeom>
        <a:solidFill>
          <a:srgbClr val="FFFFFF"/>
        </a:solidFill>
        <a:ln w="9525">
          <a:solidFill>
            <a:srgbClr val="000000"/>
          </a:solidFill>
          <a:round/>
          <a:headEnd/>
          <a:tailEnd/>
        </a:ln>
        <a:effectLst>
          <a:outerShdw dist="35921" dir="2700000" algn="ctr" rotWithShape="0">
            <a:srgbClr val="000000"/>
          </a:outerShdw>
        </a:effectLst>
      </xdr:spPr>
      <xdr:txBody>
        <a:bodyPr vertOverflow="clip" wrap="square" lIns="36576" tIns="32004" rIns="36576" bIns="32004" anchor="ctr" upright="1"/>
        <a:lstStyle/>
        <a:p>
          <a:pPr algn="ctr" rtl="0">
            <a:defRPr sz="1000"/>
          </a:pPr>
          <a:r>
            <a:rPr lang="fr-FR" sz="1800" b="1" i="0" u="none" strike="noStrike" baseline="0">
              <a:solidFill>
                <a:srgbClr val="000000"/>
              </a:solidFill>
              <a:latin typeface="CG Times (WN)"/>
            </a:rPr>
            <a:t>GUINTOLI / EHTP/NGE GC/NGE ROUTES en RHÔNE - AUVERGNE</a:t>
          </a:r>
        </a:p>
        <a:p>
          <a:pPr algn="ctr" rtl="0">
            <a:defRPr sz="1000"/>
          </a:pPr>
          <a:endParaRPr lang="fr-FR" sz="1800" b="1" i="0" u="none" strike="noStrike" baseline="0">
            <a:solidFill>
              <a:srgbClr val="000000"/>
            </a:solidFill>
            <a:latin typeface="CG Times (WN)"/>
          </a:endParaRPr>
        </a:p>
        <a:p>
          <a:pPr algn="ctr" rtl="0">
            <a:defRPr sz="1000"/>
          </a:pPr>
          <a:endParaRPr lang="fr-FR" sz="1800" b="1" i="0" u="none" strike="noStrike" baseline="0">
            <a:solidFill>
              <a:srgbClr val="000000"/>
            </a:solidFill>
            <a:latin typeface="CG Times (WN)"/>
          </a:endParaRP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1</xdr:col>
      <xdr:colOff>40005</xdr:colOff>
      <xdr:row>0</xdr:row>
      <xdr:rowOff>179070</xdr:rowOff>
    </xdr:from>
    <xdr:to>
      <xdr:col>15</xdr:col>
      <xdr:colOff>456</xdr:colOff>
      <xdr:row>2</xdr:row>
      <xdr:rowOff>69728</xdr:rowOff>
    </xdr:to>
    <xdr:sp macro="" textlink="">
      <xdr:nvSpPr>
        <xdr:cNvPr id="3" name="Texte 1">
          <a:extLst>
            <a:ext uri="{FF2B5EF4-FFF2-40B4-BE49-F238E27FC236}">
              <a16:creationId xmlns:a16="http://schemas.microsoft.com/office/drawing/2014/main" id="{9D3B2675-111A-239A-809F-410BE559EB7A}"/>
            </a:ext>
          </a:extLst>
        </xdr:cNvPr>
        <xdr:cNvSpPr>
          <a:spLocks noChangeArrowheads="1"/>
        </xdr:cNvSpPr>
      </xdr:nvSpPr>
      <xdr:spPr bwMode="auto">
        <a:xfrm>
          <a:off x="352425" y="180975"/>
          <a:ext cx="18945354" cy="514350"/>
        </a:xfrm>
        <a:prstGeom prst="roundRect">
          <a:avLst>
            <a:gd name="adj" fmla="val 16667"/>
          </a:avLst>
        </a:prstGeom>
        <a:solidFill>
          <a:srgbClr val="FFFFFF"/>
        </a:solidFill>
        <a:ln w="9525">
          <a:solidFill>
            <a:srgbClr val="000000"/>
          </a:solidFill>
          <a:round/>
          <a:headEnd/>
          <a:tailEnd/>
        </a:ln>
        <a:effectLst>
          <a:outerShdw dist="35921" dir="2700000" algn="ctr" rotWithShape="0">
            <a:srgbClr val="000000"/>
          </a:outerShdw>
        </a:effectLst>
      </xdr:spPr>
      <xdr:txBody>
        <a:bodyPr vertOverflow="clip" wrap="square" lIns="36576" tIns="32004" rIns="36576" bIns="32004" anchor="ctr" upright="1"/>
        <a:lstStyle/>
        <a:p>
          <a:pPr algn="ctr" rtl="0">
            <a:defRPr sz="1000"/>
          </a:pPr>
          <a:r>
            <a:rPr lang="fr-FR" sz="1800" b="1" i="0" u="none" strike="noStrike" baseline="0">
              <a:solidFill>
                <a:schemeClr val="tx2"/>
              </a:solidFill>
              <a:latin typeface="Abadi" panose="020B0604020104020204" pitchFamily="34" charset="0"/>
            </a:rPr>
            <a:t>GUINTOLI / EHTP/NGE GC/NGE ROUTES en RHÔNE - AUVERGNE</a:t>
          </a:r>
        </a:p>
        <a:p>
          <a:pPr algn="ctr" rtl="0">
            <a:defRPr sz="1000"/>
          </a:pPr>
          <a:endParaRPr lang="fr-FR" sz="1800" b="1" i="0" u="none" strike="noStrike" baseline="0">
            <a:solidFill>
              <a:schemeClr val="tx2"/>
            </a:solidFill>
            <a:latin typeface="CG Times (WN)"/>
          </a:endParaRPr>
        </a:p>
        <a:p>
          <a:pPr algn="ctr" rtl="0">
            <a:defRPr sz="1000"/>
          </a:pPr>
          <a:endParaRPr lang="fr-FR" sz="1800" b="1" i="0" u="none" strike="noStrike" baseline="0">
            <a:solidFill>
              <a:schemeClr val="tx2"/>
            </a:solidFill>
            <a:latin typeface="CG Times (WN)"/>
          </a:endParaRPr>
        </a:p>
      </xdr:txBody>
    </xdr:sp>
    <xdr:clientData/>
  </xdr:twoCellAnchor>
  <xdr:twoCellAnchor editAs="oneCell">
    <xdr:from>
      <xdr:col>13</xdr:col>
      <xdr:colOff>0</xdr:colOff>
      <xdr:row>23</xdr:row>
      <xdr:rowOff>0</xdr:rowOff>
    </xdr:from>
    <xdr:to>
      <xdr:col>13</xdr:col>
      <xdr:colOff>28575</xdr:colOff>
      <xdr:row>23</xdr:row>
      <xdr:rowOff>0</xdr:rowOff>
    </xdr:to>
    <xdr:pic>
      <xdr:nvPicPr>
        <xdr:cNvPr id="99583" name="Image 1">
          <a:extLst>
            <a:ext uri="{FF2B5EF4-FFF2-40B4-BE49-F238E27FC236}">
              <a16:creationId xmlns:a16="http://schemas.microsoft.com/office/drawing/2014/main" id="{9328A271-3A3D-947B-42B8-7DFABC51162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535400" y="7305675"/>
          <a:ext cx="285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2.xml"/><Relationship Id="rId1" Type="http://schemas.openxmlformats.org/officeDocument/2006/relationships/printerSettings" Target="../printerSettings/printerSettings12.bin"/><Relationship Id="rId4" Type="http://schemas.openxmlformats.org/officeDocument/2006/relationships/comments" Target="../comments2.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58D0E-2128-4610-BA09-87861E264568}">
  <sheetPr codeName="Feuil1">
    <pageSetUpPr fitToPage="1"/>
  </sheetPr>
  <dimension ref="A1:M310"/>
  <sheetViews>
    <sheetView showGridLines="0" zoomScale="50" zoomScaleNormal="75" workbookViewId="0">
      <pane ySplit="8" topLeftCell="A275" activePane="bottomLeft" state="frozenSplit"/>
      <selection pane="bottomLeft" activeCell="A306" sqref="A306"/>
    </sheetView>
  </sheetViews>
  <sheetFormatPr baseColWidth="10" defaultRowHeight="12.75" outlineLevelRow="1"/>
  <cols>
    <col min="1" max="1" width="12.5703125" style="20" bestFit="1" customWidth="1"/>
    <col min="2" max="2" width="13.5703125" style="20" bestFit="1" customWidth="1"/>
    <col min="3" max="3" width="12.5703125" style="119" customWidth="1"/>
    <col min="4" max="4" width="12.5703125" style="20" customWidth="1"/>
    <col min="5" max="5" width="8.5703125" style="20" customWidth="1"/>
    <col min="6" max="6" width="18.42578125" style="20" bestFit="1" customWidth="1"/>
    <col min="7" max="7" width="45.42578125" style="20" customWidth="1"/>
    <col min="8" max="8" width="18.42578125" style="20" bestFit="1" customWidth="1"/>
    <col min="9" max="9" width="22.42578125" style="61" bestFit="1" customWidth="1"/>
    <col min="10" max="10" width="34.5703125" style="20" customWidth="1"/>
    <col min="11" max="11" width="5.42578125" style="21" customWidth="1"/>
    <col min="12" max="12" width="26.42578125" style="164" customWidth="1"/>
    <col min="13" max="13" width="23.42578125" style="177" bestFit="1" customWidth="1"/>
    <col min="14" max="16384" width="11.42578125" style="20"/>
  </cols>
  <sheetData>
    <row r="1" spans="1:13" ht="18.75" customHeight="1"/>
    <row r="2" spans="1:13">
      <c r="H2" s="1080"/>
      <c r="I2" s="1078"/>
    </row>
    <row r="3" spans="1:13" ht="10.5" customHeight="1">
      <c r="H3" s="1080"/>
      <c r="I3" s="1079"/>
      <c r="J3" s="78"/>
      <c r="L3" s="165"/>
    </row>
    <row r="4" spans="1:13" ht="18.75" thickBot="1">
      <c r="J4" s="60"/>
      <c r="L4" s="165"/>
    </row>
    <row r="5" spans="1:13" ht="17.25" thickTop="1" thickBot="1">
      <c r="A5" s="22" t="s">
        <v>820</v>
      </c>
      <c r="B5" s="23"/>
      <c r="C5" s="120"/>
      <c r="D5" s="23"/>
      <c r="E5" s="24"/>
      <c r="F5" s="24"/>
      <c r="G5" s="24"/>
      <c r="H5" s="24"/>
      <c r="I5" s="62"/>
      <c r="J5" s="22"/>
      <c r="K5" s="23"/>
      <c r="L5" s="120"/>
      <c r="M5" s="187"/>
    </row>
    <row r="6" spans="1:13" ht="12" customHeight="1" thickTop="1" thickBot="1">
      <c r="A6" s="26"/>
      <c r="B6" s="26"/>
      <c r="C6" s="121"/>
      <c r="D6" s="26"/>
      <c r="E6" s="27"/>
      <c r="F6" s="27"/>
      <c r="G6" s="27"/>
      <c r="H6" s="27"/>
      <c r="I6" s="63"/>
      <c r="J6" s="25"/>
      <c r="L6" s="166"/>
    </row>
    <row r="7" spans="1:13" ht="20.25" customHeight="1" thickTop="1" thickBot="1">
      <c r="A7" s="29"/>
      <c r="B7" s="30"/>
      <c r="C7" s="1081" t="s">
        <v>620</v>
      </c>
      <c r="D7" s="1082"/>
      <c r="F7" s="28" t="s">
        <v>162</v>
      </c>
    </row>
    <row r="8" spans="1:13" s="14" customFormat="1" ht="19.5" customHeight="1" thickTop="1" thickBot="1">
      <c r="A8" s="135" t="s">
        <v>0</v>
      </c>
      <c r="B8" s="15" t="s">
        <v>1</v>
      </c>
      <c r="C8" s="132" t="s">
        <v>621</v>
      </c>
      <c r="D8" s="133" t="s">
        <v>622</v>
      </c>
      <c r="E8" s="32" t="s">
        <v>2</v>
      </c>
      <c r="F8" s="136" t="s">
        <v>163</v>
      </c>
      <c r="G8" s="15" t="s">
        <v>3</v>
      </c>
      <c r="H8" s="12" t="s">
        <v>4</v>
      </c>
      <c r="I8" s="64" t="s">
        <v>431</v>
      </c>
      <c r="J8" s="13" t="s">
        <v>5</v>
      </c>
      <c r="K8" s="152" t="s">
        <v>6</v>
      </c>
      <c r="L8" s="167" t="s">
        <v>742</v>
      </c>
      <c r="M8" s="178" t="s">
        <v>741</v>
      </c>
    </row>
    <row r="9" spans="1:13" s="1" customFormat="1" ht="28.5" hidden="1" customHeight="1" thickTop="1" thickBot="1">
      <c r="A9" s="134" t="s">
        <v>8</v>
      </c>
      <c r="B9" s="18"/>
      <c r="C9" s="122"/>
      <c r="D9" s="18"/>
      <c r="E9" s="51" t="s">
        <v>139</v>
      </c>
      <c r="F9" s="52" t="s">
        <v>251</v>
      </c>
      <c r="G9" s="10" t="s">
        <v>9</v>
      </c>
      <c r="H9" s="10" t="s">
        <v>10</v>
      </c>
      <c r="I9" s="65" t="s">
        <v>432</v>
      </c>
      <c r="J9" s="11" t="s">
        <v>11</v>
      </c>
      <c r="K9" s="153">
        <v>38</v>
      </c>
      <c r="L9" s="168"/>
      <c r="M9" s="179"/>
    </row>
    <row r="10" spans="1:13" s="1" customFormat="1" ht="26.25" hidden="1" customHeight="1" thickTop="1">
      <c r="A10" s="8" t="s">
        <v>12</v>
      </c>
      <c r="B10" s="46" t="s">
        <v>181</v>
      </c>
      <c r="C10" s="123"/>
      <c r="D10" s="46"/>
      <c r="E10" s="3" t="s">
        <v>140</v>
      </c>
      <c r="F10" s="33"/>
      <c r="G10" s="3" t="s">
        <v>366</v>
      </c>
      <c r="H10" s="2" t="s">
        <v>13</v>
      </c>
      <c r="I10" s="79" t="s">
        <v>483</v>
      </c>
      <c r="J10" s="4" t="s">
        <v>14</v>
      </c>
      <c r="K10" s="154">
        <v>26</v>
      </c>
      <c r="L10" s="169"/>
      <c r="M10" s="180"/>
    </row>
    <row r="11" spans="1:13" s="1" customFormat="1" ht="26.25" hidden="1" customHeight="1" outlineLevel="1">
      <c r="A11" s="8" t="s">
        <v>18</v>
      </c>
      <c r="B11" s="19"/>
      <c r="C11" s="123"/>
      <c r="D11" s="19"/>
      <c r="E11" s="3" t="s">
        <v>141</v>
      </c>
      <c r="F11" s="34"/>
      <c r="G11" s="3" t="s">
        <v>19</v>
      </c>
      <c r="H11" s="3" t="s">
        <v>20</v>
      </c>
      <c r="I11" s="66"/>
      <c r="J11" s="4" t="s">
        <v>21</v>
      </c>
      <c r="K11" s="154">
        <v>69</v>
      </c>
      <c r="L11" s="169"/>
      <c r="M11" s="180"/>
    </row>
    <row r="12" spans="1:13" s="1" customFormat="1" ht="26.25" hidden="1" customHeight="1" outlineLevel="1">
      <c r="A12" s="8" t="s">
        <v>149</v>
      </c>
      <c r="B12" s="17"/>
      <c r="C12" s="124"/>
      <c r="D12" s="17"/>
      <c r="E12" s="6" t="s">
        <v>144</v>
      </c>
      <c r="F12" s="35"/>
      <c r="G12" s="6" t="s">
        <v>168</v>
      </c>
      <c r="H12" s="6" t="s">
        <v>36</v>
      </c>
      <c r="I12" s="67"/>
      <c r="J12" s="11" t="s">
        <v>63</v>
      </c>
      <c r="K12" s="155"/>
      <c r="L12" s="168"/>
      <c r="M12" s="181"/>
    </row>
    <row r="13" spans="1:13" s="1" customFormat="1" ht="26.25" hidden="1" customHeight="1" outlineLevel="1">
      <c r="A13" s="8" t="s">
        <v>22</v>
      </c>
      <c r="B13" s="17"/>
      <c r="C13" s="124"/>
      <c r="D13" s="17"/>
      <c r="E13" s="6" t="s">
        <v>139</v>
      </c>
      <c r="F13" s="35">
        <v>293600</v>
      </c>
      <c r="G13" s="6" t="s">
        <v>23</v>
      </c>
      <c r="H13" s="6" t="s">
        <v>10</v>
      </c>
      <c r="I13" s="68"/>
      <c r="J13" s="7" t="s">
        <v>21</v>
      </c>
      <c r="K13" s="156">
        <v>69</v>
      </c>
      <c r="L13" s="168"/>
      <c r="M13" s="182"/>
    </row>
    <row r="14" spans="1:13" s="1" customFormat="1" ht="26.25" hidden="1" customHeight="1" outlineLevel="1">
      <c r="A14" s="8" t="s">
        <v>133</v>
      </c>
      <c r="B14" s="17"/>
      <c r="C14" s="124"/>
      <c r="D14" s="17"/>
      <c r="E14" s="6" t="s">
        <v>139</v>
      </c>
      <c r="F14" s="35"/>
      <c r="G14" s="6" t="s">
        <v>167</v>
      </c>
      <c r="H14" s="6" t="s">
        <v>10</v>
      </c>
      <c r="I14" s="68"/>
      <c r="J14" s="7" t="s">
        <v>7</v>
      </c>
      <c r="K14" s="156">
        <v>38</v>
      </c>
      <c r="L14" s="168"/>
      <c r="M14" s="182"/>
    </row>
    <row r="15" spans="1:13" s="1" customFormat="1" ht="26.25" hidden="1" customHeight="1" outlineLevel="1">
      <c r="A15" s="8" t="s">
        <v>24</v>
      </c>
      <c r="B15" s="17"/>
      <c r="C15" s="124"/>
      <c r="D15" s="17"/>
      <c r="E15" s="6" t="s">
        <v>140</v>
      </c>
      <c r="F15" s="35"/>
      <c r="G15" s="6" t="s">
        <v>25</v>
      </c>
      <c r="H15" s="6" t="s">
        <v>13</v>
      </c>
      <c r="I15" s="68"/>
      <c r="J15" s="7" t="s">
        <v>17</v>
      </c>
      <c r="K15" s="156">
        <v>26</v>
      </c>
      <c r="L15" s="168"/>
      <c r="M15" s="182"/>
    </row>
    <row r="16" spans="1:13" s="1" customFormat="1" ht="26.25" hidden="1" customHeight="1" outlineLevel="1">
      <c r="A16" s="8" t="s">
        <v>134</v>
      </c>
      <c r="B16" s="17"/>
      <c r="C16" s="124"/>
      <c r="D16" s="17"/>
      <c r="E16" s="6" t="s">
        <v>139</v>
      </c>
      <c r="F16" s="35"/>
      <c r="G16" s="6" t="s">
        <v>156</v>
      </c>
      <c r="H16" s="6" t="s">
        <v>10</v>
      </c>
      <c r="I16" s="68"/>
      <c r="J16" s="7" t="s">
        <v>79</v>
      </c>
      <c r="K16" s="156">
        <v>73</v>
      </c>
      <c r="L16" s="168"/>
      <c r="M16" s="182"/>
    </row>
    <row r="17" spans="1:13" s="1" customFormat="1" ht="26.25" hidden="1" customHeight="1" outlineLevel="1">
      <c r="A17" s="8" t="s">
        <v>138</v>
      </c>
      <c r="B17" s="17"/>
      <c r="C17" s="124"/>
      <c r="D17" s="17"/>
      <c r="E17" s="6" t="s">
        <v>144</v>
      </c>
      <c r="F17" s="35"/>
      <c r="G17" s="6" t="s">
        <v>157</v>
      </c>
      <c r="H17" s="6" t="s">
        <v>36</v>
      </c>
      <c r="I17" s="68"/>
      <c r="J17" s="7" t="s">
        <v>104</v>
      </c>
      <c r="K17" s="156">
        <v>43</v>
      </c>
      <c r="L17" s="168"/>
      <c r="M17" s="182"/>
    </row>
    <row r="18" spans="1:13" s="1" customFormat="1" ht="26.25" hidden="1" customHeight="1" outlineLevel="1">
      <c r="A18" s="8" t="s">
        <v>26</v>
      </c>
      <c r="B18" s="17"/>
      <c r="C18" s="124"/>
      <c r="D18" s="17"/>
      <c r="E18" s="6" t="s">
        <v>139</v>
      </c>
      <c r="F18" s="35">
        <f>3101450</f>
        <v>3101450</v>
      </c>
      <c r="G18" s="6" t="s">
        <v>27</v>
      </c>
      <c r="H18" s="6" t="s">
        <v>10</v>
      </c>
      <c r="I18" s="68"/>
      <c r="J18" s="7" t="s">
        <v>21</v>
      </c>
      <c r="K18" s="156">
        <v>69</v>
      </c>
      <c r="L18" s="168"/>
      <c r="M18" s="182"/>
    </row>
    <row r="19" spans="1:13" s="1" customFormat="1" ht="26.25" hidden="1" customHeight="1" outlineLevel="1">
      <c r="A19" s="8" t="s">
        <v>28</v>
      </c>
      <c r="B19" s="17"/>
      <c r="C19" s="124"/>
      <c r="D19" s="17"/>
      <c r="E19" s="6" t="s">
        <v>140</v>
      </c>
      <c r="F19" s="35"/>
      <c r="G19" s="6" t="s">
        <v>29</v>
      </c>
      <c r="H19" s="6" t="s">
        <v>13</v>
      </c>
      <c r="I19" s="68"/>
      <c r="J19" s="7" t="s">
        <v>17</v>
      </c>
      <c r="K19" s="156">
        <v>26</v>
      </c>
      <c r="L19" s="168"/>
      <c r="M19" s="182"/>
    </row>
    <row r="20" spans="1:13" s="1" customFormat="1" ht="26.25" hidden="1" customHeight="1" outlineLevel="1">
      <c r="A20" s="8" t="s">
        <v>30</v>
      </c>
      <c r="B20" s="16" t="s">
        <v>31</v>
      </c>
      <c r="C20" s="124"/>
      <c r="D20" s="16"/>
      <c r="E20" s="6" t="s">
        <v>140</v>
      </c>
      <c r="F20" s="35">
        <f>1532700</f>
        <v>1532700</v>
      </c>
      <c r="G20" s="6" t="s">
        <v>32</v>
      </c>
      <c r="H20" s="6" t="s">
        <v>13</v>
      </c>
      <c r="I20" s="68"/>
      <c r="J20" s="7" t="s">
        <v>17</v>
      </c>
      <c r="K20" s="156">
        <v>26</v>
      </c>
      <c r="L20" s="168"/>
      <c r="M20" s="182"/>
    </row>
    <row r="21" spans="1:13" s="1" customFormat="1" ht="26.25" hidden="1" customHeight="1" outlineLevel="1">
      <c r="A21" s="8" t="s">
        <v>135</v>
      </c>
      <c r="B21" s="17"/>
      <c r="C21" s="124"/>
      <c r="D21" s="17"/>
      <c r="E21" s="6" t="s">
        <v>139</v>
      </c>
      <c r="F21" s="35"/>
      <c r="G21" s="6" t="s">
        <v>158</v>
      </c>
      <c r="H21" s="6" t="s">
        <v>10</v>
      </c>
      <c r="I21" s="68"/>
      <c r="J21" s="7" t="s">
        <v>11</v>
      </c>
      <c r="K21" s="156">
        <v>38</v>
      </c>
      <c r="L21" s="168"/>
      <c r="M21" s="182"/>
    </row>
    <row r="22" spans="1:13" s="1" customFormat="1" ht="23.25" hidden="1" customHeight="1">
      <c r="A22" s="8" t="s">
        <v>33</v>
      </c>
      <c r="B22" s="16" t="s">
        <v>34</v>
      </c>
      <c r="C22" s="138" t="s">
        <v>626</v>
      </c>
      <c r="D22" s="138" t="s">
        <v>626</v>
      </c>
      <c r="E22" s="6" t="s">
        <v>144</v>
      </c>
      <c r="F22" s="35">
        <f>4034570+1314500</f>
        <v>5349070</v>
      </c>
      <c r="G22" s="6" t="s">
        <v>35</v>
      </c>
      <c r="H22" s="6" t="s">
        <v>36</v>
      </c>
      <c r="I22" s="68" t="s">
        <v>434</v>
      </c>
      <c r="J22" s="7" t="s">
        <v>21</v>
      </c>
      <c r="K22" s="156">
        <v>69</v>
      </c>
      <c r="L22" s="168"/>
      <c r="M22" s="182"/>
    </row>
    <row r="23" spans="1:13" s="1" customFormat="1" ht="26.25" hidden="1" customHeight="1" outlineLevel="1">
      <c r="A23" s="8" t="s">
        <v>136</v>
      </c>
      <c r="B23" s="17"/>
      <c r="C23" s="124"/>
      <c r="D23" s="16"/>
      <c r="E23" s="6" t="s">
        <v>139</v>
      </c>
      <c r="F23" s="35"/>
      <c r="G23" s="6" t="s">
        <v>159</v>
      </c>
      <c r="H23" s="6" t="s">
        <v>10</v>
      </c>
      <c r="I23" s="68"/>
      <c r="J23" s="7" t="s">
        <v>21</v>
      </c>
      <c r="K23" s="156">
        <v>69</v>
      </c>
      <c r="L23" s="168"/>
      <c r="M23" s="182"/>
    </row>
    <row r="24" spans="1:13" s="1" customFormat="1" ht="26.25" hidden="1" customHeight="1" outlineLevel="1">
      <c r="A24" s="8" t="s">
        <v>37</v>
      </c>
      <c r="B24" s="17"/>
      <c r="C24" s="124"/>
      <c r="D24" s="16"/>
      <c r="E24" s="6" t="s">
        <v>139</v>
      </c>
      <c r="F24" s="35"/>
      <c r="G24" s="6" t="s">
        <v>38</v>
      </c>
      <c r="H24" s="6" t="s">
        <v>10</v>
      </c>
      <c r="I24" s="69"/>
      <c r="J24" s="5" t="s">
        <v>39</v>
      </c>
      <c r="K24" s="157">
        <v>1</v>
      </c>
      <c r="L24" s="169"/>
      <c r="M24" s="183"/>
    </row>
    <row r="25" spans="1:13" s="1" customFormat="1" ht="26.25" hidden="1" customHeight="1" outlineLevel="1">
      <c r="A25" s="8" t="s">
        <v>40</v>
      </c>
      <c r="B25" s="16" t="s">
        <v>154</v>
      </c>
      <c r="C25" s="124"/>
      <c r="D25" s="16"/>
      <c r="E25" s="6" t="s">
        <v>142</v>
      </c>
      <c r="F25" s="35">
        <f>936000+379300</f>
        <v>1315300</v>
      </c>
      <c r="G25" s="6" t="s">
        <v>41</v>
      </c>
      <c r="H25" s="6" t="s">
        <v>42</v>
      </c>
      <c r="I25" s="69"/>
      <c r="J25" s="5" t="s">
        <v>43</v>
      </c>
      <c r="K25" s="157">
        <v>1</v>
      </c>
      <c r="L25" s="169"/>
      <c r="M25" s="183"/>
    </row>
    <row r="26" spans="1:13" s="1" customFormat="1" ht="26.25" hidden="1" customHeight="1" outlineLevel="1">
      <c r="A26" s="8" t="s">
        <v>132</v>
      </c>
      <c r="B26" s="17"/>
      <c r="C26" s="124"/>
      <c r="D26" s="16"/>
      <c r="E26" s="6" t="s">
        <v>143</v>
      </c>
      <c r="F26" s="35">
        <v>4595000</v>
      </c>
      <c r="G26" s="6" t="s">
        <v>160</v>
      </c>
      <c r="H26" s="6" t="s">
        <v>148</v>
      </c>
      <c r="I26" s="69"/>
      <c r="J26" s="5" t="s">
        <v>178</v>
      </c>
      <c r="K26" s="157">
        <v>21</v>
      </c>
      <c r="L26" s="169"/>
      <c r="M26" s="183"/>
    </row>
    <row r="27" spans="1:13" s="1" customFormat="1" ht="26.25" hidden="1" customHeight="1" outlineLevel="1">
      <c r="A27" s="8" t="s">
        <v>137</v>
      </c>
      <c r="B27" s="17"/>
      <c r="C27" s="124"/>
      <c r="D27" s="16"/>
      <c r="E27" s="6" t="s">
        <v>139</v>
      </c>
      <c r="F27" s="35">
        <v>370000</v>
      </c>
      <c r="G27" s="6" t="s">
        <v>161</v>
      </c>
      <c r="H27" s="6" t="s">
        <v>10</v>
      </c>
      <c r="I27" s="69"/>
      <c r="J27" s="5" t="s">
        <v>57</v>
      </c>
      <c r="K27" s="157">
        <v>71</v>
      </c>
      <c r="L27" s="169"/>
      <c r="M27" s="183"/>
    </row>
    <row r="28" spans="1:13" s="1" customFormat="1" ht="26.25" hidden="1" customHeight="1" outlineLevel="1">
      <c r="A28" s="8" t="s">
        <v>44</v>
      </c>
      <c r="B28" s="17"/>
      <c r="C28" s="124"/>
      <c r="D28" s="16"/>
      <c r="E28" s="6" t="s">
        <v>140</v>
      </c>
      <c r="F28" s="35">
        <v>851200</v>
      </c>
      <c r="G28" s="6" t="s">
        <v>45</v>
      </c>
      <c r="H28" s="6" t="s">
        <v>13</v>
      </c>
      <c r="I28" s="69"/>
      <c r="J28" s="5" t="s">
        <v>46</v>
      </c>
      <c r="K28" s="157">
        <v>7</v>
      </c>
      <c r="L28" s="169"/>
      <c r="M28" s="183"/>
    </row>
    <row r="29" spans="1:13" s="1" customFormat="1" ht="26.25" hidden="1" customHeight="1" outlineLevel="1">
      <c r="A29" s="8" t="s">
        <v>47</v>
      </c>
      <c r="B29" s="17"/>
      <c r="C29" s="124"/>
      <c r="D29" s="16"/>
      <c r="E29" s="6" t="s">
        <v>144</v>
      </c>
      <c r="F29" s="35">
        <v>1052120</v>
      </c>
      <c r="G29" s="6" t="s">
        <v>48</v>
      </c>
      <c r="H29" s="6" t="s">
        <v>36</v>
      </c>
      <c r="I29" s="69"/>
      <c r="J29" s="5" t="s">
        <v>21</v>
      </c>
      <c r="K29" s="157">
        <v>69</v>
      </c>
      <c r="L29" s="169"/>
      <c r="M29" s="183"/>
    </row>
    <row r="30" spans="1:13" s="1" customFormat="1" ht="26.25" hidden="1" customHeight="1" outlineLevel="1" thickTop="1">
      <c r="A30" s="8" t="s">
        <v>49</v>
      </c>
      <c r="B30" s="17"/>
      <c r="C30" s="124"/>
      <c r="D30" s="16"/>
      <c r="E30" s="6" t="s">
        <v>140</v>
      </c>
      <c r="F30" s="35">
        <v>138420</v>
      </c>
      <c r="G30" s="6" t="s">
        <v>50</v>
      </c>
      <c r="H30" s="6" t="s">
        <v>13</v>
      </c>
      <c r="I30" s="69"/>
      <c r="J30" s="5" t="s">
        <v>17</v>
      </c>
      <c r="K30" s="157">
        <v>26</v>
      </c>
      <c r="L30" s="169"/>
      <c r="M30" s="183"/>
    </row>
    <row r="31" spans="1:13" s="1" customFormat="1" ht="26.25" hidden="1" customHeight="1" outlineLevel="1">
      <c r="A31" s="8" t="s">
        <v>51</v>
      </c>
      <c r="B31" s="17"/>
      <c r="C31" s="124"/>
      <c r="D31" s="16"/>
      <c r="E31" s="6" t="s">
        <v>139</v>
      </c>
      <c r="F31" s="35">
        <v>632930</v>
      </c>
      <c r="G31" s="6" t="s">
        <v>52</v>
      </c>
      <c r="H31" s="6" t="s">
        <v>10</v>
      </c>
      <c r="I31" s="69"/>
      <c r="J31" s="5" t="s">
        <v>21</v>
      </c>
      <c r="K31" s="157">
        <v>1</v>
      </c>
      <c r="L31" s="169"/>
      <c r="M31" s="183"/>
    </row>
    <row r="32" spans="1:13" s="1" customFormat="1" ht="26.25" hidden="1" customHeight="1" outlineLevel="1">
      <c r="A32" s="8" t="s">
        <v>53</v>
      </c>
      <c r="B32" s="17"/>
      <c r="C32" s="124"/>
      <c r="D32" s="16"/>
      <c r="E32" s="6" t="s">
        <v>140</v>
      </c>
      <c r="F32" s="35">
        <v>200000</v>
      </c>
      <c r="G32" s="6" t="s">
        <v>54</v>
      </c>
      <c r="H32" s="6" t="s">
        <v>13</v>
      </c>
      <c r="I32" s="69"/>
      <c r="J32" s="5" t="s">
        <v>17</v>
      </c>
      <c r="K32" s="157">
        <v>26</v>
      </c>
      <c r="L32" s="169"/>
      <c r="M32" s="183"/>
    </row>
    <row r="33" spans="1:13" s="1" customFormat="1" ht="26.25" hidden="1" customHeight="1" outlineLevel="1" thickBot="1">
      <c r="A33" s="8" t="s">
        <v>55</v>
      </c>
      <c r="B33" s="17"/>
      <c r="C33" s="124"/>
      <c r="D33" s="16"/>
      <c r="E33" s="6" t="s">
        <v>139</v>
      </c>
      <c r="F33" s="35">
        <v>721300</v>
      </c>
      <c r="G33" s="6" t="s">
        <v>56</v>
      </c>
      <c r="H33" s="6" t="s">
        <v>10</v>
      </c>
      <c r="I33" s="69"/>
      <c r="J33" s="5" t="s">
        <v>57</v>
      </c>
      <c r="K33" s="157">
        <v>71</v>
      </c>
      <c r="L33" s="169"/>
      <c r="M33" s="183"/>
    </row>
    <row r="34" spans="1:13" s="1" customFormat="1" ht="26.25" hidden="1" customHeight="1" outlineLevel="1" thickTop="1" thickBot="1">
      <c r="A34" s="44" t="s">
        <v>58</v>
      </c>
      <c r="B34" s="39" t="s">
        <v>59</v>
      </c>
      <c r="C34" s="125"/>
      <c r="D34" s="16"/>
      <c r="E34" s="6" t="s">
        <v>139</v>
      </c>
      <c r="F34" s="35">
        <f>1150000*2</f>
        <v>2300000</v>
      </c>
      <c r="G34" s="6" t="s">
        <v>60</v>
      </c>
      <c r="H34" s="6" t="s">
        <v>10</v>
      </c>
      <c r="I34" s="69"/>
      <c r="J34" s="5" t="s">
        <v>21</v>
      </c>
      <c r="K34" s="157">
        <v>69</v>
      </c>
      <c r="L34" s="169"/>
      <c r="M34" s="183"/>
    </row>
    <row r="35" spans="1:13" s="1" customFormat="1" ht="26.25" hidden="1" customHeight="1" outlineLevel="1" thickTop="1" thickBot="1">
      <c r="A35" s="8" t="s">
        <v>61</v>
      </c>
      <c r="B35" s="37"/>
      <c r="C35" s="126"/>
      <c r="D35" s="16"/>
      <c r="E35" s="6" t="s">
        <v>144</v>
      </c>
      <c r="F35" s="35">
        <v>3140000</v>
      </c>
      <c r="G35" s="6" t="s">
        <v>62</v>
      </c>
      <c r="H35" s="6" t="s">
        <v>36</v>
      </c>
      <c r="I35" s="69"/>
      <c r="J35" s="5" t="s">
        <v>63</v>
      </c>
      <c r="K35" s="157">
        <v>42</v>
      </c>
      <c r="L35" s="169"/>
      <c r="M35" s="183"/>
    </row>
    <row r="36" spans="1:13" s="1" customFormat="1" ht="26.25" hidden="1" customHeight="1" outlineLevel="1" thickTop="1" thickBot="1">
      <c r="A36" s="44" t="s">
        <v>64</v>
      </c>
      <c r="B36" s="39" t="s">
        <v>65</v>
      </c>
      <c r="C36" s="125"/>
      <c r="D36" s="16"/>
      <c r="E36" s="6" t="s">
        <v>140</v>
      </c>
      <c r="F36" s="35">
        <v>1486000</v>
      </c>
      <c r="G36" s="6" t="s">
        <v>66</v>
      </c>
      <c r="H36" s="6" t="s">
        <v>13</v>
      </c>
      <c r="I36" s="69"/>
      <c r="J36" s="5" t="s">
        <v>17</v>
      </c>
      <c r="K36" s="157">
        <v>26</v>
      </c>
      <c r="L36" s="169"/>
      <c r="M36" s="183"/>
    </row>
    <row r="37" spans="1:13" s="1" customFormat="1" ht="26.25" hidden="1" customHeight="1" outlineLevel="1" thickTop="1">
      <c r="A37" s="8" t="s">
        <v>67</v>
      </c>
      <c r="B37" s="37"/>
      <c r="C37" s="126"/>
      <c r="D37" s="16"/>
      <c r="E37" s="6" t="s">
        <v>144</v>
      </c>
      <c r="F37" s="35">
        <v>755370</v>
      </c>
      <c r="G37" s="6" t="s">
        <v>68</v>
      </c>
      <c r="H37" s="6" t="s">
        <v>36</v>
      </c>
      <c r="I37" s="69"/>
      <c r="J37" s="5" t="s">
        <v>63</v>
      </c>
      <c r="K37" s="157">
        <v>42</v>
      </c>
      <c r="L37" s="169"/>
      <c r="M37" s="183"/>
    </row>
    <row r="38" spans="1:13" s="1" customFormat="1" ht="26.25" hidden="1" customHeight="1" outlineLevel="1">
      <c r="A38" s="8" t="s">
        <v>69</v>
      </c>
      <c r="B38" s="17"/>
      <c r="C38" s="124"/>
      <c r="D38" s="16"/>
      <c r="E38" s="6" t="s">
        <v>139</v>
      </c>
      <c r="F38" s="35">
        <v>43050</v>
      </c>
      <c r="G38" s="6" t="s">
        <v>166</v>
      </c>
      <c r="H38" s="6" t="s">
        <v>10</v>
      </c>
      <c r="I38" s="69"/>
      <c r="J38" s="5" t="s">
        <v>11</v>
      </c>
      <c r="K38" s="157">
        <v>38</v>
      </c>
      <c r="L38" s="169"/>
      <c r="M38" s="183"/>
    </row>
    <row r="39" spans="1:13" s="1" customFormat="1" ht="26.25" hidden="1" customHeight="1" outlineLevel="1">
      <c r="A39" s="8" t="s">
        <v>70</v>
      </c>
      <c r="B39" s="17"/>
      <c r="C39" s="124"/>
      <c r="D39" s="16"/>
      <c r="E39" s="6" t="s">
        <v>142</v>
      </c>
      <c r="F39" s="35">
        <v>2178670</v>
      </c>
      <c r="G39" s="6" t="s">
        <v>165</v>
      </c>
      <c r="H39" s="6" t="s">
        <v>42</v>
      </c>
      <c r="I39" s="69"/>
      <c r="J39" s="5" t="s">
        <v>71</v>
      </c>
      <c r="K39" s="157">
        <v>71</v>
      </c>
      <c r="L39" s="169"/>
      <c r="M39" s="183"/>
    </row>
    <row r="40" spans="1:13" s="1" customFormat="1" ht="26.25" hidden="1" customHeight="1" outlineLevel="1">
      <c r="A40" s="8" t="s">
        <v>72</v>
      </c>
      <c r="B40" s="17"/>
      <c r="C40" s="124"/>
      <c r="D40" s="16"/>
      <c r="E40" s="6" t="s">
        <v>140</v>
      </c>
      <c r="F40" s="35">
        <v>231360</v>
      </c>
      <c r="G40" s="6" t="s">
        <v>73</v>
      </c>
      <c r="H40" s="6" t="s">
        <v>13</v>
      </c>
      <c r="I40" s="69"/>
      <c r="J40" s="5" t="s">
        <v>17</v>
      </c>
      <c r="K40" s="157">
        <v>26</v>
      </c>
      <c r="L40" s="169"/>
      <c r="M40" s="183"/>
    </row>
    <row r="41" spans="1:13" s="1" customFormat="1" ht="24" hidden="1" customHeight="1">
      <c r="A41" s="8" t="s">
        <v>74</v>
      </c>
      <c r="B41" s="16" t="s">
        <v>75</v>
      </c>
      <c r="C41" s="124"/>
      <c r="D41" s="16"/>
      <c r="E41" s="6" t="s">
        <v>155</v>
      </c>
      <c r="F41" s="35">
        <v>8500000</v>
      </c>
      <c r="G41" s="6" t="s">
        <v>76</v>
      </c>
      <c r="H41" s="6" t="s">
        <v>148</v>
      </c>
      <c r="I41" s="69" t="s">
        <v>435</v>
      </c>
      <c r="J41" s="5" t="s">
        <v>7</v>
      </c>
      <c r="K41" s="157">
        <v>38</v>
      </c>
      <c r="L41" s="169"/>
      <c r="M41" s="183"/>
    </row>
    <row r="42" spans="1:13" s="1" customFormat="1" ht="26.25" hidden="1" customHeight="1" outlineLevel="1">
      <c r="A42" s="8" t="s">
        <v>77</v>
      </c>
      <c r="B42" s="17"/>
      <c r="C42" s="124"/>
      <c r="D42" s="16"/>
      <c r="E42" s="6" t="s">
        <v>139</v>
      </c>
      <c r="F42" s="35">
        <v>239700</v>
      </c>
      <c r="G42" s="6" t="s">
        <v>78</v>
      </c>
      <c r="H42" s="6" t="s">
        <v>10</v>
      </c>
      <c r="I42" s="69"/>
      <c r="J42" s="5" t="s">
        <v>79</v>
      </c>
      <c r="K42" s="157">
        <v>73</v>
      </c>
      <c r="L42" s="169"/>
      <c r="M42" s="183"/>
    </row>
    <row r="43" spans="1:13" s="1" customFormat="1" ht="26.25" hidden="1" customHeight="1" outlineLevel="1">
      <c r="A43" s="8" t="s">
        <v>80</v>
      </c>
      <c r="B43" s="17"/>
      <c r="C43" s="124"/>
      <c r="D43" s="16"/>
      <c r="E43" s="6" t="s">
        <v>139</v>
      </c>
      <c r="F43" s="35">
        <v>362450</v>
      </c>
      <c r="G43" s="6" t="s">
        <v>81</v>
      </c>
      <c r="H43" s="6" t="s">
        <v>10</v>
      </c>
      <c r="I43" s="69"/>
      <c r="J43" s="5" t="s">
        <v>82</v>
      </c>
      <c r="K43" s="157">
        <v>1</v>
      </c>
      <c r="L43" s="169"/>
      <c r="M43" s="183"/>
    </row>
    <row r="44" spans="1:13" s="1" customFormat="1" ht="22.5" hidden="1" customHeight="1" outlineLevel="1">
      <c r="A44" s="8" t="s">
        <v>83</v>
      </c>
      <c r="B44" s="17"/>
      <c r="C44" s="124"/>
      <c r="D44" s="16"/>
      <c r="E44" s="6" t="s">
        <v>140</v>
      </c>
      <c r="F44" s="35">
        <v>138500</v>
      </c>
      <c r="G44" s="6" t="s">
        <v>84</v>
      </c>
      <c r="H44" s="6" t="s">
        <v>13</v>
      </c>
      <c r="I44" s="69"/>
      <c r="J44" s="5" t="s">
        <v>85</v>
      </c>
      <c r="K44" s="157">
        <v>26</v>
      </c>
      <c r="L44" s="169"/>
      <c r="M44" s="183"/>
    </row>
    <row r="45" spans="1:13" s="1" customFormat="1" ht="20.25" hidden="1" customHeight="1">
      <c r="A45" s="8" t="s">
        <v>86</v>
      </c>
      <c r="B45" s="16" t="s">
        <v>87</v>
      </c>
      <c r="C45" s="124"/>
      <c r="D45" s="16"/>
      <c r="E45" s="6" t="s">
        <v>144</v>
      </c>
      <c r="F45" s="35">
        <f>720000+680000</f>
        <v>1400000</v>
      </c>
      <c r="G45" s="6" t="s">
        <v>88</v>
      </c>
      <c r="H45" s="6" t="s">
        <v>36</v>
      </c>
      <c r="I45" s="69" t="s">
        <v>436</v>
      </c>
      <c r="J45" s="5" t="s">
        <v>63</v>
      </c>
      <c r="K45" s="157">
        <v>42</v>
      </c>
      <c r="L45" s="169"/>
      <c r="M45" s="183"/>
    </row>
    <row r="46" spans="1:13" s="1" customFormat="1" ht="26.25" hidden="1" customHeight="1" outlineLevel="1">
      <c r="A46" s="8" t="s">
        <v>89</v>
      </c>
      <c r="B46" s="16" t="s">
        <v>90</v>
      </c>
      <c r="C46" s="124"/>
      <c r="D46" s="16"/>
      <c r="E46" s="6" t="s">
        <v>140</v>
      </c>
      <c r="F46" s="35">
        <f>607000*2</f>
        <v>1214000</v>
      </c>
      <c r="G46" s="6" t="s">
        <v>91</v>
      </c>
      <c r="H46" s="6" t="s">
        <v>13</v>
      </c>
      <c r="I46" s="69"/>
      <c r="J46" s="5" t="s">
        <v>17</v>
      </c>
      <c r="K46" s="157">
        <v>26</v>
      </c>
      <c r="L46" s="169"/>
      <c r="M46" s="183"/>
    </row>
    <row r="47" spans="1:13" s="1" customFormat="1" ht="26.25" hidden="1" customHeight="1" outlineLevel="1">
      <c r="A47" s="8" t="s">
        <v>92</v>
      </c>
      <c r="B47" s="17"/>
      <c r="C47" s="124"/>
      <c r="D47" s="16"/>
      <c r="E47" s="6" t="s">
        <v>142</v>
      </c>
      <c r="F47" s="35">
        <v>834750</v>
      </c>
      <c r="G47" s="6" t="s">
        <v>93</v>
      </c>
      <c r="H47" s="6" t="s">
        <v>42</v>
      </c>
      <c r="I47" s="69"/>
      <c r="J47" s="5" t="s">
        <v>71</v>
      </c>
      <c r="K47" s="157">
        <v>71</v>
      </c>
      <c r="L47" s="169"/>
      <c r="M47" s="183"/>
    </row>
    <row r="48" spans="1:13" s="1" customFormat="1" ht="26.25" hidden="1" customHeight="1" outlineLevel="1">
      <c r="A48" s="8" t="s">
        <v>94</v>
      </c>
      <c r="B48" s="31" t="s">
        <v>95</v>
      </c>
      <c r="C48" s="124"/>
      <c r="D48" s="16"/>
      <c r="E48" s="6" t="s">
        <v>139</v>
      </c>
      <c r="F48" s="35">
        <v>885000</v>
      </c>
      <c r="G48" s="6" t="s">
        <v>96</v>
      </c>
      <c r="H48" s="6" t="s">
        <v>10</v>
      </c>
      <c r="I48" s="69"/>
      <c r="J48" s="5" t="s">
        <v>21</v>
      </c>
      <c r="K48" s="157">
        <v>69</v>
      </c>
      <c r="L48" s="169"/>
      <c r="M48" s="183"/>
    </row>
    <row r="49" spans="1:13" s="1" customFormat="1" ht="26.25" hidden="1" customHeight="1" outlineLevel="1" thickTop="1">
      <c r="A49" s="8" t="s">
        <v>97</v>
      </c>
      <c r="B49" s="31" t="s">
        <v>187</v>
      </c>
      <c r="C49" s="124"/>
      <c r="D49" s="16"/>
      <c r="E49" s="6" t="s">
        <v>139</v>
      </c>
      <c r="F49" s="35">
        <v>1470000</v>
      </c>
      <c r="G49" s="6" t="s">
        <v>98</v>
      </c>
      <c r="H49" s="6" t="s">
        <v>10</v>
      </c>
      <c r="I49" s="69"/>
      <c r="J49" s="5" t="s">
        <v>21</v>
      </c>
      <c r="K49" s="157">
        <v>69</v>
      </c>
      <c r="L49" s="169"/>
      <c r="M49" s="183"/>
    </row>
    <row r="50" spans="1:13" s="1" customFormat="1" ht="26.25" hidden="1" customHeight="1" outlineLevel="1">
      <c r="A50" s="8" t="s">
        <v>99</v>
      </c>
      <c r="B50" s="31" t="s">
        <v>100</v>
      </c>
      <c r="C50" s="124"/>
      <c r="D50" s="16"/>
      <c r="E50" s="6" t="s">
        <v>139</v>
      </c>
      <c r="F50" s="35">
        <f>850000+230000</f>
        <v>1080000</v>
      </c>
      <c r="G50" s="6" t="s">
        <v>101</v>
      </c>
      <c r="H50" s="6" t="s">
        <v>10</v>
      </c>
      <c r="I50" s="69"/>
      <c r="J50" s="5" t="s">
        <v>21</v>
      </c>
      <c r="K50" s="157">
        <v>38</v>
      </c>
      <c r="L50" s="169"/>
      <c r="M50" s="183"/>
    </row>
    <row r="51" spans="1:13" s="1" customFormat="1" ht="20.25" hidden="1" customHeight="1">
      <c r="A51" s="8" t="s">
        <v>102</v>
      </c>
      <c r="B51" s="17"/>
      <c r="C51" s="124"/>
      <c r="D51" s="16"/>
      <c r="E51" s="6" t="s">
        <v>144</v>
      </c>
      <c r="F51" s="35">
        <v>1030000</v>
      </c>
      <c r="G51" s="6" t="s">
        <v>103</v>
      </c>
      <c r="H51" s="6" t="s">
        <v>36</v>
      </c>
      <c r="I51" s="69" t="s">
        <v>437</v>
      </c>
      <c r="J51" s="5" t="s">
        <v>104</v>
      </c>
      <c r="K51" s="157">
        <v>43</v>
      </c>
      <c r="L51" s="169"/>
      <c r="M51" s="183"/>
    </row>
    <row r="52" spans="1:13" s="1" customFormat="1" ht="22.5" hidden="1" customHeight="1">
      <c r="A52" s="8" t="s">
        <v>105</v>
      </c>
      <c r="B52" s="17"/>
      <c r="C52" s="124"/>
      <c r="D52" s="16"/>
      <c r="E52" s="6" t="s">
        <v>144</v>
      </c>
      <c r="F52" s="35">
        <v>260000</v>
      </c>
      <c r="G52" s="6" t="s">
        <v>106</v>
      </c>
      <c r="H52" s="6" t="s">
        <v>36</v>
      </c>
      <c r="I52" s="69" t="s">
        <v>437</v>
      </c>
      <c r="J52" s="5" t="s">
        <v>63</v>
      </c>
      <c r="K52" s="157">
        <v>42</v>
      </c>
      <c r="L52" s="169"/>
      <c r="M52" s="183"/>
    </row>
    <row r="53" spans="1:13" s="1" customFormat="1" ht="27" hidden="1" customHeight="1" collapsed="1">
      <c r="A53" s="8" t="s">
        <v>94</v>
      </c>
      <c r="B53" s="16"/>
      <c r="C53" s="124"/>
      <c r="D53" s="16"/>
      <c r="E53" s="6" t="s">
        <v>139</v>
      </c>
      <c r="F53" s="35"/>
      <c r="G53" s="6" t="s">
        <v>467</v>
      </c>
      <c r="H53" s="6" t="s">
        <v>10</v>
      </c>
      <c r="I53" s="69" t="s">
        <v>439</v>
      </c>
      <c r="J53" s="5" t="s">
        <v>21</v>
      </c>
      <c r="K53" s="157">
        <v>69</v>
      </c>
      <c r="L53" s="169"/>
      <c r="M53" s="183"/>
    </row>
    <row r="54" spans="1:13" s="1" customFormat="1" ht="26.25" hidden="1" customHeight="1">
      <c r="A54" s="8" t="s">
        <v>107</v>
      </c>
      <c r="B54" s="31" t="s">
        <v>186</v>
      </c>
      <c r="C54" s="124"/>
      <c r="D54" s="16"/>
      <c r="E54" s="6" t="s">
        <v>140</v>
      </c>
      <c r="F54" s="35">
        <v>902000</v>
      </c>
      <c r="G54" s="6" t="s">
        <v>421</v>
      </c>
      <c r="H54" s="2" t="s">
        <v>13</v>
      </c>
      <c r="I54" s="79" t="s">
        <v>483</v>
      </c>
      <c r="J54" s="5" t="s">
        <v>17</v>
      </c>
      <c r="K54" s="157">
        <v>26</v>
      </c>
      <c r="L54" s="169"/>
      <c r="M54" s="183"/>
    </row>
    <row r="55" spans="1:13" s="1" customFormat="1" ht="26.25" hidden="1" customHeight="1">
      <c r="A55" s="45" t="s">
        <v>22</v>
      </c>
      <c r="B55" s="91" t="s">
        <v>108</v>
      </c>
      <c r="C55" s="140" t="s">
        <v>626</v>
      </c>
      <c r="D55" s="141" t="s">
        <v>627</v>
      </c>
      <c r="E55" s="6" t="s">
        <v>155</v>
      </c>
      <c r="F55" s="35">
        <v>532000</v>
      </c>
      <c r="G55" s="6" t="s">
        <v>23</v>
      </c>
      <c r="H55" s="6" t="s">
        <v>291</v>
      </c>
      <c r="I55" s="69" t="s">
        <v>488</v>
      </c>
      <c r="J55" s="5" t="s">
        <v>21</v>
      </c>
      <c r="K55" s="157">
        <v>69</v>
      </c>
      <c r="L55" s="169" t="s">
        <v>434</v>
      </c>
      <c r="M55" s="183" t="s">
        <v>747</v>
      </c>
    </row>
    <row r="56" spans="1:13" s="1" customFormat="1" ht="26.25" hidden="1" customHeight="1" outlineLevel="1" thickBot="1">
      <c r="A56" s="43"/>
      <c r="B56" s="142" t="s">
        <v>109</v>
      </c>
      <c r="C56" s="124"/>
      <c r="D56" s="16"/>
      <c r="E56" s="6" t="s">
        <v>155</v>
      </c>
      <c r="F56" s="35">
        <v>20400</v>
      </c>
      <c r="G56" s="6" t="s">
        <v>110</v>
      </c>
      <c r="H56" s="6" t="s">
        <v>153</v>
      </c>
      <c r="I56" s="69"/>
      <c r="J56" s="5" t="s">
        <v>111</v>
      </c>
      <c r="K56" s="157">
        <v>42</v>
      </c>
      <c r="L56" s="169"/>
      <c r="M56" s="183"/>
    </row>
    <row r="57" spans="1:13" s="1" customFormat="1" ht="26.25" hidden="1" customHeight="1" outlineLevel="1" thickTop="1" thickBot="1">
      <c r="A57" s="43"/>
      <c r="B57" s="39" t="s">
        <v>150</v>
      </c>
      <c r="C57" s="125"/>
      <c r="D57" s="16"/>
      <c r="E57" s="6" t="s">
        <v>155</v>
      </c>
      <c r="F57" s="35">
        <v>1537000</v>
      </c>
      <c r="G57" s="6" t="s">
        <v>151</v>
      </c>
      <c r="H57" s="6" t="s">
        <v>152</v>
      </c>
      <c r="I57" s="69"/>
      <c r="J57" s="5" t="s">
        <v>179</v>
      </c>
      <c r="K57" s="157">
        <v>21</v>
      </c>
      <c r="L57" s="169"/>
      <c r="M57" s="183"/>
    </row>
    <row r="58" spans="1:13" s="1" customFormat="1" ht="26.25" hidden="1" customHeight="1" outlineLevel="1" thickTop="1" thickBot="1">
      <c r="A58" s="45" t="s">
        <v>112</v>
      </c>
      <c r="B58" s="39" t="s">
        <v>113</v>
      </c>
      <c r="C58" s="125"/>
      <c r="D58" s="16"/>
      <c r="E58" s="6" t="s">
        <v>139</v>
      </c>
      <c r="F58" s="35">
        <f>32000+203800</f>
        <v>235800</v>
      </c>
      <c r="G58" s="6" t="s">
        <v>114</v>
      </c>
      <c r="H58" s="6" t="s">
        <v>10</v>
      </c>
      <c r="I58" s="69"/>
      <c r="J58" s="5" t="s">
        <v>11</v>
      </c>
      <c r="K58" s="157">
        <v>38</v>
      </c>
      <c r="L58" s="169"/>
      <c r="M58" s="183"/>
    </row>
    <row r="59" spans="1:13" s="1" customFormat="1" ht="26.25" hidden="1" customHeight="1" outlineLevel="1" thickTop="1">
      <c r="A59" s="42" t="s">
        <v>115</v>
      </c>
      <c r="B59" s="36" t="s">
        <v>116</v>
      </c>
      <c r="C59" s="126"/>
      <c r="D59" s="16"/>
      <c r="E59" s="6" t="s">
        <v>144</v>
      </c>
      <c r="F59" s="35">
        <v>305000</v>
      </c>
      <c r="G59" s="6" t="s">
        <v>117</v>
      </c>
      <c r="H59" s="6" t="s">
        <v>36</v>
      </c>
      <c r="I59" s="69"/>
      <c r="J59" s="5" t="s">
        <v>63</v>
      </c>
      <c r="K59" s="157">
        <v>42</v>
      </c>
      <c r="L59" s="169"/>
      <c r="M59" s="183"/>
    </row>
    <row r="60" spans="1:13" s="1" customFormat="1" ht="26.25" hidden="1" customHeight="1" outlineLevel="1">
      <c r="A60" s="42" t="s">
        <v>118</v>
      </c>
      <c r="B60" s="31" t="s">
        <v>185</v>
      </c>
      <c r="C60" s="124"/>
      <c r="D60" s="16"/>
      <c r="E60" s="6" t="s">
        <v>144</v>
      </c>
      <c r="F60" s="35">
        <f>400000</f>
        <v>400000</v>
      </c>
      <c r="G60" s="6" t="s">
        <v>119</v>
      </c>
      <c r="H60" s="6" t="s">
        <v>36</v>
      </c>
      <c r="I60" s="69"/>
      <c r="J60" s="5" t="s">
        <v>63</v>
      </c>
      <c r="K60" s="157">
        <v>42</v>
      </c>
      <c r="L60" s="169"/>
      <c r="M60" s="183"/>
    </row>
    <row r="61" spans="1:13" s="1" customFormat="1" ht="26.25" hidden="1" customHeight="1" outlineLevel="1">
      <c r="A61" s="42" t="s">
        <v>120</v>
      </c>
      <c r="B61" s="31" t="s">
        <v>184</v>
      </c>
      <c r="C61" s="124"/>
      <c r="D61" s="16"/>
      <c r="E61" s="6" t="s">
        <v>140</v>
      </c>
      <c r="F61" s="35">
        <v>89000</v>
      </c>
      <c r="G61" s="6" t="s">
        <v>121</v>
      </c>
      <c r="H61" s="6" t="s">
        <v>13</v>
      </c>
      <c r="I61" s="69"/>
      <c r="J61" s="5" t="s">
        <v>17</v>
      </c>
      <c r="K61" s="157">
        <v>26</v>
      </c>
      <c r="L61" s="169"/>
      <c r="M61" s="183"/>
    </row>
    <row r="62" spans="1:13" s="1" customFormat="1" ht="26.25" hidden="1" customHeight="1" outlineLevel="1">
      <c r="A62" s="8" t="s">
        <v>122</v>
      </c>
      <c r="B62" s="16" t="s">
        <v>123</v>
      </c>
      <c r="C62" s="124"/>
      <c r="D62" s="16"/>
      <c r="E62" s="6" t="s">
        <v>142</v>
      </c>
      <c r="F62" s="35">
        <v>1567000</v>
      </c>
      <c r="G62" s="6" t="s">
        <v>124</v>
      </c>
      <c r="H62" s="6" t="s">
        <v>125</v>
      </c>
      <c r="I62" s="69"/>
      <c r="J62" s="5" t="s">
        <v>82</v>
      </c>
      <c r="K62" s="157">
        <v>1</v>
      </c>
      <c r="L62" s="169"/>
      <c r="M62" s="183"/>
    </row>
    <row r="63" spans="1:13" s="1" customFormat="1" ht="26.25" hidden="1" customHeight="1" outlineLevel="1">
      <c r="A63" s="8" t="s">
        <v>126</v>
      </c>
      <c r="B63" s="16" t="s">
        <v>127</v>
      </c>
      <c r="C63" s="124"/>
      <c r="D63" s="16"/>
      <c r="E63" s="6" t="s">
        <v>140</v>
      </c>
      <c r="F63" s="35">
        <f>168700+15600</f>
        <v>184300</v>
      </c>
      <c r="G63" s="6" t="s">
        <v>164</v>
      </c>
      <c r="H63" s="6" t="s">
        <v>13</v>
      </c>
      <c r="I63" s="69"/>
      <c r="J63" s="5" t="s">
        <v>17</v>
      </c>
      <c r="K63" s="157">
        <v>26</v>
      </c>
      <c r="L63" s="169"/>
      <c r="M63" s="183"/>
    </row>
    <row r="64" spans="1:13" s="1" customFormat="1" ht="26.25" hidden="1" customHeight="1" outlineLevel="1">
      <c r="A64" s="8" t="s">
        <v>128</v>
      </c>
      <c r="B64" s="31" t="s">
        <v>183</v>
      </c>
      <c r="C64" s="124"/>
      <c r="D64" s="16"/>
      <c r="E64" s="6" t="s">
        <v>139</v>
      </c>
      <c r="F64" s="35">
        <v>505800</v>
      </c>
      <c r="G64" s="6" t="s">
        <v>129</v>
      </c>
      <c r="H64" s="6" t="s">
        <v>10</v>
      </c>
      <c r="I64" s="69"/>
      <c r="J64" s="5" t="s">
        <v>21</v>
      </c>
      <c r="K64" s="157">
        <v>69</v>
      </c>
      <c r="L64" s="169"/>
      <c r="M64" s="183"/>
    </row>
    <row r="65" spans="1:13" s="1" customFormat="1" ht="26.25" hidden="1" customHeight="1" outlineLevel="1" thickBot="1">
      <c r="A65" s="8" t="s">
        <v>130</v>
      </c>
      <c r="B65" s="31" t="s">
        <v>176</v>
      </c>
      <c r="C65" s="124"/>
      <c r="D65" s="16"/>
      <c r="E65" s="6" t="s">
        <v>140</v>
      </c>
      <c r="F65" s="35">
        <v>157400</v>
      </c>
      <c r="G65" s="6" t="s">
        <v>131</v>
      </c>
      <c r="H65" s="6" t="s">
        <v>13</v>
      </c>
      <c r="I65" s="69"/>
      <c r="J65" s="5" t="s">
        <v>17</v>
      </c>
      <c r="K65" s="157">
        <v>26</v>
      </c>
      <c r="L65" s="169"/>
      <c r="M65" s="183"/>
    </row>
    <row r="66" spans="1:13" s="1" customFormat="1" ht="26.25" hidden="1" customHeight="1" outlineLevel="1" thickTop="1" thickBot="1">
      <c r="A66" s="44" t="s">
        <v>145</v>
      </c>
      <c r="B66" s="39" t="s">
        <v>146</v>
      </c>
      <c r="C66" s="125"/>
      <c r="D66" s="16"/>
      <c r="E66" s="6" t="s">
        <v>140</v>
      </c>
      <c r="F66" s="35">
        <v>546000</v>
      </c>
      <c r="G66" s="6" t="s">
        <v>147</v>
      </c>
      <c r="H66" s="6" t="s">
        <v>13</v>
      </c>
      <c r="I66" s="69"/>
      <c r="J66" s="5" t="s">
        <v>17</v>
      </c>
      <c r="K66" s="157">
        <v>7</v>
      </c>
      <c r="L66" s="169"/>
      <c r="M66" s="183"/>
    </row>
    <row r="67" spans="1:13" s="1" customFormat="1" ht="26.25" hidden="1" customHeight="1" thickTop="1" thickBot="1">
      <c r="A67" s="8" t="s">
        <v>169</v>
      </c>
      <c r="B67" s="37"/>
      <c r="C67" s="138" t="s">
        <v>627</v>
      </c>
      <c r="D67" s="138" t="s">
        <v>627</v>
      </c>
      <c r="E67" s="6" t="s">
        <v>139</v>
      </c>
      <c r="F67" s="35">
        <v>50000</v>
      </c>
      <c r="G67" s="6" t="s">
        <v>170</v>
      </c>
      <c r="H67" s="6" t="s">
        <v>10</v>
      </c>
      <c r="I67" s="69" t="s">
        <v>438</v>
      </c>
      <c r="J67" s="5" t="s">
        <v>21</v>
      </c>
      <c r="K67" s="157">
        <v>69</v>
      </c>
      <c r="L67" s="169"/>
      <c r="M67" s="183"/>
    </row>
    <row r="68" spans="1:13" s="1" customFormat="1" ht="26.25" hidden="1" customHeight="1" outlineLevel="1" thickTop="1" thickBot="1">
      <c r="A68" s="45" t="s">
        <v>180</v>
      </c>
      <c r="B68" s="40" t="s">
        <v>171</v>
      </c>
      <c r="C68" s="125"/>
      <c r="D68" s="138" t="s">
        <v>627</v>
      </c>
      <c r="E68" s="6" t="s">
        <v>140</v>
      </c>
      <c r="F68" s="35">
        <v>141000</v>
      </c>
      <c r="G68" s="6" t="s">
        <v>177</v>
      </c>
      <c r="H68" s="6" t="s">
        <v>13</v>
      </c>
      <c r="I68" s="69"/>
      <c r="J68" s="5" t="s">
        <v>17</v>
      </c>
      <c r="K68" s="157">
        <v>26</v>
      </c>
      <c r="L68" s="169"/>
      <c r="M68" s="183"/>
    </row>
    <row r="69" spans="1:13" s="1" customFormat="1" ht="24.75" hidden="1" customHeight="1" outlineLevel="1" thickTop="1" thickBot="1">
      <c r="A69" s="44" t="s">
        <v>172</v>
      </c>
      <c r="B69" s="38" t="s">
        <v>173</v>
      </c>
      <c r="C69" s="125"/>
      <c r="D69" s="138" t="s">
        <v>627</v>
      </c>
      <c r="E69" s="6" t="s">
        <v>144</v>
      </c>
      <c r="F69" s="35">
        <v>195920</v>
      </c>
      <c r="G69" s="6" t="s">
        <v>174</v>
      </c>
      <c r="H69" s="6" t="s">
        <v>36</v>
      </c>
      <c r="I69" s="69"/>
      <c r="J69" s="5" t="s">
        <v>175</v>
      </c>
      <c r="K69" s="157">
        <v>42</v>
      </c>
      <c r="L69" s="169"/>
      <c r="M69" s="183"/>
    </row>
    <row r="70" spans="1:13" s="1" customFormat="1" ht="24" hidden="1" customHeight="1" thickTop="1">
      <c r="A70" s="41" t="s">
        <v>188</v>
      </c>
      <c r="B70" s="36" t="s">
        <v>190</v>
      </c>
      <c r="C70" s="126"/>
      <c r="D70" s="138" t="s">
        <v>627</v>
      </c>
      <c r="E70" s="6" t="s">
        <v>142</v>
      </c>
      <c r="F70" s="35">
        <v>1200000</v>
      </c>
      <c r="G70" s="6" t="s">
        <v>237</v>
      </c>
      <c r="H70" s="6" t="s">
        <v>125</v>
      </c>
      <c r="I70" s="69" t="s">
        <v>435</v>
      </c>
      <c r="J70" s="5" t="s">
        <v>71</v>
      </c>
      <c r="K70" s="157">
        <v>71</v>
      </c>
      <c r="L70" s="169"/>
      <c r="M70" s="183"/>
    </row>
    <row r="71" spans="1:13" s="1" customFormat="1" ht="22.5" hidden="1" customHeight="1">
      <c r="A71" s="8" t="s">
        <v>189</v>
      </c>
      <c r="B71" s="46" t="s">
        <v>191</v>
      </c>
      <c r="C71" s="124"/>
      <c r="D71" s="138" t="s">
        <v>627</v>
      </c>
      <c r="E71" s="6" t="s">
        <v>139</v>
      </c>
      <c r="F71" s="35">
        <v>1120000</v>
      </c>
      <c r="G71" s="6" t="s">
        <v>193</v>
      </c>
      <c r="H71" s="6" t="s">
        <v>10</v>
      </c>
      <c r="I71" s="69" t="s">
        <v>432</v>
      </c>
      <c r="J71" s="5" t="s">
        <v>192</v>
      </c>
      <c r="K71" s="157">
        <v>38</v>
      </c>
      <c r="L71" s="169"/>
      <c r="M71" s="183"/>
    </row>
    <row r="72" spans="1:13" s="1" customFormat="1" ht="26.25" hidden="1" customHeight="1" outlineLevel="1" thickBot="1">
      <c r="A72" s="8" t="s">
        <v>194</v>
      </c>
      <c r="B72" s="31" t="s">
        <v>196</v>
      </c>
      <c r="C72" s="124"/>
      <c r="D72" s="138" t="s">
        <v>627</v>
      </c>
      <c r="E72" s="6" t="s">
        <v>144</v>
      </c>
      <c r="F72" s="35">
        <v>69000</v>
      </c>
      <c r="G72" s="6" t="s">
        <v>200</v>
      </c>
      <c r="H72" s="6" t="s">
        <v>36</v>
      </c>
      <c r="I72" s="69"/>
      <c r="J72" s="5" t="s">
        <v>195</v>
      </c>
      <c r="K72" s="157">
        <v>69</v>
      </c>
      <c r="L72" s="169"/>
      <c r="M72" s="183"/>
    </row>
    <row r="73" spans="1:13" s="1" customFormat="1" ht="26.25" hidden="1" customHeight="1" outlineLevel="1" thickTop="1" thickBot="1">
      <c r="A73" s="44" t="s">
        <v>197</v>
      </c>
      <c r="B73" s="38" t="s">
        <v>198</v>
      </c>
      <c r="C73" s="125"/>
      <c r="D73" s="138" t="s">
        <v>627</v>
      </c>
      <c r="E73" s="6" t="s">
        <v>142</v>
      </c>
      <c r="F73" s="35">
        <v>326569</v>
      </c>
      <c r="G73" s="6" t="s">
        <v>199</v>
      </c>
      <c r="H73" s="6" t="s">
        <v>204</v>
      </c>
      <c r="I73" s="69"/>
      <c r="J73" s="5" t="s">
        <v>71</v>
      </c>
      <c r="K73" s="157">
        <v>71</v>
      </c>
      <c r="L73" s="169"/>
      <c r="M73" s="183"/>
    </row>
    <row r="74" spans="1:13" s="1" customFormat="1" ht="26.25" hidden="1" customHeight="1" outlineLevel="1" thickTop="1">
      <c r="A74" s="44" t="s">
        <v>201</v>
      </c>
      <c r="B74" s="47" t="s">
        <v>202</v>
      </c>
      <c r="C74" s="126"/>
      <c r="D74" s="138" t="s">
        <v>627</v>
      </c>
      <c r="E74" s="6" t="s">
        <v>144</v>
      </c>
      <c r="F74" s="35">
        <v>177233.1</v>
      </c>
      <c r="G74" s="6" t="s">
        <v>203</v>
      </c>
      <c r="H74" s="6" t="s">
        <v>36</v>
      </c>
      <c r="I74" s="69"/>
      <c r="J74" s="5" t="s">
        <v>63</v>
      </c>
      <c r="K74" s="157">
        <v>42</v>
      </c>
      <c r="L74" s="169"/>
      <c r="M74" s="183"/>
    </row>
    <row r="75" spans="1:13" s="1" customFormat="1" ht="21.75" hidden="1" customHeight="1">
      <c r="A75" s="44" t="s">
        <v>205</v>
      </c>
      <c r="B75" s="48" t="s">
        <v>206</v>
      </c>
      <c r="C75" s="124"/>
      <c r="D75" s="138" t="s">
        <v>627</v>
      </c>
      <c r="E75" s="6" t="s">
        <v>140</v>
      </c>
      <c r="F75" s="35">
        <v>415000</v>
      </c>
      <c r="G75" s="6" t="s">
        <v>207</v>
      </c>
      <c r="H75" s="6" t="s">
        <v>13</v>
      </c>
      <c r="I75" s="69" t="s">
        <v>433</v>
      </c>
      <c r="J75" s="5" t="s">
        <v>17</v>
      </c>
      <c r="K75" s="157">
        <v>26</v>
      </c>
      <c r="L75" s="169"/>
      <c r="M75" s="183"/>
    </row>
    <row r="76" spans="1:13" s="1" customFormat="1" ht="21.75" hidden="1" customHeight="1">
      <c r="A76" s="8" t="s">
        <v>208</v>
      </c>
      <c r="B76" s="18"/>
      <c r="C76" s="126"/>
      <c r="D76" s="138" t="s">
        <v>627</v>
      </c>
      <c r="E76" s="6" t="s">
        <v>139</v>
      </c>
      <c r="F76" s="35">
        <v>390465</v>
      </c>
      <c r="G76" s="6" t="s">
        <v>209</v>
      </c>
      <c r="H76" s="6" t="s">
        <v>10</v>
      </c>
      <c r="I76" s="69" t="s">
        <v>439</v>
      </c>
      <c r="J76" s="5" t="s">
        <v>21</v>
      </c>
      <c r="K76" s="157">
        <v>69</v>
      </c>
      <c r="L76" s="169"/>
      <c r="M76" s="183"/>
    </row>
    <row r="77" spans="1:13" s="1" customFormat="1" ht="21.75" hidden="1" customHeight="1">
      <c r="A77" s="9" t="s">
        <v>210</v>
      </c>
      <c r="B77" s="36" t="s">
        <v>211</v>
      </c>
      <c r="C77" s="126"/>
      <c r="D77" s="138" t="s">
        <v>627</v>
      </c>
      <c r="E77" s="6" t="s">
        <v>144</v>
      </c>
      <c r="F77" s="35">
        <v>3820000</v>
      </c>
      <c r="G77" s="6" t="s">
        <v>212</v>
      </c>
      <c r="H77" s="6" t="s">
        <v>36</v>
      </c>
      <c r="I77" s="69" t="s">
        <v>437</v>
      </c>
      <c r="J77" s="5" t="s">
        <v>104</v>
      </c>
      <c r="K77" s="157">
        <v>43</v>
      </c>
      <c r="L77" s="169"/>
      <c r="M77" s="183"/>
    </row>
    <row r="78" spans="1:13" s="1" customFormat="1" ht="26.25" hidden="1" customHeight="1" outlineLevel="1">
      <c r="A78" s="9" t="s">
        <v>213</v>
      </c>
      <c r="B78" s="48" t="s">
        <v>215</v>
      </c>
      <c r="C78" s="124"/>
      <c r="D78" s="138" t="s">
        <v>627</v>
      </c>
      <c r="E78" s="6" t="s">
        <v>140</v>
      </c>
      <c r="F78" s="35">
        <v>134000</v>
      </c>
      <c r="G78" s="6" t="s">
        <v>216</v>
      </c>
      <c r="H78" s="6" t="s">
        <v>13</v>
      </c>
      <c r="I78" s="69"/>
      <c r="J78" s="5" t="s">
        <v>17</v>
      </c>
      <c r="K78" s="157">
        <v>26</v>
      </c>
      <c r="L78" s="169"/>
      <c r="M78" s="183"/>
    </row>
    <row r="79" spans="1:13" s="1" customFormat="1" ht="26.25" hidden="1" customHeight="1" outlineLevel="1" thickBot="1">
      <c r="A79" s="9" t="s">
        <v>214</v>
      </c>
      <c r="B79" s="31" t="s">
        <v>227</v>
      </c>
      <c r="C79" s="124"/>
      <c r="D79" s="138" t="s">
        <v>627</v>
      </c>
      <c r="E79" s="6" t="s">
        <v>140</v>
      </c>
      <c r="F79" s="35">
        <v>168280</v>
      </c>
      <c r="G79" s="6" t="s">
        <v>217</v>
      </c>
      <c r="H79" s="6" t="s">
        <v>13</v>
      </c>
      <c r="I79" s="69"/>
      <c r="J79" s="5" t="s">
        <v>17</v>
      </c>
      <c r="K79" s="157">
        <v>26</v>
      </c>
      <c r="L79" s="169"/>
      <c r="M79" s="183"/>
    </row>
    <row r="80" spans="1:13" s="1" customFormat="1" ht="26.25" hidden="1" customHeight="1" outlineLevel="1" thickTop="1" thickBot="1">
      <c r="A80" s="49" t="s">
        <v>218</v>
      </c>
      <c r="B80" s="38" t="s">
        <v>224</v>
      </c>
      <c r="C80" s="125"/>
      <c r="D80" s="138" t="s">
        <v>627</v>
      </c>
      <c r="E80" s="6" t="s">
        <v>140</v>
      </c>
      <c r="F80" s="35">
        <v>143509</v>
      </c>
      <c r="G80" s="6" t="s">
        <v>225</v>
      </c>
      <c r="H80" s="6" t="s">
        <v>13</v>
      </c>
      <c r="I80" s="69"/>
      <c r="J80" s="5" t="s">
        <v>17</v>
      </c>
      <c r="K80" s="157">
        <v>26</v>
      </c>
      <c r="L80" s="169"/>
      <c r="M80" s="183"/>
    </row>
    <row r="81" spans="1:13" s="1" customFormat="1" ht="21.75" hidden="1" customHeight="1" thickTop="1" thickBot="1">
      <c r="A81" s="49" t="s">
        <v>219</v>
      </c>
      <c r="B81" s="38" t="s">
        <v>226</v>
      </c>
      <c r="C81" s="125"/>
      <c r="D81" s="138" t="s">
        <v>627</v>
      </c>
      <c r="E81" s="6" t="s">
        <v>142</v>
      </c>
      <c r="F81" s="35">
        <v>1497763.4</v>
      </c>
      <c r="G81" s="6" t="s">
        <v>228</v>
      </c>
      <c r="H81" s="6" t="s">
        <v>125</v>
      </c>
      <c r="I81" s="69" t="s">
        <v>435</v>
      </c>
      <c r="J81" s="5" t="s">
        <v>178</v>
      </c>
      <c r="K81" s="157">
        <v>21</v>
      </c>
      <c r="L81" s="169"/>
      <c r="M81" s="183"/>
    </row>
    <row r="82" spans="1:13" s="1" customFormat="1" ht="26.25" hidden="1" customHeight="1" outlineLevel="1" thickTop="1" thickBot="1">
      <c r="A82" s="49" t="s">
        <v>220</v>
      </c>
      <c r="B82" s="38" t="s">
        <v>231</v>
      </c>
      <c r="C82" s="125"/>
      <c r="D82" s="138" t="s">
        <v>627</v>
      </c>
      <c r="E82" s="6" t="s">
        <v>142</v>
      </c>
      <c r="F82" s="35">
        <v>650000</v>
      </c>
      <c r="G82" s="6" t="s">
        <v>233</v>
      </c>
      <c r="H82" s="6" t="s">
        <v>204</v>
      </c>
      <c r="I82" s="69"/>
      <c r="J82" s="5" t="s">
        <v>232</v>
      </c>
      <c r="K82" s="157">
        <v>39</v>
      </c>
      <c r="L82" s="169"/>
      <c r="M82" s="183"/>
    </row>
    <row r="83" spans="1:13" s="1" customFormat="1" ht="19.5" hidden="1" customHeight="1" thickTop="1" thickBot="1">
      <c r="A83" s="9" t="s">
        <v>221</v>
      </c>
      <c r="B83" s="36" t="s">
        <v>229</v>
      </c>
      <c r="C83" s="126"/>
      <c r="D83" s="138" t="s">
        <v>627</v>
      </c>
      <c r="E83" s="6" t="s">
        <v>142</v>
      </c>
      <c r="F83" s="35">
        <v>2788674</v>
      </c>
      <c r="G83" s="6" t="s">
        <v>230</v>
      </c>
      <c r="H83" s="6" t="s">
        <v>125</v>
      </c>
      <c r="I83" s="69" t="s">
        <v>435</v>
      </c>
      <c r="J83" s="5" t="s">
        <v>71</v>
      </c>
      <c r="K83" s="157">
        <v>71</v>
      </c>
      <c r="L83" s="169"/>
      <c r="M83" s="183"/>
    </row>
    <row r="84" spans="1:13" s="1" customFormat="1" ht="24.75" hidden="1" customHeight="1" thickTop="1" thickBot="1">
      <c r="A84" s="49" t="s">
        <v>222</v>
      </c>
      <c r="B84" s="38" t="s">
        <v>235</v>
      </c>
      <c r="C84" s="125"/>
      <c r="D84" s="138" t="s">
        <v>627</v>
      </c>
      <c r="E84" s="6" t="s">
        <v>139</v>
      </c>
      <c r="F84" s="35">
        <v>1000000</v>
      </c>
      <c r="G84" s="6" t="s">
        <v>236</v>
      </c>
      <c r="H84" s="6" t="s">
        <v>291</v>
      </c>
      <c r="I84" s="69" t="s">
        <v>434</v>
      </c>
      <c r="J84" s="5" t="s">
        <v>21</v>
      </c>
      <c r="K84" s="157">
        <v>69</v>
      </c>
      <c r="L84" s="169"/>
      <c r="M84" s="183"/>
    </row>
    <row r="85" spans="1:13" s="1" customFormat="1" ht="22.5" hidden="1" customHeight="1" thickTop="1" thickBot="1">
      <c r="A85" s="9" t="s">
        <v>223</v>
      </c>
      <c r="B85" s="36" t="s">
        <v>238</v>
      </c>
      <c r="C85" s="126"/>
      <c r="D85" s="138" t="s">
        <v>627</v>
      </c>
      <c r="E85" s="6" t="s">
        <v>140</v>
      </c>
      <c r="F85" s="35">
        <v>2132000</v>
      </c>
      <c r="G85" s="6" t="s">
        <v>239</v>
      </c>
      <c r="H85" s="6" t="s">
        <v>13</v>
      </c>
      <c r="I85" s="69" t="s">
        <v>433</v>
      </c>
      <c r="J85" s="5" t="s">
        <v>17</v>
      </c>
      <c r="K85" s="157">
        <v>26</v>
      </c>
      <c r="L85" s="169"/>
      <c r="M85" s="183"/>
    </row>
    <row r="86" spans="1:13" s="1" customFormat="1" ht="24" hidden="1" customHeight="1" outlineLevel="1" thickTop="1" thickBot="1">
      <c r="A86" s="49" t="s">
        <v>240</v>
      </c>
      <c r="B86" s="38" t="s">
        <v>241</v>
      </c>
      <c r="C86" s="125"/>
      <c r="D86" s="138" t="s">
        <v>627</v>
      </c>
      <c r="E86" s="6" t="s">
        <v>142</v>
      </c>
      <c r="F86" s="35">
        <v>100000</v>
      </c>
      <c r="G86" s="6" t="s">
        <v>243</v>
      </c>
      <c r="H86" s="6" t="s">
        <v>125</v>
      </c>
      <c r="I86" s="69"/>
      <c r="J86" s="5" t="s">
        <v>242</v>
      </c>
      <c r="K86" s="157">
        <v>1</v>
      </c>
      <c r="L86" s="169"/>
      <c r="M86" s="183"/>
    </row>
    <row r="87" spans="1:13" s="1" customFormat="1" ht="21.75" hidden="1" customHeight="1" thickTop="1">
      <c r="A87" s="9" t="s">
        <v>244</v>
      </c>
      <c r="B87" s="50" t="s">
        <v>245</v>
      </c>
      <c r="C87" s="126"/>
      <c r="D87" s="138" t="s">
        <v>627</v>
      </c>
      <c r="E87" s="6" t="s">
        <v>139</v>
      </c>
      <c r="F87" s="35">
        <v>6200000</v>
      </c>
      <c r="G87" s="6" t="s">
        <v>246</v>
      </c>
      <c r="H87" s="6" t="s">
        <v>10</v>
      </c>
      <c r="I87" s="69" t="s">
        <v>490</v>
      </c>
      <c r="J87" s="5" t="s">
        <v>21</v>
      </c>
      <c r="K87" s="157">
        <v>69</v>
      </c>
      <c r="L87" s="169"/>
      <c r="M87" s="183"/>
    </row>
    <row r="88" spans="1:13" s="1" customFormat="1" ht="22.5" hidden="1" customHeight="1">
      <c r="A88" s="9" t="s">
        <v>247</v>
      </c>
      <c r="B88" s="50" t="s">
        <v>249</v>
      </c>
      <c r="C88" s="126"/>
      <c r="D88" s="138" t="s">
        <v>627</v>
      </c>
      <c r="E88" s="6" t="s">
        <v>142</v>
      </c>
      <c r="F88" s="35">
        <v>384723.5</v>
      </c>
      <c r="G88" s="6" t="s">
        <v>250</v>
      </c>
      <c r="H88" s="6" t="s">
        <v>125</v>
      </c>
      <c r="I88" s="69" t="s">
        <v>438</v>
      </c>
      <c r="J88" s="5" t="s">
        <v>82</v>
      </c>
      <c r="K88" s="157">
        <v>1</v>
      </c>
      <c r="L88" s="169"/>
      <c r="M88" s="183"/>
    </row>
    <row r="89" spans="1:13" s="1" customFormat="1" ht="22.5" hidden="1" customHeight="1">
      <c r="A89" s="9" t="s">
        <v>248</v>
      </c>
      <c r="B89" s="48" t="s">
        <v>252</v>
      </c>
      <c r="C89" s="124"/>
      <c r="D89" s="138" t="s">
        <v>627</v>
      </c>
      <c r="E89" s="6" t="s">
        <v>140</v>
      </c>
      <c r="F89" s="35">
        <v>247767</v>
      </c>
      <c r="G89" s="6" t="s">
        <v>253</v>
      </c>
      <c r="H89" s="6" t="s">
        <v>13</v>
      </c>
      <c r="I89" s="69" t="s">
        <v>433</v>
      </c>
      <c r="J89" s="5" t="s">
        <v>46</v>
      </c>
      <c r="K89" s="157">
        <v>7</v>
      </c>
      <c r="L89" s="169"/>
      <c r="M89" s="183"/>
    </row>
    <row r="90" spans="1:13" s="1" customFormat="1" ht="26.25" hidden="1" customHeight="1" thickBot="1">
      <c r="A90" s="9" t="s">
        <v>254</v>
      </c>
      <c r="B90" s="31" t="s">
        <v>255</v>
      </c>
      <c r="C90" s="138" t="s">
        <v>626</v>
      </c>
      <c r="D90" s="138" t="s">
        <v>627</v>
      </c>
      <c r="E90" s="6" t="s">
        <v>142</v>
      </c>
      <c r="F90" s="35">
        <v>2712000</v>
      </c>
      <c r="G90" s="6" t="s">
        <v>256</v>
      </c>
      <c r="H90" s="6" t="s">
        <v>125</v>
      </c>
      <c r="I90" s="69" t="s">
        <v>440</v>
      </c>
      <c r="J90" s="5" t="s">
        <v>257</v>
      </c>
      <c r="K90" s="157">
        <v>74</v>
      </c>
      <c r="L90" s="169"/>
      <c r="M90" s="183"/>
    </row>
    <row r="91" spans="1:13" s="1" customFormat="1" ht="26.25" hidden="1" customHeight="1" thickTop="1" thickBot="1">
      <c r="A91" s="9"/>
      <c r="B91" s="31"/>
      <c r="C91" s="124"/>
      <c r="D91" s="31"/>
      <c r="E91" s="53" t="s">
        <v>234</v>
      </c>
      <c r="F91" s="55">
        <f>SUM(F61:F90)</f>
        <v>29113404</v>
      </c>
      <c r="G91" s="16"/>
      <c r="H91" s="6"/>
      <c r="I91" s="69"/>
      <c r="J91" s="5"/>
      <c r="K91" s="158"/>
      <c r="L91" s="169"/>
      <c r="M91" s="183"/>
    </row>
    <row r="92" spans="1:13" s="1" customFormat="1" ht="26.25" hidden="1" customHeight="1" outlineLevel="1" thickTop="1" thickBot="1">
      <c r="A92" s="49" t="s">
        <v>259</v>
      </c>
      <c r="B92" s="38" t="s">
        <v>260</v>
      </c>
      <c r="C92" s="125"/>
      <c r="D92" s="118"/>
      <c r="E92" s="56" t="s">
        <v>140</v>
      </c>
      <c r="F92" s="54">
        <v>50000</v>
      </c>
      <c r="G92" s="6" t="s">
        <v>261</v>
      </c>
      <c r="H92" s="6" t="s">
        <v>13</v>
      </c>
      <c r="I92" s="69"/>
      <c r="J92" s="5" t="s">
        <v>85</v>
      </c>
      <c r="K92" s="157">
        <v>26</v>
      </c>
      <c r="L92" s="169"/>
      <c r="M92" s="183"/>
    </row>
    <row r="93" spans="1:13" s="1" customFormat="1" ht="26.25" hidden="1" customHeight="1" thickTop="1">
      <c r="A93" s="9" t="s">
        <v>262</v>
      </c>
      <c r="B93" s="36" t="s">
        <v>263</v>
      </c>
      <c r="C93" s="126"/>
      <c r="D93" s="36"/>
      <c r="E93" s="56" t="s">
        <v>142</v>
      </c>
      <c r="F93" s="35">
        <v>3665210</v>
      </c>
      <c r="G93" s="6" t="s">
        <v>264</v>
      </c>
      <c r="H93" s="6" t="s">
        <v>125</v>
      </c>
      <c r="I93" s="69" t="s">
        <v>441</v>
      </c>
      <c r="J93" s="5" t="s">
        <v>79</v>
      </c>
      <c r="K93" s="157">
        <v>73</v>
      </c>
      <c r="L93" s="169"/>
      <c r="M93" s="183"/>
    </row>
    <row r="94" spans="1:13" s="1" customFormat="1" ht="26.25" hidden="1" customHeight="1">
      <c r="A94" s="9" t="s">
        <v>265</v>
      </c>
      <c r="B94" s="48" t="s">
        <v>266</v>
      </c>
      <c r="C94" s="138" t="s">
        <v>627</v>
      </c>
      <c r="D94" s="138" t="s">
        <v>626</v>
      </c>
      <c r="E94" s="56" t="s">
        <v>144</v>
      </c>
      <c r="F94" s="35">
        <v>1260000</v>
      </c>
      <c r="G94" s="6" t="s">
        <v>267</v>
      </c>
      <c r="H94" s="6" t="s">
        <v>36</v>
      </c>
      <c r="I94" s="69" t="s">
        <v>439</v>
      </c>
      <c r="J94" s="5" t="s">
        <v>195</v>
      </c>
      <c r="K94" s="157">
        <v>69</v>
      </c>
      <c r="L94" s="169"/>
      <c r="M94" s="183"/>
    </row>
    <row r="95" spans="1:13" s="1" customFormat="1" ht="25.5" hidden="1" customHeight="1">
      <c r="A95" s="9" t="s">
        <v>268</v>
      </c>
      <c r="B95" s="48" t="s">
        <v>269</v>
      </c>
      <c r="C95" s="124"/>
      <c r="D95" s="31"/>
      <c r="E95" s="56" t="s">
        <v>365</v>
      </c>
      <c r="F95" s="35">
        <v>1336692.6000000001</v>
      </c>
      <c r="G95" s="6" t="s">
        <v>270</v>
      </c>
      <c r="H95" s="6" t="s">
        <v>271</v>
      </c>
      <c r="I95" s="69" t="s">
        <v>438</v>
      </c>
      <c r="J95" s="5" t="s">
        <v>21</v>
      </c>
      <c r="K95" s="157">
        <v>69</v>
      </c>
      <c r="L95" s="169"/>
      <c r="M95" s="183"/>
    </row>
    <row r="96" spans="1:13" s="1" customFormat="1" ht="26.25" hidden="1" customHeight="1">
      <c r="A96" s="9" t="s">
        <v>273</v>
      </c>
      <c r="B96" s="48" t="s">
        <v>276</v>
      </c>
      <c r="C96" s="124"/>
      <c r="D96" s="31"/>
      <c r="E96" s="56" t="s">
        <v>140</v>
      </c>
      <c r="F96" s="35">
        <v>280000</v>
      </c>
      <c r="G96" s="6" t="s">
        <v>274</v>
      </c>
      <c r="H96" s="6" t="s">
        <v>13</v>
      </c>
      <c r="I96" s="69" t="s">
        <v>433</v>
      </c>
      <c r="J96" s="5" t="s">
        <v>17</v>
      </c>
      <c r="K96" s="157">
        <v>26</v>
      </c>
      <c r="L96" s="169"/>
      <c r="M96" s="183"/>
    </row>
    <row r="97" spans="1:13" s="1" customFormat="1" ht="26.25" hidden="1" customHeight="1">
      <c r="A97" s="9" t="s">
        <v>272</v>
      </c>
      <c r="B97" s="48" t="s">
        <v>277</v>
      </c>
      <c r="C97" s="124"/>
      <c r="D97" s="31"/>
      <c r="E97" s="56" t="s">
        <v>140</v>
      </c>
      <c r="F97" s="35">
        <v>189900</v>
      </c>
      <c r="G97" s="6" t="s">
        <v>275</v>
      </c>
      <c r="H97" s="6" t="s">
        <v>13</v>
      </c>
      <c r="I97" s="69" t="s">
        <v>433</v>
      </c>
      <c r="J97" s="5" t="s">
        <v>17</v>
      </c>
      <c r="K97" s="157">
        <v>26</v>
      </c>
      <c r="L97" s="169"/>
      <c r="M97" s="183"/>
    </row>
    <row r="98" spans="1:13" s="1" customFormat="1" ht="26.25" hidden="1" customHeight="1">
      <c r="A98" s="9" t="s">
        <v>278</v>
      </c>
      <c r="B98" s="57" t="s">
        <v>279</v>
      </c>
      <c r="C98" s="124"/>
      <c r="D98" s="31"/>
      <c r="E98" s="56" t="s">
        <v>140</v>
      </c>
      <c r="F98" s="35">
        <v>230000</v>
      </c>
      <c r="G98" s="6" t="s">
        <v>280</v>
      </c>
      <c r="H98" s="6" t="s">
        <v>13</v>
      </c>
      <c r="I98" s="69" t="s">
        <v>433</v>
      </c>
      <c r="J98" s="5" t="s">
        <v>17</v>
      </c>
      <c r="K98" s="157">
        <v>26</v>
      </c>
      <c r="L98" s="169"/>
      <c r="M98" s="184"/>
    </row>
    <row r="99" spans="1:13" s="1" customFormat="1" ht="26.25" hidden="1" customHeight="1">
      <c r="A99" s="9" t="s">
        <v>505</v>
      </c>
      <c r="B99" s="70" t="s">
        <v>506</v>
      </c>
      <c r="C99" s="138" t="s">
        <v>626</v>
      </c>
      <c r="D99" s="138" t="s">
        <v>626</v>
      </c>
      <c r="E99" s="56" t="s">
        <v>365</v>
      </c>
      <c r="F99" s="35">
        <v>600000</v>
      </c>
      <c r="G99" s="6" t="s">
        <v>281</v>
      </c>
      <c r="H99" s="6" t="s">
        <v>271</v>
      </c>
      <c r="I99" s="69" t="s">
        <v>442</v>
      </c>
      <c r="J99" s="5" t="s">
        <v>491</v>
      </c>
      <c r="K99" s="157">
        <v>38</v>
      </c>
      <c r="L99" s="169" t="s">
        <v>732</v>
      </c>
      <c r="M99" s="185" t="s">
        <v>850</v>
      </c>
    </row>
    <row r="100" spans="1:13" s="1" customFormat="1" ht="26.25" hidden="1" customHeight="1" outlineLevel="1">
      <c r="A100" s="49" t="s">
        <v>282</v>
      </c>
      <c r="B100" s="70" t="s">
        <v>283</v>
      </c>
      <c r="C100" s="126"/>
      <c r="D100" s="36"/>
      <c r="E100" s="56" t="s">
        <v>139</v>
      </c>
      <c r="F100" s="35">
        <v>62920</v>
      </c>
      <c r="G100" s="6" t="s">
        <v>284</v>
      </c>
      <c r="H100" s="6" t="s">
        <v>10</v>
      </c>
      <c r="I100" s="69"/>
      <c r="J100" s="5" t="s">
        <v>21</v>
      </c>
      <c r="K100" s="157">
        <v>69</v>
      </c>
      <c r="L100" s="169"/>
      <c r="M100" s="185"/>
    </row>
    <row r="101" spans="1:13" s="1" customFormat="1" ht="26.25" hidden="1" customHeight="1">
      <c r="A101" s="49" t="s">
        <v>285</v>
      </c>
      <c r="B101" s="70" t="s">
        <v>286</v>
      </c>
      <c r="C101" s="126"/>
      <c r="D101" s="36"/>
      <c r="E101" s="56" t="s">
        <v>140</v>
      </c>
      <c r="F101" s="35">
        <v>250000</v>
      </c>
      <c r="G101" s="6" t="s">
        <v>287</v>
      </c>
      <c r="H101" s="6" t="s">
        <v>13</v>
      </c>
      <c r="I101" s="69" t="s">
        <v>433</v>
      </c>
      <c r="J101" s="5" t="s">
        <v>17</v>
      </c>
      <c r="K101" s="157">
        <v>26</v>
      </c>
      <c r="L101" s="169"/>
      <c r="M101" s="185"/>
    </row>
    <row r="102" spans="1:13" s="1" customFormat="1" ht="26.25" hidden="1" customHeight="1">
      <c r="A102" s="49" t="s">
        <v>288</v>
      </c>
      <c r="B102" s="70" t="s">
        <v>289</v>
      </c>
      <c r="C102" s="126"/>
      <c r="D102" s="36"/>
      <c r="E102" s="56" t="s">
        <v>329</v>
      </c>
      <c r="F102" s="35">
        <v>540000</v>
      </c>
      <c r="G102" s="6" t="s">
        <v>290</v>
      </c>
      <c r="H102" s="6" t="s">
        <v>291</v>
      </c>
      <c r="I102" s="69" t="s">
        <v>437</v>
      </c>
      <c r="J102" s="5" t="s">
        <v>292</v>
      </c>
      <c r="K102" s="157">
        <v>43</v>
      </c>
      <c r="L102" s="169"/>
      <c r="M102" s="185"/>
    </row>
    <row r="103" spans="1:13" s="1" customFormat="1" ht="26.25" hidden="1" customHeight="1">
      <c r="A103" s="49" t="s">
        <v>293</v>
      </c>
      <c r="B103" s="70" t="s">
        <v>294</v>
      </c>
      <c r="C103" s="126"/>
      <c r="D103" s="36"/>
      <c r="E103" s="56" t="s">
        <v>329</v>
      </c>
      <c r="F103" s="35">
        <v>210000</v>
      </c>
      <c r="G103" s="6" t="s">
        <v>295</v>
      </c>
      <c r="H103" s="6" t="s">
        <v>291</v>
      </c>
      <c r="I103" s="69" t="s">
        <v>435</v>
      </c>
      <c r="J103" s="5" t="s">
        <v>71</v>
      </c>
      <c r="K103" s="157">
        <v>71</v>
      </c>
      <c r="L103" s="169"/>
      <c r="M103" s="185"/>
    </row>
    <row r="104" spans="1:13" s="1" customFormat="1" ht="2.25" hidden="1" customHeight="1">
      <c r="A104" s="49" t="s">
        <v>296</v>
      </c>
      <c r="B104" s="70" t="s">
        <v>300</v>
      </c>
      <c r="C104" s="126"/>
      <c r="D104" s="36"/>
      <c r="E104" s="56" t="s">
        <v>144</v>
      </c>
      <c r="F104" s="35">
        <v>738000</v>
      </c>
      <c r="G104" s="6" t="s">
        <v>298</v>
      </c>
      <c r="H104" s="6" t="s">
        <v>36</v>
      </c>
      <c r="I104" s="69" t="s">
        <v>439</v>
      </c>
      <c r="J104" s="5" t="s">
        <v>21</v>
      </c>
      <c r="K104" s="157">
        <v>69</v>
      </c>
      <c r="L104" s="169"/>
      <c r="M104" s="185"/>
    </row>
    <row r="105" spans="1:13" s="1" customFormat="1" ht="26.25" hidden="1" customHeight="1">
      <c r="A105" s="49" t="s">
        <v>297</v>
      </c>
      <c r="B105" s="70" t="s">
        <v>304</v>
      </c>
      <c r="C105" s="126"/>
      <c r="D105" s="36"/>
      <c r="E105" s="56" t="s">
        <v>139</v>
      </c>
      <c r="F105" s="35">
        <v>92000</v>
      </c>
      <c r="G105" s="6" t="s">
        <v>299</v>
      </c>
      <c r="H105" s="6" t="s">
        <v>10</v>
      </c>
      <c r="I105" s="69" t="s">
        <v>438</v>
      </c>
      <c r="J105" s="5" t="s">
        <v>21</v>
      </c>
      <c r="K105" s="157">
        <v>69</v>
      </c>
      <c r="L105" s="169"/>
      <c r="M105" s="185"/>
    </row>
    <row r="106" spans="1:13" s="1" customFormat="1" ht="26.25" hidden="1" customHeight="1">
      <c r="A106" s="49" t="s">
        <v>301</v>
      </c>
      <c r="B106" s="70" t="s">
        <v>302</v>
      </c>
      <c r="C106" s="126"/>
      <c r="D106" s="36"/>
      <c r="E106" s="56" t="s">
        <v>139</v>
      </c>
      <c r="F106" s="35">
        <v>95552</v>
      </c>
      <c r="G106" s="6" t="s">
        <v>303</v>
      </c>
      <c r="H106" s="6" t="s">
        <v>291</v>
      </c>
      <c r="I106" s="69" t="s">
        <v>434</v>
      </c>
      <c r="J106" s="5" t="s">
        <v>21</v>
      </c>
      <c r="K106" s="157">
        <v>69</v>
      </c>
      <c r="L106" s="169"/>
      <c r="M106" s="185"/>
    </row>
    <row r="107" spans="1:13" s="1" customFormat="1" ht="26.25" hidden="1" customHeight="1">
      <c r="A107" s="49" t="s">
        <v>305</v>
      </c>
      <c r="B107" s="70" t="s">
        <v>306</v>
      </c>
      <c r="C107" s="126"/>
      <c r="D107" s="36"/>
      <c r="E107" s="56" t="s">
        <v>139</v>
      </c>
      <c r="F107" s="35">
        <v>139949.4</v>
      </c>
      <c r="G107" s="6" t="s">
        <v>307</v>
      </c>
      <c r="H107" s="6" t="s">
        <v>291</v>
      </c>
      <c r="I107" s="69" t="s">
        <v>434</v>
      </c>
      <c r="J107" s="5" t="s">
        <v>21</v>
      </c>
      <c r="K107" s="157">
        <v>69</v>
      </c>
      <c r="L107" s="169"/>
      <c r="M107" s="185"/>
    </row>
    <row r="108" spans="1:13" s="1" customFormat="1" ht="26.25" hidden="1" customHeight="1">
      <c r="A108" s="49" t="s">
        <v>308</v>
      </c>
      <c r="B108" s="70" t="s">
        <v>309</v>
      </c>
      <c r="C108" s="126"/>
      <c r="D108" s="36"/>
      <c r="E108" s="56" t="s">
        <v>144</v>
      </c>
      <c r="F108" s="35">
        <v>478033</v>
      </c>
      <c r="G108" s="6" t="s">
        <v>310</v>
      </c>
      <c r="H108" s="6" t="s">
        <v>36</v>
      </c>
      <c r="I108" s="69" t="s">
        <v>437</v>
      </c>
      <c r="J108" s="5" t="s">
        <v>104</v>
      </c>
      <c r="K108" s="157">
        <v>43</v>
      </c>
      <c r="L108" s="169"/>
      <c r="M108" s="185"/>
    </row>
    <row r="109" spans="1:13" s="1" customFormat="1" ht="26.25" hidden="1" customHeight="1">
      <c r="A109" s="49" t="s">
        <v>311</v>
      </c>
      <c r="B109" s="70" t="s">
        <v>312</v>
      </c>
      <c r="C109" s="126"/>
      <c r="D109" s="36"/>
      <c r="E109" s="56" t="s">
        <v>142</v>
      </c>
      <c r="F109" s="35">
        <v>958663</v>
      </c>
      <c r="G109" s="6" t="s">
        <v>313</v>
      </c>
      <c r="H109" s="6" t="s">
        <v>148</v>
      </c>
      <c r="I109" s="69" t="s">
        <v>435</v>
      </c>
      <c r="J109" s="5" t="s">
        <v>71</v>
      </c>
      <c r="K109" s="157">
        <v>71</v>
      </c>
      <c r="L109" s="169"/>
      <c r="M109" s="185"/>
    </row>
    <row r="110" spans="1:13" s="1" customFormat="1" ht="26.25" hidden="1" customHeight="1" thickBot="1">
      <c r="A110" s="9" t="s">
        <v>314</v>
      </c>
      <c r="B110" s="58" t="s">
        <v>315</v>
      </c>
      <c r="C110" s="126"/>
      <c r="D110" s="36"/>
      <c r="E110" s="56" t="s">
        <v>142</v>
      </c>
      <c r="F110" s="35">
        <v>500000</v>
      </c>
      <c r="G110" s="6" t="s">
        <v>316</v>
      </c>
      <c r="H110" s="6" t="s">
        <v>125</v>
      </c>
      <c r="I110" s="69" t="s">
        <v>441</v>
      </c>
      <c r="J110" s="5" t="s">
        <v>79</v>
      </c>
      <c r="K110" s="157">
        <v>73</v>
      </c>
      <c r="L110" s="169"/>
      <c r="M110" s="185"/>
    </row>
    <row r="111" spans="1:13" s="1" customFormat="1" ht="26.25" hidden="1" customHeight="1" thickTop="1" thickBot="1">
      <c r="A111" s="49" t="s">
        <v>317</v>
      </c>
      <c r="B111" s="38" t="s">
        <v>322</v>
      </c>
      <c r="C111" s="125"/>
      <c r="D111" s="118"/>
      <c r="E111" s="56" t="s">
        <v>329</v>
      </c>
      <c r="F111" s="35">
        <v>102000</v>
      </c>
      <c r="G111" s="6" t="s">
        <v>330</v>
      </c>
      <c r="H111" s="6" t="s">
        <v>291</v>
      </c>
      <c r="I111" s="69" t="s">
        <v>442</v>
      </c>
      <c r="J111" s="5" t="s">
        <v>21</v>
      </c>
      <c r="K111" s="157">
        <v>69</v>
      </c>
      <c r="L111" s="169"/>
      <c r="M111" s="185"/>
    </row>
    <row r="112" spans="1:13" s="1" customFormat="1" ht="26.25" hidden="1" customHeight="1" thickTop="1">
      <c r="A112" s="9" t="s">
        <v>318</v>
      </c>
      <c r="B112" s="58" t="s">
        <v>323</v>
      </c>
      <c r="C112" s="126"/>
      <c r="D112" s="36"/>
      <c r="E112" s="56" t="s">
        <v>142</v>
      </c>
      <c r="F112" s="35">
        <v>256000</v>
      </c>
      <c r="G112" s="6" t="s">
        <v>333</v>
      </c>
      <c r="H112" s="6" t="s">
        <v>13</v>
      </c>
      <c r="I112" s="69" t="s">
        <v>435</v>
      </c>
      <c r="J112" s="5" t="s">
        <v>17</v>
      </c>
      <c r="K112" s="157">
        <v>7</v>
      </c>
      <c r="L112" s="169"/>
      <c r="M112" s="185"/>
    </row>
    <row r="113" spans="1:13" s="1" customFormat="1" ht="26.25" hidden="1" customHeight="1">
      <c r="A113" s="49" t="s">
        <v>319</v>
      </c>
      <c r="B113" s="48" t="s">
        <v>324</v>
      </c>
      <c r="C113" s="124"/>
      <c r="D113" s="31"/>
      <c r="E113" s="56" t="s">
        <v>140</v>
      </c>
      <c r="F113" s="35">
        <v>1454000</v>
      </c>
      <c r="G113" s="6" t="s">
        <v>382</v>
      </c>
      <c r="H113" s="6" t="s">
        <v>13</v>
      </c>
      <c r="I113" s="80" t="s">
        <v>483</v>
      </c>
      <c r="J113" s="5" t="s">
        <v>331</v>
      </c>
      <c r="K113" s="157">
        <v>26</v>
      </c>
      <c r="L113" s="169"/>
      <c r="M113" s="185"/>
    </row>
    <row r="114" spans="1:13" s="1" customFormat="1" ht="26.25" hidden="1" customHeight="1" thickBot="1">
      <c r="A114" s="9" t="s">
        <v>320</v>
      </c>
      <c r="B114" s="58" t="s">
        <v>325</v>
      </c>
      <c r="C114" s="126"/>
      <c r="D114" s="36"/>
      <c r="E114" s="56" t="s">
        <v>139</v>
      </c>
      <c r="F114" s="35">
        <v>339900</v>
      </c>
      <c r="G114" s="6" t="s">
        <v>332</v>
      </c>
      <c r="H114" s="6" t="s">
        <v>10</v>
      </c>
      <c r="I114" s="69" t="s">
        <v>438</v>
      </c>
      <c r="J114" s="5" t="s">
        <v>21</v>
      </c>
      <c r="K114" s="157">
        <v>69</v>
      </c>
      <c r="L114" s="169"/>
      <c r="M114" s="185"/>
    </row>
    <row r="115" spans="1:13" s="1" customFormat="1" ht="26.25" hidden="1" customHeight="1" thickTop="1" thickBot="1">
      <c r="A115" s="49" t="s">
        <v>321</v>
      </c>
      <c r="B115" s="38" t="s">
        <v>326</v>
      </c>
      <c r="C115" s="125"/>
      <c r="D115" s="118"/>
      <c r="E115" s="56" t="s">
        <v>329</v>
      </c>
      <c r="F115" s="35">
        <v>1622571</v>
      </c>
      <c r="G115" s="6" t="s">
        <v>334</v>
      </c>
      <c r="H115" s="6" t="s">
        <v>291</v>
      </c>
      <c r="I115" s="69" t="s">
        <v>435</v>
      </c>
      <c r="J115" s="5" t="s">
        <v>178</v>
      </c>
      <c r="K115" s="157">
        <v>21</v>
      </c>
      <c r="L115" s="169"/>
      <c r="M115" s="185"/>
    </row>
    <row r="116" spans="1:13" s="1" customFormat="1" ht="26.25" hidden="1" customHeight="1" thickTop="1" thickBot="1">
      <c r="A116" s="9" t="s">
        <v>327</v>
      </c>
      <c r="B116" s="58" t="s">
        <v>328</v>
      </c>
      <c r="C116" s="126"/>
      <c r="D116" s="36"/>
      <c r="E116" s="59" t="s">
        <v>140</v>
      </c>
      <c r="F116" s="34">
        <v>139902</v>
      </c>
      <c r="G116" s="16" t="s">
        <v>335</v>
      </c>
      <c r="H116" s="6" t="s">
        <v>13</v>
      </c>
      <c r="I116" s="69" t="s">
        <v>433</v>
      </c>
      <c r="J116" s="5" t="s">
        <v>17</v>
      </c>
      <c r="K116" s="157">
        <v>26</v>
      </c>
      <c r="L116" s="169"/>
      <c r="M116" s="185"/>
    </row>
    <row r="117" spans="1:13" s="1" customFormat="1" ht="26.25" hidden="1" customHeight="1" thickTop="1">
      <c r="A117" s="49" t="s">
        <v>336</v>
      </c>
      <c r="B117" s="40" t="s">
        <v>338</v>
      </c>
      <c r="C117" s="125"/>
      <c r="D117" s="118"/>
      <c r="E117" s="59" t="s">
        <v>329</v>
      </c>
      <c r="F117" s="35">
        <v>252000</v>
      </c>
      <c r="G117" s="16" t="s">
        <v>337</v>
      </c>
      <c r="H117" s="6" t="s">
        <v>291</v>
      </c>
      <c r="I117" s="69" t="s">
        <v>435</v>
      </c>
      <c r="J117" s="5" t="s">
        <v>179</v>
      </c>
      <c r="K117" s="157">
        <v>21</v>
      </c>
      <c r="L117" s="169"/>
      <c r="M117" s="185"/>
    </row>
    <row r="118" spans="1:13" s="1" customFormat="1" ht="26.25" hidden="1" customHeight="1">
      <c r="A118" s="49"/>
      <c r="B118" s="144"/>
      <c r="C118" s="125"/>
      <c r="D118" s="118"/>
      <c r="E118" s="53" t="s">
        <v>258</v>
      </c>
      <c r="F118" s="35">
        <f>SUM(F92:F117)</f>
        <v>15843293</v>
      </c>
      <c r="G118" s="16"/>
      <c r="H118" s="6"/>
      <c r="I118" s="69"/>
      <c r="J118" s="5"/>
      <c r="K118" s="159"/>
      <c r="L118" s="169"/>
      <c r="M118" s="185"/>
    </row>
    <row r="119" spans="1:13" s="1" customFormat="1" ht="26.25" hidden="1" customHeight="1">
      <c r="A119" s="49" t="s">
        <v>339</v>
      </c>
      <c r="B119" s="48" t="s">
        <v>348</v>
      </c>
      <c r="C119" s="138" t="s">
        <v>627</v>
      </c>
      <c r="D119" s="138" t="s">
        <v>626</v>
      </c>
      <c r="E119" s="59" t="s">
        <v>365</v>
      </c>
      <c r="F119" s="35">
        <v>600000</v>
      </c>
      <c r="G119" s="16" t="s">
        <v>349</v>
      </c>
      <c r="H119" s="6" t="s">
        <v>271</v>
      </c>
      <c r="I119" s="69" t="s">
        <v>439</v>
      </c>
      <c r="J119" s="5" t="s">
        <v>350</v>
      </c>
      <c r="K119" s="157">
        <v>69</v>
      </c>
      <c r="L119" s="169" t="s">
        <v>732</v>
      </c>
      <c r="M119" s="185" t="s">
        <v>850</v>
      </c>
    </row>
    <row r="120" spans="1:13" s="1" customFormat="1" ht="26.25" hidden="1" customHeight="1">
      <c r="A120" s="49" t="s">
        <v>340</v>
      </c>
      <c r="B120" s="48" t="s">
        <v>351</v>
      </c>
      <c r="C120" s="138" t="s">
        <v>627</v>
      </c>
      <c r="D120" s="138" t="s">
        <v>626</v>
      </c>
      <c r="E120" s="59" t="s">
        <v>365</v>
      </c>
      <c r="F120" s="35">
        <v>300000</v>
      </c>
      <c r="G120" s="16" t="s">
        <v>352</v>
      </c>
      <c r="H120" s="6" t="s">
        <v>271</v>
      </c>
      <c r="I120" s="69" t="s">
        <v>439</v>
      </c>
      <c r="J120" s="5" t="s">
        <v>353</v>
      </c>
      <c r="K120" s="157">
        <v>69</v>
      </c>
      <c r="L120" s="169"/>
      <c r="M120" s="185"/>
    </row>
    <row r="121" spans="1:13" s="1" customFormat="1" ht="26.25" hidden="1" customHeight="1">
      <c r="A121" s="49" t="s">
        <v>341</v>
      </c>
      <c r="B121" s="48" t="s">
        <v>358</v>
      </c>
      <c r="C121" s="138" t="s">
        <v>627</v>
      </c>
      <c r="D121" s="138" t="s">
        <v>626</v>
      </c>
      <c r="E121" s="59" t="s">
        <v>144</v>
      </c>
      <c r="F121" s="35">
        <v>150000</v>
      </c>
      <c r="G121" s="16" t="s">
        <v>354</v>
      </c>
      <c r="H121" s="6" t="s">
        <v>36</v>
      </c>
      <c r="I121" s="69" t="s">
        <v>437</v>
      </c>
      <c r="J121" s="5" t="s">
        <v>63</v>
      </c>
      <c r="K121" s="157">
        <v>42</v>
      </c>
      <c r="L121" s="169"/>
      <c r="M121" s="185"/>
    </row>
    <row r="122" spans="1:13" s="1" customFormat="1" ht="26.25" hidden="1" customHeight="1">
      <c r="A122" s="49" t="s">
        <v>342</v>
      </c>
      <c r="B122" s="48" t="s">
        <v>359</v>
      </c>
      <c r="C122" s="138" t="s">
        <v>627</v>
      </c>
      <c r="D122" s="138" t="s">
        <v>626</v>
      </c>
      <c r="E122" s="59" t="s">
        <v>139</v>
      </c>
      <c r="F122" s="35">
        <v>2700000</v>
      </c>
      <c r="G122" s="16" t="s">
        <v>355</v>
      </c>
      <c r="H122" s="6" t="s">
        <v>291</v>
      </c>
      <c r="I122" s="69" t="s">
        <v>488</v>
      </c>
      <c r="J122" s="5" t="s">
        <v>21</v>
      </c>
      <c r="K122" s="157">
        <v>69</v>
      </c>
      <c r="L122" s="169"/>
      <c r="M122" s="185"/>
    </row>
    <row r="123" spans="1:13" s="1" customFormat="1" ht="26.25" hidden="1" customHeight="1">
      <c r="A123" s="49" t="s">
        <v>343</v>
      </c>
      <c r="B123" s="48" t="s">
        <v>360</v>
      </c>
      <c r="C123" s="138" t="s">
        <v>627</v>
      </c>
      <c r="D123" s="138" t="s">
        <v>626</v>
      </c>
      <c r="E123" s="59" t="s">
        <v>365</v>
      </c>
      <c r="F123" s="35">
        <v>1470000</v>
      </c>
      <c r="G123" s="16" t="s">
        <v>356</v>
      </c>
      <c r="H123" s="6" t="s">
        <v>271</v>
      </c>
      <c r="I123" s="69" t="s">
        <v>515</v>
      </c>
      <c r="J123" s="5" t="s">
        <v>21</v>
      </c>
      <c r="K123" s="157">
        <v>69</v>
      </c>
      <c r="L123" s="169"/>
      <c r="M123" s="185"/>
    </row>
    <row r="124" spans="1:13" s="1" customFormat="1" ht="26.25" hidden="1" customHeight="1">
      <c r="A124" s="49" t="s">
        <v>15</v>
      </c>
      <c r="B124" s="48" t="s">
        <v>182</v>
      </c>
      <c r="C124" s="138" t="s">
        <v>627</v>
      </c>
      <c r="D124" s="138" t="s">
        <v>626</v>
      </c>
      <c r="E124" s="3" t="s">
        <v>140</v>
      </c>
      <c r="F124" s="34">
        <v>100000</v>
      </c>
      <c r="G124" s="3" t="s">
        <v>16</v>
      </c>
      <c r="H124" s="3" t="s">
        <v>13</v>
      </c>
      <c r="I124" s="79" t="s">
        <v>483</v>
      </c>
      <c r="J124" s="4" t="s">
        <v>17</v>
      </c>
      <c r="K124" s="154">
        <v>26</v>
      </c>
      <c r="L124" s="169"/>
      <c r="M124" s="185"/>
    </row>
    <row r="125" spans="1:13" s="1" customFormat="1" ht="26.25" hidden="1" customHeight="1">
      <c r="A125" s="49" t="s">
        <v>344</v>
      </c>
      <c r="B125" s="48" t="s">
        <v>361</v>
      </c>
      <c r="C125" s="138" t="s">
        <v>627</v>
      </c>
      <c r="D125" s="138" t="s">
        <v>626</v>
      </c>
      <c r="E125" s="59" t="s">
        <v>140</v>
      </c>
      <c r="F125" s="35">
        <v>150000</v>
      </c>
      <c r="G125" s="16" t="s">
        <v>357</v>
      </c>
      <c r="H125" s="6" t="s">
        <v>13</v>
      </c>
      <c r="I125" s="69" t="s">
        <v>433</v>
      </c>
      <c r="J125" s="5" t="s">
        <v>17</v>
      </c>
      <c r="K125" s="157">
        <v>26</v>
      </c>
      <c r="L125" s="169"/>
      <c r="M125" s="185"/>
    </row>
    <row r="126" spans="1:13" s="1" customFormat="1" ht="26.25" hidden="1" customHeight="1">
      <c r="A126" s="49" t="s">
        <v>345</v>
      </c>
      <c r="B126" s="48" t="s">
        <v>362</v>
      </c>
      <c r="C126" s="138" t="s">
        <v>627</v>
      </c>
      <c r="D126" s="138" t="s">
        <v>626</v>
      </c>
      <c r="E126" s="59" t="s">
        <v>140</v>
      </c>
      <c r="F126" s="35">
        <f>250000+59000</f>
        <v>309000</v>
      </c>
      <c r="G126" s="16" t="s">
        <v>391</v>
      </c>
      <c r="H126" s="6" t="s">
        <v>13</v>
      </c>
      <c r="I126" s="80" t="s">
        <v>483</v>
      </c>
      <c r="J126" s="5" t="s">
        <v>17</v>
      </c>
      <c r="K126" s="157">
        <v>26</v>
      </c>
      <c r="L126" s="169"/>
      <c r="M126" s="185"/>
    </row>
    <row r="127" spans="1:13" s="1" customFormat="1" ht="26.25" hidden="1" customHeight="1">
      <c r="A127" s="49" t="s">
        <v>346</v>
      </c>
      <c r="B127" s="48" t="s">
        <v>363</v>
      </c>
      <c r="C127" s="138" t="s">
        <v>627</v>
      </c>
      <c r="D127" s="138" t="s">
        <v>626</v>
      </c>
      <c r="E127" s="59" t="s">
        <v>140</v>
      </c>
      <c r="F127" s="35">
        <v>881000</v>
      </c>
      <c r="G127" s="16" t="s">
        <v>412</v>
      </c>
      <c r="H127" s="6" t="s">
        <v>13</v>
      </c>
      <c r="I127" s="69" t="s">
        <v>433</v>
      </c>
      <c r="J127" s="5" t="s">
        <v>17</v>
      </c>
      <c r="K127" s="157">
        <v>26</v>
      </c>
      <c r="L127" s="169"/>
      <c r="M127" s="185"/>
    </row>
    <row r="128" spans="1:13" s="1" customFormat="1" ht="26.25" hidden="1" customHeight="1">
      <c r="A128" s="49" t="s">
        <v>347</v>
      </c>
      <c r="B128" s="48" t="s">
        <v>364</v>
      </c>
      <c r="C128" s="138" t="s">
        <v>627</v>
      </c>
      <c r="D128" s="138" t="s">
        <v>626</v>
      </c>
      <c r="E128" s="59" t="s">
        <v>140</v>
      </c>
      <c r="F128" s="34">
        <v>421605</v>
      </c>
      <c r="G128" s="16" t="s">
        <v>396</v>
      </c>
      <c r="H128" s="6" t="s">
        <v>125</v>
      </c>
      <c r="I128" s="69" t="s">
        <v>440</v>
      </c>
      <c r="J128" s="5" t="s">
        <v>397</v>
      </c>
      <c r="K128" s="157">
        <v>1</v>
      </c>
      <c r="L128" s="169"/>
      <c r="M128" s="185"/>
    </row>
    <row r="129" spans="1:13" s="1" customFormat="1" ht="26.25" hidden="1" customHeight="1">
      <c r="A129" s="49" t="s">
        <v>367</v>
      </c>
      <c r="B129" s="48" t="s">
        <v>374</v>
      </c>
      <c r="C129" s="138" t="s">
        <v>627</v>
      </c>
      <c r="D129" s="138" t="s">
        <v>626</v>
      </c>
      <c r="E129" s="59" t="s">
        <v>143</v>
      </c>
      <c r="F129" s="34">
        <v>421313.35</v>
      </c>
      <c r="G129" s="16" t="s">
        <v>383</v>
      </c>
      <c r="H129" s="6" t="s">
        <v>148</v>
      </c>
      <c r="I129" s="69" t="s">
        <v>435</v>
      </c>
      <c r="J129" s="5" t="s">
        <v>179</v>
      </c>
      <c r="K129" s="157">
        <v>21</v>
      </c>
      <c r="L129" s="169"/>
      <c r="M129" s="185"/>
    </row>
    <row r="130" spans="1:13" s="1" customFormat="1" ht="26.25" hidden="1" customHeight="1">
      <c r="A130" s="49" t="s">
        <v>368</v>
      </c>
      <c r="B130" s="48" t="s">
        <v>375</v>
      </c>
      <c r="C130" s="138" t="s">
        <v>627</v>
      </c>
      <c r="D130" s="138" t="s">
        <v>626</v>
      </c>
      <c r="E130" s="59" t="s">
        <v>139</v>
      </c>
      <c r="F130" s="34">
        <v>170000</v>
      </c>
      <c r="G130" s="16" t="s">
        <v>384</v>
      </c>
      <c r="H130" s="6" t="s">
        <v>10</v>
      </c>
      <c r="I130" s="69" t="s">
        <v>442</v>
      </c>
      <c r="J130" s="5" t="s">
        <v>21</v>
      </c>
      <c r="K130" s="157">
        <v>69</v>
      </c>
      <c r="L130" s="169"/>
      <c r="M130" s="185"/>
    </row>
    <row r="131" spans="1:13" s="1" customFormat="1" ht="26.25" hidden="1" customHeight="1" thickTop="1">
      <c r="A131" s="49" t="s">
        <v>369</v>
      </c>
      <c r="B131" s="48" t="s">
        <v>376</v>
      </c>
      <c r="C131" s="138" t="s">
        <v>627</v>
      </c>
      <c r="D131" s="138" t="s">
        <v>626</v>
      </c>
      <c r="E131" s="59" t="s">
        <v>143</v>
      </c>
      <c r="F131" s="34">
        <v>270000</v>
      </c>
      <c r="G131" s="16" t="s">
        <v>389</v>
      </c>
      <c r="H131" s="6" t="s">
        <v>148</v>
      </c>
      <c r="I131" s="69" t="s">
        <v>435</v>
      </c>
      <c r="J131" s="5" t="s">
        <v>178</v>
      </c>
      <c r="K131" s="157">
        <v>21</v>
      </c>
      <c r="L131" s="169"/>
      <c r="M131" s="185"/>
    </row>
    <row r="132" spans="1:13" s="1" customFormat="1" ht="26.25" hidden="1" customHeight="1">
      <c r="A132" s="49" t="s">
        <v>370</v>
      </c>
      <c r="B132" s="48" t="s">
        <v>377</v>
      </c>
      <c r="C132" s="138" t="s">
        <v>627</v>
      </c>
      <c r="D132" s="31"/>
      <c r="E132" s="59" t="s">
        <v>365</v>
      </c>
      <c r="F132" s="34">
        <v>650000</v>
      </c>
      <c r="G132" s="16" t="s">
        <v>390</v>
      </c>
      <c r="H132" s="6" t="s">
        <v>271</v>
      </c>
      <c r="I132" s="69" t="s">
        <v>439</v>
      </c>
      <c r="J132" s="5" t="s">
        <v>21</v>
      </c>
      <c r="K132" s="157">
        <v>69</v>
      </c>
      <c r="L132" s="169"/>
      <c r="M132" s="185"/>
    </row>
    <row r="133" spans="1:13" s="1" customFormat="1" ht="26.25" hidden="1" customHeight="1">
      <c r="A133" s="49" t="s">
        <v>371</v>
      </c>
      <c r="B133" s="48" t="s">
        <v>378</v>
      </c>
      <c r="C133" s="138" t="s">
        <v>627</v>
      </c>
      <c r="D133" s="31"/>
      <c r="E133" s="59" t="s">
        <v>144</v>
      </c>
      <c r="F133" s="34">
        <v>530000</v>
      </c>
      <c r="G133" s="16" t="s">
        <v>392</v>
      </c>
      <c r="H133" s="6" t="s">
        <v>36</v>
      </c>
      <c r="I133" s="69" t="s">
        <v>437</v>
      </c>
      <c r="J133" s="5" t="s">
        <v>175</v>
      </c>
      <c r="K133" s="157">
        <v>42</v>
      </c>
      <c r="L133" s="169"/>
      <c r="M133" s="185"/>
    </row>
    <row r="134" spans="1:13" s="1" customFormat="1" ht="26.25" hidden="1" customHeight="1">
      <c r="A134" s="49" t="s">
        <v>372</v>
      </c>
      <c r="B134" s="48" t="s">
        <v>379</v>
      </c>
      <c r="C134" s="138" t="s">
        <v>627</v>
      </c>
      <c r="D134" s="31"/>
      <c r="E134" s="59" t="s">
        <v>144</v>
      </c>
      <c r="F134" s="34">
        <v>750000</v>
      </c>
      <c r="G134" s="16" t="s">
        <v>393</v>
      </c>
      <c r="H134" s="6" t="s">
        <v>36</v>
      </c>
      <c r="I134" s="69" t="s">
        <v>437</v>
      </c>
      <c r="J134" s="5" t="s">
        <v>111</v>
      </c>
      <c r="K134" s="157">
        <v>42</v>
      </c>
      <c r="L134" s="169"/>
      <c r="M134" s="185"/>
    </row>
    <row r="135" spans="1:13" s="1" customFormat="1" ht="26.25" hidden="1" customHeight="1">
      <c r="A135" s="49" t="s">
        <v>373</v>
      </c>
      <c r="B135" s="48" t="s">
        <v>380</v>
      </c>
      <c r="C135" s="138" t="s">
        <v>627</v>
      </c>
      <c r="D135" s="31"/>
      <c r="E135" s="59" t="s">
        <v>144</v>
      </c>
      <c r="F135" s="34">
        <v>650000</v>
      </c>
      <c r="G135" s="16" t="s">
        <v>394</v>
      </c>
      <c r="H135" s="6" t="s">
        <v>36</v>
      </c>
      <c r="I135" s="69" t="s">
        <v>437</v>
      </c>
      <c r="J135" s="5" t="s">
        <v>175</v>
      </c>
      <c r="K135" s="157">
        <v>42</v>
      </c>
      <c r="L135" s="169"/>
      <c r="M135" s="185"/>
    </row>
    <row r="136" spans="1:13" s="1" customFormat="1" ht="26.25" hidden="1" customHeight="1">
      <c r="A136" s="49" t="s">
        <v>563</v>
      </c>
      <c r="B136" s="48" t="s">
        <v>564</v>
      </c>
      <c r="C136" s="138" t="s">
        <v>627</v>
      </c>
      <c r="D136" s="31"/>
      <c r="E136" s="59" t="s">
        <v>143</v>
      </c>
      <c r="F136" s="34">
        <v>80000</v>
      </c>
      <c r="G136" s="16" t="s">
        <v>395</v>
      </c>
      <c r="H136" s="6" t="s">
        <v>148</v>
      </c>
      <c r="I136" s="69" t="s">
        <v>435</v>
      </c>
      <c r="J136" s="5" t="s">
        <v>178</v>
      </c>
      <c r="K136" s="157">
        <v>21</v>
      </c>
      <c r="L136" s="169"/>
      <c r="M136" s="185"/>
    </row>
    <row r="137" spans="1:13" s="1" customFormat="1" ht="26.25" hidden="1" customHeight="1">
      <c r="A137" s="49" t="s">
        <v>386</v>
      </c>
      <c r="B137" s="48" t="s">
        <v>385</v>
      </c>
      <c r="C137" s="138" t="s">
        <v>627</v>
      </c>
      <c r="D137" s="138" t="s">
        <v>627</v>
      </c>
      <c r="E137" s="59" t="s">
        <v>139</v>
      </c>
      <c r="F137" s="35">
        <v>576000</v>
      </c>
      <c r="G137" s="16" t="s">
        <v>408</v>
      </c>
      <c r="H137" s="6" t="s">
        <v>10</v>
      </c>
      <c r="I137" s="69" t="s">
        <v>438</v>
      </c>
      <c r="J137" s="5" t="s">
        <v>21</v>
      </c>
      <c r="K137" s="157">
        <v>69</v>
      </c>
      <c r="L137" s="169"/>
      <c r="M137" s="185"/>
    </row>
    <row r="138" spans="1:13" s="1" customFormat="1" ht="26.25" hidden="1" customHeight="1">
      <c r="A138" s="49" t="s">
        <v>387</v>
      </c>
      <c r="B138" s="48" t="s">
        <v>388</v>
      </c>
      <c r="C138" s="138" t="s">
        <v>626</v>
      </c>
      <c r="D138" s="138" t="s">
        <v>626</v>
      </c>
      <c r="E138" s="59" t="s">
        <v>365</v>
      </c>
      <c r="F138" s="35">
        <v>1400000</v>
      </c>
      <c r="G138" s="16" t="s">
        <v>409</v>
      </c>
      <c r="H138" s="6" t="s">
        <v>271</v>
      </c>
      <c r="I138" s="69" t="s">
        <v>442</v>
      </c>
      <c r="J138" s="5" t="s">
        <v>21</v>
      </c>
      <c r="K138" s="157">
        <v>69</v>
      </c>
      <c r="L138" s="169"/>
      <c r="M138" s="185"/>
    </row>
    <row r="139" spans="1:13" s="1" customFormat="1" ht="26.25" hidden="1" customHeight="1">
      <c r="A139" s="49" t="s">
        <v>398</v>
      </c>
      <c r="B139" s="48" t="s">
        <v>403</v>
      </c>
      <c r="C139" s="124"/>
      <c r="D139" s="31"/>
      <c r="E139" s="59" t="s">
        <v>142</v>
      </c>
      <c r="F139" s="35">
        <v>347000</v>
      </c>
      <c r="G139" s="16" t="s">
        <v>410</v>
      </c>
      <c r="H139" s="6" t="s">
        <v>125</v>
      </c>
      <c r="I139" s="69" t="s">
        <v>441</v>
      </c>
      <c r="J139" s="5" t="s">
        <v>411</v>
      </c>
      <c r="K139" s="157">
        <v>73</v>
      </c>
      <c r="L139" s="169"/>
      <c r="M139" s="185"/>
    </row>
    <row r="140" spans="1:13" s="1" customFormat="1" ht="26.25" hidden="1" customHeight="1">
      <c r="A140" s="49" t="s">
        <v>399</v>
      </c>
      <c r="B140" s="48" t="s">
        <v>404</v>
      </c>
      <c r="C140" s="124"/>
      <c r="D140" s="31"/>
      <c r="E140" s="59" t="s">
        <v>140</v>
      </c>
      <c r="F140" s="35">
        <v>262366</v>
      </c>
      <c r="G140" s="16" t="s">
        <v>413</v>
      </c>
      <c r="H140" s="6" t="s">
        <v>13</v>
      </c>
      <c r="I140" s="69" t="s">
        <v>433</v>
      </c>
      <c r="J140" s="5" t="s">
        <v>17</v>
      </c>
      <c r="K140" s="157">
        <v>26</v>
      </c>
      <c r="L140" s="169"/>
      <c r="M140" s="185"/>
    </row>
    <row r="141" spans="1:13" s="1" customFormat="1" ht="26.25" hidden="1" customHeight="1">
      <c r="A141" s="49" t="s">
        <v>400</v>
      </c>
      <c r="B141" s="48" t="s">
        <v>405</v>
      </c>
      <c r="C141" s="124"/>
      <c r="D141" s="31"/>
      <c r="E141" s="59" t="s">
        <v>142</v>
      </c>
      <c r="F141" s="35">
        <v>322061</v>
      </c>
      <c r="G141" s="16" t="s">
        <v>414</v>
      </c>
      <c r="H141" s="6" t="s">
        <v>125</v>
      </c>
      <c r="I141" s="69" t="s">
        <v>441</v>
      </c>
      <c r="J141" s="5" t="s">
        <v>415</v>
      </c>
      <c r="K141" s="157">
        <v>73</v>
      </c>
      <c r="L141" s="169"/>
      <c r="M141" s="185"/>
    </row>
    <row r="142" spans="1:13" s="1" customFormat="1" ht="26.25" hidden="1" customHeight="1">
      <c r="A142" s="49" t="s">
        <v>401</v>
      </c>
      <c r="B142" s="48" t="s">
        <v>406</v>
      </c>
      <c r="C142" s="138" t="s">
        <v>627</v>
      </c>
      <c r="D142" s="138" t="s">
        <v>627</v>
      </c>
      <c r="E142" s="59" t="s">
        <v>139</v>
      </c>
      <c r="F142" s="35">
        <v>800000</v>
      </c>
      <c r="G142" s="16" t="s">
        <v>416</v>
      </c>
      <c r="H142" s="6" t="s">
        <v>10</v>
      </c>
      <c r="I142" s="69" t="s">
        <v>438</v>
      </c>
      <c r="J142" s="5" t="s">
        <v>546</v>
      </c>
      <c r="K142" s="157">
        <v>69</v>
      </c>
      <c r="L142" s="169"/>
      <c r="M142" s="185"/>
    </row>
    <row r="143" spans="1:13" s="1" customFormat="1" ht="26.25" hidden="1" customHeight="1">
      <c r="A143" s="49" t="s">
        <v>402</v>
      </c>
      <c r="B143" s="48" t="s">
        <v>407</v>
      </c>
      <c r="C143" s="138" t="s">
        <v>627</v>
      </c>
      <c r="D143" s="138" t="s">
        <v>627</v>
      </c>
      <c r="E143" s="59" t="s">
        <v>144</v>
      </c>
      <c r="F143" s="34">
        <v>500000</v>
      </c>
      <c r="G143" s="16" t="s">
        <v>419</v>
      </c>
      <c r="H143" s="6" t="s">
        <v>36</v>
      </c>
      <c r="I143" s="69" t="s">
        <v>437</v>
      </c>
      <c r="J143" s="5" t="s">
        <v>63</v>
      </c>
      <c r="K143" s="157">
        <v>42</v>
      </c>
      <c r="L143" s="169"/>
      <c r="M143" s="185"/>
    </row>
    <row r="144" spans="1:13" s="1" customFormat="1" ht="26.25" hidden="1" customHeight="1">
      <c r="A144" s="49" t="s">
        <v>417</v>
      </c>
      <c r="B144" s="48" t="s">
        <v>418</v>
      </c>
      <c r="C144" s="124"/>
      <c r="D144" s="31"/>
      <c r="E144" s="59" t="s">
        <v>142</v>
      </c>
      <c r="F144" s="34">
        <v>1450000</v>
      </c>
      <c r="G144" s="16" t="s">
        <v>420</v>
      </c>
      <c r="H144" s="6" t="s">
        <v>125</v>
      </c>
      <c r="I144" s="80" t="s">
        <v>483</v>
      </c>
      <c r="J144" s="5" t="s">
        <v>79</v>
      </c>
      <c r="K144" s="157">
        <v>73</v>
      </c>
      <c r="L144" s="169"/>
      <c r="M144" s="185"/>
    </row>
    <row r="145" spans="1:13" s="1" customFormat="1" ht="26.25" hidden="1" customHeight="1">
      <c r="A145" s="49" t="s">
        <v>422</v>
      </c>
      <c r="B145" s="48" t="s">
        <v>423</v>
      </c>
      <c r="C145" s="138" t="s">
        <v>627</v>
      </c>
      <c r="D145" s="138" t="s">
        <v>627</v>
      </c>
      <c r="E145" s="59" t="s">
        <v>139</v>
      </c>
      <c r="F145" s="34">
        <v>267000</v>
      </c>
      <c r="G145" s="16" t="s">
        <v>424</v>
      </c>
      <c r="H145" s="6" t="s">
        <v>10</v>
      </c>
      <c r="I145" s="69" t="s">
        <v>438</v>
      </c>
      <c r="J145" s="5" t="s">
        <v>79</v>
      </c>
      <c r="K145" s="157">
        <v>73</v>
      </c>
      <c r="L145" s="169"/>
      <c r="M145" s="185"/>
    </row>
    <row r="146" spans="1:13" s="1" customFormat="1" ht="26.25" hidden="1" customHeight="1">
      <c r="A146" s="49" t="s">
        <v>425</v>
      </c>
      <c r="B146" s="48" t="s">
        <v>426</v>
      </c>
      <c r="C146" s="138" t="s">
        <v>627</v>
      </c>
      <c r="D146" s="138" t="s">
        <v>627</v>
      </c>
      <c r="E146" s="59" t="s">
        <v>140</v>
      </c>
      <c r="F146" s="34">
        <v>809043</v>
      </c>
      <c r="G146" s="16" t="s">
        <v>427</v>
      </c>
      <c r="H146" s="6" t="s">
        <v>13</v>
      </c>
      <c r="I146" s="80" t="s">
        <v>483</v>
      </c>
      <c r="J146" s="5" t="s">
        <v>17</v>
      </c>
      <c r="K146" s="157">
        <v>26</v>
      </c>
      <c r="L146" s="169"/>
      <c r="M146" s="185"/>
    </row>
    <row r="147" spans="1:13" s="1" customFormat="1" ht="26.25" hidden="1" customHeight="1">
      <c r="A147" s="49" t="s">
        <v>429</v>
      </c>
      <c r="B147" s="3" t="s">
        <v>428</v>
      </c>
      <c r="C147" s="138" t="s">
        <v>627</v>
      </c>
      <c r="D147" s="138" t="s">
        <v>627</v>
      </c>
      <c r="E147" s="59" t="s">
        <v>143</v>
      </c>
      <c r="F147" s="34">
        <v>202773</v>
      </c>
      <c r="G147" s="16" t="s">
        <v>430</v>
      </c>
      <c r="H147" s="6" t="s">
        <v>148</v>
      </c>
      <c r="I147" s="69" t="s">
        <v>435</v>
      </c>
      <c r="J147" s="5" t="s">
        <v>71</v>
      </c>
      <c r="K147" s="157">
        <v>71</v>
      </c>
      <c r="L147" s="169"/>
      <c r="M147" s="185"/>
    </row>
    <row r="148" spans="1:13" s="1" customFormat="1" ht="26.25" hidden="1" customHeight="1">
      <c r="A148" s="49" t="s">
        <v>443</v>
      </c>
      <c r="B148" s="3" t="s">
        <v>447</v>
      </c>
      <c r="C148" s="138" t="s">
        <v>627</v>
      </c>
      <c r="D148" s="138" t="s">
        <v>627</v>
      </c>
      <c r="E148" s="59" t="s">
        <v>143</v>
      </c>
      <c r="F148" s="34">
        <v>265000</v>
      </c>
      <c r="G148" s="16" t="s">
        <v>454</v>
      </c>
      <c r="H148" s="6" t="s">
        <v>148</v>
      </c>
      <c r="I148" s="69" t="s">
        <v>435</v>
      </c>
      <c r="J148" s="5" t="s">
        <v>455</v>
      </c>
      <c r="K148" s="157">
        <v>21</v>
      </c>
      <c r="L148" s="169"/>
      <c r="M148" s="185"/>
    </row>
    <row r="149" spans="1:13" s="1" customFormat="1" ht="26.25" hidden="1" customHeight="1">
      <c r="A149" s="49" t="s">
        <v>444</v>
      </c>
      <c r="B149" s="3" t="s">
        <v>448</v>
      </c>
      <c r="C149" s="124"/>
      <c r="D149" s="16"/>
      <c r="E149" s="59" t="s">
        <v>143</v>
      </c>
      <c r="F149" s="34">
        <v>410207</v>
      </c>
      <c r="G149" s="16" t="s">
        <v>451</v>
      </c>
      <c r="H149" s="6" t="s">
        <v>148</v>
      </c>
      <c r="I149" s="69" t="s">
        <v>435</v>
      </c>
      <c r="J149" s="5" t="s">
        <v>178</v>
      </c>
      <c r="K149" s="157">
        <v>21</v>
      </c>
      <c r="L149" s="169"/>
      <c r="M149" s="185"/>
    </row>
    <row r="150" spans="1:13" s="1" customFormat="1" ht="26.25" hidden="1" customHeight="1" thickTop="1">
      <c r="A150" s="49" t="s">
        <v>445</v>
      </c>
      <c r="B150" s="3" t="s">
        <v>449</v>
      </c>
      <c r="C150" s="138" t="s">
        <v>626</v>
      </c>
      <c r="D150" s="138" t="s">
        <v>626</v>
      </c>
      <c r="E150" s="59" t="s">
        <v>143</v>
      </c>
      <c r="F150" s="34">
        <v>15601724</v>
      </c>
      <c r="G150" s="16" t="s">
        <v>452</v>
      </c>
      <c r="H150" s="6" t="s">
        <v>148</v>
      </c>
      <c r="I150" s="69" t="s">
        <v>435</v>
      </c>
      <c r="J150" s="5" t="s">
        <v>456</v>
      </c>
      <c r="K150" s="157">
        <v>71</v>
      </c>
      <c r="L150" s="169" t="s">
        <v>744</v>
      </c>
      <c r="M150" s="185" t="s">
        <v>745</v>
      </c>
    </row>
    <row r="151" spans="1:13" s="1" customFormat="1" ht="26.25" hidden="1" customHeight="1">
      <c r="A151" s="49" t="s">
        <v>468</v>
      </c>
      <c r="B151" s="3" t="s">
        <v>469</v>
      </c>
      <c r="C151" s="138" t="s">
        <v>626</v>
      </c>
      <c r="D151" s="138" t="s">
        <v>627</v>
      </c>
      <c r="E151" s="59" t="s">
        <v>139</v>
      </c>
      <c r="F151" s="35">
        <v>2951390</v>
      </c>
      <c r="G151" s="16" t="s">
        <v>457</v>
      </c>
      <c r="H151" s="6" t="s">
        <v>10</v>
      </c>
      <c r="I151" s="69" t="s">
        <v>515</v>
      </c>
      <c r="J151" s="71" t="s">
        <v>470</v>
      </c>
      <c r="K151" s="160">
        <v>69</v>
      </c>
      <c r="L151" s="170"/>
      <c r="M151" s="185"/>
    </row>
    <row r="152" spans="1:13" s="1" customFormat="1" ht="26.25" hidden="1" customHeight="1">
      <c r="A152" s="49" t="s">
        <v>525</v>
      </c>
      <c r="B152" s="3" t="s">
        <v>526</v>
      </c>
      <c r="C152" s="138" t="s">
        <v>627</v>
      </c>
      <c r="D152" s="138" t="s">
        <v>626</v>
      </c>
      <c r="E152" s="59" t="s">
        <v>365</v>
      </c>
      <c r="F152" s="35">
        <v>300000</v>
      </c>
      <c r="G152" s="16" t="s">
        <v>458</v>
      </c>
      <c r="H152" s="6" t="s">
        <v>271</v>
      </c>
      <c r="I152" s="69" t="s">
        <v>439</v>
      </c>
      <c r="J152" s="71" t="s">
        <v>502</v>
      </c>
      <c r="K152" s="160">
        <v>69</v>
      </c>
      <c r="L152" s="170"/>
      <c r="M152" s="185"/>
    </row>
    <row r="153" spans="1:13" s="1" customFormat="1" ht="26.25" hidden="1" customHeight="1">
      <c r="A153" s="49" t="s">
        <v>446</v>
      </c>
      <c r="B153" s="6" t="s">
        <v>450</v>
      </c>
      <c r="C153" s="138" t="s">
        <v>627</v>
      </c>
      <c r="D153" s="16"/>
      <c r="E153" s="59" t="s">
        <v>140</v>
      </c>
      <c r="F153" s="35">
        <v>3858650</v>
      </c>
      <c r="G153" s="16" t="s">
        <v>453</v>
      </c>
      <c r="H153" s="6" t="s">
        <v>13</v>
      </c>
      <c r="I153" s="80" t="s">
        <v>483</v>
      </c>
      <c r="J153" s="71" t="s">
        <v>17</v>
      </c>
      <c r="K153" s="160">
        <v>26</v>
      </c>
      <c r="L153" s="170"/>
      <c r="M153" s="185"/>
    </row>
    <row r="154" spans="1:13" s="1" customFormat="1" ht="26.25" hidden="1" customHeight="1">
      <c r="A154" s="49" t="s">
        <v>465</v>
      </c>
      <c r="B154" s="6" t="s">
        <v>466</v>
      </c>
      <c r="C154" s="138" t="s">
        <v>627</v>
      </c>
      <c r="D154" s="138" t="s">
        <v>627</v>
      </c>
      <c r="E154" s="59" t="s">
        <v>143</v>
      </c>
      <c r="F154" s="35">
        <v>298827</v>
      </c>
      <c r="G154" s="16" t="s">
        <v>459</v>
      </c>
      <c r="H154" s="6" t="s">
        <v>148</v>
      </c>
      <c r="I154" s="69" t="s">
        <v>435</v>
      </c>
      <c r="J154" s="16" t="s">
        <v>459</v>
      </c>
      <c r="K154" s="160">
        <v>21</v>
      </c>
      <c r="L154" s="171"/>
      <c r="M154" s="185"/>
    </row>
    <row r="155" spans="1:13" s="1" customFormat="1" ht="26.25" hidden="1" customHeight="1">
      <c r="A155" s="49" t="s">
        <v>460</v>
      </c>
      <c r="B155" s="6" t="s">
        <v>461</v>
      </c>
      <c r="C155" s="138" t="s">
        <v>627</v>
      </c>
      <c r="D155" s="138" t="s">
        <v>627</v>
      </c>
      <c r="E155" s="59" t="s">
        <v>139</v>
      </c>
      <c r="F155" s="35">
        <v>150000</v>
      </c>
      <c r="G155" s="16" t="s">
        <v>462</v>
      </c>
      <c r="H155" s="6" t="s">
        <v>10</v>
      </c>
      <c r="I155" s="69" t="s">
        <v>438</v>
      </c>
      <c r="J155" s="71" t="s">
        <v>21</v>
      </c>
      <c r="K155" s="160">
        <v>69</v>
      </c>
      <c r="L155" s="170"/>
      <c r="M155" s="185"/>
    </row>
    <row r="156" spans="1:13" s="1" customFormat="1" ht="26.25" hidden="1" customHeight="1">
      <c r="A156" s="49" t="s">
        <v>463</v>
      </c>
      <c r="B156" s="6" t="s">
        <v>471</v>
      </c>
      <c r="C156" s="124"/>
      <c r="D156" s="16"/>
      <c r="E156" s="59" t="s">
        <v>140</v>
      </c>
      <c r="F156" s="35"/>
      <c r="G156" s="16" t="s">
        <v>464</v>
      </c>
      <c r="H156" s="6" t="s">
        <v>13</v>
      </c>
      <c r="I156" s="80" t="s">
        <v>483</v>
      </c>
      <c r="J156" s="71" t="s">
        <v>17</v>
      </c>
      <c r="K156" s="160">
        <v>26</v>
      </c>
      <c r="L156" s="170"/>
      <c r="M156" s="185"/>
    </row>
    <row r="157" spans="1:13" s="1" customFormat="1" ht="26.25" hidden="1" customHeight="1">
      <c r="A157" s="49" t="s">
        <v>472</v>
      </c>
      <c r="B157" s="6" t="s">
        <v>473</v>
      </c>
      <c r="C157" s="124"/>
      <c r="D157" s="16"/>
      <c r="E157" s="59" t="s">
        <v>142</v>
      </c>
      <c r="F157" s="35">
        <v>1554941</v>
      </c>
      <c r="G157" s="16" t="s">
        <v>475</v>
      </c>
      <c r="H157" s="6" t="s">
        <v>125</v>
      </c>
      <c r="I157" s="80" t="s">
        <v>483</v>
      </c>
      <c r="J157" s="71" t="s">
        <v>79</v>
      </c>
      <c r="K157" s="160">
        <v>73</v>
      </c>
      <c r="L157" s="170"/>
      <c r="M157" s="185"/>
    </row>
    <row r="158" spans="1:13" s="1" customFormat="1" ht="26.25" hidden="1" customHeight="1">
      <c r="A158" s="49" t="s">
        <v>476</v>
      </c>
      <c r="B158" s="6" t="s">
        <v>477</v>
      </c>
      <c r="C158" s="124"/>
      <c r="D158" s="16"/>
      <c r="E158" s="59" t="s">
        <v>329</v>
      </c>
      <c r="F158" s="35">
        <v>66000</v>
      </c>
      <c r="G158" s="16" t="s">
        <v>480</v>
      </c>
      <c r="H158" s="6" t="s">
        <v>291</v>
      </c>
      <c r="I158" s="69" t="s">
        <v>474</v>
      </c>
      <c r="J158" s="71" t="s">
        <v>481</v>
      </c>
      <c r="K158" s="160">
        <v>38</v>
      </c>
      <c r="L158" s="170"/>
      <c r="M158" s="185"/>
    </row>
    <row r="159" spans="1:13" s="1" customFormat="1" ht="26.25" hidden="1" customHeight="1">
      <c r="A159" s="81" t="s">
        <v>478</v>
      </c>
      <c r="B159" s="82" t="s">
        <v>479</v>
      </c>
      <c r="C159" s="127"/>
      <c r="D159" s="85"/>
      <c r="E159" s="83" t="s">
        <v>329</v>
      </c>
      <c r="F159" s="84">
        <v>10000</v>
      </c>
      <c r="G159" s="85" t="s">
        <v>482</v>
      </c>
      <c r="H159" s="6" t="s">
        <v>291</v>
      </c>
      <c r="I159" s="102" t="s">
        <v>488</v>
      </c>
      <c r="J159" s="86" t="s">
        <v>43</v>
      </c>
      <c r="K159" s="161">
        <v>1</v>
      </c>
      <c r="L159" s="172"/>
      <c r="M159" s="185"/>
    </row>
    <row r="160" spans="1:13" s="1" customFormat="1" ht="26.25" hidden="1" customHeight="1">
      <c r="A160" s="87"/>
      <c r="B160" s="88"/>
      <c r="C160" s="128"/>
      <c r="D160" s="88"/>
      <c r="E160" s="89" t="s">
        <v>381</v>
      </c>
      <c r="F160" s="98">
        <f>SUM(F119:F159)</f>
        <v>43005900.350000001</v>
      </c>
      <c r="G160" s="90"/>
      <c r="H160" s="91"/>
      <c r="I160" s="92"/>
      <c r="J160" s="93"/>
      <c r="K160" s="162"/>
      <c r="L160" s="173"/>
      <c r="M160" s="185"/>
    </row>
    <row r="161" spans="1:13" s="1" customFormat="1" ht="26.25" hidden="1" customHeight="1">
      <c r="A161" s="94" t="s">
        <v>484</v>
      </c>
      <c r="B161" s="95" t="s">
        <v>485</v>
      </c>
      <c r="C161" s="138" t="s">
        <v>627</v>
      </c>
      <c r="D161" s="138" t="s">
        <v>626</v>
      </c>
      <c r="E161" s="100" t="s">
        <v>329</v>
      </c>
      <c r="F161" s="99">
        <v>1200000</v>
      </c>
      <c r="G161" s="96" t="s">
        <v>486</v>
      </c>
      <c r="H161" s="97" t="s">
        <v>291</v>
      </c>
      <c r="I161" s="101" t="s">
        <v>489</v>
      </c>
      <c r="J161" s="93" t="s">
        <v>487</v>
      </c>
      <c r="K161" s="162">
        <v>38</v>
      </c>
      <c r="L161" s="173"/>
      <c r="M161" s="185"/>
    </row>
    <row r="162" spans="1:13" s="1" customFormat="1" ht="26.25" hidden="1" customHeight="1">
      <c r="A162" s="94" t="s">
        <v>507</v>
      </c>
      <c r="B162" s="95" t="s">
        <v>508</v>
      </c>
      <c r="C162" s="138" t="s">
        <v>626</v>
      </c>
      <c r="D162" s="138" t="s">
        <v>626</v>
      </c>
      <c r="E162" s="100" t="s">
        <v>144</v>
      </c>
      <c r="F162" s="99">
        <v>3087000</v>
      </c>
      <c r="G162" s="96" t="s">
        <v>495</v>
      </c>
      <c r="H162" s="97" t="s">
        <v>36</v>
      </c>
      <c r="I162" s="101" t="s">
        <v>436</v>
      </c>
      <c r="J162" s="93" t="s">
        <v>195</v>
      </c>
      <c r="K162" s="162">
        <v>69</v>
      </c>
      <c r="L162" s="173" t="s">
        <v>434</v>
      </c>
      <c r="M162" s="185" t="s">
        <v>747</v>
      </c>
    </row>
    <row r="163" spans="1:13" s="1" customFormat="1" ht="26.25" hidden="1" customHeight="1">
      <c r="A163" s="94" t="s">
        <v>492</v>
      </c>
      <c r="B163" s="95" t="s">
        <v>493</v>
      </c>
      <c r="C163" s="138" t="s">
        <v>627</v>
      </c>
      <c r="D163" s="138" t="s">
        <v>626</v>
      </c>
      <c r="E163" s="100" t="s">
        <v>143</v>
      </c>
      <c r="F163" s="99">
        <v>2100000</v>
      </c>
      <c r="G163" s="96" t="s">
        <v>494</v>
      </c>
      <c r="H163" s="97" t="s">
        <v>148</v>
      </c>
      <c r="I163" s="101" t="s">
        <v>435</v>
      </c>
      <c r="J163" s="7" t="s">
        <v>71</v>
      </c>
      <c r="K163" s="156">
        <v>71</v>
      </c>
      <c r="L163" s="168"/>
      <c r="M163" s="185"/>
    </row>
    <row r="164" spans="1:13" s="1" customFormat="1" ht="26.25" hidden="1" customHeight="1">
      <c r="A164" s="103"/>
      <c r="B164" s="95" t="s">
        <v>509</v>
      </c>
      <c r="C164" s="138" t="s">
        <v>627</v>
      </c>
      <c r="D164" s="138" t="s">
        <v>627</v>
      </c>
      <c r="E164" s="100" t="s">
        <v>143</v>
      </c>
      <c r="F164" s="99">
        <v>396916</v>
      </c>
      <c r="G164" s="96" t="s">
        <v>496</v>
      </c>
      <c r="H164" s="97" t="s">
        <v>148</v>
      </c>
      <c r="I164" s="101" t="s">
        <v>438</v>
      </c>
      <c r="J164" s="93" t="s">
        <v>501</v>
      </c>
      <c r="K164" s="162">
        <v>71</v>
      </c>
      <c r="L164" s="173"/>
      <c r="M164" s="185"/>
    </row>
    <row r="165" spans="1:13" s="1" customFormat="1" ht="26.25" hidden="1" customHeight="1">
      <c r="A165" s="94" t="s">
        <v>510</v>
      </c>
      <c r="B165" s="95" t="s">
        <v>511</v>
      </c>
      <c r="C165" s="138" t="s">
        <v>626</v>
      </c>
      <c r="D165" s="138" t="s">
        <v>626</v>
      </c>
      <c r="E165" s="100" t="s">
        <v>143</v>
      </c>
      <c r="F165" s="99">
        <v>3054000</v>
      </c>
      <c r="G165" s="96" t="s">
        <v>497</v>
      </c>
      <c r="H165" s="97" t="s">
        <v>148</v>
      </c>
      <c r="I165" s="101" t="s">
        <v>435</v>
      </c>
      <c r="J165" s="93" t="s">
        <v>71</v>
      </c>
      <c r="K165" s="162">
        <v>71</v>
      </c>
      <c r="L165" s="173" t="s">
        <v>744</v>
      </c>
      <c r="M165" s="185" t="s">
        <v>745</v>
      </c>
    </row>
    <row r="166" spans="1:13" s="1" customFormat="1" ht="26.25" hidden="1" customHeight="1">
      <c r="A166" s="104" t="s">
        <v>516</v>
      </c>
      <c r="B166" s="105"/>
      <c r="C166" s="138" t="s">
        <v>627</v>
      </c>
      <c r="D166" s="138" t="s">
        <v>626</v>
      </c>
      <c r="E166" s="100" t="s">
        <v>144</v>
      </c>
      <c r="F166" s="99">
        <v>204720</v>
      </c>
      <c r="G166" s="96" t="s">
        <v>498</v>
      </c>
      <c r="H166" s="97" t="s">
        <v>36</v>
      </c>
      <c r="I166" s="101" t="s">
        <v>436</v>
      </c>
      <c r="J166" s="93" t="s">
        <v>195</v>
      </c>
      <c r="K166" s="162">
        <v>69</v>
      </c>
      <c r="L166" s="173"/>
      <c r="M166" s="185"/>
    </row>
    <row r="167" spans="1:13" s="1" customFormat="1" ht="26.25" hidden="1" customHeight="1">
      <c r="A167" s="94" t="s">
        <v>512</v>
      </c>
      <c r="B167" s="95" t="s">
        <v>513</v>
      </c>
      <c r="C167" s="129"/>
      <c r="D167" s="95"/>
      <c r="E167" s="100" t="s">
        <v>139</v>
      </c>
      <c r="F167" s="99">
        <v>348400</v>
      </c>
      <c r="G167" s="96" t="s">
        <v>499</v>
      </c>
      <c r="H167" s="97" t="s">
        <v>10</v>
      </c>
      <c r="I167" s="101" t="s">
        <v>438</v>
      </c>
      <c r="J167" s="93" t="s">
        <v>503</v>
      </c>
      <c r="K167" s="162">
        <v>69</v>
      </c>
      <c r="L167" s="173"/>
      <c r="M167" s="185"/>
    </row>
    <row r="168" spans="1:13" s="1" customFormat="1" ht="26.25" hidden="1" customHeight="1">
      <c r="A168" s="94" t="s">
        <v>517</v>
      </c>
      <c r="B168" s="95" t="s">
        <v>518</v>
      </c>
      <c r="C168" s="138" t="s">
        <v>626</v>
      </c>
      <c r="D168" s="138" t="s">
        <v>626</v>
      </c>
      <c r="E168" s="100" t="s">
        <v>365</v>
      </c>
      <c r="F168" s="99">
        <v>398129</v>
      </c>
      <c r="G168" s="96" t="s">
        <v>500</v>
      </c>
      <c r="H168" s="97" t="s">
        <v>271</v>
      </c>
      <c r="I168" s="101" t="s">
        <v>439</v>
      </c>
      <c r="J168" s="93" t="s">
        <v>504</v>
      </c>
      <c r="K168" s="162">
        <v>69</v>
      </c>
      <c r="L168" s="173"/>
      <c r="M168" s="185"/>
    </row>
    <row r="169" spans="1:13" s="1" customFormat="1" ht="26.25" hidden="1" customHeight="1">
      <c r="A169" s="94" t="s">
        <v>519</v>
      </c>
      <c r="B169" s="95" t="s">
        <v>520</v>
      </c>
      <c r="C169" s="138" t="s">
        <v>626</v>
      </c>
      <c r="D169" s="138" t="s">
        <v>627</v>
      </c>
      <c r="E169" s="100" t="s">
        <v>143</v>
      </c>
      <c r="F169" s="99">
        <v>3290000</v>
      </c>
      <c r="G169" s="96" t="s">
        <v>524</v>
      </c>
      <c r="H169" s="97" t="s">
        <v>148</v>
      </c>
      <c r="I169" s="101" t="s">
        <v>435</v>
      </c>
      <c r="J169" s="93" t="s">
        <v>82</v>
      </c>
      <c r="K169" s="162">
        <v>1</v>
      </c>
      <c r="L169" s="173" t="s">
        <v>744</v>
      </c>
      <c r="M169" s="185" t="s">
        <v>745</v>
      </c>
    </row>
    <row r="170" spans="1:13" s="1" customFormat="1" ht="26.25" hidden="1" customHeight="1">
      <c r="A170" s="94" t="s">
        <v>528</v>
      </c>
      <c r="B170" s="105"/>
      <c r="C170" s="138" t="s">
        <v>627</v>
      </c>
      <c r="D170" s="138" t="s">
        <v>627</v>
      </c>
      <c r="E170" s="100" t="s">
        <v>139</v>
      </c>
      <c r="F170" s="99">
        <v>1089624</v>
      </c>
      <c r="G170" s="96" t="s">
        <v>521</v>
      </c>
      <c r="H170" s="97" t="s">
        <v>10</v>
      </c>
      <c r="I170" s="101" t="s">
        <v>437</v>
      </c>
      <c r="J170" s="93" t="s">
        <v>82</v>
      </c>
      <c r="K170" s="162">
        <v>1</v>
      </c>
      <c r="L170" s="173"/>
      <c r="M170" s="185"/>
    </row>
    <row r="171" spans="1:13" s="1" customFormat="1" ht="26.25" hidden="1" customHeight="1">
      <c r="A171" s="94" t="s">
        <v>603</v>
      </c>
      <c r="B171" s="95" t="s">
        <v>527</v>
      </c>
      <c r="C171" s="138" t="s">
        <v>627</v>
      </c>
      <c r="D171" s="138" t="s">
        <v>627</v>
      </c>
      <c r="E171" s="100" t="s">
        <v>329</v>
      </c>
      <c r="F171" s="99">
        <v>33162</v>
      </c>
      <c r="G171" s="96" t="s">
        <v>522</v>
      </c>
      <c r="H171" s="97" t="s">
        <v>291</v>
      </c>
      <c r="I171" s="101" t="s">
        <v>488</v>
      </c>
      <c r="J171" s="93" t="s">
        <v>523</v>
      </c>
      <c r="K171" s="162">
        <v>21</v>
      </c>
      <c r="L171" s="173"/>
      <c r="M171" s="185"/>
    </row>
    <row r="172" spans="1:13" s="1" customFormat="1" ht="26.25" hidden="1" customHeight="1" thickTop="1">
      <c r="A172" s="94" t="s">
        <v>604</v>
      </c>
      <c r="B172" s="95" t="s">
        <v>529</v>
      </c>
      <c r="C172" s="138" t="s">
        <v>627</v>
      </c>
      <c r="D172" s="138" t="s">
        <v>627</v>
      </c>
      <c r="E172" s="100" t="s">
        <v>329</v>
      </c>
      <c r="F172" s="99">
        <v>284281</v>
      </c>
      <c r="G172" s="96" t="s">
        <v>530</v>
      </c>
      <c r="H172" s="97" t="s">
        <v>152</v>
      </c>
      <c r="I172" s="101" t="s">
        <v>489</v>
      </c>
      <c r="J172" s="93" t="s">
        <v>455</v>
      </c>
      <c r="K172" s="162">
        <v>21</v>
      </c>
      <c r="L172" s="173"/>
      <c r="M172" s="185"/>
    </row>
    <row r="173" spans="1:13" s="1" customFormat="1" ht="18" hidden="1" customHeight="1">
      <c r="A173" s="94" t="s">
        <v>605</v>
      </c>
      <c r="B173" s="95" t="s">
        <v>531</v>
      </c>
      <c r="C173" s="138" t="s">
        <v>627</v>
      </c>
      <c r="D173" s="138" t="s">
        <v>627</v>
      </c>
      <c r="E173" s="100" t="s">
        <v>143</v>
      </c>
      <c r="F173" s="99">
        <v>284282</v>
      </c>
      <c r="G173" s="96" t="s">
        <v>532</v>
      </c>
      <c r="H173" s="97" t="s">
        <v>148</v>
      </c>
      <c r="I173" s="101" t="s">
        <v>435</v>
      </c>
      <c r="J173" s="93" t="s">
        <v>455</v>
      </c>
      <c r="K173" s="162">
        <v>22</v>
      </c>
      <c r="L173" s="173"/>
      <c r="M173" s="185"/>
    </row>
    <row r="174" spans="1:13" s="1" customFormat="1" ht="26.25" hidden="1" customHeight="1">
      <c r="A174" s="94" t="s">
        <v>547</v>
      </c>
      <c r="B174" s="95" t="s">
        <v>533</v>
      </c>
      <c r="C174" s="138" t="s">
        <v>627</v>
      </c>
      <c r="D174" s="138" t="s">
        <v>627</v>
      </c>
      <c r="E174" s="100" t="s">
        <v>143</v>
      </c>
      <c r="F174" s="99">
        <v>284283</v>
      </c>
      <c r="G174" s="96" t="s">
        <v>534</v>
      </c>
      <c r="H174" s="97" t="s">
        <v>148</v>
      </c>
      <c r="I174" s="101" t="s">
        <v>435</v>
      </c>
      <c r="J174" s="93" t="s">
        <v>455</v>
      </c>
      <c r="K174" s="162">
        <v>23</v>
      </c>
      <c r="L174" s="173"/>
      <c r="M174" s="185"/>
    </row>
    <row r="175" spans="1:13" s="1" customFormat="1" ht="26.25" hidden="1" customHeight="1">
      <c r="A175" s="94" t="s">
        <v>565</v>
      </c>
      <c r="B175" s="95" t="s">
        <v>535</v>
      </c>
      <c r="C175" s="138" t="s">
        <v>627</v>
      </c>
      <c r="D175" s="138" t="s">
        <v>627</v>
      </c>
      <c r="E175" s="100" t="s">
        <v>143</v>
      </c>
      <c r="F175" s="99">
        <v>284284</v>
      </c>
      <c r="G175" s="96" t="s">
        <v>536</v>
      </c>
      <c r="H175" s="97" t="s">
        <v>148</v>
      </c>
      <c r="I175" s="101" t="s">
        <v>435</v>
      </c>
      <c r="J175" s="93" t="s">
        <v>455</v>
      </c>
      <c r="K175" s="162">
        <v>24</v>
      </c>
      <c r="L175" s="173"/>
      <c r="M175" s="185"/>
    </row>
    <row r="176" spans="1:13" s="1" customFormat="1" ht="26.25" hidden="1" customHeight="1">
      <c r="A176" s="94" t="s">
        <v>606</v>
      </c>
      <c r="B176" s="95" t="s">
        <v>537</v>
      </c>
      <c r="C176" s="138" t="s">
        <v>627</v>
      </c>
      <c r="D176" s="138" t="s">
        <v>627</v>
      </c>
      <c r="E176" s="100" t="s">
        <v>143</v>
      </c>
      <c r="F176" s="99">
        <v>284285</v>
      </c>
      <c r="G176" s="96" t="s">
        <v>538</v>
      </c>
      <c r="H176" s="97" t="s">
        <v>148</v>
      </c>
      <c r="I176" s="101" t="s">
        <v>435</v>
      </c>
      <c r="J176" s="93" t="s">
        <v>455</v>
      </c>
      <c r="K176" s="162">
        <v>25</v>
      </c>
      <c r="L176" s="173"/>
      <c r="M176" s="185"/>
    </row>
    <row r="177" spans="1:13" s="1" customFormat="1" ht="26.25" hidden="1" customHeight="1">
      <c r="A177" s="94" t="s">
        <v>554</v>
      </c>
      <c r="B177" s="95" t="s">
        <v>539</v>
      </c>
      <c r="C177" s="138" t="s">
        <v>627</v>
      </c>
      <c r="D177" s="138" t="s">
        <v>627</v>
      </c>
      <c r="E177" s="100" t="s">
        <v>143</v>
      </c>
      <c r="F177" s="99">
        <v>284286</v>
      </c>
      <c r="G177" s="96" t="s">
        <v>540</v>
      </c>
      <c r="H177" s="97" t="s">
        <v>148</v>
      </c>
      <c r="I177" s="101" t="s">
        <v>435</v>
      </c>
      <c r="J177" s="93" t="s">
        <v>455</v>
      </c>
      <c r="K177" s="162">
        <v>26</v>
      </c>
      <c r="L177" s="173"/>
      <c r="M177" s="185"/>
    </row>
    <row r="178" spans="1:13" s="1" customFormat="1" ht="26.25" hidden="1" customHeight="1">
      <c r="A178" s="94" t="s">
        <v>607</v>
      </c>
      <c r="B178" s="95" t="s">
        <v>541</v>
      </c>
      <c r="C178" s="138" t="s">
        <v>627</v>
      </c>
      <c r="D178" s="138" t="s">
        <v>627</v>
      </c>
      <c r="E178" s="100" t="s">
        <v>143</v>
      </c>
      <c r="F178" s="99">
        <v>284287</v>
      </c>
      <c r="G178" s="96" t="s">
        <v>542</v>
      </c>
      <c r="H178" s="97" t="s">
        <v>148</v>
      </c>
      <c r="I178" s="101" t="s">
        <v>435</v>
      </c>
      <c r="J178" s="93" t="s">
        <v>455</v>
      </c>
      <c r="K178" s="162">
        <v>27</v>
      </c>
      <c r="L178" s="173"/>
      <c r="M178" s="185"/>
    </row>
    <row r="179" spans="1:13" s="1" customFormat="1" ht="26.25" hidden="1" customHeight="1">
      <c r="A179" s="94" t="s">
        <v>605</v>
      </c>
      <c r="B179" s="95" t="s">
        <v>531</v>
      </c>
      <c r="C179" s="138" t="s">
        <v>627</v>
      </c>
      <c r="D179" s="138" t="s">
        <v>627</v>
      </c>
      <c r="E179" s="100" t="s">
        <v>329</v>
      </c>
      <c r="F179" s="99">
        <v>195323</v>
      </c>
      <c r="G179" s="96" t="s">
        <v>545</v>
      </c>
      <c r="H179" s="97" t="s">
        <v>291</v>
      </c>
      <c r="I179" s="101" t="s">
        <v>561</v>
      </c>
      <c r="J179" s="93" t="s">
        <v>546</v>
      </c>
      <c r="K179" s="162">
        <v>69</v>
      </c>
      <c r="L179" s="173"/>
      <c r="M179" s="185"/>
    </row>
    <row r="180" spans="1:13" s="1" customFormat="1" ht="26.25" hidden="1" customHeight="1">
      <c r="A180" s="106" t="s">
        <v>547</v>
      </c>
      <c r="B180" s="95" t="s">
        <v>533</v>
      </c>
      <c r="C180" s="138" t="s">
        <v>627</v>
      </c>
      <c r="D180" s="138" t="s">
        <v>627</v>
      </c>
      <c r="E180" s="100" t="s">
        <v>139</v>
      </c>
      <c r="F180" s="99">
        <v>943879</v>
      </c>
      <c r="G180" s="96" t="s">
        <v>548</v>
      </c>
      <c r="H180" s="97" t="s">
        <v>10</v>
      </c>
      <c r="I180" s="101" t="s">
        <v>432</v>
      </c>
      <c r="J180" s="93" t="s">
        <v>549</v>
      </c>
      <c r="K180" s="162">
        <v>1</v>
      </c>
      <c r="L180" s="173" t="s">
        <v>434</v>
      </c>
      <c r="M180" s="185" t="s">
        <v>747</v>
      </c>
    </row>
    <row r="181" spans="1:13" s="1" customFormat="1" ht="26.25" hidden="1" customHeight="1">
      <c r="A181" s="106" t="s">
        <v>565</v>
      </c>
      <c r="B181" s="95" t="s">
        <v>535</v>
      </c>
      <c r="C181" s="138" t="s">
        <v>626</v>
      </c>
      <c r="D181" s="138" t="s">
        <v>626</v>
      </c>
      <c r="E181" s="100" t="s">
        <v>365</v>
      </c>
      <c r="F181" s="99">
        <v>1860000</v>
      </c>
      <c r="G181" s="96" t="s">
        <v>550</v>
      </c>
      <c r="H181" s="97" t="s">
        <v>271</v>
      </c>
      <c r="I181" s="101" t="s">
        <v>442</v>
      </c>
      <c r="J181" s="93" t="s">
        <v>551</v>
      </c>
      <c r="K181" s="162">
        <v>69</v>
      </c>
      <c r="L181" s="173" t="s">
        <v>732</v>
      </c>
      <c r="M181" s="185" t="s">
        <v>743</v>
      </c>
    </row>
    <row r="182" spans="1:13" s="1" customFormat="1" ht="26.25" hidden="1" customHeight="1">
      <c r="A182" s="106" t="s">
        <v>606</v>
      </c>
      <c r="B182" s="95" t="s">
        <v>537</v>
      </c>
      <c r="C182" s="138" t="s">
        <v>627</v>
      </c>
      <c r="D182" s="138" t="s">
        <v>627</v>
      </c>
      <c r="E182" s="100" t="s">
        <v>329</v>
      </c>
      <c r="F182" s="99">
        <v>265392</v>
      </c>
      <c r="G182" s="96" t="s">
        <v>552</v>
      </c>
      <c r="H182" s="97" t="s">
        <v>152</v>
      </c>
      <c r="I182" s="101" t="s">
        <v>489</v>
      </c>
      <c r="J182" s="93" t="s">
        <v>553</v>
      </c>
      <c r="K182" s="162">
        <v>21</v>
      </c>
      <c r="L182" s="173"/>
      <c r="M182" s="185"/>
    </row>
    <row r="183" spans="1:13" s="1" customFormat="1" ht="26.25" hidden="1" customHeight="1">
      <c r="A183" s="106" t="s">
        <v>554</v>
      </c>
      <c r="B183" s="105"/>
      <c r="C183" s="138" t="s">
        <v>627</v>
      </c>
      <c r="D183" s="138" t="s">
        <v>627</v>
      </c>
      <c r="E183" s="100" t="s">
        <v>365</v>
      </c>
      <c r="F183" s="99">
        <v>137690</v>
      </c>
      <c r="G183" s="96" t="s">
        <v>555</v>
      </c>
      <c r="H183" s="97" t="s">
        <v>271</v>
      </c>
      <c r="I183" s="101" t="s">
        <v>439</v>
      </c>
      <c r="J183" s="93" t="s">
        <v>562</v>
      </c>
      <c r="K183" s="162">
        <v>69</v>
      </c>
      <c r="L183" s="173"/>
      <c r="M183" s="185"/>
    </row>
    <row r="184" spans="1:13" s="1" customFormat="1" ht="26.25" hidden="1" customHeight="1">
      <c r="A184" s="106" t="s">
        <v>607</v>
      </c>
      <c r="B184" s="95" t="s">
        <v>541</v>
      </c>
      <c r="C184" s="138" t="s">
        <v>627</v>
      </c>
      <c r="D184" s="138" t="s">
        <v>627</v>
      </c>
      <c r="E184" s="100" t="s">
        <v>329</v>
      </c>
      <c r="F184" s="99">
        <v>72881</v>
      </c>
      <c r="G184" s="96" t="s">
        <v>556</v>
      </c>
      <c r="H184" s="97" t="s">
        <v>291</v>
      </c>
      <c r="I184" s="101" t="s">
        <v>561</v>
      </c>
      <c r="J184" s="93" t="s">
        <v>557</v>
      </c>
      <c r="K184" s="162">
        <v>1</v>
      </c>
      <c r="L184" s="173"/>
      <c r="M184" s="185"/>
    </row>
    <row r="185" spans="1:13" s="1" customFormat="1" ht="26.25" customHeight="1" thickTop="1">
      <c r="A185" s="106" t="s">
        <v>608</v>
      </c>
      <c r="B185" s="108" t="s">
        <v>543</v>
      </c>
      <c r="C185" s="138" t="s">
        <v>627</v>
      </c>
      <c r="D185" s="138" t="s">
        <v>626</v>
      </c>
      <c r="E185" s="109" t="s">
        <v>329</v>
      </c>
      <c r="F185" s="110">
        <v>1335601</v>
      </c>
      <c r="G185" s="111" t="s">
        <v>558</v>
      </c>
      <c r="H185" s="112" t="s">
        <v>977</v>
      </c>
      <c r="I185" s="113" t="s">
        <v>889</v>
      </c>
      <c r="J185" s="93" t="s">
        <v>71</v>
      </c>
      <c r="K185" s="162">
        <v>71</v>
      </c>
      <c r="L185" s="173" t="s">
        <v>855</v>
      </c>
      <c r="M185" s="185" t="s">
        <v>978</v>
      </c>
    </row>
    <row r="186" spans="1:13" s="1" customFormat="1" ht="26.25" hidden="1" customHeight="1">
      <c r="A186" s="106" t="s">
        <v>609</v>
      </c>
      <c r="B186" s="108" t="s">
        <v>566</v>
      </c>
      <c r="C186" s="138" t="s">
        <v>627</v>
      </c>
      <c r="D186" s="138" t="s">
        <v>627</v>
      </c>
      <c r="E186" s="109" t="s">
        <v>329</v>
      </c>
      <c r="F186" s="110">
        <v>742035</v>
      </c>
      <c r="G186" s="111" t="s">
        <v>568</v>
      </c>
      <c r="H186" s="112" t="s">
        <v>152</v>
      </c>
      <c r="I186" s="113" t="s">
        <v>666</v>
      </c>
      <c r="J186" s="93" t="s">
        <v>567</v>
      </c>
      <c r="K186" s="162">
        <v>21</v>
      </c>
      <c r="L186" s="173" t="s">
        <v>746</v>
      </c>
      <c r="M186" s="185" t="s">
        <v>748</v>
      </c>
    </row>
    <row r="187" spans="1:13" s="1" customFormat="1" ht="26.25" customHeight="1">
      <c r="A187" s="107" t="s">
        <v>559</v>
      </c>
      <c r="B187" s="108" t="s">
        <v>544</v>
      </c>
      <c r="C187" s="138" t="s">
        <v>626</v>
      </c>
      <c r="D187" s="138" t="s">
        <v>627</v>
      </c>
      <c r="E187" s="109" t="s">
        <v>365</v>
      </c>
      <c r="F187" s="110">
        <v>4000000</v>
      </c>
      <c r="G187" s="111" t="s">
        <v>560</v>
      </c>
      <c r="H187" s="112" t="s">
        <v>271</v>
      </c>
      <c r="I187" s="113" t="s">
        <v>439</v>
      </c>
      <c r="J187" s="93" t="s">
        <v>350</v>
      </c>
      <c r="K187" s="162">
        <v>69</v>
      </c>
      <c r="L187" s="173" t="s">
        <v>732</v>
      </c>
      <c r="M187" s="185" t="s">
        <v>979</v>
      </c>
    </row>
    <row r="188" spans="1:13" s="1" customFormat="1" ht="26.25" customHeight="1">
      <c r="A188" s="107" t="s">
        <v>586</v>
      </c>
      <c r="B188" s="108" t="s">
        <v>587</v>
      </c>
      <c r="C188" s="138" t="s">
        <v>627</v>
      </c>
      <c r="D188" s="138" t="s">
        <v>626</v>
      </c>
      <c r="E188" s="109" t="s">
        <v>139</v>
      </c>
      <c r="F188" s="110">
        <v>2800000</v>
      </c>
      <c r="G188" s="111" t="s">
        <v>588</v>
      </c>
      <c r="H188" s="112" t="s">
        <v>10</v>
      </c>
      <c r="I188" s="113" t="s">
        <v>1209</v>
      </c>
      <c r="J188" s="93" t="s">
        <v>589</v>
      </c>
      <c r="K188" s="162">
        <v>1</v>
      </c>
      <c r="L188" s="173" t="s">
        <v>855</v>
      </c>
      <c r="M188" s="185" t="s">
        <v>978</v>
      </c>
    </row>
    <row r="189" spans="1:13" s="1" customFormat="1" ht="26.25" hidden="1" customHeight="1">
      <c r="A189" s="114" t="s">
        <v>569</v>
      </c>
      <c r="B189" s="108" t="s">
        <v>610</v>
      </c>
      <c r="C189" s="138" t="s">
        <v>627</v>
      </c>
      <c r="D189" s="138" t="s">
        <v>627</v>
      </c>
      <c r="E189" s="109" t="s">
        <v>365</v>
      </c>
      <c r="F189" s="110">
        <v>1111000</v>
      </c>
      <c r="G189" s="111" t="s">
        <v>570</v>
      </c>
      <c r="H189" s="112" t="s">
        <v>271</v>
      </c>
      <c r="I189" s="113" t="s">
        <v>442</v>
      </c>
      <c r="J189" s="93" t="s">
        <v>21</v>
      </c>
      <c r="K189" s="162">
        <v>69</v>
      </c>
      <c r="L189" s="173" t="s">
        <v>732</v>
      </c>
      <c r="M189" s="185" t="s">
        <v>850</v>
      </c>
    </row>
    <row r="190" spans="1:13" s="1" customFormat="1" ht="26.25" hidden="1" customHeight="1">
      <c r="A190" s="114" t="s">
        <v>571</v>
      </c>
      <c r="B190" s="108" t="s">
        <v>572</v>
      </c>
      <c r="C190" s="138" t="s">
        <v>626</v>
      </c>
      <c r="D190" s="138" t="s">
        <v>627</v>
      </c>
      <c r="E190" s="109" t="s">
        <v>365</v>
      </c>
      <c r="F190" s="110">
        <v>763553</v>
      </c>
      <c r="G190" s="111" t="s">
        <v>573</v>
      </c>
      <c r="H190" s="112" t="s">
        <v>271</v>
      </c>
      <c r="I190" s="113" t="s">
        <v>439</v>
      </c>
      <c r="J190" s="93" t="s">
        <v>576</v>
      </c>
      <c r="K190" s="162">
        <v>69</v>
      </c>
      <c r="L190" s="173" t="s">
        <v>732</v>
      </c>
      <c r="M190" s="185" t="s">
        <v>743</v>
      </c>
    </row>
    <row r="191" spans="1:13" s="1" customFormat="1" ht="26.25" hidden="1" customHeight="1">
      <c r="A191" s="114" t="s">
        <v>611</v>
      </c>
      <c r="B191" s="108" t="s">
        <v>574</v>
      </c>
      <c r="C191" s="138" t="s">
        <v>627</v>
      </c>
      <c r="D191" s="138" t="s">
        <v>627</v>
      </c>
      <c r="E191" s="109" t="s">
        <v>329</v>
      </c>
      <c r="F191" s="110">
        <v>594377</v>
      </c>
      <c r="G191" s="111" t="s">
        <v>575</v>
      </c>
      <c r="H191" s="97" t="s">
        <v>291</v>
      </c>
      <c r="I191" s="101" t="s">
        <v>488</v>
      </c>
      <c r="J191" s="93" t="s">
        <v>577</v>
      </c>
      <c r="K191" s="162">
        <v>69</v>
      </c>
      <c r="L191" s="173" t="s">
        <v>746</v>
      </c>
      <c r="M191" s="185" t="s">
        <v>748</v>
      </c>
    </row>
    <row r="192" spans="1:13" s="1" customFormat="1" ht="26.25" hidden="1" customHeight="1">
      <c r="A192" s="114" t="s">
        <v>612</v>
      </c>
      <c r="B192" s="108" t="s">
        <v>578</v>
      </c>
      <c r="C192" s="138" t="s">
        <v>627</v>
      </c>
      <c r="D192" s="138" t="s">
        <v>627</v>
      </c>
      <c r="E192" s="109" t="s">
        <v>329</v>
      </c>
      <c r="F192" s="110">
        <v>398377</v>
      </c>
      <c r="G192" s="111" t="s">
        <v>579</v>
      </c>
      <c r="H192" s="112" t="s">
        <v>291</v>
      </c>
      <c r="I192" s="113" t="s">
        <v>488</v>
      </c>
      <c r="J192" s="93" t="s">
        <v>580</v>
      </c>
      <c r="K192" s="162">
        <v>71</v>
      </c>
      <c r="L192" s="173"/>
      <c r="M192" s="185"/>
    </row>
    <row r="193" spans="1:13" s="1" customFormat="1" ht="26.25" hidden="1" customHeight="1">
      <c r="A193" s="115" t="s">
        <v>581</v>
      </c>
      <c r="B193" s="105"/>
      <c r="C193" s="138" t="s">
        <v>627</v>
      </c>
      <c r="D193" s="138" t="s">
        <v>627</v>
      </c>
      <c r="E193" s="109" t="s">
        <v>143</v>
      </c>
      <c r="F193" s="110">
        <v>389040</v>
      </c>
      <c r="G193" s="111" t="s">
        <v>582</v>
      </c>
      <c r="H193" s="112" t="s">
        <v>148</v>
      </c>
      <c r="I193" s="113" t="s">
        <v>435</v>
      </c>
      <c r="J193" s="93" t="s">
        <v>583</v>
      </c>
      <c r="K193" s="162">
        <v>71</v>
      </c>
      <c r="L193" s="173"/>
      <c r="M193" s="185"/>
    </row>
    <row r="194" spans="1:13" s="1" customFormat="1" ht="26.25" hidden="1" customHeight="1">
      <c r="A194" s="114" t="s">
        <v>584</v>
      </c>
      <c r="B194" s="108" t="s">
        <v>613</v>
      </c>
      <c r="C194" s="138" t="s">
        <v>627</v>
      </c>
      <c r="D194" s="138" t="s">
        <v>627</v>
      </c>
      <c r="E194" s="109" t="s">
        <v>365</v>
      </c>
      <c r="F194" s="110">
        <v>238000</v>
      </c>
      <c r="G194" s="111" t="s">
        <v>585</v>
      </c>
      <c r="H194" s="112" t="s">
        <v>271</v>
      </c>
      <c r="I194" s="113" t="s">
        <v>439</v>
      </c>
      <c r="J194" s="93" t="s">
        <v>576</v>
      </c>
      <c r="K194" s="162">
        <v>69</v>
      </c>
      <c r="L194" s="173" t="s">
        <v>732</v>
      </c>
      <c r="M194" s="185" t="s">
        <v>743</v>
      </c>
    </row>
    <row r="195" spans="1:13" s="1" customFormat="1" ht="26.25" customHeight="1">
      <c r="A195" s="87"/>
      <c r="B195" s="88"/>
      <c r="C195" s="130"/>
      <c r="D195" s="108"/>
      <c r="E195" s="89" t="s">
        <v>514</v>
      </c>
      <c r="F195" s="98">
        <f>SUM(F161:F194)</f>
        <v>33039087</v>
      </c>
      <c r="G195" s="90"/>
      <c r="H195" s="91"/>
      <c r="I195" s="92"/>
      <c r="J195" s="93"/>
      <c r="K195" s="162"/>
      <c r="L195" s="173"/>
      <c r="M195" s="185"/>
    </row>
    <row r="196" spans="1:13" s="1" customFormat="1" ht="26.25" hidden="1" customHeight="1">
      <c r="A196" s="87" t="s">
        <v>591</v>
      </c>
      <c r="B196" s="105"/>
      <c r="C196" s="130"/>
      <c r="D196" s="108"/>
      <c r="E196" s="116" t="s">
        <v>595</v>
      </c>
      <c r="F196" s="98"/>
      <c r="G196" s="145" t="s">
        <v>592</v>
      </c>
      <c r="H196" s="91" t="s">
        <v>593</v>
      </c>
      <c r="I196" s="92" t="s">
        <v>434</v>
      </c>
      <c r="J196" s="93" t="s">
        <v>594</v>
      </c>
      <c r="K196" s="162">
        <v>69</v>
      </c>
      <c r="L196" s="173" t="s">
        <v>434</v>
      </c>
      <c r="M196" s="185" t="s">
        <v>747</v>
      </c>
    </row>
    <row r="197" spans="1:13" s="1" customFormat="1" ht="26.25" hidden="1" customHeight="1">
      <c r="A197" s="87" t="s">
        <v>596</v>
      </c>
      <c r="B197" s="88" t="s">
        <v>597</v>
      </c>
      <c r="C197" s="138" t="s">
        <v>627</v>
      </c>
      <c r="D197" s="138" t="s">
        <v>626</v>
      </c>
      <c r="E197" s="116" t="s">
        <v>143</v>
      </c>
      <c r="F197" s="98">
        <v>5450000</v>
      </c>
      <c r="G197" s="145" t="s">
        <v>598</v>
      </c>
      <c r="H197" s="97" t="s">
        <v>148</v>
      </c>
      <c r="I197" s="92" t="s">
        <v>435</v>
      </c>
      <c r="J197" s="93" t="s">
        <v>57</v>
      </c>
      <c r="K197" s="162">
        <v>71</v>
      </c>
      <c r="L197" s="173" t="s">
        <v>434</v>
      </c>
      <c r="M197" s="185" t="s">
        <v>747</v>
      </c>
    </row>
    <row r="198" spans="1:13" s="1" customFormat="1" ht="26.25" hidden="1" customHeight="1">
      <c r="A198" s="87" t="s">
        <v>616</v>
      </c>
      <c r="B198" s="105"/>
      <c r="C198" s="138" t="s">
        <v>627</v>
      </c>
      <c r="D198" s="138" t="s">
        <v>628</v>
      </c>
      <c r="E198" s="116" t="s">
        <v>144</v>
      </c>
      <c r="F198" s="98">
        <v>1400000</v>
      </c>
      <c r="G198" s="145" t="s">
        <v>600</v>
      </c>
      <c r="H198" s="91" t="s">
        <v>36</v>
      </c>
      <c r="I198" s="92" t="s">
        <v>434</v>
      </c>
      <c r="J198" s="90" t="s">
        <v>600</v>
      </c>
      <c r="K198" s="162">
        <v>42</v>
      </c>
      <c r="L198" s="174" t="s">
        <v>434</v>
      </c>
      <c r="M198" s="185" t="s">
        <v>747</v>
      </c>
    </row>
    <row r="199" spans="1:13" s="1" customFormat="1" ht="26.25" hidden="1" customHeight="1">
      <c r="A199" s="87" t="s">
        <v>614</v>
      </c>
      <c r="B199" s="88" t="s">
        <v>599</v>
      </c>
      <c r="C199" s="138" t="s">
        <v>627</v>
      </c>
      <c r="D199" s="138" t="s">
        <v>627</v>
      </c>
      <c r="E199" s="116" t="s">
        <v>329</v>
      </c>
      <c r="F199" s="98">
        <v>267221</v>
      </c>
      <c r="G199" s="145" t="s">
        <v>601</v>
      </c>
      <c r="H199" s="91" t="s">
        <v>291</v>
      </c>
      <c r="I199" s="92" t="s">
        <v>488</v>
      </c>
      <c r="J199" s="93" t="s">
        <v>602</v>
      </c>
      <c r="K199" s="162">
        <v>1</v>
      </c>
      <c r="L199" s="173" t="s">
        <v>746</v>
      </c>
      <c r="M199" s="185" t="s">
        <v>748</v>
      </c>
    </row>
    <row r="200" spans="1:13" s="1" customFormat="1" ht="26.25" hidden="1" customHeight="1">
      <c r="A200" s="87" t="s">
        <v>617</v>
      </c>
      <c r="B200" s="105"/>
      <c r="C200" s="138" t="s">
        <v>627</v>
      </c>
      <c r="D200" s="138" t="s">
        <v>627</v>
      </c>
      <c r="E200" s="116" t="s">
        <v>143</v>
      </c>
      <c r="F200" s="98">
        <v>138000</v>
      </c>
      <c r="G200" s="145" t="s">
        <v>618</v>
      </c>
      <c r="H200" s="91" t="s">
        <v>148</v>
      </c>
      <c r="I200" s="92" t="s">
        <v>435</v>
      </c>
      <c r="J200" s="117" t="s">
        <v>619</v>
      </c>
      <c r="K200" s="162">
        <v>71</v>
      </c>
      <c r="L200" s="175"/>
      <c r="M200" s="185"/>
    </row>
    <row r="201" spans="1:13" s="1" customFormat="1" ht="26.25" hidden="1" customHeight="1">
      <c r="A201" s="87" t="s">
        <v>623</v>
      </c>
      <c r="B201" s="137"/>
      <c r="C201" s="138" t="s">
        <v>627</v>
      </c>
      <c r="D201" s="138" t="s">
        <v>626</v>
      </c>
      <c r="E201" s="116" t="s">
        <v>144</v>
      </c>
      <c r="F201" s="98">
        <v>2250000</v>
      </c>
      <c r="G201" s="145" t="s">
        <v>625</v>
      </c>
      <c r="H201" s="91" t="s">
        <v>36</v>
      </c>
      <c r="I201" s="92" t="s">
        <v>515</v>
      </c>
      <c r="J201" s="117" t="s">
        <v>624</v>
      </c>
      <c r="K201" s="162">
        <v>42</v>
      </c>
      <c r="L201" s="173" t="s">
        <v>434</v>
      </c>
      <c r="M201" s="185" t="s">
        <v>747</v>
      </c>
    </row>
    <row r="202" spans="1:13" s="1" customFormat="1" ht="26.25" hidden="1" customHeight="1">
      <c r="A202" s="87" t="s">
        <v>629</v>
      </c>
      <c r="B202" s="137"/>
      <c r="C202" s="138" t="s">
        <v>627</v>
      </c>
      <c r="D202" s="138" t="s">
        <v>626</v>
      </c>
      <c r="E202" s="116" t="s">
        <v>139</v>
      </c>
      <c r="F202" s="98">
        <v>3350000</v>
      </c>
      <c r="G202" s="145" t="s">
        <v>634</v>
      </c>
      <c r="H202" s="91" t="s">
        <v>10</v>
      </c>
      <c r="I202" s="92" t="s">
        <v>749</v>
      </c>
      <c r="J202" s="117" t="s">
        <v>635</v>
      </c>
      <c r="K202" s="162">
        <v>1</v>
      </c>
      <c r="L202" s="173" t="s">
        <v>434</v>
      </c>
      <c r="M202" s="185" t="s">
        <v>747</v>
      </c>
    </row>
    <row r="203" spans="1:13" s="1" customFormat="1" ht="26.25" hidden="1" customHeight="1">
      <c r="A203" s="87" t="s">
        <v>630</v>
      </c>
      <c r="B203" s="88" t="s">
        <v>632</v>
      </c>
      <c r="C203" s="138" t="s">
        <v>626</v>
      </c>
      <c r="D203" s="138" t="s">
        <v>626</v>
      </c>
      <c r="E203" s="116" t="s">
        <v>139</v>
      </c>
      <c r="F203" s="98">
        <v>908000</v>
      </c>
      <c r="G203" s="146" t="s">
        <v>636</v>
      </c>
      <c r="H203" s="91" t="s">
        <v>10</v>
      </c>
      <c r="I203" s="92" t="s">
        <v>438</v>
      </c>
      <c r="J203" s="117" t="s">
        <v>546</v>
      </c>
      <c r="K203" s="162">
        <v>69</v>
      </c>
      <c r="L203" s="173" t="s">
        <v>434</v>
      </c>
      <c r="M203" s="185" t="s">
        <v>747</v>
      </c>
    </row>
    <row r="204" spans="1:13" s="1" customFormat="1" ht="26.25" hidden="1" customHeight="1">
      <c r="A204" s="87" t="s">
        <v>631</v>
      </c>
      <c r="B204" s="88" t="s">
        <v>633</v>
      </c>
      <c r="C204" s="138" t="s">
        <v>627</v>
      </c>
      <c r="D204" s="138" t="s">
        <v>627</v>
      </c>
      <c r="E204" s="116" t="s">
        <v>329</v>
      </c>
      <c r="F204" s="98">
        <v>309145</v>
      </c>
      <c r="G204" s="145" t="s">
        <v>637</v>
      </c>
      <c r="H204" s="91" t="s">
        <v>291</v>
      </c>
      <c r="I204" s="92" t="s">
        <v>488</v>
      </c>
      <c r="J204" s="90" t="s">
        <v>638</v>
      </c>
      <c r="K204" s="162">
        <v>38</v>
      </c>
      <c r="L204" s="174"/>
      <c r="M204" s="185"/>
    </row>
    <row r="205" spans="1:13" s="1" customFormat="1" ht="26.25" customHeight="1">
      <c r="A205" s="87" t="s">
        <v>639</v>
      </c>
      <c r="B205" s="88" t="s">
        <v>641</v>
      </c>
      <c r="C205" s="138" t="s">
        <v>627</v>
      </c>
      <c r="D205" s="138" t="s">
        <v>627</v>
      </c>
      <c r="E205" s="116" t="s">
        <v>365</v>
      </c>
      <c r="F205" s="98">
        <v>240360</v>
      </c>
      <c r="G205" s="147" t="s">
        <v>644</v>
      </c>
      <c r="H205" s="91" t="s">
        <v>271</v>
      </c>
      <c r="I205" s="92" t="s">
        <v>439</v>
      </c>
      <c r="J205" s="139" t="s">
        <v>504</v>
      </c>
      <c r="K205" s="162">
        <v>69</v>
      </c>
      <c r="L205" s="173" t="s">
        <v>732</v>
      </c>
      <c r="M205" s="185" t="s">
        <v>979</v>
      </c>
    </row>
    <row r="206" spans="1:13" s="1" customFormat="1" ht="26.25" hidden="1" customHeight="1">
      <c r="A206" s="87" t="s">
        <v>640</v>
      </c>
      <c r="B206" s="88" t="s">
        <v>642</v>
      </c>
      <c r="C206" s="138" t="s">
        <v>626</v>
      </c>
      <c r="D206" s="138" t="s">
        <v>627</v>
      </c>
      <c r="E206" s="116" t="s">
        <v>139</v>
      </c>
      <c r="F206" s="98">
        <v>459800</v>
      </c>
      <c r="G206" s="145" t="s">
        <v>645</v>
      </c>
      <c r="H206" s="91" t="s">
        <v>10</v>
      </c>
      <c r="I206" s="92" t="s">
        <v>438</v>
      </c>
      <c r="J206" s="90" t="s">
        <v>643</v>
      </c>
      <c r="K206" s="162">
        <v>1</v>
      </c>
      <c r="L206" s="174" t="s">
        <v>434</v>
      </c>
      <c r="M206" s="185"/>
    </row>
    <row r="207" spans="1:13" s="1" customFormat="1" ht="26.25" hidden="1" customHeight="1">
      <c r="A207" s="87" t="s">
        <v>646</v>
      </c>
      <c r="B207" s="88" t="s">
        <v>647</v>
      </c>
      <c r="C207" s="138" t="s">
        <v>626</v>
      </c>
      <c r="D207" s="138" t="s">
        <v>627</v>
      </c>
      <c r="E207" s="116" t="s">
        <v>143</v>
      </c>
      <c r="F207" s="98">
        <v>1607000</v>
      </c>
      <c r="G207" s="147" t="s">
        <v>652</v>
      </c>
      <c r="H207" s="91" t="s">
        <v>148</v>
      </c>
      <c r="I207" s="92" t="s">
        <v>435</v>
      </c>
      <c r="J207" s="139" t="s">
        <v>653</v>
      </c>
      <c r="K207" s="162">
        <v>39</v>
      </c>
      <c r="L207" s="173" t="s">
        <v>744</v>
      </c>
      <c r="M207" s="185"/>
    </row>
    <row r="208" spans="1:13" s="1" customFormat="1" ht="26.25" hidden="1" customHeight="1">
      <c r="A208" s="87" t="s">
        <v>648</v>
      </c>
      <c r="B208" s="88" t="s">
        <v>649</v>
      </c>
      <c r="C208" s="138" t="s">
        <v>627</v>
      </c>
      <c r="D208" s="138" t="s">
        <v>627</v>
      </c>
      <c r="E208" s="116" t="s">
        <v>329</v>
      </c>
      <c r="F208" s="98">
        <v>124915</v>
      </c>
      <c r="G208" s="147" t="s">
        <v>654</v>
      </c>
      <c r="H208" s="112" t="s">
        <v>152</v>
      </c>
      <c r="I208" s="92" t="s">
        <v>666</v>
      </c>
      <c r="J208" s="139" t="s">
        <v>655</v>
      </c>
      <c r="K208" s="162">
        <v>21</v>
      </c>
      <c r="L208" s="173" t="s">
        <v>746</v>
      </c>
      <c r="M208" s="185"/>
    </row>
    <row r="209" spans="1:13" s="1" customFormat="1" ht="26.25" hidden="1" customHeight="1">
      <c r="A209" s="143"/>
      <c r="B209" s="88" t="s">
        <v>650</v>
      </c>
      <c r="C209" s="138" t="s">
        <v>627</v>
      </c>
      <c r="D209" s="138" t="s">
        <v>627</v>
      </c>
      <c r="E209" s="116" t="s">
        <v>329</v>
      </c>
      <c r="F209" s="98">
        <v>329473</v>
      </c>
      <c r="G209" s="147" t="s">
        <v>656</v>
      </c>
      <c r="H209" s="91" t="s">
        <v>291</v>
      </c>
      <c r="I209" s="92" t="s">
        <v>615</v>
      </c>
      <c r="J209" s="139" t="s">
        <v>657</v>
      </c>
      <c r="K209" s="162">
        <v>42</v>
      </c>
      <c r="L209" s="173" t="s">
        <v>746</v>
      </c>
      <c r="M209" s="185"/>
    </row>
    <row r="210" spans="1:13" s="1" customFormat="1" ht="26.25" hidden="1" customHeight="1">
      <c r="A210" s="87" t="s">
        <v>651</v>
      </c>
      <c r="B210" s="105"/>
      <c r="C210" s="138" t="s">
        <v>627</v>
      </c>
      <c r="D210" s="138" t="s">
        <v>627</v>
      </c>
      <c r="E210" s="116" t="s">
        <v>139</v>
      </c>
      <c r="F210" s="98">
        <v>382433</v>
      </c>
      <c r="G210" s="145" t="s">
        <v>658</v>
      </c>
      <c r="H210" s="91" t="s">
        <v>10</v>
      </c>
      <c r="I210" s="92" t="s">
        <v>438</v>
      </c>
      <c r="J210" s="90" t="s">
        <v>659</v>
      </c>
      <c r="K210" s="162">
        <v>69</v>
      </c>
      <c r="L210" s="174" t="s">
        <v>434</v>
      </c>
      <c r="M210" s="185"/>
    </row>
    <row r="211" spans="1:13" s="1" customFormat="1" ht="26.25" hidden="1" customHeight="1">
      <c r="A211" s="87" t="s">
        <v>660</v>
      </c>
      <c r="B211" s="105"/>
      <c r="C211" s="138" t="s">
        <v>627</v>
      </c>
      <c r="D211" s="138" t="s">
        <v>627</v>
      </c>
      <c r="E211" s="116" t="s">
        <v>365</v>
      </c>
      <c r="F211" s="98">
        <v>414000</v>
      </c>
      <c r="G211" s="145" t="s">
        <v>661</v>
      </c>
      <c r="H211" s="91" t="s">
        <v>271</v>
      </c>
      <c r="I211" s="92" t="s">
        <v>442</v>
      </c>
      <c r="J211" s="90" t="s">
        <v>662</v>
      </c>
      <c r="K211" s="162">
        <v>69</v>
      </c>
      <c r="L211" s="174" t="s">
        <v>732</v>
      </c>
      <c r="M211" s="185"/>
    </row>
    <row r="212" spans="1:13" s="1" customFormat="1" ht="26.25" hidden="1" customHeight="1">
      <c r="A212" s="87" t="s">
        <v>663</v>
      </c>
      <c r="B212" s="105"/>
      <c r="C212" s="148" t="s">
        <v>627</v>
      </c>
      <c r="D212" s="149" t="s">
        <v>627</v>
      </c>
      <c r="E212" s="116" t="s">
        <v>139</v>
      </c>
      <c r="F212" s="98">
        <v>61617</v>
      </c>
      <c r="G212" s="145" t="s">
        <v>664</v>
      </c>
      <c r="H212" s="91" t="s">
        <v>10</v>
      </c>
      <c r="I212" s="92" t="s">
        <v>438</v>
      </c>
      <c r="J212" s="90" t="s">
        <v>665</v>
      </c>
      <c r="K212" s="162">
        <v>69</v>
      </c>
      <c r="L212" s="174" t="s">
        <v>434</v>
      </c>
      <c r="M212" s="185"/>
    </row>
    <row r="213" spans="1:13" s="1" customFormat="1" ht="26.25" customHeight="1">
      <c r="A213" s="87"/>
      <c r="B213" s="88"/>
      <c r="C213" s="128"/>
      <c r="D213" s="88"/>
      <c r="E213" s="89" t="s">
        <v>590</v>
      </c>
      <c r="F213" s="98">
        <f>SUM(F197:F212)</f>
        <v>17691964</v>
      </c>
      <c r="G213" s="145"/>
      <c r="H213" s="91"/>
      <c r="I213" s="92"/>
      <c r="J213" s="90"/>
      <c r="K213" s="162"/>
      <c r="L213" s="174"/>
      <c r="M213" s="185"/>
    </row>
    <row r="214" spans="1:13" s="1" customFormat="1" ht="26.25" hidden="1" customHeight="1">
      <c r="A214" s="87" t="s">
        <v>696</v>
      </c>
      <c r="B214" s="150" t="s">
        <v>697</v>
      </c>
      <c r="C214" s="148" t="s">
        <v>626</v>
      </c>
      <c r="D214" s="149" t="s">
        <v>627</v>
      </c>
      <c r="E214" s="116" t="s">
        <v>365</v>
      </c>
      <c r="F214" s="98">
        <v>3677793</v>
      </c>
      <c r="G214" s="145" t="s">
        <v>698</v>
      </c>
      <c r="H214" s="91" t="s">
        <v>271</v>
      </c>
      <c r="I214" s="92" t="s">
        <v>442</v>
      </c>
      <c r="J214" s="90" t="s">
        <v>21</v>
      </c>
      <c r="K214" s="162">
        <v>69</v>
      </c>
      <c r="L214" s="174" t="s">
        <v>732</v>
      </c>
      <c r="M214" s="185"/>
    </row>
    <row r="215" spans="1:13" s="1" customFormat="1" ht="26.25" customHeight="1">
      <c r="A215" s="87" t="s">
        <v>667</v>
      </c>
      <c r="B215" s="150" t="s">
        <v>668</v>
      </c>
      <c r="C215" s="148" t="s">
        <v>627</v>
      </c>
      <c r="D215" s="149" t="s">
        <v>627</v>
      </c>
      <c r="E215" s="116" t="s">
        <v>155</v>
      </c>
      <c r="F215" s="98">
        <v>16161500</v>
      </c>
      <c r="G215" s="145" t="s">
        <v>669</v>
      </c>
      <c r="H215" s="91" t="s">
        <v>670</v>
      </c>
      <c r="I215" s="92" t="s">
        <v>437</v>
      </c>
      <c r="J215" s="90" t="s">
        <v>671</v>
      </c>
      <c r="K215" s="162">
        <v>3</v>
      </c>
      <c r="L215" s="173" t="s">
        <v>855</v>
      </c>
      <c r="M215" s="185" t="s">
        <v>978</v>
      </c>
    </row>
    <row r="216" spans="1:13" s="1" customFormat="1" ht="26.25" customHeight="1">
      <c r="A216" s="87" t="s">
        <v>699</v>
      </c>
      <c r="B216" s="150" t="s">
        <v>710</v>
      </c>
      <c r="C216" s="148" t="s">
        <v>627</v>
      </c>
      <c r="D216" s="149" t="s">
        <v>626</v>
      </c>
      <c r="E216" s="116" t="s">
        <v>144</v>
      </c>
      <c r="F216" s="98">
        <v>5500000</v>
      </c>
      <c r="G216" s="145" t="s">
        <v>700</v>
      </c>
      <c r="H216" s="190" t="s">
        <v>911</v>
      </c>
      <c r="I216" s="92"/>
      <c r="J216" s="90" t="s">
        <v>624</v>
      </c>
      <c r="K216" s="162">
        <v>42</v>
      </c>
      <c r="L216" s="173" t="s">
        <v>980</v>
      </c>
      <c r="M216" s="185" t="s">
        <v>981</v>
      </c>
    </row>
    <row r="217" spans="1:13" s="1" customFormat="1" ht="26.25" hidden="1" customHeight="1">
      <c r="A217" s="87" t="s">
        <v>711</v>
      </c>
      <c r="B217" s="150" t="s">
        <v>672</v>
      </c>
      <c r="C217" s="148" t="s">
        <v>627</v>
      </c>
      <c r="D217" s="149" t="s">
        <v>627</v>
      </c>
      <c r="E217" s="116" t="s">
        <v>329</v>
      </c>
      <c r="F217" s="98">
        <v>10000</v>
      </c>
      <c r="G217" s="145" t="s">
        <v>673</v>
      </c>
      <c r="H217" s="91" t="s">
        <v>148</v>
      </c>
      <c r="I217" s="92" t="s">
        <v>666</v>
      </c>
      <c r="J217" s="90" t="s">
        <v>71</v>
      </c>
      <c r="K217" s="162">
        <v>71</v>
      </c>
      <c r="L217" s="174" t="s">
        <v>746</v>
      </c>
      <c r="M217" s="185"/>
    </row>
    <row r="218" spans="1:13" s="1" customFormat="1" ht="26.25" hidden="1" customHeight="1">
      <c r="A218" s="87" t="s">
        <v>712</v>
      </c>
      <c r="B218" s="150" t="s">
        <v>716</v>
      </c>
      <c r="C218" s="148" t="s">
        <v>626</v>
      </c>
      <c r="D218" s="149" t="s">
        <v>626</v>
      </c>
      <c r="E218" s="116" t="s">
        <v>139</v>
      </c>
      <c r="F218" s="98">
        <v>582817</v>
      </c>
      <c r="G218" s="145" t="s">
        <v>701</v>
      </c>
      <c r="H218" s="91" t="s">
        <v>10</v>
      </c>
      <c r="I218" s="92" t="s">
        <v>749</v>
      </c>
      <c r="J218" s="93" t="s">
        <v>643</v>
      </c>
      <c r="K218" s="162">
        <v>1</v>
      </c>
      <c r="L218" s="173" t="s">
        <v>434</v>
      </c>
      <c r="M218" s="185"/>
    </row>
    <row r="219" spans="1:13" s="1" customFormat="1" ht="26.25" hidden="1" customHeight="1">
      <c r="A219" s="87" t="s">
        <v>713</v>
      </c>
      <c r="B219" s="150" t="s">
        <v>717</v>
      </c>
      <c r="C219" s="148" t="s">
        <v>627</v>
      </c>
      <c r="D219" s="149" t="s">
        <v>627</v>
      </c>
      <c r="E219" s="116" t="s">
        <v>329</v>
      </c>
      <c r="F219" s="98">
        <v>454984</v>
      </c>
      <c r="G219" s="145" t="s">
        <v>721</v>
      </c>
      <c r="H219" s="91" t="s">
        <v>722</v>
      </c>
      <c r="I219" s="92" t="s">
        <v>666</v>
      </c>
      <c r="J219" s="93" t="s">
        <v>723</v>
      </c>
      <c r="K219" s="162">
        <v>21</v>
      </c>
      <c r="L219" s="173" t="s">
        <v>746</v>
      </c>
      <c r="M219" s="185"/>
    </row>
    <row r="220" spans="1:13" s="1" customFormat="1" ht="26.25" hidden="1" customHeight="1">
      <c r="A220" s="87" t="s">
        <v>714</v>
      </c>
      <c r="B220" s="150" t="s">
        <v>718</v>
      </c>
      <c r="C220" s="148" t="s">
        <v>627</v>
      </c>
      <c r="D220" s="149" t="s">
        <v>626</v>
      </c>
      <c r="E220" s="116" t="s">
        <v>329</v>
      </c>
      <c r="F220" s="98">
        <v>300000</v>
      </c>
      <c r="G220" s="145" t="s">
        <v>724</v>
      </c>
      <c r="H220" s="112" t="s">
        <v>152</v>
      </c>
      <c r="I220" s="92" t="s">
        <v>489</v>
      </c>
      <c r="J220" s="93" t="s">
        <v>21</v>
      </c>
      <c r="K220" s="162">
        <v>69</v>
      </c>
      <c r="L220" s="173" t="s">
        <v>732</v>
      </c>
      <c r="M220" s="185"/>
    </row>
    <row r="221" spans="1:13" s="1" customFormat="1" ht="26.25" hidden="1" customHeight="1">
      <c r="A221" s="87" t="s">
        <v>715</v>
      </c>
      <c r="B221" s="150" t="s">
        <v>719</v>
      </c>
      <c r="C221" s="148" t="s">
        <v>627</v>
      </c>
      <c r="D221" s="149" t="s">
        <v>627</v>
      </c>
      <c r="E221" s="116" t="s">
        <v>365</v>
      </c>
      <c r="F221" s="98">
        <v>266764</v>
      </c>
      <c r="G221" s="145" t="s">
        <v>725</v>
      </c>
      <c r="H221" s="91" t="s">
        <v>271</v>
      </c>
      <c r="I221" s="92" t="s">
        <v>439</v>
      </c>
      <c r="J221" s="93" t="s">
        <v>576</v>
      </c>
      <c r="K221" s="162">
        <v>69</v>
      </c>
      <c r="L221" s="173" t="s">
        <v>732</v>
      </c>
      <c r="M221" s="185"/>
    </row>
    <row r="222" spans="1:13" s="1" customFormat="1" ht="26.25" hidden="1" customHeight="1">
      <c r="A222" s="143"/>
      <c r="B222" s="150" t="s">
        <v>720</v>
      </c>
      <c r="C222" s="148" t="s">
        <v>627</v>
      </c>
      <c r="D222" s="149" t="s">
        <v>626</v>
      </c>
      <c r="E222" s="116" t="s">
        <v>329</v>
      </c>
      <c r="F222" s="98">
        <v>1024029</v>
      </c>
      <c r="G222" s="145" t="s">
        <v>726</v>
      </c>
      <c r="H222" s="91" t="s">
        <v>291</v>
      </c>
      <c r="I222" s="92" t="s">
        <v>488</v>
      </c>
      <c r="J222" s="93" t="s">
        <v>727</v>
      </c>
      <c r="K222" s="162">
        <v>1</v>
      </c>
      <c r="L222" s="173" t="s">
        <v>855</v>
      </c>
      <c r="M222" s="185"/>
    </row>
    <row r="223" spans="1:13" s="1" customFormat="1" ht="26.25" hidden="1" customHeight="1">
      <c r="A223" s="143"/>
      <c r="B223" s="150" t="s">
        <v>730</v>
      </c>
      <c r="C223" s="148" t="s">
        <v>627</v>
      </c>
      <c r="D223" s="149" t="s">
        <v>627</v>
      </c>
      <c r="E223" s="116" t="s">
        <v>329</v>
      </c>
      <c r="F223" s="98">
        <v>58362</v>
      </c>
      <c r="G223" s="145" t="s">
        <v>728</v>
      </c>
      <c r="H223" s="112" t="s">
        <v>152</v>
      </c>
      <c r="I223" s="92" t="s">
        <v>489</v>
      </c>
      <c r="J223" s="93" t="s">
        <v>729</v>
      </c>
      <c r="K223" s="162">
        <v>69</v>
      </c>
      <c r="L223" s="173" t="s">
        <v>746</v>
      </c>
      <c r="M223" s="185"/>
    </row>
    <row r="224" spans="1:13" s="1" customFormat="1" ht="26.25" hidden="1" customHeight="1">
      <c r="A224" s="87" t="s">
        <v>731</v>
      </c>
      <c r="B224" s="105"/>
      <c r="C224" s="148" t="s">
        <v>627</v>
      </c>
      <c r="D224" s="149" t="s">
        <v>626</v>
      </c>
      <c r="E224" s="116" t="s">
        <v>365</v>
      </c>
      <c r="F224" s="98">
        <v>5500</v>
      </c>
      <c r="G224" s="145" t="s">
        <v>734</v>
      </c>
      <c r="H224" s="91" t="s">
        <v>271</v>
      </c>
      <c r="I224" s="92" t="s">
        <v>732</v>
      </c>
      <c r="J224" s="93" t="s">
        <v>733</v>
      </c>
      <c r="K224" s="162">
        <v>69</v>
      </c>
      <c r="L224" s="173" t="s">
        <v>732</v>
      </c>
      <c r="M224" s="185"/>
    </row>
    <row r="225" spans="1:13" s="1" customFormat="1" ht="26.25" hidden="1" customHeight="1">
      <c r="A225" s="143"/>
      <c r="B225" s="150" t="s">
        <v>735</v>
      </c>
      <c r="C225" s="148" t="s">
        <v>627</v>
      </c>
      <c r="D225" s="149" t="s">
        <v>627</v>
      </c>
      <c r="E225" s="116" t="s">
        <v>329</v>
      </c>
      <c r="F225" s="98">
        <v>54925</v>
      </c>
      <c r="G225" s="145" t="s">
        <v>736</v>
      </c>
      <c r="H225" s="91" t="s">
        <v>722</v>
      </c>
      <c r="I225" s="92" t="s">
        <v>666</v>
      </c>
      <c r="J225" s="93" t="s">
        <v>737</v>
      </c>
      <c r="K225" s="162">
        <v>21</v>
      </c>
      <c r="L225" s="173" t="s">
        <v>746</v>
      </c>
      <c r="M225" s="185"/>
    </row>
    <row r="226" spans="1:13" s="1" customFormat="1" ht="26.25" customHeight="1">
      <c r="A226" s="87" t="s">
        <v>738</v>
      </c>
      <c r="B226" s="105"/>
      <c r="C226" s="148" t="s">
        <v>627</v>
      </c>
      <c r="D226" s="149" t="s">
        <v>626</v>
      </c>
      <c r="E226" s="116" t="s">
        <v>139</v>
      </c>
      <c r="F226" s="98">
        <v>2800000</v>
      </c>
      <c r="G226" s="145" t="s">
        <v>739</v>
      </c>
      <c r="H226" s="91" t="s">
        <v>10</v>
      </c>
      <c r="I226" s="92" t="s">
        <v>1209</v>
      </c>
      <c r="J226" s="93" t="s">
        <v>740</v>
      </c>
      <c r="K226" s="162">
        <v>38</v>
      </c>
      <c r="L226" s="173" t="s">
        <v>434</v>
      </c>
      <c r="M226" s="185" t="s">
        <v>747</v>
      </c>
    </row>
    <row r="227" spans="1:13" s="1" customFormat="1" ht="26.25" hidden="1" customHeight="1">
      <c r="A227" s="87" t="s">
        <v>752</v>
      </c>
      <c r="B227" s="105"/>
      <c r="C227" s="148" t="s">
        <v>627</v>
      </c>
      <c r="D227" s="149" t="s">
        <v>626</v>
      </c>
      <c r="E227" s="116" t="s">
        <v>144</v>
      </c>
      <c r="F227" s="98">
        <v>2319600</v>
      </c>
      <c r="G227" s="145" t="s">
        <v>759</v>
      </c>
      <c r="H227" s="91" t="s">
        <v>36</v>
      </c>
      <c r="I227" s="101" t="s">
        <v>436</v>
      </c>
      <c r="J227" s="188" t="s">
        <v>764</v>
      </c>
      <c r="K227" s="162">
        <v>42</v>
      </c>
      <c r="L227" s="173" t="s">
        <v>434</v>
      </c>
      <c r="M227" s="185"/>
    </row>
    <row r="228" spans="1:13" s="1" customFormat="1" ht="26.25" hidden="1" customHeight="1">
      <c r="A228" s="87" t="s">
        <v>753</v>
      </c>
      <c r="B228" s="150" t="s">
        <v>756</v>
      </c>
      <c r="C228" s="148" t="s">
        <v>627</v>
      </c>
      <c r="D228" s="149" t="s">
        <v>626</v>
      </c>
      <c r="E228" s="116" t="s">
        <v>139</v>
      </c>
      <c r="F228" s="98">
        <v>158600</v>
      </c>
      <c r="G228" s="145" t="s">
        <v>760</v>
      </c>
      <c r="H228" s="91" t="s">
        <v>10</v>
      </c>
      <c r="I228" s="92" t="s">
        <v>749</v>
      </c>
      <c r="J228" s="93" t="s">
        <v>397</v>
      </c>
      <c r="K228" s="162">
        <v>1</v>
      </c>
      <c r="L228" s="173" t="s">
        <v>434</v>
      </c>
      <c r="M228" s="185"/>
    </row>
    <row r="229" spans="1:13" s="1" customFormat="1" ht="26.25" hidden="1" customHeight="1">
      <c r="A229" s="143"/>
      <c r="B229" s="150" t="s">
        <v>757</v>
      </c>
      <c r="C229" s="148" t="s">
        <v>627</v>
      </c>
      <c r="D229" s="149" t="s">
        <v>627</v>
      </c>
      <c r="E229" s="116" t="s">
        <v>329</v>
      </c>
      <c r="F229" s="98">
        <v>105000</v>
      </c>
      <c r="G229" s="145" t="s">
        <v>762</v>
      </c>
      <c r="H229" s="91" t="s">
        <v>291</v>
      </c>
      <c r="I229" s="92" t="s">
        <v>889</v>
      </c>
      <c r="J229" s="93" t="s">
        <v>765</v>
      </c>
      <c r="K229" s="162">
        <v>21</v>
      </c>
      <c r="L229" s="173" t="s">
        <v>855</v>
      </c>
      <c r="M229" s="185"/>
    </row>
    <row r="230" spans="1:13" s="1" customFormat="1" ht="26.25" hidden="1" customHeight="1">
      <c r="A230" s="87" t="s">
        <v>754</v>
      </c>
      <c r="B230" s="150" t="s">
        <v>758</v>
      </c>
      <c r="C230" s="148" t="s">
        <v>626</v>
      </c>
      <c r="D230" s="149" t="s">
        <v>627</v>
      </c>
      <c r="E230" s="116" t="s">
        <v>139</v>
      </c>
      <c r="F230" s="98">
        <v>129600</v>
      </c>
      <c r="G230" s="145" t="s">
        <v>761</v>
      </c>
      <c r="H230" s="91" t="s">
        <v>10</v>
      </c>
      <c r="I230" s="92" t="s">
        <v>438</v>
      </c>
      <c r="J230" s="93" t="s">
        <v>665</v>
      </c>
      <c r="K230" s="162">
        <v>69</v>
      </c>
      <c r="L230" s="173" t="s">
        <v>434</v>
      </c>
      <c r="M230" s="185"/>
    </row>
    <row r="231" spans="1:13" s="1" customFormat="1" ht="26.25" hidden="1" customHeight="1">
      <c r="A231" s="87" t="s">
        <v>755</v>
      </c>
      <c r="B231" s="105"/>
      <c r="C231" s="148" t="s">
        <v>627</v>
      </c>
      <c r="D231" s="149" t="s">
        <v>627</v>
      </c>
      <c r="E231" s="116" t="s">
        <v>144</v>
      </c>
      <c r="F231" s="98">
        <v>1197300</v>
      </c>
      <c r="G231" s="145" t="s">
        <v>763</v>
      </c>
      <c r="H231" s="91" t="s">
        <v>36</v>
      </c>
      <c r="I231" s="101" t="s">
        <v>436</v>
      </c>
      <c r="J231" s="188" t="s">
        <v>766</v>
      </c>
      <c r="K231" s="162">
        <v>42</v>
      </c>
      <c r="L231" s="173" t="s">
        <v>434</v>
      </c>
      <c r="M231" s="185"/>
    </row>
    <row r="232" spans="1:13" s="1" customFormat="1" ht="26.25" hidden="1" customHeight="1">
      <c r="A232" s="87" t="s">
        <v>767</v>
      </c>
      <c r="B232" s="150" t="s">
        <v>768</v>
      </c>
      <c r="C232" s="148" t="s">
        <v>627</v>
      </c>
      <c r="D232" s="149" t="s">
        <v>627</v>
      </c>
      <c r="E232" s="116" t="s">
        <v>365</v>
      </c>
      <c r="F232" s="98">
        <v>410000</v>
      </c>
      <c r="G232" s="145" t="s">
        <v>773</v>
      </c>
      <c r="H232" s="91" t="s">
        <v>271</v>
      </c>
      <c r="I232" s="113" t="s">
        <v>439</v>
      </c>
      <c r="J232" s="188" t="s">
        <v>576</v>
      </c>
      <c r="K232" s="162">
        <v>69</v>
      </c>
      <c r="L232" s="173" t="s">
        <v>732</v>
      </c>
      <c r="M232" s="185"/>
    </row>
    <row r="233" spans="1:13" s="1" customFormat="1" ht="26.25" hidden="1" customHeight="1">
      <c r="A233" s="87" t="s">
        <v>769</v>
      </c>
      <c r="B233" s="105"/>
      <c r="C233" s="148" t="s">
        <v>627</v>
      </c>
      <c r="D233" s="149" t="s">
        <v>627</v>
      </c>
      <c r="E233" s="116" t="s">
        <v>139</v>
      </c>
      <c r="F233" s="98">
        <v>159442</v>
      </c>
      <c r="G233" s="145" t="s">
        <v>775</v>
      </c>
      <c r="H233" s="91" t="s">
        <v>10</v>
      </c>
      <c r="I233" s="113" t="s">
        <v>749</v>
      </c>
      <c r="J233" s="188" t="s">
        <v>776</v>
      </c>
      <c r="K233" s="162">
        <v>69</v>
      </c>
      <c r="L233" s="173" t="s">
        <v>434</v>
      </c>
      <c r="M233" s="185"/>
    </row>
    <row r="234" spans="1:13" s="1" customFormat="1" ht="26.25" hidden="1" customHeight="1">
      <c r="A234" s="87" t="s">
        <v>770</v>
      </c>
      <c r="B234" s="105"/>
      <c r="C234" s="148" t="s">
        <v>627</v>
      </c>
      <c r="D234" s="149" t="s">
        <v>627</v>
      </c>
      <c r="E234" s="116" t="s">
        <v>139</v>
      </c>
      <c r="F234" s="98">
        <v>220000</v>
      </c>
      <c r="G234" s="145" t="s">
        <v>777</v>
      </c>
      <c r="H234" s="91" t="s">
        <v>10</v>
      </c>
      <c r="I234" s="113" t="s">
        <v>749</v>
      </c>
      <c r="J234" s="188" t="s">
        <v>635</v>
      </c>
      <c r="K234" s="162">
        <v>1</v>
      </c>
      <c r="L234" s="173" t="s">
        <v>434</v>
      </c>
      <c r="M234" s="185"/>
    </row>
    <row r="235" spans="1:13" s="1" customFormat="1" ht="26.25" hidden="1" customHeight="1">
      <c r="A235" s="87" t="s">
        <v>771</v>
      </c>
      <c r="B235" s="105"/>
      <c r="C235" s="148" t="s">
        <v>627</v>
      </c>
      <c r="D235" s="149" t="s">
        <v>627</v>
      </c>
      <c r="E235" s="116" t="s">
        <v>365</v>
      </c>
      <c r="F235" s="98">
        <v>52392</v>
      </c>
      <c r="G235" s="145" t="s">
        <v>778</v>
      </c>
      <c r="H235" s="91" t="s">
        <v>271</v>
      </c>
      <c r="I235" s="113" t="s">
        <v>439</v>
      </c>
      <c r="J235" s="188" t="s">
        <v>779</v>
      </c>
      <c r="K235" s="162">
        <v>69</v>
      </c>
      <c r="L235" s="173" t="s">
        <v>732</v>
      </c>
      <c r="M235" s="185"/>
    </row>
    <row r="236" spans="1:13" s="1" customFormat="1" ht="26.25" hidden="1" customHeight="1">
      <c r="A236" s="87" t="s">
        <v>772</v>
      </c>
      <c r="B236" s="105"/>
      <c r="C236" s="148" t="s">
        <v>627</v>
      </c>
      <c r="D236" s="149" t="s">
        <v>626</v>
      </c>
      <c r="E236" s="116" t="s">
        <v>139</v>
      </c>
      <c r="F236" s="98">
        <v>1467000</v>
      </c>
      <c r="G236" s="145" t="s">
        <v>780</v>
      </c>
      <c r="H236" s="91" t="s">
        <v>10</v>
      </c>
      <c r="I236" s="113" t="s">
        <v>749</v>
      </c>
      <c r="J236" s="188" t="s">
        <v>781</v>
      </c>
      <c r="K236" s="162">
        <v>69</v>
      </c>
      <c r="L236" s="173" t="s">
        <v>434</v>
      </c>
      <c r="M236" s="185"/>
    </row>
    <row r="237" spans="1:13" s="1" customFormat="1" ht="26.25" hidden="1" customHeight="1">
      <c r="A237" s="143"/>
      <c r="B237" s="150" t="s">
        <v>774</v>
      </c>
      <c r="C237" s="148" t="s">
        <v>627</v>
      </c>
      <c r="D237" s="149" t="s">
        <v>627</v>
      </c>
      <c r="E237" s="116" t="s">
        <v>329</v>
      </c>
      <c r="F237" s="98">
        <v>13000</v>
      </c>
      <c r="G237" s="145" t="s">
        <v>782</v>
      </c>
      <c r="H237" s="91" t="s">
        <v>291</v>
      </c>
      <c r="I237" s="113" t="s">
        <v>488</v>
      </c>
      <c r="J237" s="188" t="s">
        <v>783</v>
      </c>
      <c r="K237" s="162">
        <v>1</v>
      </c>
      <c r="L237" s="173" t="s">
        <v>855</v>
      </c>
      <c r="M237" s="185"/>
    </row>
    <row r="238" spans="1:13" s="1" customFormat="1" ht="26.25" hidden="1" customHeight="1">
      <c r="A238" s="189" t="s">
        <v>784</v>
      </c>
      <c r="B238" s="150" t="s">
        <v>790</v>
      </c>
      <c r="C238" s="148" t="s">
        <v>626</v>
      </c>
      <c r="D238" s="149" t="s">
        <v>626</v>
      </c>
      <c r="E238" s="116" t="s">
        <v>365</v>
      </c>
      <c r="F238" s="98">
        <v>1260269</v>
      </c>
      <c r="G238" s="145" t="s">
        <v>794</v>
      </c>
      <c r="H238" s="91" t="s">
        <v>271</v>
      </c>
      <c r="I238" s="113" t="s">
        <v>442</v>
      </c>
      <c r="J238" s="188" t="s">
        <v>594</v>
      </c>
      <c r="K238" s="162">
        <v>69</v>
      </c>
      <c r="L238" s="173" t="s">
        <v>732</v>
      </c>
      <c r="M238" s="185"/>
    </row>
    <row r="239" spans="1:13" s="1" customFormat="1" ht="26.25" hidden="1" customHeight="1">
      <c r="A239" s="189" t="s">
        <v>785</v>
      </c>
      <c r="B239" s="105"/>
      <c r="C239" s="148" t="s">
        <v>627</v>
      </c>
      <c r="D239" s="149" t="s">
        <v>627</v>
      </c>
      <c r="E239" s="116" t="s">
        <v>144</v>
      </c>
      <c r="F239" s="98">
        <v>398580</v>
      </c>
      <c r="G239" s="145" t="s">
        <v>795</v>
      </c>
      <c r="H239" s="91" t="s">
        <v>36</v>
      </c>
      <c r="I239" s="113" t="s">
        <v>436</v>
      </c>
      <c r="J239" s="188" t="s">
        <v>796</v>
      </c>
      <c r="K239" s="162">
        <v>42</v>
      </c>
      <c r="L239" s="173" t="s">
        <v>434</v>
      </c>
      <c r="M239" s="185"/>
    </row>
    <row r="240" spans="1:13" s="1" customFormat="1" ht="26.25" hidden="1" customHeight="1">
      <c r="A240" s="189" t="s">
        <v>786</v>
      </c>
      <c r="B240" s="105"/>
      <c r="C240" s="148" t="s">
        <v>627</v>
      </c>
      <c r="D240" s="149" t="s">
        <v>626</v>
      </c>
      <c r="E240" s="116" t="s">
        <v>144</v>
      </c>
      <c r="F240" s="98">
        <v>440000</v>
      </c>
      <c r="G240" s="145" t="s">
        <v>797</v>
      </c>
      <c r="H240" s="91" t="s">
        <v>36</v>
      </c>
      <c r="I240" s="113" t="s">
        <v>436</v>
      </c>
      <c r="J240" s="188" t="s">
        <v>798</v>
      </c>
      <c r="K240" s="162">
        <v>42</v>
      </c>
      <c r="L240" s="173" t="s">
        <v>434</v>
      </c>
      <c r="M240" s="185"/>
    </row>
    <row r="241" spans="1:13" s="1" customFormat="1" ht="26.25" hidden="1" customHeight="1">
      <c r="A241" s="189" t="s">
        <v>787</v>
      </c>
      <c r="B241" s="150" t="s">
        <v>791</v>
      </c>
      <c r="C241" s="148" t="s">
        <v>626</v>
      </c>
      <c r="D241" s="149" t="s">
        <v>626</v>
      </c>
      <c r="E241" s="116" t="s">
        <v>139</v>
      </c>
      <c r="F241" s="98">
        <v>1200000</v>
      </c>
      <c r="G241" s="145" t="s">
        <v>802</v>
      </c>
      <c r="H241" s="91" t="s">
        <v>10</v>
      </c>
      <c r="I241" s="113" t="s">
        <v>438</v>
      </c>
      <c r="J241" s="188" t="s">
        <v>799</v>
      </c>
      <c r="K241" s="162">
        <v>1</v>
      </c>
      <c r="L241" s="173" t="s">
        <v>434</v>
      </c>
      <c r="M241" s="185"/>
    </row>
    <row r="242" spans="1:13" s="1" customFormat="1" ht="26.25" customHeight="1">
      <c r="A242" s="189" t="s">
        <v>788</v>
      </c>
      <c r="B242" s="150" t="s">
        <v>792</v>
      </c>
      <c r="C242" s="148" t="s">
        <v>626</v>
      </c>
      <c r="D242" s="149" t="s">
        <v>626</v>
      </c>
      <c r="E242" s="116" t="s">
        <v>365</v>
      </c>
      <c r="F242" s="98">
        <v>3340654</v>
      </c>
      <c r="G242" s="145" t="s">
        <v>800</v>
      </c>
      <c r="H242" s="91" t="s">
        <v>271</v>
      </c>
      <c r="I242" s="113" t="s">
        <v>442</v>
      </c>
      <c r="J242" s="188" t="s">
        <v>801</v>
      </c>
      <c r="K242" s="162">
        <v>69</v>
      </c>
      <c r="L242" s="173" t="s">
        <v>732</v>
      </c>
      <c r="M242" s="185" t="s">
        <v>979</v>
      </c>
    </row>
    <row r="243" spans="1:13" s="1" customFormat="1" ht="26.25" customHeight="1">
      <c r="A243" s="189" t="s">
        <v>789</v>
      </c>
      <c r="B243" s="105"/>
      <c r="C243" s="148" t="s">
        <v>627</v>
      </c>
      <c r="D243" s="149" t="s">
        <v>626</v>
      </c>
      <c r="E243" s="116" t="s">
        <v>143</v>
      </c>
      <c r="F243" s="98">
        <v>600000</v>
      </c>
      <c r="G243" s="145" t="s">
        <v>803</v>
      </c>
      <c r="H243" s="91" t="s">
        <v>148</v>
      </c>
      <c r="I243" s="113" t="s">
        <v>435</v>
      </c>
      <c r="J243" s="188" t="s">
        <v>804</v>
      </c>
      <c r="K243" s="162">
        <v>1</v>
      </c>
      <c r="L243" s="173" t="s">
        <v>855</v>
      </c>
      <c r="M243" s="185" t="s">
        <v>978</v>
      </c>
    </row>
    <row r="244" spans="1:13" s="1" customFormat="1" ht="26.25" hidden="1" customHeight="1">
      <c r="A244" s="143"/>
      <c r="B244" s="150" t="s">
        <v>793</v>
      </c>
      <c r="C244" s="148" t="s">
        <v>627</v>
      </c>
      <c r="D244" s="149" t="s">
        <v>627</v>
      </c>
      <c r="E244" s="116" t="s">
        <v>329</v>
      </c>
      <c r="F244" s="98">
        <v>82790</v>
      </c>
      <c r="G244" s="145" t="s">
        <v>805</v>
      </c>
      <c r="H244" s="91" t="s">
        <v>152</v>
      </c>
      <c r="I244" s="113" t="s">
        <v>889</v>
      </c>
      <c r="J244" s="188" t="s">
        <v>806</v>
      </c>
      <c r="K244" s="162">
        <v>21</v>
      </c>
      <c r="L244" s="173" t="s">
        <v>434</v>
      </c>
      <c r="M244" s="185" t="s">
        <v>978</v>
      </c>
    </row>
    <row r="245" spans="1:13" s="1" customFormat="1" ht="26.25" customHeight="1">
      <c r="A245" s="189" t="s">
        <v>807</v>
      </c>
      <c r="B245" s="150" t="s">
        <v>808</v>
      </c>
      <c r="C245" s="148" t="s">
        <v>627</v>
      </c>
      <c r="D245" s="149" t="s">
        <v>627</v>
      </c>
      <c r="E245" s="116" t="s">
        <v>143</v>
      </c>
      <c r="F245" s="98">
        <v>677570</v>
      </c>
      <c r="G245" s="145" t="s">
        <v>810</v>
      </c>
      <c r="H245" s="91" t="s">
        <v>148</v>
      </c>
      <c r="I245" s="113" t="s">
        <v>435</v>
      </c>
      <c r="J245" s="188" t="s">
        <v>178</v>
      </c>
      <c r="K245" s="162">
        <v>21</v>
      </c>
      <c r="L245" s="173" t="s">
        <v>855</v>
      </c>
      <c r="M245" s="185" t="s">
        <v>978</v>
      </c>
    </row>
    <row r="246" spans="1:13" s="1" customFormat="1" ht="26.25" customHeight="1">
      <c r="A246" s="143"/>
      <c r="B246" s="150" t="s">
        <v>809</v>
      </c>
      <c r="C246" s="148" t="s">
        <v>627</v>
      </c>
      <c r="D246" s="149" t="s">
        <v>626</v>
      </c>
      <c r="E246" s="116" t="s">
        <v>329</v>
      </c>
      <c r="F246" s="98">
        <v>1459927</v>
      </c>
      <c r="G246" s="145" t="s">
        <v>811</v>
      </c>
      <c r="H246" s="91" t="s">
        <v>977</v>
      </c>
      <c r="I246" s="113" t="s">
        <v>1235</v>
      </c>
      <c r="J246" s="188" t="s">
        <v>812</v>
      </c>
      <c r="K246" s="162">
        <v>71</v>
      </c>
      <c r="L246" s="173" t="s">
        <v>855</v>
      </c>
      <c r="M246" s="185" t="s">
        <v>978</v>
      </c>
    </row>
    <row r="247" spans="1:13" s="1" customFormat="1" ht="26.25" customHeight="1">
      <c r="A247" s="189" t="s">
        <v>813</v>
      </c>
      <c r="B247" s="105"/>
      <c r="C247" s="148" t="s">
        <v>627</v>
      </c>
      <c r="D247" s="149" t="s">
        <v>627</v>
      </c>
      <c r="E247" s="116" t="s">
        <v>365</v>
      </c>
      <c r="F247" s="98">
        <v>407134</v>
      </c>
      <c r="G247" s="145" t="s">
        <v>814</v>
      </c>
      <c r="H247" s="91" t="s">
        <v>271</v>
      </c>
      <c r="I247" s="113" t="s">
        <v>490</v>
      </c>
      <c r="J247" s="188" t="s">
        <v>815</v>
      </c>
      <c r="K247" s="162">
        <v>69</v>
      </c>
      <c r="L247" s="173" t="s">
        <v>732</v>
      </c>
      <c r="M247" s="185" t="s">
        <v>979</v>
      </c>
    </row>
    <row r="248" spans="1:13" s="1" customFormat="1" ht="26.25" customHeight="1">
      <c r="A248" s="87"/>
      <c r="B248" s="88"/>
      <c r="C248" s="128"/>
      <c r="D248" s="88"/>
      <c r="E248" s="89" t="s">
        <v>695</v>
      </c>
      <c r="F248" s="98">
        <f>SUM(F214:F247)</f>
        <v>46995532</v>
      </c>
      <c r="G248" s="145"/>
      <c r="H248" s="91"/>
      <c r="I248" s="92"/>
      <c r="J248" s="90"/>
      <c r="K248" s="162"/>
      <c r="L248" s="174"/>
      <c r="M248" s="185"/>
    </row>
    <row r="249" spans="1:13" s="1" customFormat="1" ht="26.25" hidden="1" customHeight="1">
      <c r="A249" s="87" t="s">
        <v>828</v>
      </c>
      <c r="B249" s="88" t="s">
        <v>817</v>
      </c>
      <c r="C249" s="148" t="s">
        <v>627</v>
      </c>
      <c r="D249" s="149" t="s">
        <v>627</v>
      </c>
      <c r="E249" s="116" t="s">
        <v>329</v>
      </c>
      <c r="F249" s="98">
        <v>540697</v>
      </c>
      <c r="G249" s="145" t="s">
        <v>818</v>
      </c>
      <c r="H249" s="91" t="s">
        <v>291</v>
      </c>
      <c r="I249" s="113" t="s">
        <v>488</v>
      </c>
      <c r="J249" s="90" t="s">
        <v>819</v>
      </c>
      <c r="K249" s="162">
        <v>43</v>
      </c>
      <c r="L249" s="173" t="s">
        <v>855</v>
      </c>
      <c r="M249" s="185"/>
    </row>
    <row r="250" spans="1:13" s="1" customFormat="1" ht="26.25" hidden="1" customHeight="1">
      <c r="A250" s="87" t="s">
        <v>829</v>
      </c>
      <c r="B250" s="88" t="s">
        <v>821</v>
      </c>
      <c r="C250" s="148" t="s">
        <v>627</v>
      </c>
      <c r="D250" s="149" t="s">
        <v>627</v>
      </c>
      <c r="E250" s="116" t="s">
        <v>329</v>
      </c>
      <c r="F250" s="98">
        <v>259925</v>
      </c>
      <c r="G250" s="145" t="s">
        <v>826</v>
      </c>
      <c r="H250" s="91" t="s">
        <v>152</v>
      </c>
      <c r="I250" s="113" t="s">
        <v>889</v>
      </c>
      <c r="J250" s="90" t="s">
        <v>178</v>
      </c>
      <c r="K250" s="162">
        <v>21</v>
      </c>
      <c r="L250" s="173" t="s">
        <v>855</v>
      </c>
      <c r="M250" s="185"/>
    </row>
    <row r="251" spans="1:13" s="1" customFormat="1" ht="26.25" hidden="1" customHeight="1">
      <c r="A251" s="87" t="s">
        <v>830</v>
      </c>
      <c r="B251" s="88" t="s">
        <v>822</v>
      </c>
      <c r="C251" s="148" t="s">
        <v>627</v>
      </c>
      <c r="D251" s="149" t="s">
        <v>627</v>
      </c>
      <c r="E251" s="116" t="s">
        <v>329</v>
      </c>
      <c r="F251" s="98">
        <v>180000</v>
      </c>
      <c r="G251" s="145" t="s">
        <v>834</v>
      </c>
      <c r="H251" s="91" t="s">
        <v>152</v>
      </c>
      <c r="I251" s="113" t="s">
        <v>889</v>
      </c>
      <c r="J251" s="90" t="s">
        <v>827</v>
      </c>
      <c r="K251" s="162">
        <v>21</v>
      </c>
      <c r="L251" s="173" t="s">
        <v>855</v>
      </c>
      <c r="M251" s="185"/>
    </row>
    <row r="252" spans="1:13" s="1" customFormat="1" ht="26.25" hidden="1" customHeight="1">
      <c r="A252" s="87" t="s">
        <v>831</v>
      </c>
      <c r="B252" s="88" t="s">
        <v>823</v>
      </c>
      <c r="C252" s="148" t="s">
        <v>627</v>
      </c>
      <c r="D252" s="149" t="s">
        <v>626</v>
      </c>
      <c r="E252" s="116" t="s">
        <v>329</v>
      </c>
      <c r="F252" s="98">
        <v>733000</v>
      </c>
      <c r="G252" s="145" t="s">
        <v>833</v>
      </c>
      <c r="H252" s="91" t="s">
        <v>152</v>
      </c>
      <c r="I252" s="113" t="s">
        <v>930</v>
      </c>
      <c r="J252" s="90" t="s">
        <v>832</v>
      </c>
      <c r="K252" s="162">
        <v>71</v>
      </c>
      <c r="L252" s="173" t="s">
        <v>855</v>
      </c>
      <c r="M252" s="185"/>
    </row>
    <row r="253" spans="1:13" s="1" customFormat="1" ht="26.25" hidden="1" customHeight="1">
      <c r="A253" s="87" t="s">
        <v>835</v>
      </c>
      <c r="B253" s="88" t="s">
        <v>836</v>
      </c>
      <c r="C253" s="148" t="s">
        <v>627</v>
      </c>
      <c r="D253" s="149" t="s">
        <v>626</v>
      </c>
      <c r="E253" s="116" t="s">
        <v>139</v>
      </c>
      <c r="F253" s="98">
        <v>973942</v>
      </c>
      <c r="G253" s="145" t="s">
        <v>843</v>
      </c>
      <c r="H253" s="91" t="s">
        <v>10</v>
      </c>
      <c r="I253" s="113" t="s">
        <v>847</v>
      </c>
      <c r="J253" s="90" t="s">
        <v>848</v>
      </c>
      <c r="K253" s="162">
        <v>38</v>
      </c>
      <c r="L253" s="173" t="s">
        <v>434</v>
      </c>
      <c r="M253" s="185"/>
    </row>
    <row r="254" spans="1:13" s="1" customFormat="1" ht="26.25" customHeight="1">
      <c r="A254" s="87" t="s">
        <v>837</v>
      </c>
      <c r="B254" s="88" t="s">
        <v>838</v>
      </c>
      <c r="C254" s="148" t="s">
        <v>627</v>
      </c>
      <c r="D254" s="149" t="s">
        <v>626</v>
      </c>
      <c r="E254" s="116" t="s">
        <v>329</v>
      </c>
      <c r="F254" s="98">
        <v>165737</v>
      </c>
      <c r="G254" s="145" t="s">
        <v>844</v>
      </c>
      <c r="H254" s="91" t="s">
        <v>977</v>
      </c>
      <c r="I254" s="113" t="s">
        <v>889</v>
      </c>
      <c r="J254" s="90" t="s">
        <v>562</v>
      </c>
      <c r="K254" s="162">
        <v>69</v>
      </c>
      <c r="L254" s="173" t="s">
        <v>855</v>
      </c>
      <c r="M254" s="185" t="s">
        <v>978</v>
      </c>
    </row>
    <row r="255" spans="1:13" s="1" customFormat="1" ht="26.25" customHeight="1">
      <c r="A255" s="87" t="s">
        <v>851</v>
      </c>
      <c r="B255" s="88" t="s">
        <v>852</v>
      </c>
      <c r="C255" s="148" t="s">
        <v>627</v>
      </c>
      <c r="D255" s="149" t="s">
        <v>627</v>
      </c>
      <c r="E255" s="116" t="s">
        <v>329</v>
      </c>
      <c r="F255" s="98">
        <v>744564</v>
      </c>
      <c r="G255" s="145" t="s">
        <v>853</v>
      </c>
      <c r="H255" s="91" t="s">
        <v>977</v>
      </c>
      <c r="I255" s="113" t="s">
        <v>889</v>
      </c>
      <c r="J255" s="90" t="s">
        <v>854</v>
      </c>
      <c r="K255" s="162">
        <v>42</v>
      </c>
      <c r="L255" s="173" t="s">
        <v>855</v>
      </c>
      <c r="M255" s="185" t="s">
        <v>978</v>
      </c>
    </row>
    <row r="256" spans="1:13" s="1" customFormat="1" ht="26.25" hidden="1" customHeight="1">
      <c r="A256" s="87" t="s">
        <v>839</v>
      </c>
      <c r="B256" s="88" t="s">
        <v>840</v>
      </c>
      <c r="C256" s="148" t="s">
        <v>627</v>
      </c>
      <c r="D256" s="149" t="s">
        <v>627</v>
      </c>
      <c r="E256" s="116" t="s">
        <v>139</v>
      </c>
      <c r="F256" s="98">
        <v>38419</v>
      </c>
      <c r="G256" s="145" t="s">
        <v>845</v>
      </c>
      <c r="H256" s="91" t="s">
        <v>10</v>
      </c>
      <c r="I256" s="113" t="s">
        <v>749</v>
      </c>
      <c r="J256" s="90" t="s">
        <v>659</v>
      </c>
      <c r="K256" s="162">
        <v>69</v>
      </c>
      <c r="L256" s="173" t="s">
        <v>434</v>
      </c>
      <c r="M256" s="185"/>
    </row>
    <row r="257" spans="1:13" s="1" customFormat="1" ht="26.25" hidden="1" customHeight="1">
      <c r="A257" s="87" t="s">
        <v>856</v>
      </c>
      <c r="B257" s="88" t="s">
        <v>857</v>
      </c>
      <c r="C257" s="148" t="s">
        <v>627</v>
      </c>
      <c r="D257" s="149" t="s">
        <v>627</v>
      </c>
      <c r="E257" s="116" t="s">
        <v>365</v>
      </c>
      <c r="F257" s="98">
        <v>118350</v>
      </c>
      <c r="G257" s="145" t="s">
        <v>862</v>
      </c>
      <c r="H257" s="91" t="s">
        <v>271</v>
      </c>
      <c r="I257" s="113" t="s">
        <v>439</v>
      </c>
      <c r="J257" s="90" t="s">
        <v>21</v>
      </c>
      <c r="K257" s="162">
        <v>69</v>
      </c>
      <c r="L257" s="173" t="s">
        <v>732</v>
      </c>
      <c r="M257" s="185"/>
    </row>
    <row r="258" spans="1:13" s="1" customFormat="1" ht="26.25" hidden="1" customHeight="1">
      <c r="A258" s="87" t="s">
        <v>858</v>
      </c>
      <c r="B258" s="88" t="s">
        <v>859</v>
      </c>
      <c r="C258" s="148" t="s">
        <v>627</v>
      </c>
      <c r="D258" s="149" t="s">
        <v>627</v>
      </c>
      <c r="E258" s="116" t="s">
        <v>139</v>
      </c>
      <c r="F258" s="98">
        <v>358788</v>
      </c>
      <c r="G258" s="145" t="s">
        <v>863</v>
      </c>
      <c r="H258" s="91" t="s">
        <v>148</v>
      </c>
      <c r="I258" s="113" t="s">
        <v>749</v>
      </c>
      <c r="J258" s="90" t="s">
        <v>864</v>
      </c>
      <c r="K258" s="162">
        <v>1</v>
      </c>
      <c r="L258" s="173" t="s">
        <v>434</v>
      </c>
      <c r="M258" s="185"/>
    </row>
    <row r="259" spans="1:13" s="1" customFormat="1" ht="26.25" hidden="1" customHeight="1">
      <c r="A259" s="87" t="s">
        <v>860</v>
      </c>
      <c r="B259" s="88" t="s">
        <v>861</v>
      </c>
      <c r="C259" s="148" t="s">
        <v>627</v>
      </c>
      <c r="D259" s="149" t="s">
        <v>626</v>
      </c>
      <c r="E259" s="116" t="s">
        <v>139</v>
      </c>
      <c r="F259" s="98">
        <v>650000</v>
      </c>
      <c r="G259" s="145" t="s">
        <v>865</v>
      </c>
      <c r="H259" s="91" t="s">
        <v>148</v>
      </c>
      <c r="I259" s="113" t="s">
        <v>438</v>
      </c>
      <c r="J259" s="90" t="s">
        <v>178</v>
      </c>
      <c r="K259" s="162">
        <v>21</v>
      </c>
      <c r="L259" s="173" t="s">
        <v>434</v>
      </c>
      <c r="M259" s="185"/>
    </row>
    <row r="260" spans="1:13" s="1" customFormat="1" ht="26.25" customHeight="1">
      <c r="A260" s="87" t="s">
        <v>866</v>
      </c>
      <c r="B260" s="88" t="s">
        <v>867</v>
      </c>
      <c r="C260" s="148" t="s">
        <v>627</v>
      </c>
      <c r="D260" s="149" t="s">
        <v>627</v>
      </c>
      <c r="E260" s="116" t="s">
        <v>365</v>
      </c>
      <c r="F260" s="98">
        <v>179800</v>
      </c>
      <c r="G260" s="145" t="s">
        <v>868</v>
      </c>
      <c r="H260" s="91" t="s">
        <v>271</v>
      </c>
      <c r="I260" s="113" t="s">
        <v>439</v>
      </c>
      <c r="J260" s="90" t="s">
        <v>869</v>
      </c>
      <c r="K260" s="162">
        <v>69</v>
      </c>
      <c r="L260" s="173" t="s">
        <v>732</v>
      </c>
      <c r="M260" s="185" t="s">
        <v>979</v>
      </c>
    </row>
    <row r="261" spans="1:13" s="1" customFormat="1" ht="26.25" hidden="1" customHeight="1">
      <c r="A261" s="87" t="s">
        <v>870</v>
      </c>
      <c r="B261" s="88" t="s">
        <v>871</v>
      </c>
      <c r="C261" s="148" t="s">
        <v>627</v>
      </c>
      <c r="D261" s="149" t="s">
        <v>627</v>
      </c>
      <c r="E261" s="116" t="s">
        <v>329</v>
      </c>
      <c r="F261" s="98">
        <v>594219</v>
      </c>
      <c r="G261" s="145" t="s">
        <v>903</v>
      </c>
      <c r="H261" s="91" t="s">
        <v>152</v>
      </c>
      <c r="I261" s="113" t="s">
        <v>889</v>
      </c>
      <c r="J261" s="90" t="s">
        <v>178</v>
      </c>
      <c r="K261" s="162">
        <v>21</v>
      </c>
      <c r="L261" s="173" t="s">
        <v>855</v>
      </c>
      <c r="M261" s="185" t="s">
        <v>979</v>
      </c>
    </row>
    <row r="262" spans="1:13" s="1" customFormat="1" ht="26.25" customHeight="1">
      <c r="A262" s="87" t="s">
        <v>931</v>
      </c>
      <c r="B262" s="88" t="s">
        <v>932</v>
      </c>
      <c r="C262" s="148" t="s">
        <v>626</v>
      </c>
      <c r="D262" s="149" t="s">
        <v>626</v>
      </c>
      <c r="E262" s="116" t="s">
        <v>365</v>
      </c>
      <c r="F262" s="98">
        <v>734255</v>
      </c>
      <c r="G262" s="145" t="s">
        <v>933</v>
      </c>
      <c r="H262" s="91" t="s">
        <v>271</v>
      </c>
      <c r="I262" s="113" t="s">
        <v>439</v>
      </c>
      <c r="J262" s="90" t="s">
        <v>934</v>
      </c>
      <c r="K262" s="162">
        <v>69</v>
      </c>
      <c r="L262" s="173" t="s">
        <v>732</v>
      </c>
      <c r="M262" s="185" t="s">
        <v>979</v>
      </c>
    </row>
    <row r="263" spans="1:13" s="1" customFormat="1" ht="26.25" customHeight="1">
      <c r="A263" s="87" t="s">
        <v>872</v>
      </c>
      <c r="B263" s="88" t="s">
        <v>873</v>
      </c>
      <c r="C263" s="148" t="s">
        <v>626</v>
      </c>
      <c r="D263" s="149" t="s">
        <v>626</v>
      </c>
      <c r="E263" s="116" t="s">
        <v>365</v>
      </c>
      <c r="F263" s="98">
        <v>4974000</v>
      </c>
      <c r="G263" s="145" t="s">
        <v>890</v>
      </c>
      <c r="H263" s="91" t="s">
        <v>271</v>
      </c>
      <c r="I263" s="113" t="s">
        <v>442</v>
      </c>
      <c r="J263" s="90" t="s">
        <v>891</v>
      </c>
      <c r="K263" s="162">
        <v>69</v>
      </c>
      <c r="L263" s="173" t="s">
        <v>732</v>
      </c>
      <c r="M263" s="185" t="s">
        <v>979</v>
      </c>
    </row>
    <row r="264" spans="1:13" s="1" customFormat="1" ht="26.25" customHeight="1">
      <c r="A264" s="87" t="s">
        <v>874</v>
      </c>
      <c r="B264" s="88" t="s">
        <v>875</v>
      </c>
      <c r="C264" s="148" t="s">
        <v>627</v>
      </c>
      <c r="D264" s="149" t="s">
        <v>626</v>
      </c>
      <c r="E264" s="116" t="s">
        <v>329</v>
      </c>
      <c r="F264" s="98">
        <v>1182233</v>
      </c>
      <c r="G264" s="145" t="s">
        <v>892</v>
      </c>
      <c r="H264" s="91" t="s">
        <v>977</v>
      </c>
      <c r="I264" s="113" t="s">
        <v>889</v>
      </c>
      <c r="J264" s="90" t="s">
        <v>893</v>
      </c>
      <c r="K264" s="162">
        <v>71</v>
      </c>
      <c r="L264" s="173" t="s">
        <v>855</v>
      </c>
      <c r="M264" s="185" t="s">
        <v>978</v>
      </c>
    </row>
    <row r="265" spans="1:13" s="1" customFormat="1" ht="26.25" hidden="1" customHeight="1">
      <c r="A265" s="87" t="s">
        <v>876</v>
      </c>
      <c r="B265" s="105"/>
      <c r="C265" s="148" t="s">
        <v>627</v>
      </c>
      <c r="D265" s="149" t="s">
        <v>627</v>
      </c>
      <c r="E265" s="116" t="s">
        <v>139</v>
      </c>
      <c r="F265" s="98">
        <v>15490</v>
      </c>
      <c r="G265" s="145" t="s">
        <v>894</v>
      </c>
      <c r="H265" s="91" t="s">
        <v>10</v>
      </c>
      <c r="I265" s="113" t="s">
        <v>749</v>
      </c>
      <c r="J265" s="90" t="s">
        <v>895</v>
      </c>
      <c r="K265" s="162">
        <v>1</v>
      </c>
      <c r="L265" s="173" t="s">
        <v>434</v>
      </c>
      <c r="M265" s="185"/>
    </row>
    <row r="266" spans="1:13" s="1" customFormat="1" ht="26.25" customHeight="1">
      <c r="A266" s="87" t="s">
        <v>877</v>
      </c>
      <c r="B266" s="88" t="s">
        <v>878</v>
      </c>
      <c r="C266" s="148" t="s">
        <v>627</v>
      </c>
      <c r="D266" s="149" t="s">
        <v>626</v>
      </c>
      <c r="E266" s="116" t="s">
        <v>365</v>
      </c>
      <c r="F266" s="98">
        <v>895436</v>
      </c>
      <c r="G266" s="145" t="s">
        <v>896</v>
      </c>
      <c r="H266" s="91" t="s">
        <v>271</v>
      </c>
      <c r="I266" s="113" t="s">
        <v>439</v>
      </c>
      <c r="J266" s="90" t="s">
        <v>594</v>
      </c>
      <c r="K266" s="162">
        <v>69</v>
      </c>
      <c r="L266" s="173" t="s">
        <v>732</v>
      </c>
      <c r="M266" s="185" t="s">
        <v>979</v>
      </c>
    </row>
    <row r="267" spans="1:13" s="1" customFormat="1" ht="26.25" customHeight="1">
      <c r="A267" s="87" t="s">
        <v>879</v>
      </c>
      <c r="B267" s="105"/>
      <c r="C267" s="148" t="s">
        <v>627</v>
      </c>
      <c r="D267" s="149" t="s">
        <v>626</v>
      </c>
      <c r="E267" s="116" t="s">
        <v>143</v>
      </c>
      <c r="F267" s="98">
        <v>900000</v>
      </c>
      <c r="G267" s="145" t="s">
        <v>897</v>
      </c>
      <c r="H267" s="91" t="s">
        <v>148</v>
      </c>
      <c r="I267" s="113" t="s">
        <v>438</v>
      </c>
      <c r="J267" s="90" t="s">
        <v>899</v>
      </c>
      <c r="K267" s="162">
        <v>1</v>
      </c>
      <c r="L267" s="173" t="s">
        <v>855</v>
      </c>
      <c r="M267" s="185" t="s">
        <v>978</v>
      </c>
    </row>
    <row r="268" spans="1:13" s="1" customFormat="1" ht="26.25" customHeight="1">
      <c r="A268" s="87" t="s">
        <v>880</v>
      </c>
      <c r="B268" s="105"/>
      <c r="C268" s="148" t="s">
        <v>627</v>
      </c>
      <c r="D268" s="149" t="s">
        <v>626</v>
      </c>
      <c r="E268" s="116" t="s">
        <v>139</v>
      </c>
      <c r="F268" s="98">
        <v>600000</v>
      </c>
      <c r="G268" s="145" t="s">
        <v>900</v>
      </c>
      <c r="H268" s="91" t="s">
        <v>10</v>
      </c>
      <c r="I268" s="113" t="s">
        <v>1209</v>
      </c>
      <c r="J268" s="90" t="s">
        <v>901</v>
      </c>
      <c r="K268" s="162">
        <v>1</v>
      </c>
      <c r="L268" s="173" t="s">
        <v>855</v>
      </c>
      <c r="M268" s="185" t="s">
        <v>978</v>
      </c>
    </row>
    <row r="269" spans="1:13" s="1" customFormat="1" ht="26.25" customHeight="1">
      <c r="A269" s="87" t="s">
        <v>881</v>
      </c>
      <c r="B269" s="105"/>
      <c r="C269" s="148" t="s">
        <v>627</v>
      </c>
      <c r="D269" s="149" t="s">
        <v>626</v>
      </c>
      <c r="E269" s="116" t="s">
        <v>143</v>
      </c>
      <c r="F269" s="98">
        <v>500000</v>
      </c>
      <c r="G269" s="145" t="s">
        <v>902</v>
      </c>
      <c r="H269" s="91" t="s">
        <v>148</v>
      </c>
      <c r="I269" s="113" t="s">
        <v>438</v>
      </c>
      <c r="J269" s="90" t="s">
        <v>82</v>
      </c>
      <c r="K269" s="162">
        <v>1</v>
      </c>
      <c r="L269" s="173" t="s">
        <v>855</v>
      </c>
      <c r="M269" s="185" t="s">
        <v>978</v>
      </c>
    </row>
    <row r="270" spans="1:13" s="1" customFormat="1" ht="26.25" customHeight="1">
      <c r="A270" s="87" t="s">
        <v>882</v>
      </c>
      <c r="B270" s="88" t="s">
        <v>883</v>
      </c>
      <c r="C270" s="148" t="s">
        <v>627</v>
      </c>
      <c r="D270" s="149" t="s">
        <v>627</v>
      </c>
      <c r="E270" s="116" t="s">
        <v>143</v>
      </c>
      <c r="F270" s="98">
        <v>2242000</v>
      </c>
      <c r="G270" s="145" t="s">
        <v>904</v>
      </c>
      <c r="H270" s="91" t="s">
        <v>148</v>
      </c>
      <c r="I270" s="113" t="s">
        <v>438</v>
      </c>
      <c r="J270" s="90" t="s">
        <v>178</v>
      </c>
      <c r="K270" s="162">
        <v>21</v>
      </c>
      <c r="L270" s="173" t="s">
        <v>855</v>
      </c>
      <c r="M270" s="185" t="s">
        <v>978</v>
      </c>
    </row>
    <row r="271" spans="1:13" s="1" customFormat="1" ht="26.25" customHeight="1">
      <c r="A271" s="87" t="s">
        <v>884</v>
      </c>
      <c r="B271" s="88" t="s">
        <v>885</v>
      </c>
      <c r="C271" s="148" t="s">
        <v>627</v>
      </c>
      <c r="D271" s="149" t="s">
        <v>626</v>
      </c>
      <c r="E271" s="116" t="s">
        <v>329</v>
      </c>
      <c r="F271" s="98">
        <v>764796</v>
      </c>
      <c r="G271" s="145" t="s">
        <v>905</v>
      </c>
      <c r="H271" s="91" t="s">
        <v>977</v>
      </c>
      <c r="I271" s="113" t="s">
        <v>1235</v>
      </c>
      <c r="J271" s="90" t="s">
        <v>906</v>
      </c>
      <c r="K271" s="162">
        <v>69</v>
      </c>
      <c r="L271" s="173" t="s">
        <v>855</v>
      </c>
      <c r="M271" s="185" t="s">
        <v>978</v>
      </c>
    </row>
    <row r="272" spans="1:13" s="1" customFormat="1" ht="26.25" customHeight="1">
      <c r="A272" s="87" t="s">
        <v>886</v>
      </c>
      <c r="B272" s="88" t="s">
        <v>887</v>
      </c>
      <c r="C272" s="148" t="s">
        <v>626</v>
      </c>
      <c r="D272" s="149" t="s">
        <v>627</v>
      </c>
      <c r="E272" s="116" t="s">
        <v>365</v>
      </c>
      <c r="F272" s="98">
        <v>100578</v>
      </c>
      <c r="G272" s="145" t="s">
        <v>907</v>
      </c>
      <c r="H272" s="91" t="s">
        <v>271</v>
      </c>
      <c r="I272" s="113" t="s">
        <v>439</v>
      </c>
      <c r="J272" s="90" t="s">
        <v>503</v>
      </c>
      <c r="K272" s="162">
        <v>69</v>
      </c>
      <c r="L272" s="173" t="s">
        <v>732</v>
      </c>
      <c r="M272" s="185" t="s">
        <v>979</v>
      </c>
    </row>
    <row r="273" spans="1:13" s="1" customFormat="1" ht="26.25" customHeight="1">
      <c r="A273" s="87" t="s">
        <v>912</v>
      </c>
      <c r="B273" s="88" t="s">
        <v>913</v>
      </c>
      <c r="C273" s="148" t="s">
        <v>627</v>
      </c>
      <c r="D273" s="149" t="s">
        <v>627</v>
      </c>
      <c r="E273" s="116" t="s">
        <v>144</v>
      </c>
      <c r="F273" s="98">
        <v>2900000</v>
      </c>
      <c r="G273" s="145" t="s">
        <v>924</v>
      </c>
      <c r="H273" s="91" t="s">
        <v>36</v>
      </c>
      <c r="I273" s="113" t="s">
        <v>515</v>
      </c>
      <c r="J273" s="90" t="s">
        <v>927</v>
      </c>
      <c r="K273" s="162">
        <v>69</v>
      </c>
      <c r="L273" s="173" t="s">
        <v>855</v>
      </c>
      <c r="M273" s="185" t="s">
        <v>978</v>
      </c>
    </row>
    <row r="274" spans="1:13" s="1" customFormat="1" ht="26.25" customHeight="1">
      <c r="A274" s="87" t="s">
        <v>914</v>
      </c>
      <c r="B274" s="88" t="s">
        <v>915</v>
      </c>
      <c r="C274" s="148" t="s">
        <v>626</v>
      </c>
      <c r="D274" s="149" t="s">
        <v>626</v>
      </c>
      <c r="E274" s="116" t="s">
        <v>143</v>
      </c>
      <c r="F274" s="98" t="s">
        <v>928</v>
      </c>
      <c r="G274" s="145" t="s">
        <v>929</v>
      </c>
      <c r="H274" s="91" t="s">
        <v>148</v>
      </c>
      <c r="I274" s="113" t="s">
        <v>435</v>
      </c>
      <c r="J274" s="90" t="s">
        <v>82</v>
      </c>
      <c r="K274" s="162">
        <v>1</v>
      </c>
      <c r="L274" s="173" t="s">
        <v>855</v>
      </c>
      <c r="M274" s="185" t="s">
        <v>978</v>
      </c>
    </row>
    <row r="275" spans="1:13" s="1" customFormat="1" ht="26.25" customHeight="1">
      <c r="A275" s="87" t="s">
        <v>935</v>
      </c>
      <c r="B275" s="88" t="s">
        <v>936</v>
      </c>
      <c r="C275" s="148" t="s">
        <v>626</v>
      </c>
      <c r="D275" s="149" t="s">
        <v>627</v>
      </c>
      <c r="E275" s="116" t="s">
        <v>139</v>
      </c>
      <c r="F275" s="98">
        <v>642852</v>
      </c>
      <c r="G275" s="145" t="s">
        <v>940</v>
      </c>
      <c r="H275" s="91" t="s">
        <v>10</v>
      </c>
      <c r="I275" s="113" t="s">
        <v>898</v>
      </c>
      <c r="J275" s="90" t="s">
        <v>939</v>
      </c>
      <c r="K275" s="162">
        <v>69</v>
      </c>
      <c r="L275" s="173" t="s">
        <v>855</v>
      </c>
      <c r="M275" s="185" t="s">
        <v>978</v>
      </c>
    </row>
    <row r="276" spans="1:13" s="1" customFormat="1" ht="26.25" customHeight="1">
      <c r="A276" s="87" t="s">
        <v>937</v>
      </c>
      <c r="B276" s="88" t="s">
        <v>938</v>
      </c>
      <c r="C276" s="148" t="s">
        <v>627</v>
      </c>
      <c r="D276" s="149" t="s">
        <v>942</v>
      </c>
      <c r="E276" s="116" t="s">
        <v>365</v>
      </c>
      <c r="F276" s="98">
        <v>1940957</v>
      </c>
      <c r="G276" s="145" t="s">
        <v>941</v>
      </c>
      <c r="H276" s="91" t="s">
        <v>271</v>
      </c>
      <c r="I276" s="113" t="s">
        <v>439</v>
      </c>
      <c r="J276" s="90" t="s">
        <v>594</v>
      </c>
      <c r="K276" s="162">
        <v>69</v>
      </c>
      <c r="L276" s="173" t="s">
        <v>732</v>
      </c>
      <c r="M276" s="185" t="s">
        <v>979</v>
      </c>
    </row>
    <row r="277" spans="1:13" s="1" customFormat="1" ht="26.25" customHeight="1">
      <c r="A277" s="87"/>
      <c r="B277" s="88"/>
      <c r="C277" s="128"/>
      <c r="D277" s="88"/>
      <c r="E277" s="89" t="s">
        <v>816</v>
      </c>
      <c r="F277" s="98">
        <f>SUM(F249:F276)</f>
        <v>23930038</v>
      </c>
      <c r="G277" s="145"/>
      <c r="H277" s="91"/>
      <c r="I277" s="91"/>
      <c r="J277" s="90"/>
      <c r="K277" s="162"/>
      <c r="L277" s="173"/>
      <c r="M277" s="185"/>
    </row>
    <row r="278" spans="1:13" s="1" customFormat="1" ht="26.25" customHeight="1">
      <c r="A278" s="87" t="s">
        <v>943</v>
      </c>
      <c r="B278" s="88" t="s">
        <v>948</v>
      </c>
      <c r="C278" s="148" t="s">
        <v>626</v>
      </c>
      <c r="D278" s="193" t="s">
        <v>947</v>
      </c>
      <c r="E278" s="116" t="s">
        <v>143</v>
      </c>
      <c r="F278" s="98">
        <v>1585572</v>
      </c>
      <c r="G278" s="145" t="s">
        <v>949</v>
      </c>
      <c r="H278" s="91" t="s">
        <v>148</v>
      </c>
      <c r="I278" s="113" t="s">
        <v>438</v>
      </c>
      <c r="J278" s="90" t="s">
        <v>178</v>
      </c>
      <c r="K278" s="162">
        <v>21</v>
      </c>
      <c r="L278" s="173" t="s">
        <v>855</v>
      </c>
      <c r="M278" s="185" t="s">
        <v>978</v>
      </c>
    </row>
    <row r="279" spans="1:13" s="1" customFormat="1" ht="26.25" customHeight="1">
      <c r="A279" s="87" t="s">
        <v>944</v>
      </c>
      <c r="B279" s="88" t="s">
        <v>952</v>
      </c>
      <c r="C279" s="148" t="s">
        <v>627</v>
      </c>
      <c r="D279" s="192" t="s">
        <v>942</v>
      </c>
      <c r="E279" s="194" t="s">
        <v>139</v>
      </c>
      <c r="F279" s="98">
        <v>597296</v>
      </c>
      <c r="G279" s="145" t="s">
        <v>950</v>
      </c>
      <c r="H279" s="91" t="s">
        <v>10</v>
      </c>
      <c r="I279" s="113" t="s">
        <v>898</v>
      </c>
      <c r="J279" s="90" t="s">
        <v>638</v>
      </c>
      <c r="K279" s="162">
        <v>38</v>
      </c>
      <c r="L279" s="173" t="s">
        <v>855</v>
      </c>
      <c r="M279" s="185" t="s">
        <v>978</v>
      </c>
    </row>
    <row r="280" spans="1:13" s="1" customFormat="1" ht="40.5">
      <c r="A280" s="87" t="s">
        <v>953</v>
      </c>
      <c r="B280" s="88" t="s">
        <v>954</v>
      </c>
      <c r="C280" s="149" t="s">
        <v>626</v>
      </c>
      <c r="D280" s="196" t="s">
        <v>962</v>
      </c>
      <c r="E280" s="194" t="s">
        <v>365</v>
      </c>
      <c r="F280" s="98">
        <v>8294504</v>
      </c>
      <c r="G280" s="145" t="s">
        <v>955</v>
      </c>
      <c r="H280" s="91" t="s">
        <v>956</v>
      </c>
      <c r="I280" s="113" t="s">
        <v>957</v>
      </c>
      <c r="J280" s="90" t="s">
        <v>21</v>
      </c>
      <c r="K280" s="162">
        <v>69</v>
      </c>
      <c r="L280" s="173" t="s">
        <v>732</v>
      </c>
      <c r="M280" s="185" t="s">
        <v>979</v>
      </c>
    </row>
    <row r="281" spans="1:13" s="1" customFormat="1" ht="26.25" customHeight="1">
      <c r="A281" s="143"/>
      <c r="B281" s="88" t="s">
        <v>945</v>
      </c>
      <c r="C281" s="191" t="s">
        <v>627</v>
      </c>
      <c r="D281" s="192" t="s">
        <v>626</v>
      </c>
      <c r="E281" s="116" t="s">
        <v>329</v>
      </c>
      <c r="F281" s="98">
        <v>5000</v>
      </c>
      <c r="G281" s="145" t="s">
        <v>946</v>
      </c>
      <c r="H281" s="91" t="s">
        <v>976</v>
      </c>
      <c r="I281" s="113" t="s">
        <v>960</v>
      </c>
      <c r="J281" s="90" t="s">
        <v>21</v>
      </c>
      <c r="K281" s="162">
        <v>69</v>
      </c>
      <c r="L281" s="173" t="s">
        <v>732</v>
      </c>
      <c r="M281" s="185" t="s">
        <v>979</v>
      </c>
    </row>
    <row r="282" spans="1:13" s="1" customFormat="1" ht="26.25" customHeight="1">
      <c r="A282" s="87" t="s">
        <v>963</v>
      </c>
      <c r="B282" s="88" t="s">
        <v>958</v>
      </c>
      <c r="C282" s="191" t="s">
        <v>1</v>
      </c>
      <c r="D282" s="192" t="s">
        <v>627</v>
      </c>
      <c r="E282" s="116" t="s">
        <v>365</v>
      </c>
      <c r="F282" s="195">
        <v>80279</v>
      </c>
      <c r="G282" s="145" t="s">
        <v>959</v>
      </c>
      <c r="H282" s="91" t="s">
        <v>956</v>
      </c>
      <c r="I282" s="113" t="s">
        <v>960</v>
      </c>
      <c r="J282" s="90" t="s">
        <v>961</v>
      </c>
      <c r="K282" s="162">
        <v>69</v>
      </c>
      <c r="L282" s="173" t="s">
        <v>732</v>
      </c>
      <c r="M282" s="185" t="s">
        <v>979</v>
      </c>
    </row>
    <row r="283" spans="1:13" s="1" customFormat="1" ht="38.25">
      <c r="A283" s="87" t="s">
        <v>964</v>
      </c>
      <c r="B283" s="143"/>
      <c r="C283" s="191" t="s">
        <v>627</v>
      </c>
      <c r="D283" s="197" t="s">
        <v>965</v>
      </c>
      <c r="E283" s="116" t="s">
        <v>139</v>
      </c>
      <c r="F283" s="195">
        <v>1545715</v>
      </c>
      <c r="G283" s="145" t="s">
        <v>966</v>
      </c>
      <c r="H283" s="91" t="s">
        <v>967</v>
      </c>
      <c r="I283" s="113" t="s">
        <v>968</v>
      </c>
      <c r="J283" s="90" t="s">
        <v>82</v>
      </c>
      <c r="K283" s="162">
        <v>1</v>
      </c>
      <c r="L283" s="198" t="s">
        <v>855</v>
      </c>
      <c r="M283" s="185" t="s">
        <v>978</v>
      </c>
    </row>
    <row r="284" spans="1:13" s="1" customFormat="1" ht="26.25" customHeight="1">
      <c r="A284" s="87" t="s">
        <v>969</v>
      </c>
      <c r="B284" s="88" t="s">
        <v>970</v>
      </c>
      <c r="C284" s="191" t="s">
        <v>626</v>
      </c>
      <c r="D284" s="200" t="s">
        <v>972</v>
      </c>
      <c r="E284" s="116" t="s">
        <v>365</v>
      </c>
      <c r="F284" s="195">
        <v>316582</v>
      </c>
      <c r="G284" s="145" t="s">
        <v>971</v>
      </c>
      <c r="H284" s="91" t="s">
        <v>956</v>
      </c>
      <c r="I284" s="113" t="s">
        <v>442</v>
      </c>
      <c r="J284" s="90" t="s">
        <v>21</v>
      </c>
      <c r="K284" s="162">
        <v>69</v>
      </c>
      <c r="L284" s="198" t="s">
        <v>732</v>
      </c>
      <c r="M284" s="185" t="s">
        <v>979</v>
      </c>
    </row>
    <row r="285" spans="1:13" s="1" customFormat="1" ht="26.25" customHeight="1">
      <c r="A285" s="87" t="s">
        <v>982</v>
      </c>
      <c r="B285" s="88" t="s">
        <v>983</v>
      </c>
      <c r="C285" s="191" t="s">
        <v>626</v>
      </c>
      <c r="D285" s="200" t="s">
        <v>972</v>
      </c>
      <c r="E285" s="116" t="s">
        <v>365</v>
      </c>
      <c r="F285" s="195">
        <v>994213</v>
      </c>
      <c r="G285" s="145" t="s">
        <v>986</v>
      </c>
      <c r="H285" s="91" t="s">
        <v>271</v>
      </c>
      <c r="I285" s="113" t="s">
        <v>442</v>
      </c>
      <c r="J285" s="90" t="s">
        <v>562</v>
      </c>
      <c r="K285" s="162">
        <v>69</v>
      </c>
      <c r="L285" s="198" t="s">
        <v>732</v>
      </c>
      <c r="M285" s="185" t="s">
        <v>979</v>
      </c>
    </row>
    <row r="286" spans="1:13" s="1" customFormat="1" ht="26.25" customHeight="1">
      <c r="A286" s="87" t="s">
        <v>988</v>
      </c>
      <c r="B286" s="143"/>
      <c r="C286" s="191" t="s">
        <v>627</v>
      </c>
      <c r="D286" s="200" t="s">
        <v>987</v>
      </c>
      <c r="E286" s="194" t="s">
        <v>139</v>
      </c>
      <c r="F286" s="195">
        <v>67000</v>
      </c>
      <c r="G286" s="145" t="s">
        <v>990</v>
      </c>
      <c r="H286" s="91" t="s">
        <v>989</v>
      </c>
      <c r="I286" s="113" t="s">
        <v>989</v>
      </c>
      <c r="J286" s="90" t="s">
        <v>910</v>
      </c>
      <c r="K286" s="162">
        <v>1</v>
      </c>
      <c r="L286" s="198" t="s">
        <v>855</v>
      </c>
      <c r="M286" s="185" t="s">
        <v>978</v>
      </c>
    </row>
    <row r="287" spans="1:13" s="1" customFormat="1" ht="26.25" customHeight="1">
      <c r="A287" s="87" t="s">
        <v>984</v>
      </c>
      <c r="B287" s="88" t="s">
        <v>985</v>
      </c>
      <c r="C287" s="191" t="s">
        <v>627</v>
      </c>
      <c r="D287" s="200" t="s">
        <v>627</v>
      </c>
      <c r="E287" s="116" t="s">
        <v>365</v>
      </c>
      <c r="F287" s="195">
        <v>470384</v>
      </c>
      <c r="G287" s="145" t="s">
        <v>991</v>
      </c>
      <c r="H287" s="91" t="s">
        <v>956</v>
      </c>
      <c r="I287" s="113" t="s">
        <v>960</v>
      </c>
      <c r="J287" s="90" t="s">
        <v>729</v>
      </c>
      <c r="K287" s="162">
        <v>69</v>
      </c>
      <c r="L287" s="198" t="s">
        <v>732</v>
      </c>
      <c r="M287" s="185" t="s">
        <v>979</v>
      </c>
    </row>
    <row r="288" spans="1:13" s="1" customFormat="1" ht="26.25" customHeight="1">
      <c r="A288" s="87"/>
      <c r="B288" s="88"/>
      <c r="C288" s="191"/>
      <c r="D288" s="200"/>
      <c r="E288" s="116"/>
      <c r="F288" s="195"/>
      <c r="G288" s="145"/>
      <c r="H288" s="91"/>
      <c r="I288" s="113"/>
      <c r="J288" s="90"/>
      <c r="K288" s="162"/>
      <c r="L288" s="198"/>
      <c r="M288" s="185"/>
    </row>
    <row r="289" spans="1:13" s="1" customFormat="1" ht="26.25" customHeight="1">
      <c r="A289" s="87"/>
      <c r="B289" s="88"/>
      <c r="C289" s="191"/>
      <c r="D289" s="200"/>
      <c r="E289" s="116"/>
      <c r="F289" s="195"/>
      <c r="G289" s="145"/>
      <c r="H289" s="91"/>
      <c r="I289" s="113"/>
      <c r="J289" s="90"/>
      <c r="K289" s="162"/>
      <c r="L289" s="198"/>
      <c r="M289" s="185"/>
    </row>
    <row r="290" spans="1:13" s="1" customFormat="1" ht="26.25" customHeight="1">
      <c r="A290" s="87"/>
      <c r="B290" s="88"/>
      <c r="C290" s="191"/>
      <c r="D290" s="200"/>
      <c r="E290" s="116"/>
      <c r="F290" s="195"/>
      <c r="G290" s="145"/>
      <c r="H290" s="91"/>
      <c r="I290" s="113"/>
      <c r="J290" s="90"/>
      <c r="K290" s="162"/>
      <c r="L290" s="198"/>
      <c r="M290" s="199"/>
    </row>
    <row r="291" spans="1:13" s="1" customFormat="1" ht="26.25" customHeight="1">
      <c r="A291" s="87"/>
      <c r="B291" s="88"/>
      <c r="C291" s="191"/>
      <c r="D291" s="192"/>
      <c r="E291" s="116"/>
      <c r="F291" s="98"/>
      <c r="G291" s="145"/>
      <c r="H291" s="91"/>
      <c r="I291" s="113"/>
      <c r="J291" s="90"/>
      <c r="K291" s="162"/>
      <c r="L291" s="173"/>
      <c r="M291" s="185"/>
    </row>
    <row r="292" spans="1:13" s="1" customFormat="1" ht="26.25" customHeight="1">
      <c r="A292" s="87"/>
      <c r="B292" s="88"/>
      <c r="C292" s="128"/>
      <c r="D292" s="88"/>
      <c r="E292" s="89" t="s">
        <v>951</v>
      </c>
      <c r="F292" s="98">
        <f>SUM(F278:F291)</f>
        <v>13956545</v>
      </c>
      <c r="G292" s="145"/>
      <c r="H292" s="91"/>
      <c r="I292" s="91"/>
      <c r="J292" s="90"/>
      <c r="K292" s="162"/>
      <c r="L292" s="173"/>
      <c r="M292" s="185"/>
    </row>
    <row r="293" spans="1:13" s="1" customFormat="1" ht="26.25" customHeight="1">
      <c r="A293" s="87" t="s">
        <v>841</v>
      </c>
      <c r="B293" s="105"/>
      <c r="C293" s="148" t="s">
        <v>627</v>
      </c>
      <c r="D293" s="149" t="s">
        <v>627</v>
      </c>
      <c r="E293" s="116" t="s">
        <v>675</v>
      </c>
      <c r="F293" s="98" t="s">
        <v>842</v>
      </c>
      <c r="G293" s="145" t="s">
        <v>846</v>
      </c>
      <c r="H293" s="91" t="s">
        <v>908</v>
      </c>
      <c r="I293" s="113" t="s">
        <v>898</v>
      </c>
      <c r="J293" s="90" t="s">
        <v>849</v>
      </c>
      <c r="K293" s="162">
        <v>1</v>
      </c>
      <c r="L293" s="173" t="s">
        <v>434</v>
      </c>
      <c r="M293" s="185"/>
    </row>
    <row r="294" spans="1:13" s="1" customFormat="1" ht="26.25" customHeight="1">
      <c r="A294" s="87" t="s">
        <v>888</v>
      </c>
      <c r="B294" s="105"/>
      <c r="C294" s="148" t="s">
        <v>627</v>
      </c>
      <c r="D294" s="149" t="s">
        <v>627</v>
      </c>
      <c r="E294" s="116" t="s">
        <v>675</v>
      </c>
      <c r="F294" s="98" t="s">
        <v>842</v>
      </c>
      <c r="G294" s="145" t="s">
        <v>909</v>
      </c>
      <c r="H294" s="91" t="s">
        <v>908</v>
      </c>
      <c r="I294" s="113" t="s">
        <v>898</v>
      </c>
      <c r="J294" s="90" t="s">
        <v>910</v>
      </c>
      <c r="K294" s="162">
        <v>1</v>
      </c>
      <c r="L294" s="173" t="s">
        <v>434</v>
      </c>
      <c r="M294" s="185"/>
    </row>
    <row r="295" spans="1:13" s="1" customFormat="1" ht="26.25" customHeight="1">
      <c r="A295" s="87" t="s">
        <v>916</v>
      </c>
      <c r="B295" s="137"/>
      <c r="C295" s="148" t="s">
        <v>627</v>
      </c>
      <c r="D295" s="149" t="s">
        <v>627</v>
      </c>
      <c r="E295" s="116" t="s">
        <v>675</v>
      </c>
      <c r="F295" s="98" t="s">
        <v>842</v>
      </c>
      <c r="G295" s="145" t="s">
        <v>917</v>
      </c>
      <c r="H295" s="91" t="s">
        <v>918</v>
      </c>
      <c r="I295" s="113" t="s">
        <v>925</v>
      </c>
      <c r="J295" s="90" t="s">
        <v>919</v>
      </c>
      <c r="K295" s="162">
        <v>73</v>
      </c>
      <c r="L295" s="173" t="s">
        <v>434</v>
      </c>
      <c r="M295" s="185"/>
    </row>
    <row r="296" spans="1:13" s="1" customFormat="1" ht="26.25" customHeight="1">
      <c r="A296" s="87" t="s">
        <v>920</v>
      </c>
      <c r="B296" s="137"/>
      <c r="C296" s="148" t="s">
        <v>627</v>
      </c>
      <c r="D296" s="149" t="s">
        <v>627</v>
      </c>
      <c r="E296" s="116" t="s">
        <v>675</v>
      </c>
      <c r="F296" s="98" t="s">
        <v>842</v>
      </c>
      <c r="G296" s="145" t="s">
        <v>921</v>
      </c>
      <c r="H296" s="91" t="s">
        <v>922</v>
      </c>
      <c r="I296" s="113" t="s">
        <v>926</v>
      </c>
      <c r="J296" s="90" t="s">
        <v>923</v>
      </c>
      <c r="K296" s="162">
        <v>1</v>
      </c>
      <c r="L296" s="173" t="s">
        <v>434</v>
      </c>
      <c r="M296" s="185"/>
    </row>
    <row r="297" spans="1:13" s="1" customFormat="1" ht="26.25" customHeight="1">
      <c r="A297" s="137"/>
      <c r="B297" s="87" t="s">
        <v>973</v>
      </c>
      <c r="C297" s="148" t="s">
        <v>627</v>
      </c>
      <c r="D297" s="149" t="s">
        <v>627</v>
      </c>
      <c r="E297" s="116" t="s">
        <v>675</v>
      </c>
      <c r="F297" s="98" t="s">
        <v>842</v>
      </c>
      <c r="G297" s="145" t="s">
        <v>974</v>
      </c>
      <c r="H297" s="91" t="s">
        <v>922</v>
      </c>
      <c r="I297" s="113" t="s">
        <v>926</v>
      </c>
      <c r="J297" s="90" t="s">
        <v>975</v>
      </c>
      <c r="K297" s="162">
        <v>39</v>
      </c>
      <c r="L297" s="198" t="s">
        <v>855</v>
      </c>
      <c r="M297" s="199"/>
    </row>
    <row r="298" spans="1:13" s="1" customFormat="1" ht="26.25" customHeight="1">
      <c r="A298" s="151" t="s">
        <v>702</v>
      </c>
      <c r="B298" s="150" t="s">
        <v>703</v>
      </c>
      <c r="C298" s="148" t="s">
        <v>627</v>
      </c>
      <c r="D298" s="149" t="s">
        <v>627</v>
      </c>
      <c r="E298" s="116" t="s">
        <v>675</v>
      </c>
      <c r="F298" s="98"/>
      <c r="G298" s="145" t="s">
        <v>704</v>
      </c>
      <c r="H298" s="91" t="s">
        <v>705</v>
      </c>
      <c r="I298" s="92" t="s">
        <v>434</v>
      </c>
      <c r="J298" s="93" t="s">
        <v>594</v>
      </c>
      <c r="K298" s="162">
        <v>69</v>
      </c>
      <c r="L298" s="173" t="s">
        <v>434</v>
      </c>
      <c r="M298" s="185"/>
    </row>
    <row r="299" spans="1:13" s="1" customFormat="1" ht="26.25" customHeight="1">
      <c r="A299" s="87" t="s">
        <v>709</v>
      </c>
      <c r="B299" s="105"/>
      <c r="C299" s="148" t="s">
        <v>627</v>
      </c>
      <c r="D299" s="149" t="s">
        <v>627</v>
      </c>
      <c r="E299" s="116" t="s">
        <v>675</v>
      </c>
      <c r="F299" s="98"/>
      <c r="G299" s="145" t="s">
        <v>708</v>
      </c>
      <c r="H299" s="91" t="s">
        <v>705</v>
      </c>
      <c r="I299" s="92" t="s">
        <v>434</v>
      </c>
      <c r="J299" s="93" t="s">
        <v>594</v>
      </c>
      <c r="K299" s="162">
        <v>69</v>
      </c>
      <c r="L299" s="173" t="s">
        <v>434</v>
      </c>
      <c r="M299" s="185"/>
    </row>
    <row r="300" spans="1:13" s="1" customFormat="1" ht="26.25" customHeight="1">
      <c r="A300" s="87" t="s">
        <v>707</v>
      </c>
      <c r="B300" s="105"/>
      <c r="C300" s="148" t="s">
        <v>627</v>
      </c>
      <c r="D300" s="149" t="s">
        <v>627</v>
      </c>
      <c r="E300" s="116" t="s">
        <v>675</v>
      </c>
      <c r="F300" s="98"/>
      <c r="G300" s="145" t="s">
        <v>706</v>
      </c>
      <c r="H300" s="91" t="s">
        <v>705</v>
      </c>
      <c r="I300" s="92" t="s">
        <v>434</v>
      </c>
      <c r="J300" s="93" t="s">
        <v>594</v>
      </c>
      <c r="K300" s="162">
        <v>69</v>
      </c>
      <c r="L300" s="173" t="s">
        <v>434</v>
      </c>
      <c r="M300" s="185"/>
    </row>
    <row r="301" spans="1:13" s="1" customFormat="1" ht="26.25" customHeight="1">
      <c r="A301" s="87" t="s">
        <v>750</v>
      </c>
      <c r="B301" s="105"/>
      <c r="C301" s="148" t="s">
        <v>627</v>
      </c>
      <c r="D301" s="149" t="s">
        <v>627</v>
      </c>
      <c r="E301" s="116" t="s">
        <v>675</v>
      </c>
      <c r="F301" s="98"/>
      <c r="G301" s="145" t="s">
        <v>751</v>
      </c>
      <c r="H301" s="91" t="s">
        <v>705</v>
      </c>
      <c r="I301" s="92" t="s">
        <v>434</v>
      </c>
      <c r="J301" s="93" t="s">
        <v>594</v>
      </c>
      <c r="K301" s="162">
        <v>69</v>
      </c>
      <c r="L301" s="173" t="s">
        <v>434</v>
      </c>
      <c r="M301" s="185"/>
    </row>
    <row r="302" spans="1:13" s="1" customFormat="1" ht="26.25" customHeight="1">
      <c r="A302" s="105"/>
      <c r="B302" s="150" t="s">
        <v>674</v>
      </c>
      <c r="C302" s="148" t="s">
        <v>627</v>
      </c>
      <c r="D302" s="149" t="s">
        <v>627</v>
      </c>
      <c r="E302" s="116" t="s">
        <v>675</v>
      </c>
      <c r="F302" s="98"/>
      <c r="G302" s="145" t="s">
        <v>676</v>
      </c>
      <c r="H302" s="91" t="s">
        <v>677</v>
      </c>
      <c r="I302" s="92" t="s">
        <v>489</v>
      </c>
      <c r="J302" s="93" t="s">
        <v>594</v>
      </c>
      <c r="K302" s="162">
        <v>69</v>
      </c>
      <c r="L302" s="173" t="s">
        <v>746</v>
      </c>
      <c r="M302" s="185"/>
    </row>
    <row r="303" spans="1:13" s="1" customFormat="1" ht="26.25" customHeight="1">
      <c r="A303" s="87" t="s">
        <v>824</v>
      </c>
      <c r="B303" s="105"/>
      <c r="C303" s="148" t="s">
        <v>627</v>
      </c>
      <c r="D303" s="149" t="s">
        <v>627</v>
      </c>
      <c r="E303" s="116" t="s">
        <v>675</v>
      </c>
      <c r="F303" s="98"/>
      <c r="G303" s="145" t="s">
        <v>825</v>
      </c>
      <c r="H303" s="91" t="s">
        <v>705</v>
      </c>
      <c r="I303" s="92" t="s">
        <v>434</v>
      </c>
      <c r="J303" s="93" t="s">
        <v>594</v>
      </c>
      <c r="K303" s="162">
        <v>69</v>
      </c>
      <c r="L303" s="173" t="s">
        <v>434</v>
      </c>
      <c r="M303" s="185"/>
    </row>
    <row r="304" spans="1:13" s="1" customFormat="1" ht="26.25" customHeight="1">
      <c r="A304" s="87" t="s">
        <v>678</v>
      </c>
      <c r="B304" s="105"/>
      <c r="C304" s="148" t="s">
        <v>627</v>
      </c>
      <c r="D304" s="149" t="s">
        <v>627</v>
      </c>
      <c r="E304" s="116" t="s">
        <v>675</v>
      </c>
      <c r="F304" s="98"/>
      <c r="G304" s="145" t="s">
        <v>683</v>
      </c>
      <c r="H304" s="91" t="s">
        <v>148</v>
      </c>
      <c r="I304" s="92" t="s">
        <v>435</v>
      </c>
      <c r="J304" s="90" t="s">
        <v>684</v>
      </c>
      <c r="K304" s="162"/>
      <c r="L304" s="173" t="s">
        <v>434</v>
      </c>
      <c r="M304" s="185"/>
    </row>
    <row r="305" spans="1:13" s="1" customFormat="1" ht="26.25" customHeight="1">
      <c r="A305" s="87" t="s">
        <v>679</v>
      </c>
      <c r="B305" s="105"/>
      <c r="C305" s="148" t="s">
        <v>627</v>
      </c>
      <c r="D305" s="149" t="s">
        <v>627</v>
      </c>
      <c r="E305" s="116" t="s">
        <v>675</v>
      </c>
      <c r="F305" s="98"/>
      <c r="G305" s="145" t="s">
        <v>685</v>
      </c>
      <c r="H305" s="91" t="s">
        <v>10</v>
      </c>
      <c r="I305" s="92" t="s">
        <v>432</v>
      </c>
      <c r="J305" s="90" t="s">
        <v>691</v>
      </c>
      <c r="K305" s="162"/>
      <c r="L305" s="173" t="s">
        <v>434</v>
      </c>
      <c r="M305" s="185"/>
    </row>
    <row r="306" spans="1:13" s="1" customFormat="1" ht="26.25" customHeight="1">
      <c r="A306" s="87" t="s">
        <v>680</v>
      </c>
      <c r="B306" s="105"/>
      <c r="C306" s="148" t="s">
        <v>627</v>
      </c>
      <c r="D306" s="149" t="s">
        <v>627</v>
      </c>
      <c r="E306" s="116" t="s">
        <v>675</v>
      </c>
      <c r="F306" s="98"/>
      <c r="G306" s="145" t="s">
        <v>686</v>
      </c>
      <c r="H306" s="91" t="s">
        <v>36</v>
      </c>
      <c r="I306" s="92" t="s">
        <v>436</v>
      </c>
      <c r="J306" s="90" t="s">
        <v>692</v>
      </c>
      <c r="K306" s="162"/>
      <c r="L306" s="173" t="s">
        <v>434</v>
      </c>
      <c r="M306" s="185"/>
    </row>
    <row r="307" spans="1:13" s="1" customFormat="1" ht="26.25" customHeight="1">
      <c r="A307" s="87" t="s">
        <v>681</v>
      </c>
      <c r="B307" s="105"/>
      <c r="C307" s="148" t="s">
        <v>627</v>
      </c>
      <c r="D307" s="149" t="s">
        <v>627</v>
      </c>
      <c r="E307" s="116" t="s">
        <v>675</v>
      </c>
      <c r="F307" s="98"/>
      <c r="G307" s="145" t="s">
        <v>687</v>
      </c>
      <c r="H307" s="91" t="s">
        <v>271</v>
      </c>
      <c r="I307" s="92" t="s">
        <v>490</v>
      </c>
      <c r="J307" s="90" t="s">
        <v>694</v>
      </c>
      <c r="K307" s="162"/>
      <c r="L307" s="173" t="s">
        <v>732</v>
      </c>
      <c r="M307" s="185"/>
    </row>
    <row r="308" spans="1:13" s="1" customFormat="1" ht="26.25" customHeight="1">
      <c r="A308" s="87" t="s">
        <v>682</v>
      </c>
      <c r="B308" s="105"/>
      <c r="C308" s="148" t="s">
        <v>627</v>
      </c>
      <c r="D308" s="149" t="s">
        <v>627</v>
      </c>
      <c r="E308" s="116" t="s">
        <v>675</v>
      </c>
      <c r="F308" s="98"/>
      <c r="G308" s="145" t="s">
        <v>688</v>
      </c>
      <c r="H308" s="91" t="s">
        <v>689</v>
      </c>
      <c r="I308" s="92" t="s">
        <v>690</v>
      </c>
      <c r="J308" s="90" t="s">
        <v>693</v>
      </c>
      <c r="K308" s="162"/>
      <c r="L308" s="173" t="s">
        <v>434</v>
      </c>
      <c r="M308" s="182"/>
    </row>
    <row r="309" spans="1:13" s="1" customFormat="1" ht="12" customHeight="1" thickBot="1">
      <c r="A309" s="72"/>
      <c r="B309" s="73"/>
      <c r="C309" s="131"/>
      <c r="D309" s="73"/>
      <c r="E309" s="74"/>
      <c r="F309" s="75"/>
      <c r="G309" s="74"/>
      <c r="H309" s="74"/>
      <c r="I309" s="76"/>
      <c r="J309" s="77"/>
      <c r="K309" s="163"/>
      <c r="L309" s="176"/>
      <c r="M309" s="186"/>
    </row>
    <row r="310" spans="1:13" ht="7.5" customHeight="1" thickTop="1"/>
  </sheetData>
  <mergeCells count="3">
    <mergeCell ref="I2:I3"/>
    <mergeCell ref="H2:H3"/>
    <mergeCell ref="C7:D7"/>
  </mergeCells>
  <phoneticPr fontId="22" type="noConversion"/>
  <printOptions horizontalCentered="1" verticalCentered="1" gridLinesSet="0"/>
  <pageMargins left="0" right="0" top="0" bottom="0.31496062992125984" header="0.51181102362204722" footer="0.11811023622047245"/>
  <pageSetup paperSize="8" scale="71" orientation="portrait" verticalDpi="4294967292" r:id="rId1"/>
  <headerFooter alignWithMargins="0">
    <oddFooter>&amp;R&amp;"CG Times,Normal"&amp;12Préparé par DP le &amp;D  &amp;T</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09B2A-DB8D-4C2E-BECA-4066F25910C8}">
  <sheetPr codeName="Feuil2">
    <pageSetUpPr fitToPage="1"/>
  </sheetPr>
  <dimension ref="B1:J310"/>
  <sheetViews>
    <sheetView topLeftCell="A2" zoomScale="85" zoomScaleNormal="85" workbookViewId="0">
      <selection activeCell="C205" sqref="C205"/>
    </sheetView>
  </sheetViews>
  <sheetFormatPr baseColWidth="10" defaultRowHeight="12.75" outlineLevelRow="1"/>
  <cols>
    <col min="1" max="1" width="0.42578125" style="20" customWidth="1"/>
    <col min="2" max="2" width="12.5703125" style="20" bestFit="1" customWidth="1"/>
    <col min="3" max="3" width="52.5703125" style="20" bestFit="1" customWidth="1"/>
    <col min="4" max="4" width="36.42578125" style="119" customWidth="1"/>
    <col min="5" max="5" width="11.5703125" style="20" bestFit="1" customWidth="1"/>
    <col min="6" max="9" width="11.5703125" style="20" customWidth="1"/>
    <col min="10" max="10" width="22.42578125" style="61" bestFit="1" customWidth="1"/>
    <col min="11" max="16384" width="11.42578125" style="20"/>
  </cols>
  <sheetData>
    <row r="1" spans="2:10" ht="18.75" customHeight="1"/>
    <row r="2" spans="2:10">
      <c r="I2" s="1080"/>
      <c r="J2" s="1078"/>
    </row>
    <row r="3" spans="2:10" ht="10.5" customHeight="1">
      <c r="I3" s="1080"/>
      <c r="J3" s="1079"/>
    </row>
    <row r="4" spans="2:10" ht="13.5" thickBot="1"/>
    <row r="5" spans="2:10" s="336" customFormat="1" ht="21.75" thickTop="1" thickBot="1">
      <c r="B5" s="331" t="s">
        <v>1040</v>
      </c>
      <c r="C5" s="332"/>
      <c r="D5" s="333"/>
      <c r="E5" s="332"/>
      <c r="F5" s="334"/>
      <c r="G5" s="334"/>
      <c r="H5" s="334"/>
      <c r="I5" s="334"/>
      <c r="J5" s="335"/>
    </row>
    <row r="6" spans="2:10" ht="17.25" thickTop="1" thickBot="1">
      <c r="B6" s="26"/>
      <c r="C6" s="26"/>
      <c r="D6" s="121"/>
      <c r="E6" s="26"/>
      <c r="F6" s="27"/>
      <c r="G6" s="27"/>
      <c r="H6" s="27"/>
      <c r="I6" s="27"/>
      <c r="J6" s="63"/>
    </row>
    <row r="7" spans="2:10" ht="16.5" customHeight="1" thickBot="1">
      <c r="B7" s="26"/>
      <c r="C7" s="26"/>
      <c r="D7" s="121"/>
      <c r="E7" s="1083" t="s">
        <v>1026</v>
      </c>
      <c r="F7" s="1084"/>
      <c r="G7" s="1084"/>
      <c r="H7" s="1084"/>
      <c r="I7" s="1085"/>
      <c r="J7" s="63"/>
    </row>
    <row r="8" spans="2:10" s="330" customFormat="1" ht="19.5" customHeight="1" thickBot="1">
      <c r="B8" s="327" t="s">
        <v>992</v>
      </c>
      <c r="C8" s="327" t="s">
        <v>993</v>
      </c>
      <c r="D8" s="327" t="s">
        <v>994</v>
      </c>
      <c r="E8" s="327" t="s">
        <v>0</v>
      </c>
      <c r="F8" s="327" t="s">
        <v>1</v>
      </c>
      <c r="G8" s="327" t="s">
        <v>995</v>
      </c>
      <c r="H8" s="328" t="s">
        <v>996</v>
      </c>
      <c r="I8" s="329" t="s">
        <v>997</v>
      </c>
      <c r="J8" s="327" t="s">
        <v>4</v>
      </c>
    </row>
    <row r="9" spans="2:10" s="1" customFormat="1" ht="28.5" hidden="1" customHeight="1">
      <c r="B9" s="245" t="s">
        <v>8</v>
      </c>
      <c r="C9" s="18"/>
      <c r="D9" s="122"/>
      <c r="E9" s="18"/>
      <c r="F9" s="51" t="s">
        <v>139</v>
      </c>
      <c r="G9" s="52" t="s">
        <v>251</v>
      </c>
      <c r="H9" s="10" t="s">
        <v>9</v>
      </c>
      <c r="I9" s="263" t="s">
        <v>10</v>
      </c>
      <c r="J9" s="269" t="s">
        <v>432</v>
      </c>
    </row>
    <row r="10" spans="2:10" s="1" customFormat="1" ht="26.25" hidden="1" customHeight="1">
      <c r="B10" s="246" t="s">
        <v>12</v>
      </c>
      <c r="C10" s="46" t="s">
        <v>181</v>
      </c>
      <c r="D10" s="123"/>
      <c r="E10" s="46"/>
      <c r="F10" s="3" t="s">
        <v>140</v>
      </c>
      <c r="G10" s="33"/>
      <c r="H10" s="3" t="s">
        <v>366</v>
      </c>
      <c r="I10" s="264" t="s">
        <v>13</v>
      </c>
      <c r="J10" s="270" t="s">
        <v>483</v>
      </c>
    </row>
    <row r="11" spans="2:10" s="1" customFormat="1" ht="26.25" hidden="1" customHeight="1" outlineLevel="1">
      <c r="B11" s="246" t="s">
        <v>18</v>
      </c>
      <c r="C11" s="19"/>
      <c r="D11" s="123"/>
      <c r="E11" s="19"/>
      <c r="F11" s="3" t="s">
        <v>141</v>
      </c>
      <c r="G11" s="34"/>
      <c r="H11" s="3" t="s">
        <v>19</v>
      </c>
      <c r="I11" s="265" t="s">
        <v>20</v>
      </c>
      <c r="J11" s="271"/>
    </row>
    <row r="12" spans="2:10" s="1" customFormat="1" ht="26.25" hidden="1" customHeight="1" outlineLevel="1">
      <c r="B12" s="246" t="s">
        <v>149</v>
      </c>
      <c r="C12" s="17"/>
      <c r="D12" s="124"/>
      <c r="E12" s="17"/>
      <c r="F12" s="6" t="s">
        <v>144</v>
      </c>
      <c r="G12" s="35"/>
      <c r="H12" s="6" t="s">
        <v>168</v>
      </c>
      <c r="I12" s="266" t="s">
        <v>36</v>
      </c>
      <c r="J12" s="272"/>
    </row>
    <row r="13" spans="2:10" s="1" customFormat="1" ht="26.25" hidden="1" customHeight="1" outlineLevel="1">
      <c r="B13" s="246" t="s">
        <v>22</v>
      </c>
      <c r="C13" s="17"/>
      <c r="D13" s="124"/>
      <c r="E13" s="17"/>
      <c r="F13" s="6" t="s">
        <v>139</v>
      </c>
      <c r="G13" s="35">
        <v>293600</v>
      </c>
      <c r="H13" s="6" t="s">
        <v>23</v>
      </c>
      <c r="I13" s="266" t="s">
        <v>10</v>
      </c>
      <c r="J13" s="272"/>
    </row>
    <row r="14" spans="2:10" s="1" customFormat="1" ht="26.25" hidden="1" customHeight="1" outlineLevel="1">
      <c r="B14" s="246" t="s">
        <v>133</v>
      </c>
      <c r="C14" s="17"/>
      <c r="D14" s="124"/>
      <c r="E14" s="17"/>
      <c r="F14" s="6" t="s">
        <v>139</v>
      </c>
      <c r="G14" s="35"/>
      <c r="H14" s="6" t="s">
        <v>167</v>
      </c>
      <c r="I14" s="266" t="s">
        <v>10</v>
      </c>
      <c r="J14" s="272"/>
    </row>
    <row r="15" spans="2:10" s="1" customFormat="1" ht="26.25" hidden="1" customHeight="1" outlineLevel="1">
      <c r="B15" s="246" t="s">
        <v>24</v>
      </c>
      <c r="C15" s="17"/>
      <c r="D15" s="124"/>
      <c r="E15" s="17"/>
      <c r="F15" s="6" t="s">
        <v>140</v>
      </c>
      <c r="G15" s="35"/>
      <c r="H15" s="6" t="s">
        <v>25</v>
      </c>
      <c r="I15" s="266" t="s">
        <v>13</v>
      </c>
      <c r="J15" s="272"/>
    </row>
    <row r="16" spans="2:10" s="1" customFormat="1" ht="26.25" hidden="1" customHeight="1" outlineLevel="1">
      <c r="B16" s="246" t="s">
        <v>134</v>
      </c>
      <c r="C16" s="17"/>
      <c r="D16" s="124"/>
      <c r="E16" s="17"/>
      <c r="F16" s="6" t="s">
        <v>139</v>
      </c>
      <c r="G16" s="35"/>
      <c r="H16" s="6" t="s">
        <v>156</v>
      </c>
      <c r="I16" s="266" t="s">
        <v>10</v>
      </c>
      <c r="J16" s="272"/>
    </row>
    <row r="17" spans="2:10" s="1" customFormat="1" ht="26.25" hidden="1" customHeight="1" outlineLevel="1">
      <c r="B17" s="246" t="s">
        <v>138</v>
      </c>
      <c r="C17" s="17"/>
      <c r="D17" s="124"/>
      <c r="E17" s="17"/>
      <c r="F17" s="6" t="s">
        <v>144</v>
      </c>
      <c r="G17" s="35"/>
      <c r="H17" s="6" t="s">
        <v>157</v>
      </c>
      <c r="I17" s="266" t="s">
        <v>36</v>
      </c>
      <c r="J17" s="272"/>
    </row>
    <row r="18" spans="2:10" s="1" customFormat="1" ht="26.25" hidden="1" customHeight="1" outlineLevel="1">
      <c r="B18" s="246" t="s">
        <v>26</v>
      </c>
      <c r="C18" s="17"/>
      <c r="D18" s="124"/>
      <c r="E18" s="17"/>
      <c r="F18" s="6" t="s">
        <v>139</v>
      </c>
      <c r="G18" s="35">
        <f>3101450</f>
        <v>3101450</v>
      </c>
      <c r="H18" s="6" t="s">
        <v>27</v>
      </c>
      <c r="I18" s="266" t="s">
        <v>10</v>
      </c>
      <c r="J18" s="272"/>
    </row>
    <row r="19" spans="2:10" s="1" customFormat="1" ht="26.25" hidden="1" customHeight="1" outlineLevel="1">
      <c r="B19" s="246" t="s">
        <v>28</v>
      </c>
      <c r="C19" s="17"/>
      <c r="D19" s="124"/>
      <c r="E19" s="17"/>
      <c r="F19" s="6" t="s">
        <v>140</v>
      </c>
      <c r="G19" s="35"/>
      <c r="H19" s="6" t="s">
        <v>29</v>
      </c>
      <c r="I19" s="266" t="s">
        <v>13</v>
      </c>
      <c r="J19" s="272"/>
    </row>
    <row r="20" spans="2:10" s="1" customFormat="1" ht="26.25" hidden="1" customHeight="1" outlineLevel="1">
      <c r="B20" s="246" t="s">
        <v>30</v>
      </c>
      <c r="C20" s="16" t="s">
        <v>31</v>
      </c>
      <c r="D20" s="124"/>
      <c r="E20" s="16"/>
      <c r="F20" s="6" t="s">
        <v>140</v>
      </c>
      <c r="G20" s="35">
        <f>1532700</f>
        <v>1532700</v>
      </c>
      <c r="H20" s="6" t="s">
        <v>32</v>
      </c>
      <c r="I20" s="266" t="s">
        <v>13</v>
      </c>
      <c r="J20" s="272"/>
    </row>
    <row r="21" spans="2:10" s="1" customFormat="1" ht="26.25" hidden="1" customHeight="1" outlineLevel="1">
      <c r="B21" s="246" t="s">
        <v>135</v>
      </c>
      <c r="C21" s="17"/>
      <c r="D21" s="124"/>
      <c r="E21" s="17"/>
      <c r="F21" s="6" t="s">
        <v>139</v>
      </c>
      <c r="G21" s="35"/>
      <c r="H21" s="6" t="s">
        <v>158</v>
      </c>
      <c r="I21" s="266" t="s">
        <v>10</v>
      </c>
      <c r="J21" s="272"/>
    </row>
    <row r="22" spans="2:10" s="1" customFormat="1" ht="23.25" hidden="1" customHeight="1">
      <c r="B22" s="246" t="s">
        <v>33</v>
      </c>
      <c r="C22" s="16" t="s">
        <v>34</v>
      </c>
      <c r="D22" s="138" t="s">
        <v>626</v>
      </c>
      <c r="E22" s="138" t="s">
        <v>626</v>
      </c>
      <c r="F22" s="6" t="s">
        <v>144</v>
      </c>
      <c r="G22" s="35">
        <f>4034570+1314500</f>
        <v>5349070</v>
      </c>
      <c r="H22" s="6" t="s">
        <v>35</v>
      </c>
      <c r="I22" s="266" t="s">
        <v>36</v>
      </c>
      <c r="J22" s="272" t="s">
        <v>434</v>
      </c>
    </row>
    <row r="23" spans="2:10" s="1" customFormat="1" ht="26.25" hidden="1" customHeight="1" outlineLevel="1">
      <c r="B23" s="246" t="s">
        <v>136</v>
      </c>
      <c r="C23" s="17"/>
      <c r="D23" s="124"/>
      <c r="E23" s="16"/>
      <c r="F23" s="6" t="s">
        <v>139</v>
      </c>
      <c r="G23" s="35"/>
      <c r="H23" s="6" t="s">
        <v>159</v>
      </c>
      <c r="I23" s="266" t="s">
        <v>10</v>
      </c>
      <c r="J23" s="272"/>
    </row>
    <row r="24" spans="2:10" s="1" customFormat="1" ht="26.25" hidden="1" customHeight="1" outlineLevel="1">
      <c r="B24" s="246" t="s">
        <v>37</v>
      </c>
      <c r="C24" s="17"/>
      <c r="D24" s="124"/>
      <c r="E24" s="16"/>
      <c r="F24" s="6" t="s">
        <v>139</v>
      </c>
      <c r="G24" s="35"/>
      <c r="H24" s="6" t="s">
        <v>38</v>
      </c>
      <c r="I24" s="266" t="s">
        <v>10</v>
      </c>
      <c r="J24" s="273"/>
    </row>
    <row r="25" spans="2:10" s="1" customFormat="1" ht="26.25" hidden="1" customHeight="1" outlineLevel="1">
      <c r="B25" s="246" t="s">
        <v>40</v>
      </c>
      <c r="C25" s="16" t="s">
        <v>154</v>
      </c>
      <c r="D25" s="124"/>
      <c r="E25" s="16"/>
      <c r="F25" s="6" t="s">
        <v>142</v>
      </c>
      <c r="G25" s="35">
        <f>936000+379300</f>
        <v>1315300</v>
      </c>
      <c r="H25" s="6" t="s">
        <v>41</v>
      </c>
      <c r="I25" s="266" t="s">
        <v>42</v>
      </c>
      <c r="J25" s="273"/>
    </row>
    <row r="26" spans="2:10" s="1" customFormat="1" ht="26.25" hidden="1" customHeight="1" outlineLevel="1">
      <c r="B26" s="246" t="s">
        <v>132</v>
      </c>
      <c r="C26" s="17"/>
      <c r="D26" s="124"/>
      <c r="E26" s="16"/>
      <c r="F26" s="6" t="s">
        <v>143</v>
      </c>
      <c r="G26" s="35">
        <v>4595000</v>
      </c>
      <c r="H26" s="6" t="s">
        <v>160</v>
      </c>
      <c r="I26" s="266" t="s">
        <v>148</v>
      </c>
      <c r="J26" s="273"/>
    </row>
    <row r="27" spans="2:10" s="1" customFormat="1" ht="26.25" hidden="1" customHeight="1" outlineLevel="1">
      <c r="B27" s="246" t="s">
        <v>137</v>
      </c>
      <c r="C27" s="17"/>
      <c r="D27" s="124"/>
      <c r="E27" s="16"/>
      <c r="F27" s="6" t="s">
        <v>139</v>
      </c>
      <c r="G27" s="35">
        <v>370000</v>
      </c>
      <c r="H27" s="6" t="s">
        <v>161</v>
      </c>
      <c r="I27" s="266" t="s">
        <v>10</v>
      </c>
      <c r="J27" s="273"/>
    </row>
    <row r="28" spans="2:10" s="1" customFormat="1" ht="26.25" hidden="1" customHeight="1" outlineLevel="1">
      <c r="B28" s="246" t="s">
        <v>44</v>
      </c>
      <c r="C28" s="17"/>
      <c r="D28" s="124"/>
      <c r="E28" s="16"/>
      <c r="F28" s="6" t="s">
        <v>140</v>
      </c>
      <c r="G28" s="35">
        <v>851200</v>
      </c>
      <c r="H28" s="6" t="s">
        <v>45</v>
      </c>
      <c r="I28" s="266" t="s">
        <v>13</v>
      </c>
      <c r="J28" s="273"/>
    </row>
    <row r="29" spans="2:10" s="1" customFormat="1" ht="26.25" hidden="1" customHeight="1" outlineLevel="1">
      <c r="B29" s="246" t="s">
        <v>47</v>
      </c>
      <c r="C29" s="17"/>
      <c r="D29" s="124"/>
      <c r="E29" s="16"/>
      <c r="F29" s="6" t="s">
        <v>144</v>
      </c>
      <c r="G29" s="35">
        <v>1052120</v>
      </c>
      <c r="H29" s="6" t="s">
        <v>48</v>
      </c>
      <c r="I29" s="266" t="s">
        <v>36</v>
      </c>
      <c r="J29" s="273"/>
    </row>
    <row r="30" spans="2:10" s="1" customFormat="1" ht="26.25" hidden="1" customHeight="1" outlineLevel="1">
      <c r="B30" s="246" t="s">
        <v>49</v>
      </c>
      <c r="C30" s="17"/>
      <c r="D30" s="124"/>
      <c r="E30" s="16"/>
      <c r="F30" s="6" t="s">
        <v>140</v>
      </c>
      <c r="G30" s="35">
        <v>138420</v>
      </c>
      <c r="H30" s="6" t="s">
        <v>50</v>
      </c>
      <c r="I30" s="266" t="s">
        <v>13</v>
      </c>
      <c r="J30" s="273"/>
    </row>
    <row r="31" spans="2:10" s="1" customFormat="1" ht="26.25" hidden="1" customHeight="1" outlineLevel="1">
      <c r="B31" s="246" t="s">
        <v>51</v>
      </c>
      <c r="C31" s="17"/>
      <c r="D31" s="124"/>
      <c r="E31" s="16"/>
      <c r="F31" s="6" t="s">
        <v>139</v>
      </c>
      <c r="G31" s="35">
        <v>632930</v>
      </c>
      <c r="H31" s="6" t="s">
        <v>52</v>
      </c>
      <c r="I31" s="266" t="s">
        <v>10</v>
      </c>
      <c r="J31" s="273"/>
    </row>
    <row r="32" spans="2:10" s="1" customFormat="1" ht="26.25" hidden="1" customHeight="1" outlineLevel="1">
      <c r="B32" s="246" t="s">
        <v>53</v>
      </c>
      <c r="C32" s="17"/>
      <c r="D32" s="124"/>
      <c r="E32" s="16"/>
      <c r="F32" s="6" t="s">
        <v>140</v>
      </c>
      <c r="G32" s="35">
        <v>200000</v>
      </c>
      <c r="H32" s="6" t="s">
        <v>54</v>
      </c>
      <c r="I32" s="266" t="s">
        <v>13</v>
      </c>
      <c r="J32" s="273"/>
    </row>
    <row r="33" spans="2:10" s="1" customFormat="1" ht="26.25" hidden="1" customHeight="1" outlineLevel="1">
      <c r="B33" s="246" t="s">
        <v>55</v>
      </c>
      <c r="C33" s="17"/>
      <c r="D33" s="124"/>
      <c r="E33" s="16"/>
      <c r="F33" s="6" t="s">
        <v>139</v>
      </c>
      <c r="G33" s="35">
        <v>721300</v>
      </c>
      <c r="H33" s="6" t="s">
        <v>56</v>
      </c>
      <c r="I33" s="266" t="s">
        <v>10</v>
      </c>
      <c r="J33" s="273"/>
    </row>
    <row r="34" spans="2:10" s="1" customFormat="1" ht="26.25" hidden="1" customHeight="1" outlineLevel="1">
      <c r="B34" s="247" t="s">
        <v>58</v>
      </c>
      <c r="C34" s="39" t="s">
        <v>59</v>
      </c>
      <c r="D34" s="125"/>
      <c r="E34" s="16"/>
      <c r="F34" s="6" t="s">
        <v>139</v>
      </c>
      <c r="G34" s="35">
        <f>1150000*2</f>
        <v>2300000</v>
      </c>
      <c r="H34" s="6" t="s">
        <v>60</v>
      </c>
      <c r="I34" s="266" t="s">
        <v>10</v>
      </c>
      <c r="J34" s="273"/>
    </row>
    <row r="35" spans="2:10" s="1" customFormat="1" ht="26.25" hidden="1" customHeight="1" outlineLevel="1">
      <c r="B35" s="246" t="s">
        <v>61</v>
      </c>
      <c r="C35" s="37"/>
      <c r="D35" s="126"/>
      <c r="E35" s="16"/>
      <c r="F35" s="6" t="s">
        <v>144</v>
      </c>
      <c r="G35" s="35">
        <v>3140000</v>
      </c>
      <c r="H35" s="6" t="s">
        <v>62</v>
      </c>
      <c r="I35" s="266" t="s">
        <v>36</v>
      </c>
      <c r="J35" s="273"/>
    </row>
    <row r="36" spans="2:10" s="1" customFormat="1" ht="26.25" hidden="1" customHeight="1" outlineLevel="1">
      <c r="B36" s="247" t="s">
        <v>64</v>
      </c>
      <c r="C36" s="39" t="s">
        <v>65</v>
      </c>
      <c r="D36" s="125"/>
      <c r="E36" s="16"/>
      <c r="F36" s="6" t="s">
        <v>140</v>
      </c>
      <c r="G36" s="35">
        <v>1486000</v>
      </c>
      <c r="H36" s="6" t="s">
        <v>66</v>
      </c>
      <c r="I36" s="266" t="s">
        <v>13</v>
      </c>
      <c r="J36" s="273"/>
    </row>
    <row r="37" spans="2:10" s="1" customFormat="1" ht="26.25" hidden="1" customHeight="1" outlineLevel="1">
      <c r="B37" s="246" t="s">
        <v>67</v>
      </c>
      <c r="C37" s="37"/>
      <c r="D37" s="126"/>
      <c r="E37" s="16"/>
      <c r="F37" s="6" t="s">
        <v>144</v>
      </c>
      <c r="G37" s="35">
        <v>755370</v>
      </c>
      <c r="H37" s="6" t="s">
        <v>68</v>
      </c>
      <c r="I37" s="266" t="s">
        <v>36</v>
      </c>
      <c r="J37" s="273"/>
    </row>
    <row r="38" spans="2:10" s="1" customFormat="1" ht="26.25" hidden="1" customHeight="1" outlineLevel="1">
      <c r="B38" s="246" t="s">
        <v>69</v>
      </c>
      <c r="C38" s="17"/>
      <c r="D38" s="124"/>
      <c r="E38" s="16"/>
      <c r="F38" s="6" t="s">
        <v>139</v>
      </c>
      <c r="G38" s="35">
        <v>43050</v>
      </c>
      <c r="H38" s="6" t="s">
        <v>166</v>
      </c>
      <c r="I38" s="266" t="s">
        <v>10</v>
      </c>
      <c r="J38" s="273"/>
    </row>
    <row r="39" spans="2:10" s="1" customFormat="1" ht="26.25" hidden="1" customHeight="1" outlineLevel="1">
      <c r="B39" s="246" t="s">
        <v>70</v>
      </c>
      <c r="C39" s="17"/>
      <c r="D39" s="124"/>
      <c r="E39" s="16"/>
      <c r="F39" s="6" t="s">
        <v>142</v>
      </c>
      <c r="G39" s="35">
        <v>2178670</v>
      </c>
      <c r="H39" s="6" t="s">
        <v>165</v>
      </c>
      <c r="I39" s="266" t="s">
        <v>42</v>
      </c>
      <c r="J39" s="273"/>
    </row>
    <row r="40" spans="2:10" s="1" customFormat="1" ht="26.25" hidden="1" customHeight="1" outlineLevel="1">
      <c r="B40" s="246" t="s">
        <v>72</v>
      </c>
      <c r="C40" s="17"/>
      <c r="D40" s="124"/>
      <c r="E40" s="16"/>
      <c r="F40" s="6" t="s">
        <v>140</v>
      </c>
      <c r="G40" s="35">
        <v>231360</v>
      </c>
      <c r="H40" s="6" t="s">
        <v>73</v>
      </c>
      <c r="I40" s="266" t="s">
        <v>13</v>
      </c>
      <c r="J40" s="273"/>
    </row>
    <row r="41" spans="2:10" s="1" customFormat="1" ht="24" hidden="1" customHeight="1">
      <c r="B41" s="246" t="s">
        <v>74</v>
      </c>
      <c r="C41" s="16" t="s">
        <v>75</v>
      </c>
      <c r="D41" s="124"/>
      <c r="E41" s="16"/>
      <c r="F41" s="6" t="s">
        <v>155</v>
      </c>
      <c r="G41" s="35">
        <v>8500000</v>
      </c>
      <c r="H41" s="6" t="s">
        <v>76</v>
      </c>
      <c r="I41" s="266" t="s">
        <v>148</v>
      </c>
      <c r="J41" s="273" t="s">
        <v>435</v>
      </c>
    </row>
    <row r="42" spans="2:10" s="1" customFormat="1" ht="26.25" hidden="1" customHeight="1" outlineLevel="1">
      <c r="B42" s="246" t="s">
        <v>77</v>
      </c>
      <c r="C42" s="17"/>
      <c r="D42" s="124"/>
      <c r="E42" s="16"/>
      <c r="F42" s="6" t="s">
        <v>139</v>
      </c>
      <c r="G42" s="35">
        <v>239700</v>
      </c>
      <c r="H42" s="6" t="s">
        <v>78</v>
      </c>
      <c r="I42" s="266" t="s">
        <v>10</v>
      </c>
      <c r="J42" s="273"/>
    </row>
    <row r="43" spans="2:10" s="1" customFormat="1" ht="26.25" hidden="1" customHeight="1" outlineLevel="1">
      <c r="B43" s="246" t="s">
        <v>80</v>
      </c>
      <c r="C43" s="17"/>
      <c r="D43" s="124"/>
      <c r="E43" s="16"/>
      <c r="F43" s="6" t="s">
        <v>139</v>
      </c>
      <c r="G43" s="35">
        <v>362450</v>
      </c>
      <c r="H43" s="6" t="s">
        <v>81</v>
      </c>
      <c r="I43" s="266" t="s">
        <v>10</v>
      </c>
      <c r="J43" s="273"/>
    </row>
    <row r="44" spans="2:10" s="1" customFormat="1" ht="22.5" hidden="1" customHeight="1" outlineLevel="1">
      <c r="B44" s="246" t="s">
        <v>83</v>
      </c>
      <c r="C44" s="17"/>
      <c r="D44" s="124"/>
      <c r="E44" s="16"/>
      <c r="F44" s="6" t="s">
        <v>140</v>
      </c>
      <c r="G44" s="35">
        <v>138500</v>
      </c>
      <c r="H44" s="6" t="s">
        <v>84</v>
      </c>
      <c r="I44" s="266" t="s">
        <v>13</v>
      </c>
      <c r="J44" s="273"/>
    </row>
    <row r="45" spans="2:10" s="1" customFormat="1" ht="20.25" hidden="1" customHeight="1">
      <c r="B45" s="246" t="s">
        <v>86</v>
      </c>
      <c r="C45" s="16" t="s">
        <v>87</v>
      </c>
      <c r="D45" s="124"/>
      <c r="E45" s="16"/>
      <c r="F45" s="6" t="s">
        <v>144</v>
      </c>
      <c r="G45" s="35">
        <f>720000+680000</f>
        <v>1400000</v>
      </c>
      <c r="H45" s="6" t="s">
        <v>88</v>
      </c>
      <c r="I45" s="266" t="s">
        <v>36</v>
      </c>
      <c r="J45" s="273" t="s">
        <v>436</v>
      </c>
    </row>
    <row r="46" spans="2:10" s="1" customFormat="1" ht="26.25" hidden="1" customHeight="1" outlineLevel="1">
      <c r="B46" s="246" t="s">
        <v>89</v>
      </c>
      <c r="C46" s="16" t="s">
        <v>90</v>
      </c>
      <c r="D46" s="124"/>
      <c r="E46" s="16"/>
      <c r="F46" s="6" t="s">
        <v>140</v>
      </c>
      <c r="G46" s="35">
        <f>607000*2</f>
        <v>1214000</v>
      </c>
      <c r="H46" s="6" t="s">
        <v>91</v>
      </c>
      <c r="I46" s="266" t="s">
        <v>13</v>
      </c>
      <c r="J46" s="273"/>
    </row>
    <row r="47" spans="2:10" s="1" customFormat="1" ht="26.25" hidden="1" customHeight="1" outlineLevel="1">
      <c r="B47" s="246" t="s">
        <v>92</v>
      </c>
      <c r="C47" s="17"/>
      <c r="D47" s="124"/>
      <c r="E47" s="16"/>
      <c r="F47" s="6" t="s">
        <v>142</v>
      </c>
      <c r="G47" s="35">
        <v>834750</v>
      </c>
      <c r="H47" s="6" t="s">
        <v>93</v>
      </c>
      <c r="I47" s="266" t="s">
        <v>42</v>
      </c>
      <c r="J47" s="273"/>
    </row>
    <row r="48" spans="2:10" s="1" customFormat="1" ht="26.25" hidden="1" customHeight="1" outlineLevel="1">
      <c r="B48" s="246" t="s">
        <v>94</v>
      </c>
      <c r="C48" s="31" t="s">
        <v>95</v>
      </c>
      <c r="D48" s="124"/>
      <c r="E48" s="16"/>
      <c r="F48" s="6" t="s">
        <v>139</v>
      </c>
      <c r="G48" s="35">
        <v>885000</v>
      </c>
      <c r="H48" s="6" t="s">
        <v>96</v>
      </c>
      <c r="I48" s="266" t="s">
        <v>10</v>
      </c>
      <c r="J48" s="273"/>
    </row>
    <row r="49" spans="2:10" s="1" customFormat="1" ht="26.25" hidden="1" customHeight="1" outlineLevel="1">
      <c r="B49" s="246" t="s">
        <v>97</v>
      </c>
      <c r="C49" s="31" t="s">
        <v>187</v>
      </c>
      <c r="D49" s="124"/>
      <c r="E49" s="16"/>
      <c r="F49" s="6" t="s">
        <v>139</v>
      </c>
      <c r="G49" s="35">
        <v>1470000</v>
      </c>
      <c r="H49" s="6" t="s">
        <v>98</v>
      </c>
      <c r="I49" s="266" t="s">
        <v>10</v>
      </c>
      <c r="J49" s="273"/>
    </row>
    <row r="50" spans="2:10" s="1" customFormat="1" ht="26.25" hidden="1" customHeight="1" outlineLevel="1">
      <c r="B50" s="246" t="s">
        <v>99</v>
      </c>
      <c r="C50" s="31" t="s">
        <v>100</v>
      </c>
      <c r="D50" s="124"/>
      <c r="E50" s="16"/>
      <c r="F50" s="6" t="s">
        <v>139</v>
      </c>
      <c r="G50" s="35">
        <f>850000+230000</f>
        <v>1080000</v>
      </c>
      <c r="H50" s="6" t="s">
        <v>101</v>
      </c>
      <c r="I50" s="266" t="s">
        <v>10</v>
      </c>
      <c r="J50" s="273"/>
    </row>
    <row r="51" spans="2:10" s="1" customFormat="1" ht="20.25" hidden="1" customHeight="1">
      <c r="B51" s="246" t="s">
        <v>102</v>
      </c>
      <c r="C51" s="17"/>
      <c r="D51" s="124"/>
      <c r="E51" s="16"/>
      <c r="F51" s="6" t="s">
        <v>144</v>
      </c>
      <c r="G51" s="35">
        <v>1030000</v>
      </c>
      <c r="H51" s="6" t="s">
        <v>103</v>
      </c>
      <c r="I51" s="266" t="s">
        <v>36</v>
      </c>
      <c r="J51" s="273" t="s">
        <v>437</v>
      </c>
    </row>
    <row r="52" spans="2:10" s="1" customFormat="1" ht="22.5" hidden="1" customHeight="1">
      <c r="B52" s="246" t="s">
        <v>105</v>
      </c>
      <c r="C52" s="17"/>
      <c r="D52" s="124"/>
      <c r="E52" s="16"/>
      <c r="F52" s="6" t="s">
        <v>144</v>
      </c>
      <c r="G52" s="35">
        <v>260000</v>
      </c>
      <c r="H52" s="6" t="s">
        <v>106</v>
      </c>
      <c r="I52" s="266" t="s">
        <v>36</v>
      </c>
      <c r="J52" s="273" t="s">
        <v>437</v>
      </c>
    </row>
    <row r="53" spans="2:10" s="1" customFormat="1" ht="27" hidden="1" customHeight="1" collapsed="1">
      <c r="B53" s="246" t="s">
        <v>94</v>
      </c>
      <c r="C53" s="16"/>
      <c r="D53" s="124"/>
      <c r="E53" s="16"/>
      <c r="F53" s="6" t="s">
        <v>139</v>
      </c>
      <c r="G53" s="35"/>
      <c r="H53" s="6" t="s">
        <v>467</v>
      </c>
      <c r="I53" s="266" t="s">
        <v>10</v>
      </c>
      <c r="J53" s="273" t="s">
        <v>439</v>
      </c>
    </row>
    <row r="54" spans="2:10" s="1" customFormat="1" ht="26.25" hidden="1" customHeight="1">
      <c r="B54" s="246" t="s">
        <v>107</v>
      </c>
      <c r="C54" s="31" t="s">
        <v>186</v>
      </c>
      <c r="D54" s="124"/>
      <c r="E54" s="16"/>
      <c r="F54" s="6" t="s">
        <v>140</v>
      </c>
      <c r="G54" s="35">
        <v>902000</v>
      </c>
      <c r="H54" s="6" t="s">
        <v>421</v>
      </c>
      <c r="I54" s="264" t="s">
        <v>13</v>
      </c>
      <c r="J54" s="270" t="s">
        <v>483</v>
      </c>
    </row>
    <row r="55" spans="2:10" s="1" customFormat="1" ht="26.25" hidden="1" customHeight="1">
      <c r="B55" s="248" t="s">
        <v>22</v>
      </c>
      <c r="C55" s="91" t="s">
        <v>108</v>
      </c>
      <c r="D55" s="140" t="s">
        <v>626</v>
      </c>
      <c r="E55" s="141" t="s">
        <v>627</v>
      </c>
      <c r="F55" s="6" t="s">
        <v>155</v>
      </c>
      <c r="G55" s="35">
        <v>532000</v>
      </c>
      <c r="H55" s="6" t="s">
        <v>23</v>
      </c>
      <c r="I55" s="266" t="s">
        <v>291</v>
      </c>
      <c r="J55" s="273" t="s">
        <v>488</v>
      </c>
    </row>
    <row r="56" spans="2:10" s="1" customFormat="1" ht="26.25" hidden="1" customHeight="1" outlineLevel="1">
      <c r="B56" s="249"/>
      <c r="C56" s="142" t="s">
        <v>109</v>
      </c>
      <c r="D56" s="124"/>
      <c r="E56" s="16"/>
      <c r="F56" s="6" t="s">
        <v>155</v>
      </c>
      <c r="G56" s="35">
        <v>20400</v>
      </c>
      <c r="H56" s="6" t="s">
        <v>110</v>
      </c>
      <c r="I56" s="266" t="s">
        <v>153</v>
      </c>
      <c r="J56" s="273"/>
    </row>
    <row r="57" spans="2:10" s="1" customFormat="1" ht="26.25" hidden="1" customHeight="1" outlineLevel="1">
      <c r="B57" s="249"/>
      <c r="C57" s="39" t="s">
        <v>150</v>
      </c>
      <c r="D57" s="125"/>
      <c r="E57" s="16"/>
      <c r="F57" s="6" t="s">
        <v>155</v>
      </c>
      <c r="G57" s="35">
        <v>1537000</v>
      </c>
      <c r="H57" s="6" t="s">
        <v>151</v>
      </c>
      <c r="I57" s="266" t="s">
        <v>152</v>
      </c>
      <c r="J57" s="273"/>
    </row>
    <row r="58" spans="2:10" s="1" customFormat="1" ht="26.25" hidden="1" customHeight="1" outlineLevel="1">
      <c r="B58" s="248" t="s">
        <v>112</v>
      </c>
      <c r="C58" s="39" t="s">
        <v>113</v>
      </c>
      <c r="D58" s="125"/>
      <c r="E58" s="16"/>
      <c r="F58" s="6" t="s">
        <v>139</v>
      </c>
      <c r="G58" s="35">
        <f>32000+203800</f>
        <v>235800</v>
      </c>
      <c r="H58" s="6" t="s">
        <v>114</v>
      </c>
      <c r="I58" s="266" t="s">
        <v>10</v>
      </c>
      <c r="J58" s="273"/>
    </row>
    <row r="59" spans="2:10" s="1" customFormat="1" ht="26.25" hidden="1" customHeight="1" outlineLevel="1">
      <c r="B59" s="250" t="s">
        <v>115</v>
      </c>
      <c r="C59" s="36" t="s">
        <v>116</v>
      </c>
      <c r="D59" s="126"/>
      <c r="E59" s="16"/>
      <c r="F59" s="6" t="s">
        <v>144</v>
      </c>
      <c r="G59" s="35">
        <v>305000</v>
      </c>
      <c r="H59" s="6" t="s">
        <v>117</v>
      </c>
      <c r="I59" s="266" t="s">
        <v>36</v>
      </c>
      <c r="J59" s="273"/>
    </row>
    <row r="60" spans="2:10" s="1" customFormat="1" ht="26.25" hidden="1" customHeight="1" outlineLevel="1">
      <c r="B60" s="250" t="s">
        <v>118</v>
      </c>
      <c r="C60" s="31" t="s">
        <v>185</v>
      </c>
      <c r="D60" s="124"/>
      <c r="E60" s="16"/>
      <c r="F60" s="6" t="s">
        <v>144</v>
      </c>
      <c r="G60" s="35">
        <f>400000</f>
        <v>400000</v>
      </c>
      <c r="H60" s="6" t="s">
        <v>119</v>
      </c>
      <c r="I60" s="266" t="s">
        <v>36</v>
      </c>
      <c r="J60" s="273"/>
    </row>
    <row r="61" spans="2:10" s="1" customFormat="1" ht="26.25" hidden="1" customHeight="1" outlineLevel="1">
      <c r="B61" s="250" t="s">
        <v>120</v>
      </c>
      <c r="C61" s="31" t="s">
        <v>184</v>
      </c>
      <c r="D61" s="124"/>
      <c r="E61" s="16"/>
      <c r="F61" s="6" t="s">
        <v>140</v>
      </c>
      <c r="G61" s="35">
        <v>89000</v>
      </c>
      <c r="H61" s="6" t="s">
        <v>121</v>
      </c>
      <c r="I61" s="266" t="s">
        <v>13</v>
      </c>
      <c r="J61" s="273"/>
    </row>
    <row r="62" spans="2:10" s="1" customFormat="1" ht="26.25" hidden="1" customHeight="1" outlineLevel="1">
      <c r="B62" s="246" t="s">
        <v>122</v>
      </c>
      <c r="C62" s="16" t="s">
        <v>123</v>
      </c>
      <c r="D62" s="124"/>
      <c r="E62" s="16"/>
      <c r="F62" s="6" t="s">
        <v>142</v>
      </c>
      <c r="G62" s="35">
        <v>1567000</v>
      </c>
      <c r="H62" s="6" t="s">
        <v>124</v>
      </c>
      <c r="I62" s="266" t="s">
        <v>125</v>
      </c>
      <c r="J62" s="273"/>
    </row>
    <row r="63" spans="2:10" s="1" customFormat="1" ht="26.25" hidden="1" customHeight="1" outlineLevel="1">
      <c r="B63" s="246" t="s">
        <v>126</v>
      </c>
      <c r="C63" s="16" t="s">
        <v>127</v>
      </c>
      <c r="D63" s="124"/>
      <c r="E63" s="16"/>
      <c r="F63" s="6" t="s">
        <v>140</v>
      </c>
      <c r="G63" s="35">
        <f>168700+15600</f>
        <v>184300</v>
      </c>
      <c r="H63" s="6" t="s">
        <v>164</v>
      </c>
      <c r="I63" s="266" t="s">
        <v>13</v>
      </c>
      <c r="J63" s="273"/>
    </row>
    <row r="64" spans="2:10" s="1" customFormat="1" ht="26.25" hidden="1" customHeight="1" outlineLevel="1">
      <c r="B64" s="246" t="s">
        <v>128</v>
      </c>
      <c r="C64" s="31" t="s">
        <v>183</v>
      </c>
      <c r="D64" s="124"/>
      <c r="E64" s="16"/>
      <c r="F64" s="6" t="s">
        <v>139</v>
      </c>
      <c r="G64" s="35">
        <v>505800</v>
      </c>
      <c r="H64" s="6" t="s">
        <v>129</v>
      </c>
      <c r="I64" s="266" t="s">
        <v>10</v>
      </c>
      <c r="J64" s="273"/>
    </row>
    <row r="65" spans="2:10" s="1" customFormat="1" ht="26.25" hidden="1" customHeight="1" outlineLevel="1">
      <c r="B65" s="246" t="s">
        <v>130</v>
      </c>
      <c r="C65" s="31" t="s">
        <v>176</v>
      </c>
      <c r="D65" s="124"/>
      <c r="E65" s="16"/>
      <c r="F65" s="6" t="s">
        <v>140</v>
      </c>
      <c r="G65" s="35">
        <v>157400</v>
      </c>
      <c r="H65" s="6" t="s">
        <v>131</v>
      </c>
      <c r="I65" s="266" t="s">
        <v>13</v>
      </c>
      <c r="J65" s="273"/>
    </row>
    <row r="66" spans="2:10" s="1" customFormat="1" ht="26.25" hidden="1" customHeight="1" outlineLevel="1">
      <c r="B66" s="247" t="s">
        <v>145</v>
      </c>
      <c r="C66" s="39" t="s">
        <v>146</v>
      </c>
      <c r="D66" s="125"/>
      <c r="E66" s="16"/>
      <c r="F66" s="6" t="s">
        <v>140</v>
      </c>
      <c r="G66" s="35">
        <v>546000</v>
      </c>
      <c r="H66" s="6" t="s">
        <v>147</v>
      </c>
      <c r="I66" s="266" t="s">
        <v>13</v>
      </c>
      <c r="J66" s="273"/>
    </row>
    <row r="67" spans="2:10" s="1" customFormat="1" ht="26.25" hidden="1" customHeight="1">
      <c r="B67" s="246" t="s">
        <v>169</v>
      </c>
      <c r="C67" s="37"/>
      <c r="D67" s="138" t="s">
        <v>627</v>
      </c>
      <c r="E67" s="138" t="s">
        <v>627</v>
      </c>
      <c r="F67" s="6" t="s">
        <v>139</v>
      </c>
      <c r="G67" s="35">
        <v>50000</v>
      </c>
      <c r="H67" s="6" t="s">
        <v>170</v>
      </c>
      <c r="I67" s="266" t="s">
        <v>10</v>
      </c>
      <c r="J67" s="273" t="s">
        <v>438</v>
      </c>
    </row>
    <row r="68" spans="2:10" s="1" customFormat="1" ht="26.25" hidden="1" customHeight="1" outlineLevel="1">
      <c r="B68" s="248" t="s">
        <v>180</v>
      </c>
      <c r="C68" s="40" t="s">
        <v>171</v>
      </c>
      <c r="D68" s="125"/>
      <c r="E68" s="138" t="s">
        <v>627</v>
      </c>
      <c r="F68" s="6" t="s">
        <v>140</v>
      </c>
      <c r="G68" s="35">
        <v>141000</v>
      </c>
      <c r="H68" s="6" t="s">
        <v>177</v>
      </c>
      <c r="I68" s="266" t="s">
        <v>13</v>
      </c>
      <c r="J68" s="273"/>
    </row>
    <row r="69" spans="2:10" s="1" customFormat="1" ht="24.75" hidden="1" customHeight="1" outlineLevel="1">
      <c r="B69" s="247" t="s">
        <v>172</v>
      </c>
      <c r="C69" s="38" t="s">
        <v>173</v>
      </c>
      <c r="D69" s="125"/>
      <c r="E69" s="138" t="s">
        <v>627</v>
      </c>
      <c r="F69" s="6" t="s">
        <v>144</v>
      </c>
      <c r="G69" s="35">
        <v>195920</v>
      </c>
      <c r="H69" s="6" t="s">
        <v>174</v>
      </c>
      <c r="I69" s="266" t="s">
        <v>36</v>
      </c>
      <c r="J69" s="273"/>
    </row>
    <row r="70" spans="2:10" s="1" customFormat="1" ht="24" hidden="1" customHeight="1">
      <c r="B70" s="251" t="s">
        <v>188</v>
      </c>
      <c r="C70" s="36" t="s">
        <v>190</v>
      </c>
      <c r="D70" s="126"/>
      <c r="E70" s="138" t="s">
        <v>627</v>
      </c>
      <c r="F70" s="6" t="s">
        <v>142</v>
      </c>
      <c r="G70" s="35">
        <v>1200000</v>
      </c>
      <c r="H70" s="6" t="s">
        <v>237</v>
      </c>
      <c r="I70" s="266" t="s">
        <v>125</v>
      </c>
      <c r="J70" s="273" t="s">
        <v>435</v>
      </c>
    </row>
    <row r="71" spans="2:10" s="1" customFormat="1" ht="22.5" hidden="1" customHeight="1">
      <c r="B71" s="246" t="s">
        <v>189</v>
      </c>
      <c r="C71" s="46" t="s">
        <v>191</v>
      </c>
      <c r="D71" s="124"/>
      <c r="E71" s="138" t="s">
        <v>627</v>
      </c>
      <c r="F71" s="6" t="s">
        <v>139</v>
      </c>
      <c r="G71" s="35">
        <v>1120000</v>
      </c>
      <c r="H71" s="6" t="s">
        <v>193</v>
      </c>
      <c r="I71" s="266" t="s">
        <v>10</v>
      </c>
      <c r="J71" s="273" t="s">
        <v>432</v>
      </c>
    </row>
    <row r="72" spans="2:10" s="1" customFormat="1" ht="26.25" hidden="1" customHeight="1" outlineLevel="1">
      <c r="B72" s="246" t="s">
        <v>194</v>
      </c>
      <c r="C72" s="31" t="s">
        <v>196</v>
      </c>
      <c r="D72" s="124"/>
      <c r="E72" s="138" t="s">
        <v>627</v>
      </c>
      <c r="F72" s="6" t="s">
        <v>144</v>
      </c>
      <c r="G72" s="35">
        <v>69000</v>
      </c>
      <c r="H72" s="6" t="s">
        <v>200</v>
      </c>
      <c r="I72" s="266" t="s">
        <v>36</v>
      </c>
      <c r="J72" s="273"/>
    </row>
    <row r="73" spans="2:10" s="1" customFormat="1" ht="26.25" hidden="1" customHeight="1" outlineLevel="1">
      <c r="B73" s="247" t="s">
        <v>197</v>
      </c>
      <c r="C73" s="38" t="s">
        <v>198</v>
      </c>
      <c r="D73" s="125"/>
      <c r="E73" s="138" t="s">
        <v>627</v>
      </c>
      <c r="F73" s="6" t="s">
        <v>142</v>
      </c>
      <c r="G73" s="35">
        <v>326569</v>
      </c>
      <c r="H73" s="6" t="s">
        <v>199</v>
      </c>
      <c r="I73" s="266" t="s">
        <v>204</v>
      </c>
      <c r="J73" s="273"/>
    </row>
    <row r="74" spans="2:10" s="1" customFormat="1" ht="26.25" hidden="1" customHeight="1" outlineLevel="1">
      <c r="B74" s="247" t="s">
        <v>201</v>
      </c>
      <c r="C74" s="47" t="s">
        <v>202</v>
      </c>
      <c r="D74" s="126"/>
      <c r="E74" s="138" t="s">
        <v>627</v>
      </c>
      <c r="F74" s="6" t="s">
        <v>144</v>
      </c>
      <c r="G74" s="35">
        <v>177233.1</v>
      </c>
      <c r="H74" s="6" t="s">
        <v>203</v>
      </c>
      <c r="I74" s="266" t="s">
        <v>36</v>
      </c>
      <c r="J74" s="273"/>
    </row>
    <row r="75" spans="2:10" s="1" customFormat="1" ht="21.75" hidden="1" customHeight="1">
      <c r="B75" s="247" t="s">
        <v>205</v>
      </c>
      <c r="C75" s="48" t="s">
        <v>206</v>
      </c>
      <c r="D75" s="124"/>
      <c r="E75" s="138" t="s">
        <v>627</v>
      </c>
      <c r="F75" s="6" t="s">
        <v>140</v>
      </c>
      <c r="G75" s="35">
        <v>415000</v>
      </c>
      <c r="H75" s="6" t="s">
        <v>207</v>
      </c>
      <c r="I75" s="266" t="s">
        <v>13</v>
      </c>
      <c r="J75" s="273" t="s">
        <v>433</v>
      </c>
    </row>
    <row r="76" spans="2:10" s="1" customFormat="1" ht="21.75" hidden="1" customHeight="1">
      <c r="B76" s="246" t="s">
        <v>208</v>
      </c>
      <c r="C76" s="18"/>
      <c r="D76" s="126"/>
      <c r="E76" s="138" t="s">
        <v>627</v>
      </c>
      <c r="F76" s="6" t="s">
        <v>139</v>
      </c>
      <c r="G76" s="35">
        <v>390465</v>
      </c>
      <c r="H76" s="6" t="s">
        <v>209</v>
      </c>
      <c r="I76" s="266" t="s">
        <v>10</v>
      </c>
      <c r="J76" s="273" t="s">
        <v>439</v>
      </c>
    </row>
    <row r="77" spans="2:10" s="1" customFormat="1" ht="21.75" hidden="1" customHeight="1">
      <c r="B77" s="252" t="s">
        <v>210</v>
      </c>
      <c r="C77" s="36" t="s">
        <v>211</v>
      </c>
      <c r="D77" s="126"/>
      <c r="E77" s="138" t="s">
        <v>627</v>
      </c>
      <c r="F77" s="6" t="s">
        <v>144</v>
      </c>
      <c r="G77" s="35">
        <v>3820000</v>
      </c>
      <c r="H77" s="6" t="s">
        <v>212</v>
      </c>
      <c r="I77" s="266" t="s">
        <v>36</v>
      </c>
      <c r="J77" s="273" t="s">
        <v>437</v>
      </c>
    </row>
    <row r="78" spans="2:10" s="1" customFormat="1" ht="26.25" hidden="1" customHeight="1" outlineLevel="1">
      <c r="B78" s="252" t="s">
        <v>213</v>
      </c>
      <c r="C78" s="48" t="s">
        <v>215</v>
      </c>
      <c r="D78" s="124"/>
      <c r="E78" s="138" t="s">
        <v>627</v>
      </c>
      <c r="F78" s="6" t="s">
        <v>140</v>
      </c>
      <c r="G78" s="35">
        <v>134000</v>
      </c>
      <c r="H78" s="6" t="s">
        <v>216</v>
      </c>
      <c r="I78" s="266" t="s">
        <v>13</v>
      </c>
      <c r="J78" s="273"/>
    </row>
    <row r="79" spans="2:10" s="1" customFormat="1" ht="26.25" hidden="1" customHeight="1" outlineLevel="1">
      <c r="B79" s="252" t="s">
        <v>214</v>
      </c>
      <c r="C79" s="31" t="s">
        <v>227</v>
      </c>
      <c r="D79" s="124"/>
      <c r="E79" s="138" t="s">
        <v>627</v>
      </c>
      <c r="F79" s="6" t="s">
        <v>140</v>
      </c>
      <c r="G79" s="35">
        <v>168280</v>
      </c>
      <c r="H79" s="6" t="s">
        <v>217</v>
      </c>
      <c r="I79" s="266" t="s">
        <v>13</v>
      </c>
      <c r="J79" s="273"/>
    </row>
    <row r="80" spans="2:10" s="1" customFormat="1" ht="26.25" hidden="1" customHeight="1" outlineLevel="1">
      <c r="B80" s="253" t="s">
        <v>218</v>
      </c>
      <c r="C80" s="38" t="s">
        <v>224</v>
      </c>
      <c r="D80" s="125"/>
      <c r="E80" s="138" t="s">
        <v>627</v>
      </c>
      <c r="F80" s="6" t="s">
        <v>140</v>
      </c>
      <c r="G80" s="35">
        <v>143509</v>
      </c>
      <c r="H80" s="6" t="s">
        <v>225</v>
      </c>
      <c r="I80" s="266" t="s">
        <v>13</v>
      </c>
      <c r="J80" s="273"/>
    </row>
    <row r="81" spans="2:10" s="1" customFormat="1" ht="21.75" hidden="1" customHeight="1">
      <c r="B81" s="253" t="s">
        <v>219</v>
      </c>
      <c r="C81" s="38" t="s">
        <v>226</v>
      </c>
      <c r="D81" s="125"/>
      <c r="E81" s="138" t="s">
        <v>627</v>
      </c>
      <c r="F81" s="6" t="s">
        <v>142</v>
      </c>
      <c r="G81" s="35">
        <v>1497763.4</v>
      </c>
      <c r="H81" s="6" t="s">
        <v>228</v>
      </c>
      <c r="I81" s="266" t="s">
        <v>125</v>
      </c>
      <c r="J81" s="273" t="s">
        <v>435</v>
      </c>
    </row>
    <row r="82" spans="2:10" s="1" customFormat="1" ht="26.25" hidden="1" customHeight="1" outlineLevel="1">
      <c r="B82" s="253" t="s">
        <v>220</v>
      </c>
      <c r="C82" s="38" t="s">
        <v>231</v>
      </c>
      <c r="D82" s="125"/>
      <c r="E82" s="138" t="s">
        <v>627</v>
      </c>
      <c r="F82" s="6" t="s">
        <v>142</v>
      </c>
      <c r="G82" s="35">
        <v>650000</v>
      </c>
      <c r="H82" s="6" t="s">
        <v>233</v>
      </c>
      <c r="I82" s="266" t="s">
        <v>204</v>
      </c>
      <c r="J82" s="273"/>
    </row>
    <row r="83" spans="2:10" s="1" customFormat="1" ht="19.5" hidden="1" customHeight="1">
      <c r="B83" s="252" t="s">
        <v>221</v>
      </c>
      <c r="C83" s="36" t="s">
        <v>229</v>
      </c>
      <c r="D83" s="126"/>
      <c r="E83" s="138" t="s">
        <v>627</v>
      </c>
      <c r="F83" s="6" t="s">
        <v>142</v>
      </c>
      <c r="G83" s="35">
        <v>2788674</v>
      </c>
      <c r="H83" s="6" t="s">
        <v>230</v>
      </c>
      <c r="I83" s="266" t="s">
        <v>125</v>
      </c>
      <c r="J83" s="273" t="s">
        <v>435</v>
      </c>
    </row>
    <row r="84" spans="2:10" s="1" customFormat="1" ht="24.75" hidden="1" customHeight="1">
      <c r="B84" s="253" t="s">
        <v>222</v>
      </c>
      <c r="C84" s="38" t="s">
        <v>235</v>
      </c>
      <c r="D84" s="125"/>
      <c r="E84" s="138" t="s">
        <v>627</v>
      </c>
      <c r="F84" s="6" t="s">
        <v>139</v>
      </c>
      <c r="G84" s="35">
        <v>1000000</v>
      </c>
      <c r="H84" s="6" t="s">
        <v>236</v>
      </c>
      <c r="I84" s="266" t="s">
        <v>291</v>
      </c>
      <c r="J84" s="273" t="s">
        <v>434</v>
      </c>
    </row>
    <row r="85" spans="2:10" s="1" customFormat="1" ht="22.5" hidden="1" customHeight="1">
      <c r="B85" s="252" t="s">
        <v>223</v>
      </c>
      <c r="C85" s="36" t="s">
        <v>238</v>
      </c>
      <c r="D85" s="126"/>
      <c r="E85" s="138" t="s">
        <v>627</v>
      </c>
      <c r="F85" s="6" t="s">
        <v>140</v>
      </c>
      <c r="G85" s="35">
        <v>2132000</v>
      </c>
      <c r="H85" s="6" t="s">
        <v>239</v>
      </c>
      <c r="I85" s="266" t="s">
        <v>13</v>
      </c>
      <c r="J85" s="273" t="s">
        <v>433</v>
      </c>
    </row>
    <row r="86" spans="2:10" s="1" customFormat="1" ht="24" hidden="1" customHeight="1" outlineLevel="1">
      <c r="B86" s="253" t="s">
        <v>240</v>
      </c>
      <c r="C86" s="38" t="s">
        <v>241</v>
      </c>
      <c r="D86" s="125"/>
      <c r="E86" s="138" t="s">
        <v>627</v>
      </c>
      <c r="F86" s="6" t="s">
        <v>142</v>
      </c>
      <c r="G86" s="35">
        <v>100000</v>
      </c>
      <c r="H86" s="6" t="s">
        <v>243</v>
      </c>
      <c r="I86" s="266" t="s">
        <v>125</v>
      </c>
      <c r="J86" s="273"/>
    </row>
    <row r="87" spans="2:10" s="1" customFormat="1" ht="21.75" hidden="1" customHeight="1">
      <c r="B87" s="252" t="s">
        <v>244</v>
      </c>
      <c r="C87" s="50" t="s">
        <v>245</v>
      </c>
      <c r="D87" s="126"/>
      <c r="E87" s="138" t="s">
        <v>627</v>
      </c>
      <c r="F87" s="6" t="s">
        <v>139</v>
      </c>
      <c r="G87" s="35">
        <v>6200000</v>
      </c>
      <c r="H87" s="6" t="s">
        <v>246</v>
      </c>
      <c r="I87" s="266" t="s">
        <v>10</v>
      </c>
      <c r="J87" s="273" t="s">
        <v>490</v>
      </c>
    </row>
    <row r="88" spans="2:10" s="1" customFormat="1" ht="22.5" hidden="1" customHeight="1">
      <c r="B88" s="252" t="s">
        <v>247</v>
      </c>
      <c r="C88" s="50" t="s">
        <v>249</v>
      </c>
      <c r="D88" s="126"/>
      <c r="E88" s="138" t="s">
        <v>627</v>
      </c>
      <c r="F88" s="6" t="s">
        <v>142</v>
      </c>
      <c r="G88" s="35">
        <v>384723.5</v>
      </c>
      <c r="H88" s="6" t="s">
        <v>250</v>
      </c>
      <c r="I88" s="266" t="s">
        <v>125</v>
      </c>
      <c r="J88" s="273" t="s">
        <v>438</v>
      </c>
    </row>
    <row r="89" spans="2:10" s="1" customFormat="1" ht="22.5" hidden="1" customHeight="1">
      <c r="B89" s="252" t="s">
        <v>248</v>
      </c>
      <c r="C89" s="48" t="s">
        <v>252</v>
      </c>
      <c r="D89" s="124"/>
      <c r="E89" s="138" t="s">
        <v>627</v>
      </c>
      <c r="F89" s="6" t="s">
        <v>140</v>
      </c>
      <c r="G89" s="35">
        <v>247767</v>
      </c>
      <c r="H89" s="6" t="s">
        <v>253</v>
      </c>
      <c r="I89" s="266" t="s">
        <v>13</v>
      </c>
      <c r="J89" s="273" t="s">
        <v>433</v>
      </c>
    </row>
    <row r="90" spans="2:10" s="1" customFormat="1" ht="26.25" hidden="1" customHeight="1">
      <c r="B90" s="252" t="s">
        <v>254</v>
      </c>
      <c r="C90" s="31" t="s">
        <v>255</v>
      </c>
      <c r="D90" s="138" t="s">
        <v>626</v>
      </c>
      <c r="E90" s="138" t="s">
        <v>627</v>
      </c>
      <c r="F90" s="6" t="s">
        <v>142</v>
      </c>
      <c r="G90" s="35">
        <v>2712000</v>
      </c>
      <c r="H90" s="6" t="s">
        <v>256</v>
      </c>
      <c r="I90" s="266" t="s">
        <v>125</v>
      </c>
      <c r="J90" s="273" t="s">
        <v>440</v>
      </c>
    </row>
    <row r="91" spans="2:10" s="1" customFormat="1" ht="26.25" hidden="1" customHeight="1">
      <c r="B91" s="252"/>
      <c r="C91" s="31"/>
      <c r="D91" s="124"/>
      <c r="E91" s="31"/>
      <c r="F91" s="53" t="s">
        <v>234</v>
      </c>
      <c r="G91" s="55">
        <f>SUM(G61:G90)</f>
        <v>29113404</v>
      </c>
      <c r="H91" s="16"/>
      <c r="I91" s="266"/>
      <c r="J91" s="273"/>
    </row>
    <row r="92" spans="2:10" s="1" customFormat="1" ht="26.25" hidden="1" customHeight="1" outlineLevel="1">
      <c r="B92" s="253" t="s">
        <v>259</v>
      </c>
      <c r="C92" s="38" t="s">
        <v>260</v>
      </c>
      <c r="D92" s="125"/>
      <c r="E92" s="118"/>
      <c r="F92" s="56" t="s">
        <v>140</v>
      </c>
      <c r="G92" s="54">
        <v>50000</v>
      </c>
      <c r="H92" s="6" t="s">
        <v>261</v>
      </c>
      <c r="I92" s="266" t="s">
        <v>13</v>
      </c>
      <c r="J92" s="273"/>
    </row>
    <row r="93" spans="2:10" s="1" customFormat="1" ht="26.25" hidden="1" customHeight="1">
      <c r="B93" s="252" t="s">
        <v>262</v>
      </c>
      <c r="C93" s="36" t="s">
        <v>263</v>
      </c>
      <c r="D93" s="126"/>
      <c r="E93" s="36"/>
      <c r="F93" s="56" t="s">
        <v>142</v>
      </c>
      <c r="G93" s="35">
        <v>3665210</v>
      </c>
      <c r="H93" s="6" t="s">
        <v>264</v>
      </c>
      <c r="I93" s="266" t="s">
        <v>125</v>
      </c>
      <c r="J93" s="273" t="s">
        <v>441</v>
      </c>
    </row>
    <row r="94" spans="2:10" s="1" customFormat="1" ht="26.25" hidden="1" customHeight="1">
      <c r="B94" s="252" t="s">
        <v>265</v>
      </c>
      <c r="C94" s="48" t="s">
        <v>266</v>
      </c>
      <c r="D94" s="138" t="s">
        <v>627</v>
      </c>
      <c r="E94" s="138" t="s">
        <v>626</v>
      </c>
      <c r="F94" s="56" t="s">
        <v>144</v>
      </c>
      <c r="G94" s="35">
        <v>1260000</v>
      </c>
      <c r="H94" s="6" t="s">
        <v>267</v>
      </c>
      <c r="I94" s="266" t="s">
        <v>36</v>
      </c>
      <c r="J94" s="273" t="s">
        <v>439</v>
      </c>
    </row>
    <row r="95" spans="2:10" s="1" customFormat="1" ht="25.5" hidden="1" customHeight="1">
      <c r="B95" s="252" t="s">
        <v>268</v>
      </c>
      <c r="C95" s="48" t="s">
        <v>269</v>
      </c>
      <c r="D95" s="124"/>
      <c r="E95" s="31"/>
      <c r="F95" s="56" t="s">
        <v>365</v>
      </c>
      <c r="G95" s="35">
        <v>1336692.6000000001</v>
      </c>
      <c r="H95" s="6" t="s">
        <v>270</v>
      </c>
      <c r="I95" s="266" t="s">
        <v>271</v>
      </c>
      <c r="J95" s="273" t="s">
        <v>438</v>
      </c>
    </row>
    <row r="96" spans="2:10" s="1" customFormat="1" ht="26.25" hidden="1" customHeight="1">
      <c r="B96" s="252" t="s">
        <v>273</v>
      </c>
      <c r="C96" s="48" t="s">
        <v>276</v>
      </c>
      <c r="D96" s="124"/>
      <c r="E96" s="31"/>
      <c r="F96" s="56" t="s">
        <v>140</v>
      </c>
      <c r="G96" s="35">
        <v>280000</v>
      </c>
      <c r="H96" s="6" t="s">
        <v>274</v>
      </c>
      <c r="I96" s="266" t="s">
        <v>13</v>
      </c>
      <c r="J96" s="273" t="s">
        <v>433</v>
      </c>
    </row>
    <row r="97" spans="2:10" s="1" customFormat="1" ht="26.25" hidden="1" customHeight="1">
      <c r="B97" s="252" t="s">
        <v>272</v>
      </c>
      <c r="C97" s="48" t="s">
        <v>277</v>
      </c>
      <c r="D97" s="124"/>
      <c r="E97" s="31"/>
      <c r="F97" s="56" t="s">
        <v>140</v>
      </c>
      <c r="G97" s="35">
        <v>189900</v>
      </c>
      <c r="H97" s="6" t="s">
        <v>275</v>
      </c>
      <c r="I97" s="266" t="s">
        <v>13</v>
      </c>
      <c r="J97" s="273" t="s">
        <v>433</v>
      </c>
    </row>
    <row r="98" spans="2:10" s="1" customFormat="1" ht="26.25" hidden="1" customHeight="1">
      <c r="B98" s="252" t="s">
        <v>278</v>
      </c>
      <c r="C98" s="57" t="s">
        <v>279</v>
      </c>
      <c r="D98" s="124"/>
      <c r="E98" s="31"/>
      <c r="F98" s="56" t="s">
        <v>140</v>
      </c>
      <c r="G98" s="35">
        <v>230000</v>
      </c>
      <c r="H98" s="6" t="s">
        <v>280</v>
      </c>
      <c r="I98" s="266" t="s">
        <v>13</v>
      </c>
      <c r="J98" s="273" t="s">
        <v>433</v>
      </c>
    </row>
    <row r="99" spans="2:10" s="1" customFormat="1" ht="26.25" hidden="1" customHeight="1">
      <c r="B99" s="252" t="s">
        <v>505</v>
      </c>
      <c r="C99" s="70" t="s">
        <v>506</v>
      </c>
      <c r="D99" s="138" t="s">
        <v>626</v>
      </c>
      <c r="E99" s="138" t="s">
        <v>626</v>
      </c>
      <c r="F99" s="56" t="s">
        <v>365</v>
      </c>
      <c r="G99" s="35">
        <v>600000</v>
      </c>
      <c r="H99" s="6" t="s">
        <v>281</v>
      </c>
      <c r="I99" s="266" t="s">
        <v>271</v>
      </c>
      <c r="J99" s="273" t="s">
        <v>442</v>
      </c>
    </row>
    <row r="100" spans="2:10" s="1" customFormat="1" ht="26.25" hidden="1" customHeight="1" outlineLevel="1">
      <c r="B100" s="253" t="s">
        <v>282</v>
      </c>
      <c r="C100" s="70" t="s">
        <v>283</v>
      </c>
      <c r="D100" s="126"/>
      <c r="E100" s="36"/>
      <c r="F100" s="56" t="s">
        <v>139</v>
      </c>
      <c r="G100" s="35">
        <v>62920</v>
      </c>
      <c r="H100" s="6" t="s">
        <v>284</v>
      </c>
      <c r="I100" s="266" t="s">
        <v>10</v>
      </c>
      <c r="J100" s="273"/>
    </row>
    <row r="101" spans="2:10" s="1" customFormat="1" ht="26.25" hidden="1" customHeight="1">
      <c r="B101" s="253" t="s">
        <v>285</v>
      </c>
      <c r="C101" s="70" t="s">
        <v>286</v>
      </c>
      <c r="D101" s="126"/>
      <c r="E101" s="36"/>
      <c r="F101" s="56" t="s">
        <v>140</v>
      </c>
      <c r="G101" s="35">
        <v>250000</v>
      </c>
      <c r="H101" s="6" t="s">
        <v>287</v>
      </c>
      <c r="I101" s="266" t="s">
        <v>13</v>
      </c>
      <c r="J101" s="273" t="s">
        <v>433</v>
      </c>
    </row>
    <row r="102" spans="2:10" s="1" customFormat="1" ht="26.25" hidden="1" customHeight="1">
      <c r="B102" s="253" t="s">
        <v>288</v>
      </c>
      <c r="C102" s="70" t="s">
        <v>289</v>
      </c>
      <c r="D102" s="126"/>
      <c r="E102" s="36"/>
      <c r="F102" s="56" t="s">
        <v>329</v>
      </c>
      <c r="G102" s="35">
        <v>540000</v>
      </c>
      <c r="H102" s="6" t="s">
        <v>290</v>
      </c>
      <c r="I102" s="266" t="s">
        <v>291</v>
      </c>
      <c r="J102" s="273" t="s">
        <v>437</v>
      </c>
    </row>
    <row r="103" spans="2:10" s="1" customFormat="1" ht="26.25" hidden="1" customHeight="1">
      <c r="B103" s="253" t="s">
        <v>293</v>
      </c>
      <c r="C103" s="70" t="s">
        <v>294</v>
      </c>
      <c r="D103" s="126"/>
      <c r="E103" s="36"/>
      <c r="F103" s="56" t="s">
        <v>329</v>
      </c>
      <c r="G103" s="35">
        <v>210000</v>
      </c>
      <c r="H103" s="6" t="s">
        <v>295</v>
      </c>
      <c r="I103" s="266" t="s">
        <v>291</v>
      </c>
      <c r="J103" s="273" t="s">
        <v>435</v>
      </c>
    </row>
    <row r="104" spans="2:10" s="1" customFormat="1" ht="2.25" hidden="1" customHeight="1">
      <c r="B104" s="253" t="s">
        <v>296</v>
      </c>
      <c r="C104" s="70" t="s">
        <v>300</v>
      </c>
      <c r="D104" s="126"/>
      <c r="E104" s="36"/>
      <c r="F104" s="56" t="s">
        <v>144</v>
      </c>
      <c r="G104" s="35">
        <v>738000</v>
      </c>
      <c r="H104" s="6" t="s">
        <v>298</v>
      </c>
      <c r="I104" s="266" t="s">
        <v>36</v>
      </c>
      <c r="J104" s="273" t="s">
        <v>439</v>
      </c>
    </row>
    <row r="105" spans="2:10" s="1" customFormat="1" ht="26.25" hidden="1" customHeight="1">
      <c r="B105" s="253" t="s">
        <v>297</v>
      </c>
      <c r="C105" s="70" t="s">
        <v>304</v>
      </c>
      <c r="D105" s="126"/>
      <c r="E105" s="36"/>
      <c r="F105" s="56" t="s">
        <v>139</v>
      </c>
      <c r="G105" s="35">
        <v>92000</v>
      </c>
      <c r="H105" s="6" t="s">
        <v>299</v>
      </c>
      <c r="I105" s="266" t="s">
        <v>10</v>
      </c>
      <c r="J105" s="273" t="s">
        <v>438</v>
      </c>
    </row>
    <row r="106" spans="2:10" s="1" customFormat="1" ht="26.25" hidden="1" customHeight="1">
      <c r="B106" s="253" t="s">
        <v>301</v>
      </c>
      <c r="C106" s="70" t="s">
        <v>302</v>
      </c>
      <c r="D106" s="126"/>
      <c r="E106" s="36"/>
      <c r="F106" s="56" t="s">
        <v>139</v>
      </c>
      <c r="G106" s="35">
        <v>95552</v>
      </c>
      <c r="H106" s="6" t="s">
        <v>303</v>
      </c>
      <c r="I106" s="266" t="s">
        <v>291</v>
      </c>
      <c r="J106" s="273" t="s">
        <v>434</v>
      </c>
    </row>
    <row r="107" spans="2:10" s="1" customFormat="1" ht="26.25" hidden="1" customHeight="1">
      <c r="B107" s="253" t="s">
        <v>305</v>
      </c>
      <c r="C107" s="70" t="s">
        <v>306</v>
      </c>
      <c r="D107" s="126"/>
      <c r="E107" s="36"/>
      <c r="F107" s="56" t="s">
        <v>139</v>
      </c>
      <c r="G107" s="35">
        <v>139949.4</v>
      </c>
      <c r="H107" s="6" t="s">
        <v>307</v>
      </c>
      <c r="I107" s="266" t="s">
        <v>291</v>
      </c>
      <c r="J107" s="273" t="s">
        <v>434</v>
      </c>
    </row>
    <row r="108" spans="2:10" s="1" customFormat="1" ht="26.25" hidden="1" customHeight="1">
      <c r="B108" s="253" t="s">
        <v>308</v>
      </c>
      <c r="C108" s="70" t="s">
        <v>309</v>
      </c>
      <c r="D108" s="126"/>
      <c r="E108" s="36"/>
      <c r="F108" s="56" t="s">
        <v>144</v>
      </c>
      <c r="G108" s="35">
        <v>478033</v>
      </c>
      <c r="H108" s="6" t="s">
        <v>310</v>
      </c>
      <c r="I108" s="266" t="s">
        <v>36</v>
      </c>
      <c r="J108" s="273" t="s">
        <v>437</v>
      </c>
    </row>
    <row r="109" spans="2:10" s="1" customFormat="1" ht="26.25" hidden="1" customHeight="1">
      <c r="B109" s="253" t="s">
        <v>311</v>
      </c>
      <c r="C109" s="70" t="s">
        <v>312</v>
      </c>
      <c r="D109" s="126"/>
      <c r="E109" s="36"/>
      <c r="F109" s="56" t="s">
        <v>142</v>
      </c>
      <c r="G109" s="35">
        <v>958663</v>
      </c>
      <c r="H109" s="6" t="s">
        <v>313</v>
      </c>
      <c r="I109" s="266" t="s">
        <v>148</v>
      </c>
      <c r="J109" s="273" t="s">
        <v>435</v>
      </c>
    </row>
    <row r="110" spans="2:10" s="1" customFormat="1" ht="26.25" hidden="1" customHeight="1">
      <c r="B110" s="252" t="s">
        <v>314</v>
      </c>
      <c r="C110" s="58" t="s">
        <v>315</v>
      </c>
      <c r="D110" s="126"/>
      <c r="E110" s="36"/>
      <c r="F110" s="56" t="s">
        <v>142</v>
      </c>
      <c r="G110" s="35">
        <v>500000</v>
      </c>
      <c r="H110" s="6" t="s">
        <v>316</v>
      </c>
      <c r="I110" s="266" t="s">
        <v>125</v>
      </c>
      <c r="J110" s="273" t="s">
        <v>441</v>
      </c>
    </row>
    <row r="111" spans="2:10" s="1" customFormat="1" ht="26.25" hidden="1" customHeight="1">
      <c r="B111" s="253" t="s">
        <v>317</v>
      </c>
      <c r="C111" s="38" t="s">
        <v>322</v>
      </c>
      <c r="D111" s="125"/>
      <c r="E111" s="118"/>
      <c r="F111" s="56" t="s">
        <v>329</v>
      </c>
      <c r="G111" s="35">
        <v>102000</v>
      </c>
      <c r="H111" s="6" t="s">
        <v>330</v>
      </c>
      <c r="I111" s="266" t="s">
        <v>291</v>
      </c>
      <c r="J111" s="273" t="s">
        <v>442</v>
      </c>
    </row>
    <row r="112" spans="2:10" s="1" customFormat="1" ht="26.25" hidden="1" customHeight="1">
      <c r="B112" s="252" t="s">
        <v>318</v>
      </c>
      <c r="C112" s="58" t="s">
        <v>323</v>
      </c>
      <c r="D112" s="126"/>
      <c r="E112" s="36"/>
      <c r="F112" s="56" t="s">
        <v>142</v>
      </c>
      <c r="G112" s="35">
        <v>256000</v>
      </c>
      <c r="H112" s="6" t="s">
        <v>333</v>
      </c>
      <c r="I112" s="266" t="s">
        <v>13</v>
      </c>
      <c r="J112" s="273" t="s">
        <v>435</v>
      </c>
    </row>
    <row r="113" spans="2:10" s="1" customFormat="1" ht="26.25" hidden="1" customHeight="1">
      <c r="B113" s="253" t="s">
        <v>319</v>
      </c>
      <c r="C113" s="48" t="s">
        <v>324</v>
      </c>
      <c r="D113" s="124"/>
      <c r="E113" s="31"/>
      <c r="F113" s="56" t="s">
        <v>140</v>
      </c>
      <c r="G113" s="35">
        <v>1454000</v>
      </c>
      <c r="H113" s="6" t="s">
        <v>382</v>
      </c>
      <c r="I113" s="266" t="s">
        <v>13</v>
      </c>
      <c r="J113" s="274" t="s">
        <v>483</v>
      </c>
    </row>
    <row r="114" spans="2:10" s="1" customFormat="1" ht="26.25" hidden="1" customHeight="1">
      <c r="B114" s="252" t="s">
        <v>320</v>
      </c>
      <c r="C114" s="58" t="s">
        <v>325</v>
      </c>
      <c r="D114" s="126"/>
      <c r="E114" s="36"/>
      <c r="F114" s="56" t="s">
        <v>139</v>
      </c>
      <c r="G114" s="35">
        <v>339900</v>
      </c>
      <c r="H114" s="6" t="s">
        <v>332</v>
      </c>
      <c r="I114" s="266" t="s">
        <v>10</v>
      </c>
      <c r="J114" s="273" t="s">
        <v>438</v>
      </c>
    </row>
    <row r="115" spans="2:10" s="1" customFormat="1" ht="26.25" hidden="1" customHeight="1">
      <c r="B115" s="253" t="s">
        <v>321</v>
      </c>
      <c r="C115" s="38" t="s">
        <v>326</v>
      </c>
      <c r="D115" s="125"/>
      <c r="E115" s="118"/>
      <c r="F115" s="56" t="s">
        <v>329</v>
      </c>
      <c r="G115" s="35">
        <v>1622571</v>
      </c>
      <c r="H115" s="6" t="s">
        <v>334</v>
      </c>
      <c r="I115" s="266" t="s">
        <v>291</v>
      </c>
      <c r="J115" s="273" t="s">
        <v>435</v>
      </c>
    </row>
    <row r="116" spans="2:10" s="1" customFormat="1" ht="26.25" hidden="1" customHeight="1">
      <c r="B116" s="252" t="s">
        <v>327</v>
      </c>
      <c r="C116" s="58" t="s">
        <v>328</v>
      </c>
      <c r="D116" s="126"/>
      <c r="E116" s="36"/>
      <c r="F116" s="59" t="s">
        <v>140</v>
      </c>
      <c r="G116" s="34">
        <v>139902</v>
      </c>
      <c r="H116" s="16" t="s">
        <v>335</v>
      </c>
      <c r="I116" s="266" t="s">
        <v>13</v>
      </c>
      <c r="J116" s="273" t="s">
        <v>433</v>
      </c>
    </row>
    <row r="117" spans="2:10" s="1" customFormat="1" ht="26.25" hidden="1" customHeight="1">
      <c r="B117" s="253" t="s">
        <v>336</v>
      </c>
      <c r="C117" s="40" t="s">
        <v>338</v>
      </c>
      <c r="D117" s="125"/>
      <c r="E117" s="118"/>
      <c r="F117" s="59" t="s">
        <v>329</v>
      </c>
      <c r="G117" s="35">
        <v>252000</v>
      </c>
      <c r="H117" s="16" t="s">
        <v>337</v>
      </c>
      <c r="I117" s="266" t="s">
        <v>291</v>
      </c>
      <c r="J117" s="273" t="s">
        <v>435</v>
      </c>
    </row>
    <row r="118" spans="2:10" s="1" customFormat="1" ht="26.25" hidden="1" customHeight="1">
      <c r="B118" s="253"/>
      <c r="C118" s="144"/>
      <c r="D118" s="125"/>
      <c r="E118" s="118"/>
      <c r="F118" s="53" t="s">
        <v>258</v>
      </c>
      <c r="G118" s="35">
        <f>SUM(G92:G117)</f>
        <v>15843293</v>
      </c>
      <c r="H118" s="16"/>
      <c r="I118" s="266"/>
      <c r="J118" s="273"/>
    </row>
    <row r="119" spans="2:10" s="1" customFormat="1" ht="26.25" hidden="1" customHeight="1">
      <c r="B119" s="253" t="s">
        <v>339</v>
      </c>
      <c r="C119" s="48" t="s">
        <v>348</v>
      </c>
      <c r="D119" s="138" t="s">
        <v>627</v>
      </c>
      <c r="E119" s="138" t="s">
        <v>626</v>
      </c>
      <c r="F119" s="59" t="s">
        <v>365</v>
      </c>
      <c r="G119" s="35">
        <v>600000</v>
      </c>
      <c r="H119" s="16" t="s">
        <v>349</v>
      </c>
      <c r="I119" s="266" t="s">
        <v>271</v>
      </c>
      <c r="J119" s="273" t="s">
        <v>439</v>
      </c>
    </row>
    <row r="120" spans="2:10" s="1" customFormat="1" ht="26.25" hidden="1" customHeight="1">
      <c r="B120" s="253" t="s">
        <v>340</v>
      </c>
      <c r="C120" s="48" t="s">
        <v>351</v>
      </c>
      <c r="D120" s="138" t="s">
        <v>627</v>
      </c>
      <c r="E120" s="138" t="s">
        <v>626</v>
      </c>
      <c r="F120" s="59" t="s">
        <v>365</v>
      </c>
      <c r="G120" s="35">
        <v>300000</v>
      </c>
      <c r="H120" s="16" t="s">
        <v>352</v>
      </c>
      <c r="I120" s="266" t="s">
        <v>271</v>
      </c>
      <c r="J120" s="273" t="s">
        <v>439</v>
      </c>
    </row>
    <row r="121" spans="2:10" s="1" customFormat="1" ht="26.25" hidden="1" customHeight="1">
      <c r="B121" s="253" t="s">
        <v>341</v>
      </c>
      <c r="C121" s="48" t="s">
        <v>358</v>
      </c>
      <c r="D121" s="138" t="s">
        <v>627</v>
      </c>
      <c r="E121" s="138" t="s">
        <v>626</v>
      </c>
      <c r="F121" s="59" t="s">
        <v>144</v>
      </c>
      <c r="G121" s="35">
        <v>150000</v>
      </c>
      <c r="H121" s="16" t="s">
        <v>354</v>
      </c>
      <c r="I121" s="266" t="s">
        <v>36</v>
      </c>
      <c r="J121" s="273" t="s">
        <v>437</v>
      </c>
    </row>
    <row r="122" spans="2:10" s="1" customFormat="1" ht="26.25" hidden="1" customHeight="1">
      <c r="B122" s="253" t="s">
        <v>342</v>
      </c>
      <c r="C122" s="48" t="s">
        <v>359</v>
      </c>
      <c r="D122" s="138" t="s">
        <v>627</v>
      </c>
      <c r="E122" s="138" t="s">
        <v>626</v>
      </c>
      <c r="F122" s="59" t="s">
        <v>139</v>
      </c>
      <c r="G122" s="35">
        <v>2700000</v>
      </c>
      <c r="H122" s="16" t="s">
        <v>355</v>
      </c>
      <c r="I122" s="266" t="s">
        <v>291</v>
      </c>
      <c r="J122" s="273" t="s">
        <v>488</v>
      </c>
    </row>
    <row r="123" spans="2:10" s="1" customFormat="1" ht="26.25" hidden="1" customHeight="1">
      <c r="B123" s="253" t="s">
        <v>343</v>
      </c>
      <c r="C123" s="48" t="s">
        <v>360</v>
      </c>
      <c r="D123" s="138" t="s">
        <v>627</v>
      </c>
      <c r="E123" s="138" t="s">
        <v>626</v>
      </c>
      <c r="F123" s="59" t="s">
        <v>365</v>
      </c>
      <c r="G123" s="35">
        <v>1470000</v>
      </c>
      <c r="H123" s="16" t="s">
        <v>356</v>
      </c>
      <c r="I123" s="266" t="s">
        <v>271</v>
      </c>
      <c r="J123" s="273" t="s">
        <v>515</v>
      </c>
    </row>
    <row r="124" spans="2:10" s="1" customFormat="1" ht="26.25" hidden="1" customHeight="1">
      <c r="B124" s="253" t="s">
        <v>15</v>
      </c>
      <c r="C124" s="48" t="s">
        <v>182</v>
      </c>
      <c r="D124" s="138" t="s">
        <v>627</v>
      </c>
      <c r="E124" s="138" t="s">
        <v>626</v>
      </c>
      <c r="F124" s="3" t="s">
        <v>140</v>
      </c>
      <c r="G124" s="34">
        <v>100000</v>
      </c>
      <c r="H124" s="3" t="s">
        <v>16</v>
      </c>
      <c r="I124" s="265" t="s">
        <v>13</v>
      </c>
      <c r="J124" s="270" t="s">
        <v>483</v>
      </c>
    </row>
    <row r="125" spans="2:10" s="1" customFormat="1" ht="26.25" hidden="1" customHeight="1">
      <c r="B125" s="253" t="s">
        <v>344</v>
      </c>
      <c r="C125" s="48" t="s">
        <v>361</v>
      </c>
      <c r="D125" s="138" t="s">
        <v>627</v>
      </c>
      <c r="E125" s="138" t="s">
        <v>626</v>
      </c>
      <c r="F125" s="59" t="s">
        <v>140</v>
      </c>
      <c r="G125" s="35">
        <v>150000</v>
      </c>
      <c r="H125" s="16" t="s">
        <v>357</v>
      </c>
      <c r="I125" s="266" t="s">
        <v>13</v>
      </c>
      <c r="J125" s="273" t="s">
        <v>433</v>
      </c>
    </row>
    <row r="126" spans="2:10" s="1" customFormat="1" ht="26.25" hidden="1" customHeight="1">
      <c r="B126" s="253" t="s">
        <v>345</v>
      </c>
      <c r="C126" s="48" t="s">
        <v>362</v>
      </c>
      <c r="D126" s="138" t="s">
        <v>627</v>
      </c>
      <c r="E126" s="138" t="s">
        <v>626</v>
      </c>
      <c r="F126" s="59" t="s">
        <v>140</v>
      </c>
      <c r="G126" s="35">
        <f>250000+59000</f>
        <v>309000</v>
      </c>
      <c r="H126" s="16" t="s">
        <v>391</v>
      </c>
      <c r="I126" s="266" t="s">
        <v>13</v>
      </c>
      <c r="J126" s="274" t="s">
        <v>483</v>
      </c>
    </row>
    <row r="127" spans="2:10" s="1" customFormat="1" ht="26.25" hidden="1" customHeight="1">
      <c r="B127" s="253" t="s">
        <v>346</v>
      </c>
      <c r="C127" s="48" t="s">
        <v>363</v>
      </c>
      <c r="D127" s="138" t="s">
        <v>627</v>
      </c>
      <c r="E127" s="138" t="s">
        <v>626</v>
      </c>
      <c r="F127" s="59" t="s">
        <v>140</v>
      </c>
      <c r="G127" s="35">
        <v>881000</v>
      </c>
      <c r="H127" s="16" t="s">
        <v>412</v>
      </c>
      <c r="I127" s="266" t="s">
        <v>13</v>
      </c>
      <c r="J127" s="273" t="s">
        <v>433</v>
      </c>
    </row>
    <row r="128" spans="2:10" s="1" customFormat="1" ht="26.25" hidden="1" customHeight="1">
      <c r="B128" s="253" t="s">
        <v>347</v>
      </c>
      <c r="C128" s="48" t="s">
        <v>364</v>
      </c>
      <c r="D128" s="138" t="s">
        <v>627</v>
      </c>
      <c r="E128" s="138" t="s">
        <v>626</v>
      </c>
      <c r="F128" s="59" t="s">
        <v>140</v>
      </c>
      <c r="G128" s="34">
        <v>421605</v>
      </c>
      <c r="H128" s="16" t="s">
        <v>396</v>
      </c>
      <c r="I128" s="266" t="s">
        <v>125</v>
      </c>
      <c r="J128" s="273" t="s">
        <v>440</v>
      </c>
    </row>
    <row r="129" spans="2:10" s="1" customFormat="1" ht="26.25" hidden="1" customHeight="1">
      <c r="B129" s="253" t="s">
        <v>367</v>
      </c>
      <c r="C129" s="48" t="s">
        <v>374</v>
      </c>
      <c r="D129" s="138" t="s">
        <v>627</v>
      </c>
      <c r="E129" s="138" t="s">
        <v>626</v>
      </c>
      <c r="F129" s="59" t="s">
        <v>143</v>
      </c>
      <c r="G129" s="34">
        <v>421313.35</v>
      </c>
      <c r="H129" s="16" t="s">
        <v>383</v>
      </c>
      <c r="I129" s="266" t="s">
        <v>148</v>
      </c>
      <c r="J129" s="273" t="s">
        <v>435</v>
      </c>
    </row>
    <row r="130" spans="2:10" s="1" customFormat="1" ht="26.25" hidden="1" customHeight="1">
      <c r="B130" s="253" t="s">
        <v>368</v>
      </c>
      <c r="C130" s="48" t="s">
        <v>375</v>
      </c>
      <c r="D130" s="138" t="s">
        <v>627</v>
      </c>
      <c r="E130" s="138" t="s">
        <v>626</v>
      </c>
      <c r="F130" s="59" t="s">
        <v>139</v>
      </c>
      <c r="G130" s="34">
        <v>170000</v>
      </c>
      <c r="H130" s="16" t="s">
        <v>384</v>
      </c>
      <c r="I130" s="266" t="s">
        <v>10</v>
      </c>
      <c r="J130" s="273" t="s">
        <v>442</v>
      </c>
    </row>
    <row r="131" spans="2:10" s="1" customFormat="1" ht="26.25" hidden="1" customHeight="1">
      <c r="B131" s="253" t="s">
        <v>369</v>
      </c>
      <c r="C131" s="48" t="s">
        <v>376</v>
      </c>
      <c r="D131" s="138" t="s">
        <v>627</v>
      </c>
      <c r="E131" s="138" t="s">
        <v>626</v>
      </c>
      <c r="F131" s="59" t="s">
        <v>143</v>
      </c>
      <c r="G131" s="34">
        <v>270000</v>
      </c>
      <c r="H131" s="16" t="s">
        <v>389</v>
      </c>
      <c r="I131" s="266" t="s">
        <v>148</v>
      </c>
      <c r="J131" s="273" t="s">
        <v>435</v>
      </c>
    </row>
    <row r="132" spans="2:10" s="1" customFormat="1" ht="26.25" hidden="1" customHeight="1">
      <c r="B132" s="253" t="s">
        <v>370</v>
      </c>
      <c r="C132" s="48" t="s">
        <v>377</v>
      </c>
      <c r="D132" s="138" t="s">
        <v>627</v>
      </c>
      <c r="E132" s="31"/>
      <c r="F132" s="59" t="s">
        <v>365</v>
      </c>
      <c r="G132" s="34">
        <v>650000</v>
      </c>
      <c r="H132" s="16" t="s">
        <v>390</v>
      </c>
      <c r="I132" s="266" t="s">
        <v>271</v>
      </c>
      <c r="J132" s="273" t="s">
        <v>439</v>
      </c>
    </row>
    <row r="133" spans="2:10" s="1" customFormat="1" ht="26.25" hidden="1" customHeight="1">
      <c r="B133" s="253" t="s">
        <v>371</v>
      </c>
      <c r="C133" s="48" t="s">
        <v>378</v>
      </c>
      <c r="D133" s="138" t="s">
        <v>627</v>
      </c>
      <c r="E133" s="31"/>
      <c r="F133" s="59" t="s">
        <v>144</v>
      </c>
      <c r="G133" s="34">
        <v>530000</v>
      </c>
      <c r="H133" s="16" t="s">
        <v>392</v>
      </c>
      <c r="I133" s="266" t="s">
        <v>36</v>
      </c>
      <c r="J133" s="273" t="s">
        <v>437</v>
      </c>
    </row>
    <row r="134" spans="2:10" s="1" customFormat="1" ht="26.25" hidden="1" customHeight="1">
      <c r="B134" s="253" t="s">
        <v>372</v>
      </c>
      <c r="C134" s="48" t="s">
        <v>379</v>
      </c>
      <c r="D134" s="138" t="s">
        <v>627</v>
      </c>
      <c r="E134" s="31"/>
      <c r="F134" s="59" t="s">
        <v>144</v>
      </c>
      <c r="G134" s="34">
        <v>750000</v>
      </c>
      <c r="H134" s="16" t="s">
        <v>393</v>
      </c>
      <c r="I134" s="266" t="s">
        <v>36</v>
      </c>
      <c r="J134" s="273" t="s">
        <v>437</v>
      </c>
    </row>
    <row r="135" spans="2:10" s="1" customFormat="1" ht="26.25" hidden="1" customHeight="1">
      <c r="B135" s="253" t="s">
        <v>373</v>
      </c>
      <c r="C135" s="48" t="s">
        <v>380</v>
      </c>
      <c r="D135" s="138" t="s">
        <v>627</v>
      </c>
      <c r="E135" s="31"/>
      <c r="F135" s="59" t="s">
        <v>144</v>
      </c>
      <c r="G135" s="34">
        <v>650000</v>
      </c>
      <c r="H135" s="16" t="s">
        <v>394</v>
      </c>
      <c r="I135" s="266" t="s">
        <v>36</v>
      </c>
      <c r="J135" s="273" t="s">
        <v>437</v>
      </c>
    </row>
    <row r="136" spans="2:10" s="1" customFormat="1" ht="26.25" hidden="1" customHeight="1">
      <c r="B136" s="253" t="s">
        <v>563</v>
      </c>
      <c r="C136" s="48" t="s">
        <v>564</v>
      </c>
      <c r="D136" s="138" t="s">
        <v>627</v>
      </c>
      <c r="E136" s="31"/>
      <c r="F136" s="59" t="s">
        <v>143</v>
      </c>
      <c r="G136" s="34">
        <v>80000</v>
      </c>
      <c r="H136" s="16" t="s">
        <v>395</v>
      </c>
      <c r="I136" s="266" t="s">
        <v>148</v>
      </c>
      <c r="J136" s="273" t="s">
        <v>435</v>
      </c>
    </row>
    <row r="137" spans="2:10" s="1" customFormat="1" ht="26.25" hidden="1" customHeight="1">
      <c r="B137" s="253" t="s">
        <v>386</v>
      </c>
      <c r="C137" s="48" t="s">
        <v>385</v>
      </c>
      <c r="D137" s="138" t="s">
        <v>627</v>
      </c>
      <c r="E137" s="138" t="s">
        <v>627</v>
      </c>
      <c r="F137" s="59" t="s">
        <v>139</v>
      </c>
      <c r="G137" s="35">
        <v>576000</v>
      </c>
      <c r="H137" s="16" t="s">
        <v>408</v>
      </c>
      <c r="I137" s="266" t="s">
        <v>10</v>
      </c>
      <c r="J137" s="273" t="s">
        <v>438</v>
      </c>
    </row>
    <row r="138" spans="2:10" s="1" customFormat="1" ht="26.25" hidden="1" customHeight="1">
      <c r="B138" s="253" t="s">
        <v>387</v>
      </c>
      <c r="C138" s="48" t="s">
        <v>388</v>
      </c>
      <c r="D138" s="138" t="s">
        <v>626</v>
      </c>
      <c r="E138" s="138" t="s">
        <v>626</v>
      </c>
      <c r="F138" s="59" t="s">
        <v>365</v>
      </c>
      <c r="G138" s="35">
        <v>1400000</v>
      </c>
      <c r="H138" s="16" t="s">
        <v>409</v>
      </c>
      <c r="I138" s="266" t="s">
        <v>271</v>
      </c>
      <c r="J138" s="273" t="s">
        <v>442</v>
      </c>
    </row>
    <row r="139" spans="2:10" s="1" customFormat="1" ht="26.25" hidden="1" customHeight="1">
      <c r="B139" s="253" t="s">
        <v>398</v>
      </c>
      <c r="C139" s="48" t="s">
        <v>403</v>
      </c>
      <c r="D139" s="124"/>
      <c r="E139" s="31"/>
      <c r="F139" s="59" t="s">
        <v>142</v>
      </c>
      <c r="G139" s="35">
        <v>347000</v>
      </c>
      <c r="H139" s="16" t="s">
        <v>410</v>
      </c>
      <c r="I139" s="266" t="s">
        <v>125</v>
      </c>
      <c r="J139" s="273" t="s">
        <v>441</v>
      </c>
    </row>
    <row r="140" spans="2:10" s="1" customFormat="1" ht="26.25" hidden="1" customHeight="1">
      <c r="B140" s="253" t="s">
        <v>399</v>
      </c>
      <c r="C140" s="48" t="s">
        <v>404</v>
      </c>
      <c r="D140" s="124"/>
      <c r="E140" s="31"/>
      <c r="F140" s="59" t="s">
        <v>140</v>
      </c>
      <c r="G140" s="35">
        <v>262366</v>
      </c>
      <c r="H140" s="16" t="s">
        <v>413</v>
      </c>
      <c r="I140" s="266" t="s">
        <v>13</v>
      </c>
      <c r="J140" s="273" t="s">
        <v>433</v>
      </c>
    </row>
    <row r="141" spans="2:10" s="1" customFormat="1" ht="26.25" hidden="1" customHeight="1">
      <c r="B141" s="253" t="s">
        <v>400</v>
      </c>
      <c r="C141" s="48" t="s">
        <v>405</v>
      </c>
      <c r="D141" s="124"/>
      <c r="E141" s="31"/>
      <c r="F141" s="59" t="s">
        <v>142</v>
      </c>
      <c r="G141" s="35">
        <v>322061</v>
      </c>
      <c r="H141" s="16" t="s">
        <v>414</v>
      </c>
      <c r="I141" s="266" t="s">
        <v>125</v>
      </c>
      <c r="J141" s="273" t="s">
        <v>441</v>
      </c>
    </row>
    <row r="142" spans="2:10" s="1" customFormat="1" ht="26.25" hidden="1" customHeight="1">
      <c r="B142" s="253" t="s">
        <v>401</v>
      </c>
      <c r="C142" s="48" t="s">
        <v>406</v>
      </c>
      <c r="D142" s="138" t="s">
        <v>627</v>
      </c>
      <c r="E142" s="138" t="s">
        <v>627</v>
      </c>
      <c r="F142" s="59" t="s">
        <v>139</v>
      </c>
      <c r="G142" s="35">
        <v>800000</v>
      </c>
      <c r="H142" s="16" t="s">
        <v>416</v>
      </c>
      <c r="I142" s="266" t="s">
        <v>10</v>
      </c>
      <c r="J142" s="273" t="s">
        <v>438</v>
      </c>
    </row>
    <row r="143" spans="2:10" s="1" customFormat="1" ht="26.25" hidden="1" customHeight="1">
      <c r="B143" s="253" t="s">
        <v>402</v>
      </c>
      <c r="C143" s="48" t="s">
        <v>407</v>
      </c>
      <c r="D143" s="138" t="s">
        <v>627</v>
      </c>
      <c r="E143" s="138" t="s">
        <v>627</v>
      </c>
      <c r="F143" s="59" t="s">
        <v>144</v>
      </c>
      <c r="G143" s="34">
        <v>500000</v>
      </c>
      <c r="H143" s="16" t="s">
        <v>419</v>
      </c>
      <c r="I143" s="266" t="s">
        <v>36</v>
      </c>
      <c r="J143" s="273" t="s">
        <v>437</v>
      </c>
    </row>
    <row r="144" spans="2:10" s="1" customFormat="1" ht="26.25" hidden="1" customHeight="1">
      <c r="B144" s="253" t="s">
        <v>417</v>
      </c>
      <c r="C144" s="48" t="s">
        <v>418</v>
      </c>
      <c r="D144" s="124"/>
      <c r="E144" s="31"/>
      <c r="F144" s="59" t="s">
        <v>142</v>
      </c>
      <c r="G144" s="34">
        <v>1450000</v>
      </c>
      <c r="H144" s="16" t="s">
        <v>420</v>
      </c>
      <c r="I144" s="266" t="s">
        <v>125</v>
      </c>
      <c r="J144" s="274" t="s">
        <v>483</v>
      </c>
    </row>
    <row r="145" spans="2:10" s="1" customFormat="1" ht="26.25" hidden="1" customHeight="1">
      <c r="B145" s="253" t="s">
        <v>422</v>
      </c>
      <c r="C145" s="48" t="s">
        <v>423</v>
      </c>
      <c r="D145" s="138" t="s">
        <v>627</v>
      </c>
      <c r="E145" s="138" t="s">
        <v>627</v>
      </c>
      <c r="F145" s="59" t="s">
        <v>139</v>
      </c>
      <c r="G145" s="34">
        <v>267000</v>
      </c>
      <c r="H145" s="16" t="s">
        <v>424</v>
      </c>
      <c r="I145" s="266" t="s">
        <v>10</v>
      </c>
      <c r="J145" s="273" t="s">
        <v>438</v>
      </c>
    </row>
    <row r="146" spans="2:10" s="1" customFormat="1" ht="26.25" hidden="1" customHeight="1">
      <c r="B146" s="253" t="s">
        <v>425</v>
      </c>
      <c r="C146" s="48" t="s">
        <v>426</v>
      </c>
      <c r="D146" s="138" t="s">
        <v>627</v>
      </c>
      <c r="E146" s="138" t="s">
        <v>627</v>
      </c>
      <c r="F146" s="59" t="s">
        <v>140</v>
      </c>
      <c r="G146" s="34">
        <v>809043</v>
      </c>
      <c r="H146" s="16" t="s">
        <v>427</v>
      </c>
      <c r="I146" s="266" t="s">
        <v>13</v>
      </c>
      <c r="J146" s="274" t="s">
        <v>483</v>
      </c>
    </row>
    <row r="147" spans="2:10" s="1" customFormat="1" ht="26.25" hidden="1" customHeight="1">
      <c r="B147" s="253" t="s">
        <v>429</v>
      </c>
      <c r="C147" s="3" t="s">
        <v>428</v>
      </c>
      <c r="D147" s="138" t="s">
        <v>627</v>
      </c>
      <c r="E147" s="138" t="s">
        <v>627</v>
      </c>
      <c r="F147" s="59" t="s">
        <v>143</v>
      </c>
      <c r="G147" s="34">
        <v>202773</v>
      </c>
      <c r="H147" s="16" t="s">
        <v>430</v>
      </c>
      <c r="I147" s="266" t="s">
        <v>148</v>
      </c>
      <c r="J147" s="273" t="s">
        <v>435</v>
      </c>
    </row>
    <row r="148" spans="2:10" s="1" customFormat="1" ht="26.25" hidden="1" customHeight="1">
      <c r="B148" s="253" t="s">
        <v>443</v>
      </c>
      <c r="C148" s="3" t="s">
        <v>447</v>
      </c>
      <c r="D148" s="138" t="s">
        <v>627</v>
      </c>
      <c r="E148" s="138" t="s">
        <v>627</v>
      </c>
      <c r="F148" s="59" t="s">
        <v>143</v>
      </c>
      <c r="G148" s="34">
        <v>265000</v>
      </c>
      <c r="H148" s="16" t="s">
        <v>454</v>
      </c>
      <c r="I148" s="266" t="s">
        <v>148</v>
      </c>
      <c r="J148" s="273" t="s">
        <v>435</v>
      </c>
    </row>
    <row r="149" spans="2:10" s="1" customFormat="1" ht="26.25" hidden="1" customHeight="1">
      <c r="B149" s="253" t="s">
        <v>444</v>
      </c>
      <c r="C149" s="3" t="s">
        <v>448</v>
      </c>
      <c r="D149" s="124"/>
      <c r="E149" s="16"/>
      <c r="F149" s="59" t="s">
        <v>143</v>
      </c>
      <c r="G149" s="34">
        <v>410207</v>
      </c>
      <c r="H149" s="16" t="s">
        <v>451</v>
      </c>
      <c r="I149" s="266" t="s">
        <v>148</v>
      </c>
      <c r="J149" s="273" t="s">
        <v>435</v>
      </c>
    </row>
    <row r="150" spans="2:10" s="1" customFormat="1" ht="26.25" hidden="1" customHeight="1">
      <c r="B150" s="253" t="s">
        <v>445</v>
      </c>
      <c r="C150" s="3" t="s">
        <v>449</v>
      </c>
      <c r="D150" s="138" t="s">
        <v>626</v>
      </c>
      <c r="E150" s="138" t="s">
        <v>626</v>
      </c>
      <c r="F150" s="59" t="s">
        <v>143</v>
      </c>
      <c r="G150" s="34">
        <v>15601724</v>
      </c>
      <c r="H150" s="16" t="s">
        <v>452</v>
      </c>
      <c r="I150" s="266" t="s">
        <v>148</v>
      </c>
      <c r="J150" s="273" t="s">
        <v>435</v>
      </c>
    </row>
    <row r="151" spans="2:10" s="1" customFormat="1" ht="26.25" hidden="1" customHeight="1">
      <c r="B151" s="253" t="s">
        <v>468</v>
      </c>
      <c r="C151" s="3" t="s">
        <v>469</v>
      </c>
      <c r="D151" s="138" t="s">
        <v>626</v>
      </c>
      <c r="E151" s="138" t="s">
        <v>627</v>
      </c>
      <c r="F151" s="59" t="s">
        <v>139</v>
      </c>
      <c r="G151" s="35">
        <v>2951390</v>
      </c>
      <c r="H151" s="16" t="s">
        <v>457</v>
      </c>
      <c r="I151" s="266" t="s">
        <v>10</v>
      </c>
      <c r="J151" s="273" t="s">
        <v>515</v>
      </c>
    </row>
    <row r="152" spans="2:10" s="1" customFormat="1" ht="26.25" hidden="1" customHeight="1">
      <c r="B152" s="253" t="s">
        <v>525</v>
      </c>
      <c r="C152" s="3" t="s">
        <v>526</v>
      </c>
      <c r="D152" s="138" t="s">
        <v>627</v>
      </c>
      <c r="E152" s="138" t="s">
        <v>626</v>
      </c>
      <c r="F152" s="59" t="s">
        <v>365</v>
      </c>
      <c r="G152" s="35">
        <v>300000</v>
      </c>
      <c r="H152" s="16" t="s">
        <v>458</v>
      </c>
      <c r="I152" s="266" t="s">
        <v>271</v>
      </c>
      <c r="J152" s="273" t="s">
        <v>439</v>
      </c>
    </row>
    <row r="153" spans="2:10" s="1" customFormat="1" ht="26.25" hidden="1" customHeight="1">
      <c r="B153" s="253" t="s">
        <v>446</v>
      </c>
      <c r="C153" s="6" t="s">
        <v>450</v>
      </c>
      <c r="D153" s="138" t="s">
        <v>627</v>
      </c>
      <c r="E153" s="16"/>
      <c r="F153" s="59" t="s">
        <v>140</v>
      </c>
      <c r="G153" s="35">
        <v>3858650</v>
      </c>
      <c r="H153" s="16" t="s">
        <v>453</v>
      </c>
      <c r="I153" s="266" t="s">
        <v>13</v>
      </c>
      <c r="J153" s="274" t="s">
        <v>483</v>
      </c>
    </row>
    <row r="154" spans="2:10" s="1" customFormat="1" ht="26.25" hidden="1" customHeight="1">
      <c r="B154" s="253" t="s">
        <v>465</v>
      </c>
      <c r="C154" s="6" t="s">
        <v>466</v>
      </c>
      <c r="D154" s="138" t="s">
        <v>627</v>
      </c>
      <c r="E154" s="138" t="s">
        <v>627</v>
      </c>
      <c r="F154" s="59" t="s">
        <v>143</v>
      </c>
      <c r="G154" s="35">
        <v>298827</v>
      </c>
      <c r="H154" s="16" t="s">
        <v>459</v>
      </c>
      <c r="I154" s="266" t="s">
        <v>148</v>
      </c>
      <c r="J154" s="273" t="s">
        <v>435</v>
      </c>
    </row>
    <row r="155" spans="2:10" s="1" customFormat="1" ht="26.25" hidden="1" customHeight="1">
      <c r="B155" s="253" t="s">
        <v>460</v>
      </c>
      <c r="C155" s="6" t="s">
        <v>461</v>
      </c>
      <c r="D155" s="138" t="s">
        <v>627</v>
      </c>
      <c r="E155" s="138" t="s">
        <v>627</v>
      </c>
      <c r="F155" s="59" t="s">
        <v>139</v>
      </c>
      <c r="G155" s="35">
        <v>150000</v>
      </c>
      <c r="H155" s="16" t="s">
        <v>462</v>
      </c>
      <c r="I155" s="266" t="s">
        <v>10</v>
      </c>
      <c r="J155" s="273" t="s">
        <v>438</v>
      </c>
    </row>
    <row r="156" spans="2:10" s="1" customFormat="1" ht="26.25" hidden="1" customHeight="1">
      <c r="B156" s="253" t="s">
        <v>463</v>
      </c>
      <c r="C156" s="6" t="s">
        <v>471</v>
      </c>
      <c r="D156" s="124"/>
      <c r="E156" s="16"/>
      <c r="F156" s="59" t="s">
        <v>140</v>
      </c>
      <c r="G156" s="35"/>
      <c r="H156" s="16" t="s">
        <v>464</v>
      </c>
      <c r="I156" s="266" t="s">
        <v>13</v>
      </c>
      <c r="J156" s="274" t="s">
        <v>483</v>
      </c>
    </row>
    <row r="157" spans="2:10" s="1" customFormat="1" ht="26.25" hidden="1" customHeight="1">
      <c r="B157" s="253" t="s">
        <v>472</v>
      </c>
      <c r="C157" s="6" t="s">
        <v>473</v>
      </c>
      <c r="D157" s="124"/>
      <c r="E157" s="16"/>
      <c r="F157" s="59" t="s">
        <v>142</v>
      </c>
      <c r="G157" s="35">
        <v>1554941</v>
      </c>
      <c r="H157" s="16" t="s">
        <v>475</v>
      </c>
      <c r="I157" s="266" t="s">
        <v>125</v>
      </c>
      <c r="J157" s="274" t="s">
        <v>483</v>
      </c>
    </row>
    <row r="158" spans="2:10" s="1" customFormat="1" ht="26.25" hidden="1" customHeight="1">
      <c r="B158" s="253" t="s">
        <v>476</v>
      </c>
      <c r="C158" s="6" t="s">
        <v>477</v>
      </c>
      <c r="D158" s="124"/>
      <c r="E158" s="16"/>
      <c r="F158" s="59" t="s">
        <v>329</v>
      </c>
      <c r="G158" s="35">
        <v>66000</v>
      </c>
      <c r="H158" s="16" t="s">
        <v>480</v>
      </c>
      <c r="I158" s="266" t="s">
        <v>291</v>
      </c>
      <c r="J158" s="273" t="s">
        <v>474</v>
      </c>
    </row>
    <row r="159" spans="2:10" s="1" customFormat="1" ht="26.25" hidden="1" customHeight="1">
      <c r="B159" s="254" t="s">
        <v>478</v>
      </c>
      <c r="C159" s="82" t="s">
        <v>479</v>
      </c>
      <c r="D159" s="127"/>
      <c r="E159" s="85"/>
      <c r="F159" s="83" t="s">
        <v>329</v>
      </c>
      <c r="G159" s="84">
        <v>10000</v>
      </c>
      <c r="H159" s="85" t="s">
        <v>482</v>
      </c>
      <c r="I159" s="266" t="s">
        <v>291</v>
      </c>
      <c r="J159" s="275" t="s">
        <v>488</v>
      </c>
    </row>
    <row r="160" spans="2:10" s="1" customFormat="1" ht="26.25" hidden="1" customHeight="1">
      <c r="B160" s="255"/>
      <c r="C160" s="88"/>
      <c r="D160" s="128"/>
      <c r="E160" s="88"/>
      <c r="F160" s="89" t="s">
        <v>381</v>
      </c>
      <c r="G160" s="98">
        <f>SUM(G119:G159)</f>
        <v>43005900.350000001</v>
      </c>
      <c r="H160" s="90"/>
      <c r="I160" s="116"/>
      <c r="J160" s="276"/>
    </row>
    <row r="161" spans="2:10" s="1" customFormat="1" ht="26.25" hidden="1" customHeight="1">
      <c r="B161" s="256" t="s">
        <v>484</v>
      </c>
      <c r="C161" s="95" t="s">
        <v>485</v>
      </c>
      <c r="D161" s="138" t="s">
        <v>627</v>
      </c>
      <c r="E161" s="138" t="s">
        <v>626</v>
      </c>
      <c r="F161" s="100" t="s">
        <v>329</v>
      </c>
      <c r="G161" s="99">
        <v>1200000</v>
      </c>
      <c r="H161" s="96" t="s">
        <v>486</v>
      </c>
      <c r="I161" s="267" t="s">
        <v>291</v>
      </c>
      <c r="J161" s="277" t="s">
        <v>489</v>
      </c>
    </row>
    <row r="162" spans="2:10" s="1" customFormat="1" ht="26.25" hidden="1" customHeight="1">
      <c r="B162" s="256" t="s">
        <v>507</v>
      </c>
      <c r="C162" s="95" t="s">
        <v>508</v>
      </c>
      <c r="D162" s="138" t="s">
        <v>626</v>
      </c>
      <c r="E162" s="138" t="s">
        <v>626</v>
      </c>
      <c r="F162" s="100" t="s">
        <v>144</v>
      </c>
      <c r="G162" s="99">
        <v>3087000</v>
      </c>
      <c r="H162" s="96" t="s">
        <v>495</v>
      </c>
      <c r="I162" s="267" t="s">
        <v>36</v>
      </c>
      <c r="J162" s="277" t="s">
        <v>436</v>
      </c>
    </row>
    <row r="163" spans="2:10" s="1" customFormat="1" ht="26.25" hidden="1" customHeight="1">
      <c r="B163" s="256" t="s">
        <v>492</v>
      </c>
      <c r="C163" s="95" t="s">
        <v>493</v>
      </c>
      <c r="D163" s="138" t="s">
        <v>627</v>
      </c>
      <c r="E163" s="138" t="s">
        <v>626</v>
      </c>
      <c r="F163" s="100" t="s">
        <v>143</v>
      </c>
      <c r="G163" s="99">
        <v>2100000</v>
      </c>
      <c r="H163" s="96" t="s">
        <v>494</v>
      </c>
      <c r="I163" s="267" t="s">
        <v>148</v>
      </c>
      <c r="J163" s="277" t="s">
        <v>435</v>
      </c>
    </row>
    <row r="164" spans="2:10" s="1" customFormat="1" ht="26.25" hidden="1" customHeight="1">
      <c r="B164" s="257"/>
      <c r="C164" s="95" t="s">
        <v>509</v>
      </c>
      <c r="D164" s="138" t="s">
        <v>627</v>
      </c>
      <c r="E164" s="138" t="s">
        <v>627</v>
      </c>
      <c r="F164" s="100" t="s">
        <v>143</v>
      </c>
      <c r="G164" s="99">
        <v>396916</v>
      </c>
      <c r="H164" s="96" t="s">
        <v>496</v>
      </c>
      <c r="I164" s="267" t="s">
        <v>148</v>
      </c>
      <c r="J164" s="277" t="s">
        <v>438</v>
      </c>
    </row>
    <row r="165" spans="2:10" s="1" customFormat="1" ht="26.25" hidden="1" customHeight="1">
      <c r="B165" s="256" t="s">
        <v>510</v>
      </c>
      <c r="C165" s="95" t="s">
        <v>511</v>
      </c>
      <c r="D165" s="138" t="s">
        <v>626</v>
      </c>
      <c r="E165" s="138" t="s">
        <v>626</v>
      </c>
      <c r="F165" s="100" t="s">
        <v>143</v>
      </c>
      <c r="G165" s="99">
        <v>3054000</v>
      </c>
      <c r="H165" s="96" t="s">
        <v>497</v>
      </c>
      <c r="I165" s="267" t="s">
        <v>148</v>
      </c>
      <c r="J165" s="277" t="s">
        <v>435</v>
      </c>
    </row>
    <row r="166" spans="2:10" s="1" customFormat="1" ht="26.25" hidden="1" customHeight="1">
      <c r="B166" s="258" t="s">
        <v>516</v>
      </c>
      <c r="C166" s="105"/>
      <c r="D166" s="138" t="s">
        <v>627</v>
      </c>
      <c r="E166" s="138" t="s">
        <v>626</v>
      </c>
      <c r="F166" s="100" t="s">
        <v>144</v>
      </c>
      <c r="G166" s="99">
        <v>204720</v>
      </c>
      <c r="H166" s="96" t="s">
        <v>498</v>
      </c>
      <c r="I166" s="267" t="s">
        <v>36</v>
      </c>
      <c r="J166" s="277" t="s">
        <v>436</v>
      </c>
    </row>
    <row r="167" spans="2:10" s="1" customFormat="1" ht="26.25" hidden="1" customHeight="1">
      <c r="B167" s="256" t="s">
        <v>512</v>
      </c>
      <c r="C167" s="95" t="s">
        <v>513</v>
      </c>
      <c r="D167" s="129"/>
      <c r="E167" s="95"/>
      <c r="F167" s="100" t="s">
        <v>139</v>
      </c>
      <c r="G167" s="99">
        <v>348400</v>
      </c>
      <c r="H167" s="96" t="s">
        <v>499</v>
      </c>
      <c r="I167" s="267" t="s">
        <v>10</v>
      </c>
      <c r="J167" s="277" t="s">
        <v>438</v>
      </c>
    </row>
    <row r="168" spans="2:10" s="1" customFormat="1" ht="26.25" hidden="1" customHeight="1">
      <c r="B168" s="256" t="s">
        <v>517</v>
      </c>
      <c r="C168" s="95" t="s">
        <v>518</v>
      </c>
      <c r="D168" s="138" t="s">
        <v>626</v>
      </c>
      <c r="E168" s="138" t="s">
        <v>626</v>
      </c>
      <c r="F168" s="100" t="s">
        <v>365</v>
      </c>
      <c r="G168" s="99">
        <v>398129</v>
      </c>
      <c r="H168" s="96" t="s">
        <v>500</v>
      </c>
      <c r="I168" s="267" t="s">
        <v>271</v>
      </c>
      <c r="J168" s="277" t="s">
        <v>439</v>
      </c>
    </row>
    <row r="169" spans="2:10" s="1" customFormat="1" ht="26.25" hidden="1" customHeight="1">
      <c r="B169" s="256" t="s">
        <v>519</v>
      </c>
      <c r="C169" s="95" t="s">
        <v>520</v>
      </c>
      <c r="D169" s="138" t="s">
        <v>626</v>
      </c>
      <c r="E169" s="138" t="s">
        <v>627</v>
      </c>
      <c r="F169" s="100" t="s">
        <v>143</v>
      </c>
      <c r="G169" s="99">
        <v>3290000</v>
      </c>
      <c r="H169" s="96" t="s">
        <v>524</v>
      </c>
      <c r="I169" s="267" t="s">
        <v>148</v>
      </c>
      <c r="J169" s="277" t="s">
        <v>435</v>
      </c>
    </row>
    <row r="170" spans="2:10" s="1" customFormat="1" ht="26.25" hidden="1" customHeight="1">
      <c r="B170" s="256" t="s">
        <v>528</v>
      </c>
      <c r="C170" s="105"/>
      <c r="D170" s="138" t="s">
        <v>627</v>
      </c>
      <c r="E170" s="138" t="s">
        <v>627</v>
      </c>
      <c r="F170" s="100" t="s">
        <v>139</v>
      </c>
      <c r="G170" s="99">
        <v>1089624</v>
      </c>
      <c r="H170" s="96" t="s">
        <v>521</v>
      </c>
      <c r="I170" s="267" t="s">
        <v>10</v>
      </c>
      <c r="J170" s="277" t="s">
        <v>437</v>
      </c>
    </row>
    <row r="171" spans="2:10" s="1" customFormat="1" ht="26.25" hidden="1" customHeight="1">
      <c r="B171" s="256" t="s">
        <v>603</v>
      </c>
      <c r="C171" s="95" t="s">
        <v>527</v>
      </c>
      <c r="D171" s="138" t="s">
        <v>627</v>
      </c>
      <c r="E171" s="138" t="s">
        <v>627</v>
      </c>
      <c r="F171" s="100" t="s">
        <v>329</v>
      </c>
      <c r="G171" s="99">
        <v>33162</v>
      </c>
      <c r="H171" s="96" t="s">
        <v>522</v>
      </c>
      <c r="I171" s="267" t="s">
        <v>291</v>
      </c>
      <c r="J171" s="277" t="s">
        <v>488</v>
      </c>
    </row>
    <row r="172" spans="2:10" s="1" customFormat="1" ht="26.25" hidden="1" customHeight="1">
      <c r="B172" s="256" t="s">
        <v>604</v>
      </c>
      <c r="C172" s="95" t="s">
        <v>529</v>
      </c>
      <c r="D172" s="138" t="s">
        <v>627</v>
      </c>
      <c r="E172" s="138" t="s">
        <v>627</v>
      </c>
      <c r="F172" s="100" t="s">
        <v>329</v>
      </c>
      <c r="G172" s="99">
        <v>284281</v>
      </c>
      <c r="H172" s="96" t="s">
        <v>530</v>
      </c>
      <c r="I172" s="267" t="s">
        <v>152</v>
      </c>
      <c r="J172" s="277" t="s">
        <v>489</v>
      </c>
    </row>
    <row r="173" spans="2:10" s="1" customFormat="1" ht="18" hidden="1" customHeight="1">
      <c r="B173" s="256" t="s">
        <v>605</v>
      </c>
      <c r="C173" s="95" t="s">
        <v>531</v>
      </c>
      <c r="D173" s="138" t="s">
        <v>627</v>
      </c>
      <c r="E173" s="138" t="s">
        <v>627</v>
      </c>
      <c r="F173" s="100" t="s">
        <v>143</v>
      </c>
      <c r="G173" s="99">
        <v>284282</v>
      </c>
      <c r="H173" s="96" t="s">
        <v>532</v>
      </c>
      <c r="I173" s="267" t="s">
        <v>148</v>
      </c>
      <c r="J173" s="277" t="s">
        <v>435</v>
      </c>
    </row>
    <row r="174" spans="2:10" s="1" customFormat="1" ht="26.25" hidden="1" customHeight="1">
      <c r="B174" s="256" t="s">
        <v>547</v>
      </c>
      <c r="C174" s="95" t="s">
        <v>533</v>
      </c>
      <c r="D174" s="138" t="s">
        <v>627</v>
      </c>
      <c r="E174" s="138" t="s">
        <v>627</v>
      </c>
      <c r="F174" s="100" t="s">
        <v>143</v>
      </c>
      <c r="G174" s="99">
        <v>284283</v>
      </c>
      <c r="H174" s="96" t="s">
        <v>534</v>
      </c>
      <c r="I174" s="267" t="s">
        <v>148</v>
      </c>
      <c r="J174" s="277" t="s">
        <v>435</v>
      </c>
    </row>
    <row r="175" spans="2:10" s="1" customFormat="1" ht="26.25" hidden="1" customHeight="1">
      <c r="B175" s="256" t="s">
        <v>565</v>
      </c>
      <c r="C175" s="95" t="s">
        <v>535</v>
      </c>
      <c r="D175" s="138" t="s">
        <v>627</v>
      </c>
      <c r="E175" s="138" t="s">
        <v>627</v>
      </c>
      <c r="F175" s="100" t="s">
        <v>143</v>
      </c>
      <c r="G175" s="99">
        <v>284284</v>
      </c>
      <c r="H175" s="96" t="s">
        <v>536</v>
      </c>
      <c r="I175" s="267" t="s">
        <v>148</v>
      </c>
      <c r="J175" s="277" t="s">
        <v>435</v>
      </c>
    </row>
    <row r="176" spans="2:10" s="1" customFormat="1" ht="26.25" hidden="1" customHeight="1">
      <c r="B176" s="256" t="s">
        <v>606</v>
      </c>
      <c r="C176" s="95" t="s">
        <v>537</v>
      </c>
      <c r="D176" s="138" t="s">
        <v>627</v>
      </c>
      <c r="E176" s="138" t="s">
        <v>627</v>
      </c>
      <c r="F176" s="100" t="s">
        <v>143</v>
      </c>
      <c r="G176" s="99">
        <v>284285</v>
      </c>
      <c r="H176" s="96" t="s">
        <v>538</v>
      </c>
      <c r="I176" s="267" t="s">
        <v>148</v>
      </c>
      <c r="J176" s="277" t="s">
        <v>435</v>
      </c>
    </row>
    <row r="177" spans="2:10" s="1" customFormat="1" ht="26.25" hidden="1" customHeight="1">
      <c r="B177" s="256" t="s">
        <v>554</v>
      </c>
      <c r="C177" s="95" t="s">
        <v>539</v>
      </c>
      <c r="D177" s="138" t="s">
        <v>627</v>
      </c>
      <c r="E177" s="138" t="s">
        <v>627</v>
      </c>
      <c r="F177" s="100" t="s">
        <v>143</v>
      </c>
      <c r="G177" s="99">
        <v>284286</v>
      </c>
      <c r="H177" s="96" t="s">
        <v>540</v>
      </c>
      <c r="I177" s="267" t="s">
        <v>148</v>
      </c>
      <c r="J177" s="277" t="s">
        <v>435</v>
      </c>
    </row>
    <row r="178" spans="2:10" s="1" customFormat="1" ht="26.25" hidden="1" customHeight="1">
      <c r="B178" s="256" t="s">
        <v>607</v>
      </c>
      <c r="C178" s="95" t="s">
        <v>541</v>
      </c>
      <c r="D178" s="138" t="s">
        <v>627</v>
      </c>
      <c r="E178" s="138" t="s">
        <v>627</v>
      </c>
      <c r="F178" s="100" t="s">
        <v>143</v>
      </c>
      <c r="G178" s="99">
        <v>284287</v>
      </c>
      <c r="H178" s="96" t="s">
        <v>542</v>
      </c>
      <c r="I178" s="267" t="s">
        <v>148</v>
      </c>
      <c r="J178" s="277" t="s">
        <v>435</v>
      </c>
    </row>
    <row r="179" spans="2:10" s="1" customFormat="1" ht="26.25" hidden="1" customHeight="1">
      <c r="B179" s="256" t="s">
        <v>605</v>
      </c>
      <c r="C179" s="95" t="s">
        <v>531</v>
      </c>
      <c r="D179" s="138" t="s">
        <v>627</v>
      </c>
      <c r="E179" s="138" t="s">
        <v>627</v>
      </c>
      <c r="F179" s="100" t="s">
        <v>329</v>
      </c>
      <c r="G179" s="99">
        <v>195323</v>
      </c>
      <c r="H179" s="96" t="s">
        <v>545</v>
      </c>
      <c r="I179" s="267" t="s">
        <v>291</v>
      </c>
      <c r="J179" s="277" t="s">
        <v>561</v>
      </c>
    </row>
    <row r="180" spans="2:10" s="1" customFormat="1" ht="26.25" hidden="1" customHeight="1">
      <c r="B180" s="259" t="s">
        <v>547</v>
      </c>
      <c r="C180" s="95" t="s">
        <v>533</v>
      </c>
      <c r="D180" s="138" t="s">
        <v>627</v>
      </c>
      <c r="E180" s="138" t="s">
        <v>627</v>
      </c>
      <c r="F180" s="100" t="s">
        <v>139</v>
      </c>
      <c r="G180" s="99">
        <v>943879</v>
      </c>
      <c r="H180" s="96" t="s">
        <v>548</v>
      </c>
      <c r="I180" s="267" t="s">
        <v>10</v>
      </c>
      <c r="J180" s="277" t="s">
        <v>432</v>
      </c>
    </row>
    <row r="181" spans="2:10" s="1" customFormat="1" ht="26.25" hidden="1" customHeight="1">
      <c r="B181" s="259" t="s">
        <v>565</v>
      </c>
      <c r="C181" s="95" t="s">
        <v>535</v>
      </c>
      <c r="D181" s="138" t="s">
        <v>626</v>
      </c>
      <c r="E181" s="138" t="s">
        <v>626</v>
      </c>
      <c r="F181" s="100" t="s">
        <v>365</v>
      </c>
      <c r="G181" s="99">
        <v>1860000</v>
      </c>
      <c r="H181" s="96" t="s">
        <v>550</v>
      </c>
      <c r="I181" s="267" t="s">
        <v>271</v>
      </c>
      <c r="J181" s="277" t="s">
        <v>442</v>
      </c>
    </row>
    <row r="182" spans="2:10" s="1" customFormat="1" ht="26.25" hidden="1" customHeight="1">
      <c r="B182" s="259" t="s">
        <v>606</v>
      </c>
      <c r="C182" s="95" t="s">
        <v>537</v>
      </c>
      <c r="D182" s="138" t="s">
        <v>627</v>
      </c>
      <c r="E182" s="138" t="s">
        <v>627</v>
      </c>
      <c r="F182" s="100" t="s">
        <v>329</v>
      </c>
      <c r="G182" s="99">
        <v>265392</v>
      </c>
      <c r="H182" s="96" t="s">
        <v>552</v>
      </c>
      <c r="I182" s="267" t="s">
        <v>152</v>
      </c>
      <c r="J182" s="277" t="s">
        <v>489</v>
      </c>
    </row>
    <row r="183" spans="2:10" s="1" customFormat="1" ht="26.25" hidden="1" customHeight="1">
      <c r="B183" s="259" t="s">
        <v>554</v>
      </c>
      <c r="C183" s="105"/>
      <c r="D183" s="138" t="s">
        <v>627</v>
      </c>
      <c r="E183" s="138" t="s">
        <v>627</v>
      </c>
      <c r="F183" s="100" t="s">
        <v>365</v>
      </c>
      <c r="G183" s="99">
        <v>137690</v>
      </c>
      <c r="H183" s="96" t="s">
        <v>555</v>
      </c>
      <c r="I183" s="267" t="s">
        <v>271</v>
      </c>
      <c r="J183" s="277" t="s">
        <v>439</v>
      </c>
    </row>
    <row r="184" spans="2:10" s="1" customFormat="1" ht="26.25" hidden="1" customHeight="1">
      <c r="B184" s="260" t="s">
        <v>607</v>
      </c>
      <c r="C184" s="108" t="s">
        <v>541</v>
      </c>
      <c r="D184" s="138" t="s">
        <v>627</v>
      </c>
      <c r="E184" s="138" t="s">
        <v>627</v>
      </c>
      <c r="F184" s="214" t="s">
        <v>329</v>
      </c>
      <c r="G184" s="110">
        <v>72881</v>
      </c>
      <c r="H184" s="111" t="s">
        <v>556</v>
      </c>
      <c r="I184" s="268" t="s">
        <v>291</v>
      </c>
      <c r="J184" s="278" t="s">
        <v>561</v>
      </c>
    </row>
    <row r="185" spans="2:10" s="1" customFormat="1" ht="26.25" customHeight="1">
      <c r="B185" s="315" t="s">
        <v>1046</v>
      </c>
      <c r="C185" s="316" t="s">
        <v>998</v>
      </c>
      <c r="D185" s="317" t="s">
        <v>997</v>
      </c>
      <c r="E185" s="306" t="s">
        <v>999</v>
      </c>
      <c r="F185" s="295"/>
      <c r="G185" s="295"/>
      <c r="H185" s="295"/>
      <c r="I185" s="296" t="s">
        <v>1000</v>
      </c>
      <c r="J185" s="279" t="s">
        <v>926</v>
      </c>
    </row>
    <row r="186" spans="2:10" s="1" customFormat="1" ht="26.25" customHeight="1">
      <c r="B186" s="261" t="s">
        <v>1059</v>
      </c>
      <c r="C186" s="239" t="s">
        <v>1001</v>
      </c>
      <c r="D186" s="262" t="s">
        <v>997</v>
      </c>
      <c r="E186" s="307" t="s">
        <v>1002</v>
      </c>
      <c r="F186" s="239"/>
      <c r="G186" s="239"/>
      <c r="H186" s="239"/>
      <c r="I186" s="297" t="s">
        <v>1003</v>
      </c>
      <c r="J186" s="280" t="s">
        <v>926</v>
      </c>
    </row>
    <row r="187" spans="2:10" s="1" customFormat="1" ht="26.25" customHeight="1">
      <c r="B187" s="261" t="s">
        <v>1047</v>
      </c>
      <c r="C187" s="239" t="s">
        <v>1004</v>
      </c>
      <c r="D187" s="262" t="s">
        <v>997</v>
      </c>
      <c r="E187" s="308"/>
      <c r="F187" s="240"/>
      <c r="G187" s="240"/>
      <c r="H187" s="240"/>
      <c r="I187" s="297" t="s">
        <v>1005</v>
      </c>
      <c r="J187" s="280" t="s">
        <v>926</v>
      </c>
    </row>
    <row r="188" spans="2:10" s="1" customFormat="1" ht="26.25" customHeight="1">
      <c r="B188" s="261" t="s">
        <v>1048</v>
      </c>
      <c r="C188" s="239" t="s">
        <v>1006</v>
      </c>
      <c r="D188" s="262" t="s">
        <v>1041</v>
      </c>
      <c r="E188" s="307" t="s">
        <v>1007</v>
      </c>
      <c r="F188" s="239" t="s">
        <v>1008</v>
      </c>
      <c r="G188" s="239" t="s">
        <v>1009</v>
      </c>
      <c r="H188" s="240"/>
      <c r="I188" s="298"/>
      <c r="J188" s="281" t="s">
        <v>439</v>
      </c>
    </row>
    <row r="189" spans="2:10" s="1" customFormat="1" ht="26.25" customHeight="1">
      <c r="B189" s="261" t="s">
        <v>1049</v>
      </c>
      <c r="C189" s="239" t="s">
        <v>1010</v>
      </c>
      <c r="D189" s="262" t="s">
        <v>1042</v>
      </c>
      <c r="E189" s="307" t="s">
        <v>1011</v>
      </c>
      <c r="F189" s="239" t="s">
        <v>1012</v>
      </c>
      <c r="G189" s="239" t="s">
        <v>1013</v>
      </c>
      <c r="H189" s="240"/>
      <c r="I189" s="298"/>
      <c r="J189" s="281" t="s">
        <v>439</v>
      </c>
    </row>
    <row r="190" spans="2:10" s="1" customFormat="1" ht="26.25" customHeight="1">
      <c r="B190" s="261" t="s">
        <v>1050</v>
      </c>
      <c r="C190" s="239" t="s">
        <v>1014</v>
      </c>
      <c r="D190" s="262" t="s">
        <v>997</v>
      </c>
      <c r="E190" s="308"/>
      <c r="F190" s="240"/>
      <c r="G190" s="240"/>
      <c r="H190" s="240"/>
      <c r="I190" s="297" t="s">
        <v>1015</v>
      </c>
      <c r="J190" s="280" t="s">
        <v>926</v>
      </c>
    </row>
    <row r="191" spans="2:10" s="1" customFormat="1" ht="26.25" customHeight="1">
      <c r="B191" s="261" t="s">
        <v>1051</v>
      </c>
      <c r="C191" s="239" t="s">
        <v>1016</v>
      </c>
      <c r="D191" s="262" t="s">
        <v>997</v>
      </c>
      <c r="E191" s="308"/>
      <c r="F191" s="240"/>
      <c r="G191" s="240"/>
      <c r="H191" s="240"/>
      <c r="I191" s="297" t="s">
        <v>1017</v>
      </c>
      <c r="J191" s="280" t="s">
        <v>926</v>
      </c>
    </row>
    <row r="192" spans="2:10" s="1" customFormat="1" ht="26.25" customHeight="1">
      <c r="B192" s="261" t="s">
        <v>1052</v>
      </c>
      <c r="C192" s="239" t="s">
        <v>1018</v>
      </c>
      <c r="D192" s="262" t="s">
        <v>997</v>
      </c>
      <c r="E192" s="308"/>
      <c r="F192" s="240"/>
      <c r="G192" s="240"/>
      <c r="H192" s="240"/>
      <c r="I192" s="297" t="s">
        <v>1019</v>
      </c>
      <c r="J192" s="280" t="s">
        <v>926</v>
      </c>
    </row>
    <row r="193" spans="2:10" s="1" customFormat="1" ht="26.25" customHeight="1">
      <c r="B193" s="261" t="s">
        <v>1053</v>
      </c>
      <c r="C193" s="239" t="s">
        <v>1020</v>
      </c>
      <c r="D193" s="262" t="s">
        <v>997</v>
      </c>
      <c r="E193" s="308"/>
      <c r="F193" s="240"/>
      <c r="G193" s="240"/>
      <c r="H193" s="240"/>
      <c r="I193" s="297" t="s">
        <v>1021</v>
      </c>
      <c r="J193" s="280" t="s">
        <v>515</v>
      </c>
    </row>
    <row r="194" spans="2:10" s="1" customFormat="1" ht="26.25" customHeight="1">
      <c r="B194" s="261" t="s">
        <v>1054</v>
      </c>
      <c r="C194" s="239" t="s">
        <v>1022</v>
      </c>
      <c r="D194" s="262" t="s">
        <v>1023</v>
      </c>
      <c r="E194" s="307" t="s">
        <v>1024</v>
      </c>
      <c r="F194" s="239" t="s">
        <v>1025</v>
      </c>
      <c r="G194" s="240"/>
      <c r="H194" s="240"/>
      <c r="I194" s="298"/>
      <c r="J194" s="281" t="s">
        <v>1209</v>
      </c>
    </row>
    <row r="195" spans="2:10" s="1" customFormat="1" ht="26.25" customHeight="1">
      <c r="B195" s="318" t="s">
        <v>1055</v>
      </c>
      <c r="C195" s="286" t="s">
        <v>1027</v>
      </c>
      <c r="D195" s="319" t="s">
        <v>1043</v>
      </c>
      <c r="E195" s="309" t="s">
        <v>1028</v>
      </c>
      <c r="F195" s="287" t="s">
        <v>1029</v>
      </c>
      <c r="G195" s="288" t="s">
        <v>1030</v>
      </c>
      <c r="H195" s="289"/>
      <c r="I195" s="299"/>
      <c r="J195" s="280" t="s">
        <v>439</v>
      </c>
    </row>
    <row r="196" spans="2:10" s="1" customFormat="1" ht="26.25" hidden="1" customHeight="1">
      <c r="B196" s="318"/>
      <c r="C196" s="314"/>
      <c r="D196" s="319"/>
      <c r="E196" s="309"/>
      <c r="F196" s="287"/>
      <c r="G196" s="288"/>
      <c r="H196" s="287"/>
      <c r="I196" s="300"/>
      <c r="J196" s="280" t="s">
        <v>439</v>
      </c>
    </row>
    <row r="197" spans="2:10" s="1" customFormat="1" ht="26.25" hidden="1" customHeight="1">
      <c r="B197" s="318"/>
      <c r="C197" s="286"/>
      <c r="D197" s="320"/>
      <c r="E197" s="310"/>
      <c r="F197" s="287"/>
      <c r="G197" s="288"/>
      <c r="H197" s="287"/>
      <c r="I197" s="300"/>
      <c r="J197" s="280" t="s">
        <v>439</v>
      </c>
    </row>
    <row r="198" spans="2:10" s="1" customFormat="1" ht="26.25" hidden="1" customHeight="1">
      <c r="B198" s="318"/>
      <c r="C198" s="314"/>
      <c r="D198" s="320"/>
      <c r="E198" s="310"/>
      <c r="F198" s="287"/>
      <c r="G198" s="288"/>
      <c r="H198" s="287"/>
      <c r="I198" s="300"/>
      <c r="J198" s="280" t="s">
        <v>439</v>
      </c>
    </row>
    <row r="199" spans="2:10" s="1" customFormat="1" ht="26.25" hidden="1" customHeight="1">
      <c r="B199" s="318"/>
      <c r="C199" s="286"/>
      <c r="D199" s="320"/>
      <c r="E199" s="310"/>
      <c r="F199" s="287"/>
      <c r="G199" s="288"/>
      <c r="H199" s="287"/>
      <c r="I199" s="300"/>
      <c r="J199" s="280" t="s">
        <v>439</v>
      </c>
    </row>
    <row r="200" spans="2:10" s="1" customFormat="1" ht="26.25" hidden="1" customHeight="1">
      <c r="B200" s="318"/>
      <c r="C200" s="314"/>
      <c r="D200" s="320"/>
      <c r="E200" s="310"/>
      <c r="F200" s="287"/>
      <c r="G200" s="288"/>
      <c r="H200" s="287"/>
      <c r="I200" s="300"/>
      <c r="J200" s="280" t="s">
        <v>439</v>
      </c>
    </row>
    <row r="201" spans="2:10" s="1" customFormat="1" ht="26.25" hidden="1" customHeight="1">
      <c r="B201" s="318"/>
      <c r="C201" s="314"/>
      <c r="D201" s="320"/>
      <c r="E201" s="310"/>
      <c r="F201" s="287"/>
      <c r="G201" s="288"/>
      <c r="H201" s="287"/>
      <c r="I201" s="300"/>
      <c r="J201" s="280" t="s">
        <v>439</v>
      </c>
    </row>
    <row r="202" spans="2:10" s="1" customFormat="1" ht="26.25" hidden="1" customHeight="1">
      <c r="B202" s="318"/>
      <c r="C202" s="314"/>
      <c r="D202" s="320"/>
      <c r="E202" s="310"/>
      <c r="F202" s="287"/>
      <c r="G202" s="288"/>
      <c r="H202" s="287"/>
      <c r="I202" s="300"/>
      <c r="J202" s="280" t="s">
        <v>439</v>
      </c>
    </row>
    <row r="203" spans="2:10" s="1" customFormat="1" ht="26.25" hidden="1" customHeight="1">
      <c r="B203" s="318"/>
      <c r="C203" s="286"/>
      <c r="D203" s="320"/>
      <c r="E203" s="310"/>
      <c r="F203" s="287"/>
      <c r="G203" s="288"/>
      <c r="H203" s="287"/>
      <c r="I203" s="300"/>
      <c r="J203" s="280" t="s">
        <v>439</v>
      </c>
    </row>
    <row r="204" spans="2:10" s="1" customFormat="1" ht="26.25" hidden="1" customHeight="1">
      <c r="B204" s="318"/>
      <c r="C204" s="286"/>
      <c r="D204" s="320"/>
      <c r="E204" s="310"/>
      <c r="F204" s="287"/>
      <c r="G204" s="288"/>
      <c r="H204" s="287"/>
      <c r="I204" s="300"/>
      <c r="J204" s="280" t="s">
        <v>439</v>
      </c>
    </row>
    <row r="205" spans="2:10" s="1" customFormat="1" ht="26.25" customHeight="1">
      <c r="B205" s="318" t="s">
        <v>1056</v>
      </c>
      <c r="C205" s="286" t="s">
        <v>1031</v>
      </c>
      <c r="D205" s="300" t="s">
        <v>1044</v>
      </c>
      <c r="E205" s="310" t="s">
        <v>1032</v>
      </c>
      <c r="F205" s="287" t="s">
        <v>1033</v>
      </c>
      <c r="G205" s="290"/>
      <c r="H205" s="289"/>
      <c r="I205" s="299"/>
      <c r="J205" s="280" t="s">
        <v>1060</v>
      </c>
    </row>
    <row r="206" spans="2:10" s="1" customFormat="1" ht="26.25" hidden="1" customHeight="1">
      <c r="B206" s="318"/>
      <c r="C206" s="286"/>
      <c r="D206" s="320"/>
      <c r="E206" s="310"/>
      <c r="F206" s="287"/>
      <c r="G206" s="290"/>
      <c r="H206" s="289"/>
      <c r="I206" s="299"/>
      <c r="J206" s="282"/>
    </row>
    <row r="207" spans="2:10" s="1" customFormat="1" ht="26.25" hidden="1" customHeight="1">
      <c r="B207" s="318"/>
      <c r="C207" s="286"/>
      <c r="D207" s="320"/>
      <c r="E207" s="310"/>
      <c r="F207" s="287"/>
      <c r="G207" s="290"/>
      <c r="H207" s="289"/>
      <c r="I207" s="299"/>
      <c r="J207" s="282"/>
    </row>
    <row r="208" spans="2:10" s="1" customFormat="1" ht="26.25" hidden="1" customHeight="1">
      <c r="B208" s="318"/>
      <c r="C208" s="286"/>
      <c r="D208" s="320"/>
      <c r="E208" s="310"/>
      <c r="F208" s="287"/>
      <c r="G208" s="290"/>
      <c r="H208" s="289"/>
      <c r="I208" s="299"/>
      <c r="J208" s="282"/>
    </row>
    <row r="209" spans="2:10" s="1" customFormat="1" ht="26.25" hidden="1" customHeight="1">
      <c r="B209" s="321"/>
      <c r="C209" s="286"/>
      <c r="D209" s="320"/>
      <c r="E209" s="310"/>
      <c r="F209" s="287"/>
      <c r="G209" s="290"/>
      <c r="H209" s="289"/>
      <c r="I209" s="299"/>
      <c r="J209" s="282"/>
    </row>
    <row r="210" spans="2:10" s="1" customFormat="1" ht="26.25" hidden="1" customHeight="1">
      <c r="B210" s="318"/>
      <c r="C210" s="314"/>
      <c r="D210" s="320"/>
      <c r="E210" s="310"/>
      <c r="F210" s="287"/>
      <c r="G210" s="290"/>
      <c r="H210" s="289"/>
      <c r="I210" s="299"/>
      <c r="J210" s="282"/>
    </row>
    <row r="211" spans="2:10" s="1" customFormat="1" ht="26.25" hidden="1" customHeight="1">
      <c r="B211" s="318"/>
      <c r="C211" s="314"/>
      <c r="D211" s="320"/>
      <c r="E211" s="310"/>
      <c r="F211" s="287"/>
      <c r="G211" s="290"/>
      <c r="H211" s="289"/>
      <c r="I211" s="299"/>
      <c r="J211" s="282"/>
    </row>
    <row r="212" spans="2:10" s="1" customFormat="1" ht="26.25" hidden="1" customHeight="1">
      <c r="B212" s="318"/>
      <c r="C212" s="314"/>
      <c r="D212" s="320"/>
      <c r="E212" s="310"/>
      <c r="F212" s="287"/>
      <c r="G212" s="290"/>
      <c r="H212" s="289"/>
      <c r="I212" s="299"/>
      <c r="J212" s="282"/>
    </row>
    <row r="213" spans="2:10" s="1" customFormat="1" ht="26.25" customHeight="1">
      <c r="B213" s="318" t="s">
        <v>1057</v>
      </c>
      <c r="C213" s="286" t="s">
        <v>1034</v>
      </c>
      <c r="D213" s="319" t="s">
        <v>1045</v>
      </c>
      <c r="E213" s="309" t="s">
        <v>1035</v>
      </c>
      <c r="F213" s="287" t="s">
        <v>1036</v>
      </c>
      <c r="G213" s="290"/>
      <c r="H213" s="289"/>
      <c r="I213" s="299"/>
      <c r="J213" s="280" t="s">
        <v>960</v>
      </c>
    </row>
    <row r="214" spans="2:10" s="1" customFormat="1" ht="26.25" customHeight="1">
      <c r="B214" s="318" t="s">
        <v>1057</v>
      </c>
      <c r="C214" s="286" t="s">
        <v>1432</v>
      </c>
      <c r="D214" s="319" t="s">
        <v>1043</v>
      </c>
      <c r="E214" s="309" t="s">
        <v>1035</v>
      </c>
      <c r="F214" s="287" t="s">
        <v>1036</v>
      </c>
      <c r="G214" s="287" t="s">
        <v>1433</v>
      </c>
      <c r="H214" s="289"/>
      <c r="I214" s="299"/>
      <c r="J214" s="280" t="s">
        <v>960</v>
      </c>
    </row>
    <row r="215" spans="2:10" s="1" customFormat="1" ht="26.25" customHeight="1">
      <c r="B215" s="322" t="s">
        <v>1058</v>
      </c>
      <c r="C215" s="291" t="s">
        <v>1037</v>
      </c>
      <c r="D215" s="319" t="s">
        <v>1043</v>
      </c>
      <c r="E215" s="311" t="s">
        <v>1038</v>
      </c>
      <c r="F215" s="291" t="s">
        <v>1039</v>
      </c>
      <c r="G215" s="291" t="s">
        <v>1370</v>
      </c>
      <c r="H215" s="289"/>
      <c r="I215" s="299"/>
      <c r="J215" s="283" t="s">
        <v>1060</v>
      </c>
    </row>
    <row r="216" spans="2:10" s="1" customFormat="1" ht="26.25" customHeight="1">
      <c r="B216" s="323"/>
      <c r="C216" s="292"/>
      <c r="D216" s="324"/>
      <c r="E216" s="312"/>
      <c r="F216" s="293"/>
      <c r="G216" s="294"/>
      <c r="H216" s="293"/>
      <c r="I216" s="301"/>
      <c r="J216" s="284"/>
    </row>
    <row r="217" spans="2:10" s="1" customFormat="1" ht="26.25" hidden="1" customHeight="1">
      <c r="B217" s="323"/>
      <c r="C217" s="292"/>
      <c r="D217" s="324"/>
      <c r="E217" s="312"/>
      <c r="F217" s="293"/>
      <c r="G217" s="294"/>
      <c r="H217" s="293"/>
      <c r="I217" s="302"/>
      <c r="J217" s="284"/>
    </row>
    <row r="218" spans="2:10" s="1" customFormat="1" ht="26.25" hidden="1" customHeight="1">
      <c r="B218" s="323"/>
      <c r="C218" s="292"/>
      <c r="D218" s="324"/>
      <c r="E218" s="312"/>
      <c r="F218" s="293"/>
      <c r="G218" s="294"/>
      <c r="H218" s="293"/>
      <c r="I218" s="302"/>
      <c r="J218" s="284"/>
    </row>
    <row r="219" spans="2:10" s="1" customFormat="1" ht="26.25" hidden="1" customHeight="1">
      <c r="B219" s="323"/>
      <c r="C219" s="292"/>
      <c r="D219" s="324"/>
      <c r="E219" s="312"/>
      <c r="F219" s="293"/>
      <c r="G219" s="294"/>
      <c r="H219" s="293"/>
      <c r="I219" s="302"/>
      <c r="J219" s="284"/>
    </row>
    <row r="220" spans="2:10" s="1" customFormat="1" ht="26.25" hidden="1" customHeight="1">
      <c r="B220" s="323"/>
      <c r="C220" s="292"/>
      <c r="D220" s="324"/>
      <c r="E220" s="312"/>
      <c r="F220" s="293"/>
      <c r="G220" s="294"/>
      <c r="H220" s="293"/>
      <c r="I220" s="302"/>
      <c r="J220" s="284"/>
    </row>
    <row r="221" spans="2:10" s="1" customFormat="1" ht="26.25" hidden="1" customHeight="1">
      <c r="B221" s="323"/>
      <c r="C221" s="292"/>
      <c r="D221" s="324"/>
      <c r="E221" s="312"/>
      <c r="F221" s="293"/>
      <c r="G221" s="294"/>
      <c r="H221" s="293"/>
      <c r="I221" s="302"/>
      <c r="J221" s="284"/>
    </row>
    <row r="222" spans="2:10" s="1" customFormat="1" ht="26.25" hidden="1" customHeight="1">
      <c r="B222" s="323"/>
      <c r="C222" s="292"/>
      <c r="D222" s="324"/>
      <c r="E222" s="312"/>
      <c r="F222" s="293"/>
      <c r="G222" s="294"/>
      <c r="H222" s="293"/>
      <c r="I222" s="302"/>
      <c r="J222" s="284"/>
    </row>
    <row r="223" spans="2:10" s="1" customFormat="1" ht="26.25" hidden="1" customHeight="1">
      <c r="B223" s="323"/>
      <c r="C223" s="292"/>
      <c r="D223" s="324"/>
      <c r="E223" s="312"/>
      <c r="F223" s="293"/>
      <c r="G223" s="294"/>
      <c r="H223" s="293"/>
      <c r="I223" s="302"/>
      <c r="J223" s="284"/>
    </row>
    <row r="224" spans="2:10" s="1" customFormat="1" ht="26.25" hidden="1" customHeight="1">
      <c r="B224" s="323"/>
      <c r="C224" s="293"/>
      <c r="D224" s="324"/>
      <c r="E224" s="312"/>
      <c r="F224" s="293"/>
      <c r="G224" s="294"/>
      <c r="H224" s="293"/>
      <c r="I224" s="302"/>
      <c r="J224" s="284"/>
    </row>
    <row r="225" spans="2:10" s="1" customFormat="1" ht="26.25" hidden="1" customHeight="1">
      <c r="B225" s="323"/>
      <c r="C225" s="292"/>
      <c r="D225" s="324"/>
      <c r="E225" s="312"/>
      <c r="F225" s="293"/>
      <c r="G225" s="294"/>
      <c r="H225" s="293"/>
      <c r="I225" s="302"/>
      <c r="J225" s="284"/>
    </row>
    <row r="226" spans="2:10" s="1" customFormat="1" ht="26.25" customHeight="1" thickBot="1">
      <c r="B226" s="325"/>
      <c r="C226" s="303"/>
      <c r="D226" s="326"/>
      <c r="E226" s="313"/>
      <c r="F226" s="303"/>
      <c r="G226" s="304"/>
      <c r="H226" s="303"/>
      <c r="I226" s="305"/>
      <c r="J226" s="285"/>
    </row>
    <row r="227" spans="2:10" s="1" customFormat="1" ht="26.25" hidden="1" customHeight="1">
      <c r="B227" s="241"/>
      <c r="C227" s="241"/>
      <c r="D227" s="242"/>
      <c r="E227" s="242"/>
      <c r="F227" s="241"/>
      <c r="G227" s="243"/>
      <c r="H227" s="241"/>
      <c r="I227" s="241"/>
      <c r="J227" s="244"/>
    </row>
    <row r="228" spans="2:10" s="1" customFormat="1" ht="26.25" hidden="1" customHeight="1">
      <c r="B228" s="226"/>
      <c r="C228" s="227"/>
      <c r="D228" s="227"/>
      <c r="E228" s="227"/>
      <c r="F228" s="226"/>
      <c r="G228" s="228"/>
      <c r="H228" s="226"/>
      <c r="I228" s="226"/>
      <c r="J228" s="229"/>
    </row>
    <row r="229" spans="2:10" s="1" customFormat="1" ht="26.25" hidden="1" customHeight="1">
      <c r="B229" s="226"/>
      <c r="C229" s="227"/>
      <c r="D229" s="227"/>
      <c r="E229" s="227"/>
      <c r="F229" s="226"/>
      <c r="G229" s="228"/>
      <c r="H229" s="226"/>
      <c r="I229" s="226"/>
      <c r="J229" s="229"/>
    </row>
    <row r="230" spans="2:10" s="1" customFormat="1" ht="26.25" hidden="1" customHeight="1">
      <c r="B230" s="226"/>
      <c r="C230" s="227"/>
      <c r="D230" s="227"/>
      <c r="E230" s="227"/>
      <c r="F230" s="226"/>
      <c r="G230" s="228"/>
      <c r="H230" s="226"/>
      <c r="I230" s="226"/>
      <c r="J230" s="229"/>
    </row>
    <row r="231" spans="2:10" s="1" customFormat="1" ht="26.25" hidden="1" customHeight="1">
      <c r="B231" s="226"/>
      <c r="C231" s="226"/>
      <c r="D231" s="227"/>
      <c r="E231" s="227"/>
      <c r="F231" s="226"/>
      <c r="G231" s="228"/>
      <c r="H231" s="226"/>
      <c r="I231" s="226"/>
      <c r="J231" s="230"/>
    </row>
    <row r="232" spans="2:10" s="1" customFormat="1" ht="26.25" hidden="1" customHeight="1">
      <c r="B232" s="226"/>
      <c r="C232" s="227"/>
      <c r="D232" s="227"/>
      <c r="E232" s="227"/>
      <c r="F232" s="226"/>
      <c r="G232" s="228"/>
      <c r="H232" s="226"/>
      <c r="I232" s="226"/>
      <c r="J232" s="231"/>
    </row>
    <row r="233" spans="2:10" s="1" customFormat="1" ht="26.25" hidden="1" customHeight="1">
      <c r="B233" s="226"/>
      <c r="C233" s="226"/>
      <c r="D233" s="227"/>
      <c r="E233" s="227"/>
      <c r="F233" s="226"/>
      <c r="G233" s="228"/>
      <c r="H233" s="226"/>
      <c r="I233" s="226"/>
      <c r="J233" s="231"/>
    </row>
    <row r="234" spans="2:10" s="1" customFormat="1" ht="26.25" hidden="1" customHeight="1">
      <c r="B234" s="226"/>
      <c r="C234" s="226"/>
      <c r="D234" s="227"/>
      <c r="E234" s="227"/>
      <c r="F234" s="226"/>
      <c r="G234" s="228"/>
      <c r="H234" s="226"/>
      <c r="I234" s="226"/>
      <c r="J234" s="231"/>
    </row>
    <row r="235" spans="2:10" s="1" customFormat="1" ht="26.25" hidden="1" customHeight="1">
      <c r="B235" s="226"/>
      <c r="C235" s="226"/>
      <c r="D235" s="227"/>
      <c r="E235" s="227"/>
      <c r="F235" s="226"/>
      <c r="G235" s="228"/>
      <c r="H235" s="226"/>
      <c r="I235" s="226"/>
      <c r="J235" s="231"/>
    </row>
    <row r="236" spans="2:10" s="1" customFormat="1" ht="26.25" hidden="1" customHeight="1">
      <c r="B236" s="226"/>
      <c r="C236" s="226"/>
      <c r="D236" s="227"/>
      <c r="E236" s="227"/>
      <c r="F236" s="226"/>
      <c r="G236" s="228"/>
      <c r="H236" s="226"/>
      <c r="I236" s="226"/>
      <c r="J236" s="231"/>
    </row>
    <row r="237" spans="2:10" s="1" customFormat="1" ht="26.25" hidden="1" customHeight="1">
      <c r="B237" s="226"/>
      <c r="C237" s="227"/>
      <c r="D237" s="227"/>
      <c r="E237" s="227"/>
      <c r="F237" s="226"/>
      <c r="G237" s="228"/>
      <c r="H237" s="226"/>
      <c r="I237" s="226"/>
      <c r="J237" s="231"/>
    </row>
    <row r="238" spans="2:10" s="1" customFormat="1" ht="26.25" hidden="1" customHeight="1">
      <c r="B238" s="226"/>
      <c r="C238" s="227"/>
      <c r="D238" s="227"/>
      <c r="E238" s="227"/>
      <c r="F238" s="226"/>
      <c r="G238" s="228"/>
      <c r="H238" s="226"/>
      <c r="I238" s="226"/>
      <c r="J238" s="231"/>
    </row>
    <row r="239" spans="2:10" s="1" customFormat="1" ht="26.25" hidden="1" customHeight="1">
      <c r="B239" s="226"/>
      <c r="C239" s="226"/>
      <c r="D239" s="227"/>
      <c r="E239" s="227"/>
      <c r="F239" s="226"/>
      <c r="G239" s="228"/>
      <c r="H239" s="226"/>
      <c r="I239" s="226"/>
      <c r="J239" s="231"/>
    </row>
    <row r="240" spans="2:10" s="1" customFormat="1" ht="26.25" hidden="1" customHeight="1">
      <c r="B240" s="226"/>
      <c r="C240" s="226"/>
      <c r="D240" s="227"/>
      <c r="E240" s="227"/>
      <c r="F240" s="226"/>
      <c r="G240" s="228"/>
      <c r="H240" s="226"/>
      <c r="I240" s="226"/>
      <c r="J240" s="231"/>
    </row>
    <row r="241" spans="2:10" s="1" customFormat="1" ht="26.25" hidden="1" customHeight="1">
      <c r="B241" s="226"/>
      <c r="C241" s="227"/>
      <c r="D241" s="227"/>
      <c r="E241" s="227"/>
      <c r="F241" s="226"/>
      <c r="G241" s="228"/>
      <c r="H241" s="226"/>
      <c r="I241" s="226"/>
      <c r="J241" s="231"/>
    </row>
    <row r="242" spans="2:10" s="1" customFormat="1" ht="26.25" customHeight="1">
      <c r="B242" s="226"/>
      <c r="C242" s="227"/>
      <c r="D242" s="227"/>
      <c r="E242" s="227"/>
      <c r="F242" s="226"/>
      <c r="G242" s="228"/>
      <c r="H242" s="226"/>
      <c r="I242" s="226"/>
      <c r="J242" s="231"/>
    </row>
    <row r="243" spans="2:10" s="1" customFormat="1" ht="26.25" customHeight="1">
      <c r="B243" s="226"/>
      <c r="C243" s="226"/>
      <c r="D243" s="227"/>
      <c r="E243" s="227"/>
      <c r="F243" s="226"/>
      <c r="G243" s="228"/>
      <c r="H243" s="226"/>
      <c r="I243" s="226"/>
      <c r="J243" s="231"/>
    </row>
    <row r="244" spans="2:10" s="1" customFormat="1" ht="26.25" hidden="1" customHeight="1">
      <c r="B244" s="226"/>
      <c r="C244" s="227"/>
      <c r="D244" s="227"/>
      <c r="E244" s="227"/>
      <c r="F244" s="226"/>
      <c r="G244" s="228"/>
      <c r="H244" s="226"/>
      <c r="I244" s="226"/>
      <c r="J244" s="231"/>
    </row>
    <row r="245" spans="2:10" s="1" customFormat="1" ht="26.25" customHeight="1">
      <c r="B245" s="226"/>
      <c r="C245" s="227"/>
      <c r="D245" s="227"/>
      <c r="E245" s="227"/>
      <c r="F245" s="226"/>
      <c r="G245" s="228"/>
      <c r="H245" s="226"/>
      <c r="I245" s="226"/>
      <c r="J245" s="231"/>
    </row>
    <row r="246" spans="2:10" s="1" customFormat="1" ht="26.25" customHeight="1">
      <c r="B246" s="226"/>
      <c r="C246" s="227"/>
      <c r="D246" s="227"/>
      <c r="E246" s="227"/>
      <c r="F246" s="226"/>
      <c r="G246" s="228"/>
      <c r="H246" s="226"/>
      <c r="I246" s="226"/>
      <c r="J246" s="231"/>
    </row>
    <row r="247" spans="2:10" s="1" customFormat="1" ht="26.25" customHeight="1">
      <c r="B247" s="226"/>
      <c r="C247" s="226"/>
      <c r="D247" s="227"/>
      <c r="E247" s="227"/>
      <c r="F247" s="226"/>
      <c r="G247" s="228"/>
      <c r="H247" s="226"/>
      <c r="I247" s="226"/>
      <c r="J247" s="231"/>
    </row>
    <row r="248" spans="2:10" s="1" customFormat="1" ht="26.25" customHeight="1">
      <c r="B248" s="232"/>
      <c r="C248" s="232"/>
      <c r="D248" s="232"/>
      <c r="E248" s="232"/>
      <c r="F248" s="233"/>
      <c r="G248" s="234"/>
      <c r="H248" s="235"/>
      <c r="I248" s="232"/>
      <c r="J248" s="236"/>
    </row>
    <row r="249" spans="2:10" s="1" customFormat="1" ht="26.25" hidden="1" customHeight="1">
      <c r="B249" s="232"/>
      <c r="C249" s="232"/>
      <c r="D249" s="237"/>
      <c r="E249" s="237"/>
      <c r="F249" s="232"/>
      <c r="G249" s="234"/>
      <c r="H249" s="235"/>
      <c r="I249" s="232"/>
      <c r="J249" s="238"/>
    </row>
    <row r="250" spans="2:10" s="1" customFormat="1" ht="26.25" hidden="1" customHeight="1">
      <c r="B250" s="232"/>
      <c r="C250" s="232"/>
      <c r="D250" s="237"/>
      <c r="E250" s="237"/>
      <c r="F250" s="232"/>
      <c r="G250" s="234"/>
      <c r="H250" s="235"/>
      <c r="I250" s="232"/>
      <c r="J250" s="238"/>
    </row>
    <row r="251" spans="2:10" s="1" customFormat="1" ht="26.25" hidden="1" customHeight="1">
      <c r="B251" s="232"/>
      <c r="C251" s="232"/>
      <c r="D251" s="237"/>
      <c r="E251" s="237"/>
      <c r="F251" s="232"/>
      <c r="G251" s="234"/>
      <c r="H251" s="235"/>
      <c r="I251" s="232"/>
      <c r="J251" s="238"/>
    </row>
    <row r="252" spans="2:10" s="1" customFormat="1" ht="26.25" hidden="1" customHeight="1">
      <c r="B252" s="232"/>
      <c r="C252" s="232"/>
      <c r="D252" s="237"/>
      <c r="E252" s="237"/>
      <c r="F252" s="232"/>
      <c r="G252" s="234"/>
      <c r="H252" s="235"/>
      <c r="I252" s="232"/>
      <c r="J252" s="238"/>
    </row>
    <row r="253" spans="2:10" s="1" customFormat="1" ht="26.25" hidden="1" customHeight="1">
      <c r="B253" s="232"/>
      <c r="C253" s="232"/>
      <c r="D253" s="237"/>
      <c r="E253" s="237"/>
      <c r="F253" s="232"/>
      <c r="G253" s="234"/>
      <c r="H253" s="235"/>
      <c r="I253" s="232"/>
      <c r="J253" s="238"/>
    </row>
    <row r="254" spans="2:10" s="1" customFormat="1" ht="26.25" customHeight="1">
      <c r="B254" s="232"/>
      <c r="C254" s="232"/>
      <c r="D254" s="237"/>
      <c r="E254" s="237"/>
      <c r="F254" s="232"/>
      <c r="G254" s="234"/>
      <c r="H254" s="235"/>
      <c r="I254" s="232"/>
      <c r="J254" s="238"/>
    </row>
    <row r="255" spans="2:10" s="1" customFormat="1" ht="26.25" customHeight="1">
      <c r="B255" s="232"/>
      <c r="C255" s="232"/>
      <c r="D255" s="237"/>
      <c r="E255" s="237"/>
      <c r="F255" s="232"/>
      <c r="G255" s="234"/>
      <c r="H255" s="235"/>
      <c r="I255" s="232"/>
      <c r="J255" s="238"/>
    </row>
    <row r="256" spans="2:10" s="1" customFormat="1" ht="26.25" hidden="1" customHeight="1">
      <c r="B256" s="232"/>
      <c r="C256" s="232"/>
      <c r="D256" s="237"/>
      <c r="E256" s="237"/>
      <c r="F256" s="232"/>
      <c r="G256" s="234"/>
      <c r="H256" s="235"/>
      <c r="I256" s="232"/>
      <c r="J256" s="238"/>
    </row>
    <row r="257" spans="2:10" s="1" customFormat="1" ht="26.25" hidden="1" customHeight="1">
      <c r="B257" s="232"/>
      <c r="C257" s="232"/>
      <c r="D257" s="237"/>
      <c r="E257" s="237"/>
      <c r="F257" s="232"/>
      <c r="G257" s="234"/>
      <c r="H257" s="235"/>
      <c r="I257" s="232"/>
      <c r="J257" s="238"/>
    </row>
    <row r="258" spans="2:10" s="1" customFormat="1" ht="26.25" hidden="1" customHeight="1">
      <c r="B258" s="232"/>
      <c r="C258" s="232"/>
      <c r="D258" s="237"/>
      <c r="E258" s="237"/>
      <c r="F258" s="232"/>
      <c r="G258" s="234"/>
      <c r="H258" s="235"/>
      <c r="I258" s="232"/>
      <c r="J258" s="238"/>
    </row>
    <row r="259" spans="2:10" s="1" customFormat="1" ht="26.25" hidden="1" customHeight="1">
      <c r="B259" s="232"/>
      <c r="C259" s="232"/>
      <c r="D259" s="237"/>
      <c r="E259" s="237"/>
      <c r="F259" s="232"/>
      <c r="G259" s="234"/>
      <c r="H259" s="235"/>
      <c r="I259" s="232"/>
      <c r="J259" s="238"/>
    </row>
    <row r="260" spans="2:10" s="1" customFormat="1" ht="26.25" customHeight="1">
      <c r="B260" s="232"/>
      <c r="C260" s="232"/>
      <c r="D260" s="237"/>
      <c r="E260" s="237"/>
      <c r="F260" s="232"/>
      <c r="G260" s="234"/>
      <c r="H260" s="235"/>
      <c r="I260" s="232"/>
      <c r="J260" s="238"/>
    </row>
    <row r="261" spans="2:10" s="1" customFormat="1" ht="26.25" hidden="1" customHeight="1">
      <c r="B261" s="203"/>
      <c r="C261" s="203"/>
      <c r="D261" s="208"/>
      <c r="E261" s="208"/>
      <c r="F261" s="203"/>
      <c r="G261" s="218"/>
      <c r="H261" s="204"/>
      <c r="I261" s="203"/>
      <c r="J261" s="224"/>
    </row>
    <row r="262" spans="2:10" s="1" customFormat="1" ht="26.25" customHeight="1">
      <c r="B262" s="203"/>
      <c r="C262" s="203"/>
      <c r="D262" s="208"/>
      <c r="E262" s="208"/>
      <c r="F262" s="203"/>
      <c r="G262" s="218"/>
      <c r="H262" s="204"/>
      <c r="I262" s="203"/>
      <c r="J262" s="224"/>
    </row>
    <row r="263" spans="2:10" s="1" customFormat="1" ht="26.25" customHeight="1">
      <c r="B263" s="203"/>
      <c r="C263" s="203"/>
      <c r="D263" s="208"/>
      <c r="E263" s="208"/>
      <c r="F263" s="203"/>
      <c r="G263" s="218"/>
      <c r="H263" s="204"/>
      <c r="I263" s="203"/>
      <c r="J263" s="224"/>
    </row>
    <row r="264" spans="2:10" s="1" customFormat="1" ht="26.25" customHeight="1">
      <c r="B264" s="203"/>
      <c r="C264" s="203"/>
      <c r="D264" s="208"/>
      <c r="E264" s="208"/>
      <c r="F264" s="203"/>
      <c r="G264" s="218"/>
      <c r="H264" s="204"/>
      <c r="I264" s="203"/>
      <c r="J264" s="224"/>
    </row>
    <row r="265" spans="2:10" s="1" customFormat="1" ht="26.25" hidden="1" customHeight="1">
      <c r="B265" s="203"/>
      <c r="C265" s="203"/>
      <c r="D265" s="208"/>
      <c r="E265" s="208"/>
      <c r="F265" s="203"/>
      <c r="G265" s="218"/>
      <c r="H265" s="204"/>
      <c r="I265" s="203"/>
      <c r="J265" s="224"/>
    </row>
    <row r="266" spans="2:10" s="1" customFormat="1" ht="26.25" customHeight="1">
      <c r="B266" s="203"/>
      <c r="C266" s="203"/>
      <c r="D266" s="208"/>
      <c r="E266" s="208"/>
      <c r="F266" s="203"/>
      <c r="G266" s="218"/>
      <c r="H266" s="204"/>
      <c r="I266" s="203"/>
      <c r="J266" s="224"/>
    </row>
    <row r="267" spans="2:10" s="1" customFormat="1" ht="26.25" customHeight="1">
      <c r="B267" s="203"/>
      <c r="C267" s="203"/>
      <c r="D267" s="208"/>
      <c r="E267" s="208"/>
      <c r="F267" s="203"/>
      <c r="G267" s="218"/>
      <c r="H267" s="204"/>
      <c r="I267" s="203"/>
      <c r="J267" s="224"/>
    </row>
    <row r="268" spans="2:10" s="1" customFormat="1" ht="26.25" customHeight="1">
      <c r="B268" s="203"/>
      <c r="C268" s="203"/>
      <c r="D268" s="208"/>
      <c r="E268" s="208"/>
      <c r="F268" s="203"/>
      <c r="G268" s="218"/>
      <c r="H268" s="204"/>
      <c r="I268" s="203"/>
      <c r="J268" s="224"/>
    </row>
    <row r="269" spans="2:10" s="1" customFormat="1" ht="26.25" customHeight="1">
      <c r="B269" s="203"/>
      <c r="C269" s="203"/>
      <c r="D269" s="208"/>
      <c r="E269" s="208"/>
      <c r="F269" s="203"/>
      <c r="G269" s="218"/>
      <c r="H269" s="204"/>
      <c r="I269" s="203"/>
      <c r="J269" s="224"/>
    </row>
    <row r="270" spans="2:10" s="1" customFormat="1" ht="26.25" customHeight="1">
      <c r="B270" s="203"/>
      <c r="C270" s="203"/>
      <c r="D270" s="208"/>
      <c r="E270" s="208"/>
      <c r="F270" s="203"/>
      <c r="G270" s="218"/>
      <c r="H270" s="204"/>
      <c r="I270" s="203"/>
      <c r="J270" s="224"/>
    </row>
    <row r="271" spans="2:10" s="1" customFormat="1" ht="26.25" customHeight="1">
      <c r="B271" s="203"/>
      <c r="C271" s="203"/>
      <c r="D271" s="208"/>
      <c r="E271" s="208"/>
      <c r="F271" s="203"/>
      <c r="G271" s="218"/>
      <c r="H271" s="204"/>
      <c r="I271" s="203"/>
      <c r="J271" s="224"/>
    </row>
    <row r="272" spans="2:10" s="1" customFormat="1" ht="26.25" customHeight="1">
      <c r="B272" s="203"/>
      <c r="C272" s="203"/>
      <c r="D272" s="208"/>
      <c r="E272" s="208"/>
      <c r="F272" s="203"/>
      <c r="G272" s="218"/>
      <c r="H272" s="204"/>
      <c r="I272" s="203"/>
      <c r="J272" s="224"/>
    </row>
    <row r="273" spans="2:10" s="1" customFormat="1" ht="26.25" customHeight="1">
      <c r="B273" s="203"/>
      <c r="C273" s="203"/>
      <c r="D273" s="208"/>
      <c r="E273" s="208"/>
      <c r="F273" s="203"/>
      <c r="G273" s="218"/>
      <c r="H273" s="204"/>
      <c r="I273" s="203"/>
      <c r="J273" s="224"/>
    </row>
    <row r="274" spans="2:10" s="1" customFormat="1" ht="26.25" customHeight="1">
      <c r="B274" s="203"/>
      <c r="C274" s="203"/>
      <c r="D274" s="208"/>
      <c r="E274" s="208"/>
      <c r="F274" s="203"/>
      <c r="G274" s="218"/>
      <c r="H274" s="204"/>
      <c r="I274" s="203"/>
      <c r="J274" s="224"/>
    </row>
    <row r="275" spans="2:10" s="1" customFormat="1" ht="26.25" customHeight="1">
      <c r="B275" s="203"/>
      <c r="C275" s="203"/>
      <c r="D275" s="208"/>
      <c r="E275" s="208"/>
      <c r="F275" s="203"/>
      <c r="G275" s="218"/>
      <c r="H275" s="204"/>
      <c r="I275" s="203"/>
      <c r="J275" s="224"/>
    </row>
    <row r="276" spans="2:10" s="1" customFormat="1" ht="26.25" customHeight="1">
      <c r="B276" s="203"/>
      <c r="C276" s="203"/>
      <c r="D276" s="208"/>
      <c r="E276" s="208"/>
      <c r="F276" s="203"/>
      <c r="G276" s="218"/>
      <c r="H276" s="204"/>
      <c r="I276" s="203"/>
      <c r="J276" s="224"/>
    </row>
    <row r="277" spans="2:10" s="1" customFormat="1" ht="26.25" customHeight="1">
      <c r="B277" s="203"/>
      <c r="C277" s="203"/>
      <c r="D277" s="203"/>
      <c r="E277" s="203"/>
      <c r="F277" s="216"/>
      <c r="G277" s="218"/>
      <c r="H277" s="204"/>
      <c r="I277" s="203"/>
      <c r="J277" s="203"/>
    </row>
    <row r="278" spans="2:10" s="1" customFormat="1" ht="26.25" customHeight="1">
      <c r="B278" s="203"/>
      <c r="C278" s="203"/>
      <c r="D278" s="208"/>
      <c r="E278" s="210"/>
      <c r="F278" s="203"/>
      <c r="G278" s="218"/>
      <c r="H278" s="204"/>
      <c r="I278" s="203"/>
      <c r="J278" s="224"/>
    </row>
    <row r="279" spans="2:10" s="1" customFormat="1" ht="26.25" customHeight="1">
      <c r="B279" s="203"/>
      <c r="C279" s="203"/>
      <c r="D279" s="208"/>
      <c r="E279" s="207"/>
      <c r="F279" s="213"/>
      <c r="G279" s="218"/>
      <c r="H279" s="204"/>
      <c r="I279" s="203"/>
      <c r="J279" s="224"/>
    </row>
    <row r="280" spans="2:10" s="1" customFormat="1" ht="20.25">
      <c r="B280" s="203"/>
      <c r="C280" s="203"/>
      <c r="D280" s="208"/>
      <c r="E280" s="211"/>
      <c r="F280" s="213"/>
      <c r="G280" s="218"/>
      <c r="H280" s="204"/>
      <c r="I280" s="203"/>
      <c r="J280" s="224"/>
    </row>
    <row r="281" spans="2:10" s="1" customFormat="1" ht="26.25" customHeight="1">
      <c r="B281" s="203"/>
      <c r="C281" s="203"/>
      <c r="D281" s="207"/>
      <c r="E281" s="207"/>
      <c r="F281" s="203"/>
      <c r="G281" s="218"/>
      <c r="H281" s="204"/>
      <c r="I281" s="203"/>
      <c r="J281" s="224"/>
    </row>
    <row r="282" spans="2:10" s="1" customFormat="1" ht="26.25" customHeight="1">
      <c r="B282" s="203"/>
      <c r="C282" s="203"/>
      <c r="D282" s="207"/>
      <c r="E282" s="207"/>
      <c r="F282" s="203"/>
      <c r="G282" s="219"/>
      <c r="H282" s="204"/>
      <c r="I282" s="203"/>
      <c r="J282" s="224"/>
    </row>
    <row r="283" spans="2:10" s="1" customFormat="1" ht="20.25">
      <c r="B283" s="203"/>
      <c r="C283" s="203"/>
      <c r="D283" s="207"/>
      <c r="E283" s="212"/>
      <c r="F283" s="203"/>
      <c r="G283" s="219"/>
      <c r="H283" s="204"/>
      <c r="I283" s="203"/>
      <c r="J283" s="224"/>
    </row>
    <row r="284" spans="2:10" s="1" customFormat="1" ht="26.25" customHeight="1">
      <c r="B284" s="203"/>
      <c r="C284" s="203"/>
      <c r="D284" s="207"/>
      <c r="E284" s="213"/>
      <c r="F284" s="203"/>
      <c r="G284" s="219"/>
      <c r="H284" s="204"/>
      <c r="I284" s="203"/>
      <c r="J284" s="224"/>
    </row>
    <row r="285" spans="2:10" s="1" customFormat="1" ht="26.25" customHeight="1">
      <c r="B285" s="203"/>
      <c r="C285" s="203"/>
      <c r="D285" s="207"/>
      <c r="E285" s="213"/>
      <c r="F285" s="203"/>
      <c r="G285" s="219"/>
      <c r="H285" s="204"/>
      <c r="I285" s="203"/>
      <c r="J285" s="224"/>
    </row>
    <row r="286" spans="2:10" s="1" customFormat="1" ht="26.25" customHeight="1">
      <c r="B286" s="203"/>
      <c r="C286" s="203"/>
      <c r="D286" s="207"/>
      <c r="E286" s="213"/>
      <c r="F286" s="213"/>
      <c r="G286" s="219"/>
      <c r="H286" s="204"/>
      <c r="I286" s="203"/>
      <c r="J286" s="224"/>
    </row>
    <row r="287" spans="2:10" s="1" customFormat="1" ht="26.25" customHeight="1">
      <c r="B287" s="203"/>
      <c r="C287" s="203"/>
      <c r="D287" s="207"/>
      <c r="E287" s="213"/>
      <c r="F287" s="203"/>
      <c r="G287" s="219"/>
      <c r="H287" s="204"/>
      <c r="I287" s="203"/>
      <c r="J287" s="224"/>
    </row>
    <row r="288" spans="2:10" s="1" customFormat="1" ht="26.25" customHeight="1">
      <c r="B288" s="203"/>
      <c r="C288" s="203"/>
      <c r="D288" s="207"/>
      <c r="E288" s="213"/>
      <c r="F288" s="203"/>
      <c r="G288" s="219"/>
      <c r="H288" s="204"/>
      <c r="I288" s="203"/>
      <c r="J288" s="224"/>
    </row>
    <row r="289" spans="2:10" s="1" customFormat="1" ht="26.25" customHeight="1">
      <c r="B289" s="203"/>
      <c r="C289" s="203"/>
      <c r="D289" s="207"/>
      <c r="E289" s="213"/>
      <c r="F289" s="203"/>
      <c r="G289" s="219"/>
      <c r="H289" s="204"/>
      <c r="I289" s="203"/>
      <c r="J289" s="224"/>
    </row>
    <row r="290" spans="2:10" s="1" customFormat="1" ht="26.25" customHeight="1">
      <c r="B290" s="203"/>
      <c r="C290" s="203"/>
      <c r="D290" s="207"/>
      <c r="E290" s="213"/>
      <c r="F290" s="203"/>
      <c r="G290" s="219"/>
      <c r="H290" s="204"/>
      <c r="I290" s="203"/>
      <c r="J290" s="224"/>
    </row>
    <row r="291" spans="2:10" s="1" customFormat="1" ht="26.25" customHeight="1">
      <c r="B291" s="203"/>
      <c r="C291" s="203"/>
      <c r="D291" s="207"/>
      <c r="E291" s="207"/>
      <c r="F291" s="203"/>
      <c r="G291" s="218"/>
      <c r="H291" s="204"/>
      <c r="I291" s="203"/>
      <c r="J291" s="224"/>
    </row>
    <row r="292" spans="2:10" s="1" customFormat="1" ht="26.25" customHeight="1">
      <c r="B292" s="203"/>
      <c r="C292" s="203"/>
      <c r="D292" s="203"/>
      <c r="E292" s="203"/>
      <c r="F292" s="216"/>
      <c r="G292" s="218"/>
      <c r="H292" s="204"/>
      <c r="I292" s="203"/>
      <c r="J292" s="203"/>
    </row>
    <row r="293" spans="2:10" s="1" customFormat="1" ht="26.25" customHeight="1">
      <c r="B293" s="203"/>
      <c r="C293" s="203"/>
      <c r="D293" s="208"/>
      <c r="E293" s="208"/>
      <c r="F293" s="203"/>
      <c r="G293" s="218"/>
      <c r="H293" s="204"/>
      <c r="I293" s="203"/>
      <c r="J293" s="224"/>
    </row>
    <row r="294" spans="2:10" s="1" customFormat="1" ht="26.25" customHeight="1">
      <c r="B294" s="203"/>
      <c r="C294" s="203"/>
      <c r="D294" s="208"/>
      <c r="E294" s="208"/>
      <c r="F294" s="203"/>
      <c r="G294" s="218"/>
      <c r="H294" s="204"/>
      <c r="I294" s="203"/>
      <c r="J294" s="224"/>
    </row>
    <row r="295" spans="2:10" s="1" customFormat="1" ht="26.25" customHeight="1">
      <c r="B295" s="203"/>
      <c r="C295" s="203"/>
      <c r="D295" s="208"/>
      <c r="E295" s="208"/>
      <c r="F295" s="203"/>
      <c r="G295" s="218"/>
      <c r="H295" s="204"/>
      <c r="I295" s="203"/>
      <c r="J295" s="224"/>
    </row>
    <row r="296" spans="2:10" s="1" customFormat="1" ht="26.25" customHeight="1">
      <c r="B296" s="203"/>
      <c r="C296" s="203"/>
      <c r="D296" s="208"/>
      <c r="E296" s="208"/>
      <c r="F296" s="203"/>
      <c r="G296" s="218"/>
      <c r="H296" s="204"/>
      <c r="I296" s="203"/>
      <c r="J296" s="224"/>
    </row>
    <row r="297" spans="2:10" s="1" customFormat="1" ht="26.25" customHeight="1">
      <c r="B297" s="203"/>
      <c r="C297" s="203"/>
      <c r="D297" s="208"/>
      <c r="E297" s="208"/>
      <c r="F297" s="203"/>
      <c r="G297" s="218"/>
      <c r="H297" s="204"/>
      <c r="I297" s="203"/>
      <c r="J297" s="224"/>
    </row>
    <row r="298" spans="2:10" s="1" customFormat="1" ht="26.25" customHeight="1">
      <c r="B298" s="204"/>
      <c r="C298" s="207"/>
      <c r="D298" s="208"/>
      <c r="E298" s="208"/>
      <c r="F298" s="203"/>
      <c r="G298" s="218"/>
      <c r="H298" s="204"/>
      <c r="I298" s="203"/>
      <c r="J298" s="223"/>
    </row>
    <row r="299" spans="2:10" s="1" customFormat="1" ht="26.25" customHeight="1">
      <c r="B299" s="203"/>
      <c r="C299" s="203"/>
      <c r="D299" s="208"/>
      <c r="E299" s="208"/>
      <c r="F299" s="203"/>
      <c r="G299" s="218"/>
      <c r="H299" s="204"/>
      <c r="I299" s="203"/>
      <c r="J299" s="223"/>
    </row>
    <row r="300" spans="2:10" s="1" customFormat="1" ht="26.25" customHeight="1">
      <c r="B300" s="203"/>
      <c r="C300" s="203"/>
      <c r="D300" s="208"/>
      <c r="E300" s="208"/>
      <c r="F300" s="203"/>
      <c r="G300" s="218"/>
      <c r="H300" s="204"/>
      <c r="I300" s="203"/>
      <c r="J300" s="223"/>
    </row>
    <row r="301" spans="2:10" s="1" customFormat="1" ht="26.25" customHeight="1">
      <c r="B301" s="203"/>
      <c r="C301" s="203"/>
      <c r="D301" s="208"/>
      <c r="E301" s="208"/>
      <c r="F301" s="203"/>
      <c r="G301" s="218"/>
      <c r="H301" s="204"/>
      <c r="I301" s="203"/>
      <c r="J301" s="223"/>
    </row>
    <row r="302" spans="2:10" s="1" customFormat="1" ht="26.25" customHeight="1">
      <c r="B302" s="203"/>
      <c r="C302" s="207"/>
      <c r="D302" s="208"/>
      <c r="E302" s="208"/>
      <c r="F302" s="203"/>
      <c r="G302" s="218"/>
      <c r="H302" s="204"/>
      <c r="I302" s="203"/>
      <c r="J302" s="223"/>
    </row>
    <row r="303" spans="2:10" s="1" customFormat="1" ht="26.25" customHeight="1">
      <c r="B303" s="203"/>
      <c r="C303" s="203"/>
      <c r="D303" s="208"/>
      <c r="E303" s="208"/>
      <c r="F303" s="203"/>
      <c r="G303" s="218"/>
      <c r="H303" s="204"/>
      <c r="I303" s="203"/>
      <c r="J303" s="223"/>
    </row>
    <row r="304" spans="2:10" s="1" customFormat="1" ht="26.25" customHeight="1">
      <c r="B304" s="203"/>
      <c r="C304" s="203"/>
      <c r="D304" s="208"/>
      <c r="E304" s="208"/>
      <c r="F304" s="203"/>
      <c r="G304" s="218"/>
      <c r="H304" s="204"/>
      <c r="I304" s="203"/>
      <c r="J304" s="223"/>
    </row>
    <row r="305" spans="2:10" s="1" customFormat="1" ht="26.25" customHeight="1">
      <c r="B305" s="203"/>
      <c r="C305" s="203"/>
      <c r="D305" s="208"/>
      <c r="E305" s="208"/>
      <c r="F305" s="203"/>
      <c r="G305" s="218"/>
      <c r="H305" s="204"/>
      <c r="I305" s="203"/>
      <c r="J305" s="223"/>
    </row>
    <row r="306" spans="2:10" s="1" customFormat="1" ht="26.25" customHeight="1">
      <c r="B306" s="203"/>
      <c r="C306" s="203"/>
      <c r="D306" s="208"/>
      <c r="E306" s="208"/>
      <c r="F306" s="203"/>
      <c r="G306" s="218"/>
      <c r="H306" s="204"/>
      <c r="I306" s="203"/>
      <c r="J306" s="223"/>
    </row>
    <row r="307" spans="2:10" s="1" customFormat="1" ht="26.25" customHeight="1">
      <c r="B307" s="203"/>
      <c r="C307" s="203"/>
      <c r="D307" s="208"/>
      <c r="E307" s="208"/>
      <c r="F307" s="203"/>
      <c r="G307" s="218"/>
      <c r="H307" s="204"/>
      <c r="I307" s="203"/>
      <c r="J307" s="223"/>
    </row>
    <row r="308" spans="2:10" s="1" customFormat="1" ht="26.25" customHeight="1" thickBot="1">
      <c r="B308" s="205"/>
      <c r="C308" s="205"/>
      <c r="D308" s="209"/>
      <c r="E308" s="209"/>
      <c r="F308" s="205"/>
      <c r="G308" s="220"/>
      <c r="H308" s="221"/>
      <c r="I308" s="205"/>
      <c r="J308" s="225"/>
    </row>
    <row r="309" spans="2:10" s="1" customFormat="1" ht="12" customHeight="1" thickBot="1">
      <c r="B309" s="202"/>
      <c r="C309" s="206"/>
      <c r="D309" s="206"/>
      <c r="E309" s="206"/>
      <c r="F309" s="215"/>
      <c r="G309" s="217"/>
      <c r="H309" s="215"/>
      <c r="I309" s="215"/>
      <c r="J309" s="222"/>
    </row>
    <row r="310" spans="2:10" ht="7.5" customHeight="1" thickTop="1">
      <c r="B310" s="119"/>
      <c r="C310" s="119"/>
      <c r="E310" s="119"/>
      <c r="F310" s="119"/>
      <c r="G310" s="119"/>
      <c r="H310" s="119"/>
      <c r="I310" s="119"/>
      <c r="J310" s="201"/>
    </row>
  </sheetData>
  <mergeCells count="3">
    <mergeCell ref="I2:I3"/>
    <mergeCell ref="J2:J3"/>
    <mergeCell ref="E7:I7"/>
  </mergeCells>
  <phoneticPr fontId="22" type="noConversion"/>
  <printOptions horizontalCentered="1" verticalCentered="1"/>
  <pageMargins left="0" right="0.31496062992125984" top="0.74803149606299213" bottom="0.74803149606299213" header="0.31496062992125984" footer="0.31496062992125984"/>
  <pageSetup paperSize="8"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D1362-5AA9-4BCE-ACE2-9CC07EEEBA78}">
  <sheetPr codeName="Feuil3">
    <pageSetUpPr fitToPage="1"/>
  </sheetPr>
  <dimension ref="A1:K311"/>
  <sheetViews>
    <sheetView topLeftCell="A223" workbookViewId="0">
      <selection activeCell="B239" sqref="B239:F239"/>
    </sheetView>
  </sheetViews>
  <sheetFormatPr baseColWidth="10" defaultRowHeight="12.75" outlineLevelRow="1"/>
  <cols>
    <col min="1" max="1" width="0.42578125" style="20" customWidth="1"/>
    <col min="2" max="2" width="12.5703125" style="20" bestFit="1" customWidth="1"/>
    <col min="3" max="3" width="61.42578125" style="20" customWidth="1"/>
    <col min="4" max="4" width="46.42578125" style="119" customWidth="1"/>
    <col min="5" max="5" width="11.5703125" style="20" bestFit="1" customWidth="1"/>
    <col min="6" max="9" width="11.5703125" style="20" customWidth="1"/>
    <col min="10" max="10" width="29" style="61" bestFit="1" customWidth="1"/>
    <col min="11" max="11" width="32.42578125" style="20" customWidth="1"/>
    <col min="12" max="16384" width="11.42578125" style="20"/>
  </cols>
  <sheetData>
    <row r="1" spans="2:10" ht="18.75" customHeight="1"/>
    <row r="2" spans="2:10">
      <c r="I2" s="1080"/>
      <c r="J2" s="1078"/>
    </row>
    <row r="3" spans="2:10" ht="10.5" customHeight="1">
      <c r="I3" s="1080"/>
      <c r="J3" s="1079"/>
    </row>
    <row r="4" spans="2:10" ht="13.5" thickBot="1"/>
    <row r="5" spans="2:10" s="336" customFormat="1" ht="21.75" thickTop="1" thickBot="1">
      <c r="B5" s="331" t="s">
        <v>1061</v>
      </c>
      <c r="C5" s="332"/>
      <c r="D5" s="333"/>
      <c r="E5" s="332"/>
      <c r="F5" s="334"/>
      <c r="G5" s="334"/>
      <c r="H5" s="334"/>
      <c r="I5" s="334"/>
      <c r="J5" s="335"/>
    </row>
    <row r="6" spans="2:10" ht="17.25" thickTop="1" thickBot="1">
      <c r="B6" s="26"/>
      <c r="C6" s="26"/>
      <c r="D6" s="121"/>
      <c r="E6" s="26"/>
      <c r="F6" s="27"/>
      <c r="G6" s="27"/>
      <c r="H6" s="27"/>
      <c r="I6" s="27"/>
      <c r="J6" s="63"/>
    </row>
    <row r="7" spans="2:10" ht="16.5" customHeight="1" thickBot="1">
      <c r="B7" s="26"/>
      <c r="C7" s="26"/>
      <c r="D7" s="121"/>
      <c r="E7" s="1083" t="s">
        <v>1026</v>
      </c>
      <c r="F7" s="1084"/>
      <c r="G7" s="1084"/>
      <c r="H7" s="1084"/>
      <c r="I7" s="1085"/>
      <c r="J7" s="63"/>
    </row>
    <row r="8" spans="2:10" s="330" customFormat="1" ht="19.5" customHeight="1" thickBot="1">
      <c r="B8" s="327" t="s">
        <v>992</v>
      </c>
      <c r="C8" s="327" t="s">
        <v>993</v>
      </c>
      <c r="D8" s="327" t="s">
        <v>994</v>
      </c>
      <c r="E8" s="327" t="s">
        <v>0</v>
      </c>
      <c r="F8" s="327" t="s">
        <v>1</v>
      </c>
      <c r="G8" s="327" t="s">
        <v>995</v>
      </c>
      <c r="H8" s="328" t="s">
        <v>996</v>
      </c>
      <c r="I8" s="329" t="s">
        <v>997</v>
      </c>
      <c r="J8" s="327" t="s">
        <v>4</v>
      </c>
    </row>
    <row r="9" spans="2:10" s="1" customFormat="1" ht="28.5" hidden="1" customHeight="1">
      <c r="B9" s="245" t="s">
        <v>8</v>
      </c>
      <c r="C9" s="18"/>
      <c r="D9" s="122"/>
      <c r="E9" s="18"/>
      <c r="F9" s="51" t="s">
        <v>139</v>
      </c>
      <c r="G9" s="52" t="s">
        <v>251</v>
      </c>
      <c r="H9" s="10" t="s">
        <v>9</v>
      </c>
      <c r="I9" s="263" t="s">
        <v>10</v>
      </c>
      <c r="J9" s="269" t="s">
        <v>432</v>
      </c>
    </row>
    <row r="10" spans="2:10" s="1" customFormat="1" ht="26.25" hidden="1" customHeight="1">
      <c r="B10" s="246" t="s">
        <v>12</v>
      </c>
      <c r="C10" s="46" t="s">
        <v>181</v>
      </c>
      <c r="D10" s="123"/>
      <c r="E10" s="46"/>
      <c r="F10" s="3" t="s">
        <v>140</v>
      </c>
      <c r="G10" s="33"/>
      <c r="H10" s="3" t="s">
        <v>366</v>
      </c>
      <c r="I10" s="264" t="s">
        <v>13</v>
      </c>
      <c r="J10" s="270" t="s">
        <v>483</v>
      </c>
    </row>
    <row r="11" spans="2:10" s="1" customFormat="1" ht="26.25" hidden="1" customHeight="1" outlineLevel="1">
      <c r="B11" s="246" t="s">
        <v>18</v>
      </c>
      <c r="C11" s="19"/>
      <c r="D11" s="123"/>
      <c r="E11" s="19"/>
      <c r="F11" s="3" t="s">
        <v>141</v>
      </c>
      <c r="G11" s="34"/>
      <c r="H11" s="3" t="s">
        <v>19</v>
      </c>
      <c r="I11" s="265" t="s">
        <v>20</v>
      </c>
      <c r="J11" s="271"/>
    </row>
    <row r="12" spans="2:10" s="1" customFormat="1" ht="26.25" hidden="1" customHeight="1" outlineLevel="1">
      <c r="B12" s="246" t="s">
        <v>149</v>
      </c>
      <c r="C12" s="17"/>
      <c r="D12" s="124"/>
      <c r="E12" s="17"/>
      <c r="F12" s="6" t="s">
        <v>144</v>
      </c>
      <c r="G12" s="35"/>
      <c r="H12" s="6" t="s">
        <v>168</v>
      </c>
      <c r="I12" s="266" t="s">
        <v>36</v>
      </c>
      <c r="J12" s="272"/>
    </row>
    <row r="13" spans="2:10" s="1" customFormat="1" ht="26.25" hidden="1" customHeight="1" outlineLevel="1">
      <c r="B13" s="246" t="s">
        <v>22</v>
      </c>
      <c r="C13" s="17"/>
      <c r="D13" s="124"/>
      <c r="E13" s="17"/>
      <c r="F13" s="6" t="s">
        <v>139</v>
      </c>
      <c r="G13" s="35">
        <v>293600</v>
      </c>
      <c r="H13" s="6" t="s">
        <v>23</v>
      </c>
      <c r="I13" s="266" t="s">
        <v>10</v>
      </c>
      <c r="J13" s="272"/>
    </row>
    <row r="14" spans="2:10" s="1" customFormat="1" ht="26.25" hidden="1" customHeight="1" outlineLevel="1">
      <c r="B14" s="246" t="s">
        <v>133</v>
      </c>
      <c r="C14" s="17"/>
      <c r="D14" s="124"/>
      <c r="E14" s="17"/>
      <c r="F14" s="6" t="s">
        <v>139</v>
      </c>
      <c r="G14" s="35"/>
      <c r="H14" s="6" t="s">
        <v>167</v>
      </c>
      <c r="I14" s="266" t="s">
        <v>10</v>
      </c>
      <c r="J14" s="272"/>
    </row>
    <row r="15" spans="2:10" s="1" customFormat="1" ht="26.25" hidden="1" customHeight="1" outlineLevel="1">
      <c r="B15" s="246" t="s">
        <v>24</v>
      </c>
      <c r="C15" s="17"/>
      <c r="D15" s="124"/>
      <c r="E15" s="17"/>
      <c r="F15" s="6" t="s">
        <v>140</v>
      </c>
      <c r="G15" s="35"/>
      <c r="H15" s="6" t="s">
        <v>25</v>
      </c>
      <c r="I15" s="266" t="s">
        <v>13</v>
      </c>
      <c r="J15" s="272"/>
    </row>
    <row r="16" spans="2:10" s="1" customFormat="1" ht="26.25" hidden="1" customHeight="1" outlineLevel="1">
      <c r="B16" s="246" t="s">
        <v>134</v>
      </c>
      <c r="C16" s="17"/>
      <c r="D16" s="124"/>
      <c r="E16" s="17"/>
      <c r="F16" s="6" t="s">
        <v>139</v>
      </c>
      <c r="G16" s="35"/>
      <c r="H16" s="6" t="s">
        <v>156</v>
      </c>
      <c r="I16" s="266" t="s">
        <v>10</v>
      </c>
      <c r="J16" s="272"/>
    </row>
    <row r="17" spans="2:10" s="1" customFormat="1" ht="26.25" hidden="1" customHeight="1" outlineLevel="1">
      <c r="B17" s="246" t="s">
        <v>138</v>
      </c>
      <c r="C17" s="17"/>
      <c r="D17" s="124"/>
      <c r="E17" s="17"/>
      <c r="F17" s="6" t="s">
        <v>144</v>
      </c>
      <c r="G17" s="35"/>
      <c r="H17" s="6" t="s">
        <v>157</v>
      </c>
      <c r="I17" s="266" t="s">
        <v>36</v>
      </c>
      <c r="J17" s="272"/>
    </row>
    <row r="18" spans="2:10" s="1" customFormat="1" ht="26.25" hidden="1" customHeight="1" outlineLevel="1">
      <c r="B18" s="246" t="s">
        <v>26</v>
      </c>
      <c r="C18" s="17"/>
      <c r="D18" s="124"/>
      <c r="E18" s="17"/>
      <c r="F18" s="6" t="s">
        <v>139</v>
      </c>
      <c r="G18" s="35">
        <f>3101450</f>
        <v>3101450</v>
      </c>
      <c r="H18" s="6" t="s">
        <v>27</v>
      </c>
      <c r="I18" s="266" t="s">
        <v>10</v>
      </c>
      <c r="J18" s="272"/>
    </row>
    <row r="19" spans="2:10" s="1" customFormat="1" ht="26.25" hidden="1" customHeight="1" outlineLevel="1">
      <c r="B19" s="246" t="s">
        <v>28</v>
      </c>
      <c r="C19" s="17"/>
      <c r="D19" s="124"/>
      <c r="E19" s="17"/>
      <c r="F19" s="6" t="s">
        <v>140</v>
      </c>
      <c r="G19" s="35"/>
      <c r="H19" s="6" t="s">
        <v>29</v>
      </c>
      <c r="I19" s="266" t="s">
        <v>13</v>
      </c>
      <c r="J19" s="272"/>
    </row>
    <row r="20" spans="2:10" s="1" customFormat="1" ht="26.25" hidden="1" customHeight="1" outlineLevel="1">
      <c r="B20" s="246" t="s">
        <v>30</v>
      </c>
      <c r="C20" s="16" t="s">
        <v>31</v>
      </c>
      <c r="D20" s="124"/>
      <c r="E20" s="16"/>
      <c r="F20" s="6" t="s">
        <v>140</v>
      </c>
      <c r="G20" s="35">
        <f>1532700</f>
        <v>1532700</v>
      </c>
      <c r="H20" s="6" t="s">
        <v>32</v>
      </c>
      <c r="I20" s="266" t="s">
        <v>13</v>
      </c>
      <c r="J20" s="272"/>
    </row>
    <row r="21" spans="2:10" s="1" customFormat="1" ht="26.25" hidden="1" customHeight="1" outlineLevel="1">
      <c r="B21" s="246" t="s">
        <v>135</v>
      </c>
      <c r="C21" s="17"/>
      <c r="D21" s="124"/>
      <c r="E21" s="17"/>
      <c r="F21" s="6" t="s">
        <v>139</v>
      </c>
      <c r="G21" s="35"/>
      <c r="H21" s="6" t="s">
        <v>158</v>
      </c>
      <c r="I21" s="266" t="s">
        <v>10</v>
      </c>
      <c r="J21" s="272"/>
    </row>
    <row r="22" spans="2:10" s="1" customFormat="1" ht="23.25" hidden="1" customHeight="1">
      <c r="B22" s="246" t="s">
        <v>33</v>
      </c>
      <c r="C22" s="16" t="s">
        <v>34</v>
      </c>
      <c r="D22" s="138" t="s">
        <v>626</v>
      </c>
      <c r="E22" s="138" t="s">
        <v>626</v>
      </c>
      <c r="F22" s="6" t="s">
        <v>144</v>
      </c>
      <c r="G22" s="35">
        <f>4034570+1314500</f>
        <v>5349070</v>
      </c>
      <c r="H22" s="6" t="s">
        <v>35</v>
      </c>
      <c r="I22" s="266" t="s">
        <v>36</v>
      </c>
      <c r="J22" s="272" t="s">
        <v>434</v>
      </c>
    </row>
    <row r="23" spans="2:10" s="1" customFormat="1" ht="26.25" hidden="1" customHeight="1" outlineLevel="1">
      <c r="B23" s="246" t="s">
        <v>136</v>
      </c>
      <c r="C23" s="17"/>
      <c r="D23" s="124"/>
      <c r="E23" s="16"/>
      <c r="F23" s="6" t="s">
        <v>139</v>
      </c>
      <c r="G23" s="35"/>
      <c r="H23" s="6" t="s">
        <v>159</v>
      </c>
      <c r="I23" s="266" t="s">
        <v>10</v>
      </c>
      <c r="J23" s="272"/>
    </row>
    <row r="24" spans="2:10" s="1" customFormat="1" ht="26.25" hidden="1" customHeight="1" outlineLevel="1">
      <c r="B24" s="246" t="s">
        <v>37</v>
      </c>
      <c r="C24" s="17"/>
      <c r="D24" s="124"/>
      <c r="E24" s="16"/>
      <c r="F24" s="6" t="s">
        <v>139</v>
      </c>
      <c r="G24" s="35"/>
      <c r="H24" s="6" t="s">
        <v>38</v>
      </c>
      <c r="I24" s="266" t="s">
        <v>10</v>
      </c>
      <c r="J24" s="273"/>
    </row>
    <row r="25" spans="2:10" s="1" customFormat="1" ht="26.25" hidden="1" customHeight="1" outlineLevel="1">
      <c r="B25" s="246" t="s">
        <v>40</v>
      </c>
      <c r="C25" s="16" t="s">
        <v>154</v>
      </c>
      <c r="D25" s="124"/>
      <c r="E25" s="16"/>
      <c r="F25" s="6" t="s">
        <v>142</v>
      </c>
      <c r="G25" s="35">
        <f>936000+379300</f>
        <v>1315300</v>
      </c>
      <c r="H25" s="6" t="s">
        <v>41</v>
      </c>
      <c r="I25" s="266" t="s">
        <v>42</v>
      </c>
      <c r="J25" s="273"/>
    </row>
    <row r="26" spans="2:10" s="1" customFormat="1" ht="26.25" hidden="1" customHeight="1" outlineLevel="1">
      <c r="B26" s="246" t="s">
        <v>132</v>
      </c>
      <c r="C26" s="17"/>
      <c r="D26" s="124"/>
      <c r="E26" s="16"/>
      <c r="F26" s="6" t="s">
        <v>143</v>
      </c>
      <c r="G26" s="35">
        <v>4595000</v>
      </c>
      <c r="H26" s="6" t="s">
        <v>160</v>
      </c>
      <c r="I26" s="266" t="s">
        <v>148</v>
      </c>
      <c r="J26" s="273"/>
    </row>
    <row r="27" spans="2:10" s="1" customFormat="1" ht="26.25" hidden="1" customHeight="1" outlineLevel="1">
      <c r="B27" s="246" t="s">
        <v>137</v>
      </c>
      <c r="C27" s="17"/>
      <c r="D27" s="124"/>
      <c r="E27" s="16"/>
      <c r="F27" s="6" t="s">
        <v>139</v>
      </c>
      <c r="G27" s="35">
        <v>370000</v>
      </c>
      <c r="H27" s="6" t="s">
        <v>161</v>
      </c>
      <c r="I27" s="266" t="s">
        <v>10</v>
      </c>
      <c r="J27" s="273"/>
    </row>
    <row r="28" spans="2:10" s="1" customFormat="1" ht="26.25" hidden="1" customHeight="1" outlineLevel="1">
      <c r="B28" s="246" t="s">
        <v>44</v>
      </c>
      <c r="C28" s="17"/>
      <c r="D28" s="124"/>
      <c r="E28" s="16"/>
      <c r="F28" s="6" t="s">
        <v>140</v>
      </c>
      <c r="G28" s="35">
        <v>851200</v>
      </c>
      <c r="H28" s="6" t="s">
        <v>45</v>
      </c>
      <c r="I28" s="266" t="s">
        <v>13</v>
      </c>
      <c r="J28" s="273"/>
    </row>
    <row r="29" spans="2:10" s="1" customFormat="1" ht="26.25" hidden="1" customHeight="1" outlineLevel="1">
      <c r="B29" s="246" t="s">
        <v>47</v>
      </c>
      <c r="C29" s="17"/>
      <c r="D29" s="124"/>
      <c r="E29" s="16"/>
      <c r="F29" s="6" t="s">
        <v>144</v>
      </c>
      <c r="G29" s="35">
        <v>1052120</v>
      </c>
      <c r="H29" s="6" t="s">
        <v>48</v>
      </c>
      <c r="I29" s="266" t="s">
        <v>36</v>
      </c>
      <c r="J29" s="273"/>
    </row>
    <row r="30" spans="2:10" s="1" customFormat="1" ht="26.25" hidden="1" customHeight="1" outlineLevel="1">
      <c r="B30" s="246" t="s">
        <v>49</v>
      </c>
      <c r="C30" s="17"/>
      <c r="D30" s="124"/>
      <c r="E30" s="16"/>
      <c r="F30" s="6" t="s">
        <v>140</v>
      </c>
      <c r="G30" s="35">
        <v>138420</v>
      </c>
      <c r="H30" s="6" t="s">
        <v>50</v>
      </c>
      <c r="I30" s="266" t="s">
        <v>13</v>
      </c>
      <c r="J30" s="273"/>
    </row>
    <row r="31" spans="2:10" s="1" customFormat="1" ht="26.25" hidden="1" customHeight="1" outlineLevel="1">
      <c r="B31" s="246" t="s">
        <v>51</v>
      </c>
      <c r="C31" s="17"/>
      <c r="D31" s="124"/>
      <c r="E31" s="16"/>
      <c r="F31" s="6" t="s">
        <v>139</v>
      </c>
      <c r="G31" s="35">
        <v>632930</v>
      </c>
      <c r="H31" s="6" t="s">
        <v>52</v>
      </c>
      <c r="I31" s="266" t="s">
        <v>10</v>
      </c>
      <c r="J31" s="273"/>
    </row>
    <row r="32" spans="2:10" s="1" customFormat="1" ht="26.25" hidden="1" customHeight="1" outlineLevel="1">
      <c r="B32" s="246" t="s">
        <v>53</v>
      </c>
      <c r="C32" s="17"/>
      <c r="D32" s="124"/>
      <c r="E32" s="16"/>
      <c r="F32" s="6" t="s">
        <v>140</v>
      </c>
      <c r="G32" s="35">
        <v>200000</v>
      </c>
      <c r="H32" s="6" t="s">
        <v>54</v>
      </c>
      <c r="I32" s="266" t="s">
        <v>13</v>
      </c>
      <c r="J32" s="273"/>
    </row>
    <row r="33" spans="2:10" s="1" customFormat="1" ht="26.25" hidden="1" customHeight="1" outlineLevel="1">
      <c r="B33" s="246" t="s">
        <v>55</v>
      </c>
      <c r="C33" s="17"/>
      <c r="D33" s="124"/>
      <c r="E33" s="16"/>
      <c r="F33" s="6" t="s">
        <v>139</v>
      </c>
      <c r="G33" s="35">
        <v>721300</v>
      </c>
      <c r="H33" s="6" t="s">
        <v>56</v>
      </c>
      <c r="I33" s="266" t="s">
        <v>10</v>
      </c>
      <c r="J33" s="273"/>
    </row>
    <row r="34" spans="2:10" s="1" customFormat="1" ht="26.25" hidden="1" customHeight="1" outlineLevel="1">
      <c r="B34" s="247" t="s">
        <v>58</v>
      </c>
      <c r="C34" s="39" t="s">
        <v>59</v>
      </c>
      <c r="D34" s="125"/>
      <c r="E34" s="16"/>
      <c r="F34" s="6" t="s">
        <v>139</v>
      </c>
      <c r="G34" s="35">
        <f>1150000*2</f>
        <v>2300000</v>
      </c>
      <c r="H34" s="6" t="s">
        <v>60</v>
      </c>
      <c r="I34" s="266" t="s">
        <v>10</v>
      </c>
      <c r="J34" s="273"/>
    </row>
    <row r="35" spans="2:10" s="1" customFormat="1" ht="26.25" hidden="1" customHeight="1" outlineLevel="1">
      <c r="B35" s="246" t="s">
        <v>61</v>
      </c>
      <c r="C35" s="37"/>
      <c r="D35" s="126"/>
      <c r="E35" s="16"/>
      <c r="F35" s="6" t="s">
        <v>144</v>
      </c>
      <c r="G35" s="35">
        <v>3140000</v>
      </c>
      <c r="H35" s="6" t="s">
        <v>62</v>
      </c>
      <c r="I35" s="266" t="s">
        <v>36</v>
      </c>
      <c r="J35" s="273"/>
    </row>
    <row r="36" spans="2:10" s="1" customFormat="1" ht="26.25" hidden="1" customHeight="1" outlineLevel="1">
      <c r="B36" s="247" t="s">
        <v>64</v>
      </c>
      <c r="C36" s="39" t="s">
        <v>65</v>
      </c>
      <c r="D36" s="125"/>
      <c r="E36" s="16"/>
      <c r="F36" s="6" t="s">
        <v>140</v>
      </c>
      <c r="G36" s="35">
        <v>1486000</v>
      </c>
      <c r="H36" s="6" t="s">
        <v>66</v>
      </c>
      <c r="I36" s="266" t="s">
        <v>13</v>
      </c>
      <c r="J36" s="273"/>
    </row>
    <row r="37" spans="2:10" s="1" customFormat="1" ht="26.25" hidden="1" customHeight="1" outlineLevel="1">
      <c r="B37" s="246" t="s">
        <v>67</v>
      </c>
      <c r="C37" s="37"/>
      <c r="D37" s="126"/>
      <c r="E37" s="16"/>
      <c r="F37" s="6" t="s">
        <v>144</v>
      </c>
      <c r="G37" s="35">
        <v>755370</v>
      </c>
      <c r="H37" s="6" t="s">
        <v>68</v>
      </c>
      <c r="I37" s="266" t="s">
        <v>36</v>
      </c>
      <c r="J37" s="273"/>
    </row>
    <row r="38" spans="2:10" s="1" customFormat="1" ht="26.25" hidden="1" customHeight="1" outlineLevel="1">
      <c r="B38" s="246" t="s">
        <v>69</v>
      </c>
      <c r="C38" s="17"/>
      <c r="D38" s="124"/>
      <c r="E38" s="16"/>
      <c r="F38" s="6" t="s">
        <v>139</v>
      </c>
      <c r="G38" s="35">
        <v>43050</v>
      </c>
      <c r="H38" s="6" t="s">
        <v>166</v>
      </c>
      <c r="I38" s="266" t="s">
        <v>10</v>
      </c>
      <c r="J38" s="273"/>
    </row>
    <row r="39" spans="2:10" s="1" customFormat="1" ht="26.25" hidden="1" customHeight="1" outlineLevel="1">
      <c r="B39" s="246" t="s">
        <v>70</v>
      </c>
      <c r="C39" s="17"/>
      <c r="D39" s="124"/>
      <c r="E39" s="16"/>
      <c r="F39" s="6" t="s">
        <v>142</v>
      </c>
      <c r="G39" s="35">
        <v>2178670</v>
      </c>
      <c r="H39" s="6" t="s">
        <v>165</v>
      </c>
      <c r="I39" s="266" t="s">
        <v>42</v>
      </c>
      <c r="J39" s="273"/>
    </row>
    <row r="40" spans="2:10" s="1" customFormat="1" ht="26.25" hidden="1" customHeight="1" outlineLevel="1">
      <c r="B40" s="246" t="s">
        <v>72</v>
      </c>
      <c r="C40" s="17"/>
      <c r="D40" s="124"/>
      <c r="E40" s="16"/>
      <c r="F40" s="6" t="s">
        <v>140</v>
      </c>
      <c r="G40" s="35">
        <v>231360</v>
      </c>
      <c r="H40" s="6" t="s">
        <v>73</v>
      </c>
      <c r="I40" s="266" t="s">
        <v>13</v>
      </c>
      <c r="J40" s="273"/>
    </row>
    <row r="41" spans="2:10" s="1" customFormat="1" ht="24" hidden="1" customHeight="1">
      <c r="B41" s="246" t="s">
        <v>74</v>
      </c>
      <c r="C41" s="16" t="s">
        <v>75</v>
      </c>
      <c r="D41" s="124"/>
      <c r="E41" s="16"/>
      <c r="F41" s="6" t="s">
        <v>155</v>
      </c>
      <c r="G41" s="35">
        <v>8500000</v>
      </c>
      <c r="H41" s="6" t="s">
        <v>76</v>
      </c>
      <c r="I41" s="266" t="s">
        <v>148</v>
      </c>
      <c r="J41" s="273" t="s">
        <v>435</v>
      </c>
    </row>
    <row r="42" spans="2:10" s="1" customFormat="1" ht="26.25" hidden="1" customHeight="1" outlineLevel="1">
      <c r="B42" s="246" t="s">
        <v>77</v>
      </c>
      <c r="C42" s="17"/>
      <c r="D42" s="124"/>
      <c r="E42" s="16"/>
      <c r="F42" s="6" t="s">
        <v>139</v>
      </c>
      <c r="G42" s="35">
        <v>239700</v>
      </c>
      <c r="H42" s="6" t="s">
        <v>78</v>
      </c>
      <c r="I42" s="266" t="s">
        <v>10</v>
      </c>
      <c r="J42" s="273"/>
    </row>
    <row r="43" spans="2:10" s="1" customFormat="1" ht="26.25" hidden="1" customHeight="1" outlineLevel="1">
      <c r="B43" s="246" t="s">
        <v>80</v>
      </c>
      <c r="C43" s="17"/>
      <c r="D43" s="124"/>
      <c r="E43" s="16"/>
      <c r="F43" s="6" t="s">
        <v>139</v>
      </c>
      <c r="G43" s="35">
        <v>362450</v>
      </c>
      <c r="H43" s="6" t="s">
        <v>81</v>
      </c>
      <c r="I43" s="266" t="s">
        <v>10</v>
      </c>
      <c r="J43" s="273"/>
    </row>
    <row r="44" spans="2:10" s="1" customFormat="1" ht="22.5" hidden="1" customHeight="1" outlineLevel="1">
      <c r="B44" s="246" t="s">
        <v>83</v>
      </c>
      <c r="C44" s="17"/>
      <c r="D44" s="124"/>
      <c r="E44" s="16"/>
      <c r="F44" s="6" t="s">
        <v>140</v>
      </c>
      <c r="G44" s="35">
        <v>138500</v>
      </c>
      <c r="H44" s="6" t="s">
        <v>84</v>
      </c>
      <c r="I44" s="266" t="s">
        <v>13</v>
      </c>
      <c r="J44" s="273"/>
    </row>
    <row r="45" spans="2:10" s="1" customFormat="1" ht="20.25" hidden="1" customHeight="1">
      <c r="B45" s="246" t="s">
        <v>86</v>
      </c>
      <c r="C45" s="16" t="s">
        <v>87</v>
      </c>
      <c r="D45" s="124"/>
      <c r="E45" s="16"/>
      <c r="F45" s="6" t="s">
        <v>144</v>
      </c>
      <c r="G45" s="35">
        <f>720000+680000</f>
        <v>1400000</v>
      </c>
      <c r="H45" s="6" t="s">
        <v>88</v>
      </c>
      <c r="I45" s="266" t="s">
        <v>36</v>
      </c>
      <c r="J45" s="273" t="s">
        <v>436</v>
      </c>
    </row>
    <row r="46" spans="2:10" s="1" customFormat="1" ht="26.25" hidden="1" customHeight="1" outlineLevel="1">
      <c r="B46" s="246" t="s">
        <v>89</v>
      </c>
      <c r="C46" s="16" t="s">
        <v>90</v>
      </c>
      <c r="D46" s="124"/>
      <c r="E46" s="16"/>
      <c r="F46" s="6" t="s">
        <v>140</v>
      </c>
      <c r="G46" s="35">
        <f>607000*2</f>
        <v>1214000</v>
      </c>
      <c r="H46" s="6" t="s">
        <v>91</v>
      </c>
      <c r="I46" s="266" t="s">
        <v>13</v>
      </c>
      <c r="J46" s="273"/>
    </row>
    <row r="47" spans="2:10" s="1" customFormat="1" ht="26.25" hidden="1" customHeight="1" outlineLevel="1">
      <c r="B47" s="246" t="s">
        <v>92</v>
      </c>
      <c r="C47" s="17"/>
      <c r="D47" s="124"/>
      <c r="E47" s="16"/>
      <c r="F47" s="6" t="s">
        <v>142</v>
      </c>
      <c r="G47" s="35">
        <v>834750</v>
      </c>
      <c r="H47" s="6" t="s">
        <v>93</v>
      </c>
      <c r="I47" s="266" t="s">
        <v>42</v>
      </c>
      <c r="J47" s="273"/>
    </row>
    <row r="48" spans="2:10" s="1" customFormat="1" ht="26.25" hidden="1" customHeight="1" outlineLevel="1">
      <c r="B48" s="246" t="s">
        <v>94</v>
      </c>
      <c r="C48" s="31" t="s">
        <v>95</v>
      </c>
      <c r="D48" s="124"/>
      <c r="E48" s="16"/>
      <c r="F48" s="6" t="s">
        <v>139</v>
      </c>
      <c r="G48" s="35">
        <v>885000</v>
      </c>
      <c r="H48" s="6" t="s">
        <v>96</v>
      </c>
      <c r="I48" s="266" t="s">
        <v>10</v>
      </c>
      <c r="J48" s="273"/>
    </row>
    <row r="49" spans="2:10" s="1" customFormat="1" ht="26.25" hidden="1" customHeight="1" outlineLevel="1">
      <c r="B49" s="246" t="s">
        <v>97</v>
      </c>
      <c r="C49" s="31" t="s">
        <v>187</v>
      </c>
      <c r="D49" s="124"/>
      <c r="E49" s="16"/>
      <c r="F49" s="6" t="s">
        <v>139</v>
      </c>
      <c r="G49" s="35">
        <v>1470000</v>
      </c>
      <c r="H49" s="6" t="s">
        <v>98</v>
      </c>
      <c r="I49" s="266" t="s">
        <v>10</v>
      </c>
      <c r="J49" s="273"/>
    </row>
    <row r="50" spans="2:10" s="1" customFormat="1" ht="26.25" hidden="1" customHeight="1" outlineLevel="1">
      <c r="B50" s="246" t="s">
        <v>99</v>
      </c>
      <c r="C50" s="31" t="s">
        <v>100</v>
      </c>
      <c r="D50" s="124"/>
      <c r="E50" s="16"/>
      <c r="F50" s="6" t="s">
        <v>139</v>
      </c>
      <c r="G50" s="35">
        <f>850000+230000</f>
        <v>1080000</v>
      </c>
      <c r="H50" s="6" t="s">
        <v>101</v>
      </c>
      <c r="I50" s="266" t="s">
        <v>10</v>
      </c>
      <c r="J50" s="273"/>
    </row>
    <row r="51" spans="2:10" s="1" customFormat="1" ht="20.25" hidden="1" customHeight="1">
      <c r="B51" s="246" t="s">
        <v>102</v>
      </c>
      <c r="C51" s="17"/>
      <c r="D51" s="124"/>
      <c r="E51" s="16"/>
      <c r="F51" s="6" t="s">
        <v>144</v>
      </c>
      <c r="G51" s="35">
        <v>1030000</v>
      </c>
      <c r="H51" s="6" t="s">
        <v>103</v>
      </c>
      <c r="I51" s="266" t="s">
        <v>36</v>
      </c>
      <c r="J51" s="273" t="s">
        <v>437</v>
      </c>
    </row>
    <row r="52" spans="2:10" s="1" customFormat="1" ht="22.5" hidden="1" customHeight="1">
      <c r="B52" s="246" t="s">
        <v>105</v>
      </c>
      <c r="C52" s="17"/>
      <c r="D52" s="124"/>
      <c r="E52" s="16"/>
      <c r="F52" s="6" t="s">
        <v>144</v>
      </c>
      <c r="G52" s="35">
        <v>260000</v>
      </c>
      <c r="H52" s="6" t="s">
        <v>106</v>
      </c>
      <c r="I52" s="266" t="s">
        <v>36</v>
      </c>
      <c r="J52" s="273" t="s">
        <v>437</v>
      </c>
    </row>
    <row r="53" spans="2:10" s="1" customFormat="1" ht="27" hidden="1" customHeight="1" collapsed="1">
      <c r="B53" s="246" t="s">
        <v>94</v>
      </c>
      <c r="C53" s="16"/>
      <c r="D53" s="124"/>
      <c r="E53" s="16"/>
      <c r="F53" s="6" t="s">
        <v>139</v>
      </c>
      <c r="G53" s="35"/>
      <c r="H53" s="6" t="s">
        <v>467</v>
      </c>
      <c r="I53" s="266" t="s">
        <v>10</v>
      </c>
      <c r="J53" s="273" t="s">
        <v>439</v>
      </c>
    </row>
    <row r="54" spans="2:10" s="1" customFormat="1" ht="26.25" hidden="1" customHeight="1">
      <c r="B54" s="246" t="s">
        <v>107</v>
      </c>
      <c r="C54" s="31" t="s">
        <v>186</v>
      </c>
      <c r="D54" s="124"/>
      <c r="E54" s="16"/>
      <c r="F54" s="6" t="s">
        <v>140</v>
      </c>
      <c r="G54" s="35">
        <v>902000</v>
      </c>
      <c r="H54" s="6" t="s">
        <v>421</v>
      </c>
      <c r="I54" s="264" t="s">
        <v>13</v>
      </c>
      <c r="J54" s="270" t="s">
        <v>483</v>
      </c>
    </row>
    <row r="55" spans="2:10" s="1" customFormat="1" ht="26.25" hidden="1" customHeight="1">
      <c r="B55" s="248" t="s">
        <v>22</v>
      </c>
      <c r="C55" s="91" t="s">
        <v>108</v>
      </c>
      <c r="D55" s="140" t="s">
        <v>626</v>
      </c>
      <c r="E55" s="141" t="s">
        <v>627</v>
      </c>
      <c r="F55" s="6" t="s">
        <v>155</v>
      </c>
      <c r="G55" s="35">
        <v>532000</v>
      </c>
      <c r="H55" s="6" t="s">
        <v>23</v>
      </c>
      <c r="I55" s="266" t="s">
        <v>291</v>
      </c>
      <c r="J55" s="273" t="s">
        <v>488</v>
      </c>
    </row>
    <row r="56" spans="2:10" s="1" customFormat="1" ht="26.25" hidden="1" customHeight="1" outlineLevel="1">
      <c r="B56" s="249"/>
      <c r="C56" s="142" t="s">
        <v>109</v>
      </c>
      <c r="D56" s="124"/>
      <c r="E56" s="16"/>
      <c r="F56" s="6" t="s">
        <v>155</v>
      </c>
      <c r="G56" s="35">
        <v>20400</v>
      </c>
      <c r="H56" s="6" t="s">
        <v>110</v>
      </c>
      <c r="I56" s="266" t="s">
        <v>153</v>
      </c>
      <c r="J56" s="273"/>
    </row>
    <row r="57" spans="2:10" s="1" customFormat="1" ht="26.25" hidden="1" customHeight="1" outlineLevel="1">
      <c r="B57" s="249"/>
      <c r="C57" s="39" t="s">
        <v>150</v>
      </c>
      <c r="D57" s="125"/>
      <c r="E57" s="16"/>
      <c r="F57" s="6" t="s">
        <v>155</v>
      </c>
      <c r="G57" s="35">
        <v>1537000</v>
      </c>
      <c r="H57" s="6" t="s">
        <v>151</v>
      </c>
      <c r="I57" s="266" t="s">
        <v>152</v>
      </c>
      <c r="J57" s="273"/>
    </row>
    <row r="58" spans="2:10" s="1" customFormat="1" ht="26.25" hidden="1" customHeight="1" outlineLevel="1">
      <c r="B58" s="248" t="s">
        <v>112</v>
      </c>
      <c r="C58" s="39" t="s">
        <v>113</v>
      </c>
      <c r="D58" s="125"/>
      <c r="E58" s="16"/>
      <c r="F58" s="6" t="s">
        <v>139</v>
      </c>
      <c r="G58" s="35">
        <f>32000+203800</f>
        <v>235800</v>
      </c>
      <c r="H58" s="6" t="s">
        <v>114</v>
      </c>
      <c r="I58" s="266" t="s">
        <v>10</v>
      </c>
      <c r="J58" s="273"/>
    </row>
    <row r="59" spans="2:10" s="1" customFormat="1" ht="26.25" hidden="1" customHeight="1" outlineLevel="1">
      <c r="B59" s="250" t="s">
        <v>115</v>
      </c>
      <c r="C59" s="36" t="s">
        <v>116</v>
      </c>
      <c r="D59" s="126"/>
      <c r="E59" s="16"/>
      <c r="F59" s="6" t="s">
        <v>144</v>
      </c>
      <c r="G59" s="35">
        <v>305000</v>
      </c>
      <c r="H59" s="6" t="s">
        <v>117</v>
      </c>
      <c r="I59" s="266" t="s">
        <v>36</v>
      </c>
      <c r="J59" s="273"/>
    </row>
    <row r="60" spans="2:10" s="1" customFormat="1" ht="26.25" hidden="1" customHeight="1" outlineLevel="1">
      <c r="B60" s="250" t="s">
        <v>118</v>
      </c>
      <c r="C60" s="31" t="s">
        <v>185</v>
      </c>
      <c r="D60" s="124"/>
      <c r="E60" s="16"/>
      <c r="F60" s="6" t="s">
        <v>144</v>
      </c>
      <c r="G60" s="35">
        <f>400000</f>
        <v>400000</v>
      </c>
      <c r="H60" s="6" t="s">
        <v>119</v>
      </c>
      <c r="I60" s="266" t="s">
        <v>36</v>
      </c>
      <c r="J60" s="273"/>
    </row>
    <row r="61" spans="2:10" s="1" customFormat="1" ht="26.25" hidden="1" customHeight="1" outlineLevel="1">
      <c r="B61" s="250" t="s">
        <v>120</v>
      </c>
      <c r="C61" s="31" t="s">
        <v>184</v>
      </c>
      <c r="D61" s="124"/>
      <c r="E61" s="16"/>
      <c r="F61" s="6" t="s">
        <v>140</v>
      </c>
      <c r="G61" s="35">
        <v>89000</v>
      </c>
      <c r="H61" s="6" t="s">
        <v>121</v>
      </c>
      <c r="I61" s="266" t="s">
        <v>13</v>
      </c>
      <c r="J61" s="273"/>
    </row>
    <row r="62" spans="2:10" s="1" customFormat="1" ht="26.25" hidden="1" customHeight="1" outlineLevel="1">
      <c r="B62" s="246" t="s">
        <v>122</v>
      </c>
      <c r="C62" s="16" t="s">
        <v>123</v>
      </c>
      <c r="D62" s="124"/>
      <c r="E62" s="16"/>
      <c r="F62" s="6" t="s">
        <v>142</v>
      </c>
      <c r="G62" s="35">
        <v>1567000</v>
      </c>
      <c r="H62" s="6" t="s">
        <v>124</v>
      </c>
      <c r="I62" s="266" t="s">
        <v>125</v>
      </c>
      <c r="J62" s="273"/>
    </row>
    <row r="63" spans="2:10" s="1" customFormat="1" ht="26.25" hidden="1" customHeight="1" outlineLevel="1">
      <c r="B63" s="246" t="s">
        <v>126</v>
      </c>
      <c r="C63" s="16" t="s">
        <v>127</v>
      </c>
      <c r="D63" s="124"/>
      <c r="E63" s="16"/>
      <c r="F63" s="6" t="s">
        <v>140</v>
      </c>
      <c r="G63" s="35">
        <f>168700+15600</f>
        <v>184300</v>
      </c>
      <c r="H63" s="6" t="s">
        <v>164</v>
      </c>
      <c r="I63" s="266" t="s">
        <v>13</v>
      </c>
      <c r="J63" s="273"/>
    </row>
    <row r="64" spans="2:10" s="1" customFormat="1" ht="26.25" hidden="1" customHeight="1" outlineLevel="1">
      <c r="B64" s="246" t="s">
        <v>128</v>
      </c>
      <c r="C64" s="31" t="s">
        <v>183</v>
      </c>
      <c r="D64" s="124"/>
      <c r="E64" s="16"/>
      <c r="F64" s="6" t="s">
        <v>139</v>
      </c>
      <c r="G64" s="35">
        <v>505800</v>
      </c>
      <c r="H64" s="6" t="s">
        <v>129</v>
      </c>
      <c r="I64" s="266" t="s">
        <v>10</v>
      </c>
      <c r="J64" s="273"/>
    </row>
    <row r="65" spans="2:10" s="1" customFormat="1" ht="26.25" hidden="1" customHeight="1" outlineLevel="1">
      <c r="B65" s="246" t="s">
        <v>130</v>
      </c>
      <c r="C65" s="31" t="s">
        <v>176</v>
      </c>
      <c r="D65" s="124"/>
      <c r="E65" s="16"/>
      <c r="F65" s="6" t="s">
        <v>140</v>
      </c>
      <c r="G65" s="35">
        <v>157400</v>
      </c>
      <c r="H65" s="6" t="s">
        <v>131</v>
      </c>
      <c r="I65" s="266" t="s">
        <v>13</v>
      </c>
      <c r="J65" s="273"/>
    </row>
    <row r="66" spans="2:10" s="1" customFormat="1" ht="26.25" hidden="1" customHeight="1" outlineLevel="1">
      <c r="B66" s="247" t="s">
        <v>145</v>
      </c>
      <c r="C66" s="39" t="s">
        <v>146</v>
      </c>
      <c r="D66" s="125"/>
      <c r="E66" s="16"/>
      <c r="F66" s="6" t="s">
        <v>140</v>
      </c>
      <c r="G66" s="35">
        <v>546000</v>
      </c>
      <c r="H66" s="6" t="s">
        <v>147</v>
      </c>
      <c r="I66" s="266" t="s">
        <v>13</v>
      </c>
      <c r="J66" s="273"/>
    </row>
    <row r="67" spans="2:10" s="1" customFormat="1" ht="26.25" hidden="1" customHeight="1">
      <c r="B67" s="246" t="s">
        <v>169</v>
      </c>
      <c r="C67" s="37"/>
      <c r="D67" s="138" t="s">
        <v>627</v>
      </c>
      <c r="E67" s="138" t="s">
        <v>627</v>
      </c>
      <c r="F67" s="6" t="s">
        <v>139</v>
      </c>
      <c r="G67" s="35">
        <v>50000</v>
      </c>
      <c r="H67" s="6" t="s">
        <v>170</v>
      </c>
      <c r="I67" s="266" t="s">
        <v>10</v>
      </c>
      <c r="J67" s="273" t="s">
        <v>438</v>
      </c>
    </row>
    <row r="68" spans="2:10" s="1" customFormat="1" ht="26.25" hidden="1" customHeight="1" outlineLevel="1">
      <c r="B68" s="248" t="s">
        <v>180</v>
      </c>
      <c r="C68" s="40" t="s">
        <v>171</v>
      </c>
      <c r="D68" s="125"/>
      <c r="E68" s="138" t="s">
        <v>627</v>
      </c>
      <c r="F68" s="6" t="s">
        <v>140</v>
      </c>
      <c r="G68" s="35">
        <v>141000</v>
      </c>
      <c r="H68" s="6" t="s">
        <v>177</v>
      </c>
      <c r="I68" s="266" t="s">
        <v>13</v>
      </c>
      <c r="J68" s="273"/>
    </row>
    <row r="69" spans="2:10" s="1" customFormat="1" ht="24.75" hidden="1" customHeight="1" outlineLevel="1">
      <c r="B69" s="247" t="s">
        <v>172</v>
      </c>
      <c r="C69" s="38" t="s">
        <v>173</v>
      </c>
      <c r="D69" s="125"/>
      <c r="E69" s="138" t="s">
        <v>627</v>
      </c>
      <c r="F69" s="6" t="s">
        <v>144</v>
      </c>
      <c r="G69" s="35">
        <v>195920</v>
      </c>
      <c r="H69" s="6" t="s">
        <v>174</v>
      </c>
      <c r="I69" s="266" t="s">
        <v>36</v>
      </c>
      <c r="J69" s="273"/>
    </row>
    <row r="70" spans="2:10" s="1" customFormat="1" ht="24" hidden="1" customHeight="1">
      <c r="B70" s="251" t="s">
        <v>188</v>
      </c>
      <c r="C70" s="36" t="s">
        <v>190</v>
      </c>
      <c r="D70" s="126"/>
      <c r="E70" s="138" t="s">
        <v>627</v>
      </c>
      <c r="F70" s="6" t="s">
        <v>142</v>
      </c>
      <c r="G70" s="35">
        <v>1200000</v>
      </c>
      <c r="H70" s="6" t="s">
        <v>237</v>
      </c>
      <c r="I70" s="266" t="s">
        <v>125</v>
      </c>
      <c r="J70" s="273" t="s">
        <v>435</v>
      </c>
    </row>
    <row r="71" spans="2:10" s="1" customFormat="1" ht="22.5" hidden="1" customHeight="1">
      <c r="B71" s="246" t="s">
        <v>189</v>
      </c>
      <c r="C71" s="46" t="s">
        <v>191</v>
      </c>
      <c r="D71" s="124"/>
      <c r="E71" s="138" t="s">
        <v>627</v>
      </c>
      <c r="F71" s="6" t="s">
        <v>139</v>
      </c>
      <c r="G71" s="35">
        <v>1120000</v>
      </c>
      <c r="H71" s="6" t="s">
        <v>193</v>
      </c>
      <c r="I71" s="266" t="s">
        <v>10</v>
      </c>
      <c r="J71" s="273" t="s">
        <v>432</v>
      </c>
    </row>
    <row r="72" spans="2:10" s="1" customFormat="1" ht="26.25" hidden="1" customHeight="1" outlineLevel="1">
      <c r="B72" s="246" t="s">
        <v>194</v>
      </c>
      <c r="C72" s="31" t="s">
        <v>196</v>
      </c>
      <c r="D72" s="124"/>
      <c r="E72" s="138" t="s">
        <v>627</v>
      </c>
      <c r="F72" s="6" t="s">
        <v>144</v>
      </c>
      <c r="G72" s="35">
        <v>69000</v>
      </c>
      <c r="H72" s="6" t="s">
        <v>200</v>
      </c>
      <c r="I72" s="266" t="s">
        <v>36</v>
      </c>
      <c r="J72" s="273"/>
    </row>
    <row r="73" spans="2:10" s="1" customFormat="1" ht="26.25" hidden="1" customHeight="1" outlineLevel="1">
      <c r="B73" s="247" t="s">
        <v>197</v>
      </c>
      <c r="C73" s="38" t="s">
        <v>198</v>
      </c>
      <c r="D73" s="125"/>
      <c r="E73" s="138" t="s">
        <v>627</v>
      </c>
      <c r="F73" s="6" t="s">
        <v>142</v>
      </c>
      <c r="G73" s="35">
        <v>326569</v>
      </c>
      <c r="H73" s="6" t="s">
        <v>199</v>
      </c>
      <c r="I73" s="266" t="s">
        <v>204</v>
      </c>
      <c r="J73" s="273"/>
    </row>
    <row r="74" spans="2:10" s="1" customFormat="1" ht="26.25" hidden="1" customHeight="1" outlineLevel="1">
      <c r="B74" s="247" t="s">
        <v>201</v>
      </c>
      <c r="C74" s="47" t="s">
        <v>202</v>
      </c>
      <c r="D74" s="126"/>
      <c r="E74" s="138" t="s">
        <v>627</v>
      </c>
      <c r="F74" s="6" t="s">
        <v>144</v>
      </c>
      <c r="G74" s="35">
        <v>177233.1</v>
      </c>
      <c r="H74" s="6" t="s">
        <v>203</v>
      </c>
      <c r="I74" s="266" t="s">
        <v>36</v>
      </c>
      <c r="J74" s="273"/>
    </row>
    <row r="75" spans="2:10" s="1" customFormat="1" ht="21.75" hidden="1" customHeight="1">
      <c r="B75" s="247" t="s">
        <v>205</v>
      </c>
      <c r="C75" s="48" t="s">
        <v>206</v>
      </c>
      <c r="D75" s="124"/>
      <c r="E75" s="138" t="s">
        <v>627</v>
      </c>
      <c r="F75" s="6" t="s">
        <v>140</v>
      </c>
      <c r="G75" s="35">
        <v>415000</v>
      </c>
      <c r="H75" s="6" t="s">
        <v>207</v>
      </c>
      <c r="I75" s="266" t="s">
        <v>13</v>
      </c>
      <c r="J75" s="273" t="s">
        <v>433</v>
      </c>
    </row>
    <row r="76" spans="2:10" s="1" customFormat="1" ht="21.75" hidden="1" customHeight="1">
      <c r="B76" s="246" t="s">
        <v>208</v>
      </c>
      <c r="C76" s="18"/>
      <c r="D76" s="126"/>
      <c r="E76" s="138" t="s">
        <v>627</v>
      </c>
      <c r="F76" s="6" t="s">
        <v>139</v>
      </c>
      <c r="G76" s="35">
        <v>390465</v>
      </c>
      <c r="H76" s="6" t="s">
        <v>209</v>
      </c>
      <c r="I76" s="266" t="s">
        <v>10</v>
      </c>
      <c r="J76" s="273" t="s">
        <v>439</v>
      </c>
    </row>
    <row r="77" spans="2:10" s="1" customFormat="1" ht="21.75" hidden="1" customHeight="1">
      <c r="B77" s="252" t="s">
        <v>210</v>
      </c>
      <c r="C77" s="36" t="s">
        <v>211</v>
      </c>
      <c r="D77" s="126"/>
      <c r="E77" s="138" t="s">
        <v>627</v>
      </c>
      <c r="F77" s="6" t="s">
        <v>144</v>
      </c>
      <c r="G77" s="35">
        <v>3820000</v>
      </c>
      <c r="H77" s="6" t="s">
        <v>212</v>
      </c>
      <c r="I77" s="266" t="s">
        <v>36</v>
      </c>
      <c r="J77" s="273" t="s">
        <v>437</v>
      </c>
    </row>
    <row r="78" spans="2:10" s="1" customFormat="1" ht="26.25" hidden="1" customHeight="1" outlineLevel="1">
      <c r="B78" s="252" t="s">
        <v>213</v>
      </c>
      <c r="C78" s="48" t="s">
        <v>215</v>
      </c>
      <c r="D78" s="124"/>
      <c r="E78" s="138" t="s">
        <v>627</v>
      </c>
      <c r="F78" s="6" t="s">
        <v>140</v>
      </c>
      <c r="G78" s="35">
        <v>134000</v>
      </c>
      <c r="H78" s="6" t="s">
        <v>216</v>
      </c>
      <c r="I78" s="266" t="s">
        <v>13</v>
      </c>
      <c r="J78" s="273"/>
    </row>
    <row r="79" spans="2:10" s="1" customFormat="1" ht="26.25" hidden="1" customHeight="1" outlineLevel="1">
      <c r="B79" s="252" t="s">
        <v>214</v>
      </c>
      <c r="C79" s="31" t="s">
        <v>227</v>
      </c>
      <c r="D79" s="124"/>
      <c r="E79" s="138" t="s">
        <v>627</v>
      </c>
      <c r="F79" s="6" t="s">
        <v>140</v>
      </c>
      <c r="G79" s="35">
        <v>168280</v>
      </c>
      <c r="H79" s="6" t="s">
        <v>217</v>
      </c>
      <c r="I79" s="266" t="s">
        <v>13</v>
      </c>
      <c r="J79" s="273"/>
    </row>
    <row r="80" spans="2:10" s="1" customFormat="1" ht="26.25" hidden="1" customHeight="1" outlineLevel="1">
      <c r="B80" s="253" t="s">
        <v>218</v>
      </c>
      <c r="C80" s="38" t="s">
        <v>224</v>
      </c>
      <c r="D80" s="125"/>
      <c r="E80" s="138" t="s">
        <v>627</v>
      </c>
      <c r="F80" s="6" t="s">
        <v>140</v>
      </c>
      <c r="G80" s="35">
        <v>143509</v>
      </c>
      <c r="H80" s="6" t="s">
        <v>225</v>
      </c>
      <c r="I80" s="266" t="s">
        <v>13</v>
      </c>
      <c r="J80" s="273"/>
    </row>
    <row r="81" spans="2:10" s="1" customFormat="1" ht="21.75" hidden="1" customHeight="1">
      <c r="B81" s="253" t="s">
        <v>219</v>
      </c>
      <c r="C81" s="38" t="s">
        <v>226</v>
      </c>
      <c r="D81" s="125"/>
      <c r="E81" s="138" t="s">
        <v>627</v>
      </c>
      <c r="F81" s="6" t="s">
        <v>142</v>
      </c>
      <c r="G81" s="35">
        <v>1497763.4</v>
      </c>
      <c r="H81" s="6" t="s">
        <v>228</v>
      </c>
      <c r="I81" s="266" t="s">
        <v>125</v>
      </c>
      <c r="J81" s="273" t="s">
        <v>435</v>
      </c>
    </row>
    <row r="82" spans="2:10" s="1" customFormat="1" ht="26.25" hidden="1" customHeight="1" outlineLevel="1">
      <c r="B82" s="253" t="s">
        <v>220</v>
      </c>
      <c r="C82" s="38" t="s">
        <v>231</v>
      </c>
      <c r="D82" s="125"/>
      <c r="E82" s="138" t="s">
        <v>627</v>
      </c>
      <c r="F82" s="6" t="s">
        <v>142</v>
      </c>
      <c r="G82" s="35">
        <v>650000</v>
      </c>
      <c r="H82" s="6" t="s">
        <v>233</v>
      </c>
      <c r="I82" s="266" t="s">
        <v>204</v>
      </c>
      <c r="J82" s="273"/>
    </row>
    <row r="83" spans="2:10" s="1" customFormat="1" ht="19.5" hidden="1" customHeight="1">
      <c r="B83" s="252" t="s">
        <v>221</v>
      </c>
      <c r="C83" s="36" t="s">
        <v>229</v>
      </c>
      <c r="D83" s="126"/>
      <c r="E83" s="138" t="s">
        <v>627</v>
      </c>
      <c r="F83" s="6" t="s">
        <v>142</v>
      </c>
      <c r="G83" s="35">
        <v>2788674</v>
      </c>
      <c r="H83" s="6" t="s">
        <v>230</v>
      </c>
      <c r="I83" s="266" t="s">
        <v>125</v>
      </c>
      <c r="J83" s="273" t="s">
        <v>435</v>
      </c>
    </row>
    <row r="84" spans="2:10" s="1" customFormat="1" ht="24.75" hidden="1" customHeight="1">
      <c r="B84" s="253" t="s">
        <v>222</v>
      </c>
      <c r="C84" s="38" t="s">
        <v>235</v>
      </c>
      <c r="D84" s="125"/>
      <c r="E84" s="138" t="s">
        <v>627</v>
      </c>
      <c r="F84" s="6" t="s">
        <v>139</v>
      </c>
      <c r="G84" s="35">
        <v>1000000</v>
      </c>
      <c r="H84" s="6" t="s">
        <v>236</v>
      </c>
      <c r="I84" s="266" t="s">
        <v>291</v>
      </c>
      <c r="J84" s="273" t="s">
        <v>434</v>
      </c>
    </row>
    <row r="85" spans="2:10" s="1" customFormat="1" ht="22.5" hidden="1" customHeight="1">
      <c r="B85" s="252" t="s">
        <v>223</v>
      </c>
      <c r="C85" s="36" t="s">
        <v>238</v>
      </c>
      <c r="D85" s="126"/>
      <c r="E85" s="138" t="s">
        <v>627</v>
      </c>
      <c r="F85" s="6" t="s">
        <v>140</v>
      </c>
      <c r="G85" s="35">
        <v>2132000</v>
      </c>
      <c r="H85" s="6" t="s">
        <v>239</v>
      </c>
      <c r="I85" s="266" t="s">
        <v>13</v>
      </c>
      <c r="J85" s="273" t="s">
        <v>433</v>
      </c>
    </row>
    <row r="86" spans="2:10" s="1" customFormat="1" ht="24" hidden="1" customHeight="1" outlineLevel="1">
      <c r="B86" s="253" t="s">
        <v>240</v>
      </c>
      <c r="C86" s="38" t="s">
        <v>241</v>
      </c>
      <c r="D86" s="125"/>
      <c r="E86" s="138" t="s">
        <v>627</v>
      </c>
      <c r="F86" s="6" t="s">
        <v>142</v>
      </c>
      <c r="G86" s="35">
        <v>100000</v>
      </c>
      <c r="H86" s="6" t="s">
        <v>243</v>
      </c>
      <c r="I86" s="266" t="s">
        <v>125</v>
      </c>
      <c r="J86" s="273"/>
    </row>
    <row r="87" spans="2:10" s="1" customFormat="1" ht="21.75" hidden="1" customHeight="1">
      <c r="B87" s="252" t="s">
        <v>244</v>
      </c>
      <c r="C87" s="50" t="s">
        <v>245</v>
      </c>
      <c r="D87" s="126"/>
      <c r="E87" s="138" t="s">
        <v>627</v>
      </c>
      <c r="F87" s="6" t="s">
        <v>139</v>
      </c>
      <c r="G87" s="35">
        <v>6200000</v>
      </c>
      <c r="H87" s="6" t="s">
        <v>246</v>
      </c>
      <c r="I87" s="266" t="s">
        <v>10</v>
      </c>
      <c r="J87" s="273" t="s">
        <v>490</v>
      </c>
    </row>
    <row r="88" spans="2:10" s="1" customFormat="1" ht="22.5" hidden="1" customHeight="1">
      <c r="B88" s="252" t="s">
        <v>247</v>
      </c>
      <c r="C88" s="50" t="s">
        <v>249</v>
      </c>
      <c r="D88" s="126"/>
      <c r="E88" s="138" t="s">
        <v>627</v>
      </c>
      <c r="F88" s="6" t="s">
        <v>142</v>
      </c>
      <c r="G88" s="35">
        <v>384723.5</v>
      </c>
      <c r="H88" s="6" t="s">
        <v>250</v>
      </c>
      <c r="I88" s="266" t="s">
        <v>125</v>
      </c>
      <c r="J88" s="273" t="s">
        <v>438</v>
      </c>
    </row>
    <row r="89" spans="2:10" s="1" customFormat="1" ht="22.5" hidden="1" customHeight="1">
      <c r="B89" s="252" t="s">
        <v>248</v>
      </c>
      <c r="C89" s="48" t="s">
        <v>252</v>
      </c>
      <c r="D89" s="124"/>
      <c r="E89" s="138" t="s">
        <v>627</v>
      </c>
      <c r="F89" s="6" t="s">
        <v>140</v>
      </c>
      <c r="G89" s="35">
        <v>247767</v>
      </c>
      <c r="H89" s="6" t="s">
        <v>253</v>
      </c>
      <c r="I89" s="266" t="s">
        <v>13</v>
      </c>
      <c r="J89" s="273" t="s">
        <v>433</v>
      </c>
    </row>
    <row r="90" spans="2:10" s="1" customFormat="1" ht="26.25" hidden="1" customHeight="1">
      <c r="B90" s="252" t="s">
        <v>254</v>
      </c>
      <c r="C90" s="31" t="s">
        <v>255</v>
      </c>
      <c r="D90" s="138" t="s">
        <v>626</v>
      </c>
      <c r="E90" s="138" t="s">
        <v>627</v>
      </c>
      <c r="F90" s="6" t="s">
        <v>142</v>
      </c>
      <c r="G90" s="35">
        <v>2712000</v>
      </c>
      <c r="H90" s="6" t="s">
        <v>256</v>
      </c>
      <c r="I90" s="266" t="s">
        <v>125</v>
      </c>
      <c r="J90" s="273" t="s">
        <v>440</v>
      </c>
    </row>
    <row r="91" spans="2:10" s="1" customFormat="1" ht="26.25" hidden="1" customHeight="1">
      <c r="B91" s="252"/>
      <c r="C91" s="31"/>
      <c r="D91" s="124"/>
      <c r="E91" s="31"/>
      <c r="F91" s="53" t="s">
        <v>234</v>
      </c>
      <c r="G91" s="55">
        <f>SUM(G61:G90)</f>
        <v>29113404</v>
      </c>
      <c r="H91" s="16"/>
      <c r="I91" s="266"/>
      <c r="J91" s="273"/>
    </row>
    <row r="92" spans="2:10" s="1" customFormat="1" ht="26.25" hidden="1" customHeight="1" outlineLevel="1">
      <c r="B92" s="253" t="s">
        <v>259</v>
      </c>
      <c r="C92" s="38" t="s">
        <v>260</v>
      </c>
      <c r="D92" s="125"/>
      <c r="E92" s="118"/>
      <c r="F92" s="56" t="s">
        <v>140</v>
      </c>
      <c r="G92" s="54">
        <v>50000</v>
      </c>
      <c r="H92" s="6" t="s">
        <v>261</v>
      </c>
      <c r="I92" s="266" t="s">
        <v>13</v>
      </c>
      <c r="J92" s="273"/>
    </row>
    <row r="93" spans="2:10" s="1" customFormat="1" ht="26.25" hidden="1" customHeight="1">
      <c r="B93" s="252" t="s">
        <v>262</v>
      </c>
      <c r="C93" s="36" t="s">
        <v>263</v>
      </c>
      <c r="D93" s="126"/>
      <c r="E93" s="36"/>
      <c r="F93" s="56" t="s">
        <v>142</v>
      </c>
      <c r="G93" s="35">
        <v>3665210</v>
      </c>
      <c r="H93" s="6" t="s">
        <v>264</v>
      </c>
      <c r="I93" s="266" t="s">
        <v>125</v>
      </c>
      <c r="J93" s="273" t="s">
        <v>441</v>
      </c>
    </row>
    <row r="94" spans="2:10" s="1" customFormat="1" ht="26.25" hidden="1" customHeight="1">
      <c r="B94" s="252" t="s">
        <v>265</v>
      </c>
      <c r="C94" s="48" t="s">
        <v>266</v>
      </c>
      <c r="D94" s="138" t="s">
        <v>627</v>
      </c>
      <c r="E94" s="138" t="s">
        <v>626</v>
      </c>
      <c r="F94" s="56" t="s">
        <v>144</v>
      </c>
      <c r="G94" s="35">
        <v>1260000</v>
      </c>
      <c r="H94" s="6" t="s">
        <v>267</v>
      </c>
      <c r="I94" s="266" t="s">
        <v>36</v>
      </c>
      <c r="J94" s="273" t="s">
        <v>439</v>
      </c>
    </row>
    <row r="95" spans="2:10" s="1" customFormat="1" ht="25.5" hidden="1" customHeight="1">
      <c r="B95" s="252" t="s">
        <v>268</v>
      </c>
      <c r="C95" s="48" t="s">
        <v>269</v>
      </c>
      <c r="D95" s="124"/>
      <c r="E95" s="31"/>
      <c r="F95" s="56" t="s">
        <v>365</v>
      </c>
      <c r="G95" s="35">
        <v>1336692.6000000001</v>
      </c>
      <c r="H95" s="6" t="s">
        <v>270</v>
      </c>
      <c r="I95" s="266" t="s">
        <v>271</v>
      </c>
      <c r="J95" s="273" t="s">
        <v>438</v>
      </c>
    </row>
    <row r="96" spans="2:10" s="1" customFormat="1" ht="26.25" hidden="1" customHeight="1">
      <c r="B96" s="252" t="s">
        <v>273</v>
      </c>
      <c r="C96" s="48" t="s">
        <v>276</v>
      </c>
      <c r="D96" s="124"/>
      <c r="E96" s="31"/>
      <c r="F96" s="56" t="s">
        <v>140</v>
      </c>
      <c r="G96" s="35">
        <v>280000</v>
      </c>
      <c r="H96" s="6" t="s">
        <v>274</v>
      </c>
      <c r="I96" s="266" t="s">
        <v>13</v>
      </c>
      <c r="J96" s="273" t="s">
        <v>433</v>
      </c>
    </row>
    <row r="97" spans="2:10" s="1" customFormat="1" ht="26.25" hidden="1" customHeight="1">
      <c r="B97" s="252" t="s">
        <v>272</v>
      </c>
      <c r="C97" s="48" t="s">
        <v>277</v>
      </c>
      <c r="D97" s="124"/>
      <c r="E97" s="31"/>
      <c r="F97" s="56" t="s">
        <v>140</v>
      </c>
      <c r="G97" s="35">
        <v>189900</v>
      </c>
      <c r="H97" s="6" t="s">
        <v>275</v>
      </c>
      <c r="I97" s="266" t="s">
        <v>13</v>
      </c>
      <c r="J97" s="273" t="s">
        <v>433</v>
      </c>
    </row>
    <row r="98" spans="2:10" s="1" customFormat="1" ht="26.25" hidden="1" customHeight="1">
      <c r="B98" s="252" t="s">
        <v>278</v>
      </c>
      <c r="C98" s="57" t="s">
        <v>279</v>
      </c>
      <c r="D98" s="124"/>
      <c r="E98" s="31"/>
      <c r="F98" s="56" t="s">
        <v>140</v>
      </c>
      <c r="G98" s="35">
        <v>230000</v>
      </c>
      <c r="H98" s="6" t="s">
        <v>280</v>
      </c>
      <c r="I98" s="266" t="s">
        <v>13</v>
      </c>
      <c r="J98" s="273" t="s">
        <v>433</v>
      </c>
    </row>
    <row r="99" spans="2:10" s="1" customFormat="1" ht="26.25" hidden="1" customHeight="1">
      <c r="B99" s="252" t="s">
        <v>505</v>
      </c>
      <c r="C99" s="70" t="s">
        <v>506</v>
      </c>
      <c r="D99" s="138" t="s">
        <v>626</v>
      </c>
      <c r="E99" s="138" t="s">
        <v>626</v>
      </c>
      <c r="F99" s="56" t="s">
        <v>365</v>
      </c>
      <c r="G99" s="35">
        <v>600000</v>
      </c>
      <c r="H99" s="6" t="s">
        <v>281</v>
      </c>
      <c r="I99" s="266" t="s">
        <v>271</v>
      </c>
      <c r="J99" s="273" t="s">
        <v>442</v>
      </c>
    </row>
    <row r="100" spans="2:10" s="1" customFormat="1" ht="26.25" hidden="1" customHeight="1" outlineLevel="1">
      <c r="B100" s="253" t="s">
        <v>282</v>
      </c>
      <c r="C100" s="70" t="s">
        <v>283</v>
      </c>
      <c r="D100" s="126"/>
      <c r="E100" s="36"/>
      <c r="F100" s="56" t="s">
        <v>139</v>
      </c>
      <c r="G100" s="35">
        <v>62920</v>
      </c>
      <c r="H100" s="6" t="s">
        <v>284</v>
      </c>
      <c r="I100" s="266" t="s">
        <v>10</v>
      </c>
      <c r="J100" s="273"/>
    </row>
    <row r="101" spans="2:10" s="1" customFormat="1" ht="26.25" hidden="1" customHeight="1">
      <c r="B101" s="253" t="s">
        <v>285</v>
      </c>
      <c r="C101" s="70" t="s">
        <v>286</v>
      </c>
      <c r="D101" s="126"/>
      <c r="E101" s="36"/>
      <c r="F101" s="56" t="s">
        <v>140</v>
      </c>
      <c r="G101" s="35">
        <v>250000</v>
      </c>
      <c r="H101" s="6" t="s">
        <v>287</v>
      </c>
      <c r="I101" s="266" t="s">
        <v>13</v>
      </c>
      <c r="J101" s="273" t="s">
        <v>433</v>
      </c>
    </row>
    <row r="102" spans="2:10" s="1" customFormat="1" ht="26.25" hidden="1" customHeight="1">
      <c r="B102" s="253" t="s">
        <v>288</v>
      </c>
      <c r="C102" s="70" t="s">
        <v>289</v>
      </c>
      <c r="D102" s="126"/>
      <c r="E102" s="36"/>
      <c r="F102" s="56" t="s">
        <v>329</v>
      </c>
      <c r="G102" s="35">
        <v>540000</v>
      </c>
      <c r="H102" s="6" t="s">
        <v>290</v>
      </c>
      <c r="I102" s="266" t="s">
        <v>291</v>
      </c>
      <c r="J102" s="273" t="s">
        <v>437</v>
      </c>
    </row>
    <row r="103" spans="2:10" s="1" customFormat="1" ht="26.25" hidden="1" customHeight="1">
      <c r="B103" s="253" t="s">
        <v>293</v>
      </c>
      <c r="C103" s="70" t="s">
        <v>294</v>
      </c>
      <c r="D103" s="126"/>
      <c r="E103" s="36"/>
      <c r="F103" s="56" t="s">
        <v>329</v>
      </c>
      <c r="G103" s="35">
        <v>210000</v>
      </c>
      <c r="H103" s="6" t="s">
        <v>295</v>
      </c>
      <c r="I103" s="266" t="s">
        <v>291</v>
      </c>
      <c r="J103" s="273" t="s">
        <v>435</v>
      </c>
    </row>
    <row r="104" spans="2:10" s="1" customFormat="1" ht="2.25" hidden="1" customHeight="1">
      <c r="B104" s="253" t="s">
        <v>296</v>
      </c>
      <c r="C104" s="70" t="s">
        <v>300</v>
      </c>
      <c r="D104" s="126"/>
      <c r="E104" s="36"/>
      <c r="F104" s="56" t="s">
        <v>144</v>
      </c>
      <c r="G104" s="35">
        <v>738000</v>
      </c>
      <c r="H104" s="6" t="s">
        <v>298</v>
      </c>
      <c r="I104" s="266" t="s">
        <v>36</v>
      </c>
      <c r="J104" s="273" t="s">
        <v>439</v>
      </c>
    </row>
    <row r="105" spans="2:10" s="1" customFormat="1" ht="26.25" hidden="1" customHeight="1">
      <c r="B105" s="253" t="s">
        <v>297</v>
      </c>
      <c r="C105" s="70" t="s">
        <v>304</v>
      </c>
      <c r="D105" s="126"/>
      <c r="E105" s="36"/>
      <c r="F105" s="56" t="s">
        <v>139</v>
      </c>
      <c r="G105" s="35">
        <v>92000</v>
      </c>
      <c r="H105" s="6" t="s">
        <v>299</v>
      </c>
      <c r="I105" s="266" t="s">
        <v>10</v>
      </c>
      <c r="J105" s="273" t="s">
        <v>438</v>
      </c>
    </row>
    <row r="106" spans="2:10" s="1" customFormat="1" ht="26.25" hidden="1" customHeight="1">
      <c r="B106" s="253" t="s">
        <v>301</v>
      </c>
      <c r="C106" s="70" t="s">
        <v>302</v>
      </c>
      <c r="D106" s="126"/>
      <c r="E106" s="36"/>
      <c r="F106" s="56" t="s">
        <v>139</v>
      </c>
      <c r="G106" s="35">
        <v>95552</v>
      </c>
      <c r="H106" s="6" t="s">
        <v>303</v>
      </c>
      <c r="I106" s="266" t="s">
        <v>291</v>
      </c>
      <c r="J106" s="273" t="s">
        <v>434</v>
      </c>
    </row>
    <row r="107" spans="2:10" s="1" customFormat="1" ht="26.25" hidden="1" customHeight="1">
      <c r="B107" s="253" t="s">
        <v>305</v>
      </c>
      <c r="C107" s="70" t="s">
        <v>306</v>
      </c>
      <c r="D107" s="126"/>
      <c r="E107" s="36"/>
      <c r="F107" s="56" t="s">
        <v>139</v>
      </c>
      <c r="G107" s="35">
        <v>139949.4</v>
      </c>
      <c r="H107" s="6" t="s">
        <v>307</v>
      </c>
      <c r="I107" s="266" t="s">
        <v>291</v>
      </c>
      <c r="J107" s="273" t="s">
        <v>434</v>
      </c>
    </row>
    <row r="108" spans="2:10" s="1" customFormat="1" ht="26.25" hidden="1" customHeight="1">
      <c r="B108" s="253" t="s">
        <v>308</v>
      </c>
      <c r="C108" s="70" t="s">
        <v>309</v>
      </c>
      <c r="D108" s="126"/>
      <c r="E108" s="36"/>
      <c r="F108" s="56" t="s">
        <v>144</v>
      </c>
      <c r="G108" s="35">
        <v>478033</v>
      </c>
      <c r="H108" s="6" t="s">
        <v>310</v>
      </c>
      <c r="I108" s="266" t="s">
        <v>36</v>
      </c>
      <c r="J108" s="273" t="s">
        <v>437</v>
      </c>
    </row>
    <row r="109" spans="2:10" s="1" customFormat="1" ht="26.25" hidden="1" customHeight="1">
      <c r="B109" s="253" t="s">
        <v>311</v>
      </c>
      <c r="C109" s="70" t="s">
        <v>312</v>
      </c>
      <c r="D109" s="126"/>
      <c r="E109" s="36"/>
      <c r="F109" s="56" t="s">
        <v>142</v>
      </c>
      <c r="G109" s="35">
        <v>958663</v>
      </c>
      <c r="H109" s="6" t="s">
        <v>313</v>
      </c>
      <c r="I109" s="266" t="s">
        <v>148</v>
      </c>
      <c r="J109" s="273" t="s">
        <v>435</v>
      </c>
    </row>
    <row r="110" spans="2:10" s="1" customFormat="1" ht="26.25" hidden="1" customHeight="1">
      <c r="B110" s="252" t="s">
        <v>314</v>
      </c>
      <c r="C110" s="58" t="s">
        <v>315</v>
      </c>
      <c r="D110" s="126"/>
      <c r="E110" s="36"/>
      <c r="F110" s="56" t="s">
        <v>142</v>
      </c>
      <c r="G110" s="35">
        <v>500000</v>
      </c>
      <c r="H110" s="6" t="s">
        <v>316</v>
      </c>
      <c r="I110" s="266" t="s">
        <v>125</v>
      </c>
      <c r="J110" s="273" t="s">
        <v>441</v>
      </c>
    </row>
    <row r="111" spans="2:10" s="1" customFormat="1" ht="26.25" hidden="1" customHeight="1">
      <c r="B111" s="253" t="s">
        <v>317</v>
      </c>
      <c r="C111" s="38" t="s">
        <v>322</v>
      </c>
      <c r="D111" s="125"/>
      <c r="E111" s="118"/>
      <c r="F111" s="56" t="s">
        <v>329</v>
      </c>
      <c r="G111" s="35">
        <v>102000</v>
      </c>
      <c r="H111" s="6" t="s">
        <v>330</v>
      </c>
      <c r="I111" s="266" t="s">
        <v>291</v>
      </c>
      <c r="J111" s="273" t="s">
        <v>442</v>
      </c>
    </row>
    <row r="112" spans="2:10" s="1" customFormat="1" ht="26.25" hidden="1" customHeight="1">
      <c r="B112" s="252" t="s">
        <v>318</v>
      </c>
      <c r="C112" s="58" t="s">
        <v>323</v>
      </c>
      <c r="D112" s="126"/>
      <c r="E112" s="36"/>
      <c r="F112" s="56" t="s">
        <v>142</v>
      </c>
      <c r="G112" s="35">
        <v>256000</v>
      </c>
      <c r="H112" s="6" t="s">
        <v>333</v>
      </c>
      <c r="I112" s="266" t="s">
        <v>13</v>
      </c>
      <c r="J112" s="273" t="s">
        <v>435</v>
      </c>
    </row>
    <row r="113" spans="2:10" s="1" customFormat="1" ht="26.25" hidden="1" customHeight="1">
      <c r="B113" s="253" t="s">
        <v>319</v>
      </c>
      <c r="C113" s="48" t="s">
        <v>324</v>
      </c>
      <c r="D113" s="124"/>
      <c r="E113" s="31"/>
      <c r="F113" s="56" t="s">
        <v>140</v>
      </c>
      <c r="G113" s="35">
        <v>1454000</v>
      </c>
      <c r="H113" s="6" t="s">
        <v>382</v>
      </c>
      <c r="I113" s="266" t="s">
        <v>13</v>
      </c>
      <c r="J113" s="274" t="s">
        <v>483</v>
      </c>
    </row>
    <row r="114" spans="2:10" s="1" customFormat="1" ht="26.25" hidden="1" customHeight="1">
      <c r="B114" s="252" t="s">
        <v>320</v>
      </c>
      <c r="C114" s="58" t="s">
        <v>325</v>
      </c>
      <c r="D114" s="126"/>
      <c r="E114" s="36"/>
      <c r="F114" s="56" t="s">
        <v>139</v>
      </c>
      <c r="G114" s="35">
        <v>339900</v>
      </c>
      <c r="H114" s="6" t="s">
        <v>332</v>
      </c>
      <c r="I114" s="266" t="s">
        <v>10</v>
      </c>
      <c r="J114" s="273" t="s">
        <v>438</v>
      </c>
    </row>
    <row r="115" spans="2:10" s="1" customFormat="1" ht="26.25" hidden="1" customHeight="1">
      <c r="B115" s="253" t="s">
        <v>321</v>
      </c>
      <c r="C115" s="38" t="s">
        <v>326</v>
      </c>
      <c r="D115" s="125"/>
      <c r="E115" s="118"/>
      <c r="F115" s="56" t="s">
        <v>329</v>
      </c>
      <c r="G115" s="35">
        <v>1622571</v>
      </c>
      <c r="H115" s="6" t="s">
        <v>334</v>
      </c>
      <c r="I115" s="266" t="s">
        <v>291</v>
      </c>
      <c r="J115" s="273" t="s">
        <v>435</v>
      </c>
    </row>
    <row r="116" spans="2:10" s="1" customFormat="1" ht="26.25" hidden="1" customHeight="1">
      <c r="B116" s="252" t="s">
        <v>327</v>
      </c>
      <c r="C116" s="58" t="s">
        <v>328</v>
      </c>
      <c r="D116" s="126"/>
      <c r="E116" s="36"/>
      <c r="F116" s="59" t="s">
        <v>140</v>
      </c>
      <c r="G116" s="34">
        <v>139902</v>
      </c>
      <c r="H116" s="16" t="s">
        <v>335</v>
      </c>
      <c r="I116" s="266" t="s">
        <v>13</v>
      </c>
      <c r="J116" s="273" t="s">
        <v>433</v>
      </c>
    </row>
    <row r="117" spans="2:10" s="1" customFormat="1" ht="26.25" hidden="1" customHeight="1">
      <c r="B117" s="253" t="s">
        <v>336</v>
      </c>
      <c r="C117" s="40" t="s">
        <v>338</v>
      </c>
      <c r="D117" s="125"/>
      <c r="E117" s="118"/>
      <c r="F117" s="59" t="s">
        <v>329</v>
      </c>
      <c r="G117" s="35">
        <v>252000</v>
      </c>
      <c r="H117" s="16" t="s">
        <v>337</v>
      </c>
      <c r="I117" s="266" t="s">
        <v>291</v>
      </c>
      <c r="J117" s="273" t="s">
        <v>435</v>
      </c>
    </row>
    <row r="118" spans="2:10" s="1" customFormat="1" ht="26.25" hidden="1" customHeight="1">
      <c r="B118" s="253"/>
      <c r="C118" s="144"/>
      <c r="D118" s="125"/>
      <c r="E118" s="118"/>
      <c r="F118" s="53" t="s">
        <v>258</v>
      </c>
      <c r="G118" s="35">
        <f>SUM(G92:G117)</f>
        <v>15843293</v>
      </c>
      <c r="H118" s="16"/>
      <c r="I118" s="266"/>
      <c r="J118" s="273"/>
    </row>
    <row r="119" spans="2:10" s="1" customFormat="1" ht="26.25" hidden="1" customHeight="1">
      <c r="B119" s="253" t="s">
        <v>339</v>
      </c>
      <c r="C119" s="48" t="s">
        <v>348</v>
      </c>
      <c r="D119" s="138" t="s">
        <v>627</v>
      </c>
      <c r="E119" s="138" t="s">
        <v>626</v>
      </c>
      <c r="F119" s="59" t="s">
        <v>365</v>
      </c>
      <c r="G119" s="35">
        <v>600000</v>
      </c>
      <c r="H119" s="16" t="s">
        <v>349</v>
      </c>
      <c r="I119" s="266" t="s">
        <v>271</v>
      </c>
      <c r="J119" s="273" t="s">
        <v>439</v>
      </c>
    </row>
    <row r="120" spans="2:10" s="1" customFormat="1" ht="26.25" hidden="1" customHeight="1">
      <c r="B120" s="253" t="s">
        <v>340</v>
      </c>
      <c r="C120" s="48" t="s">
        <v>351</v>
      </c>
      <c r="D120" s="138" t="s">
        <v>627</v>
      </c>
      <c r="E120" s="138" t="s">
        <v>626</v>
      </c>
      <c r="F120" s="59" t="s">
        <v>365</v>
      </c>
      <c r="G120" s="35">
        <v>300000</v>
      </c>
      <c r="H120" s="16" t="s">
        <v>352</v>
      </c>
      <c r="I120" s="266" t="s">
        <v>271</v>
      </c>
      <c r="J120" s="273" t="s">
        <v>439</v>
      </c>
    </row>
    <row r="121" spans="2:10" s="1" customFormat="1" ht="26.25" hidden="1" customHeight="1">
      <c r="B121" s="253" t="s">
        <v>341</v>
      </c>
      <c r="C121" s="48" t="s">
        <v>358</v>
      </c>
      <c r="D121" s="138" t="s">
        <v>627</v>
      </c>
      <c r="E121" s="138" t="s">
        <v>626</v>
      </c>
      <c r="F121" s="59" t="s">
        <v>144</v>
      </c>
      <c r="G121" s="35">
        <v>150000</v>
      </c>
      <c r="H121" s="16" t="s">
        <v>354</v>
      </c>
      <c r="I121" s="266" t="s">
        <v>36</v>
      </c>
      <c r="J121" s="273" t="s">
        <v>437</v>
      </c>
    </row>
    <row r="122" spans="2:10" s="1" customFormat="1" ht="26.25" hidden="1" customHeight="1">
      <c r="B122" s="253" t="s">
        <v>342</v>
      </c>
      <c r="C122" s="48" t="s">
        <v>359</v>
      </c>
      <c r="D122" s="138" t="s">
        <v>627</v>
      </c>
      <c r="E122" s="138" t="s">
        <v>626</v>
      </c>
      <c r="F122" s="59" t="s">
        <v>139</v>
      </c>
      <c r="G122" s="35">
        <v>2700000</v>
      </c>
      <c r="H122" s="16" t="s">
        <v>355</v>
      </c>
      <c r="I122" s="266" t="s">
        <v>291</v>
      </c>
      <c r="J122" s="273" t="s">
        <v>488</v>
      </c>
    </row>
    <row r="123" spans="2:10" s="1" customFormat="1" ht="26.25" hidden="1" customHeight="1">
      <c r="B123" s="253" t="s">
        <v>343</v>
      </c>
      <c r="C123" s="48" t="s">
        <v>360</v>
      </c>
      <c r="D123" s="138" t="s">
        <v>627</v>
      </c>
      <c r="E123" s="138" t="s">
        <v>626</v>
      </c>
      <c r="F123" s="59" t="s">
        <v>365</v>
      </c>
      <c r="G123" s="35">
        <v>1470000</v>
      </c>
      <c r="H123" s="16" t="s">
        <v>356</v>
      </c>
      <c r="I123" s="266" t="s">
        <v>271</v>
      </c>
      <c r="J123" s="273" t="s">
        <v>515</v>
      </c>
    </row>
    <row r="124" spans="2:10" s="1" customFormat="1" ht="26.25" hidden="1" customHeight="1">
      <c r="B124" s="253" t="s">
        <v>15</v>
      </c>
      <c r="C124" s="48" t="s">
        <v>182</v>
      </c>
      <c r="D124" s="138" t="s">
        <v>627</v>
      </c>
      <c r="E124" s="138" t="s">
        <v>626</v>
      </c>
      <c r="F124" s="3" t="s">
        <v>140</v>
      </c>
      <c r="G124" s="34">
        <v>100000</v>
      </c>
      <c r="H124" s="3" t="s">
        <v>16</v>
      </c>
      <c r="I124" s="265" t="s">
        <v>13</v>
      </c>
      <c r="J124" s="270" t="s">
        <v>483</v>
      </c>
    </row>
    <row r="125" spans="2:10" s="1" customFormat="1" ht="26.25" hidden="1" customHeight="1">
      <c r="B125" s="253" t="s">
        <v>344</v>
      </c>
      <c r="C125" s="48" t="s">
        <v>361</v>
      </c>
      <c r="D125" s="138" t="s">
        <v>627</v>
      </c>
      <c r="E125" s="138" t="s">
        <v>626</v>
      </c>
      <c r="F125" s="59" t="s">
        <v>140</v>
      </c>
      <c r="G125" s="35">
        <v>150000</v>
      </c>
      <c r="H125" s="16" t="s">
        <v>357</v>
      </c>
      <c r="I125" s="266" t="s">
        <v>13</v>
      </c>
      <c r="J125" s="273" t="s">
        <v>433</v>
      </c>
    </row>
    <row r="126" spans="2:10" s="1" customFormat="1" ht="26.25" hidden="1" customHeight="1">
      <c r="B126" s="253" t="s">
        <v>345</v>
      </c>
      <c r="C126" s="48" t="s">
        <v>362</v>
      </c>
      <c r="D126" s="138" t="s">
        <v>627</v>
      </c>
      <c r="E126" s="138" t="s">
        <v>626</v>
      </c>
      <c r="F126" s="59" t="s">
        <v>140</v>
      </c>
      <c r="G126" s="35">
        <f>250000+59000</f>
        <v>309000</v>
      </c>
      <c r="H126" s="16" t="s">
        <v>391</v>
      </c>
      <c r="I126" s="266" t="s">
        <v>13</v>
      </c>
      <c r="J126" s="274" t="s">
        <v>483</v>
      </c>
    </row>
    <row r="127" spans="2:10" s="1" customFormat="1" ht="26.25" hidden="1" customHeight="1">
      <c r="B127" s="253" t="s">
        <v>346</v>
      </c>
      <c r="C127" s="48" t="s">
        <v>363</v>
      </c>
      <c r="D127" s="138" t="s">
        <v>627</v>
      </c>
      <c r="E127" s="138" t="s">
        <v>626</v>
      </c>
      <c r="F127" s="59" t="s">
        <v>140</v>
      </c>
      <c r="G127" s="35">
        <v>881000</v>
      </c>
      <c r="H127" s="16" t="s">
        <v>412</v>
      </c>
      <c r="I127" s="266" t="s">
        <v>13</v>
      </c>
      <c r="J127" s="273" t="s">
        <v>433</v>
      </c>
    </row>
    <row r="128" spans="2:10" s="1" customFormat="1" ht="26.25" hidden="1" customHeight="1">
      <c r="B128" s="253" t="s">
        <v>347</v>
      </c>
      <c r="C128" s="48" t="s">
        <v>364</v>
      </c>
      <c r="D128" s="138" t="s">
        <v>627</v>
      </c>
      <c r="E128" s="138" t="s">
        <v>626</v>
      </c>
      <c r="F128" s="59" t="s">
        <v>140</v>
      </c>
      <c r="G128" s="34">
        <v>421605</v>
      </c>
      <c r="H128" s="16" t="s">
        <v>396</v>
      </c>
      <c r="I128" s="266" t="s">
        <v>125</v>
      </c>
      <c r="J128" s="273" t="s">
        <v>440</v>
      </c>
    </row>
    <row r="129" spans="2:10" s="1" customFormat="1" ht="26.25" hidden="1" customHeight="1">
      <c r="B129" s="253" t="s">
        <v>367</v>
      </c>
      <c r="C129" s="48" t="s">
        <v>374</v>
      </c>
      <c r="D129" s="138" t="s">
        <v>627</v>
      </c>
      <c r="E129" s="138" t="s">
        <v>626</v>
      </c>
      <c r="F129" s="59" t="s">
        <v>143</v>
      </c>
      <c r="G129" s="34">
        <v>421313.35</v>
      </c>
      <c r="H129" s="16" t="s">
        <v>383</v>
      </c>
      <c r="I129" s="266" t="s">
        <v>148</v>
      </c>
      <c r="J129" s="273" t="s">
        <v>435</v>
      </c>
    </row>
    <row r="130" spans="2:10" s="1" customFormat="1" ht="26.25" hidden="1" customHeight="1">
      <c r="B130" s="253" t="s">
        <v>368</v>
      </c>
      <c r="C130" s="48" t="s">
        <v>375</v>
      </c>
      <c r="D130" s="138" t="s">
        <v>627</v>
      </c>
      <c r="E130" s="138" t="s">
        <v>626</v>
      </c>
      <c r="F130" s="59" t="s">
        <v>139</v>
      </c>
      <c r="G130" s="34">
        <v>170000</v>
      </c>
      <c r="H130" s="16" t="s">
        <v>384</v>
      </c>
      <c r="I130" s="266" t="s">
        <v>10</v>
      </c>
      <c r="J130" s="273" t="s">
        <v>442</v>
      </c>
    </row>
    <row r="131" spans="2:10" s="1" customFormat="1" ht="26.25" hidden="1" customHeight="1">
      <c r="B131" s="253" t="s">
        <v>369</v>
      </c>
      <c r="C131" s="48" t="s">
        <v>376</v>
      </c>
      <c r="D131" s="138" t="s">
        <v>627</v>
      </c>
      <c r="E131" s="138" t="s">
        <v>626</v>
      </c>
      <c r="F131" s="59" t="s">
        <v>143</v>
      </c>
      <c r="G131" s="34">
        <v>270000</v>
      </c>
      <c r="H131" s="16" t="s">
        <v>389</v>
      </c>
      <c r="I131" s="266" t="s">
        <v>148</v>
      </c>
      <c r="J131" s="273" t="s">
        <v>435</v>
      </c>
    </row>
    <row r="132" spans="2:10" s="1" customFormat="1" ht="26.25" hidden="1" customHeight="1">
      <c r="B132" s="253" t="s">
        <v>370</v>
      </c>
      <c r="C132" s="48" t="s">
        <v>377</v>
      </c>
      <c r="D132" s="138" t="s">
        <v>627</v>
      </c>
      <c r="E132" s="31"/>
      <c r="F132" s="59" t="s">
        <v>365</v>
      </c>
      <c r="G132" s="34">
        <v>650000</v>
      </c>
      <c r="H132" s="16" t="s">
        <v>390</v>
      </c>
      <c r="I132" s="266" t="s">
        <v>271</v>
      </c>
      <c r="J132" s="273" t="s">
        <v>439</v>
      </c>
    </row>
    <row r="133" spans="2:10" s="1" customFormat="1" ht="26.25" hidden="1" customHeight="1">
      <c r="B133" s="253" t="s">
        <v>371</v>
      </c>
      <c r="C133" s="48" t="s">
        <v>378</v>
      </c>
      <c r="D133" s="138" t="s">
        <v>627</v>
      </c>
      <c r="E133" s="31"/>
      <c r="F133" s="59" t="s">
        <v>144</v>
      </c>
      <c r="G133" s="34">
        <v>530000</v>
      </c>
      <c r="H133" s="16" t="s">
        <v>392</v>
      </c>
      <c r="I133" s="266" t="s">
        <v>36</v>
      </c>
      <c r="J133" s="273" t="s">
        <v>437</v>
      </c>
    </row>
    <row r="134" spans="2:10" s="1" customFormat="1" ht="26.25" hidden="1" customHeight="1">
      <c r="B134" s="253" t="s">
        <v>372</v>
      </c>
      <c r="C134" s="48" t="s">
        <v>379</v>
      </c>
      <c r="D134" s="138" t="s">
        <v>627</v>
      </c>
      <c r="E134" s="31"/>
      <c r="F134" s="59" t="s">
        <v>144</v>
      </c>
      <c r="G134" s="34">
        <v>750000</v>
      </c>
      <c r="H134" s="16" t="s">
        <v>393</v>
      </c>
      <c r="I134" s="266" t="s">
        <v>36</v>
      </c>
      <c r="J134" s="273" t="s">
        <v>437</v>
      </c>
    </row>
    <row r="135" spans="2:10" s="1" customFormat="1" ht="26.25" hidden="1" customHeight="1">
      <c r="B135" s="253" t="s">
        <v>373</v>
      </c>
      <c r="C135" s="48" t="s">
        <v>380</v>
      </c>
      <c r="D135" s="138" t="s">
        <v>627</v>
      </c>
      <c r="E135" s="31"/>
      <c r="F135" s="59" t="s">
        <v>144</v>
      </c>
      <c r="G135" s="34">
        <v>650000</v>
      </c>
      <c r="H135" s="16" t="s">
        <v>394</v>
      </c>
      <c r="I135" s="266" t="s">
        <v>36</v>
      </c>
      <c r="J135" s="273" t="s">
        <v>437</v>
      </c>
    </row>
    <row r="136" spans="2:10" s="1" customFormat="1" ht="26.25" hidden="1" customHeight="1">
      <c r="B136" s="253" t="s">
        <v>563</v>
      </c>
      <c r="C136" s="48" t="s">
        <v>564</v>
      </c>
      <c r="D136" s="138" t="s">
        <v>627</v>
      </c>
      <c r="E136" s="31"/>
      <c r="F136" s="59" t="s">
        <v>143</v>
      </c>
      <c r="G136" s="34">
        <v>80000</v>
      </c>
      <c r="H136" s="16" t="s">
        <v>395</v>
      </c>
      <c r="I136" s="266" t="s">
        <v>148</v>
      </c>
      <c r="J136" s="273" t="s">
        <v>435</v>
      </c>
    </row>
    <row r="137" spans="2:10" s="1" customFormat="1" ht="26.25" hidden="1" customHeight="1">
      <c r="B137" s="253" t="s">
        <v>386</v>
      </c>
      <c r="C137" s="48" t="s">
        <v>385</v>
      </c>
      <c r="D137" s="138" t="s">
        <v>627</v>
      </c>
      <c r="E137" s="138" t="s">
        <v>627</v>
      </c>
      <c r="F137" s="59" t="s">
        <v>139</v>
      </c>
      <c r="G137" s="35">
        <v>576000</v>
      </c>
      <c r="H137" s="16" t="s">
        <v>408</v>
      </c>
      <c r="I137" s="266" t="s">
        <v>10</v>
      </c>
      <c r="J137" s="273" t="s">
        <v>438</v>
      </c>
    </row>
    <row r="138" spans="2:10" s="1" customFormat="1" ht="26.25" hidden="1" customHeight="1">
      <c r="B138" s="253" t="s">
        <v>387</v>
      </c>
      <c r="C138" s="48" t="s">
        <v>388</v>
      </c>
      <c r="D138" s="138" t="s">
        <v>626</v>
      </c>
      <c r="E138" s="138" t="s">
        <v>626</v>
      </c>
      <c r="F138" s="59" t="s">
        <v>365</v>
      </c>
      <c r="G138" s="35">
        <v>1400000</v>
      </c>
      <c r="H138" s="16" t="s">
        <v>409</v>
      </c>
      <c r="I138" s="266" t="s">
        <v>271</v>
      </c>
      <c r="J138" s="273" t="s">
        <v>442</v>
      </c>
    </row>
    <row r="139" spans="2:10" s="1" customFormat="1" ht="26.25" hidden="1" customHeight="1">
      <c r="B139" s="253" t="s">
        <v>398</v>
      </c>
      <c r="C139" s="48" t="s">
        <v>403</v>
      </c>
      <c r="D139" s="124"/>
      <c r="E139" s="31"/>
      <c r="F139" s="59" t="s">
        <v>142</v>
      </c>
      <c r="G139" s="35">
        <v>347000</v>
      </c>
      <c r="H139" s="16" t="s">
        <v>410</v>
      </c>
      <c r="I139" s="266" t="s">
        <v>125</v>
      </c>
      <c r="J139" s="273" t="s">
        <v>441</v>
      </c>
    </row>
    <row r="140" spans="2:10" s="1" customFormat="1" ht="26.25" hidden="1" customHeight="1">
      <c r="B140" s="253" t="s">
        <v>399</v>
      </c>
      <c r="C140" s="48" t="s">
        <v>404</v>
      </c>
      <c r="D140" s="124"/>
      <c r="E140" s="31"/>
      <c r="F140" s="59" t="s">
        <v>140</v>
      </c>
      <c r="G140" s="35">
        <v>262366</v>
      </c>
      <c r="H140" s="16" t="s">
        <v>413</v>
      </c>
      <c r="I140" s="266" t="s">
        <v>13</v>
      </c>
      <c r="J140" s="273" t="s">
        <v>433</v>
      </c>
    </row>
    <row r="141" spans="2:10" s="1" customFormat="1" ht="26.25" hidden="1" customHeight="1">
      <c r="B141" s="253" t="s">
        <v>400</v>
      </c>
      <c r="C141" s="48" t="s">
        <v>405</v>
      </c>
      <c r="D141" s="124"/>
      <c r="E141" s="31"/>
      <c r="F141" s="59" t="s">
        <v>142</v>
      </c>
      <c r="G141" s="35">
        <v>322061</v>
      </c>
      <c r="H141" s="16" t="s">
        <v>414</v>
      </c>
      <c r="I141" s="266" t="s">
        <v>125</v>
      </c>
      <c r="J141" s="273" t="s">
        <v>441</v>
      </c>
    </row>
    <row r="142" spans="2:10" s="1" customFormat="1" ht="26.25" hidden="1" customHeight="1">
      <c r="B142" s="253" t="s">
        <v>401</v>
      </c>
      <c r="C142" s="48" t="s">
        <v>406</v>
      </c>
      <c r="D142" s="138" t="s">
        <v>627</v>
      </c>
      <c r="E142" s="138" t="s">
        <v>627</v>
      </c>
      <c r="F142" s="59" t="s">
        <v>139</v>
      </c>
      <c r="G142" s="35">
        <v>800000</v>
      </c>
      <c r="H142" s="16" t="s">
        <v>416</v>
      </c>
      <c r="I142" s="266" t="s">
        <v>10</v>
      </c>
      <c r="J142" s="273" t="s">
        <v>438</v>
      </c>
    </row>
    <row r="143" spans="2:10" s="1" customFormat="1" ht="26.25" hidden="1" customHeight="1">
      <c r="B143" s="253" t="s">
        <v>402</v>
      </c>
      <c r="C143" s="48" t="s">
        <v>407</v>
      </c>
      <c r="D143" s="138" t="s">
        <v>627</v>
      </c>
      <c r="E143" s="138" t="s">
        <v>627</v>
      </c>
      <c r="F143" s="59" t="s">
        <v>144</v>
      </c>
      <c r="G143" s="34">
        <v>500000</v>
      </c>
      <c r="H143" s="16" t="s">
        <v>419</v>
      </c>
      <c r="I143" s="266" t="s">
        <v>36</v>
      </c>
      <c r="J143" s="273" t="s">
        <v>437</v>
      </c>
    </row>
    <row r="144" spans="2:10" s="1" customFormat="1" ht="26.25" hidden="1" customHeight="1">
      <c r="B144" s="253" t="s">
        <v>417</v>
      </c>
      <c r="C144" s="48" t="s">
        <v>418</v>
      </c>
      <c r="D144" s="124"/>
      <c r="E144" s="31"/>
      <c r="F144" s="59" t="s">
        <v>142</v>
      </c>
      <c r="G144" s="34">
        <v>1450000</v>
      </c>
      <c r="H144" s="16" t="s">
        <v>420</v>
      </c>
      <c r="I144" s="266" t="s">
        <v>125</v>
      </c>
      <c r="J144" s="274" t="s">
        <v>483</v>
      </c>
    </row>
    <row r="145" spans="2:10" s="1" customFormat="1" ht="26.25" hidden="1" customHeight="1">
      <c r="B145" s="253" t="s">
        <v>422</v>
      </c>
      <c r="C145" s="48" t="s">
        <v>423</v>
      </c>
      <c r="D145" s="138" t="s">
        <v>627</v>
      </c>
      <c r="E145" s="138" t="s">
        <v>627</v>
      </c>
      <c r="F145" s="59" t="s">
        <v>139</v>
      </c>
      <c r="G145" s="34">
        <v>267000</v>
      </c>
      <c r="H145" s="16" t="s">
        <v>424</v>
      </c>
      <c r="I145" s="266" t="s">
        <v>10</v>
      </c>
      <c r="J145" s="273" t="s">
        <v>438</v>
      </c>
    </row>
    <row r="146" spans="2:10" s="1" customFormat="1" ht="26.25" hidden="1" customHeight="1">
      <c r="B146" s="253" t="s">
        <v>425</v>
      </c>
      <c r="C146" s="48" t="s">
        <v>426</v>
      </c>
      <c r="D146" s="138" t="s">
        <v>627</v>
      </c>
      <c r="E146" s="138" t="s">
        <v>627</v>
      </c>
      <c r="F146" s="59" t="s">
        <v>140</v>
      </c>
      <c r="G146" s="34">
        <v>809043</v>
      </c>
      <c r="H146" s="16" t="s">
        <v>427</v>
      </c>
      <c r="I146" s="266" t="s">
        <v>13</v>
      </c>
      <c r="J146" s="274" t="s">
        <v>483</v>
      </c>
    </row>
    <row r="147" spans="2:10" s="1" customFormat="1" ht="26.25" hidden="1" customHeight="1">
      <c r="B147" s="253" t="s">
        <v>429</v>
      </c>
      <c r="C147" s="3" t="s">
        <v>428</v>
      </c>
      <c r="D147" s="138" t="s">
        <v>627</v>
      </c>
      <c r="E147" s="138" t="s">
        <v>627</v>
      </c>
      <c r="F147" s="59" t="s">
        <v>143</v>
      </c>
      <c r="G147" s="34">
        <v>202773</v>
      </c>
      <c r="H147" s="16" t="s">
        <v>430</v>
      </c>
      <c r="I147" s="266" t="s">
        <v>148</v>
      </c>
      <c r="J147" s="273" t="s">
        <v>435</v>
      </c>
    </row>
    <row r="148" spans="2:10" s="1" customFormat="1" ht="26.25" hidden="1" customHeight="1">
      <c r="B148" s="253" t="s">
        <v>443</v>
      </c>
      <c r="C148" s="3" t="s">
        <v>447</v>
      </c>
      <c r="D148" s="138" t="s">
        <v>627</v>
      </c>
      <c r="E148" s="138" t="s">
        <v>627</v>
      </c>
      <c r="F148" s="59" t="s">
        <v>143</v>
      </c>
      <c r="G148" s="34">
        <v>265000</v>
      </c>
      <c r="H148" s="16" t="s">
        <v>454</v>
      </c>
      <c r="I148" s="266" t="s">
        <v>148</v>
      </c>
      <c r="J148" s="273" t="s">
        <v>435</v>
      </c>
    </row>
    <row r="149" spans="2:10" s="1" customFormat="1" ht="26.25" hidden="1" customHeight="1">
      <c r="B149" s="253" t="s">
        <v>444</v>
      </c>
      <c r="C149" s="3" t="s">
        <v>448</v>
      </c>
      <c r="D149" s="124"/>
      <c r="E149" s="16"/>
      <c r="F149" s="59" t="s">
        <v>143</v>
      </c>
      <c r="G149" s="34">
        <v>410207</v>
      </c>
      <c r="H149" s="16" t="s">
        <v>451</v>
      </c>
      <c r="I149" s="266" t="s">
        <v>148</v>
      </c>
      <c r="J149" s="273" t="s">
        <v>435</v>
      </c>
    </row>
    <row r="150" spans="2:10" s="1" customFormat="1" ht="26.25" hidden="1" customHeight="1">
      <c r="B150" s="253" t="s">
        <v>445</v>
      </c>
      <c r="C150" s="3" t="s">
        <v>449</v>
      </c>
      <c r="D150" s="138" t="s">
        <v>626</v>
      </c>
      <c r="E150" s="138" t="s">
        <v>626</v>
      </c>
      <c r="F150" s="59" t="s">
        <v>143</v>
      </c>
      <c r="G150" s="34">
        <v>15601724</v>
      </c>
      <c r="H150" s="16" t="s">
        <v>452</v>
      </c>
      <c r="I150" s="266" t="s">
        <v>148</v>
      </c>
      <c r="J150" s="273" t="s">
        <v>435</v>
      </c>
    </row>
    <row r="151" spans="2:10" s="1" customFormat="1" ht="26.25" hidden="1" customHeight="1">
      <c r="B151" s="253" t="s">
        <v>468</v>
      </c>
      <c r="C151" s="3" t="s">
        <v>469</v>
      </c>
      <c r="D151" s="138" t="s">
        <v>626</v>
      </c>
      <c r="E151" s="138" t="s">
        <v>627</v>
      </c>
      <c r="F151" s="59" t="s">
        <v>139</v>
      </c>
      <c r="G151" s="35">
        <v>2951390</v>
      </c>
      <c r="H151" s="16" t="s">
        <v>457</v>
      </c>
      <c r="I151" s="266" t="s">
        <v>10</v>
      </c>
      <c r="J151" s="273" t="s">
        <v>515</v>
      </c>
    </row>
    <row r="152" spans="2:10" s="1" customFormat="1" ht="26.25" hidden="1" customHeight="1">
      <c r="B152" s="253" t="s">
        <v>525</v>
      </c>
      <c r="C152" s="3" t="s">
        <v>526</v>
      </c>
      <c r="D152" s="138" t="s">
        <v>627</v>
      </c>
      <c r="E152" s="138" t="s">
        <v>626</v>
      </c>
      <c r="F152" s="59" t="s">
        <v>365</v>
      </c>
      <c r="G152" s="35">
        <v>300000</v>
      </c>
      <c r="H152" s="16" t="s">
        <v>458</v>
      </c>
      <c r="I152" s="266" t="s">
        <v>271</v>
      </c>
      <c r="J152" s="273" t="s">
        <v>439</v>
      </c>
    </row>
    <row r="153" spans="2:10" s="1" customFormat="1" ht="26.25" hidden="1" customHeight="1">
      <c r="B153" s="253" t="s">
        <v>446</v>
      </c>
      <c r="C153" s="6" t="s">
        <v>450</v>
      </c>
      <c r="D153" s="138" t="s">
        <v>627</v>
      </c>
      <c r="E153" s="16"/>
      <c r="F153" s="59" t="s">
        <v>140</v>
      </c>
      <c r="G153" s="35">
        <v>3858650</v>
      </c>
      <c r="H153" s="16" t="s">
        <v>453</v>
      </c>
      <c r="I153" s="266" t="s">
        <v>13</v>
      </c>
      <c r="J153" s="274" t="s">
        <v>483</v>
      </c>
    </row>
    <row r="154" spans="2:10" s="1" customFormat="1" ht="26.25" hidden="1" customHeight="1">
      <c r="B154" s="253" t="s">
        <v>465</v>
      </c>
      <c r="C154" s="6" t="s">
        <v>466</v>
      </c>
      <c r="D154" s="138" t="s">
        <v>627</v>
      </c>
      <c r="E154" s="138" t="s">
        <v>627</v>
      </c>
      <c r="F154" s="59" t="s">
        <v>143</v>
      </c>
      <c r="G154" s="35">
        <v>298827</v>
      </c>
      <c r="H154" s="16" t="s">
        <v>459</v>
      </c>
      <c r="I154" s="266" t="s">
        <v>148</v>
      </c>
      <c r="J154" s="273" t="s">
        <v>435</v>
      </c>
    </row>
    <row r="155" spans="2:10" s="1" customFormat="1" ht="26.25" hidden="1" customHeight="1">
      <c r="B155" s="253" t="s">
        <v>460</v>
      </c>
      <c r="C155" s="6" t="s">
        <v>461</v>
      </c>
      <c r="D155" s="138" t="s">
        <v>627</v>
      </c>
      <c r="E155" s="138" t="s">
        <v>627</v>
      </c>
      <c r="F155" s="59" t="s">
        <v>139</v>
      </c>
      <c r="G155" s="35">
        <v>150000</v>
      </c>
      <c r="H155" s="16" t="s">
        <v>462</v>
      </c>
      <c r="I155" s="266" t="s">
        <v>10</v>
      </c>
      <c r="J155" s="273" t="s">
        <v>438</v>
      </c>
    </row>
    <row r="156" spans="2:10" s="1" customFormat="1" ht="26.25" hidden="1" customHeight="1">
      <c r="B156" s="253" t="s">
        <v>463</v>
      </c>
      <c r="C156" s="6" t="s">
        <v>471</v>
      </c>
      <c r="D156" s="124"/>
      <c r="E156" s="16"/>
      <c r="F156" s="59" t="s">
        <v>140</v>
      </c>
      <c r="G156" s="35"/>
      <c r="H156" s="16" t="s">
        <v>464</v>
      </c>
      <c r="I156" s="266" t="s">
        <v>13</v>
      </c>
      <c r="J156" s="274" t="s">
        <v>483</v>
      </c>
    </row>
    <row r="157" spans="2:10" s="1" customFormat="1" ht="26.25" hidden="1" customHeight="1">
      <c r="B157" s="253" t="s">
        <v>472</v>
      </c>
      <c r="C157" s="6" t="s">
        <v>473</v>
      </c>
      <c r="D157" s="124"/>
      <c r="E157" s="16"/>
      <c r="F157" s="59" t="s">
        <v>142</v>
      </c>
      <c r="G157" s="35">
        <v>1554941</v>
      </c>
      <c r="H157" s="16" t="s">
        <v>475</v>
      </c>
      <c r="I157" s="266" t="s">
        <v>125</v>
      </c>
      <c r="J157" s="274" t="s">
        <v>483</v>
      </c>
    </row>
    <row r="158" spans="2:10" s="1" customFormat="1" ht="26.25" hidden="1" customHeight="1">
      <c r="B158" s="253" t="s">
        <v>476</v>
      </c>
      <c r="C158" s="6" t="s">
        <v>477</v>
      </c>
      <c r="D158" s="124"/>
      <c r="E158" s="16"/>
      <c r="F158" s="59" t="s">
        <v>329</v>
      </c>
      <c r="G158" s="35">
        <v>66000</v>
      </c>
      <c r="H158" s="16" t="s">
        <v>480</v>
      </c>
      <c r="I158" s="266" t="s">
        <v>291</v>
      </c>
      <c r="J158" s="273" t="s">
        <v>474</v>
      </c>
    </row>
    <row r="159" spans="2:10" s="1" customFormat="1" ht="26.25" hidden="1" customHeight="1">
      <c r="B159" s="254" t="s">
        <v>478</v>
      </c>
      <c r="C159" s="82" t="s">
        <v>479</v>
      </c>
      <c r="D159" s="127"/>
      <c r="E159" s="85"/>
      <c r="F159" s="83" t="s">
        <v>329</v>
      </c>
      <c r="G159" s="84">
        <v>10000</v>
      </c>
      <c r="H159" s="85" t="s">
        <v>482</v>
      </c>
      <c r="I159" s="266" t="s">
        <v>291</v>
      </c>
      <c r="J159" s="275" t="s">
        <v>488</v>
      </c>
    </row>
    <row r="160" spans="2:10" s="1" customFormat="1" ht="26.25" hidden="1" customHeight="1">
      <c r="B160" s="255"/>
      <c r="C160" s="88"/>
      <c r="D160" s="128"/>
      <c r="E160" s="88"/>
      <c r="F160" s="89" t="s">
        <v>381</v>
      </c>
      <c r="G160" s="98">
        <f>SUM(G119:G159)</f>
        <v>43005900.350000001</v>
      </c>
      <c r="H160" s="90"/>
      <c r="I160" s="116"/>
      <c r="J160" s="276"/>
    </row>
    <row r="161" spans="2:10" s="1" customFormat="1" ht="26.25" hidden="1" customHeight="1">
      <c r="B161" s="256" t="s">
        <v>484</v>
      </c>
      <c r="C161" s="95" t="s">
        <v>485</v>
      </c>
      <c r="D161" s="138" t="s">
        <v>627</v>
      </c>
      <c r="E161" s="138" t="s">
        <v>626</v>
      </c>
      <c r="F161" s="100" t="s">
        <v>329</v>
      </c>
      <c r="G161" s="99">
        <v>1200000</v>
      </c>
      <c r="H161" s="96" t="s">
        <v>486</v>
      </c>
      <c r="I161" s="267" t="s">
        <v>291</v>
      </c>
      <c r="J161" s="277" t="s">
        <v>489</v>
      </c>
    </row>
    <row r="162" spans="2:10" s="1" customFormat="1" ht="26.25" hidden="1" customHeight="1">
      <c r="B162" s="256" t="s">
        <v>507</v>
      </c>
      <c r="C162" s="95" t="s">
        <v>508</v>
      </c>
      <c r="D162" s="138" t="s">
        <v>626</v>
      </c>
      <c r="E162" s="138" t="s">
        <v>626</v>
      </c>
      <c r="F162" s="100" t="s">
        <v>144</v>
      </c>
      <c r="G162" s="99">
        <v>3087000</v>
      </c>
      <c r="H162" s="96" t="s">
        <v>495</v>
      </c>
      <c r="I162" s="267" t="s">
        <v>36</v>
      </c>
      <c r="J162" s="277" t="s">
        <v>436</v>
      </c>
    </row>
    <row r="163" spans="2:10" s="1" customFormat="1" ht="26.25" hidden="1" customHeight="1">
      <c r="B163" s="256" t="s">
        <v>492</v>
      </c>
      <c r="C163" s="95" t="s">
        <v>493</v>
      </c>
      <c r="D163" s="138" t="s">
        <v>627</v>
      </c>
      <c r="E163" s="138" t="s">
        <v>626</v>
      </c>
      <c r="F163" s="100" t="s">
        <v>143</v>
      </c>
      <c r="G163" s="99">
        <v>2100000</v>
      </c>
      <c r="H163" s="96" t="s">
        <v>494</v>
      </c>
      <c r="I163" s="267" t="s">
        <v>148</v>
      </c>
      <c r="J163" s="277" t="s">
        <v>435</v>
      </c>
    </row>
    <row r="164" spans="2:10" s="1" customFormat="1" ht="26.25" hidden="1" customHeight="1">
      <c r="B164" s="257"/>
      <c r="C164" s="95" t="s">
        <v>509</v>
      </c>
      <c r="D164" s="138" t="s">
        <v>627</v>
      </c>
      <c r="E164" s="138" t="s">
        <v>627</v>
      </c>
      <c r="F164" s="100" t="s">
        <v>143</v>
      </c>
      <c r="G164" s="99">
        <v>396916</v>
      </c>
      <c r="H164" s="96" t="s">
        <v>496</v>
      </c>
      <c r="I164" s="267" t="s">
        <v>148</v>
      </c>
      <c r="J164" s="277" t="s">
        <v>438</v>
      </c>
    </row>
    <row r="165" spans="2:10" s="1" customFormat="1" ht="26.25" hidden="1" customHeight="1">
      <c r="B165" s="256" t="s">
        <v>510</v>
      </c>
      <c r="C165" s="95" t="s">
        <v>511</v>
      </c>
      <c r="D165" s="138" t="s">
        <v>626</v>
      </c>
      <c r="E165" s="138" t="s">
        <v>626</v>
      </c>
      <c r="F165" s="100" t="s">
        <v>143</v>
      </c>
      <c r="G165" s="99">
        <v>3054000</v>
      </c>
      <c r="H165" s="96" t="s">
        <v>497</v>
      </c>
      <c r="I165" s="267" t="s">
        <v>148</v>
      </c>
      <c r="J165" s="277" t="s">
        <v>435</v>
      </c>
    </row>
    <row r="166" spans="2:10" s="1" customFormat="1" ht="26.25" hidden="1" customHeight="1">
      <c r="B166" s="258" t="s">
        <v>516</v>
      </c>
      <c r="C166" s="105"/>
      <c r="D166" s="138" t="s">
        <v>627</v>
      </c>
      <c r="E166" s="138" t="s">
        <v>626</v>
      </c>
      <c r="F166" s="100" t="s">
        <v>144</v>
      </c>
      <c r="G166" s="99">
        <v>204720</v>
      </c>
      <c r="H166" s="96" t="s">
        <v>498</v>
      </c>
      <c r="I166" s="267" t="s">
        <v>36</v>
      </c>
      <c r="J166" s="277" t="s">
        <v>436</v>
      </c>
    </row>
    <row r="167" spans="2:10" s="1" customFormat="1" ht="26.25" hidden="1" customHeight="1">
      <c r="B167" s="256" t="s">
        <v>512</v>
      </c>
      <c r="C167" s="95" t="s">
        <v>513</v>
      </c>
      <c r="D167" s="129"/>
      <c r="E167" s="95"/>
      <c r="F167" s="100" t="s">
        <v>139</v>
      </c>
      <c r="G167" s="99">
        <v>348400</v>
      </c>
      <c r="H167" s="96" t="s">
        <v>499</v>
      </c>
      <c r="I167" s="267" t="s">
        <v>10</v>
      </c>
      <c r="J167" s="277" t="s">
        <v>438</v>
      </c>
    </row>
    <row r="168" spans="2:10" s="1" customFormat="1" ht="26.25" hidden="1" customHeight="1">
      <c r="B168" s="256" t="s">
        <v>517</v>
      </c>
      <c r="C168" s="95" t="s">
        <v>518</v>
      </c>
      <c r="D168" s="138" t="s">
        <v>626</v>
      </c>
      <c r="E168" s="138" t="s">
        <v>626</v>
      </c>
      <c r="F168" s="100" t="s">
        <v>365</v>
      </c>
      <c r="G168" s="99">
        <v>398129</v>
      </c>
      <c r="H168" s="96" t="s">
        <v>500</v>
      </c>
      <c r="I168" s="267" t="s">
        <v>271</v>
      </c>
      <c r="J168" s="277" t="s">
        <v>439</v>
      </c>
    </row>
    <row r="169" spans="2:10" s="1" customFormat="1" ht="26.25" hidden="1" customHeight="1">
      <c r="B169" s="256" t="s">
        <v>519</v>
      </c>
      <c r="C169" s="95" t="s">
        <v>520</v>
      </c>
      <c r="D169" s="138" t="s">
        <v>626</v>
      </c>
      <c r="E169" s="138" t="s">
        <v>627</v>
      </c>
      <c r="F169" s="100" t="s">
        <v>143</v>
      </c>
      <c r="G169" s="99">
        <v>3290000</v>
      </c>
      <c r="H169" s="96" t="s">
        <v>524</v>
      </c>
      <c r="I169" s="267" t="s">
        <v>148</v>
      </c>
      <c r="J169" s="277" t="s">
        <v>435</v>
      </c>
    </row>
    <row r="170" spans="2:10" s="1" customFormat="1" ht="26.25" hidden="1" customHeight="1">
      <c r="B170" s="256" t="s">
        <v>528</v>
      </c>
      <c r="C170" s="105"/>
      <c r="D170" s="138" t="s">
        <v>627</v>
      </c>
      <c r="E170" s="138" t="s">
        <v>627</v>
      </c>
      <c r="F170" s="100" t="s">
        <v>139</v>
      </c>
      <c r="G170" s="99">
        <v>1089624</v>
      </c>
      <c r="H170" s="96" t="s">
        <v>521</v>
      </c>
      <c r="I170" s="267" t="s">
        <v>10</v>
      </c>
      <c r="J170" s="277" t="s">
        <v>437</v>
      </c>
    </row>
    <row r="171" spans="2:10" s="1" customFormat="1" ht="26.25" hidden="1" customHeight="1">
      <c r="B171" s="256" t="s">
        <v>603</v>
      </c>
      <c r="C171" s="95" t="s">
        <v>527</v>
      </c>
      <c r="D171" s="138" t="s">
        <v>627</v>
      </c>
      <c r="E171" s="138" t="s">
        <v>627</v>
      </c>
      <c r="F171" s="100" t="s">
        <v>329</v>
      </c>
      <c r="G171" s="99">
        <v>33162</v>
      </c>
      <c r="H171" s="96" t="s">
        <v>522</v>
      </c>
      <c r="I171" s="267" t="s">
        <v>291</v>
      </c>
      <c r="J171" s="277" t="s">
        <v>488</v>
      </c>
    </row>
    <row r="172" spans="2:10" s="1" customFormat="1" ht="26.25" hidden="1" customHeight="1">
      <c r="B172" s="256" t="s">
        <v>604</v>
      </c>
      <c r="C172" s="95" t="s">
        <v>529</v>
      </c>
      <c r="D172" s="138" t="s">
        <v>627</v>
      </c>
      <c r="E172" s="138" t="s">
        <v>627</v>
      </c>
      <c r="F172" s="100" t="s">
        <v>329</v>
      </c>
      <c r="G172" s="99">
        <v>284281</v>
      </c>
      <c r="H172" s="96" t="s">
        <v>530</v>
      </c>
      <c r="I172" s="267" t="s">
        <v>152</v>
      </c>
      <c r="J172" s="277" t="s">
        <v>489</v>
      </c>
    </row>
    <row r="173" spans="2:10" s="1" customFormat="1" ht="18" hidden="1" customHeight="1">
      <c r="B173" s="256" t="s">
        <v>605</v>
      </c>
      <c r="C173" s="95" t="s">
        <v>531</v>
      </c>
      <c r="D173" s="138" t="s">
        <v>627</v>
      </c>
      <c r="E173" s="138" t="s">
        <v>627</v>
      </c>
      <c r="F173" s="100" t="s">
        <v>143</v>
      </c>
      <c r="G173" s="99">
        <v>284282</v>
      </c>
      <c r="H173" s="96" t="s">
        <v>532</v>
      </c>
      <c r="I173" s="267" t="s">
        <v>148</v>
      </c>
      <c r="J173" s="277" t="s">
        <v>435</v>
      </c>
    </row>
    <row r="174" spans="2:10" s="1" customFormat="1" ht="26.25" hidden="1" customHeight="1">
      <c r="B174" s="256" t="s">
        <v>547</v>
      </c>
      <c r="C174" s="95" t="s">
        <v>533</v>
      </c>
      <c r="D174" s="138" t="s">
        <v>627</v>
      </c>
      <c r="E174" s="138" t="s">
        <v>627</v>
      </c>
      <c r="F174" s="100" t="s">
        <v>143</v>
      </c>
      <c r="G174" s="99">
        <v>284283</v>
      </c>
      <c r="H174" s="96" t="s">
        <v>534</v>
      </c>
      <c r="I174" s="267" t="s">
        <v>148</v>
      </c>
      <c r="J174" s="277" t="s">
        <v>435</v>
      </c>
    </row>
    <row r="175" spans="2:10" s="1" customFormat="1" ht="26.25" hidden="1" customHeight="1">
      <c r="B175" s="256" t="s">
        <v>565</v>
      </c>
      <c r="C175" s="95" t="s">
        <v>535</v>
      </c>
      <c r="D175" s="138" t="s">
        <v>627</v>
      </c>
      <c r="E175" s="138" t="s">
        <v>627</v>
      </c>
      <c r="F175" s="100" t="s">
        <v>143</v>
      </c>
      <c r="G175" s="99">
        <v>284284</v>
      </c>
      <c r="H175" s="96" t="s">
        <v>536</v>
      </c>
      <c r="I175" s="267" t="s">
        <v>148</v>
      </c>
      <c r="J175" s="277" t="s">
        <v>435</v>
      </c>
    </row>
    <row r="176" spans="2:10" s="1" customFormat="1" ht="26.25" hidden="1" customHeight="1">
      <c r="B176" s="256" t="s">
        <v>606</v>
      </c>
      <c r="C176" s="95" t="s">
        <v>537</v>
      </c>
      <c r="D176" s="138" t="s">
        <v>627</v>
      </c>
      <c r="E176" s="138" t="s">
        <v>627</v>
      </c>
      <c r="F176" s="100" t="s">
        <v>143</v>
      </c>
      <c r="G176" s="99">
        <v>284285</v>
      </c>
      <c r="H176" s="96" t="s">
        <v>538</v>
      </c>
      <c r="I176" s="267" t="s">
        <v>148</v>
      </c>
      <c r="J176" s="277" t="s">
        <v>435</v>
      </c>
    </row>
    <row r="177" spans="1:10" s="1" customFormat="1" ht="26.25" hidden="1" customHeight="1">
      <c r="B177" s="256" t="s">
        <v>554</v>
      </c>
      <c r="C177" s="95" t="s">
        <v>539</v>
      </c>
      <c r="D177" s="138" t="s">
        <v>627</v>
      </c>
      <c r="E177" s="138" t="s">
        <v>627</v>
      </c>
      <c r="F177" s="100" t="s">
        <v>143</v>
      </c>
      <c r="G177" s="99">
        <v>284286</v>
      </c>
      <c r="H177" s="96" t="s">
        <v>540</v>
      </c>
      <c r="I177" s="267" t="s">
        <v>148</v>
      </c>
      <c r="J177" s="277" t="s">
        <v>435</v>
      </c>
    </row>
    <row r="178" spans="1:10" s="1" customFormat="1" ht="26.25" hidden="1" customHeight="1">
      <c r="B178" s="256" t="s">
        <v>607</v>
      </c>
      <c r="C178" s="95" t="s">
        <v>541</v>
      </c>
      <c r="D178" s="138" t="s">
        <v>627</v>
      </c>
      <c r="E178" s="138" t="s">
        <v>627</v>
      </c>
      <c r="F178" s="100" t="s">
        <v>143</v>
      </c>
      <c r="G178" s="99">
        <v>284287</v>
      </c>
      <c r="H178" s="96" t="s">
        <v>542</v>
      </c>
      <c r="I178" s="267" t="s">
        <v>148</v>
      </c>
      <c r="J178" s="277" t="s">
        <v>435</v>
      </c>
    </row>
    <row r="179" spans="1:10" s="1" customFormat="1" ht="26.25" hidden="1" customHeight="1">
      <c r="B179" s="256" t="s">
        <v>605</v>
      </c>
      <c r="C179" s="95" t="s">
        <v>531</v>
      </c>
      <c r="D179" s="138" t="s">
        <v>627</v>
      </c>
      <c r="E179" s="138" t="s">
        <v>627</v>
      </c>
      <c r="F179" s="100" t="s">
        <v>329</v>
      </c>
      <c r="G179" s="99">
        <v>195323</v>
      </c>
      <c r="H179" s="96" t="s">
        <v>545</v>
      </c>
      <c r="I179" s="267" t="s">
        <v>291</v>
      </c>
      <c r="J179" s="277" t="s">
        <v>561</v>
      </c>
    </row>
    <row r="180" spans="1:10" s="1" customFormat="1" ht="26.25" hidden="1" customHeight="1">
      <c r="B180" s="259" t="s">
        <v>547</v>
      </c>
      <c r="C180" s="95" t="s">
        <v>533</v>
      </c>
      <c r="D180" s="138" t="s">
        <v>627</v>
      </c>
      <c r="E180" s="138" t="s">
        <v>627</v>
      </c>
      <c r="F180" s="100" t="s">
        <v>139</v>
      </c>
      <c r="G180" s="99">
        <v>943879</v>
      </c>
      <c r="H180" s="96" t="s">
        <v>548</v>
      </c>
      <c r="I180" s="267" t="s">
        <v>10</v>
      </c>
      <c r="J180" s="277" t="s">
        <v>432</v>
      </c>
    </row>
    <row r="181" spans="1:10" s="1" customFormat="1" ht="26.25" hidden="1" customHeight="1">
      <c r="B181" s="259" t="s">
        <v>565</v>
      </c>
      <c r="C181" s="95" t="s">
        <v>535</v>
      </c>
      <c r="D181" s="138" t="s">
        <v>626</v>
      </c>
      <c r="E181" s="138" t="s">
        <v>626</v>
      </c>
      <c r="F181" s="100" t="s">
        <v>365</v>
      </c>
      <c r="G181" s="99">
        <v>1860000</v>
      </c>
      <c r="H181" s="96" t="s">
        <v>550</v>
      </c>
      <c r="I181" s="267" t="s">
        <v>271</v>
      </c>
      <c r="J181" s="277" t="s">
        <v>442</v>
      </c>
    </row>
    <row r="182" spans="1:10" s="1" customFormat="1" ht="26.25" hidden="1" customHeight="1">
      <c r="B182" s="259" t="s">
        <v>606</v>
      </c>
      <c r="C182" s="95" t="s">
        <v>537</v>
      </c>
      <c r="D182" s="138" t="s">
        <v>627</v>
      </c>
      <c r="E182" s="138" t="s">
        <v>627</v>
      </c>
      <c r="F182" s="100" t="s">
        <v>329</v>
      </c>
      <c r="G182" s="99">
        <v>265392</v>
      </c>
      <c r="H182" s="96" t="s">
        <v>552</v>
      </c>
      <c r="I182" s="267" t="s">
        <v>152</v>
      </c>
      <c r="J182" s="277" t="s">
        <v>489</v>
      </c>
    </row>
    <row r="183" spans="1:10" s="1" customFormat="1" ht="26.25" hidden="1" customHeight="1">
      <c r="B183" s="259" t="s">
        <v>554</v>
      </c>
      <c r="C183" s="105"/>
      <c r="D183" s="138" t="s">
        <v>627</v>
      </c>
      <c r="E183" s="138" t="s">
        <v>627</v>
      </c>
      <c r="F183" s="100" t="s">
        <v>365</v>
      </c>
      <c r="G183" s="99">
        <v>137690</v>
      </c>
      <c r="H183" s="96" t="s">
        <v>555</v>
      </c>
      <c r="I183" s="267" t="s">
        <v>271</v>
      </c>
      <c r="J183" s="277" t="s">
        <v>439</v>
      </c>
    </row>
    <row r="184" spans="1:10" s="1" customFormat="1" ht="26.25" hidden="1" customHeight="1">
      <c r="B184" s="260" t="s">
        <v>607</v>
      </c>
      <c r="C184" s="108" t="s">
        <v>541</v>
      </c>
      <c r="D184" s="138" t="s">
        <v>627</v>
      </c>
      <c r="E184" s="138" t="s">
        <v>627</v>
      </c>
      <c r="F184" s="214" t="s">
        <v>329</v>
      </c>
      <c r="G184" s="110">
        <v>72881</v>
      </c>
      <c r="H184" s="111" t="s">
        <v>556</v>
      </c>
      <c r="I184" s="268" t="s">
        <v>291</v>
      </c>
      <c r="J184" s="278" t="s">
        <v>561</v>
      </c>
    </row>
    <row r="185" spans="1:10" s="1" customFormat="1" ht="26.25" customHeight="1" thickBot="1">
      <c r="B185" s="315" t="s">
        <v>1062</v>
      </c>
      <c r="C185" s="316" t="s">
        <v>1064</v>
      </c>
      <c r="D185" s="317" t="s">
        <v>1066</v>
      </c>
      <c r="E185" s="343"/>
      <c r="F185" s="344"/>
      <c r="G185" s="344"/>
      <c r="H185" s="344"/>
      <c r="I185" s="337" t="s">
        <v>1067</v>
      </c>
      <c r="J185" s="279" t="s">
        <v>1069</v>
      </c>
    </row>
    <row r="186" spans="1:10" s="1" customFormat="1" ht="26.25" customHeight="1" thickBot="1">
      <c r="B186" s="261" t="s">
        <v>1063</v>
      </c>
      <c r="C186" s="239" t="s">
        <v>1065</v>
      </c>
      <c r="D186" s="317" t="s">
        <v>1066</v>
      </c>
      <c r="E186" s="345"/>
      <c r="F186" s="346"/>
      <c r="G186" s="346"/>
      <c r="H186" s="346"/>
      <c r="I186" s="340" t="s">
        <v>1068</v>
      </c>
      <c r="J186" s="280" t="s">
        <v>1070</v>
      </c>
    </row>
    <row r="187" spans="1:10" s="1" customFormat="1" ht="26.25" customHeight="1">
      <c r="B187" s="261" t="s">
        <v>1071</v>
      </c>
      <c r="C187" s="239" t="s">
        <v>1072</v>
      </c>
      <c r="D187" s="317" t="s">
        <v>1066</v>
      </c>
      <c r="E187" s="345"/>
      <c r="F187" s="346"/>
      <c r="G187" s="346"/>
      <c r="H187" s="346"/>
      <c r="I187" s="340" t="s">
        <v>1073</v>
      </c>
      <c r="J187" s="280" t="s">
        <v>1069</v>
      </c>
    </row>
    <row r="188" spans="1:10" s="1" customFormat="1" ht="26.25" customHeight="1">
      <c r="B188" s="261" t="s">
        <v>1074</v>
      </c>
      <c r="C188" s="239" t="s">
        <v>1075</v>
      </c>
      <c r="D188" s="262" t="s">
        <v>1066</v>
      </c>
      <c r="E188" s="345"/>
      <c r="F188" s="346"/>
      <c r="G188" s="346"/>
      <c r="H188" s="346"/>
      <c r="I188" s="340" t="s">
        <v>1076</v>
      </c>
      <c r="J188" s="347" t="s">
        <v>1077</v>
      </c>
    </row>
    <row r="189" spans="1:10" s="1" customFormat="1" ht="26.25" customHeight="1">
      <c r="A189" s="339"/>
      <c r="B189" s="348" t="s">
        <v>1078</v>
      </c>
      <c r="C189" s="351" t="s">
        <v>1080</v>
      </c>
      <c r="D189" s="349" t="s">
        <v>1066</v>
      </c>
      <c r="E189" s="345"/>
      <c r="F189" s="346"/>
      <c r="G189" s="346"/>
      <c r="H189" s="346"/>
      <c r="I189" s="350" t="s">
        <v>1079</v>
      </c>
      <c r="J189" s="352" t="s">
        <v>1070</v>
      </c>
    </row>
    <row r="190" spans="1:10" s="1" customFormat="1" ht="26.25" customHeight="1">
      <c r="B190" s="348" t="s">
        <v>1081</v>
      </c>
      <c r="C190" s="239" t="s">
        <v>1082</v>
      </c>
      <c r="D190" s="349" t="s">
        <v>1066</v>
      </c>
      <c r="E190" s="345"/>
      <c r="F190" s="346"/>
      <c r="G190" s="346"/>
      <c r="H190" s="346"/>
      <c r="I190" s="350" t="s">
        <v>1083</v>
      </c>
      <c r="J190" s="280" t="s">
        <v>515</v>
      </c>
    </row>
    <row r="191" spans="1:10" s="1" customFormat="1" ht="26.25" customHeight="1">
      <c r="B191" s="261" t="s">
        <v>1084</v>
      </c>
      <c r="C191" s="239" t="s">
        <v>1085</v>
      </c>
      <c r="D191" s="353" t="s">
        <v>1086</v>
      </c>
      <c r="E191" s="338" t="s">
        <v>1087</v>
      </c>
      <c r="F191" s="339" t="s">
        <v>1088</v>
      </c>
      <c r="G191" s="346"/>
      <c r="H191" s="339" t="s">
        <v>1089</v>
      </c>
      <c r="I191" s="340" t="s">
        <v>1090</v>
      </c>
      <c r="J191" s="280" t="s">
        <v>1145</v>
      </c>
    </row>
    <row r="192" spans="1:10" s="1" customFormat="1" ht="26.25" customHeight="1">
      <c r="B192" s="261" t="s">
        <v>1091</v>
      </c>
      <c r="C192" s="239" t="s">
        <v>1092</v>
      </c>
      <c r="D192" s="353" t="s">
        <v>1093</v>
      </c>
      <c r="E192" s="338" t="s">
        <v>1094</v>
      </c>
      <c r="F192" s="339" t="s">
        <v>1095</v>
      </c>
      <c r="G192" s="346"/>
      <c r="H192" s="354" t="s">
        <v>1102</v>
      </c>
      <c r="I192" s="340" t="s">
        <v>1101</v>
      </c>
      <c r="J192" s="281" t="s">
        <v>1234</v>
      </c>
    </row>
    <row r="193" spans="2:11" s="1" customFormat="1" ht="26.25" customHeight="1">
      <c r="B193" s="261" t="s">
        <v>1096</v>
      </c>
      <c r="C193" s="239" t="s">
        <v>1097</v>
      </c>
      <c r="D193" s="353" t="s">
        <v>1098</v>
      </c>
      <c r="E193" s="338" t="s">
        <v>1099</v>
      </c>
      <c r="F193" s="346"/>
      <c r="G193" s="346"/>
      <c r="H193" s="346"/>
      <c r="I193" s="346"/>
      <c r="J193" s="280" t="s">
        <v>1100</v>
      </c>
    </row>
    <row r="194" spans="2:11" s="1" customFormat="1" ht="26.25" customHeight="1">
      <c r="B194" s="261" t="s">
        <v>1103</v>
      </c>
      <c r="C194" s="239" t="s">
        <v>1104</v>
      </c>
      <c r="D194" s="262" t="s">
        <v>1125</v>
      </c>
      <c r="E194" s="338" t="s">
        <v>1105</v>
      </c>
      <c r="F194" s="339" t="s">
        <v>1106</v>
      </c>
      <c r="G194" s="346"/>
      <c r="H194" s="339" t="s">
        <v>1124</v>
      </c>
      <c r="I194" s="346"/>
      <c r="J194" s="281" t="s">
        <v>1234</v>
      </c>
    </row>
    <row r="195" spans="2:11" s="1" customFormat="1" ht="26.25" customHeight="1">
      <c r="B195" s="318" t="s">
        <v>1107</v>
      </c>
      <c r="C195" s="286" t="s">
        <v>1108</v>
      </c>
      <c r="D195" s="319" t="s">
        <v>1109</v>
      </c>
      <c r="E195" s="311" t="s">
        <v>1110</v>
      </c>
      <c r="F195" s="291" t="s">
        <v>1111</v>
      </c>
      <c r="G195" s="291" t="s">
        <v>1129</v>
      </c>
      <c r="H195" s="291" t="s">
        <v>1112</v>
      </c>
      <c r="I195" s="346"/>
      <c r="J195" s="280" t="s">
        <v>1060</v>
      </c>
      <c r="K195" s="356" t="s">
        <v>1141</v>
      </c>
    </row>
    <row r="196" spans="2:11" s="1" customFormat="1" ht="26.25" hidden="1" customHeight="1">
      <c r="B196" s="318"/>
      <c r="C196" s="314"/>
      <c r="D196" s="319"/>
      <c r="E196" s="311"/>
      <c r="F196" s="291"/>
      <c r="G196" s="346"/>
      <c r="H196" s="291"/>
      <c r="I196" s="342"/>
      <c r="J196" s="280"/>
    </row>
    <row r="197" spans="2:11" s="1" customFormat="1" ht="26.25" hidden="1" customHeight="1">
      <c r="B197" s="318"/>
      <c r="C197" s="286"/>
      <c r="D197" s="320"/>
      <c r="E197" s="311"/>
      <c r="F197" s="291"/>
      <c r="G197" s="346"/>
      <c r="H197" s="291"/>
      <c r="I197" s="342"/>
      <c r="J197" s="280"/>
    </row>
    <row r="198" spans="2:11" s="1" customFormat="1" ht="26.25" hidden="1" customHeight="1">
      <c r="B198" s="318"/>
      <c r="C198" s="314"/>
      <c r="D198" s="320"/>
      <c r="E198" s="311"/>
      <c r="F198" s="291"/>
      <c r="G198" s="346"/>
      <c r="H198" s="291"/>
      <c r="I198" s="342"/>
      <c r="J198" s="280"/>
    </row>
    <row r="199" spans="2:11" s="1" customFormat="1" ht="26.25" hidden="1" customHeight="1">
      <c r="B199" s="318"/>
      <c r="C199" s="286"/>
      <c r="D199" s="320"/>
      <c r="E199" s="311"/>
      <c r="F199" s="291"/>
      <c r="G199" s="346"/>
      <c r="H199" s="291"/>
      <c r="I199" s="342"/>
      <c r="J199" s="280"/>
    </row>
    <row r="200" spans="2:11" s="1" customFormat="1" ht="26.25" hidden="1" customHeight="1">
      <c r="B200" s="318"/>
      <c r="C200" s="314"/>
      <c r="D200" s="320"/>
      <c r="E200" s="311"/>
      <c r="F200" s="291"/>
      <c r="G200" s="346"/>
      <c r="H200" s="291"/>
      <c r="I200" s="342"/>
      <c r="J200" s="280"/>
    </row>
    <row r="201" spans="2:11" s="1" customFormat="1" ht="26.25" hidden="1" customHeight="1">
      <c r="B201" s="318"/>
      <c r="C201" s="314"/>
      <c r="D201" s="320"/>
      <c r="E201" s="311"/>
      <c r="F201" s="291"/>
      <c r="G201" s="346"/>
      <c r="H201" s="291"/>
      <c r="I201" s="342"/>
      <c r="J201" s="280"/>
    </row>
    <row r="202" spans="2:11" s="1" customFormat="1" ht="26.25" hidden="1" customHeight="1">
      <c r="B202" s="318"/>
      <c r="C202" s="314"/>
      <c r="D202" s="320"/>
      <c r="E202" s="311"/>
      <c r="F202" s="291"/>
      <c r="G202" s="346"/>
      <c r="H202" s="291"/>
      <c r="I202" s="342"/>
      <c r="J202" s="280"/>
    </row>
    <row r="203" spans="2:11" s="1" customFormat="1" ht="26.25" hidden="1" customHeight="1">
      <c r="B203" s="318"/>
      <c r="C203" s="286"/>
      <c r="D203" s="320"/>
      <c r="E203" s="311"/>
      <c r="F203" s="291"/>
      <c r="G203" s="346"/>
      <c r="H203" s="291"/>
      <c r="I203" s="342"/>
      <c r="J203" s="280"/>
    </row>
    <row r="204" spans="2:11" s="1" customFormat="1" ht="26.25" hidden="1" customHeight="1">
      <c r="B204" s="318"/>
      <c r="C204" s="286"/>
      <c r="D204" s="320"/>
      <c r="E204" s="311"/>
      <c r="F204" s="291"/>
      <c r="G204" s="346"/>
      <c r="H204" s="291"/>
      <c r="I204" s="342"/>
      <c r="J204" s="280"/>
    </row>
    <row r="205" spans="2:11" s="1" customFormat="1" ht="26.25" customHeight="1">
      <c r="B205" s="318" t="s">
        <v>1113</v>
      </c>
      <c r="C205" s="286" t="s">
        <v>1114</v>
      </c>
      <c r="D205" s="300" t="s">
        <v>1115</v>
      </c>
      <c r="E205" s="346"/>
      <c r="F205" s="346"/>
      <c r="G205" s="346"/>
      <c r="H205" s="346"/>
      <c r="I205" s="342" t="s">
        <v>1116</v>
      </c>
      <c r="J205" s="280" t="s">
        <v>1069</v>
      </c>
    </row>
    <row r="206" spans="2:11" s="1" customFormat="1" ht="26.25" customHeight="1">
      <c r="B206" s="318" t="s">
        <v>1117</v>
      </c>
      <c r="C206" s="286" t="s">
        <v>1118</v>
      </c>
      <c r="D206" s="320"/>
      <c r="E206" s="311" t="s">
        <v>1119</v>
      </c>
      <c r="F206" s="291" t="s">
        <v>1120</v>
      </c>
      <c r="G206" s="341" t="s">
        <v>1127</v>
      </c>
      <c r="H206" s="346"/>
      <c r="I206" s="346"/>
      <c r="J206" s="355" t="s">
        <v>1209</v>
      </c>
    </row>
    <row r="207" spans="2:11" s="1" customFormat="1" ht="26.25" customHeight="1">
      <c r="B207" s="318" t="s">
        <v>1121</v>
      </c>
      <c r="C207" s="286" t="s">
        <v>1122</v>
      </c>
      <c r="D207" s="300" t="s">
        <v>1128</v>
      </c>
      <c r="E207" s="311" t="s">
        <v>1123</v>
      </c>
      <c r="F207" s="291" t="s">
        <v>1126</v>
      </c>
      <c r="G207" s="346"/>
      <c r="H207" s="346"/>
      <c r="I207" s="346"/>
      <c r="J207" s="390" t="s">
        <v>1237</v>
      </c>
    </row>
    <row r="208" spans="2:11" s="1" customFormat="1" ht="26.25" customHeight="1">
      <c r="B208" s="318" t="s">
        <v>1135</v>
      </c>
      <c r="C208" s="286" t="s">
        <v>1130</v>
      </c>
      <c r="D208" s="320" t="s">
        <v>1023</v>
      </c>
      <c r="E208" s="311" t="s">
        <v>1131</v>
      </c>
      <c r="F208" s="291" t="s">
        <v>1132</v>
      </c>
      <c r="G208" s="341" t="s">
        <v>1133</v>
      </c>
      <c r="H208" s="346"/>
      <c r="I208" s="346"/>
      <c r="J208" s="355" t="s">
        <v>1134</v>
      </c>
    </row>
    <row r="209" spans="1:10" s="1" customFormat="1" ht="26.25" customHeight="1" thickBot="1">
      <c r="B209" s="322" t="s">
        <v>1138</v>
      </c>
      <c r="C209" s="291" t="s">
        <v>1136</v>
      </c>
      <c r="D209" s="300" t="s">
        <v>1137</v>
      </c>
      <c r="E209" s="311" t="s">
        <v>1139</v>
      </c>
      <c r="F209" s="291" t="s">
        <v>1140</v>
      </c>
      <c r="G209" s="346"/>
      <c r="H209" s="346"/>
      <c r="I209" s="346"/>
      <c r="J209" s="355" t="s">
        <v>1060</v>
      </c>
    </row>
    <row r="210" spans="1:10" s="1" customFormat="1" ht="26.25" customHeight="1" thickBot="1">
      <c r="B210" s="322" t="s">
        <v>1142</v>
      </c>
      <c r="C210" s="286" t="s">
        <v>1143</v>
      </c>
      <c r="D210" s="320" t="s">
        <v>1066</v>
      </c>
      <c r="E210" s="343"/>
      <c r="F210" s="344"/>
      <c r="G210" s="344"/>
      <c r="H210" s="344"/>
      <c r="I210" s="342" t="s">
        <v>1144</v>
      </c>
      <c r="J210" s="355" t="s">
        <v>1069</v>
      </c>
    </row>
    <row r="211" spans="1:10" s="1" customFormat="1" ht="26.25" customHeight="1" thickBot="1">
      <c r="B211" s="322" t="s">
        <v>1146</v>
      </c>
      <c r="C211" s="286" t="s">
        <v>1151</v>
      </c>
      <c r="D211" s="320" t="s">
        <v>1066</v>
      </c>
      <c r="E211" s="343"/>
      <c r="F211" s="344"/>
      <c r="G211" s="344"/>
      <c r="H211" s="344"/>
      <c r="I211" s="342" t="s">
        <v>1156</v>
      </c>
      <c r="J211" s="355" t="s">
        <v>1070</v>
      </c>
    </row>
    <row r="212" spans="1:10" s="1" customFormat="1" ht="26.25" customHeight="1" thickBot="1">
      <c r="B212" s="322" t="s">
        <v>1147</v>
      </c>
      <c r="C212" s="357" t="s">
        <v>1152</v>
      </c>
      <c r="D212" s="320" t="s">
        <v>1066</v>
      </c>
      <c r="E212" s="343"/>
      <c r="F212" s="344"/>
      <c r="G212" s="344"/>
      <c r="H212" s="344"/>
      <c r="I212" s="342" t="s">
        <v>1157</v>
      </c>
      <c r="J212" s="355" t="s">
        <v>1070</v>
      </c>
    </row>
    <row r="213" spans="1:10" s="1" customFormat="1" ht="26.25" customHeight="1" thickBot="1">
      <c r="B213" s="322" t="s">
        <v>1148</v>
      </c>
      <c r="C213" s="286" t="s">
        <v>1153</v>
      </c>
      <c r="D213" s="320" t="s">
        <v>1066</v>
      </c>
      <c r="E213" s="343"/>
      <c r="F213" s="344"/>
      <c r="G213" s="344"/>
      <c r="H213" s="344"/>
      <c r="I213" s="342" t="s">
        <v>1158</v>
      </c>
      <c r="J213" s="355" t="s">
        <v>1070</v>
      </c>
    </row>
    <row r="214" spans="1:10" s="1" customFormat="1" ht="26.25" customHeight="1" thickBot="1">
      <c r="B214" s="322" t="s">
        <v>1149</v>
      </c>
      <c r="C214" s="287" t="s">
        <v>1154</v>
      </c>
      <c r="D214" s="320" t="s">
        <v>1066</v>
      </c>
      <c r="E214" s="343"/>
      <c r="F214" s="344"/>
      <c r="G214" s="344"/>
      <c r="H214" s="344"/>
      <c r="I214" s="342" t="s">
        <v>1159</v>
      </c>
      <c r="J214" s="355" t="s">
        <v>1070</v>
      </c>
    </row>
    <row r="215" spans="1:10" s="1" customFormat="1" ht="26.25" customHeight="1" thickBot="1">
      <c r="B215" s="322" t="s">
        <v>1150</v>
      </c>
      <c r="C215" s="291" t="s">
        <v>1155</v>
      </c>
      <c r="D215" s="320" t="s">
        <v>1066</v>
      </c>
      <c r="E215" s="343"/>
      <c r="F215" s="344"/>
      <c r="G215" s="344"/>
      <c r="H215" s="344"/>
      <c r="I215" s="342" t="s">
        <v>1160</v>
      </c>
      <c r="J215" s="355" t="s">
        <v>1070</v>
      </c>
    </row>
    <row r="216" spans="1:10" s="1" customFormat="1" ht="26.25" customHeight="1" thickBot="1">
      <c r="B216" s="322" t="s">
        <v>1161</v>
      </c>
      <c r="C216" s="291" t="s">
        <v>1162</v>
      </c>
      <c r="D216" s="361" t="s">
        <v>1164</v>
      </c>
      <c r="E216" s="358" t="s">
        <v>1163</v>
      </c>
      <c r="F216" s="359" t="s">
        <v>1169</v>
      </c>
      <c r="G216" s="344"/>
      <c r="H216" s="344"/>
      <c r="I216" s="344"/>
      <c r="J216" s="360" t="s">
        <v>1100</v>
      </c>
    </row>
    <row r="217" spans="1:10" s="1" customFormat="1" ht="26.25" customHeight="1" thickBot="1">
      <c r="B217" s="322" t="s">
        <v>1165</v>
      </c>
      <c r="C217" s="291" t="s">
        <v>1166</v>
      </c>
      <c r="D217" s="377" t="s">
        <v>1167</v>
      </c>
      <c r="E217" s="343"/>
      <c r="F217" s="344"/>
      <c r="G217" s="344"/>
      <c r="H217" s="344"/>
      <c r="I217" s="319" t="s">
        <v>1168</v>
      </c>
      <c r="J217" s="360" t="s">
        <v>1069</v>
      </c>
    </row>
    <row r="218" spans="1:10" s="364" customFormat="1" ht="26.25" customHeight="1" thickBot="1">
      <c r="B218" s="322" t="s">
        <v>1170</v>
      </c>
      <c r="C218" s="291" t="s">
        <v>1171</v>
      </c>
      <c r="D218" s="361" t="s">
        <v>1172</v>
      </c>
      <c r="E218" s="362"/>
      <c r="F218" s="363"/>
      <c r="G218" s="363"/>
      <c r="H218" s="363"/>
      <c r="I218" s="319" t="s">
        <v>1173</v>
      </c>
      <c r="J218" s="365" t="s">
        <v>1069</v>
      </c>
    </row>
    <row r="219" spans="1:10" s="1" customFormat="1" ht="26.25" customHeight="1" thickBot="1">
      <c r="A219" s="364"/>
      <c r="B219" s="322" t="s">
        <v>1174</v>
      </c>
      <c r="C219" s="291" t="s">
        <v>1175</v>
      </c>
      <c r="D219" s="366" t="s">
        <v>1066</v>
      </c>
      <c r="E219" s="362"/>
      <c r="F219" s="363"/>
      <c r="G219" s="363"/>
      <c r="H219" s="363"/>
      <c r="I219" s="319" t="s">
        <v>1176</v>
      </c>
      <c r="J219" s="365" t="s">
        <v>1069</v>
      </c>
    </row>
    <row r="220" spans="1:10" s="1" customFormat="1" ht="26.25" customHeight="1" thickBot="1">
      <c r="A220" s="364"/>
      <c r="B220" s="322" t="s">
        <v>1177</v>
      </c>
      <c r="C220" s="291" t="s">
        <v>1184</v>
      </c>
      <c r="D220" s="369" t="s">
        <v>1185</v>
      </c>
      <c r="E220" s="358" t="s">
        <v>1180</v>
      </c>
      <c r="F220" s="359" t="s">
        <v>1181</v>
      </c>
      <c r="G220" s="367" t="s">
        <v>1182</v>
      </c>
      <c r="H220" s="363"/>
      <c r="I220" s="363"/>
      <c r="J220" s="365" t="s">
        <v>1236</v>
      </c>
    </row>
    <row r="221" spans="1:10" s="364" customFormat="1" ht="26.25" customHeight="1" thickBot="1">
      <c r="B221" s="322" t="s">
        <v>1183</v>
      </c>
      <c r="C221" s="291" t="s">
        <v>1178</v>
      </c>
      <c r="D221" s="366" t="s">
        <v>1179</v>
      </c>
      <c r="E221" s="358" t="s">
        <v>1186</v>
      </c>
      <c r="F221" s="359" t="s">
        <v>1187</v>
      </c>
      <c r="G221" s="367" t="s">
        <v>1188</v>
      </c>
      <c r="H221" s="363"/>
      <c r="I221" s="363"/>
      <c r="J221" s="368" t="s">
        <v>1060</v>
      </c>
    </row>
    <row r="222" spans="1:10" s="364" customFormat="1" ht="26.25" customHeight="1" thickBot="1">
      <c r="B222" s="322" t="s">
        <v>1189</v>
      </c>
      <c r="C222" s="291" t="s">
        <v>1190</v>
      </c>
      <c r="D222" s="366" t="s">
        <v>1066</v>
      </c>
      <c r="E222" s="362"/>
      <c r="F222" s="363"/>
      <c r="G222" s="363"/>
      <c r="H222" s="363"/>
      <c r="I222" s="319" t="s">
        <v>1191</v>
      </c>
      <c r="J222" s="365" t="s">
        <v>1070</v>
      </c>
    </row>
    <row r="223" spans="1:10" s="1" customFormat="1" ht="26.25" customHeight="1" thickBot="1">
      <c r="B223" s="322" t="s">
        <v>1192</v>
      </c>
      <c r="C223" s="291" t="s">
        <v>1193</v>
      </c>
      <c r="D223" s="366" t="s">
        <v>1066</v>
      </c>
      <c r="E223" s="362"/>
      <c r="F223" s="363"/>
      <c r="G223" s="363"/>
      <c r="H223" s="363"/>
      <c r="I223" s="319" t="s">
        <v>1194</v>
      </c>
      <c r="J223" s="360" t="s">
        <v>1069</v>
      </c>
    </row>
    <row r="224" spans="1:10" s="1" customFormat="1" ht="26.25" customHeight="1" thickBot="1">
      <c r="B224" s="322" t="s">
        <v>1195</v>
      </c>
      <c r="C224" s="291" t="s">
        <v>1196</v>
      </c>
      <c r="D224" s="366" t="s">
        <v>1066</v>
      </c>
      <c r="E224" s="362"/>
      <c r="F224" s="363"/>
      <c r="G224" s="363"/>
      <c r="H224" s="363"/>
      <c r="I224" s="319" t="s">
        <v>1197</v>
      </c>
      <c r="J224" s="360" t="s">
        <v>1069</v>
      </c>
    </row>
    <row r="225" spans="1:10" s="371" customFormat="1" ht="26.25" customHeight="1" thickBot="1">
      <c r="B225" s="322" t="s">
        <v>1198</v>
      </c>
      <c r="C225" s="359" t="s">
        <v>1199</v>
      </c>
      <c r="D225" s="366" t="s">
        <v>1200</v>
      </c>
      <c r="E225" s="381" t="s">
        <v>1201</v>
      </c>
      <c r="F225" s="382"/>
      <c r="G225" s="382"/>
      <c r="H225" s="383" t="s">
        <v>1202</v>
      </c>
      <c r="I225" s="370"/>
      <c r="J225" s="360" t="s">
        <v>1208</v>
      </c>
    </row>
    <row r="226" spans="1:10" s="371" customFormat="1" ht="26.25" customHeight="1" thickBot="1">
      <c r="B226" s="322" t="s">
        <v>1203</v>
      </c>
      <c r="C226" s="376" t="s">
        <v>1207</v>
      </c>
      <c r="D226" s="366" t="s">
        <v>1204</v>
      </c>
      <c r="E226" s="381" t="s">
        <v>1205</v>
      </c>
      <c r="F226" s="381" t="s">
        <v>1206</v>
      </c>
      <c r="G226" s="382"/>
      <c r="H226" s="382"/>
      <c r="I226" s="363"/>
      <c r="J226" s="360" t="s">
        <v>1209</v>
      </c>
    </row>
    <row r="227" spans="1:10" s="1" customFormat="1" ht="26.25" customHeight="1" thickBot="1">
      <c r="A227" s="371"/>
      <c r="B227" s="378" t="s">
        <v>1210</v>
      </c>
      <c r="C227" s="291" t="s">
        <v>1211</v>
      </c>
      <c r="D227" s="366" t="s">
        <v>1179</v>
      </c>
      <c r="E227" s="384" t="s">
        <v>1217</v>
      </c>
      <c r="F227" s="385" t="s">
        <v>1218</v>
      </c>
      <c r="G227" s="386" t="s">
        <v>1219</v>
      </c>
      <c r="H227" s="387"/>
      <c r="I227" s="379"/>
      <c r="J227" s="360" t="s">
        <v>1209</v>
      </c>
    </row>
    <row r="228" spans="1:10" s="1" customFormat="1" ht="26.25" customHeight="1" thickBot="1">
      <c r="B228" s="373" t="s">
        <v>1212</v>
      </c>
      <c r="C228" s="373" t="s">
        <v>1220</v>
      </c>
      <c r="D228" s="366" t="s">
        <v>1179</v>
      </c>
      <c r="E228" s="384" t="s">
        <v>1221</v>
      </c>
      <c r="F228" s="385" t="s">
        <v>1222</v>
      </c>
      <c r="G228" s="386" t="s">
        <v>1223</v>
      </c>
      <c r="H228" s="388"/>
      <c r="I228" s="379"/>
      <c r="J228" s="372" t="s">
        <v>1237</v>
      </c>
    </row>
    <row r="229" spans="1:10" s="1" customFormat="1" ht="26.25" customHeight="1" thickBot="1">
      <c r="B229" s="374" t="s">
        <v>1213</v>
      </c>
      <c r="C229" s="375" t="s">
        <v>1214</v>
      </c>
      <c r="D229" s="208" t="s">
        <v>1215</v>
      </c>
      <c r="E229" s="388"/>
      <c r="F229" s="388"/>
      <c r="G229" s="388"/>
      <c r="H229" s="388"/>
      <c r="I229" s="374" t="s">
        <v>1216</v>
      </c>
      <c r="J229" s="372" t="s">
        <v>1069</v>
      </c>
    </row>
    <row r="230" spans="1:10" s="1" customFormat="1" ht="26.25" customHeight="1" thickBot="1">
      <c r="B230" s="374" t="s">
        <v>1224</v>
      </c>
      <c r="C230" s="380" t="s">
        <v>1310</v>
      </c>
      <c r="D230" s="375" t="s">
        <v>1225</v>
      </c>
      <c r="E230" s="384" t="s">
        <v>1226</v>
      </c>
      <c r="F230" s="385" t="s">
        <v>1227</v>
      </c>
      <c r="G230" s="386" t="s">
        <v>1228</v>
      </c>
      <c r="H230" s="388"/>
      <c r="I230" s="362"/>
      <c r="J230" s="372" t="s">
        <v>1060</v>
      </c>
    </row>
    <row r="231" spans="1:10" s="1" customFormat="1" ht="26.25" customHeight="1" thickBot="1">
      <c r="B231" s="374" t="s">
        <v>1229</v>
      </c>
      <c r="C231" s="375" t="s">
        <v>1230</v>
      </c>
      <c r="D231" s="375" t="s">
        <v>1231</v>
      </c>
      <c r="E231" s="389" t="s">
        <v>1232</v>
      </c>
      <c r="F231" s="389" t="s">
        <v>1233</v>
      </c>
      <c r="G231" s="386" t="s">
        <v>1238</v>
      </c>
      <c r="H231" s="388"/>
      <c r="I231" s="362"/>
      <c r="J231" s="372" t="s">
        <v>957</v>
      </c>
    </row>
    <row r="232" spans="1:10" s="364" customFormat="1" ht="26.25" customHeight="1" thickBot="1">
      <c r="B232" s="374" t="s">
        <v>1239</v>
      </c>
      <c r="C232" s="374" t="s">
        <v>1247</v>
      </c>
      <c r="D232" s="208" t="s">
        <v>1241</v>
      </c>
      <c r="E232" s="362"/>
      <c r="F232" s="362"/>
      <c r="G232" s="362"/>
      <c r="H232" s="362"/>
      <c r="I232" s="374" t="s">
        <v>1240</v>
      </c>
      <c r="J232" s="372" t="s">
        <v>1070</v>
      </c>
    </row>
    <row r="233" spans="1:10" s="1" customFormat="1" ht="26.25" customHeight="1" thickBot="1">
      <c r="B233" s="374" t="s">
        <v>1242</v>
      </c>
      <c r="C233" s="380" t="s">
        <v>1244</v>
      </c>
      <c r="D233" s="208" t="s">
        <v>1023</v>
      </c>
      <c r="E233" s="389" t="s">
        <v>1243</v>
      </c>
      <c r="F233" s="391" t="s">
        <v>1245</v>
      </c>
      <c r="G233" s="391" t="s">
        <v>1246</v>
      </c>
      <c r="H233" s="362"/>
      <c r="I233" s="362"/>
      <c r="J233" s="392" t="s">
        <v>1134</v>
      </c>
    </row>
    <row r="234" spans="1:10" s="1" customFormat="1" ht="26.25" customHeight="1" thickBot="1">
      <c r="B234" s="374" t="s">
        <v>1249</v>
      </c>
      <c r="C234" s="374" t="s">
        <v>1248</v>
      </c>
      <c r="D234" s="208" t="s">
        <v>1241</v>
      </c>
      <c r="E234" s="362"/>
      <c r="F234" s="362"/>
      <c r="G234" s="362"/>
      <c r="H234" s="362"/>
      <c r="I234" s="374" t="s">
        <v>1250</v>
      </c>
      <c r="J234" s="392" t="s">
        <v>1069</v>
      </c>
    </row>
    <row r="235" spans="1:10" s="1" customFormat="1" ht="26.25" customHeight="1" thickBot="1">
      <c r="B235" s="374" t="s">
        <v>1251</v>
      </c>
      <c r="C235" s="374" t="s">
        <v>1252</v>
      </c>
      <c r="D235" s="208" t="s">
        <v>1023</v>
      </c>
      <c r="E235" s="389" t="s">
        <v>1253</v>
      </c>
      <c r="F235" s="395" t="s">
        <v>1254</v>
      </c>
      <c r="G235" s="396"/>
      <c r="H235" s="396"/>
      <c r="I235" s="396"/>
      <c r="J235" s="392" t="s">
        <v>1134</v>
      </c>
    </row>
    <row r="236" spans="1:10" s="1" customFormat="1" ht="26.25" customHeight="1" thickBot="1">
      <c r="B236" s="374" t="s">
        <v>1255</v>
      </c>
      <c r="C236" s="374" t="s">
        <v>1257</v>
      </c>
      <c r="D236" s="366" t="s">
        <v>1066</v>
      </c>
      <c r="E236" s="362"/>
      <c r="F236" s="362"/>
      <c r="G236" s="362"/>
      <c r="H236" s="362"/>
      <c r="I236" s="374" t="s">
        <v>1256</v>
      </c>
      <c r="J236" s="372" t="s">
        <v>1070</v>
      </c>
    </row>
    <row r="237" spans="1:10" s="1" customFormat="1" ht="26.25" customHeight="1" thickBot="1">
      <c r="B237" s="374" t="s">
        <v>1258</v>
      </c>
      <c r="C237" s="374" t="s">
        <v>1259</v>
      </c>
      <c r="D237" s="398" t="s">
        <v>1260</v>
      </c>
      <c r="E237" s="391" t="s">
        <v>1261</v>
      </c>
      <c r="F237" s="372" t="s">
        <v>1262</v>
      </c>
      <c r="G237" s="396"/>
      <c r="H237" s="372" t="s">
        <v>1263</v>
      </c>
      <c r="I237" s="396"/>
      <c r="J237" s="392" t="s">
        <v>1060</v>
      </c>
    </row>
    <row r="238" spans="1:10" s="1" customFormat="1" ht="26.25" customHeight="1" thickBot="1">
      <c r="A238" s="371"/>
      <c r="B238" s="374" t="s">
        <v>1264</v>
      </c>
      <c r="C238" s="375" t="s">
        <v>1265</v>
      </c>
      <c r="D238" s="208" t="s">
        <v>1023</v>
      </c>
      <c r="E238" s="391" t="s">
        <v>1266</v>
      </c>
      <c r="F238" s="391" t="s">
        <v>1277</v>
      </c>
      <c r="G238" s="394" t="s">
        <v>1267</v>
      </c>
      <c r="H238" s="393"/>
      <c r="I238" s="393"/>
      <c r="J238" s="392" t="s">
        <v>1134</v>
      </c>
    </row>
    <row r="239" spans="1:10" s="364" customFormat="1" ht="26.25" customHeight="1" thickBot="1">
      <c r="B239" s="374" t="s">
        <v>1268</v>
      </c>
      <c r="C239" s="375" t="s">
        <v>1270</v>
      </c>
      <c r="D239" s="208" t="s">
        <v>1023</v>
      </c>
      <c r="E239" s="208" t="s">
        <v>1269</v>
      </c>
      <c r="F239" s="396"/>
      <c r="G239" s="396"/>
      <c r="H239" s="396"/>
      <c r="I239" s="396"/>
      <c r="J239" s="397" t="s">
        <v>439</v>
      </c>
    </row>
    <row r="240" spans="1:10" s="364" customFormat="1" ht="26.25" customHeight="1" thickBot="1">
      <c r="B240" s="374" t="s">
        <v>1271</v>
      </c>
      <c r="C240" s="375" t="s">
        <v>1272</v>
      </c>
      <c r="D240" s="208" t="s">
        <v>1023</v>
      </c>
      <c r="E240" s="208" t="s">
        <v>1273</v>
      </c>
      <c r="F240" s="374" t="s">
        <v>1274</v>
      </c>
      <c r="G240" s="399" t="s">
        <v>1275</v>
      </c>
      <c r="H240" s="374" t="s">
        <v>1276</v>
      </c>
      <c r="I240" s="396"/>
      <c r="J240" s="397" t="s">
        <v>439</v>
      </c>
    </row>
    <row r="241" spans="2:10" s="364" customFormat="1" ht="26.25" customHeight="1">
      <c r="B241" s="374" t="s">
        <v>1278</v>
      </c>
      <c r="C241" s="374" t="s">
        <v>1279</v>
      </c>
      <c r="D241" s="208" t="s">
        <v>1023</v>
      </c>
      <c r="E241" s="208" t="s">
        <v>1280</v>
      </c>
      <c r="F241" s="393"/>
      <c r="G241" s="393"/>
      <c r="H241" s="393"/>
      <c r="I241" s="393"/>
      <c r="J241" s="397" t="s">
        <v>1100</v>
      </c>
    </row>
    <row r="242" spans="2:10" s="1" customFormat="1" ht="26.25" customHeight="1">
      <c r="B242" s="226"/>
      <c r="C242" s="227"/>
      <c r="D242" s="227"/>
      <c r="E242" s="227"/>
      <c r="F242" s="226"/>
      <c r="G242" s="228"/>
      <c r="H242" s="226"/>
      <c r="I242" s="226"/>
      <c r="J242" s="231"/>
    </row>
    <row r="243" spans="2:10" s="1" customFormat="1" ht="26.25" customHeight="1">
      <c r="B243" s="226"/>
      <c r="C243" s="227"/>
      <c r="D243" s="227"/>
      <c r="E243" s="227"/>
      <c r="F243" s="226"/>
      <c r="G243" s="228"/>
      <c r="H243" s="226"/>
      <c r="I243" s="226"/>
      <c r="J243" s="231"/>
    </row>
    <row r="244" spans="2:10" s="1" customFormat="1" ht="26.25" customHeight="1">
      <c r="B244" s="226"/>
      <c r="C244" s="226"/>
      <c r="D244" s="227"/>
      <c r="E244" s="227"/>
      <c r="F244" s="226"/>
      <c r="G244" s="228"/>
      <c r="H244" s="226"/>
      <c r="I244" s="226"/>
      <c r="J244" s="231"/>
    </row>
    <row r="245" spans="2:10" s="1" customFormat="1" ht="26.25" hidden="1" customHeight="1">
      <c r="B245" s="226"/>
      <c r="C245" s="227"/>
      <c r="D245" s="227"/>
      <c r="E245" s="227"/>
      <c r="F245" s="226"/>
      <c r="G245" s="228"/>
      <c r="H245" s="226"/>
      <c r="I245" s="226"/>
      <c r="J245" s="231"/>
    </row>
    <row r="246" spans="2:10" s="1" customFormat="1" ht="26.25" customHeight="1">
      <c r="B246" s="226"/>
      <c r="C246" s="227"/>
      <c r="D246" s="227"/>
      <c r="E246" s="227"/>
      <c r="F246" s="226"/>
      <c r="G246" s="228"/>
      <c r="H246" s="226"/>
      <c r="I246" s="226"/>
      <c r="J246" s="231"/>
    </row>
    <row r="247" spans="2:10" s="1" customFormat="1" ht="26.25" customHeight="1">
      <c r="B247" s="226"/>
      <c r="C247" s="227"/>
      <c r="D247" s="227"/>
      <c r="E247" s="227"/>
      <c r="F247" s="226"/>
      <c r="G247" s="228"/>
      <c r="H247" s="226"/>
      <c r="I247" s="226"/>
      <c r="J247" s="231"/>
    </row>
    <row r="248" spans="2:10" s="1" customFormat="1" ht="26.25" customHeight="1">
      <c r="B248" s="226"/>
      <c r="C248" s="226"/>
      <c r="D248" s="227"/>
      <c r="E248" s="227"/>
      <c r="F248" s="226"/>
      <c r="G248" s="228"/>
      <c r="H248" s="226"/>
      <c r="I248" s="226"/>
      <c r="J248" s="231"/>
    </row>
    <row r="249" spans="2:10" s="1" customFormat="1" ht="26.25" customHeight="1">
      <c r="B249" s="232"/>
      <c r="C249" s="232"/>
      <c r="D249" s="232"/>
      <c r="E249" s="232"/>
      <c r="F249" s="233"/>
      <c r="G249" s="234"/>
      <c r="H249" s="235"/>
      <c r="I249" s="232"/>
      <c r="J249" s="236"/>
    </row>
    <row r="250" spans="2:10" s="1" customFormat="1" ht="26.25" hidden="1" customHeight="1">
      <c r="B250" s="232"/>
      <c r="C250" s="232"/>
      <c r="D250" s="237"/>
      <c r="E250" s="237"/>
      <c r="F250" s="232"/>
      <c r="G250" s="234"/>
      <c r="H250" s="235"/>
      <c r="I250" s="232"/>
      <c r="J250" s="238"/>
    </row>
    <row r="251" spans="2:10" s="1" customFormat="1" ht="26.25" hidden="1" customHeight="1">
      <c r="B251" s="232"/>
      <c r="C251" s="232"/>
      <c r="D251" s="237"/>
      <c r="E251" s="237"/>
      <c r="F251" s="232"/>
      <c r="G251" s="234"/>
      <c r="H251" s="235"/>
      <c r="I251" s="232"/>
      <c r="J251" s="238"/>
    </row>
    <row r="252" spans="2:10" s="1" customFormat="1" ht="26.25" hidden="1" customHeight="1">
      <c r="B252" s="232"/>
      <c r="C252" s="232"/>
      <c r="D252" s="237"/>
      <c r="E252" s="237"/>
      <c r="F252" s="232"/>
      <c r="G252" s="234"/>
      <c r="H252" s="235"/>
      <c r="I252" s="232"/>
      <c r="J252" s="238"/>
    </row>
    <row r="253" spans="2:10" s="1" customFormat="1" ht="26.25" hidden="1" customHeight="1">
      <c r="B253" s="232"/>
      <c r="C253" s="232"/>
      <c r="D253" s="237"/>
      <c r="E253" s="237"/>
      <c r="F253" s="232"/>
      <c r="G253" s="234"/>
      <c r="H253" s="235"/>
      <c r="I253" s="232"/>
      <c r="J253" s="238"/>
    </row>
    <row r="254" spans="2:10" s="1" customFormat="1" ht="26.25" hidden="1" customHeight="1">
      <c r="B254" s="232"/>
      <c r="C254" s="232"/>
      <c r="D254" s="237"/>
      <c r="E254" s="237"/>
      <c r="F254" s="232"/>
      <c r="G254" s="234"/>
      <c r="H254" s="235"/>
      <c r="I254" s="232"/>
      <c r="J254" s="238"/>
    </row>
    <row r="255" spans="2:10" s="1" customFormat="1" ht="26.25" customHeight="1">
      <c r="B255" s="232"/>
      <c r="C255" s="232"/>
      <c r="D255" s="237"/>
      <c r="E255" s="237"/>
      <c r="F255" s="232"/>
      <c r="G255" s="234"/>
      <c r="H255" s="235"/>
      <c r="I255" s="232"/>
      <c r="J255" s="238"/>
    </row>
    <row r="256" spans="2:10" s="1" customFormat="1" ht="26.25" customHeight="1">
      <c r="B256" s="232"/>
      <c r="C256" s="232"/>
      <c r="D256" s="237"/>
      <c r="E256" s="237"/>
      <c r="F256" s="232"/>
      <c r="G256" s="234"/>
      <c r="H256" s="235"/>
      <c r="I256" s="232"/>
      <c r="J256" s="238"/>
    </row>
    <row r="257" spans="2:10" s="1" customFormat="1" ht="26.25" hidden="1" customHeight="1">
      <c r="B257" s="232"/>
      <c r="C257" s="232"/>
      <c r="D257" s="237"/>
      <c r="E257" s="237"/>
      <c r="F257" s="232"/>
      <c r="G257" s="234"/>
      <c r="H257" s="235"/>
      <c r="I257" s="232"/>
      <c r="J257" s="238"/>
    </row>
    <row r="258" spans="2:10" s="1" customFormat="1" ht="26.25" hidden="1" customHeight="1">
      <c r="B258" s="232"/>
      <c r="C258" s="232"/>
      <c r="D258" s="237"/>
      <c r="E258" s="237"/>
      <c r="F258" s="232"/>
      <c r="G258" s="234"/>
      <c r="H258" s="235"/>
      <c r="I258" s="232"/>
      <c r="J258" s="238"/>
    </row>
    <row r="259" spans="2:10" s="1" customFormat="1" ht="26.25" hidden="1" customHeight="1">
      <c r="B259" s="232"/>
      <c r="C259" s="232"/>
      <c r="D259" s="237"/>
      <c r="E259" s="237"/>
      <c r="F259" s="232"/>
      <c r="G259" s="234"/>
      <c r="H259" s="235"/>
      <c r="I259" s="232"/>
      <c r="J259" s="238"/>
    </row>
    <row r="260" spans="2:10" s="1" customFormat="1" ht="26.25" hidden="1" customHeight="1">
      <c r="B260" s="232"/>
      <c r="C260" s="232"/>
      <c r="D260" s="237"/>
      <c r="E260" s="237"/>
      <c r="F260" s="232"/>
      <c r="G260" s="234"/>
      <c r="H260" s="235"/>
      <c r="I260" s="232"/>
      <c r="J260" s="238"/>
    </row>
    <row r="261" spans="2:10" s="1" customFormat="1" ht="26.25" customHeight="1">
      <c r="B261" s="232"/>
      <c r="C261" s="232"/>
      <c r="D261" s="237"/>
      <c r="E261" s="237"/>
      <c r="F261" s="232"/>
      <c r="G261" s="234"/>
      <c r="H261" s="235"/>
      <c r="I261" s="232"/>
      <c r="J261" s="238"/>
    </row>
    <row r="262" spans="2:10" s="1" customFormat="1" ht="26.25" hidden="1" customHeight="1">
      <c r="B262" s="203"/>
      <c r="C262" s="203"/>
      <c r="D262" s="208"/>
      <c r="E262" s="208"/>
      <c r="F262" s="203"/>
      <c r="G262" s="218"/>
      <c r="H262" s="204"/>
      <c r="I262" s="203"/>
      <c r="J262" s="224"/>
    </row>
    <row r="263" spans="2:10" s="1" customFormat="1" ht="26.25" customHeight="1">
      <c r="B263" s="203"/>
      <c r="C263" s="203"/>
      <c r="D263" s="208"/>
      <c r="E263" s="208"/>
      <c r="F263" s="203"/>
      <c r="G263" s="218"/>
      <c r="H263" s="204"/>
      <c r="I263" s="203"/>
      <c r="J263" s="224"/>
    </row>
    <row r="264" spans="2:10" s="1" customFormat="1" ht="26.25" customHeight="1">
      <c r="B264" s="203"/>
      <c r="C264" s="203"/>
      <c r="D264" s="208"/>
      <c r="E264" s="208"/>
      <c r="F264" s="203"/>
      <c r="G264" s="218"/>
      <c r="H264" s="204"/>
      <c r="I264" s="203"/>
      <c r="J264" s="224"/>
    </row>
    <row r="265" spans="2:10" s="1" customFormat="1" ht="26.25" customHeight="1">
      <c r="B265" s="203"/>
      <c r="C265" s="203"/>
      <c r="D265" s="208"/>
      <c r="E265" s="208"/>
      <c r="F265" s="203"/>
      <c r="G265" s="218"/>
      <c r="H265" s="204"/>
      <c r="I265" s="203"/>
      <c r="J265" s="224"/>
    </row>
    <row r="266" spans="2:10" s="1" customFormat="1" ht="26.25" hidden="1" customHeight="1">
      <c r="B266" s="203"/>
      <c r="C266" s="203"/>
      <c r="D266" s="208"/>
      <c r="E266" s="208"/>
      <c r="F266" s="203"/>
      <c r="G266" s="218"/>
      <c r="H266" s="204"/>
      <c r="I266" s="203"/>
      <c r="J266" s="224"/>
    </row>
    <row r="267" spans="2:10" s="1" customFormat="1" ht="26.25" customHeight="1">
      <c r="B267" s="203"/>
      <c r="C267" s="203"/>
      <c r="D267" s="208"/>
      <c r="E267" s="208"/>
      <c r="F267" s="203"/>
      <c r="G267" s="218"/>
      <c r="H267" s="204"/>
      <c r="I267" s="203"/>
      <c r="J267" s="224"/>
    </row>
    <row r="268" spans="2:10" s="1" customFormat="1" ht="26.25" customHeight="1">
      <c r="B268" s="203"/>
      <c r="C268" s="203"/>
      <c r="D268" s="208"/>
      <c r="E268" s="208"/>
      <c r="F268" s="203"/>
      <c r="G268" s="218"/>
      <c r="H268" s="204"/>
      <c r="I268" s="203"/>
      <c r="J268" s="224"/>
    </row>
    <row r="269" spans="2:10" s="1" customFormat="1" ht="26.25" customHeight="1">
      <c r="B269" s="203"/>
      <c r="C269" s="203"/>
      <c r="D269" s="208"/>
      <c r="E269" s="208"/>
      <c r="F269" s="203"/>
      <c r="G269" s="218"/>
      <c r="H269" s="204"/>
      <c r="I269" s="203"/>
      <c r="J269" s="224"/>
    </row>
    <row r="270" spans="2:10" s="1" customFormat="1" ht="26.25" customHeight="1">
      <c r="B270" s="203"/>
      <c r="C270" s="203"/>
      <c r="D270" s="208"/>
      <c r="E270" s="208"/>
      <c r="F270" s="203"/>
      <c r="G270" s="218"/>
      <c r="H270" s="204"/>
      <c r="I270" s="203"/>
      <c r="J270" s="224"/>
    </row>
    <row r="271" spans="2:10" s="1" customFormat="1" ht="26.25" customHeight="1">
      <c r="B271" s="203"/>
      <c r="C271" s="203"/>
      <c r="D271" s="208"/>
      <c r="E271" s="208"/>
      <c r="F271" s="203"/>
      <c r="G271" s="218"/>
      <c r="H271" s="204"/>
      <c r="I271" s="203"/>
      <c r="J271" s="224"/>
    </row>
    <row r="272" spans="2:10" s="1" customFormat="1" ht="26.25" customHeight="1">
      <c r="B272" s="203"/>
      <c r="C272" s="203"/>
      <c r="D272" s="208"/>
      <c r="E272" s="208"/>
      <c r="F272" s="203"/>
      <c r="G272" s="218"/>
      <c r="H272" s="204"/>
      <c r="I272" s="203"/>
      <c r="J272" s="224"/>
    </row>
    <row r="273" spans="2:10" s="1" customFormat="1" ht="26.25" customHeight="1">
      <c r="B273" s="203"/>
      <c r="C273" s="203"/>
      <c r="D273" s="208"/>
      <c r="E273" s="208"/>
      <c r="F273" s="203"/>
      <c r="G273" s="218"/>
      <c r="H273" s="204"/>
      <c r="I273" s="203"/>
      <c r="J273" s="224"/>
    </row>
    <row r="274" spans="2:10" s="1" customFormat="1" ht="26.25" customHeight="1">
      <c r="B274" s="203"/>
      <c r="C274" s="203"/>
      <c r="D274" s="208"/>
      <c r="E274" s="208"/>
      <c r="F274" s="203"/>
      <c r="G274" s="218"/>
      <c r="H274" s="204"/>
      <c r="I274" s="203"/>
      <c r="J274" s="224"/>
    </row>
    <row r="275" spans="2:10" s="1" customFormat="1" ht="26.25" customHeight="1">
      <c r="B275" s="203"/>
      <c r="C275" s="203"/>
      <c r="D275" s="208"/>
      <c r="E275" s="208"/>
      <c r="F275" s="203"/>
      <c r="G275" s="218"/>
      <c r="H275" s="204"/>
      <c r="I275" s="203"/>
      <c r="J275" s="224"/>
    </row>
    <row r="276" spans="2:10" s="1" customFormat="1" ht="26.25" customHeight="1">
      <c r="B276" s="203"/>
      <c r="C276" s="203"/>
      <c r="D276" s="208"/>
      <c r="E276" s="208"/>
      <c r="F276" s="203"/>
      <c r="G276" s="218"/>
      <c r="H276" s="204"/>
      <c r="I276" s="203"/>
      <c r="J276" s="224"/>
    </row>
    <row r="277" spans="2:10" s="1" customFormat="1" ht="26.25" customHeight="1">
      <c r="B277" s="203"/>
      <c r="C277" s="203"/>
      <c r="D277" s="208"/>
      <c r="E277" s="208"/>
      <c r="F277" s="203"/>
      <c r="G277" s="218"/>
      <c r="H277" s="204"/>
      <c r="I277" s="203"/>
      <c r="J277" s="224"/>
    </row>
    <row r="278" spans="2:10" s="1" customFormat="1" ht="26.25" customHeight="1">
      <c r="B278" s="203"/>
      <c r="C278" s="203"/>
      <c r="D278" s="203"/>
      <c r="E278" s="203"/>
      <c r="F278" s="216"/>
      <c r="G278" s="218"/>
      <c r="H278" s="204"/>
      <c r="I278" s="203"/>
      <c r="J278" s="203"/>
    </row>
    <row r="279" spans="2:10" s="1" customFormat="1" ht="26.25" customHeight="1">
      <c r="B279" s="203"/>
      <c r="C279" s="203"/>
      <c r="D279" s="208"/>
      <c r="E279" s="210"/>
      <c r="F279" s="203"/>
      <c r="G279" s="218"/>
      <c r="H279" s="204"/>
      <c r="I279" s="203"/>
      <c r="J279" s="224"/>
    </row>
    <row r="280" spans="2:10" s="1" customFormat="1" ht="26.25" customHeight="1">
      <c r="B280" s="203"/>
      <c r="C280" s="203"/>
      <c r="D280" s="208"/>
      <c r="E280" s="207"/>
      <c r="F280" s="213"/>
      <c r="G280" s="218"/>
      <c r="H280" s="204"/>
      <c r="I280" s="203"/>
      <c r="J280" s="224"/>
    </row>
    <row r="281" spans="2:10" s="1" customFormat="1" ht="20.25">
      <c r="B281" s="203"/>
      <c r="C281" s="203"/>
      <c r="D281" s="208"/>
      <c r="E281" s="211"/>
      <c r="F281" s="213"/>
      <c r="G281" s="218"/>
      <c r="H281" s="204"/>
      <c r="I281" s="203"/>
      <c r="J281" s="224"/>
    </row>
    <row r="282" spans="2:10" s="1" customFormat="1" ht="26.25" customHeight="1">
      <c r="B282" s="203"/>
      <c r="C282" s="203"/>
      <c r="D282" s="207"/>
      <c r="E282" s="207"/>
      <c r="F282" s="203"/>
      <c r="G282" s="218"/>
      <c r="H282" s="204"/>
      <c r="I282" s="203"/>
      <c r="J282" s="224"/>
    </row>
    <row r="283" spans="2:10" s="1" customFormat="1" ht="26.25" customHeight="1">
      <c r="B283" s="203"/>
      <c r="C283" s="203"/>
      <c r="D283" s="207"/>
      <c r="E283" s="207"/>
      <c r="F283" s="203"/>
      <c r="G283" s="219"/>
      <c r="H283" s="204"/>
      <c r="I283" s="203"/>
      <c r="J283" s="224"/>
    </row>
    <row r="284" spans="2:10" s="1" customFormat="1" ht="20.25">
      <c r="B284" s="203"/>
      <c r="C284" s="203"/>
      <c r="D284" s="207"/>
      <c r="E284" s="212"/>
      <c r="F284" s="203"/>
      <c r="G284" s="219"/>
      <c r="H284" s="204"/>
      <c r="I284" s="203"/>
      <c r="J284" s="224"/>
    </row>
    <row r="285" spans="2:10" s="1" customFormat="1" ht="26.25" customHeight="1">
      <c r="B285" s="203"/>
      <c r="C285" s="203"/>
      <c r="D285" s="207"/>
      <c r="E285" s="213"/>
      <c r="F285" s="203"/>
      <c r="G285" s="219"/>
      <c r="H285" s="204"/>
      <c r="I285" s="203"/>
      <c r="J285" s="224"/>
    </row>
    <row r="286" spans="2:10" s="1" customFormat="1" ht="26.25" customHeight="1">
      <c r="B286" s="203"/>
      <c r="C286" s="203"/>
      <c r="D286" s="207"/>
      <c r="E286" s="213"/>
      <c r="F286" s="203"/>
      <c r="G286" s="219"/>
      <c r="H286" s="204"/>
      <c r="I286" s="203"/>
      <c r="J286" s="224"/>
    </row>
    <row r="287" spans="2:10" s="1" customFormat="1" ht="26.25" customHeight="1">
      <c r="B287" s="203"/>
      <c r="C287" s="203"/>
      <c r="D287" s="207"/>
      <c r="E287" s="213"/>
      <c r="F287" s="213"/>
      <c r="G287" s="219"/>
      <c r="H287" s="204"/>
      <c r="I287" s="203"/>
      <c r="J287" s="224"/>
    </row>
    <row r="288" spans="2:10" s="1" customFormat="1" ht="26.25" customHeight="1">
      <c r="B288" s="203"/>
      <c r="C288" s="203"/>
      <c r="D288" s="207"/>
      <c r="E288" s="213"/>
      <c r="F288" s="203"/>
      <c r="G288" s="219"/>
      <c r="H288" s="204"/>
      <c r="I288" s="203"/>
      <c r="J288" s="224"/>
    </row>
    <row r="289" spans="2:10" s="1" customFormat="1" ht="26.25" customHeight="1">
      <c r="B289" s="203"/>
      <c r="C289" s="203"/>
      <c r="D289" s="207"/>
      <c r="E289" s="213"/>
      <c r="F289" s="203"/>
      <c r="G289" s="219"/>
      <c r="H289" s="204"/>
      <c r="I289" s="203"/>
      <c r="J289" s="224"/>
    </row>
    <row r="290" spans="2:10" s="1" customFormat="1" ht="26.25" customHeight="1">
      <c r="B290" s="203"/>
      <c r="C290" s="203"/>
      <c r="D290" s="207"/>
      <c r="E290" s="213"/>
      <c r="F290" s="203"/>
      <c r="G290" s="219"/>
      <c r="H290" s="204"/>
      <c r="I290" s="203"/>
      <c r="J290" s="224"/>
    </row>
    <row r="291" spans="2:10" s="1" customFormat="1" ht="26.25" customHeight="1">
      <c r="B291" s="203"/>
      <c r="C291" s="203"/>
      <c r="D291" s="207"/>
      <c r="E291" s="213"/>
      <c r="F291" s="203"/>
      <c r="G291" s="219"/>
      <c r="H291" s="204"/>
      <c r="I291" s="203"/>
      <c r="J291" s="224"/>
    </row>
    <row r="292" spans="2:10" s="1" customFormat="1" ht="26.25" customHeight="1">
      <c r="B292" s="203"/>
      <c r="C292" s="203"/>
      <c r="D292" s="207"/>
      <c r="E292" s="207"/>
      <c r="F292" s="203"/>
      <c r="G292" s="218"/>
      <c r="H292" s="204"/>
      <c r="I292" s="203"/>
      <c r="J292" s="224"/>
    </row>
    <row r="293" spans="2:10" s="1" customFormat="1" ht="26.25" customHeight="1">
      <c r="B293" s="203"/>
      <c r="C293" s="203"/>
      <c r="D293" s="203"/>
      <c r="E293" s="203"/>
      <c r="F293" s="216"/>
      <c r="G293" s="218"/>
      <c r="H293" s="204"/>
      <c r="I293" s="203"/>
      <c r="J293" s="203"/>
    </row>
    <row r="294" spans="2:10" s="1" customFormat="1" ht="26.25" customHeight="1">
      <c r="B294" s="203"/>
      <c r="C294" s="203"/>
      <c r="D294" s="208"/>
      <c r="E294" s="208"/>
      <c r="F294" s="203"/>
      <c r="G294" s="218"/>
      <c r="H294" s="204"/>
      <c r="I294" s="203"/>
      <c r="J294" s="224"/>
    </row>
    <row r="295" spans="2:10" s="1" customFormat="1" ht="26.25" customHeight="1">
      <c r="B295" s="203"/>
      <c r="C295" s="203"/>
      <c r="D295" s="208"/>
      <c r="E295" s="208"/>
      <c r="F295" s="203"/>
      <c r="G295" s="218"/>
      <c r="H295" s="204"/>
      <c r="I295" s="203"/>
      <c r="J295" s="224"/>
    </row>
    <row r="296" spans="2:10" s="1" customFormat="1" ht="26.25" customHeight="1">
      <c r="B296" s="203"/>
      <c r="C296" s="203"/>
      <c r="D296" s="208"/>
      <c r="E296" s="208"/>
      <c r="F296" s="203"/>
      <c r="G296" s="218"/>
      <c r="H296" s="204"/>
      <c r="I296" s="203"/>
      <c r="J296" s="224"/>
    </row>
    <row r="297" spans="2:10" s="1" customFormat="1" ht="26.25" customHeight="1">
      <c r="B297" s="203"/>
      <c r="C297" s="203"/>
      <c r="D297" s="208"/>
      <c r="E297" s="208"/>
      <c r="F297" s="203"/>
      <c r="G297" s="218"/>
      <c r="H297" s="204"/>
      <c r="I297" s="203"/>
      <c r="J297" s="224"/>
    </row>
    <row r="298" spans="2:10" s="1" customFormat="1" ht="26.25" customHeight="1">
      <c r="B298" s="203"/>
      <c r="C298" s="203"/>
      <c r="D298" s="208"/>
      <c r="E298" s="208"/>
      <c r="F298" s="203"/>
      <c r="G298" s="218"/>
      <c r="H298" s="204"/>
      <c r="I298" s="203"/>
      <c r="J298" s="224"/>
    </row>
    <row r="299" spans="2:10" s="1" customFormat="1" ht="26.25" customHeight="1">
      <c r="B299" s="204"/>
      <c r="C299" s="207"/>
      <c r="D299" s="208"/>
      <c r="E299" s="208"/>
      <c r="F299" s="203"/>
      <c r="G299" s="218"/>
      <c r="H299" s="204"/>
      <c r="I299" s="203"/>
      <c r="J299" s="223"/>
    </row>
    <row r="300" spans="2:10" s="1" customFormat="1" ht="26.25" customHeight="1">
      <c r="B300" s="203"/>
      <c r="C300" s="203"/>
      <c r="D300" s="208"/>
      <c r="E300" s="208"/>
      <c r="F300" s="203"/>
      <c r="G300" s="218"/>
      <c r="H300" s="204"/>
      <c r="I300" s="203"/>
      <c r="J300" s="223"/>
    </row>
    <row r="301" spans="2:10" s="1" customFormat="1" ht="26.25" customHeight="1">
      <c r="B301" s="203"/>
      <c r="C301" s="203"/>
      <c r="D301" s="208"/>
      <c r="E301" s="208"/>
      <c r="F301" s="203"/>
      <c r="G301" s="218"/>
      <c r="H301" s="204"/>
      <c r="I301" s="203"/>
      <c r="J301" s="223"/>
    </row>
    <row r="302" spans="2:10" s="1" customFormat="1" ht="26.25" customHeight="1">
      <c r="B302" s="203"/>
      <c r="C302" s="203"/>
      <c r="D302" s="208"/>
      <c r="E302" s="208"/>
      <c r="F302" s="203"/>
      <c r="G302" s="218"/>
      <c r="H302" s="204"/>
      <c r="I302" s="203"/>
      <c r="J302" s="223"/>
    </row>
    <row r="303" spans="2:10" s="1" customFormat="1" ht="26.25" customHeight="1">
      <c r="B303" s="203"/>
      <c r="C303" s="207"/>
      <c r="D303" s="208"/>
      <c r="E303" s="208"/>
      <c r="F303" s="203"/>
      <c r="G303" s="218"/>
      <c r="H303" s="204"/>
      <c r="I303" s="203"/>
      <c r="J303" s="223"/>
    </row>
    <row r="304" spans="2:10" s="1" customFormat="1" ht="26.25" customHeight="1">
      <c r="B304" s="203"/>
      <c r="C304" s="203"/>
      <c r="D304" s="208"/>
      <c r="E304" s="208"/>
      <c r="F304" s="203"/>
      <c r="G304" s="218"/>
      <c r="H304" s="204"/>
      <c r="I304" s="203"/>
      <c r="J304" s="223"/>
    </row>
    <row r="305" spans="2:10" s="1" customFormat="1" ht="26.25" customHeight="1">
      <c r="B305" s="203"/>
      <c r="C305" s="203"/>
      <c r="D305" s="208"/>
      <c r="E305" s="208"/>
      <c r="F305" s="203"/>
      <c r="G305" s="218"/>
      <c r="H305" s="204"/>
      <c r="I305" s="203"/>
      <c r="J305" s="223"/>
    </row>
    <row r="306" spans="2:10" s="1" customFormat="1" ht="26.25" customHeight="1">
      <c r="B306" s="203"/>
      <c r="C306" s="203"/>
      <c r="D306" s="208"/>
      <c r="E306" s="208"/>
      <c r="F306" s="203"/>
      <c r="G306" s="218"/>
      <c r="H306" s="204"/>
      <c r="I306" s="203"/>
      <c r="J306" s="223"/>
    </row>
    <row r="307" spans="2:10" s="1" customFormat="1" ht="26.25" customHeight="1">
      <c r="B307" s="203"/>
      <c r="C307" s="203"/>
      <c r="D307" s="208"/>
      <c r="E307" s="208"/>
      <c r="F307" s="203"/>
      <c r="G307" s="218"/>
      <c r="H307" s="204"/>
      <c r="I307" s="203"/>
      <c r="J307" s="223"/>
    </row>
    <row r="308" spans="2:10" s="1" customFormat="1" ht="26.25" customHeight="1">
      <c r="B308" s="203"/>
      <c r="C308" s="203"/>
      <c r="D308" s="208"/>
      <c r="E308" s="208"/>
      <c r="F308" s="203"/>
      <c r="G308" s="218"/>
      <c r="H308" s="204"/>
      <c r="I308" s="203"/>
      <c r="J308" s="223"/>
    </row>
    <row r="309" spans="2:10" s="1" customFormat="1" ht="26.25" customHeight="1" thickBot="1">
      <c r="B309" s="205"/>
      <c r="C309" s="205"/>
      <c r="D309" s="209"/>
      <c r="E309" s="209"/>
      <c r="F309" s="205"/>
      <c r="G309" s="220"/>
      <c r="H309" s="221"/>
      <c r="I309" s="205"/>
      <c r="J309" s="225"/>
    </row>
    <row r="310" spans="2:10" s="1" customFormat="1" ht="12" customHeight="1" thickBot="1">
      <c r="B310" s="202"/>
      <c r="C310" s="206"/>
      <c r="D310" s="206"/>
      <c r="E310" s="206"/>
      <c r="F310" s="215"/>
      <c r="G310" s="217"/>
      <c r="H310" s="215"/>
      <c r="I310" s="215"/>
      <c r="J310" s="222"/>
    </row>
    <row r="311" spans="2:10" ht="7.5" customHeight="1" thickTop="1">
      <c r="B311" s="119"/>
      <c r="C311" s="119"/>
      <c r="E311" s="119"/>
      <c r="F311" s="119"/>
      <c r="G311" s="119"/>
      <c r="H311" s="119"/>
      <c r="I311" s="119"/>
      <c r="J311" s="201"/>
    </row>
  </sheetData>
  <mergeCells count="3">
    <mergeCell ref="I2:I3"/>
    <mergeCell ref="J2:J3"/>
    <mergeCell ref="E7:I7"/>
  </mergeCells>
  <phoneticPr fontId="22" type="noConversion"/>
  <printOptions horizontalCentered="1" verticalCentered="1"/>
  <pageMargins left="0" right="0" top="0" bottom="0" header="0.51181102362204722" footer="0.51181102362204722"/>
  <pageSetup paperSize="9" scale="48"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C1EDD-6B55-40C2-9249-D0060C6F7163}">
  <sheetPr codeName="Feuil4">
    <pageSetUpPr fitToPage="1"/>
  </sheetPr>
  <dimension ref="A1:J57"/>
  <sheetViews>
    <sheetView topLeftCell="A52" workbookViewId="0">
      <selection activeCell="C39" sqref="C39"/>
    </sheetView>
  </sheetViews>
  <sheetFormatPr baseColWidth="10" defaultRowHeight="12.75"/>
  <cols>
    <col min="1" max="1" width="0.42578125" customWidth="1"/>
    <col min="3" max="3" width="84.42578125" customWidth="1"/>
    <col min="4" max="4" width="39" customWidth="1"/>
    <col min="10" max="10" width="27" bestFit="1" customWidth="1"/>
  </cols>
  <sheetData>
    <row r="1" spans="2:10" s="20" customFormat="1" ht="18.75" customHeight="1">
      <c r="D1" s="119"/>
      <c r="J1" s="61"/>
    </row>
    <row r="2" spans="2:10" s="20" customFormat="1">
      <c r="D2" s="119"/>
      <c r="I2" s="1080"/>
      <c r="J2" s="1078"/>
    </row>
    <row r="3" spans="2:10" s="20" customFormat="1" ht="10.5" customHeight="1">
      <c r="D3" s="119"/>
      <c r="I3" s="1080"/>
      <c r="J3" s="1079"/>
    </row>
    <row r="4" spans="2:10" s="20" customFormat="1" ht="13.5" thickBot="1">
      <c r="D4" s="119"/>
      <c r="J4" s="61"/>
    </row>
    <row r="5" spans="2:10" s="336" customFormat="1" ht="21.75" thickTop="1" thickBot="1">
      <c r="B5" s="331" t="s">
        <v>1287</v>
      </c>
      <c r="C5" s="332"/>
      <c r="D5" s="333"/>
      <c r="E5" s="332"/>
      <c r="F5" s="334"/>
      <c r="G5" s="334"/>
      <c r="H5" s="334"/>
      <c r="I5" s="334"/>
      <c r="J5" s="335"/>
    </row>
    <row r="6" spans="2:10" s="20" customFormat="1" ht="17.25" thickTop="1" thickBot="1">
      <c r="B6" s="26"/>
      <c r="C6" s="26"/>
      <c r="D6" s="121"/>
      <c r="E6" s="26"/>
      <c r="F6" s="27"/>
      <c r="G6" s="27"/>
      <c r="H6" s="27"/>
      <c r="I6" s="27"/>
      <c r="J6" s="63"/>
    </row>
    <row r="7" spans="2:10" s="20" customFormat="1" ht="16.5" customHeight="1" thickBot="1">
      <c r="B7" s="26"/>
      <c r="C7" s="26"/>
      <c r="D7" s="121"/>
      <c r="E7" s="1083" t="s">
        <v>1026</v>
      </c>
      <c r="F7" s="1084"/>
      <c r="G7" s="1084"/>
      <c r="H7" s="1084"/>
      <c r="I7" s="1085"/>
      <c r="J7" s="63"/>
    </row>
    <row r="8" spans="2:10" s="330" customFormat="1" ht="19.5" customHeight="1" thickBot="1">
      <c r="B8" s="327" t="s">
        <v>992</v>
      </c>
      <c r="C8" s="327" t="s">
        <v>993</v>
      </c>
      <c r="D8" s="327" t="s">
        <v>994</v>
      </c>
      <c r="E8" s="327" t="s">
        <v>0</v>
      </c>
      <c r="F8" s="327" t="s">
        <v>1</v>
      </c>
      <c r="G8" s="327" t="s">
        <v>995</v>
      </c>
      <c r="H8" s="328" t="s">
        <v>996</v>
      </c>
      <c r="I8" s="329" t="s">
        <v>997</v>
      </c>
      <c r="J8" s="327" t="s">
        <v>4</v>
      </c>
    </row>
    <row r="9" spans="2:10" s="1" customFormat="1" ht="26.25" customHeight="1" thickBot="1">
      <c r="B9" s="315" t="s">
        <v>1281</v>
      </c>
      <c r="C9" s="316" t="s">
        <v>1283</v>
      </c>
      <c r="D9" s="317" t="s">
        <v>1066</v>
      </c>
      <c r="E9" s="343"/>
      <c r="F9" s="344"/>
      <c r="G9" s="344"/>
      <c r="H9" s="344"/>
      <c r="I9" s="337" t="s">
        <v>1284</v>
      </c>
      <c r="J9" s="279" t="s">
        <v>1070</v>
      </c>
    </row>
    <row r="10" spans="2:10" s="1" customFormat="1" ht="26.25" customHeight="1" thickBot="1">
      <c r="B10" s="261" t="s">
        <v>1282</v>
      </c>
      <c r="C10" s="239" t="s">
        <v>1286</v>
      </c>
      <c r="D10" s="317" t="s">
        <v>1066</v>
      </c>
      <c r="E10" s="345"/>
      <c r="F10" s="346"/>
      <c r="G10" s="346"/>
      <c r="H10" s="346"/>
      <c r="I10" s="340" t="s">
        <v>1285</v>
      </c>
      <c r="J10" s="280" t="s">
        <v>1070</v>
      </c>
    </row>
    <row r="11" spans="2:10" s="1" customFormat="1" ht="26.25" customHeight="1" thickBot="1">
      <c r="B11" s="318" t="s">
        <v>1288</v>
      </c>
      <c r="C11" s="287" t="s">
        <v>1289</v>
      </c>
      <c r="D11" s="400" t="s">
        <v>1290</v>
      </c>
      <c r="E11" s="311" t="s">
        <v>1291</v>
      </c>
      <c r="F11" s="311" t="s">
        <v>1312</v>
      </c>
      <c r="G11" s="401"/>
      <c r="H11" s="291" t="s">
        <v>1292</v>
      </c>
      <c r="I11" s="401"/>
      <c r="J11" s="355" t="s">
        <v>1100</v>
      </c>
    </row>
    <row r="12" spans="2:10" s="1" customFormat="1" ht="26.25" customHeight="1" thickBot="1">
      <c r="B12" s="318" t="s">
        <v>1293</v>
      </c>
      <c r="C12" s="287" t="s">
        <v>1294</v>
      </c>
      <c r="D12" s="400" t="s">
        <v>1295</v>
      </c>
      <c r="E12" s="311" t="s">
        <v>1296</v>
      </c>
      <c r="F12" s="311" t="s">
        <v>1297</v>
      </c>
      <c r="G12" s="311" t="s">
        <v>1298</v>
      </c>
      <c r="H12" s="401"/>
      <c r="I12" s="401"/>
      <c r="J12" s="355" t="s">
        <v>960</v>
      </c>
    </row>
    <row r="13" spans="2:10" s="1" customFormat="1" ht="26.25" customHeight="1" thickBot="1">
      <c r="B13" s="318" t="s">
        <v>1299</v>
      </c>
      <c r="C13" s="287" t="s">
        <v>1300</v>
      </c>
      <c r="D13" s="400" t="s">
        <v>1295</v>
      </c>
      <c r="E13" s="311" t="s">
        <v>1301</v>
      </c>
      <c r="F13" s="311" t="s">
        <v>1302</v>
      </c>
      <c r="G13" s="311" t="s">
        <v>1303</v>
      </c>
      <c r="H13" s="401"/>
      <c r="I13" s="401"/>
      <c r="J13" s="390" t="s">
        <v>1304</v>
      </c>
    </row>
    <row r="14" spans="2:10" s="1" customFormat="1" ht="26.25" customHeight="1" thickBot="1">
      <c r="B14" s="318" t="s">
        <v>1305</v>
      </c>
      <c r="C14" s="375" t="s">
        <v>1311</v>
      </c>
      <c r="D14" s="400" t="s">
        <v>1306</v>
      </c>
      <c r="E14" s="311" t="s">
        <v>1307</v>
      </c>
      <c r="F14" s="311" t="s">
        <v>1308</v>
      </c>
      <c r="G14" s="311" t="s">
        <v>1309</v>
      </c>
      <c r="H14" s="401"/>
      <c r="I14" s="401"/>
      <c r="J14" s="355" t="s">
        <v>1060</v>
      </c>
    </row>
    <row r="15" spans="2:10" s="1" customFormat="1" ht="26.25" customHeight="1" thickBot="1">
      <c r="B15" s="318" t="s">
        <v>1313</v>
      </c>
      <c r="C15" s="375" t="s">
        <v>1314</v>
      </c>
      <c r="D15" s="400" t="s">
        <v>1066</v>
      </c>
      <c r="E15" s="343"/>
      <c r="F15" s="344"/>
      <c r="G15" s="344"/>
      <c r="H15" s="344"/>
      <c r="I15" s="291" t="s">
        <v>1315</v>
      </c>
      <c r="J15" s="355" t="s">
        <v>1070</v>
      </c>
    </row>
    <row r="16" spans="2:10" s="1" customFormat="1" ht="26.25" customHeight="1" thickBot="1">
      <c r="B16" s="318" t="s">
        <v>1316</v>
      </c>
      <c r="C16" s="375" t="s">
        <v>1320</v>
      </c>
      <c r="D16" s="400" t="s">
        <v>1023</v>
      </c>
      <c r="E16" s="402" t="s">
        <v>1317</v>
      </c>
      <c r="F16" s="402" t="s">
        <v>1318</v>
      </c>
      <c r="G16" s="402" t="s">
        <v>1319</v>
      </c>
      <c r="H16" s="379"/>
      <c r="I16" s="379"/>
      <c r="J16" s="355" t="s">
        <v>960</v>
      </c>
    </row>
    <row r="17" spans="1:10" s="1" customFormat="1" ht="26.25" customHeight="1" thickBot="1">
      <c r="B17" s="318" t="s">
        <v>1321</v>
      </c>
      <c r="C17" s="375" t="s">
        <v>1324</v>
      </c>
      <c r="D17" s="400" t="s">
        <v>1066</v>
      </c>
      <c r="E17" s="343"/>
      <c r="F17" s="344"/>
      <c r="G17" s="344"/>
      <c r="H17" s="344"/>
      <c r="I17" s="291" t="s">
        <v>1322</v>
      </c>
      <c r="J17" s="355" t="s">
        <v>1069</v>
      </c>
    </row>
    <row r="18" spans="1:10" s="1" customFormat="1" ht="26.25" customHeight="1" thickBot="1">
      <c r="B18" s="318" t="s">
        <v>1323</v>
      </c>
      <c r="C18" s="375" t="s">
        <v>1325</v>
      </c>
      <c r="D18" s="400" t="s">
        <v>1326</v>
      </c>
      <c r="E18" s="343"/>
      <c r="F18" s="344"/>
      <c r="G18" s="344"/>
      <c r="H18" s="344"/>
      <c r="I18" s="291" t="s">
        <v>1327</v>
      </c>
      <c r="J18" s="355" t="s">
        <v>1070</v>
      </c>
    </row>
    <row r="19" spans="1:10" s="1" customFormat="1" ht="27.75" customHeight="1" thickBot="1">
      <c r="B19" s="318" t="s">
        <v>1328</v>
      </c>
      <c r="C19" s="375" t="s">
        <v>1329</v>
      </c>
      <c r="D19" s="400" t="s">
        <v>1330</v>
      </c>
      <c r="E19" s="402" t="s">
        <v>1331</v>
      </c>
      <c r="F19" s="404" t="s">
        <v>1332</v>
      </c>
      <c r="G19" s="404" t="s">
        <v>1333</v>
      </c>
      <c r="H19" s="379"/>
      <c r="I19" s="379"/>
      <c r="J19" s="355" t="s">
        <v>960</v>
      </c>
    </row>
    <row r="20" spans="1:10" s="1" customFormat="1" ht="27.75" customHeight="1" thickBot="1">
      <c r="B20" s="318" t="s">
        <v>1334</v>
      </c>
      <c r="C20" s="375" t="s">
        <v>1335</v>
      </c>
      <c r="D20" s="400" t="s">
        <v>1066</v>
      </c>
      <c r="E20" s="396"/>
      <c r="F20" s="379"/>
      <c r="G20" s="379"/>
      <c r="H20" s="379"/>
      <c r="I20" s="291" t="s">
        <v>1336</v>
      </c>
      <c r="J20" s="355" t="s">
        <v>1070</v>
      </c>
    </row>
    <row r="21" spans="1:10" s="1" customFormat="1" ht="27.75" customHeight="1" thickBot="1">
      <c r="B21" s="318" t="s">
        <v>1337</v>
      </c>
      <c r="C21" s="403" t="s">
        <v>1338</v>
      </c>
      <c r="D21" s="400" t="s">
        <v>1</v>
      </c>
      <c r="E21" s="402" t="s">
        <v>1339</v>
      </c>
      <c r="F21" s="404" t="s">
        <v>1340</v>
      </c>
      <c r="G21" s="379"/>
      <c r="H21" s="379"/>
      <c r="I21" s="379"/>
      <c r="J21" s="355" t="s">
        <v>1235</v>
      </c>
    </row>
    <row r="22" spans="1:10" s="1" customFormat="1" ht="27.75" customHeight="1" thickBot="1">
      <c r="B22" s="407" t="s">
        <v>1341</v>
      </c>
      <c r="C22" s="408" t="s">
        <v>1360</v>
      </c>
      <c r="D22" s="409" t="s">
        <v>1342</v>
      </c>
      <c r="E22" s="410" t="s">
        <v>1343</v>
      </c>
      <c r="F22" s="411" t="s">
        <v>1344</v>
      </c>
      <c r="G22" s="412"/>
      <c r="H22" s="412"/>
      <c r="I22" s="412"/>
      <c r="J22" s="413" t="s">
        <v>1060</v>
      </c>
    </row>
    <row r="23" spans="1:10" s="1" customFormat="1" ht="27.75" customHeight="1" thickBot="1">
      <c r="A23" s="420"/>
      <c r="B23" s="1086" t="s">
        <v>1345</v>
      </c>
      <c r="C23" s="421" t="s">
        <v>1426</v>
      </c>
      <c r="D23" s="422" t="s">
        <v>1361</v>
      </c>
      <c r="E23" s="1088" t="s">
        <v>1362</v>
      </c>
      <c r="F23" s="1090" t="s">
        <v>1363</v>
      </c>
      <c r="G23" s="379"/>
      <c r="H23" s="379"/>
      <c r="I23" s="379"/>
      <c r="J23" s="1092" t="s">
        <v>1235</v>
      </c>
    </row>
    <row r="24" spans="1:10" s="1" customFormat="1" ht="27.75" customHeight="1" thickBot="1">
      <c r="A24" s="423"/>
      <c r="B24" s="1087"/>
      <c r="C24" s="424" t="s">
        <v>1427</v>
      </c>
      <c r="D24" s="425" t="s">
        <v>1428</v>
      </c>
      <c r="E24" s="1089"/>
      <c r="F24" s="1091"/>
      <c r="G24" s="426"/>
      <c r="H24" s="426"/>
      <c r="I24" s="427"/>
      <c r="J24" s="1093"/>
    </row>
    <row r="25" spans="1:10" s="1" customFormat="1" ht="27.75" customHeight="1" thickBot="1">
      <c r="B25" s="414" t="s">
        <v>1346</v>
      </c>
      <c r="C25" s="415" t="s">
        <v>1347</v>
      </c>
      <c r="D25" s="416" t="s">
        <v>1376</v>
      </c>
      <c r="E25" s="417" t="s">
        <v>1377</v>
      </c>
      <c r="F25" s="418" t="s">
        <v>1378</v>
      </c>
      <c r="G25" s="418" t="s">
        <v>1379</v>
      </c>
      <c r="H25" s="406"/>
      <c r="I25" s="418" t="s">
        <v>1348</v>
      </c>
      <c r="J25" s="419" t="s">
        <v>1070</v>
      </c>
    </row>
    <row r="26" spans="1:10" s="1" customFormat="1" ht="27.75" customHeight="1" thickBot="1">
      <c r="B26" s="318" t="s">
        <v>1349</v>
      </c>
      <c r="C26" s="375" t="s">
        <v>1350</v>
      </c>
      <c r="D26" s="400" t="s">
        <v>1066</v>
      </c>
      <c r="E26" s="396"/>
      <c r="F26" s="379"/>
      <c r="G26" s="379"/>
      <c r="H26" s="379"/>
      <c r="I26" s="291" t="s">
        <v>1351</v>
      </c>
      <c r="J26" s="355" t="s">
        <v>1070</v>
      </c>
    </row>
    <row r="27" spans="1:10" s="1" customFormat="1" ht="27.75" customHeight="1" thickBot="1">
      <c r="B27" s="318" t="s">
        <v>1352</v>
      </c>
      <c r="C27" s="375" t="s">
        <v>1353</v>
      </c>
      <c r="D27" s="400" t="s">
        <v>1066</v>
      </c>
      <c r="E27" s="396"/>
      <c r="F27" s="379"/>
      <c r="G27" s="379"/>
      <c r="H27" s="379"/>
      <c r="I27" s="291" t="s">
        <v>1354</v>
      </c>
      <c r="J27" s="355" t="s">
        <v>1070</v>
      </c>
    </row>
    <row r="28" spans="1:10" s="1" customFormat="1" ht="27.75" customHeight="1" thickBot="1">
      <c r="B28" s="318" t="s">
        <v>1355</v>
      </c>
      <c r="C28" s="375" t="s">
        <v>1357</v>
      </c>
      <c r="D28" s="400" t="s">
        <v>1023</v>
      </c>
      <c r="E28" s="402" t="s">
        <v>1356</v>
      </c>
      <c r="F28" s="404" t="s">
        <v>1358</v>
      </c>
      <c r="G28" s="404" t="s">
        <v>1359</v>
      </c>
      <c r="H28" s="379"/>
      <c r="I28" s="379"/>
      <c r="J28" s="355" t="s">
        <v>960</v>
      </c>
    </row>
    <row r="29" spans="1:10" s="1" customFormat="1" ht="27.75" customHeight="1" thickBot="1">
      <c r="B29" s="318" t="s">
        <v>1364</v>
      </c>
      <c r="C29" s="375" t="s">
        <v>1365</v>
      </c>
      <c r="D29" s="400" t="s">
        <v>1066</v>
      </c>
      <c r="E29" s="396"/>
      <c r="F29" s="379"/>
      <c r="G29" s="379"/>
      <c r="H29" s="379"/>
      <c r="I29" s="291" t="s">
        <v>1366</v>
      </c>
      <c r="J29" s="355" t="s">
        <v>1070</v>
      </c>
    </row>
    <row r="30" spans="1:10" s="1" customFormat="1" ht="27.75" customHeight="1" thickBot="1">
      <c r="B30" s="318" t="s">
        <v>1367</v>
      </c>
      <c r="C30" s="375" t="s">
        <v>1375</v>
      </c>
      <c r="D30" s="400" t="s">
        <v>1</v>
      </c>
      <c r="E30" s="402" t="s">
        <v>1368</v>
      </c>
      <c r="F30" s="404" t="s">
        <v>1369</v>
      </c>
      <c r="G30" s="379"/>
      <c r="H30" s="379"/>
      <c r="I30" s="379"/>
      <c r="J30" s="355" t="s">
        <v>1235</v>
      </c>
    </row>
    <row r="31" spans="1:10" s="1" customFormat="1" ht="27.75" customHeight="1" thickBot="1">
      <c r="B31" s="318" t="s">
        <v>1371</v>
      </c>
      <c r="C31" s="375" t="s">
        <v>1372</v>
      </c>
      <c r="D31" s="400" t="s">
        <v>1</v>
      </c>
      <c r="E31" s="402" t="s">
        <v>1373</v>
      </c>
      <c r="F31" s="404" t="s">
        <v>1374</v>
      </c>
      <c r="G31" s="379"/>
      <c r="H31" s="379"/>
      <c r="I31" s="379"/>
      <c r="J31" s="355" t="s">
        <v>1235</v>
      </c>
    </row>
    <row r="32" spans="1:10" s="1" customFormat="1" ht="27.75" customHeight="1" thickBot="1">
      <c r="B32" s="318" t="s">
        <v>1380</v>
      </c>
      <c r="C32" s="375" t="s">
        <v>1455</v>
      </c>
      <c r="D32" s="400" t="s">
        <v>1381</v>
      </c>
      <c r="E32" s="379"/>
      <c r="F32" s="379"/>
      <c r="G32" s="379"/>
      <c r="H32" s="379"/>
      <c r="I32" s="291" t="s">
        <v>1382</v>
      </c>
      <c r="J32" s="355" t="s">
        <v>1070</v>
      </c>
    </row>
    <row r="33" spans="2:10" s="1" customFormat="1" ht="27.75" customHeight="1" thickBot="1">
      <c r="B33" s="318" t="s">
        <v>1383</v>
      </c>
      <c r="C33" s="375" t="s">
        <v>1384</v>
      </c>
      <c r="D33" s="400" t="s">
        <v>1385</v>
      </c>
      <c r="E33" s="379"/>
      <c r="F33" s="379"/>
      <c r="G33" s="379"/>
      <c r="H33" s="291" t="s">
        <v>1386</v>
      </c>
      <c r="I33" s="379"/>
      <c r="J33" s="355" t="s">
        <v>1387</v>
      </c>
    </row>
    <row r="34" spans="2:10" s="1" customFormat="1" ht="27.75" customHeight="1" thickBot="1">
      <c r="B34" s="318" t="s">
        <v>1388</v>
      </c>
      <c r="C34" s="375" t="s">
        <v>1395</v>
      </c>
      <c r="D34" s="400" t="s">
        <v>1389</v>
      </c>
      <c r="E34" s="404" t="s">
        <v>1391</v>
      </c>
      <c r="F34" s="404" t="s">
        <v>1392</v>
      </c>
      <c r="G34" s="404" t="s">
        <v>1393</v>
      </c>
      <c r="H34" s="379"/>
      <c r="I34" s="291" t="s">
        <v>1390</v>
      </c>
      <c r="J34" s="355" t="s">
        <v>1394</v>
      </c>
    </row>
    <row r="35" spans="2:10" s="1" customFormat="1" ht="27.75" customHeight="1" thickBot="1">
      <c r="B35" s="318" t="s">
        <v>1396</v>
      </c>
      <c r="C35" s="375" t="s">
        <v>1397</v>
      </c>
      <c r="D35" s="400" t="s">
        <v>1342</v>
      </c>
      <c r="E35" s="404" t="s">
        <v>1398</v>
      </c>
      <c r="F35" s="404" t="s">
        <v>1399</v>
      </c>
      <c r="G35" s="379"/>
      <c r="H35" s="379"/>
      <c r="I35" s="379"/>
      <c r="J35" s="355" t="s">
        <v>957</v>
      </c>
    </row>
    <row r="36" spans="2:10" s="1" customFormat="1" ht="27.75" customHeight="1" thickBot="1">
      <c r="B36" s="318" t="s">
        <v>1400</v>
      </c>
      <c r="C36" s="375" t="s">
        <v>1401</v>
      </c>
      <c r="D36" s="400" t="s">
        <v>1295</v>
      </c>
      <c r="E36" s="404" t="s">
        <v>1418</v>
      </c>
      <c r="F36" s="404" t="s">
        <v>1402</v>
      </c>
      <c r="G36" s="404" t="s">
        <v>1403</v>
      </c>
      <c r="H36" s="379"/>
      <c r="I36" s="379"/>
      <c r="J36" s="355" t="s">
        <v>1404</v>
      </c>
    </row>
    <row r="37" spans="2:10" s="1" customFormat="1" ht="27.75" customHeight="1" thickBot="1">
      <c r="B37" s="318" t="s">
        <v>1405</v>
      </c>
      <c r="C37" s="375" t="s">
        <v>1406</v>
      </c>
      <c r="D37" s="400" t="s">
        <v>1066</v>
      </c>
      <c r="E37" s="379"/>
      <c r="F37" s="379"/>
      <c r="G37" s="379"/>
      <c r="H37" s="379"/>
      <c r="I37" s="291" t="s">
        <v>1407</v>
      </c>
      <c r="J37" s="355" t="s">
        <v>1069</v>
      </c>
    </row>
    <row r="38" spans="2:10" s="1" customFormat="1" ht="27.75" customHeight="1" thickBot="1">
      <c r="B38" s="318" t="s">
        <v>1408</v>
      </c>
      <c r="C38" s="375" t="s">
        <v>1409</v>
      </c>
      <c r="D38" s="400" t="s">
        <v>1066</v>
      </c>
      <c r="E38" s="379"/>
      <c r="F38" s="379"/>
      <c r="G38" s="379"/>
      <c r="H38" s="379"/>
      <c r="I38" s="291" t="s">
        <v>1410</v>
      </c>
      <c r="J38" s="355" t="s">
        <v>1070</v>
      </c>
    </row>
    <row r="39" spans="2:10" s="1" customFormat="1" ht="27.75" customHeight="1" thickBot="1">
      <c r="B39" s="318" t="s">
        <v>1411</v>
      </c>
      <c r="C39" s="375" t="s">
        <v>1412</v>
      </c>
      <c r="D39" s="405" t="s">
        <v>1413</v>
      </c>
      <c r="E39" s="404" t="s">
        <v>1414</v>
      </c>
      <c r="F39" s="404" t="s">
        <v>1415</v>
      </c>
      <c r="G39" s="404" t="s">
        <v>1416</v>
      </c>
      <c r="H39" s="404" t="s">
        <v>1417</v>
      </c>
      <c r="I39" s="291" t="s">
        <v>1419</v>
      </c>
      <c r="J39" s="355" t="s">
        <v>1209</v>
      </c>
    </row>
    <row r="40" spans="2:10" s="1" customFormat="1" ht="27.75" customHeight="1" thickBot="1">
      <c r="B40" s="318" t="s">
        <v>1420</v>
      </c>
      <c r="C40" s="375" t="s">
        <v>1422</v>
      </c>
      <c r="D40" s="400" t="s">
        <v>1066</v>
      </c>
      <c r="E40" s="379"/>
      <c r="F40" s="379"/>
      <c r="G40" s="379"/>
      <c r="H40" s="379"/>
      <c r="I40" s="291" t="s">
        <v>1423</v>
      </c>
      <c r="J40" s="355" t="s">
        <v>1070</v>
      </c>
    </row>
    <row r="41" spans="2:10" s="1" customFormat="1" ht="27.75" customHeight="1" thickBot="1">
      <c r="B41" s="318" t="s">
        <v>1421</v>
      </c>
      <c r="C41" s="375" t="s">
        <v>1425</v>
      </c>
      <c r="D41" s="400" t="s">
        <v>1066</v>
      </c>
      <c r="E41" s="379"/>
      <c r="F41" s="379"/>
      <c r="G41" s="379"/>
      <c r="H41" s="379"/>
      <c r="I41" s="291" t="s">
        <v>1424</v>
      </c>
      <c r="J41" s="355" t="s">
        <v>1069</v>
      </c>
    </row>
    <row r="42" spans="2:10" s="1" customFormat="1" ht="27.75" customHeight="1" thickBot="1">
      <c r="B42" s="318" t="s">
        <v>1429</v>
      </c>
      <c r="C42" s="375" t="s">
        <v>1430</v>
      </c>
      <c r="D42" s="400" t="s">
        <v>1066</v>
      </c>
      <c r="E42" s="379"/>
      <c r="F42" s="379"/>
      <c r="G42" s="379"/>
      <c r="H42" s="379"/>
      <c r="I42" s="291" t="s">
        <v>1431</v>
      </c>
      <c r="J42" s="355" t="s">
        <v>1070</v>
      </c>
    </row>
    <row r="43" spans="2:10" s="1" customFormat="1" ht="27.75" customHeight="1" thickBot="1">
      <c r="B43" s="318" t="s">
        <v>1434</v>
      </c>
      <c r="C43" s="375" t="s">
        <v>1435</v>
      </c>
      <c r="D43" s="400" t="s">
        <v>1436</v>
      </c>
      <c r="E43" s="404" t="s">
        <v>1480</v>
      </c>
      <c r="F43" s="404" t="s">
        <v>1437</v>
      </c>
      <c r="G43" s="379"/>
      <c r="H43" s="379"/>
      <c r="I43" s="379"/>
      <c r="J43" s="355" t="s">
        <v>1235</v>
      </c>
    </row>
    <row r="44" spans="2:10" s="1" customFormat="1" ht="27.75" customHeight="1" thickBot="1">
      <c r="B44" s="318" t="s">
        <v>1438</v>
      </c>
      <c r="C44" s="375" t="s">
        <v>1439</v>
      </c>
      <c r="D44" s="400" t="s">
        <v>1481</v>
      </c>
      <c r="E44" s="404" t="s">
        <v>1440</v>
      </c>
      <c r="F44" s="404" t="s">
        <v>1441</v>
      </c>
      <c r="G44" s="404" t="s">
        <v>1479</v>
      </c>
      <c r="H44" s="379"/>
      <c r="I44" s="379"/>
      <c r="J44" s="355" t="s">
        <v>1134</v>
      </c>
    </row>
    <row r="45" spans="2:10" s="1" customFormat="1" ht="27.75" customHeight="1" thickBot="1">
      <c r="B45" s="318" t="s">
        <v>1442</v>
      </c>
      <c r="C45" s="375" t="s">
        <v>1443</v>
      </c>
      <c r="D45" s="400" t="s">
        <v>1066</v>
      </c>
      <c r="E45" s="379"/>
      <c r="F45" s="379"/>
      <c r="G45" s="379"/>
      <c r="H45" s="379"/>
      <c r="I45" s="291" t="s">
        <v>1444</v>
      </c>
      <c r="J45" s="355" t="s">
        <v>1459</v>
      </c>
    </row>
    <row r="46" spans="2:10" s="1" customFormat="1" ht="27.75" customHeight="1" thickBot="1">
      <c r="B46" s="318" t="s">
        <v>1445</v>
      </c>
      <c r="C46" s="375" t="s">
        <v>1446</v>
      </c>
      <c r="D46" s="400" t="s">
        <v>1295</v>
      </c>
      <c r="E46" s="404" t="s">
        <v>1447</v>
      </c>
      <c r="F46" s="404" t="s">
        <v>1448</v>
      </c>
      <c r="G46" s="404" t="s">
        <v>1449</v>
      </c>
      <c r="H46" s="379"/>
      <c r="I46" s="379"/>
      <c r="J46" s="355" t="s">
        <v>1134</v>
      </c>
    </row>
    <row r="47" spans="2:10" s="1" customFormat="1" ht="27.75" customHeight="1" thickBot="1">
      <c r="B47" s="318" t="s">
        <v>1453</v>
      </c>
      <c r="C47" s="375" t="s">
        <v>1454</v>
      </c>
      <c r="D47" s="400" t="s">
        <v>1295</v>
      </c>
      <c r="E47" s="404" t="s">
        <v>1450</v>
      </c>
      <c r="F47" s="404" t="s">
        <v>1451</v>
      </c>
      <c r="G47" s="404" t="s">
        <v>1452</v>
      </c>
      <c r="H47" s="379"/>
      <c r="I47" s="379"/>
      <c r="J47" s="355" t="s">
        <v>1100</v>
      </c>
    </row>
    <row r="48" spans="2:10" s="1" customFormat="1" ht="27.75" customHeight="1" thickBot="1">
      <c r="B48" s="318" t="s">
        <v>1456</v>
      </c>
      <c r="C48" s="375" t="s">
        <v>1457</v>
      </c>
      <c r="D48" s="400" t="s">
        <v>1066</v>
      </c>
      <c r="E48" s="379"/>
      <c r="F48" s="379"/>
      <c r="G48" s="379"/>
      <c r="H48" s="379"/>
      <c r="I48" s="291" t="s">
        <v>1458</v>
      </c>
      <c r="J48" s="355" t="s">
        <v>1459</v>
      </c>
    </row>
    <row r="49" spans="2:10" s="1" customFormat="1" ht="27.75" customHeight="1" thickBot="1">
      <c r="B49" s="318" t="s">
        <v>1460</v>
      </c>
      <c r="C49" s="375" t="s">
        <v>1464</v>
      </c>
      <c r="D49" s="400" t="s">
        <v>1330</v>
      </c>
      <c r="E49" s="404" t="s">
        <v>1461</v>
      </c>
      <c r="F49" s="404" t="s">
        <v>1462</v>
      </c>
      <c r="G49" s="404" t="s">
        <v>1463</v>
      </c>
      <c r="H49" s="379"/>
      <c r="I49" s="379"/>
      <c r="J49" s="355" t="s">
        <v>1060</v>
      </c>
    </row>
    <row r="50" spans="2:10" s="1" customFormat="1" ht="27.75" customHeight="1" thickBot="1">
      <c r="B50" s="318" t="s">
        <v>1465</v>
      </c>
      <c r="C50" s="375" t="s">
        <v>1466</v>
      </c>
      <c r="D50" s="428" t="s">
        <v>1467</v>
      </c>
      <c r="E50" s="445" t="s">
        <v>1468</v>
      </c>
      <c r="F50" s="445" t="s">
        <v>1469</v>
      </c>
      <c r="G50" s="442"/>
      <c r="H50" s="445" t="s">
        <v>1470</v>
      </c>
      <c r="I50" s="404" t="s">
        <v>1471</v>
      </c>
      <c r="J50" s="355" t="s">
        <v>1070</v>
      </c>
    </row>
    <row r="51" spans="2:10" s="1" customFormat="1" ht="27.75" customHeight="1" thickBot="1">
      <c r="B51" s="318" t="s">
        <v>1472</v>
      </c>
      <c r="C51" s="375" t="s">
        <v>1502</v>
      </c>
      <c r="D51" s="428" t="s">
        <v>1295</v>
      </c>
      <c r="E51" s="404" t="s">
        <v>1473</v>
      </c>
      <c r="F51" s="404" t="s">
        <v>1474</v>
      </c>
      <c r="G51" s="379"/>
      <c r="H51" s="379"/>
      <c r="I51" s="379"/>
      <c r="J51" s="355" t="s">
        <v>1060</v>
      </c>
    </row>
    <row r="52" spans="2:10" s="1" customFormat="1" ht="27.75" customHeight="1" thickBot="1">
      <c r="B52" s="318" t="s">
        <v>1475</v>
      </c>
      <c r="C52" s="375" t="s">
        <v>1476</v>
      </c>
      <c r="D52" s="400" t="s">
        <v>1477</v>
      </c>
      <c r="E52" s="379"/>
      <c r="F52" s="379"/>
      <c r="G52" s="379"/>
      <c r="H52" s="379"/>
      <c r="I52" s="291" t="s">
        <v>1478</v>
      </c>
      <c r="J52" s="355" t="s">
        <v>1459</v>
      </c>
    </row>
    <row r="53" spans="2:10" s="1" customFormat="1" ht="27.75" customHeight="1" thickBot="1">
      <c r="B53" s="318" t="s">
        <v>1482</v>
      </c>
      <c r="C53" s="375" t="s">
        <v>1483</v>
      </c>
      <c r="D53" s="428" t="s">
        <v>1484</v>
      </c>
      <c r="E53" s="429" t="s">
        <v>1485</v>
      </c>
      <c r="F53" s="404" t="s">
        <v>1486</v>
      </c>
      <c r="G53" s="404" t="s">
        <v>1487</v>
      </c>
      <c r="H53" s="379"/>
      <c r="I53" s="379"/>
      <c r="J53" s="355" t="s">
        <v>957</v>
      </c>
    </row>
    <row r="54" spans="2:10" s="1" customFormat="1" ht="27.75" customHeight="1" thickBot="1">
      <c r="B54" s="318" t="s">
        <v>1488</v>
      </c>
      <c r="C54" s="375" t="s">
        <v>1490</v>
      </c>
      <c r="D54" s="400" t="s">
        <v>1491</v>
      </c>
      <c r="E54" s="379"/>
      <c r="F54" s="379"/>
      <c r="G54" s="379"/>
      <c r="H54" s="379"/>
      <c r="I54" s="291" t="s">
        <v>1494</v>
      </c>
      <c r="J54" s="355" t="s">
        <v>1070</v>
      </c>
    </row>
    <row r="55" spans="2:10" s="1" customFormat="1" ht="27.75" customHeight="1" thickBot="1">
      <c r="B55" s="318" t="s">
        <v>1489</v>
      </c>
      <c r="C55" s="375" t="s">
        <v>1493</v>
      </c>
      <c r="D55" s="400" t="s">
        <v>1492</v>
      </c>
      <c r="E55" s="379"/>
      <c r="F55" s="379"/>
      <c r="G55" s="379"/>
      <c r="H55" s="379"/>
      <c r="I55" s="291" t="s">
        <v>1495</v>
      </c>
      <c r="J55" s="355" t="s">
        <v>1070</v>
      </c>
    </row>
    <row r="56" spans="2:10" s="1" customFormat="1" ht="27.75" customHeight="1" thickBot="1">
      <c r="B56" s="318" t="s">
        <v>1496</v>
      </c>
      <c r="C56" s="375" t="s">
        <v>1497</v>
      </c>
      <c r="D56" s="428" t="s">
        <v>1498</v>
      </c>
      <c r="E56" s="404" t="s">
        <v>1499</v>
      </c>
      <c r="F56" s="404" t="s">
        <v>1500</v>
      </c>
      <c r="G56" s="429" t="s">
        <v>1501</v>
      </c>
      <c r="H56" s="379"/>
      <c r="I56" s="379"/>
      <c r="J56" s="355" t="s">
        <v>960</v>
      </c>
    </row>
    <row r="57" spans="2:10" s="1" customFormat="1" ht="27.75" customHeight="1">
      <c r="B57" s="318" t="s">
        <v>1503</v>
      </c>
      <c r="C57" s="375" t="s">
        <v>1504</v>
      </c>
      <c r="D57" s="400" t="s">
        <v>1491</v>
      </c>
      <c r="E57" s="379"/>
      <c r="F57" s="379"/>
      <c r="G57" s="379"/>
      <c r="H57" s="379"/>
      <c r="I57" s="291" t="s">
        <v>1505</v>
      </c>
      <c r="J57" s="355" t="s">
        <v>1459</v>
      </c>
    </row>
  </sheetData>
  <mergeCells count="7">
    <mergeCell ref="I2:I3"/>
    <mergeCell ref="J2:J3"/>
    <mergeCell ref="E7:I7"/>
    <mergeCell ref="B23:B24"/>
    <mergeCell ref="E23:E24"/>
    <mergeCell ref="F23:F24"/>
    <mergeCell ref="J23:J24"/>
  </mergeCells>
  <phoneticPr fontId="22" type="noConversion"/>
  <pageMargins left="0" right="0" top="0.19685039370078741" bottom="0.39370078740157483" header="0.31496062992125984" footer="0.51181102362204722"/>
  <pageSetup paperSize="9" scale="51" orientation="landscape" r:id="rId1"/>
  <headerFooter alignWithMargins="0"/>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662F6-0D98-48EB-8B3F-2D34CB78363A}">
  <sheetPr codeName="Feuil5">
    <pageSetUpPr fitToPage="1"/>
  </sheetPr>
  <dimension ref="A1:K67"/>
  <sheetViews>
    <sheetView topLeftCell="A25" workbookViewId="0">
      <selection activeCell="B40" sqref="B40:D40"/>
    </sheetView>
  </sheetViews>
  <sheetFormatPr baseColWidth="10" defaultRowHeight="12.75"/>
  <cols>
    <col min="1" max="1" width="7" customWidth="1"/>
    <col min="3" max="3" width="74.42578125" customWidth="1"/>
    <col min="4" max="4" width="41.5703125" customWidth="1"/>
    <col min="5" max="5" width="12.42578125" customWidth="1"/>
    <col min="6" max="6" width="12.5703125" customWidth="1"/>
    <col min="7" max="7" width="12.42578125" customWidth="1"/>
    <col min="10" max="10" width="37.5703125" customWidth="1"/>
  </cols>
  <sheetData>
    <row r="1" spans="1:10" s="20" customFormat="1" ht="18.75" customHeight="1">
      <c r="D1" s="119"/>
      <c r="J1" s="61"/>
    </row>
    <row r="2" spans="1:10" s="20" customFormat="1">
      <c r="D2" s="119"/>
      <c r="I2" s="1080"/>
      <c r="J2" s="1078"/>
    </row>
    <row r="3" spans="1:10" s="20" customFormat="1" ht="10.5" customHeight="1">
      <c r="D3" s="119"/>
      <c r="I3" s="1080"/>
      <c r="J3" s="1079"/>
    </row>
    <row r="4" spans="1:10" s="20" customFormat="1" ht="13.5" thickBot="1">
      <c r="D4" s="119"/>
      <c r="J4" s="61"/>
    </row>
    <row r="5" spans="1:10" s="336" customFormat="1" ht="21.75" thickTop="1" thickBot="1">
      <c r="B5" s="331" t="s">
        <v>1506</v>
      </c>
      <c r="C5" s="332"/>
      <c r="D5" s="333"/>
      <c r="E5" s="332"/>
      <c r="F5" s="334"/>
      <c r="G5" s="334"/>
      <c r="H5" s="334"/>
      <c r="I5" s="334"/>
      <c r="J5" s="335"/>
    </row>
    <row r="6" spans="1:10" s="20" customFormat="1" ht="17.25" thickTop="1" thickBot="1">
      <c r="A6" s="434" t="s">
        <v>1528</v>
      </c>
      <c r="B6" s="26"/>
      <c r="C6" s="26"/>
      <c r="D6" s="121"/>
      <c r="E6" s="26"/>
      <c r="F6" s="27"/>
      <c r="G6" s="27"/>
      <c r="H6" s="27"/>
      <c r="I6" s="27"/>
      <c r="J6" s="63"/>
    </row>
    <row r="7" spans="1:10" s="20" customFormat="1" ht="16.5" customHeight="1" thickBot="1">
      <c r="B7" s="26"/>
      <c r="C7" s="26"/>
      <c r="D7" s="121"/>
      <c r="E7" s="1083" t="s">
        <v>1026</v>
      </c>
      <c r="F7" s="1084"/>
      <c r="G7" s="1084"/>
      <c r="H7" s="1084"/>
      <c r="I7" s="1085"/>
      <c r="J7" s="63"/>
    </row>
    <row r="8" spans="1:10" s="330" customFormat="1" ht="19.5" customHeight="1" thickBot="1">
      <c r="B8" s="327" t="s">
        <v>992</v>
      </c>
      <c r="C8" s="327" t="s">
        <v>993</v>
      </c>
      <c r="D8" s="327" t="s">
        <v>994</v>
      </c>
      <c r="E8" s="327" t="s">
        <v>0</v>
      </c>
      <c r="F8" s="327" t="s">
        <v>1</v>
      </c>
      <c r="G8" s="327" t="s">
        <v>995</v>
      </c>
      <c r="H8" s="328" t="s">
        <v>996</v>
      </c>
      <c r="I8" s="329" t="s">
        <v>997</v>
      </c>
      <c r="J8" s="327" t="s">
        <v>4</v>
      </c>
    </row>
    <row r="9" spans="1:10" s="1" customFormat="1" ht="31.5" customHeight="1" thickBot="1">
      <c r="B9" s="430" t="s">
        <v>1507</v>
      </c>
      <c r="C9" s="431" t="s">
        <v>1508</v>
      </c>
      <c r="D9" s="400" t="s">
        <v>1509</v>
      </c>
      <c r="E9" s="402" t="s">
        <v>1510</v>
      </c>
      <c r="F9" s="404" t="s">
        <v>1530</v>
      </c>
      <c r="G9" s="432"/>
      <c r="H9" s="404" t="s">
        <v>1548</v>
      </c>
      <c r="I9" s="432"/>
      <c r="J9" s="433" t="s">
        <v>1100</v>
      </c>
    </row>
    <row r="10" spans="1:10" s="1" customFormat="1" ht="31.5" customHeight="1" thickBot="1">
      <c r="B10" s="430" t="s">
        <v>1511</v>
      </c>
      <c r="C10" s="431" t="s">
        <v>1512</v>
      </c>
      <c r="D10" s="400" t="s">
        <v>1513</v>
      </c>
      <c r="E10" s="402" t="s">
        <v>1514</v>
      </c>
      <c r="F10" s="404" t="s">
        <v>1531</v>
      </c>
      <c r="G10" s="432"/>
      <c r="H10" s="432"/>
      <c r="I10" s="432"/>
      <c r="J10" s="433" t="s">
        <v>957</v>
      </c>
    </row>
    <row r="11" spans="1:10" s="1" customFormat="1" ht="31.5" customHeight="1" thickBot="1">
      <c r="B11" s="430" t="s">
        <v>1515</v>
      </c>
      <c r="C11" s="431" t="s">
        <v>1516</v>
      </c>
      <c r="D11" s="400" t="s">
        <v>1066</v>
      </c>
      <c r="E11" s="432"/>
      <c r="F11" s="432"/>
      <c r="G11" s="432"/>
      <c r="H11" s="432"/>
      <c r="I11" s="404" t="s">
        <v>1517</v>
      </c>
      <c r="J11" s="433" t="s">
        <v>1070</v>
      </c>
    </row>
    <row r="12" spans="1:10" s="1" customFormat="1" ht="31.5" customHeight="1" thickBot="1">
      <c r="B12" s="430" t="s">
        <v>1519</v>
      </c>
      <c r="C12" s="431" t="s">
        <v>1529</v>
      </c>
      <c r="D12" s="400" t="s">
        <v>1066</v>
      </c>
      <c r="E12" s="432"/>
      <c r="F12" s="432"/>
      <c r="G12" s="432"/>
      <c r="H12" s="432"/>
      <c r="I12" s="404" t="s">
        <v>1518</v>
      </c>
      <c r="J12" s="433" t="s">
        <v>1070</v>
      </c>
    </row>
    <row r="13" spans="1:10" s="1" customFormat="1" ht="31.5" customHeight="1" thickBot="1">
      <c r="B13" s="430" t="s">
        <v>1520</v>
      </c>
      <c r="C13" s="431" t="s">
        <v>1521</v>
      </c>
      <c r="D13" s="400" t="s">
        <v>1522</v>
      </c>
      <c r="E13" s="402" t="s">
        <v>1523</v>
      </c>
      <c r="F13" s="404" t="s">
        <v>1527</v>
      </c>
      <c r="G13" s="432"/>
      <c r="H13" s="432"/>
      <c r="I13" s="404" t="s">
        <v>1524</v>
      </c>
      <c r="J13" s="433" t="s">
        <v>1209</v>
      </c>
    </row>
    <row r="14" spans="1:10" s="1" customFormat="1" ht="31.5" customHeight="1" thickBot="1">
      <c r="B14" s="1094" t="s">
        <v>1525</v>
      </c>
      <c r="C14" s="431" t="s">
        <v>1682</v>
      </c>
      <c r="D14" s="400" t="s">
        <v>1295</v>
      </c>
      <c r="E14" s="402" t="s">
        <v>1526</v>
      </c>
      <c r="F14" s="404" t="s">
        <v>1532</v>
      </c>
      <c r="G14" s="404" t="s">
        <v>1532</v>
      </c>
      <c r="H14" s="432"/>
      <c r="I14" s="432"/>
      <c r="J14" s="433" t="s">
        <v>960</v>
      </c>
    </row>
    <row r="15" spans="1:10" s="1" customFormat="1" ht="31.5" customHeight="1" thickBot="1">
      <c r="B15" s="1095"/>
      <c r="C15" s="431" t="s">
        <v>1683</v>
      </c>
      <c r="D15" s="400" t="s">
        <v>1295</v>
      </c>
      <c r="E15" s="402" t="s">
        <v>1526</v>
      </c>
      <c r="F15" s="404" t="s">
        <v>1532</v>
      </c>
      <c r="G15" s="404" t="s">
        <v>1532</v>
      </c>
      <c r="H15" s="432"/>
      <c r="I15" s="432"/>
      <c r="J15" s="433" t="s">
        <v>960</v>
      </c>
    </row>
    <row r="16" spans="1:10" s="1" customFormat="1" ht="31.5" customHeight="1" thickBot="1">
      <c r="B16" s="430" t="s">
        <v>1533</v>
      </c>
      <c r="C16" s="431" t="s">
        <v>1534</v>
      </c>
      <c r="D16" s="400" t="s">
        <v>1535</v>
      </c>
      <c r="E16" s="402" t="s">
        <v>1537</v>
      </c>
      <c r="F16" s="402" t="s">
        <v>1536</v>
      </c>
      <c r="G16" s="432"/>
      <c r="H16" s="432"/>
      <c r="I16" s="432"/>
      <c r="J16" s="433" t="s">
        <v>1235</v>
      </c>
    </row>
    <row r="17" spans="2:10" s="1" customFormat="1" ht="31.5" customHeight="1" thickBot="1">
      <c r="B17" s="430" t="s">
        <v>1538</v>
      </c>
      <c r="C17" s="435" t="s">
        <v>1540</v>
      </c>
      <c r="D17" s="400" t="s">
        <v>1541</v>
      </c>
      <c r="E17" s="402" t="s">
        <v>1542</v>
      </c>
      <c r="F17" s="402" t="s">
        <v>1543</v>
      </c>
      <c r="G17" s="432"/>
      <c r="H17" s="432"/>
      <c r="I17" s="432"/>
      <c r="J17" s="433" t="s">
        <v>1235</v>
      </c>
    </row>
    <row r="18" spans="2:10" s="1" customFormat="1" ht="31.5" customHeight="1" thickBot="1">
      <c r="B18" s="430" t="s">
        <v>1539</v>
      </c>
      <c r="C18" s="435" t="s">
        <v>1547</v>
      </c>
      <c r="D18" s="400" t="s">
        <v>1544</v>
      </c>
      <c r="E18" s="402" t="s">
        <v>1545</v>
      </c>
      <c r="F18" s="402" t="s">
        <v>1546</v>
      </c>
      <c r="G18" s="432"/>
      <c r="H18" s="432"/>
      <c r="I18" s="432"/>
      <c r="J18" s="433" t="s">
        <v>1235</v>
      </c>
    </row>
    <row r="19" spans="2:10" s="1" customFormat="1" ht="31.5" customHeight="1" thickBot="1">
      <c r="B19" s="430" t="s">
        <v>1549</v>
      </c>
      <c r="C19" s="435" t="s">
        <v>1550</v>
      </c>
      <c r="D19" s="400" t="s">
        <v>1023</v>
      </c>
      <c r="E19" s="402" t="s">
        <v>1551</v>
      </c>
      <c r="F19" s="402" t="s">
        <v>1552</v>
      </c>
      <c r="G19" s="402" t="s">
        <v>1552</v>
      </c>
      <c r="H19" s="432"/>
      <c r="I19" s="432"/>
      <c r="J19" s="433" t="s">
        <v>1134</v>
      </c>
    </row>
    <row r="20" spans="2:10" s="1" customFormat="1" ht="31.5" customHeight="1" thickBot="1">
      <c r="B20" s="430" t="s">
        <v>1553</v>
      </c>
      <c r="C20" s="435" t="s">
        <v>1556</v>
      </c>
      <c r="D20" s="400" t="s">
        <v>1023</v>
      </c>
      <c r="E20" s="402" t="s">
        <v>1554</v>
      </c>
      <c r="F20" s="402" t="s">
        <v>1555</v>
      </c>
      <c r="G20" s="432"/>
      <c r="H20" s="432"/>
      <c r="I20" s="432"/>
      <c r="J20" s="433" t="s">
        <v>960</v>
      </c>
    </row>
    <row r="21" spans="2:10" s="1" customFormat="1" ht="31.5" customHeight="1" thickBot="1">
      <c r="B21" s="430" t="s">
        <v>1557</v>
      </c>
      <c r="C21" s="431" t="s">
        <v>1558</v>
      </c>
      <c r="D21" s="400" t="s">
        <v>1559</v>
      </c>
      <c r="E21" s="432"/>
      <c r="F21" s="432"/>
      <c r="G21" s="432"/>
      <c r="H21" s="432"/>
      <c r="I21" s="404" t="s">
        <v>1560</v>
      </c>
      <c r="J21" s="433" t="s">
        <v>1459</v>
      </c>
    </row>
    <row r="22" spans="2:10" s="1" customFormat="1" ht="31.5" customHeight="1" thickBot="1">
      <c r="B22" s="430" t="s">
        <v>1561</v>
      </c>
      <c r="C22" s="431" t="s">
        <v>1598</v>
      </c>
      <c r="D22" s="400" t="s">
        <v>1330</v>
      </c>
      <c r="E22" s="402" t="s">
        <v>1562</v>
      </c>
      <c r="F22" s="402" t="s">
        <v>1563</v>
      </c>
      <c r="G22" s="402" t="s">
        <v>1563</v>
      </c>
      <c r="H22" s="432"/>
      <c r="I22" s="432"/>
      <c r="J22" s="433" t="s">
        <v>1134</v>
      </c>
    </row>
    <row r="23" spans="2:10" s="1" customFormat="1" ht="31.5" customHeight="1" thickBot="1">
      <c r="B23" s="430" t="s">
        <v>1564</v>
      </c>
      <c r="C23" s="431" t="s">
        <v>1576</v>
      </c>
      <c r="D23" s="436" t="s">
        <v>1565</v>
      </c>
      <c r="E23" s="402" t="s">
        <v>1566</v>
      </c>
      <c r="F23" s="402" t="s">
        <v>1567</v>
      </c>
      <c r="G23" s="402" t="s">
        <v>1567</v>
      </c>
      <c r="H23" s="432"/>
      <c r="I23" s="432"/>
      <c r="J23" s="433" t="s">
        <v>1060</v>
      </c>
    </row>
    <row r="24" spans="2:10" s="1" customFormat="1" ht="31.5" customHeight="1" thickBot="1">
      <c r="B24" s="430" t="s">
        <v>1568</v>
      </c>
      <c r="C24" s="431" t="s">
        <v>1569</v>
      </c>
      <c r="D24" s="400" t="s">
        <v>1295</v>
      </c>
      <c r="E24" s="402" t="s">
        <v>1570</v>
      </c>
      <c r="F24" s="402" t="s">
        <v>1571</v>
      </c>
      <c r="G24" s="402" t="s">
        <v>1571</v>
      </c>
      <c r="H24" s="432"/>
      <c r="I24" s="432"/>
      <c r="J24" s="433" t="s">
        <v>1209</v>
      </c>
    </row>
    <row r="25" spans="2:10" s="1" customFormat="1" ht="26.25" customHeight="1" thickBot="1">
      <c r="B25" s="318" t="s">
        <v>1572</v>
      </c>
      <c r="C25" s="375" t="s">
        <v>1573</v>
      </c>
      <c r="D25" s="400" t="s">
        <v>1574</v>
      </c>
      <c r="E25" s="396"/>
      <c r="F25" s="379"/>
      <c r="G25" s="379"/>
      <c r="H25" s="379"/>
      <c r="I25" s="291" t="s">
        <v>1575</v>
      </c>
      <c r="J25" s="355" t="s">
        <v>1070</v>
      </c>
    </row>
    <row r="26" spans="2:10" s="1" customFormat="1" ht="31.5" customHeight="1" thickBot="1">
      <c r="B26" s="430" t="s">
        <v>1577</v>
      </c>
      <c r="C26" s="431" t="s">
        <v>1578</v>
      </c>
      <c r="D26" s="400" t="s">
        <v>1330</v>
      </c>
      <c r="E26" s="402" t="s">
        <v>1580</v>
      </c>
      <c r="F26" s="402" t="s">
        <v>1580</v>
      </c>
      <c r="G26" s="402" t="s">
        <v>1579</v>
      </c>
      <c r="H26" s="432"/>
      <c r="I26" s="432"/>
      <c r="J26" s="433" t="s">
        <v>957</v>
      </c>
    </row>
    <row r="27" spans="2:10" s="1" customFormat="1" ht="31.5" customHeight="1" thickBot="1">
      <c r="B27" s="430" t="s">
        <v>1581</v>
      </c>
      <c r="C27" s="431" t="s">
        <v>1582</v>
      </c>
      <c r="D27" s="400" t="s">
        <v>1066</v>
      </c>
      <c r="E27" s="396"/>
      <c r="F27" s="379"/>
      <c r="G27" s="379"/>
      <c r="H27" s="379"/>
      <c r="I27" s="291" t="s">
        <v>1583</v>
      </c>
      <c r="J27" s="433" t="s">
        <v>1584</v>
      </c>
    </row>
    <row r="28" spans="2:10" s="1" customFormat="1" ht="31.5" customHeight="1" thickBot="1">
      <c r="B28" s="430" t="s">
        <v>1585</v>
      </c>
      <c r="C28" s="431" t="s">
        <v>1587</v>
      </c>
      <c r="D28" s="400" t="s">
        <v>1586</v>
      </c>
      <c r="E28" s="402" t="s">
        <v>1588</v>
      </c>
      <c r="F28" s="402" t="s">
        <v>1589</v>
      </c>
      <c r="G28" s="402" t="s">
        <v>1589</v>
      </c>
      <c r="H28" s="432"/>
      <c r="I28" s="291" t="s">
        <v>1590</v>
      </c>
      <c r="J28" s="433" t="s">
        <v>1209</v>
      </c>
    </row>
    <row r="29" spans="2:10" s="1" customFormat="1" ht="31.5" customHeight="1" thickBot="1">
      <c r="B29" s="430" t="s">
        <v>1591</v>
      </c>
      <c r="C29" s="431" t="s">
        <v>1594</v>
      </c>
      <c r="D29" s="400" t="s">
        <v>1066</v>
      </c>
      <c r="E29" s="396"/>
      <c r="F29" s="379"/>
      <c r="G29" s="379"/>
      <c r="H29" s="379"/>
      <c r="I29" s="291" t="s">
        <v>1592</v>
      </c>
      <c r="J29" s="433" t="s">
        <v>1595</v>
      </c>
    </row>
    <row r="30" spans="2:10" s="1" customFormat="1" ht="31.5" customHeight="1" thickBot="1">
      <c r="B30" s="430" t="s">
        <v>1597</v>
      </c>
      <c r="C30" s="431" t="s">
        <v>1596</v>
      </c>
      <c r="D30" s="400" t="s">
        <v>1066</v>
      </c>
      <c r="E30" s="396"/>
      <c r="F30" s="379"/>
      <c r="G30" s="379"/>
      <c r="H30" s="379"/>
      <c r="I30" s="291" t="s">
        <v>1593</v>
      </c>
      <c r="J30" s="433" t="s">
        <v>1459</v>
      </c>
    </row>
    <row r="31" spans="2:10" s="1" customFormat="1" ht="31.5" customHeight="1" thickBot="1">
      <c r="B31" s="430" t="s">
        <v>1599</v>
      </c>
      <c r="C31" s="431" t="s">
        <v>1600</v>
      </c>
      <c r="D31" s="400" t="s">
        <v>1066</v>
      </c>
      <c r="E31" s="396"/>
      <c r="F31" s="379"/>
      <c r="G31" s="379"/>
      <c r="H31" s="379"/>
      <c r="I31" s="291" t="s">
        <v>1601</v>
      </c>
      <c r="J31" s="433" t="s">
        <v>1070</v>
      </c>
    </row>
    <row r="32" spans="2:10" s="437" customFormat="1" ht="31.5" customHeight="1" thickBot="1">
      <c r="B32" s="438" t="s">
        <v>1602</v>
      </c>
      <c r="C32" s="439" t="s">
        <v>1603</v>
      </c>
      <c r="D32" s="440" t="s">
        <v>1066</v>
      </c>
      <c r="E32" s="441"/>
      <c r="F32" s="442"/>
      <c r="G32" s="442"/>
      <c r="H32" s="442"/>
      <c r="I32" s="443" t="s">
        <v>1604</v>
      </c>
      <c r="J32" s="444" t="s">
        <v>1070</v>
      </c>
    </row>
    <row r="33" spans="1:11" s="1" customFormat="1" ht="31.5" customHeight="1" thickBot="1">
      <c r="B33" s="430" t="s">
        <v>1605</v>
      </c>
      <c r="C33" s="431" t="s">
        <v>1606</v>
      </c>
      <c r="D33" s="400" t="s">
        <v>1611</v>
      </c>
      <c r="E33" s="396"/>
      <c r="F33" s="379"/>
      <c r="G33" s="379"/>
      <c r="H33" s="379"/>
      <c r="I33" s="291" t="s">
        <v>1607</v>
      </c>
      <c r="J33" s="433" t="s">
        <v>1070</v>
      </c>
    </row>
    <row r="34" spans="1:11" s="1" customFormat="1" ht="31.5" customHeight="1" thickBot="1">
      <c r="B34" s="430" t="s">
        <v>1608</v>
      </c>
      <c r="C34" s="435" t="s">
        <v>1609</v>
      </c>
      <c r="D34" s="400" t="s">
        <v>1066</v>
      </c>
      <c r="E34" s="396"/>
      <c r="F34" s="379"/>
      <c r="G34" s="379"/>
      <c r="H34" s="379"/>
      <c r="I34" s="291" t="s">
        <v>1610</v>
      </c>
      <c r="J34" s="433" t="s">
        <v>1070</v>
      </c>
    </row>
    <row r="35" spans="1:11" s="1" customFormat="1" ht="31.5" customHeight="1" thickBot="1">
      <c r="A35" s="451"/>
      <c r="B35" s="430" t="s">
        <v>1612</v>
      </c>
      <c r="C35" s="435" t="s">
        <v>1613</v>
      </c>
      <c r="D35" s="400" t="s">
        <v>1066</v>
      </c>
      <c r="E35" s="396"/>
      <c r="F35" s="379"/>
      <c r="G35" s="379"/>
      <c r="H35" s="379"/>
      <c r="I35" s="291" t="s">
        <v>1614</v>
      </c>
      <c r="J35" s="433" t="s">
        <v>1069</v>
      </c>
    </row>
    <row r="36" spans="1:11" s="1" customFormat="1" ht="31.5" customHeight="1" thickBot="1">
      <c r="A36" s="1096" t="s">
        <v>1625</v>
      </c>
      <c r="B36" s="430" t="s">
        <v>1615</v>
      </c>
      <c r="C36" s="435" t="s">
        <v>1630</v>
      </c>
      <c r="D36" s="400" t="s">
        <v>1620</v>
      </c>
      <c r="E36" s="379"/>
      <c r="F36" s="379"/>
      <c r="G36" s="379"/>
      <c r="H36" s="379"/>
      <c r="I36" s="291" t="s">
        <v>1621</v>
      </c>
      <c r="J36" s="433" t="s">
        <v>1069</v>
      </c>
    </row>
    <row r="37" spans="1:11" s="1" customFormat="1" ht="31.5" customHeight="1" thickBot="1">
      <c r="A37" s="1097"/>
      <c r="B37" s="430" t="s">
        <v>1616</v>
      </c>
      <c r="C37" s="435" t="s">
        <v>1631</v>
      </c>
      <c r="D37" s="400" t="s">
        <v>1620</v>
      </c>
      <c r="E37" s="291" t="s">
        <v>1624</v>
      </c>
      <c r="F37" s="291" t="s">
        <v>1624</v>
      </c>
      <c r="G37" s="379"/>
      <c r="H37" s="379"/>
      <c r="I37" s="291" t="s">
        <v>1622</v>
      </c>
      <c r="J37" s="433" t="s">
        <v>1623</v>
      </c>
    </row>
    <row r="38" spans="1:11" s="1" customFormat="1" ht="31.5" customHeight="1" thickBot="1">
      <c r="A38" s="1096" t="s">
        <v>1626</v>
      </c>
      <c r="B38" s="430" t="s">
        <v>1617</v>
      </c>
      <c r="C38" s="435" t="s">
        <v>1632</v>
      </c>
      <c r="D38" s="400" t="s">
        <v>1627</v>
      </c>
      <c r="E38" s="396"/>
      <c r="F38" s="379"/>
      <c r="G38" s="379"/>
      <c r="H38" s="379"/>
      <c r="I38" s="291" t="s">
        <v>1628</v>
      </c>
      <c r="J38" s="433" t="s">
        <v>1069</v>
      </c>
    </row>
    <row r="39" spans="1:11" s="1" customFormat="1" ht="31.5" customHeight="1" thickBot="1">
      <c r="A39" s="1097"/>
      <c r="B39" s="430" t="s">
        <v>1618</v>
      </c>
      <c r="C39" s="435" t="s">
        <v>1633</v>
      </c>
      <c r="D39" s="400" t="s">
        <v>1627</v>
      </c>
      <c r="E39" s="396"/>
      <c r="F39" s="379"/>
      <c r="G39" s="379"/>
      <c r="H39" s="379"/>
      <c r="I39" s="291" t="s">
        <v>1629</v>
      </c>
      <c r="J39" s="433" t="s">
        <v>1459</v>
      </c>
    </row>
    <row r="40" spans="1:11" s="1" customFormat="1" ht="31.5" customHeight="1" thickBot="1">
      <c r="B40" s="430" t="s">
        <v>1619</v>
      </c>
      <c r="C40" s="435" t="s">
        <v>1710</v>
      </c>
      <c r="D40" s="400" t="s">
        <v>1634</v>
      </c>
      <c r="E40" s="396"/>
      <c r="F40" s="379"/>
      <c r="G40" s="379"/>
      <c r="H40" s="379"/>
      <c r="I40" s="291" t="s">
        <v>1635</v>
      </c>
      <c r="J40" s="433" t="s">
        <v>1069</v>
      </c>
      <c r="K40" s="1" t="s">
        <v>1636</v>
      </c>
    </row>
    <row r="41" spans="1:11" s="1" customFormat="1" ht="31.5" customHeight="1" thickBot="1">
      <c r="B41" s="448" t="s">
        <v>1637</v>
      </c>
      <c r="C41" s="449" t="s">
        <v>1684</v>
      </c>
      <c r="D41" s="400" t="s">
        <v>1295</v>
      </c>
      <c r="E41" s="402" t="s">
        <v>1639</v>
      </c>
      <c r="F41" s="402" t="s">
        <v>1639</v>
      </c>
      <c r="G41" s="461" t="s">
        <v>1638</v>
      </c>
      <c r="H41" s="426"/>
      <c r="I41" s="426"/>
      <c r="J41" s="450" t="s">
        <v>1134</v>
      </c>
    </row>
    <row r="42" spans="1:11" s="1" customFormat="1" ht="31.5" customHeight="1" thickBot="1">
      <c r="B42" s="448" t="s">
        <v>1640</v>
      </c>
      <c r="C42" s="449" t="s">
        <v>1641</v>
      </c>
      <c r="D42" s="400" t="s">
        <v>1295</v>
      </c>
      <c r="E42" s="402" t="s">
        <v>1642</v>
      </c>
      <c r="F42" s="402" t="s">
        <v>1643</v>
      </c>
      <c r="G42" s="402" t="s">
        <v>1643</v>
      </c>
      <c r="H42" s="426"/>
      <c r="I42" s="426"/>
      <c r="J42" s="450" t="s">
        <v>957</v>
      </c>
    </row>
    <row r="43" spans="1:11" s="1" customFormat="1" ht="31.5" customHeight="1" thickBot="1">
      <c r="B43" s="448" t="s">
        <v>1644</v>
      </c>
      <c r="C43" s="449" t="s">
        <v>1645</v>
      </c>
      <c r="D43" s="400" t="s">
        <v>1646</v>
      </c>
      <c r="E43" s="402" t="s">
        <v>1647</v>
      </c>
      <c r="F43" s="402" t="s">
        <v>1648</v>
      </c>
      <c r="G43" s="402" t="s">
        <v>1648</v>
      </c>
      <c r="H43" s="426"/>
      <c r="I43" s="426"/>
      <c r="J43" s="450" t="s">
        <v>1134</v>
      </c>
    </row>
    <row r="44" spans="1:11" s="1" customFormat="1" ht="31.5" customHeight="1" thickBot="1">
      <c r="B44" s="448" t="s">
        <v>1649</v>
      </c>
      <c r="C44" s="449" t="s">
        <v>1650</v>
      </c>
      <c r="D44" s="400" t="s">
        <v>1651</v>
      </c>
      <c r="E44" s="402" t="s">
        <v>1653</v>
      </c>
      <c r="F44" s="402" t="s">
        <v>1652</v>
      </c>
      <c r="G44" s="426"/>
      <c r="H44" s="426"/>
      <c r="I44" s="426"/>
      <c r="J44" s="450" t="s">
        <v>1235</v>
      </c>
    </row>
    <row r="45" spans="1:11" s="1" customFormat="1" ht="27.75" customHeight="1" thickBot="1">
      <c r="A45" s="1086" t="s">
        <v>1656</v>
      </c>
      <c r="B45" s="1086" t="s">
        <v>1654</v>
      </c>
      <c r="C45" s="421" t="s">
        <v>1655</v>
      </c>
      <c r="D45" s="422" t="s">
        <v>1657</v>
      </c>
      <c r="E45" s="1088" t="s">
        <v>1658</v>
      </c>
      <c r="F45" s="1090" t="s">
        <v>1659</v>
      </c>
      <c r="G45" s="1090" t="s">
        <v>1660</v>
      </c>
      <c r="H45" s="379"/>
      <c r="I45" s="379"/>
      <c r="J45" s="450" t="s">
        <v>1209</v>
      </c>
    </row>
    <row r="46" spans="1:11" s="1" customFormat="1" ht="27.75" customHeight="1" thickBot="1">
      <c r="A46" s="1087"/>
      <c r="B46" s="1087"/>
      <c r="C46" s="421" t="s">
        <v>1662</v>
      </c>
      <c r="D46" s="422" t="s">
        <v>1661</v>
      </c>
      <c r="E46" s="1089"/>
      <c r="F46" s="1091"/>
      <c r="G46" s="1091"/>
      <c r="H46" s="426"/>
      <c r="I46" s="427"/>
      <c r="J46" s="450" t="s">
        <v>1235</v>
      </c>
    </row>
    <row r="47" spans="1:11" s="1" customFormat="1" ht="31.5" customHeight="1" thickBot="1">
      <c r="B47" s="448" t="s">
        <v>1663</v>
      </c>
      <c r="C47" s="449" t="s">
        <v>1664</v>
      </c>
      <c r="D47" s="400" t="s">
        <v>1666</v>
      </c>
      <c r="E47" s="402" t="s">
        <v>1665</v>
      </c>
      <c r="F47" s="402" t="s">
        <v>1665</v>
      </c>
      <c r="G47" s="426"/>
      <c r="H47" s="426"/>
      <c r="I47" s="426"/>
      <c r="J47" s="450" t="s">
        <v>957</v>
      </c>
    </row>
    <row r="48" spans="1:11" s="1" customFormat="1" ht="31.5" customHeight="1" thickBot="1">
      <c r="A48" s="451"/>
      <c r="B48" s="430" t="s">
        <v>1667</v>
      </c>
      <c r="C48" s="435" t="s">
        <v>1668</v>
      </c>
      <c r="D48" s="400" t="s">
        <v>1066</v>
      </c>
      <c r="E48" s="396"/>
      <c r="F48" s="379"/>
      <c r="G48" s="379"/>
      <c r="H48" s="379"/>
      <c r="I48" s="291" t="s">
        <v>1669</v>
      </c>
      <c r="J48" s="433" t="s">
        <v>1459</v>
      </c>
    </row>
    <row r="49" spans="1:10" s="371" customFormat="1" ht="31.5" customHeight="1" thickBot="1">
      <c r="A49" s="476"/>
      <c r="B49" s="430" t="s">
        <v>1670</v>
      </c>
      <c r="C49" s="435" t="s">
        <v>1671</v>
      </c>
      <c r="D49" s="400" t="s">
        <v>1066</v>
      </c>
      <c r="E49" s="396"/>
      <c r="F49" s="379"/>
      <c r="G49" s="379"/>
      <c r="H49" s="379"/>
      <c r="I49" s="291" t="s">
        <v>1672</v>
      </c>
      <c r="J49" s="433" t="s">
        <v>1459</v>
      </c>
    </row>
    <row r="50" spans="1:10" s="1" customFormat="1" ht="31.5" customHeight="1" thickBot="1">
      <c r="A50" s="451"/>
      <c r="B50" s="430" t="s">
        <v>1673</v>
      </c>
      <c r="C50" s="435" t="s">
        <v>1674</v>
      </c>
      <c r="D50" s="428" t="s">
        <v>1675</v>
      </c>
      <c r="E50" s="402" t="s">
        <v>1676</v>
      </c>
      <c r="F50" s="402" t="s">
        <v>1709</v>
      </c>
      <c r="G50" s="402" t="s">
        <v>1709</v>
      </c>
      <c r="H50" s="379"/>
      <c r="I50" s="379"/>
      <c r="J50" s="433" t="s">
        <v>1100</v>
      </c>
    </row>
    <row r="51" spans="1:10" s="1" customFormat="1" ht="31.5" customHeight="1" thickBot="1">
      <c r="A51" s="451"/>
      <c r="B51" s="430" t="s">
        <v>1677</v>
      </c>
      <c r="C51" s="435" t="s">
        <v>1678</v>
      </c>
      <c r="D51" s="428" t="s">
        <v>1066</v>
      </c>
      <c r="E51" s="396"/>
      <c r="F51" s="379"/>
      <c r="G51" s="379"/>
      <c r="H51" s="379"/>
      <c r="I51" s="291" t="s">
        <v>1635</v>
      </c>
      <c r="J51" s="433" t="s">
        <v>1679</v>
      </c>
    </row>
    <row r="52" spans="1:10" s="1" customFormat="1" ht="31.5" customHeight="1" thickBot="1">
      <c r="A52" s="451"/>
      <c r="B52" s="430" t="s">
        <v>1680</v>
      </c>
      <c r="C52" s="435" t="s">
        <v>1681</v>
      </c>
      <c r="D52" s="428" t="s">
        <v>1330</v>
      </c>
      <c r="E52" s="402" t="s">
        <v>1704</v>
      </c>
      <c r="F52" s="402" t="s">
        <v>1704</v>
      </c>
      <c r="G52" s="402" t="s">
        <v>1703</v>
      </c>
      <c r="H52" s="379"/>
      <c r="I52" s="379"/>
      <c r="J52" s="433" t="s">
        <v>1134</v>
      </c>
    </row>
    <row r="53" spans="1:10" s="458" customFormat="1" ht="31.5" customHeight="1" thickBot="1">
      <c r="A53" s="452"/>
      <c r="B53" s="453" t="s">
        <v>1685</v>
      </c>
      <c r="C53" s="435" t="s">
        <v>1698</v>
      </c>
      <c r="D53" s="454" t="s">
        <v>1686</v>
      </c>
      <c r="E53" s="455" t="s">
        <v>1687</v>
      </c>
      <c r="F53" s="455" t="s">
        <v>1688</v>
      </c>
      <c r="G53" s="455" t="s">
        <v>1688</v>
      </c>
      <c r="H53" s="456"/>
      <c r="I53" s="456"/>
      <c r="J53" s="457" t="s">
        <v>1394</v>
      </c>
    </row>
    <row r="54" spans="1:10" s="458" customFormat="1" ht="31.5" customHeight="1" thickBot="1">
      <c r="A54" s="452"/>
      <c r="B54" s="453" t="s">
        <v>1689</v>
      </c>
      <c r="C54" s="435" t="s">
        <v>1691</v>
      </c>
      <c r="D54" s="454" t="s">
        <v>1686</v>
      </c>
      <c r="E54" s="455" t="s">
        <v>1692</v>
      </c>
      <c r="F54" s="455" t="s">
        <v>1693</v>
      </c>
      <c r="G54" s="455" t="s">
        <v>1693</v>
      </c>
      <c r="H54" s="456"/>
      <c r="I54" s="456"/>
      <c r="J54" s="457" t="s">
        <v>1394</v>
      </c>
    </row>
    <row r="55" spans="1:10" s="458" customFormat="1" ht="31.5" customHeight="1" thickBot="1">
      <c r="A55" s="452"/>
      <c r="B55" s="453" t="s">
        <v>1690</v>
      </c>
      <c r="C55" s="435" t="s">
        <v>2421</v>
      </c>
      <c r="D55" s="454" t="s">
        <v>1694</v>
      </c>
      <c r="E55" s="455" t="s">
        <v>1695</v>
      </c>
      <c r="F55" s="455" t="s">
        <v>1696</v>
      </c>
      <c r="G55" s="455" t="s">
        <v>1696</v>
      </c>
      <c r="H55" s="456"/>
      <c r="I55" s="455" t="s">
        <v>1697</v>
      </c>
      <c r="J55" s="457" t="s">
        <v>1069</v>
      </c>
    </row>
    <row r="56" spans="1:10" s="1" customFormat="1" ht="31.5" customHeight="1" thickBot="1">
      <c r="A56" s="451"/>
      <c r="B56" s="430" t="s">
        <v>1699</v>
      </c>
      <c r="C56" s="435" t="s">
        <v>1700</v>
      </c>
      <c r="D56" s="428" t="s">
        <v>1330</v>
      </c>
      <c r="E56" s="402" t="s">
        <v>1701</v>
      </c>
      <c r="F56" s="402" t="s">
        <v>1701</v>
      </c>
      <c r="G56" s="402" t="s">
        <v>1702</v>
      </c>
      <c r="H56" s="379"/>
      <c r="I56" s="379"/>
      <c r="J56" s="433" t="s">
        <v>960</v>
      </c>
    </row>
    <row r="57" spans="1:10" s="1" customFormat="1" ht="31.5" customHeight="1" thickBot="1">
      <c r="A57" s="451"/>
      <c r="B57" s="430" t="s">
        <v>1705</v>
      </c>
      <c r="C57" s="435" t="s">
        <v>1706</v>
      </c>
      <c r="D57" s="428" t="s">
        <v>1342</v>
      </c>
      <c r="E57" s="402" t="s">
        <v>1707</v>
      </c>
      <c r="F57" s="402" t="s">
        <v>1708</v>
      </c>
      <c r="G57" s="402" t="s">
        <v>1708</v>
      </c>
      <c r="H57" s="379"/>
      <c r="I57" s="379"/>
      <c r="J57" s="433" t="s">
        <v>1134</v>
      </c>
    </row>
    <row r="58" spans="1:10" s="1" customFormat="1" ht="31.5" customHeight="1" thickBot="1">
      <c r="A58" s="451"/>
      <c r="B58" s="430" t="s">
        <v>1711</v>
      </c>
      <c r="C58" s="435" t="s">
        <v>1714</v>
      </c>
      <c r="D58" s="428" t="s">
        <v>1712</v>
      </c>
      <c r="E58" s="402" t="s">
        <v>2159</v>
      </c>
      <c r="F58" s="402" t="s">
        <v>2159</v>
      </c>
      <c r="G58" s="402" t="s">
        <v>1713</v>
      </c>
      <c r="H58" s="379"/>
      <c r="I58" s="402" t="s">
        <v>1713</v>
      </c>
      <c r="J58" s="433" t="s">
        <v>1069</v>
      </c>
    </row>
    <row r="59" spans="1:10" s="437" customFormat="1" ht="31.5" customHeight="1" thickBot="1">
      <c r="A59" s="447"/>
      <c r="B59" s="438" t="s">
        <v>1715</v>
      </c>
      <c r="C59" s="446" t="s">
        <v>1718</v>
      </c>
      <c r="D59" s="459" t="s">
        <v>1712</v>
      </c>
      <c r="E59" s="460" t="s">
        <v>1719</v>
      </c>
      <c r="F59" s="460" t="s">
        <v>1719</v>
      </c>
      <c r="G59" s="460" t="s">
        <v>1720</v>
      </c>
      <c r="H59" s="442"/>
      <c r="I59" s="460" t="s">
        <v>1721</v>
      </c>
      <c r="J59" s="444" t="s">
        <v>1069</v>
      </c>
    </row>
    <row r="60" spans="1:10" s="437" customFormat="1" ht="31.5" customHeight="1" thickBot="1">
      <c r="A60" s="447"/>
      <c r="B60" s="438" t="s">
        <v>1716</v>
      </c>
      <c r="C60" s="446" t="s">
        <v>1725</v>
      </c>
      <c r="D60" s="459" t="s">
        <v>1712</v>
      </c>
      <c r="E60" s="460" t="s">
        <v>1724</v>
      </c>
      <c r="F60" s="460" t="s">
        <v>1724</v>
      </c>
      <c r="G60" s="460" t="s">
        <v>1723</v>
      </c>
      <c r="H60" s="442"/>
      <c r="I60" s="460" t="s">
        <v>1722</v>
      </c>
      <c r="J60" s="444" t="s">
        <v>1459</v>
      </c>
    </row>
    <row r="61" spans="1:10" s="437" customFormat="1" ht="31.5" customHeight="1" thickBot="1">
      <c r="A61" s="447"/>
      <c r="B61" s="438" t="s">
        <v>1717</v>
      </c>
      <c r="C61" s="446" t="s">
        <v>1726</v>
      </c>
      <c r="D61" s="459" t="s">
        <v>1712</v>
      </c>
      <c r="E61" s="460" t="s">
        <v>2325</v>
      </c>
      <c r="F61" s="460" t="s">
        <v>2325</v>
      </c>
      <c r="G61" s="460" t="s">
        <v>1727</v>
      </c>
      <c r="H61" s="442"/>
      <c r="I61" s="460" t="s">
        <v>1727</v>
      </c>
      <c r="J61" s="444" t="s">
        <v>1069</v>
      </c>
    </row>
    <row r="62" spans="1:10" s="458" customFormat="1" ht="31.5" customHeight="1" thickBot="1">
      <c r="A62" s="452"/>
      <c r="B62" s="453" t="s">
        <v>1728</v>
      </c>
      <c r="C62" s="435" t="s">
        <v>1731</v>
      </c>
      <c r="D62" s="454" t="s">
        <v>1729</v>
      </c>
      <c r="E62" s="396"/>
      <c r="F62" s="379"/>
      <c r="G62" s="379"/>
      <c r="H62" s="379"/>
      <c r="I62" s="291" t="s">
        <v>1730</v>
      </c>
      <c r="J62" s="433" t="s">
        <v>1459</v>
      </c>
    </row>
    <row r="63" spans="1:10" s="458" customFormat="1" ht="31.5" customHeight="1" thickBot="1">
      <c r="A63" s="452"/>
      <c r="B63" s="453" t="s">
        <v>1732</v>
      </c>
      <c r="C63" s="435" t="s">
        <v>409</v>
      </c>
      <c r="D63" s="454" t="s">
        <v>1023</v>
      </c>
      <c r="E63" s="402" t="s">
        <v>1733</v>
      </c>
      <c r="F63" s="402" t="s">
        <v>1734</v>
      </c>
      <c r="G63" s="402" t="s">
        <v>1734</v>
      </c>
      <c r="H63" s="379"/>
      <c r="I63" s="379"/>
      <c r="J63" s="433" t="s">
        <v>1100</v>
      </c>
    </row>
    <row r="64" spans="1:10" s="465" customFormat="1" ht="31.5" customHeight="1" thickBot="1">
      <c r="A64" s="462"/>
      <c r="B64" s="463" t="s">
        <v>1735</v>
      </c>
      <c r="C64" s="446" t="s">
        <v>1736</v>
      </c>
      <c r="D64" s="464" t="s">
        <v>1066</v>
      </c>
      <c r="E64" s="441"/>
      <c r="F64" s="442"/>
      <c r="G64" s="442"/>
      <c r="H64" s="442"/>
      <c r="I64" s="443" t="s">
        <v>1737</v>
      </c>
      <c r="J64" s="444" t="s">
        <v>1738</v>
      </c>
    </row>
    <row r="65" spans="1:10" s="458" customFormat="1" ht="31.5" customHeight="1" thickBot="1">
      <c r="A65" s="452"/>
      <c r="B65" s="453" t="s">
        <v>1739</v>
      </c>
      <c r="C65" s="435" t="s">
        <v>1742</v>
      </c>
      <c r="D65" s="454" t="s">
        <v>1743</v>
      </c>
      <c r="E65" s="402" t="s">
        <v>1740</v>
      </c>
      <c r="F65" s="402" t="s">
        <v>1744</v>
      </c>
      <c r="G65" s="379"/>
      <c r="H65" s="402" t="s">
        <v>1741</v>
      </c>
      <c r="I65" s="379"/>
      <c r="J65" s="433" t="s">
        <v>1748</v>
      </c>
    </row>
    <row r="66" spans="1:10" s="458" customFormat="1" ht="31.5" customHeight="1" thickBot="1">
      <c r="A66" s="452"/>
      <c r="B66" s="453" t="s">
        <v>1745</v>
      </c>
      <c r="C66" s="435" t="s">
        <v>1746</v>
      </c>
      <c r="D66" s="454" t="s">
        <v>1749</v>
      </c>
      <c r="E66" s="396"/>
      <c r="F66" s="379"/>
      <c r="G66" s="379"/>
      <c r="H66" s="379"/>
      <c r="I66" s="291" t="s">
        <v>1747</v>
      </c>
      <c r="J66" s="433" t="s">
        <v>1069</v>
      </c>
    </row>
    <row r="67" spans="1:10" s="458" customFormat="1" ht="31.5" customHeight="1">
      <c r="A67" s="452"/>
      <c r="B67" s="453" t="s">
        <v>1750</v>
      </c>
      <c r="C67" s="435" t="s">
        <v>1751</v>
      </c>
      <c r="D67" s="454" t="s">
        <v>1752</v>
      </c>
      <c r="E67" s="402" t="s">
        <v>1753</v>
      </c>
      <c r="F67" s="402" t="s">
        <v>1754</v>
      </c>
      <c r="G67" s="379"/>
      <c r="H67" s="379"/>
      <c r="I67" s="379"/>
      <c r="J67" s="433" t="s">
        <v>960</v>
      </c>
    </row>
  </sheetData>
  <mergeCells count="11">
    <mergeCell ref="A45:A46"/>
    <mergeCell ref="B14:B15"/>
    <mergeCell ref="G45:G46"/>
    <mergeCell ref="I2:I3"/>
    <mergeCell ref="J2:J3"/>
    <mergeCell ref="E7:I7"/>
    <mergeCell ref="A36:A37"/>
    <mergeCell ref="A38:A39"/>
    <mergeCell ref="B45:B46"/>
    <mergeCell ref="E45:E46"/>
    <mergeCell ref="F45:F46"/>
  </mergeCells>
  <printOptions horizontalCentered="1"/>
  <pageMargins left="0.11811023622047245" right="0" top="0.55118110236220474" bottom="0.55118110236220474" header="0.31496062992125984" footer="0.31496062992125984"/>
  <pageSetup paperSize="9" scale="43" orientation="portrait" r:id="rId1"/>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10DEA3-06B0-469D-8084-515DADD87971}">
  <sheetPr codeName="Feuil6">
    <pageSetUpPr fitToPage="1"/>
  </sheetPr>
  <dimension ref="A1:J54"/>
  <sheetViews>
    <sheetView topLeftCell="A19" workbookViewId="0">
      <selection activeCell="D51" sqref="D51"/>
    </sheetView>
  </sheetViews>
  <sheetFormatPr baseColWidth="10" defaultRowHeight="12.75"/>
  <cols>
    <col min="1" max="1" width="5.5703125" customWidth="1"/>
    <col min="2" max="2" width="12.5703125" customWidth="1"/>
    <col min="3" max="3" width="47.42578125" customWidth="1"/>
    <col min="4" max="4" width="41.5703125" customWidth="1"/>
    <col min="5" max="5" width="11.5703125" customWidth="1"/>
    <col min="6" max="7" width="12.5703125" bestFit="1" customWidth="1"/>
    <col min="8" max="8" width="13.42578125" bestFit="1" customWidth="1"/>
    <col min="9" max="9" width="12" customWidth="1"/>
    <col min="10" max="10" width="40.5703125" customWidth="1"/>
  </cols>
  <sheetData>
    <row r="1" spans="1:10" s="20" customFormat="1" ht="6.75" customHeight="1">
      <c r="D1" s="119"/>
      <c r="J1" s="61"/>
    </row>
    <row r="2" spans="1:10" s="20" customFormat="1">
      <c r="D2" s="119"/>
      <c r="I2" s="1080"/>
      <c r="J2" s="1078"/>
    </row>
    <row r="3" spans="1:10" s="20" customFormat="1" ht="10.5" customHeight="1">
      <c r="D3" s="119"/>
      <c r="I3" s="1080"/>
      <c r="J3" s="1079"/>
    </row>
    <row r="4" spans="1:10" s="20" customFormat="1" ht="13.5" thickBot="1">
      <c r="D4" s="119"/>
      <c r="J4" s="61"/>
    </row>
    <row r="5" spans="1:10" s="336" customFormat="1" ht="21.75" thickTop="1" thickBot="1">
      <c r="B5" s="331" t="s">
        <v>1755</v>
      </c>
      <c r="C5" s="332"/>
      <c r="D5" s="333"/>
      <c r="E5" s="332"/>
      <c r="F5" s="334"/>
      <c r="G5" s="334"/>
      <c r="H5" s="334"/>
      <c r="I5" s="334"/>
      <c r="J5" s="335"/>
    </row>
    <row r="6" spans="1:10" s="20" customFormat="1" ht="17.25" thickTop="1" thickBot="1">
      <c r="A6" s="434" t="s">
        <v>1528</v>
      </c>
      <c r="B6" s="26"/>
      <c r="C6" s="26"/>
      <c r="E6" s="121"/>
      <c r="F6" s="27"/>
      <c r="G6" s="27"/>
      <c r="H6" s="27"/>
      <c r="I6" s="27"/>
      <c r="J6" s="63"/>
    </row>
    <row r="7" spans="1:10" s="20" customFormat="1" ht="16.5" customHeight="1" thickBot="1">
      <c r="B7" s="26"/>
      <c r="C7" s="26"/>
      <c r="D7" s="121"/>
      <c r="E7" s="1083" t="s">
        <v>1026</v>
      </c>
      <c r="F7" s="1084"/>
      <c r="G7" s="1084"/>
      <c r="H7" s="1084"/>
      <c r="I7" s="1085"/>
      <c r="J7" s="63"/>
    </row>
    <row r="8" spans="1:10" s="330" customFormat="1" ht="19.5" customHeight="1" thickBot="1">
      <c r="B8" s="327" t="s">
        <v>992</v>
      </c>
      <c r="C8" s="327" t="s">
        <v>993</v>
      </c>
      <c r="D8" s="327" t="s">
        <v>994</v>
      </c>
      <c r="E8" s="327" t="s">
        <v>0</v>
      </c>
      <c r="F8" s="327" t="s">
        <v>1</v>
      </c>
      <c r="G8" s="327" t="s">
        <v>995</v>
      </c>
      <c r="H8" s="328" t="s">
        <v>996</v>
      </c>
      <c r="I8" s="329" t="s">
        <v>997</v>
      </c>
      <c r="J8" s="327" t="s">
        <v>4</v>
      </c>
    </row>
    <row r="9" spans="1:10" s="1" customFormat="1" ht="45.75" thickBot="1">
      <c r="B9" s="430" t="s">
        <v>1756</v>
      </c>
      <c r="C9" s="468" t="s">
        <v>1758</v>
      </c>
      <c r="D9" s="469" t="s">
        <v>1759</v>
      </c>
      <c r="E9" s="402" t="s">
        <v>1783</v>
      </c>
      <c r="F9" s="404" t="s">
        <v>1783</v>
      </c>
      <c r="G9" s="432"/>
      <c r="H9" s="404" t="s">
        <v>1757</v>
      </c>
      <c r="I9" s="432"/>
      <c r="J9" s="433" t="s">
        <v>960</v>
      </c>
    </row>
    <row r="10" spans="1:10" s="1" customFormat="1" ht="30.75" thickBot="1">
      <c r="B10" s="430" t="s">
        <v>1760</v>
      </c>
      <c r="C10" s="468" t="s">
        <v>1762</v>
      </c>
      <c r="D10" s="469" t="s">
        <v>1763</v>
      </c>
      <c r="E10" s="432"/>
      <c r="F10" s="432"/>
      <c r="G10" s="432"/>
      <c r="H10" s="432"/>
      <c r="I10" s="404" t="s">
        <v>1764</v>
      </c>
      <c r="J10" s="470" t="s">
        <v>1781</v>
      </c>
    </row>
    <row r="11" spans="1:10" s="1" customFormat="1" ht="18.75" thickBot="1">
      <c r="B11" s="430" t="s">
        <v>1761</v>
      </c>
      <c r="C11" s="468" t="s">
        <v>1766</v>
      </c>
      <c r="D11" s="469" t="s">
        <v>1066</v>
      </c>
      <c r="E11" s="432"/>
      <c r="F11" s="432"/>
      <c r="G11" s="432"/>
      <c r="H11" s="432"/>
      <c r="I11" s="404" t="s">
        <v>1765</v>
      </c>
      <c r="J11" s="433" t="s">
        <v>1738</v>
      </c>
    </row>
    <row r="12" spans="1:10" s="1" customFormat="1" ht="18.75" thickBot="1">
      <c r="B12" s="430" t="s">
        <v>1767</v>
      </c>
      <c r="C12" s="468" t="s">
        <v>1768</v>
      </c>
      <c r="D12" s="469" t="s">
        <v>1295</v>
      </c>
      <c r="E12" s="402" t="s">
        <v>1769</v>
      </c>
      <c r="F12" s="402" t="s">
        <v>1770</v>
      </c>
      <c r="G12" s="402" t="s">
        <v>1770</v>
      </c>
      <c r="H12" s="432"/>
      <c r="I12" s="432"/>
      <c r="J12" s="433" t="s">
        <v>1134</v>
      </c>
    </row>
    <row r="13" spans="1:10" s="1" customFormat="1" ht="18.75" thickBot="1">
      <c r="B13" s="430" t="s">
        <v>1771</v>
      </c>
      <c r="C13" s="468" t="s">
        <v>1772</v>
      </c>
      <c r="D13" s="469" t="s">
        <v>1295</v>
      </c>
      <c r="E13" s="402" t="s">
        <v>1773</v>
      </c>
      <c r="F13" s="402" t="s">
        <v>1774</v>
      </c>
      <c r="G13" s="402" t="s">
        <v>1774</v>
      </c>
      <c r="H13" s="432"/>
      <c r="I13" s="432"/>
      <c r="J13" s="433" t="s">
        <v>1134</v>
      </c>
    </row>
    <row r="14" spans="1:10" s="1" customFormat="1" ht="18.75" thickBot="1">
      <c r="B14" s="430" t="s">
        <v>1775</v>
      </c>
      <c r="C14" s="468" t="s">
        <v>1776</v>
      </c>
      <c r="D14" s="469" t="s">
        <v>1066</v>
      </c>
      <c r="E14" s="432"/>
      <c r="F14" s="432"/>
      <c r="G14" s="432"/>
      <c r="H14" s="432"/>
      <c r="I14" s="404" t="s">
        <v>1777</v>
      </c>
      <c r="J14" s="433" t="s">
        <v>1738</v>
      </c>
    </row>
    <row r="15" spans="1:10" s="1" customFormat="1" ht="30.75" thickBot="1">
      <c r="B15" s="430" t="s">
        <v>1778</v>
      </c>
      <c r="C15" s="468" t="s">
        <v>1779</v>
      </c>
      <c r="D15" s="469" t="s">
        <v>1782</v>
      </c>
      <c r="E15" s="432"/>
      <c r="F15" s="432"/>
      <c r="G15" s="432"/>
      <c r="H15" s="432"/>
      <c r="I15" s="404" t="s">
        <v>1780</v>
      </c>
      <c r="J15" s="470" t="s">
        <v>1781</v>
      </c>
    </row>
    <row r="16" spans="1:10" s="475" customFormat="1" ht="24.75" thickBot="1">
      <c r="B16" s="430" t="s">
        <v>1786</v>
      </c>
      <c r="C16" s="468" t="s">
        <v>1784</v>
      </c>
      <c r="D16" s="469" t="s">
        <v>1785</v>
      </c>
      <c r="E16" s="402" t="s">
        <v>1787</v>
      </c>
      <c r="F16" s="402" t="s">
        <v>1788</v>
      </c>
      <c r="G16" s="432"/>
      <c r="H16" s="432"/>
      <c r="I16" s="432"/>
      <c r="J16" s="433" t="s">
        <v>960</v>
      </c>
    </row>
    <row r="17" spans="2:10" s="475" customFormat="1" ht="26.25" thickBot="1">
      <c r="B17" s="430" t="s">
        <v>1789</v>
      </c>
      <c r="C17" s="474" t="s">
        <v>1798</v>
      </c>
      <c r="D17" s="469" t="s">
        <v>1295</v>
      </c>
      <c r="E17" s="402" t="s">
        <v>1790</v>
      </c>
      <c r="F17" s="402" t="s">
        <v>1791</v>
      </c>
      <c r="G17" s="402" t="s">
        <v>1791</v>
      </c>
      <c r="H17" s="432"/>
      <c r="I17" s="432"/>
      <c r="J17" s="433" t="s">
        <v>960</v>
      </c>
    </row>
    <row r="18" spans="2:10" s="1" customFormat="1" ht="27.75" customHeight="1" thickBot="1">
      <c r="B18" s="318" t="s">
        <v>1792</v>
      </c>
      <c r="C18" s="403" t="s">
        <v>1793</v>
      </c>
      <c r="D18" s="428" t="s">
        <v>1467</v>
      </c>
      <c r="E18" s="404" t="s">
        <v>1794</v>
      </c>
      <c r="F18" s="404" t="s">
        <v>1794</v>
      </c>
      <c r="G18" s="432"/>
      <c r="H18" s="404" t="s">
        <v>1795</v>
      </c>
      <c r="I18" s="404" t="s">
        <v>1796</v>
      </c>
      <c r="J18" s="355" t="s">
        <v>1797</v>
      </c>
    </row>
    <row r="19" spans="2:10" s="1" customFormat="1" ht="27.75" customHeight="1" thickBot="1">
      <c r="B19" s="318" t="s">
        <v>1799</v>
      </c>
      <c r="C19" s="403" t="s">
        <v>1800</v>
      </c>
      <c r="D19" s="428" t="s">
        <v>1803</v>
      </c>
      <c r="E19" s="404" t="s">
        <v>1801</v>
      </c>
      <c r="F19" s="404" t="s">
        <v>1802</v>
      </c>
      <c r="G19" s="404" t="s">
        <v>1802</v>
      </c>
      <c r="H19" s="432"/>
      <c r="I19" s="432"/>
      <c r="J19" s="355" t="s">
        <v>1209</v>
      </c>
    </row>
    <row r="20" spans="2:10" s="1" customFormat="1" ht="27.75" customHeight="1" thickBot="1">
      <c r="B20" s="318" t="s">
        <v>1804</v>
      </c>
      <c r="C20" s="403" t="s">
        <v>1805</v>
      </c>
      <c r="D20" s="469" t="s">
        <v>1806</v>
      </c>
      <c r="E20" s="404" t="s">
        <v>1807</v>
      </c>
      <c r="F20" s="404" t="s">
        <v>1808</v>
      </c>
      <c r="G20" s="404" t="s">
        <v>1808</v>
      </c>
      <c r="H20" s="432"/>
      <c r="I20" s="432"/>
      <c r="J20" s="355" t="s">
        <v>1134</v>
      </c>
    </row>
    <row r="21" spans="2:10" s="437" customFormat="1" ht="27.75" customHeight="1" thickBot="1">
      <c r="B21" s="471" t="s">
        <v>1809</v>
      </c>
      <c r="C21" s="472" t="s">
        <v>1810</v>
      </c>
      <c r="D21" s="467" t="s">
        <v>1811</v>
      </c>
      <c r="E21" s="445" t="s">
        <v>2000</v>
      </c>
      <c r="F21" s="445" t="s">
        <v>1999</v>
      </c>
      <c r="G21" s="445" t="s">
        <v>2001</v>
      </c>
      <c r="H21" s="466"/>
      <c r="I21" s="445" t="s">
        <v>1812</v>
      </c>
      <c r="J21" s="473" t="s">
        <v>1235</v>
      </c>
    </row>
    <row r="22" spans="2:10" s="1" customFormat="1" ht="27.75" customHeight="1" thickBot="1">
      <c r="B22" s="318" t="s">
        <v>1813</v>
      </c>
      <c r="C22" s="403" t="s">
        <v>1814</v>
      </c>
      <c r="D22" s="469" t="s">
        <v>1815</v>
      </c>
      <c r="E22" s="404" t="s">
        <v>1819</v>
      </c>
      <c r="F22" s="404" t="s">
        <v>1819</v>
      </c>
      <c r="G22" s="404" t="s">
        <v>1818</v>
      </c>
      <c r="H22" s="432"/>
      <c r="I22" s="432"/>
      <c r="J22" s="355" t="s">
        <v>1060</v>
      </c>
    </row>
    <row r="23" spans="2:10" s="1" customFormat="1" ht="27.75" customHeight="1" thickBot="1">
      <c r="B23" s="318" t="s">
        <v>1816</v>
      </c>
      <c r="C23" s="403" t="s">
        <v>1817</v>
      </c>
      <c r="D23" s="469" t="s">
        <v>1023</v>
      </c>
      <c r="E23" s="404" t="s">
        <v>1820</v>
      </c>
      <c r="F23" s="432"/>
      <c r="G23" s="432"/>
      <c r="H23" s="432"/>
      <c r="I23" s="432"/>
      <c r="J23" s="355" t="s">
        <v>438</v>
      </c>
    </row>
    <row r="24" spans="2:10" s="1" customFormat="1" ht="27.75" customHeight="1" thickBot="1">
      <c r="B24" s="318" t="s">
        <v>1821</v>
      </c>
      <c r="C24" s="403" t="s">
        <v>737</v>
      </c>
      <c r="D24" s="469" t="s">
        <v>1023</v>
      </c>
      <c r="E24" s="404" t="s">
        <v>1822</v>
      </c>
      <c r="F24" s="432"/>
      <c r="G24" s="432"/>
      <c r="H24" s="432"/>
      <c r="I24" s="432"/>
      <c r="J24" s="355" t="s">
        <v>438</v>
      </c>
    </row>
    <row r="25" spans="2:10" s="1" customFormat="1" ht="27.75" customHeight="1" thickBot="1">
      <c r="B25" s="318" t="s">
        <v>1823</v>
      </c>
      <c r="C25" s="403" t="s">
        <v>1824</v>
      </c>
      <c r="D25" s="469" t="s">
        <v>1712</v>
      </c>
      <c r="E25" s="432"/>
      <c r="F25" s="432"/>
      <c r="G25" s="404" t="s">
        <v>1825</v>
      </c>
      <c r="H25" s="432"/>
      <c r="I25" s="404" t="s">
        <v>1826</v>
      </c>
      <c r="J25" s="355" t="s">
        <v>1738</v>
      </c>
    </row>
    <row r="26" spans="2:10" s="1" customFormat="1" ht="27.75" customHeight="1" thickBot="1">
      <c r="B26" s="318" t="s">
        <v>1827</v>
      </c>
      <c r="C26" s="403" t="s">
        <v>1828</v>
      </c>
      <c r="D26" s="469" t="s">
        <v>1023</v>
      </c>
      <c r="E26" s="402" t="s">
        <v>1829</v>
      </c>
      <c r="F26" s="402" t="s">
        <v>1830</v>
      </c>
      <c r="G26" s="402" t="s">
        <v>1830</v>
      </c>
      <c r="H26" s="432"/>
      <c r="I26" s="432"/>
      <c r="J26" s="355" t="s">
        <v>960</v>
      </c>
    </row>
    <row r="27" spans="2:10" s="1" customFormat="1" ht="27.75" customHeight="1" thickBot="1">
      <c r="B27" s="318" t="s">
        <v>1831</v>
      </c>
      <c r="C27" s="403" t="s">
        <v>1832</v>
      </c>
      <c r="D27" s="469" t="s">
        <v>1066</v>
      </c>
      <c r="E27" s="432"/>
      <c r="F27" s="432"/>
      <c r="G27" s="432"/>
      <c r="H27" s="432"/>
      <c r="I27" s="404" t="s">
        <v>1833</v>
      </c>
      <c r="J27" s="355" t="s">
        <v>1738</v>
      </c>
    </row>
    <row r="28" spans="2:10" s="478" customFormat="1" ht="27.75" customHeight="1" thickBot="1">
      <c r="B28" s="322" t="s">
        <v>1834</v>
      </c>
      <c r="C28" s="403" t="s">
        <v>1835</v>
      </c>
      <c r="D28" s="477" t="s">
        <v>995</v>
      </c>
      <c r="E28" s="402" t="s">
        <v>1837</v>
      </c>
      <c r="F28" s="402" t="s">
        <v>1837</v>
      </c>
      <c r="G28" s="402" t="s">
        <v>1836</v>
      </c>
      <c r="H28" s="404"/>
      <c r="I28" s="404"/>
      <c r="J28" s="368" t="s">
        <v>1134</v>
      </c>
    </row>
    <row r="29" spans="2:10" s="1" customFormat="1" ht="27.75" customHeight="1" thickBot="1">
      <c r="B29" s="318" t="s">
        <v>1838</v>
      </c>
      <c r="C29" s="403" t="s">
        <v>1839</v>
      </c>
      <c r="D29" s="469" t="s">
        <v>1842</v>
      </c>
      <c r="E29" s="402" t="s">
        <v>1841</v>
      </c>
      <c r="F29" s="402" t="s">
        <v>1840</v>
      </c>
      <c r="G29" s="402" t="s">
        <v>1840</v>
      </c>
      <c r="H29" s="432"/>
      <c r="I29" s="432"/>
      <c r="J29" s="355" t="s">
        <v>1843</v>
      </c>
    </row>
    <row r="30" spans="2:10" s="1" customFormat="1" ht="27.75" customHeight="1" thickBot="1">
      <c r="B30" s="318" t="s">
        <v>1844</v>
      </c>
      <c r="C30" s="403" t="s">
        <v>1847</v>
      </c>
      <c r="D30" s="469" t="s">
        <v>1295</v>
      </c>
      <c r="E30" s="402" t="s">
        <v>1845</v>
      </c>
      <c r="F30" s="402" t="s">
        <v>1846</v>
      </c>
      <c r="G30" s="402" t="s">
        <v>1846</v>
      </c>
      <c r="H30" s="432"/>
      <c r="I30" s="432"/>
      <c r="J30" s="355" t="s">
        <v>1060</v>
      </c>
    </row>
    <row r="31" spans="2:10" s="478" customFormat="1" ht="27.75" customHeight="1" thickBot="1">
      <c r="B31" s="322" t="s">
        <v>1848</v>
      </c>
      <c r="C31" s="403" t="s">
        <v>1849</v>
      </c>
      <c r="D31" s="477" t="s">
        <v>1023</v>
      </c>
      <c r="E31" s="402" t="s">
        <v>1850</v>
      </c>
      <c r="F31" s="402" t="s">
        <v>1851</v>
      </c>
      <c r="G31" s="402" t="s">
        <v>1851</v>
      </c>
      <c r="H31" s="404"/>
      <c r="I31" s="404"/>
      <c r="J31" s="368" t="s">
        <v>1134</v>
      </c>
    </row>
    <row r="32" spans="2:10" s="1" customFormat="1" ht="27.75" customHeight="1" thickBot="1">
      <c r="B32" s="318" t="s">
        <v>1852</v>
      </c>
      <c r="C32" s="403" t="s">
        <v>1853</v>
      </c>
      <c r="D32" s="477" t="s">
        <v>1</v>
      </c>
      <c r="E32" s="402" t="s">
        <v>1855</v>
      </c>
      <c r="F32" s="402" t="s">
        <v>1854</v>
      </c>
      <c r="G32" s="402" t="s">
        <v>1855</v>
      </c>
      <c r="H32" s="432"/>
      <c r="I32" s="432"/>
      <c r="J32" s="355" t="s">
        <v>1860</v>
      </c>
    </row>
    <row r="33" spans="2:10" s="1" customFormat="1" ht="27.75" customHeight="1" thickBot="1">
      <c r="B33" s="318" t="s">
        <v>1856</v>
      </c>
      <c r="C33" s="403" t="s">
        <v>1857</v>
      </c>
      <c r="D33" s="477" t="s">
        <v>1858</v>
      </c>
      <c r="E33" s="402" t="s">
        <v>1865</v>
      </c>
      <c r="F33" s="402" t="s">
        <v>1865</v>
      </c>
      <c r="G33" s="432"/>
      <c r="H33" s="432"/>
      <c r="I33" s="404" t="s">
        <v>1859</v>
      </c>
      <c r="J33" s="355" t="s">
        <v>1738</v>
      </c>
    </row>
    <row r="34" spans="2:10" s="1" customFormat="1" ht="27.75" customHeight="1" thickBot="1">
      <c r="B34" s="318" t="s">
        <v>1861</v>
      </c>
      <c r="C34" s="403" t="s">
        <v>1862</v>
      </c>
      <c r="D34" s="477" t="s">
        <v>1858</v>
      </c>
      <c r="E34" s="432"/>
      <c r="F34" s="432"/>
      <c r="G34" s="432"/>
      <c r="H34" s="432"/>
      <c r="I34" s="404" t="s">
        <v>1863</v>
      </c>
      <c r="J34" s="355" t="s">
        <v>1864</v>
      </c>
    </row>
    <row r="35" spans="2:10" s="1" customFormat="1" ht="27.75" customHeight="1" thickBot="1">
      <c r="B35" s="318" t="s">
        <v>1866</v>
      </c>
      <c r="C35" s="403" t="s">
        <v>1867</v>
      </c>
      <c r="D35" s="477" t="s">
        <v>1868</v>
      </c>
      <c r="E35" s="402" t="s">
        <v>1869</v>
      </c>
      <c r="F35" s="402" t="s">
        <v>1870</v>
      </c>
      <c r="G35" s="432"/>
      <c r="H35" s="432"/>
      <c r="I35" s="432"/>
      <c r="J35" s="355" t="s">
        <v>1235</v>
      </c>
    </row>
    <row r="36" spans="2:10" s="1" customFormat="1" ht="27.75" customHeight="1" thickBot="1">
      <c r="B36" s="318" t="s">
        <v>1871</v>
      </c>
      <c r="C36" s="403" t="s">
        <v>1875</v>
      </c>
      <c r="D36" s="477" t="s">
        <v>1872</v>
      </c>
      <c r="E36" s="402" t="s">
        <v>1873</v>
      </c>
      <c r="F36" s="402" t="s">
        <v>1874</v>
      </c>
      <c r="G36" s="432"/>
      <c r="H36" s="432"/>
      <c r="I36" s="432"/>
      <c r="J36" s="355"/>
    </row>
    <row r="37" spans="2:10" s="1" customFormat="1" ht="27.75" customHeight="1" thickBot="1">
      <c r="B37" s="318" t="s">
        <v>1876</v>
      </c>
      <c r="C37" s="479" t="s">
        <v>1877</v>
      </c>
      <c r="D37" s="477" t="s">
        <v>1878</v>
      </c>
      <c r="E37" s="402" t="s">
        <v>1879</v>
      </c>
      <c r="F37" s="402" t="s">
        <v>1880</v>
      </c>
      <c r="G37" s="402" t="s">
        <v>1880</v>
      </c>
      <c r="H37" s="432"/>
      <c r="I37" s="432"/>
      <c r="J37" s="355" t="s">
        <v>438</v>
      </c>
    </row>
    <row r="38" spans="2:10" s="1" customFormat="1" ht="27.75" customHeight="1" thickBot="1">
      <c r="B38" s="318" t="s">
        <v>1881</v>
      </c>
      <c r="C38" s="479" t="s">
        <v>1882</v>
      </c>
      <c r="D38" s="477" t="s">
        <v>1</v>
      </c>
      <c r="E38" s="402" t="s">
        <v>1883</v>
      </c>
      <c r="F38" s="402" t="s">
        <v>1884</v>
      </c>
      <c r="G38" s="402" t="s">
        <v>1883</v>
      </c>
      <c r="H38" s="432"/>
      <c r="I38" s="432"/>
      <c r="J38" s="355" t="s">
        <v>1892</v>
      </c>
    </row>
    <row r="39" spans="2:10" s="486" customFormat="1" ht="27.75" customHeight="1" thickBot="1">
      <c r="B39" s="480" t="s">
        <v>1885</v>
      </c>
      <c r="C39" s="481" t="s">
        <v>1886</v>
      </c>
      <c r="D39" s="482" t="s">
        <v>1066</v>
      </c>
      <c r="E39" s="483"/>
      <c r="F39" s="483"/>
      <c r="G39" s="483"/>
      <c r="H39" s="483"/>
      <c r="I39" s="484" t="s">
        <v>1887</v>
      </c>
      <c r="J39" s="485" t="s">
        <v>1781</v>
      </c>
    </row>
    <row r="40" spans="2:10" s="486" customFormat="1" ht="27.75" customHeight="1" thickBot="1">
      <c r="B40" s="480" t="s">
        <v>1888</v>
      </c>
      <c r="C40" s="481" t="s">
        <v>1889</v>
      </c>
      <c r="D40" s="482" t="s">
        <v>1890</v>
      </c>
      <c r="E40" s="483"/>
      <c r="F40" s="483"/>
      <c r="G40" s="483"/>
      <c r="H40" s="483"/>
      <c r="I40" s="484" t="s">
        <v>1891</v>
      </c>
      <c r="J40" s="485" t="s">
        <v>1738</v>
      </c>
    </row>
    <row r="41" spans="2:10" s="1" customFormat="1" ht="27.75" customHeight="1" thickBot="1">
      <c r="B41" s="318" t="s">
        <v>1893</v>
      </c>
      <c r="C41" s="403" t="s">
        <v>1896</v>
      </c>
      <c r="D41" s="477" t="s">
        <v>1712</v>
      </c>
      <c r="E41" s="404" t="s">
        <v>1895</v>
      </c>
      <c r="F41" s="404" t="s">
        <v>1895</v>
      </c>
      <c r="G41" s="404" t="s">
        <v>1895</v>
      </c>
      <c r="H41" s="432"/>
      <c r="I41" s="404" t="s">
        <v>1894</v>
      </c>
      <c r="J41" s="355" t="s">
        <v>1209</v>
      </c>
    </row>
    <row r="42" spans="2:10" s="1" customFormat="1" ht="27.75" customHeight="1" thickBot="1">
      <c r="B42" s="318" t="s">
        <v>1899</v>
      </c>
      <c r="C42" s="403" t="s">
        <v>1904</v>
      </c>
      <c r="D42" s="469" t="s">
        <v>1897</v>
      </c>
      <c r="E42" s="402" t="s">
        <v>1898</v>
      </c>
      <c r="F42" s="402" t="s">
        <v>1900</v>
      </c>
      <c r="G42" s="402" t="s">
        <v>1901</v>
      </c>
      <c r="H42" s="402" t="s">
        <v>1902</v>
      </c>
      <c r="I42" s="432"/>
      <c r="J42" s="355" t="s">
        <v>1903</v>
      </c>
    </row>
    <row r="43" spans="2:10" s="486" customFormat="1" ht="27.75" customHeight="1" thickBot="1">
      <c r="B43" s="480" t="s">
        <v>1905</v>
      </c>
      <c r="C43" s="487" t="s">
        <v>1906</v>
      </c>
      <c r="D43" s="482" t="s">
        <v>1066</v>
      </c>
      <c r="E43" s="483"/>
      <c r="F43" s="483"/>
      <c r="G43" s="483"/>
      <c r="H43" s="483"/>
      <c r="I43" s="484" t="s">
        <v>1907</v>
      </c>
      <c r="J43" s="485" t="s">
        <v>1738</v>
      </c>
    </row>
    <row r="44" spans="2:10" s="1" customFormat="1" ht="27.75" customHeight="1" thickBot="1">
      <c r="B44" s="318" t="s">
        <v>1908</v>
      </c>
      <c r="C44" s="403" t="s">
        <v>1909</v>
      </c>
      <c r="D44" s="469" t="s">
        <v>1023</v>
      </c>
      <c r="E44" s="402" t="s">
        <v>1910</v>
      </c>
      <c r="F44" s="402" t="s">
        <v>1911</v>
      </c>
      <c r="G44" s="402" t="s">
        <v>1911</v>
      </c>
      <c r="H44" s="402" t="s">
        <v>1911</v>
      </c>
      <c r="I44" s="432"/>
      <c r="J44" s="355" t="s">
        <v>1134</v>
      </c>
    </row>
    <row r="45" spans="2:10" s="478" customFormat="1" ht="27.75" customHeight="1" thickBot="1">
      <c r="B45" s="322" t="s">
        <v>1912</v>
      </c>
      <c r="C45" s="479" t="s">
        <v>1913</v>
      </c>
      <c r="D45" s="477" t="s">
        <v>1914</v>
      </c>
      <c r="E45" s="483"/>
      <c r="F45" s="483"/>
      <c r="G45" s="483"/>
      <c r="H45" s="483"/>
      <c r="I45" s="404" t="s">
        <v>1915</v>
      </c>
      <c r="J45" s="368" t="s">
        <v>1738</v>
      </c>
    </row>
    <row r="46" spans="2:10" s="478" customFormat="1" ht="27.75" customHeight="1" thickBot="1">
      <c r="B46" s="322" t="s">
        <v>1916</v>
      </c>
      <c r="C46" s="403" t="s">
        <v>1918</v>
      </c>
      <c r="D46" s="477" t="s">
        <v>1023</v>
      </c>
      <c r="E46" s="402" t="s">
        <v>1919</v>
      </c>
      <c r="F46" s="402" t="s">
        <v>1920</v>
      </c>
      <c r="G46" s="402" t="s">
        <v>1920</v>
      </c>
      <c r="H46" s="402" t="s">
        <v>1920</v>
      </c>
      <c r="I46" s="483"/>
      <c r="J46" s="368" t="s">
        <v>1917</v>
      </c>
    </row>
    <row r="47" spans="2:10" s="478" customFormat="1" ht="27.75" customHeight="1" thickBot="1">
      <c r="B47" s="322" t="s">
        <v>1921</v>
      </c>
      <c r="C47" s="403" t="s">
        <v>1922</v>
      </c>
      <c r="D47" s="477" t="s">
        <v>1295</v>
      </c>
      <c r="E47" s="402" t="s">
        <v>1923</v>
      </c>
      <c r="F47" s="402" t="s">
        <v>1924</v>
      </c>
      <c r="G47" s="402" t="s">
        <v>1924</v>
      </c>
      <c r="H47" s="402" t="s">
        <v>1924</v>
      </c>
      <c r="I47" s="483"/>
      <c r="J47" s="368" t="s">
        <v>1209</v>
      </c>
    </row>
    <row r="48" spans="2:10" s="478" customFormat="1" ht="27.75" customHeight="1" thickBot="1">
      <c r="B48" s="322" t="s">
        <v>1925</v>
      </c>
      <c r="C48" s="403" t="s">
        <v>1927</v>
      </c>
      <c r="D48" s="477" t="s">
        <v>1928</v>
      </c>
      <c r="E48" s="402" t="s">
        <v>1929</v>
      </c>
      <c r="F48" s="402" t="s">
        <v>1926</v>
      </c>
      <c r="G48" s="402" t="s">
        <v>1929</v>
      </c>
      <c r="H48" s="483"/>
      <c r="I48" s="483"/>
      <c r="J48" s="368" t="s">
        <v>1235</v>
      </c>
    </row>
    <row r="49" spans="2:10" s="478" customFormat="1" ht="27.75" customHeight="1" thickBot="1">
      <c r="B49" s="322" t="s">
        <v>1930</v>
      </c>
      <c r="C49" s="403" t="s">
        <v>1931</v>
      </c>
      <c r="D49" s="477" t="s">
        <v>1023</v>
      </c>
      <c r="E49" s="402" t="s">
        <v>1932</v>
      </c>
      <c r="F49" s="402" t="s">
        <v>1933</v>
      </c>
      <c r="G49" s="402" t="s">
        <v>1933</v>
      </c>
      <c r="H49" s="483"/>
      <c r="I49" s="483"/>
      <c r="J49" s="368" t="s">
        <v>957</v>
      </c>
    </row>
    <row r="50" spans="2:10" s="478" customFormat="1" ht="27.75" customHeight="1" thickBot="1">
      <c r="B50" s="322" t="s">
        <v>1934</v>
      </c>
      <c r="C50" s="403" t="s">
        <v>1935</v>
      </c>
      <c r="D50" s="477" t="s">
        <v>2037</v>
      </c>
      <c r="E50" s="402" t="s">
        <v>1936</v>
      </c>
      <c r="F50" s="402" t="s">
        <v>1937</v>
      </c>
      <c r="G50" s="402" t="s">
        <v>1937</v>
      </c>
      <c r="H50" s="432"/>
      <c r="I50" s="432"/>
      <c r="J50" s="368" t="s">
        <v>957</v>
      </c>
    </row>
    <row r="51" spans="2:10" s="478" customFormat="1" ht="27.75" customHeight="1" thickBot="1">
      <c r="B51" s="322" t="s">
        <v>1938</v>
      </c>
      <c r="C51" s="403" t="s">
        <v>1939</v>
      </c>
      <c r="D51" s="477" t="s">
        <v>1940</v>
      </c>
      <c r="E51" s="402" t="s">
        <v>1942</v>
      </c>
      <c r="F51" s="402" t="s">
        <v>1941</v>
      </c>
      <c r="G51" s="402" t="s">
        <v>1942</v>
      </c>
      <c r="H51" s="432"/>
      <c r="I51" s="432"/>
      <c r="J51" s="368" t="s">
        <v>957</v>
      </c>
    </row>
    <row r="52" spans="2:10" s="478" customFormat="1" ht="27.75" customHeight="1" thickBot="1">
      <c r="B52" s="322" t="s">
        <v>1943</v>
      </c>
      <c r="C52" s="403" t="s">
        <v>1944</v>
      </c>
      <c r="D52" s="477" t="s">
        <v>1945</v>
      </c>
      <c r="E52" s="402" t="s">
        <v>1947</v>
      </c>
      <c r="F52" s="402" t="s">
        <v>1947</v>
      </c>
      <c r="G52" s="402" t="s">
        <v>1946</v>
      </c>
      <c r="H52" s="402" t="s">
        <v>1948</v>
      </c>
      <c r="I52" s="432"/>
      <c r="J52" s="368" t="s">
        <v>1843</v>
      </c>
    </row>
    <row r="53" spans="2:10" s="478" customFormat="1" ht="27.75" customHeight="1" thickBot="1">
      <c r="B53" s="322" t="s">
        <v>1949</v>
      </c>
      <c r="C53" s="403" t="s">
        <v>1950</v>
      </c>
      <c r="D53" s="477" t="s">
        <v>1651</v>
      </c>
      <c r="E53" s="402" t="s">
        <v>1955</v>
      </c>
      <c r="F53" s="402" t="s">
        <v>1954</v>
      </c>
      <c r="G53" s="402" t="s">
        <v>1955</v>
      </c>
      <c r="H53" s="432"/>
      <c r="I53" s="432"/>
      <c r="J53" s="368" t="s">
        <v>1951</v>
      </c>
    </row>
    <row r="54" spans="2:10" s="478" customFormat="1" ht="27.75" customHeight="1">
      <c r="B54" s="322" t="s">
        <v>1956</v>
      </c>
      <c r="C54" s="403" t="s">
        <v>1957</v>
      </c>
      <c r="D54" s="477" t="s">
        <v>1066</v>
      </c>
      <c r="E54" s="402" t="s">
        <v>1958</v>
      </c>
      <c r="F54" s="402" t="s">
        <v>1958</v>
      </c>
      <c r="G54" s="402" t="s">
        <v>1958</v>
      </c>
      <c r="H54" s="432"/>
      <c r="I54" s="402" t="s">
        <v>1959</v>
      </c>
      <c r="J54" s="368" t="s">
        <v>1960</v>
      </c>
    </row>
  </sheetData>
  <mergeCells count="3">
    <mergeCell ref="I2:I3"/>
    <mergeCell ref="J2:J3"/>
    <mergeCell ref="E7:I7"/>
  </mergeCells>
  <printOptions horizontalCentered="1"/>
  <pageMargins left="0" right="0" top="0.15748031496062992" bottom="0.15748031496062992" header="0.31496062992125984" footer="0.31496062992125984"/>
  <pageSetup paperSize="9" scale="48"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11752-888E-4824-834D-BC2F91FBE74A}">
  <sheetPr codeName="Feuil7">
    <pageSetUpPr fitToPage="1"/>
  </sheetPr>
  <dimension ref="A1:K2018"/>
  <sheetViews>
    <sheetView topLeftCell="A25" workbookViewId="0">
      <selection activeCell="A25" sqref="A1:IV65536"/>
    </sheetView>
  </sheetViews>
  <sheetFormatPr baseColWidth="10" defaultRowHeight="12.75"/>
  <cols>
    <col min="1" max="1" width="2.5703125" customWidth="1"/>
    <col min="3" max="3" width="53" customWidth="1"/>
    <col min="4" max="4" width="39" customWidth="1"/>
    <col min="5" max="5" width="12.42578125" customWidth="1"/>
    <col min="6" max="7" width="12.5703125" bestFit="1" customWidth="1"/>
    <col min="8" max="8" width="13.42578125" bestFit="1" customWidth="1"/>
    <col min="10" max="10" width="43.5703125" customWidth="1"/>
  </cols>
  <sheetData>
    <row r="1" spans="1:11" s="20" customFormat="1" ht="6.75" customHeight="1">
      <c r="D1" s="119"/>
      <c r="J1" s="61"/>
    </row>
    <row r="2" spans="1:11" s="20" customFormat="1">
      <c r="D2" s="119"/>
      <c r="I2" s="1080"/>
      <c r="J2" s="1078"/>
    </row>
    <row r="3" spans="1:11" s="20" customFormat="1" ht="10.5" customHeight="1">
      <c r="D3" s="119"/>
      <c r="I3" s="1080"/>
      <c r="J3" s="1079"/>
    </row>
    <row r="4" spans="1:11" s="20" customFormat="1" ht="13.5" thickBot="1">
      <c r="D4" s="119"/>
      <c r="J4" s="61"/>
    </row>
    <row r="5" spans="1:11" s="336" customFormat="1" ht="21.75" thickTop="1" thickBot="1">
      <c r="B5" s="331" t="s">
        <v>1973</v>
      </c>
      <c r="C5" s="332"/>
      <c r="D5" s="333"/>
      <c r="E5" s="332"/>
      <c r="F5" s="334"/>
      <c r="G5" s="334"/>
      <c r="H5" s="334"/>
      <c r="I5" s="334"/>
      <c r="J5" s="335"/>
    </row>
    <row r="6" spans="1:11" s="20" customFormat="1" ht="17.25" thickTop="1" thickBot="1">
      <c r="A6" s="434" t="s">
        <v>1528</v>
      </c>
      <c r="B6" s="26"/>
      <c r="C6" s="26"/>
      <c r="E6" s="121"/>
      <c r="F6" s="27"/>
      <c r="G6" s="27"/>
      <c r="H6" s="27"/>
      <c r="I6" s="27"/>
      <c r="J6" s="63"/>
    </row>
    <row r="7" spans="1:11" s="20" customFormat="1" ht="16.5" customHeight="1" thickBot="1">
      <c r="B7" s="26"/>
      <c r="C7" s="26"/>
      <c r="D7" s="121"/>
      <c r="E7" s="1083" t="s">
        <v>1026</v>
      </c>
      <c r="F7" s="1084"/>
      <c r="G7" s="1084"/>
      <c r="H7" s="1084"/>
      <c r="I7" s="1085"/>
      <c r="J7" s="63"/>
    </row>
    <row r="8" spans="1:11" s="330" customFormat="1" ht="19.5" customHeight="1" thickBot="1">
      <c r="B8" s="327" t="s">
        <v>992</v>
      </c>
      <c r="C8" s="327" t="s">
        <v>993</v>
      </c>
      <c r="D8" s="327" t="s">
        <v>994</v>
      </c>
      <c r="E8" s="327" t="s">
        <v>0</v>
      </c>
      <c r="F8" s="327" t="s">
        <v>1</v>
      </c>
      <c r="G8" s="327" t="s">
        <v>995</v>
      </c>
      <c r="H8" s="328" t="s">
        <v>996</v>
      </c>
      <c r="I8" s="329" t="s">
        <v>997</v>
      </c>
      <c r="J8" s="327" t="s">
        <v>4</v>
      </c>
    </row>
    <row r="9" spans="1:11" s="1" customFormat="1" ht="41.25" customHeight="1" thickBot="1">
      <c r="B9" s="430" t="s">
        <v>1952</v>
      </c>
      <c r="C9" s="357" t="s">
        <v>1027</v>
      </c>
      <c r="D9" s="469" t="s">
        <v>1295</v>
      </c>
      <c r="E9" s="402" t="s">
        <v>1953</v>
      </c>
      <c r="F9" s="402" t="s">
        <v>1974</v>
      </c>
      <c r="G9" s="402" t="s">
        <v>1974</v>
      </c>
      <c r="H9" s="432"/>
      <c r="I9" s="432"/>
      <c r="J9" s="433" t="s">
        <v>3166</v>
      </c>
      <c r="K9" s="1" t="s">
        <v>3167</v>
      </c>
    </row>
    <row r="10" spans="1:11" s="1" customFormat="1" ht="41.25" customHeight="1" thickBot="1">
      <c r="B10" s="430" t="s">
        <v>1961</v>
      </c>
      <c r="C10" s="357" t="s">
        <v>1962</v>
      </c>
      <c r="D10" s="469" t="s">
        <v>1963</v>
      </c>
      <c r="E10" s="402" t="s">
        <v>1964</v>
      </c>
      <c r="F10" s="402" t="s">
        <v>1966</v>
      </c>
      <c r="G10" s="402" t="s">
        <v>1966</v>
      </c>
      <c r="H10" s="402" t="s">
        <v>1965</v>
      </c>
      <c r="I10" s="432"/>
      <c r="J10" s="433" t="s">
        <v>1967</v>
      </c>
    </row>
    <row r="11" spans="1:11" s="1" customFormat="1" ht="41.25" customHeight="1" thickBot="1">
      <c r="B11" s="430" t="s">
        <v>1968</v>
      </c>
      <c r="C11" s="357" t="s">
        <v>1969</v>
      </c>
      <c r="D11" s="469" t="s">
        <v>1963</v>
      </c>
      <c r="E11" s="402" t="s">
        <v>1970</v>
      </c>
      <c r="F11" s="402" t="s">
        <v>1971</v>
      </c>
      <c r="G11" s="402" t="s">
        <v>1971</v>
      </c>
      <c r="H11" s="402" t="s">
        <v>1972</v>
      </c>
      <c r="I11" s="432"/>
      <c r="J11" s="433" t="s">
        <v>1967</v>
      </c>
    </row>
    <row r="12" spans="1:11" s="1" customFormat="1" ht="41.25" customHeight="1" thickBot="1">
      <c r="B12" s="430" t="s">
        <v>1975</v>
      </c>
      <c r="C12" s="357" t="s">
        <v>1976</v>
      </c>
      <c r="D12" s="469" t="s">
        <v>1330</v>
      </c>
      <c r="E12" s="402" t="s">
        <v>1977</v>
      </c>
      <c r="F12" s="402" t="s">
        <v>1978</v>
      </c>
      <c r="G12" s="402" t="s">
        <v>1978</v>
      </c>
      <c r="H12" s="432"/>
      <c r="I12" s="432"/>
      <c r="J12" s="433" t="s">
        <v>957</v>
      </c>
    </row>
    <row r="13" spans="1:11" s="1" customFormat="1" ht="25.5" customHeight="1" thickBot="1">
      <c r="B13" s="1098" t="s">
        <v>1979</v>
      </c>
      <c r="C13" s="1100" t="s">
        <v>2030</v>
      </c>
      <c r="D13" s="469" t="s">
        <v>1342</v>
      </c>
      <c r="E13" s="1102" t="s">
        <v>1980</v>
      </c>
      <c r="F13" s="1102" t="s">
        <v>1981</v>
      </c>
      <c r="G13" s="1102" t="s">
        <v>1981</v>
      </c>
      <c r="H13" s="1104"/>
      <c r="I13" s="1104"/>
      <c r="J13" s="1106" t="s">
        <v>957</v>
      </c>
    </row>
    <row r="14" spans="1:11" s="1" customFormat="1" ht="30.75" customHeight="1" thickBot="1">
      <c r="B14" s="1099"/>
      <c r="C14" s="1101"/>
      <c r="D14" s="469" t="s">
        <v>1330</v>
      </c>
      <c r="E14" s="1103"/>
      <c r="F14" s="1103"/>
      <c r="G14" s="1103"/>
      <c r="H14" s="1105"/>
      <c r="I14" s="1105"/>
      <c r="J14" s="1107"/>
    </row>
    <row r="15" spans="1:11" s="1" customFormat="1" ht="41.25" customHeight="1" thickBot="1">
      <c r="B15" s="430" t="s">
        <v>1982</v>
      </c>
      <c r="C15" s="357" t="s">
        <v>1983</v>
      </c>
      <c r="D15" s="469" t="s">
        <v>1295</v>
      </c>
      <c r="E15" s="402" t="s">
        <v>1984</v>
      </c>
      <c r="F15" s="402" t="s">
        <v>1985</v>
      </c>
      <c r="G15" s="402" t="s">
        <v>1985</v>
      </c>
      <c r="H15" s="432"/>
      <c r="I15" s="432"/>
      <c r="J15" s="433" t="s">
        <v>960</v>
      </c>
    </row>
    <row r="16" spans="1:11" s="1" customFormat="1" ht="41.25" customHeight="1" thickBot="1">
      <c r="B16" s="430" t="s">
        <v>1986</v>
      </c>
      <c r="C16" s="357" t="s">
        <v>1987</v>
      </c>
      <c r="D16" s="469" t="s">
        <v>1988</v>
      </c>
      <c r="E16" s="402" t="s">
        <v>1989</v>
      </c>
      <c r="F16" s="402" t="s">
        <v>1990</v>
      </c>
      <c r="G16" s="402" t="s">
        <v>1990</v>
      </c>
      <c r="H16" s="402" t="s">
        <v>1991</v>
      </c>
      <c r="I16" s="432"/>
      <c r="J16" s="433" t="s">
        <v>1134</v>
      </c>
    </row>
    <row r="17" spans="1:10" s="1" customFormat="1" ht="41.25" customHeight="1" thickBot="1">
      <c r="B17" s="430" t="s">
        <v>1992</v>
      </c>
      <c r="C17" s="357" t="s">
        <v>1993</v>
      </c>
      <c r="D17" s="469" t="s">
        <v>1066</v>
      </c>
      <c r="E17" s="432"/>
      <c r="F17" s="432"/>
      <c r="G17" s="432"/>
      <c r="H17" s="432"/>
      <c r="I17" s="402" t="s">
        <v>1994</v>
      </c>
      <c r="J17" s="433" t="s">
        <v>1738</v>
      </c>
    </row>
    <row r="18" spans="1:10" s="1" customFormat="1" ht="41.25" customHeight="1" thickBot="1">
      <c r="B18" s="430" t="s">
        <v>1995</v>
      </c>
      <c r="C18" s="357" t="s">
        <v>1998</v>
      </c>
      <c r="D18" s="469" t="s">
        <v>1295</v>
      </c>
      <c r="E18" s="402" t="s">
        <v>1996</v>
      </c>
      <c r="F18" s="402" t="s">
        <v>1997</v>
      </c>
      <c r="G18" s="402" t="s">
        <v>1997</v>
      </c>
      <c r="H18" s="432"/>
      <c r="I18" s="432"/>
      <c r="J18" s="433" t="s">
        <v>1100</v>
      </c>
    </row>
    <row r="19" spans="1:10" s="1" customFormat="1" ht="41.25" customHeight="1" thickBot="1">
      <c r="B19" s="430" t="s">
        <v>2002</v>
      </c>
      <c r="C19" s="488" t="s">
        <v>2003</v>
      </c>
      <c r="D19" s="469" t="s">
        <v>2005</v>
      </c>
      <c r="E19" s="432"/>
      <c r="F19" s="432"/>
      <c r="G19" s="432"/>
      <c r="H19" s="432"/>
      <c r="I19" s="402" t="s">
        <v>2004</v>
      </c>
      <c r="J19" s="433" t="s">
        <v>1738</v>
      </c>
    </row>
    <row r="20" spans="1:10" s="1" customFormat="1" ht="41.25" customHeight="1" thickBot="1">
      <c r="B20" s="430" t="s">
        <v>2006</v>
      </c>
      <c r="C20" s="357" t="s">
        <v>2007</v>
      </c>
      <c r="D20" s="469" t="s">
        <v>2008</v>
      </c>
      <c r="E20" s="402" t="s">
        <v>2009</v>
      </c>
      <c r="F20" s="402" t="s">
        <v>2010</v>
      </c>
      <c r="G20" s="402" t="s">
        <v>2010</v>
      </c>
      <c r="H20" s="432"/>
      <c r="I20" s="432"/>
      <c r="J20" s="433" t="s">
        <v>2011</v>
      </c>
    </row>
    <row r="21" spans="1:10" s="1" customFormat="1" ht="41.25" customHeight="1" thickBot="1">
      <c r="B21" s="430" t="s">
        <v>2012</v>
      </c>
      <c r="C21" s="357" t="s">
        <v>2013</v>
      </c>
      <c r="D21" s="469" t="s">
        <v>1023</v>
      </c>
      <c r="E21" s="402" t="s">
        <v>2014</v>
      </c>
      <c r="F21" s="402" t="s">
        <v>2015</v>
      </c>
      <c r="G21" s="402" t="s">
        <v>2015</v>
      </c>
      <c r="H21" s="432"/>
      <c r="I21" s="432"/>
      <c r="J21" s="433" t="s">
        <v>1951</v>
      </c>
    </row>
    <row r="22" spans="1:10" s="1" customFormat="1" ht="41.25" customHeight="1" thickBot="1">
      <c r="B22" s="430" t="s">
        <v>2016</v>
      </c>
      <c r="C22" s="357" t="s">
        <v>2029</v>
      </c>
      <c r="D22" s="469" t="s">
        <v>2028</v>
      </c>
      <c r="E22" s="402" t="s">
        <v>2017</v>
      </c>
      <c r="F22" s="402" t="s">
        <v>2018</v>
      </c>
      <c r="G22" s="402" t="s">
        <v>2018</v>
      </c>
      <c r="H22" s="432"/>
      <c r="I22" s="432"/>
      <c r="J22" s="433" t="s">
        <v>2019</v>
      </c>
    </row>
    <row r="23" spans="1:10" s="1" customFormat="1" ht="41.25" customHeight="1" thickBot="1">
      <c r="B23" s="430" t="s">
        <v>2020</v>
      </c>
      <c r="C23" s="287" t="s">
        <v>2024</v>
      </c>
      <c r="D23" s="469" t="s">
        <v>2021</v>
      </c>
      <c r="E23" s="402" t="s">
        <v>2022</v>
      </c>
      <c r="F23" s="402" t="s">
        <v>2023</v>
      </c>
      <c r="G23" s="402" t="s">
        <v>2023</v>
      </c>
      <c r="H23" s="432"/>
      <c r="I23" s="432"/>
      <c r="J23" s="433" t="s">
        <v>1100</v>
      </c>
    </row>
    <row r="24" spans="1:10" s="1" customFormat="1" ht="41.25" customHeight="1" thickBot="1">
      <c r="B24" s="430" t="s">
        <v>2025</v>
      </c>
      <c r="C24" s="287" t="s">
        <v>2026</v>
      </c>
      <c r="D24" s="469" t="s">
        <v>1066</v>
      </c>
      <c r="E24" s="432"/>
      <c r="F24" s="432"/>
      <c r="G24" s="432"/>
      <c r="H24" s="432"/>
      <c r="I24" s="404" t="s">
        <v>2027</v>
      </c>
      <c r="J24" s="433" t="s">
        <v>1738</v>
      </c>
    </row>
    <row r="25" spans="1:10" s="1" customFormat="1" ht="32.25" thickBot="1">
      <c r="B25" s="430" t="s">
        <v>2031</v>
      </c>
      <c r="C25" s="489" t="s">
        <v>2032</v>
      </c>
      <c r="D25" s="469" t="s">
        <v>1066</v>
      </c>
      <c r="E25" s="432"/>
      <c r="F25" s="432"/>
      <c r="G25" s="432"/>
      <c r="H25" s="432"/>
      <c r="I25" s="404" t="s">
        <v>2033</v>
      </c>
      <c r="J25" s="433" t="s">
        <v>1738</v>
      </c>
    </row>
    <row r="26" spans="1:10" s="1" customFormat="1" ht="18.75" thickBot="1">
      <c r="B26" s="430" t="s">
        <v>2034</v>
      </c>
      <c r="C26" s="489" t="s">
        <v>2035</v>
      </c>
      <c r="D26" s="469" t="s">
        <v>1066</v>
      </c>
      <c r="E26" s="432"/>
      <c r="F26" s="432"/>
      <c r="G26" s="432"/>
      <c r="H26" s="432"/>
      <c r="I26" s="404" t="s">
        <v>2036</v>
      </c>
      <c r="J26" s="433" t="s">
        <v>1960</v>
      </c>
    </row>
    <row r="27" spans="1:10" s="1" customFormat="1" ht="31.5" thickBot="1">
      <c r="B27" s="430" t="s">
        <v>2038</v>
      </c>
      <c r="C27" s="489" t="s">
        <v>2040</v>
      </c>
      <c r="D27" s="469" t="s">
        <v>1066</v>
      </c>
      <c r="E27" s="404" t="s">
        <v>2086</v>
      </c>
      <c r="F27" s="404" t="s">
        <v>2086</v>
      </c>
      <c r="G27" s="404" t="s">
        <v>2086</v>
      </c>
      <c r="H27" s="432"/>
      <c r="I27" s="404" t="s">
        <v>2039</v>
      </c>
      <c r="J27" s="433" t="s">
        <v>1960</v>
      </c>
    </row>
    <row r="28" spans="1:10" s="1" customFormat="1" ht="32.25" thickBot="1">
      <c r="B28" s="430" t="s">
        <v>2041</v>
      </c>
      <c r="C28" s="489" t="s">
        <v>2042</v>
      </c>
      <c r="D28" s="469" t="s">
        <v>2043</v>
      </c>
      <c r="E28" s="404" t="s">
        <v>2045</v>
      </c>
      <c r="F28" s="404" t="s">
        <v>2044</v>
      </c>
      <c r="G28" s="404" t="s">
        <v>2045</v>
      </c>
      <c r="H28" s="432"/>
      <c r="I28" s="404" t="s">
        <v>2046</v>
      </c>
      <c r="J28" s="433" t="s">
        <v>2047</v>
      </c>
    </row>
    <row r="29" spans="1:10" s="1" customFormat="1" ht="32.25" thickBot="1">
      <c r="A29" s="491"/>
      <c r="B29" s="430" t="s">
        <v>2048</v>
      </c>
      <c r="C29" s="489" t="s">
        <v>2049</v>
      </c>
      <c r="D29" s="469" t="s">
        <v>996</v>
      </c>
      <c r="E29" s="404" t="s">
        <v>2051</v>
      </c>
      <c r="F29" s="404" t="s">
        <v>2051</v>
      </c>
      <c r="G29" s="404" t="s">
        <v>2051</v>
      </c>
      <c r="H29" s="404" t="s">
        <v>2050</v>
      </c>
      <c r="I29" s="432"/>
      <c r="J29" s="433" t="s">
        <v>2056</v>
      </c>
    </row>
    <row r="30" spans="1:10" s="1" customFormat="1" ht="48" thickBot="1">
      <c r="A30" s="490"/>
      <c r="B30" s="430" t="s">
        <v>2053</v>
      </c>
      <c r="C30" s="489" t="s">
        <v>2052</v>
      </c>
      <c r="D30" s="469" t="s">
        <v>996</v>
      </c>
      <c r="E30" s="404" t="s">
        <v>2054</v>
      </c>
      <c r="F30" s="404" t="s">
        <v>2054</v>
      </c>
      <c r="G30" s="404" t="s">
        <v>2054</v>
      </c>
      <c r="H30" s="404" t="s">
        <v>2055</v>
      </c>
      <c r="I30" s="432"/>
      <c r="J30" s="433" t="s">
        <v>2056</v>
      </c>
    </row>
    <row r="31" spans="1:10" s="1" customFormat="1" ht="18.75" thickBot="1">
      <c r="B31" s="430" t="s">
        <v>2057</v>
      </c>
      <c r="C31" s="489" t="s">
        <v>2058</v>
      </c>
      <c r="D31" s="469" t="s">
        <v>2075</v>
      </c>
      <c r="E31" s="404" t="s">
        <v>2059</v>
      </c>
      <c r="F31" s="404" t="s">
        <v>2059</v>
      </c>
      <c r="G31" s="404" t="s">
        <v>2060</v>
      </c>
      <c r="H31" s="432"/>
      <c r="I31" s="432"/>
      <c r="J31" s="433" t="s">
        <v>1209</v>
      </c>
    </row>
    <row r="32" spans="1:10" s="1" customFormat="1" ht="18.75" thickBot="1">
      <c r="B32" s="430" t="s">
        <v>2061</v>
      </c>
      <c r="C32" s="489" t="s">
        <v>2062</v>
      </c>
      <c r="D32" s="469" t="s">
        <v>1066</v>
      </c>
      <c r="E32" s="432"/>
      <c r="F32" s="432"/>
      <c r="G32" s="432"/>
      <c r="H32" s="432"/>
      <c r="I32" s="404" t="s">
        <v>2063</v>
      </c>
      <c r="J32" s="433" t="s">
        <v>1960</v>
      </c>
    </row>
    <row r="33" spans="1:10" s="1" customFormat="1" ht="18.75" thickBot="1">
      <c r="B33" s="430" t="s">
        <v>2064</v>
      </c>
      <c r="C33" s="489" t="s">
        <v>2065</v>
      </c>
      <c r="D33" s="469" t="s">
        <v>1023</v>
      </c>
      <c r="E33" s="404" t="s">
        <v>2069</v>
      </c>
      <c r="F33" s="404" t="s">
        <v>2070</v>
      </c>
      <c r="G33" s="404" t="s">
        <v>2070</v>
      </c>
      <c r="H33" s="404" t="s">
        <v>2070</v>
      </c>
      <c r="I33" s="432"/>
      <c r="J33" s="433" t="s">
        <v>1134</v>
      </c>
    </row>
    <row r="34" spans="1:10" s="1" customFormat="1" ht="32.25" thickBot="1">
      <c r="B34" s="430" t="s">
        <v>2066</v>
      </c>
      <c r="C34" s="489" t="s">
        <v>2067</v>
      </c>
      <c r="D34" s="469" t="s">
        <v>1066</v>
      </c>
      <c r="E34" s="432"/>
      <c r="F34" s="432"/>
      <c r="G34" s="432"/>
      <c r="H34" s="432"/>
      <c r="I34" s="404" t="s">
        <v>2068</v>
      </c>
      <c r="J34" s="433" t="s">
        <v>1960</v>
      </c>
    </row>
    <row r="35" spans="1:10" s="1" customFormat="1" ht="18.75" thickBot="1">
      <c r="B35" s="430" t="s">
        <v>2071</v>
      </c>
      <c r="C35" s="489" t="s">
        <v>2072</v>
      </c>
      <c r="D35" s="469" t="s">
        <v>1330</v>
      </c>
      <c r="E35" s="404" t="s">
        <v>2073</v>
      </c>
      <c r="F35" s="404" t="s">
        <v>2074</v>
      </c>
      <c r="G35" s="404" t="s">
        <v>2074</v>
      </c>
      <c r="H35" s="404" t="s">
        <v>2074</v>
      </c>
      <c r="I35" s="432"/>
      <c r="J35" s="433" t="s">
        <v>1100</v>
      </c>
    </row>
    <row r="36" spans="1:10" s="1" customFormat="1" ht="32.25" thickBot="1">
      <c r="B36" s="430" t="s">
        <v>2076</v>
      </c>
      <c r="C36" s="489" t="s">
        <v>2077</v>
      </c>
      <c r="D36" s="469" t="s">
        <v>1066</v>
      </c>
      <c r="E36" s="404" t="s">
        <v>2085</v>
      </c>
      <c r="F36" s="404" t="s">
        <v>2085</v>
      </c>
      <c r="G36" s="404" t="s">
        <v>2085</v>
      </c>
      <c r="H36" s="432"/>
      <c r="I36" s="404" t="s">
        <v>2078</v>
      </c>
      <c r="J36" s="433" t="s">
        <v>1960</v>
      </c>
    </row>
    <row r="37" spans="1:10" s="1" customFormat="1" ht="18.75" thickBot="1">
      <c r="B37" s="430" t="s">
        <v>2079</v>
      </c>
      <c r="C37" s="489" t="s">
        <v>2080</v>
      </c>
      <c r="D37" s="469" t="s">
        <v>2081</v>
      </c>
      <c r="E37" s="404" t="s">
        <v>2082</v>
      </c>
      <c r="F37" s="404" t="s">
        <v>2083</v>
      </c>
      <c r="G37" s="404" t="s">
        <v>2083</v>
      </c>
      <c r="H37" s="404" t="s">
        <v>2083</v>
      </c>
      <c r="I37" s="432"/>
      <c r="J37" s="433" t="s">
        <v>2084</v>
      </c>
    </row>
    <row r="38" spans="1:10" s="1" customFormat="1" ht="32.25" thickBot="1">
      <c r="B38" s="430" t="s">
        <v>2087</v>
      </c>
      <c r="C38" s="489" t="s">
        <v>2088</v>
      </c>
      <c r="D38" s="469" t="s">
        <v>1611</v>
      </c>
      <c r="E38" s="432"/>
      <c r="F38" s="432"/>
      <c r="G38" s="432"/>
      <c r="H38" s="432"/>
      <c r="I38" s="404" t="s">
        <v>2089</v>
      </c>
      <c r="J38" s="433"/>
    </row>
    <row r="39" spans="1:10" s="1" customFormat="1" ht="32.25" thickBot="1">
      <c r="B39" s="430" t="s">
        <v>2090</v>
      </c>
      <c r="C39" s="489" t="s">
        <v>2091</v>
      </c>
      <c r="D39" s="469" t="s">
        <v>1066</v>
      </c>
      <c r="E39" s="432"/>
      <c r="F39" s="432"/>
      <c r="G39" s="432"/>
      <c r="H39" s="432"/>
      <c r="I39" s="404" t="s">
        <v>2092</v>
      </c>
      <c r="J39" s="433"/>
    </row>
    <row r="40" spans="1:10" s="1" customFormat="1" ht="36.75" customHeight="1" thickBot="1">
      <c r="B40" s="430" t="s">
        <v>2093</v>
      </c>
      <c r="C40" s="489" t="s">
        <v>2116</v>
      </c>
      <c r="D40" s="469" t="s">
        <v>1330</v>
      </c>
      <c r="E40" s="404" t="s">
        <v>2094</v>
      </c>
      <c r="F40" s="404" t="s">
        <v>2095</v>
      </c>
      <c r="G40" s="404" t="s">
        <v>2095</v>
      </c>
      <c r="H40" s="404" t="s">
        <v>2095</v>
      </c>
      <c r="I40" s="432"/>
      <c r="J40" s="433" t="s">
        <v>1060</v>
      </c>
    </row>
    <row r="41" spans="1:10" s="1" customFormat="1" ht="28.5" customHeight="1" thickBot="1">
      <c r="B41" s="430" t="s">
        <v>2096</v>
      </c>
      <c r="C41" s="489" t="s">
        <v>2097</v>
      </c>
      <c r="D41" s="469" t="s">
        <v>2098</v>
      </c>
      <c r="E41" s="404" t="s">
        <v>2099</v>
      </c>
      <c r="F41" s="404" t="s">
        <v>2100</v>
      </c>
      <c r="G41" s="404" t="s">
        <v>2100</v>
      </c>
      <c r="H41" s="404" t="s">
        <v>2101</v>
      </c>
      <c r="I41" s="432"/>
      <c r="J41" s="433"/>
    </row>
    <row r="42" spans="1:10" s="1" customFormat="1" ht="18.75" thickBot="1">
      <c r="B42" s="430" t="s">
        <v>2102</v>
      </c>
      <c r="C42" s="508" t="s">
        <v>2121</v>
      </c>
      <c r="D42" s="469" t="s">
        <v>1066</v>
      </c>
      <c r="E42" s="432"/>
      <c r="F42" s="432"/>
      <c r="G42" s="432"/>
      <c r="H42" s="432"/>
      <c r="I42" s="404" t="s">
        <v>2103</v>
      </c>
      <c r="J42" s="433" t="s">
        <v>1738</v>
      </c>
    </row>
    <row r="43" spans="1:10" s="1" customFormat="1" ht="18.75" thickBot="1">
      <c r="B43" s="430" t="s">
        <v>2104</v>
      </c>
      <c r="C43" s="489" t="s">
        <v>2106</v>
      </c>
      <c r="D43" s="469" t="s">
        <v>1066</v>
      </c>
      <c r="E43" s="432"/>
      <c r="F43" s="432"/>
      <c r="G43" s="432"/>
      <c r="H43" s="432"/>
      <c r="I43" s="404" t="s">
        <v>2107</v>
      </c>
      <c r="J43" s="433" t="s">
        <v>1069</v>
      </c>
    </row>
    <row r="44" spans="1:10" s="1" customFormat="1" ht="32.25" customHeight="1" thickBot="1">
      <c r="B44" s="503" t="s">
        <v>2105</v>
      </c>
      <c r="C44" s="505" t="s">
        <v>2129</v>
      </c>
      <c r="D44" s="506" t="s">
        <v>1066</v>
      </c>
      <c r="E44" s="504"/>
      <c r="F44" s="504"/>
      <c r="G44" s="504"/>
      <c r="H44" s="504"/>
      <c r="I44" s="411" t="s">
        <v>2108</v>
      </c>
      <c r="J44" s="507" t="s">
        <v>1069</v>
      </c>
    </row>
    <row r="45" spans="1:10" s="437" customFormat="1" ht="18.75" thickBot="1">
      <c r="A45" s="501"/>
      <c r="B45" s="438" t="s">
        <v>2109</v>
      </c>
      <c r="C45" s="495" t="s">
        <v>2119</v>
      </c>
      <c r="D45" s="467" t="s">
        <v>2118</v>
      </c>
      <c r="E45" s="445" t="s">
        <v>2110</v>
      </c>
      <c r="F45" s="445" t="s">
        <v>2111</v>
      </c>
      <c r="G45" s="445" t="s">
        <v>2111</v>
      </c>
      <c r="H45" s="445" t="s">
        <v>2111</v>
      </c>
      <c r="I45" s="466"/>
      <c r="J45" s="444" t="s">
        <v>957</v>
      </c>
    </row>
    <row r="46" spans="1:10" s="437" customFormat="1" ht="18.75" thickBot="1">
      <c r="A46" s="502"/>
      <c r="B46" s="496" t="s">
        <v>2117</v>
      </c>
      <c r="C46" s="497" t="s">
        <v>2120</v>
      </c>
      <c r="D46" s="498"/>
      <c r="E46" s="466"/>
      <c r="F46" s="466"/>
      <c r="G46" s="466"/>
      <c r="H46" s="466"/>
      <c r="I46" s="499"/>
      <c r="J46" s="500"/>
    </row>
    <row r="47" spans="1:10" s="1" customFormat="1" ht="18.75" thickBot="1">
      <c r="B47" s="414" t="s">
        <v>2115</v>
      </c>
      <c r="C47" s="492" t="s">
        <v>2112</v>
      </c>
      <c r="D47" s="493" t="s">
        <v>1330</v>
      </c>
      <c r="E47" s="418" t="s">
        <v>2113</v>
      </c>
      <c r="F47" s="418" t="s">
        <v>2114</v>
      </c>
      <c r="G47" s="418" t="s">
        <v>2114</v>
      </c>
      <c r="H47" s="418" t="s">
        <v>2114</v>
      </c>
      <c r="I47" s="494"/>
      <c r="J47" s="419" t="s">
        <v>960</v>
      </c>
    </row>
    <row r="48" spans="1:10" s="1" customFormat="1" ht="18.75" thickBot="1">
      <c r="B48" s="430" t="s">
        <v>2122</v>
      </c>
      <c r="C48" s="489" t="s">
        <v>2123</v>
      </c>
      <c r="D48" s="469" t="s">
        <v>2124</v>
      </c>
      <c r="E48" s="432"/>
      <c r="F48" s="432"/>
      <c r="G48" s="432"/>
      <c r="H48" s="432"/>
      <c r="I48" s="404" t="s">
        <v>2125</v>
      </c>
      <c r="J48" s="433" t="s">
        <v>1960</v>
      </c>
    </row>
    <row r="49" spans="2:10" s="1" customFormat="1" ht="18.75" thickBot="1">
      <c r="B49" s="430" t="s">
        <v>2126</v>
      </c>
      <c r="C49" s="489" t="s">
        <v>2127</v>
      </c>
      <c r="D49" s="469" t="s">
        <v>1559</v>
      </c>
      <c r="E49" s="432"/>
      <c r="F49" s="432"/>
      <c r="G49" s="432"/>
      <c r="H49" s="432"/>
      <c r="I49" s="404" t="s">
        <v>2128</v>
      </c>
      <c r="J49" s="433" t="s">
        <v>1960</v>
      </c>
    </row>
    <row r="50" spans="2:10" s="1" customFormat="1" ht="32.25" thickBot="1">
      <c r="B50" s="430" t="s">
        <v>2130</v>
      </c>
      <c r="C50" s="489" t="s">
        <v>2147</v>
      </c>
      <c r="D50" s="469" t="s">
        <v>1066</v>
      </c>
      <c r="E50" s="432"/>
      <c r="F50" s="432"/>
      <c r="G50" s="432"/>
      <c r="H50" s="432"/>
      <c r="I50" s="404" t="s">
        <v>2131</v>
      </c>
      <c r="J50" s="433" t="s">
        <v>1738</v>
      </c>
    </row>
    <row r="51" spans="2:10" s="478" customFormat="1" ht="18.75" thickBot="1">
      <c r="B51" s="509" t="s">
        <v>2132</v>
      </c>
      <c r="C51" s="510" t="s">
        <v>2133</v>
      </c>
      <c r="D51" s="477" t="s">
        <v>2136</v>
      </c>
      <c r="E51" s="418" t="s">
        <v>2134</v>
      </c>
      <c r="F51" s="418" t="s">
        <v>2135</v>
      </c>
      <c r="G51" s="418" t="s">
        <v>2135</v>
      </c>
      <c r="H51" s="418" t="s">
        <v>2135</v>
      </c>
      <c r="I51" s="418"/>
      <c r="J51" s="511" t="s">
        <v>1134</v>
      </c>
    </row>
    <row r="52" spans="2:10" s="478" customFormat="1" ht="18.75" thickBot="1">
      <c r="B52" s="509" t="s">
        <v>2137</v>
      </c>
      <c r="C52" s="510" t="s">
        <v>2138</v>
      </c>
      <c r="D52" s="477" t="s">
        <v>1872</v>
      </c>
      <c r="E52" s="418" t="s">
        <v>2139</v>
      </c>
      <c r="F52" s="418" t="s">
        <v>2140</v>
      </c>
      <c r="G52" s="418" t="s">
        <v>2140</v>
      </c>
      <c r="H52" s="432"/>
      <c r="I52" s="432"/>
      <c r="J52" s="511" t="s">
        <v>1134</v>
      </c>
    </row>
    <row r="53" spans="2:10" s="478" customFormat="1" ht="36.75" thickBot="1">
      <c r="B53" s="509" t="s">
        <v>2141</v>
      </c>
      <c r="C53" s="510" t="s">
        <v>2146</v>
      </c>
      <c r="D53" s="477" t="s">
        <v>2142</v>
      </c>
      <c r="E53" s="418" t="s">
        <v>2143</v>
      </c>
      <c r="F53" s="418" t="s">
        <v>2143</v>
      </c>
      <c r="G53" s="418" t="s">
        <v>2144</v>
      </c>
      <c r="H53" s="432"/>
      <c r="I53" s="432"/>
      <c r="J53" s="511" t="s">
        <v>2145</v>
      </c>
    </row>
    <row r="54" spans="2:10" s="1" customFormat="1" ht="32.25" thickBot="1">
      <c r="B54" s="430" t="s">
        <v>2148</v>
      </c>
      <c r="C54" s="489" t="s">
        <v>2149</v>
      </c>
      <c r="D54" s="469" t="s">
        <v>1066</v>
      </c>
      <c r="E54" s="432"/>
      <c r="F54" s="432"/>
      <c r="G54" s="432"/>
      <c r="H54" s="432"/>
      <c r="I54" s="404" t="s">
        <v>2153</v>
      </c>
      <c r="J54" s="433" t="s">
        <v>1960</v>
      </c>
    </row>
    <row r="55" spans="2:10" s="1" customFormat="1" ht="32.25" thickBot="1">
      <c r="B55" s="430" t="s">
        <v>2152</v>
      </c>
      <c r="C55" s="512" t="s">
        <v>2150</v>
      </c>
      <c r="D55" s="469" t="s">
        <v>2151</v>
      </c>
      <c r="E55" s="432"/>
      <c r="F55" s="432"/>
      <c r="G55" s="432"/>
      <c r="H55" s="432"/>
      <c r="I55" s="404" t="s">
        <v>2154</v>
      </c>
      <c r="J55" s="433" t="s">
        <v>1738</v>
      </c>
    </row>
    <row r="56" spans="2:10" s="1" customFormat="1" ht="32.25" thickBot="1">
      <c r="B56" s="430" t="s">
        <v>2155</v>
      </c>
      <c r="C56" s="514" t="s">
        <v>2156</v>
      </c>
      <c r="D56" s="469" t="s">
        <v>1330</v>
      </c>
      <c r="E56" s="418" t="s">
        <v>2157</v>
      </c>
      <c r="F56" s="418" t="s">
        <v>2158</v>
      </c>
      <c r="G56" s="418" t="s">
        <v>2158</v>
      </c>
      <c r="H56" s="418" t="s">
        <v>2158</v>
      </c>
      <c r="I56" s="432"/>
      <c r="J56" s="433" t="s">
        <v>960</v>
      </c>
    </row>
    <row r="57" spans="2:10" s="1" customFormat="1" ht="24.75" customHeight="1" thickBot="1">
      <c r="B57" s="430" t="s">
        <v>2162</v>
      </c>
      <c r="C57" s="514" t="s">
        <v>2170</v>
      </c>
      <c r="D57" s="469" t="s">
        <v>1330</v>
      </c>
      <c r="E57" s="418" t="s">
        <v>2160</v>
      </c>
      <c r="F57" s="418" t="s">
        <v>2161</v>
      </c>
      <c r="G57" s="418" t="s">
        <v>2161</v>
      </c>
      <c r="H57" s="418" t="s">
        <v>2161</v>
      </c>
      <c r="I57" s="432"/>
      <c r="J57" s="433" t="s">
        <v>960</v>
      </c>
    </row>
    <row r="58" spans="2:10" s="1" customFormat="1" ht="30.75" thickBot="1">
      <c r="B58" s="430" t="s">
        <v>2163</v>
      </c>
      <c r="C58" s="513" t="s">
        <v>2165</v>
      </c>
      <c r="D58" s="469" t="s">
        <v>1066</v>
      </c>
      <c r="E58" s="432"/>
      <c r="F58" s="432"/>
      <c r="G58" s="432"/>
      <c r="H58" s="432"/>
      <c r="I58" s="404" t="s">
        <v>2164</v>
      </c>
      <c r="J58" s="433" t="s">
        <v>1960</v>
      </c>
    </row>
    <row r="59" spans="2:10" s="1" customFormat="1" ht="30.75" customHeight="1" thickBot="1">
      <c r="B59" s="430" t="s">
        <v>2166</v>
      </c>
      <c r="C59" s="514" t="s">
        <v>2169</v>
      </c>
      <c r="D59" s="469" t="s">
        <v>1295</v>
      </c>
      <c r="E59" s="418" t="s">
        <v>2167</v>
      </c>
      <c r="F59" s="418" t="s">
        <v>2168</v>
      </c>
      <c r="G59" s="418" t="s">
        <v>2168</v>
      </c>
      <c r="H59" s="418" t="s">
        <v>2168</v>
      </c>
      <c r="I59" s="432"/>
      <c r="J59" s="433" t="s">
        <v>2145</v>
      </c>
    </row>
    <row r="60" spans="2:10" s="478" customFormat="1" ht="18.75" thickBot="1">
      <c r="B60" s="509" t="s">
        <v>2171</v>
      </c>
      <c r="C60" s="510" t="s">
        <v>2172</v>
      </c>
      <c r="D60" s="477" t="s">
        <v>1872</v>
      </c>
      <c r="E60" s="418" t="s">
        <v>2173</v>
      </c>
      <c r="F60" s="418" t="s">
        <v>2174</v>
      </c>
      <c r="G60" s="418" t="s">
        <v>2174</v>
      </c>
      <c r="H60" s="432"/>
      <c r="I60" s="432"/>
      <c r="J60" s="511" t="s">
        <v>1134</v>
      </c>
    </row>
    <row r="61" spans="2:10" s="478" customFormat="1" ht="30.75" thickBot="1">
      <c r="B61" s="509" t="s">
        <v>2175</v>
      </c>
      <c r="C61" s="515" t="s">
        <v>2176</v>
      </c>
      <c r="D61" s="477" t="s">
        <v>2177</v>
      </c>
      <c r="E61" s="418" t="s">
        <v>2178</v>
      </c>
      <c r="F61" s="418" t="s">
        <v>2179</v>
      </c>
      <c r="G61" s="418" t="s">
        <v>2179</v>
      </c>
      <c r="H61" s="432"/>
      <c r="I61" s="432"/>
      <c r="J61" s="511" t="s">
        <v>1134</v>
      </c>
    </row>
    <row r="62" spans="2:10" s="478" customFormat="1" ht="30.75" thickBot="1">
      <c r="B62" s="509" t="s">
        <v>2180</v>
      </c>
      <c r="C62" s="515" t="s">
        <v>2181</v>
      </c>
      <c r="D62" s="477" t="s">
        <v>2182</v>
      </c>
      <c r="E62" s="418" t="s">
        <v>2183</v>
      </c>
      <c r="F62" s="418" t="s">
        <v>2184</v>
      </c>
      <c r="G62" s="418" t="s">
        <v>2184</v>
      </c>
      <c r="H62" s="432"/>
      <c r="I62" s="432"/>
      <c r="J62" s="511" t="s">
        <v>960</v>
      </c>
    </row>
    <row r="63" spans="2:10" s="478" customFormat="1" ht="30.75" thickBot="1">
      <c r="B63" s="509" t="s">
        <v>2185</v>
      </c>
      <c r="C63" s="515" t="s">
        <v>2186</v>
      </c>
      <c r="D63" s="477" t="s">
        <v>2229</v>
      </c>
      <c r="E63" s="418" t="s">
        <v>2188</v>
      </c>
      <c r="F63" s="418" t="s">
        <v>2187</v>
      </c>
      <c r="G63" s="418" t="s">
        <v>2188</v>
      </c>
      <c r="H63" s="432"/>
      <c r="I63" s="432"/>
      <c r="J63" s="511" t="s">
        <v>957</v>
      </c>
    </row>
    <row r="64" spans="2:10" s="478" customFormat="1" ht="18.75" thickBot="1">
      <c r="B64" s="509" t="s">
        <v>2189</v>
      </c>
      <c r="C64" s="515" t="s">
        <v>2190</v>
      </c>
      <c r="D64" s="477" t="s">
        <v>1023</v>
      </c>
      <c r="E64" s="418" t="s">
        <v>2192</v>
      </c>
      <c r="F64" s="418" t="s">
        <v>2191</v>
      </c>
      <c r="G64" s="418" t="s">
        <v>2191</v>
      </c>
      <c r="H64" s="432"/>
      <c r="I64" s="432"/>
      <c r="J64" s="511" t="s">
        <v>1060</v>
      </c>
    </row>
    <row r="65" spans="2:10" s="478" customFormat="1" ht="30.75" thickBot="1">
      <c r="B65" s="509" t="s">
        <v>2193</v>
      </c>
      <c r="C65" s="515" t="s">
        <v>2197</v>
      </c>
      <c r="D65" s="477" t="s">
        <v>2194</v>
      </c>
      <c r="E65" s="418" t="s">
        <v>2195</v>
      </c>
      <c r="F65" s="418" t="s">
        <v>2196</v>
      </c>
      <c r="G65" s="418" t="s">
        <v>2196</v>
      </c>
      <c r="H65" s="432"/>
      <c r="I65" s="432"/>
      <c r="J65" s="511" t="s">
        <v>960</v>
      </c>
    </row>
    <row r="66" spans="2:10" s="478" customFormat="1" ht="30.75" thickBot="1">
      <c r="B66" s="509" t="s">
        <v>2201</v>
      </c>
      <c r="C66" s="515" t="s">
        <v>2198</v>
      </c>
      <c r="D66" s="477" t="s">
        <v>2194</v>
      </c>
      <c r="E66" s="418" t="s">
        <v>2199</v>
      </c>
      <c r="F66" s="418" t="s">
        <v>2200</v>
      </c>
      <c r="G66" s="418" t="s">
        <v>2200</v>
      </c>
      <c r="H66" s="432"/>
      <c r="I66" s="432"/>
      <c r="J66" s="511" t="s">
        <v>960</v>
      </c>
    </row>
    <row r="67" spans="2:10" s="478" customFormat="1" ht="18.75" thickBot="1">
      <c r="B67" s="509" t="s">
        <v>2202</v>
      </c>
      <c r="C67" s="515" t="s">
        <v>2205</v>
      </c>
      <c r="D67" s="469" t="s">
        <v>1330</v>
      </c>
      <c r="E67" s="418" t="s">
        <v>2203</v>
      </c>
      <c r="F67" s="418" t="s">
        <v>2204</v>
      </c>
      <c r="G67" s="418" t="s">
        <v>2204</v>
      </c>
      <c r="H67" s="432"/>
      <c r="I67" s="432"/>
      <c r="J67" s="511" t="s">
        <v>1060</v>
      </c>
    </row>
    <row r="68" spans="2:10" s="478" customFormat="1" ht="18">
      <c r="B68" s="509" t="s">
        <v>2206</v>
      </c>
      <c r="C68" s="515" t="s">
        <v>2207</v>
      </c>
      <c r="D68" s="469" t="s">
        <v>1023</v>
      </c>
      <c r="E68" s="418" t="s">
        <v>2208</v>
      </c>
      <c r="F68" s="418" t="s">
        <v>2209</v>
      </c>
      <c r="G68" s="418" t="s">
        <v>2209</v>
      </c>
      <c r="H68" s="432"/>
      <c r="I68" s="432"/>
      <c r="J68" s="511" t="s">
        <v>1917</v>
      </c>
    </row>
    <row r="2018" spans="3:3">
      <c r="C2018" t="s">
        <v>2380</v>
      </c>
    </row>
  </sheetData>
  <mergeCells count="11">
    <mergeCell ref="I13:I14"/>
    <mergeCell ref="J13:J14"/>
    <mergeCell ref="I2:I3"/>
    <mergeCell ref="J2:J3"/>
    <mergeCell ref="E7:I7"/>
    <mergeCell ref="B13:B14"/>
    <mergeCell ref="C13:C14"/>
    <mergeCell ref="E13:E14"/>
    <mergeCell ref="F13:F14"/>
    <mergeCell ref="G13:G14"/>
    <mergeCell ref="H13:H14"/>
  </mergeCells>
  <printOptions horizontalCentered="1"/>
  <pageMargins left="0" right="0" top="0.74803149606299213" bottom="0.74803149606299213" header="0.31496062992125984" footer="0.31496062992125984"/>
  <pageSetup paperSize="9" scale="69" fitToHeight="0" orientation="landscape" horizontalDpi="4294967294" verticalDpi="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F5030-CCFB-45DA-976C-38FE168E640F}">
  <sheetPr codeName="Feuil8">
    <pageSetUpPr fitToPage="1"/>
  </sheetPr>
  <dimension ref="A1:K53"/>
  <sheetViews>
    <sheetView topLeftCell="A28" workbookViewId="0">
      <selection activeCell="C37" sqref="C37:D37"/>
    </sheetView>
  </sheetViews>
  <sheetFormatPr baseColWidth="10" defaultRowHeight="12.75"/>
  <cols>
    <col min="1" max="1" width="5.5703125" customWidth="1"/>
    <col min="3" max="3" width="41" customWidth="1"/>
    <col min="4" max="4" width="57.42578125" customWidth="1"/>
    <col min="5" max="5" width="12.42578125" customWidth="1"/>
    <col min="6" max="7" width="12.5703125" bestFit="1" customWidth="1"/>
    <col min="8" max="8" width="13.42578125" bestFit="1" customWidth="1"/>
    <col min="10" max="10" width="47" customWidth="1"/>
  </cols>
  <sheetData>
    <row r="1" spans="1:11" s="20" customFormat="1" ht="6.75" customHeight="1">
      <c r="D1" s="119"/>
      <c r="J1" s="61"/>
    </row>
    <row r="2" spans="1:11" s="20" customFormat="1">
      <c r="D2" s="119"/>
      <c r="I2" s="1080"/>
      <c r="J2" s="1078"/>
    </row>
    <row r="3" spans="1:11" s="20" customFormat="1" ht="10.5" customHeight="1">
      <c r="D3" s="119"/>
      <c r="I3" s="1080"/>
      <c r="J3" s="1079"/>
    </row>
    <row r="4" spans="1:11" s="20" customFormat="1" ht="13.5" thickBot="1">
      <c r="D4" s="119"/>
      <c r="J4" s="61"/>
    </row>
    <row r="5" spans="1:11" s="336" customFormat="1" ht="21.75" thickTop="1" thickBot="1">
      <c r="B5" s="331" t="s">
        <v>2213</v>
      </c>
      <c r="C5" s="332"/>
      <c r="D5" s="333"/>
      <c r="E5" s="332"/>
      <c r="F5" s="334"/>
      <c r="G5" s="334"/>
      <c r="H5" s="334"/>
      <c r="I5" s="334"/>
      <c r="J5" s="335"/>
    </row>
    <row r="6" spans="1:11" s="20" customFormat="1" ht="17.25" thickTop="1" thickBot="1">
      <c r="A6" s="434" t="s">
        <v>1528</v>
      </c>
      <c r="B6" s="26"/>
      <c r="C6" s="26"/>
      <c r="E6" s="121"/>
      <c r="F6" s="27"/>
      <c r="G6" s="27"/>
      <c r="H6" s="27"/>
      <c r="I6" s="27"/>
      <c r="J6" s="63"/>
    </row>
    <row r="7" spans="1:11" s="20" customFormat="1" ht="16.5" customHeight="1" thickBot="1">
      <c r="B7" s="26"/>
      <c r="C7" s="26"/>
      <c r="D7" s="121"/>
      <c r="E7" s="1083" t="s">
        <v>1026</v>
      </c>
      <c r="F7" s="1084"/>
      <c r="G7" s="1084"/>
      <c r="H7" s="1084"/>
      <c r="I7" s="1085"/>
      <c r="J7" s="63"/>
    </row>
    <row r="8" spans="1:11" s="330" customFormat="1" ht="19.5" customHeight="1" thickBot="1">
      <c r="B8" s="327" t="s">
        <v>992</v>
      </c>
      <c r="C8" s="327" t="s">
        <v>993</v>
      </c>
      <c r="D8" s="327" t="s">
        <v>994</v>
      </c>
      <c r="E8" s="327" t="s">
        <v>0</v>
      </c>
      <c r="F8" s="327" t="s">
        <v>1</v>
      </c>
      <c r="G8" s="327" t="s">
        <v>995</v>
      </c>
      <c r="H8" s="328" t="s">
        <v>996</v>
      </c>
      <c r="I8" s="329" t="s">
        <v>997</v>
      </c>
      <c r="J8" s="327" t="s">
        <v>4</v>
      </c>
    </row>
    <row r="9" spans="1:11" s="1" customFormat="1" ht="41.25" customHeight="1" thickBot="1">
      <c r="B9" s="430" t="s">
        <v>2210</v>
      </c>
      <c r="C9" s="375" t="s">
        <v>1272</v>
      </c>
      <c r="D9" s="208" t="s">
        <v>1023</v>
      </c>
      <c r="E9" s="208" t="s">
        <v>2211</v>
      </c>
      <c r="F9" s="208" t="s">
        <v>2212</v>
      </c>
      <c r="G9" s="208" t="s">
        <v>2212</v>
      </c>
      <c r="H9" s="208" t="s">
        <v>2212</v>
      </c>
      <c r="I9" s="396"/>
      <c r="J9" s="397" t="s">
        <v>439</v>
      </c>
    </row>
    <row r="10" spans="1:11" s="1" customFormat="1" ht="41.25" customHeight="1" thickBot="1">
      <c r="B10" s="430" t="s">
        <v>2214</v>
      </c>
      <c r="C10" s="375" t="s">
        <v>2215</v>
      </c>
      <c r="D10" s="208" t="s">
        <v>2216</v>
      </c>
      <c r="E10" s="208" t="s">
        <v>2219</v>
      </c>
      <c r="F10" s="208" t="s">
        <v>2217</v>
      </c>
      <c r="G10" s="208" t="s">
        <v>2219</v>
      </c>
      <c r="H10" s="208" t="s">
        <v>2219</v>
      </c>
      <c r="I10" s="396"/>
      <c r="J10" s="397" t="s">
        <v>2218</v>
      </c>
    </row>
    <row r="11" spans="1:11" s="1" customFormat="1" ht="41.25" customHeight="1" thickBot="1">
      <c r="B11" s="430" t="s">
        <v>2220</v>
      </c>
      <c r="C11" s="375" t="s">
        <v>2221</v>
      </c>
      <c r="D11" s="208" t="s">
        <v>1023</v>
      </c>
      <c r="E11" s="208" t="s">
        <v>2223</v>
      </c>
      <c r="F11" s="208" t="s">
        <v>2222</v>
      </c>
      <c r="G11" s="208" t="s">
        <v>2222</v>
      </c>
      <c r="H11" s="208" t="s">
        <v>2222</v>
      </c>
      <c r="I11" s="396"/>
      <c r="J11" s="397" t="s">
        <v>1060</v>
      </c>
    </row>
    <row r="12" spans="1:11" s="437" customFormat="1" ht="41.25" customHeight="1" thickBot="1">
      <c r="A12" s="519"/>
      <c r="B12" s="520" t="s">
        <v>2224</v>
      </c>
      <c r="C12" s="521" t="s">
        <v>2225</v>
      </c>
      <c r="D12" s="522" t="s">
        <v>1023</v>
      </c>
      <c r="E12" s="522" t="s">
        <v>2226</v>
      </c>
      <c r="F12" s="522" t="s">
        <v>2227</v>
      </c>
      <c r="G12" s="522" t="s">
        <v>2227</v>
      </c>
      <c r="H12" s="522" t="s">
        <v>2227</v>
      </c>
      <c r="I12" s="523"/>
      <c r="J12" s="524" t="s">
        <v>439</v>
      </c>
      <c r="K12" s="518" t="s">
        <v>2228</v>
      </c>
    </row>
    <row r="13" spans="1:11" s="1" customFormat="1" ht="41.25" customHeight="1" thickBot="1">
      <c r="B13" s="430" t="s">
        <v>2230</v>
      </c>
      <c r="C13" s="380" t="s">
        <v>2234</v>
      </c>
      <c r="D13" s="208" t="s">
        <v>1295</v>
      </c>
      <c r="E13" s="208" t="s">
        <v>2231</v>
      </c>
      <c r="F13" s="208" t="s">
        <v>2232</v>
      </c>
      <c r="G13" s="208" t="s">
        <v>2232</v>
      </c>
      <c r="H13" s="208" t="s">
        <v>2232</v>
      </c>
      <c r="I13" s="396"/>
      <c r="J13" s="397" t="s">
        <v>2233</v>
      </c>
    </row>
    <row r="14" spans="1:11" s="1" customFormat="1" ht="41.25" customHeight="1" thickBot="1">
      <c r="B14" s="430" t="s">
        <v>2235</v>
      </c>
      <c r="C14" s="380" t="s">
        <v>2238</v>
      </c>
      <c r="D14" s="208" t="s">
        <v>1066</v>
      </c>
      <c r="E14" s="396"/>
      <c r="F14" s="396"/>
      <c r="G14" s="396"/>
      <c r="H14" s="396"/>
      <c r="I14" s="208" t="s">
        <v>2236</v>
      </c>
      <c r="J14" s="397" t="s">
        <v>2237</v>
      </c>
    </row>
    <row r="15" spans="1:11" s="1" customFormat="1" ht="41.25" customHeight="1" thickBot="1">
      <c r="B15" s="430" t="s">
        <v>2239</v>
      </c>
      <c r="C15" s="525" t="s">
        <v>2240</v>
      </c>
      <c r="D15" s="208" t="s">
        <v>2241</v>
      </c>
      <c r="E15" s="396"/>
      <c r="F15" s="396"/>
      <c r="G15" s="396"/>
      <c r="H15" s="396"/>
      <c r="I15" s="208" t="s">
        <v>2242</v>
      </c>
      <c r="J15" s="397" t="s">
        <v>1738</v>
      </c>
    </row>
    <row r="16" spans="1:11" s="1" customFormat="1" ht="41.25" customHeight="1" thickBot="1">
      <c r="B16" s="430" t="s">
        <v>2243</v>
      </c>
      <c r="C16" s="525" t="s">
        <v>2244</v>
      </c>
      <c r="D16" s="208" t="s">
        <v>1066</v>
      </c>
      <c r="E16" s="396"/>
      <c r="F16" s="396"/>
      <c r="G16" s="396"/>
      <c r="H16" s="396"/>
      <c r="I16" s="208" t="s">
        <v>2245</v>
      </c>
      <c r="J16" s="397" t="s">
        <v>1738</v>
      </c>
    </row>
    <row r="17" spans="1:10" s="1" customFormat="1" ht="41.25" customHeight="1" thickBot="1">
      <c r="B17" s="430" t="s">
        <v>2246</v>
      </c>
      <c r="C17" s="525" t="s">
        <v>2422</v>
      </c>
      <c r="D17" s="208" t="s">
        <v>1023</v>
      </c>
      <c r="E17" s="208" t="s">
        <v>2247</v>
      </c>
      <c r="F17" s="208" t="s">
        <v>2248</v>
      </c>
      <c r="G17" s="208" t="s">
        <v>2248</v>
      </c>
      <c r="H17" s="208" t="s">
        <v>2248</v>
      </c>
      <c r="I17" s="396"/>
      <c r="J17" s="397" t="s">
        <v>1060</v>
      </c>
    </row>
    <row r="18" spans="1:10" s="1" customFormat="1" ht="55.5" customHeight="1" thickBot="1">
      <c r="B18" s="430" t="s">
        <v>2249</v>
      </c>
      <c r="C18" s="525" t="s">
        <v>2250</v>
      </c>
      <c r="D18" s="375" t="s">
        <v>2251</v>
      </c>
      <c r="E18" s="396"/>
      <c r="F18" s="396"/>
      <c r="G18" s="396"/>
      <c r="H18" s="396"/>
      <c r="I18" s="208" t="s">
        <v>2252</v>
      </c>
      <c r="J18" s="397" t="s">
        <v>1738</v>
      </c>
    </row>
    <row r="19" spans="1:10" s="1" customFormat="1" ht="41.25" customHeight="1" thickBot="1">
      <c r="B19" s="430" t="s">
        <v>2253</v>
      </c>
      <c r="C19" s="525" t="s">
        <v>2254</v>
      </c>
      <c r="D19" s="208" t="s">
        <v>1295</v>
      </c>
      <c r="E19" s="208" t="s">
        <v>2255</v>
      </c>
      <c r="F19" s="208" t="s">
        <v>2256</v>
      </c>
      <c r="G19" s="208" t="s">
        <v>2256</v>
      </c>
      <c r="H19" s="208" t="s">
        <v>2256</v>
      </c>
      <c r="I19" s="396"/>
      <c r="J19" s="397" t="s">
        <v>1917</v>
      </c>
    </row>
    <row r="20" spans="1:10" s="1" customFormat="1" ht="41.25" customHeight="1" thickBot="1">
      <c r="B20" s="430" t="s">
        <v>2257</v>
      </c>
      <c r="C20" s="525" t="s">
        <v>2258</v>
      </c>
      <c r="D20" s="208" t="s">
        <v>2259</v>
      </c>
      <c r="E20" s="208" t="s">
        <v>2260</v>
      </c>
      <c r="F20" s="208" t="s">
        <v>2261</v>
      </c>
      <c r="G20" s="208" t="s">
        <v>2261</v>
      </c>
      <c r="H20" s="208" t="s">
        <v>2261</v>
      </c>
      <c r="I20" s="396"/>
      <c r="J20" s="397" t="s">
        <v>1134</v>
      </c>
    </row>
    <row r="21" spans="1:10" s="1" customFormat="1" ht="41.25" customHeight="1" thickBot="1">
      <c r="B21" s="430" t="s">
        <v>2262</v>
      </c>
      <c r="C21" s="525" t="s">
        <v>2263</v>
      </c>
      <c r="D21" s="208" t="s">
        <v>1295</v>
      </c>
      <c r="E21" s="208" t="s">
        <v>2264</v>
      </c>
      <c r="F21" s="208" t="s">
        <v>2265</v>
      </c>
      <c r="G21" s="208" t="s">
        <v>2265</v>
      </c>
      <c r="H21" s="208" t="s">
        <v>2265</v>
      </c>
      <c r="I21" s="396"/>
      <c r="J21" s="397" t="s">
        <v>1060</v>
      </c>
    </row>
    <row r="22" spans="1:10" s="1" customFormat="1" ht="41.25" customHeight="1" thickBot="1">
      <c r="B22" s="430" t="s">
        <v>2266</v>
      </c>
      <c r="C22" s="525" t="s">
        <v>2267</v>
      </c>
      <c r="D22" s="208" t="s">
        <v>995</v>
      </c>
      <c r="E22" s="208" t="s">
        <v>2269</v>
      </c>
      <c r="F22" s="208" t="s">
        <v>2269</v>
      </c>
      <c r="G22" s="208" t="s">
        <v>2268</v>
      </c>
      <c r="H22" s="208" t="s">
        <v>2269</v>
      </c>
      <c r="I22" s="208" t="s">
        <v>2269</v>
      </c>
      <c r="J22" s="397" t="s">
        <v>2270</v>
      </c>
    </row>
    <row r="23" spans="1:10" s="1" customFormat="1" ht="41.25" customHeight="1" thickBot="1">
      <c r="A23" s="1" t="s">
        <v>2324</v>
      </c>
      <c r="B23" s="430" t="s">
        <v>2271</v>
      </c>
      <c r="C23" s="525" t="s">
        <v>2815</v>
      </c>
      <c r="D23" s="528" t="s">
        <v>2302</v>
      </c>
      <c r="E23" s="208" t="s">
        <v>2272</v>
      </c>
      <c r="F23" s="208" t="s">
        <v>2274</v>
      </c>
      <c r="G23" s="208" t="s">
        <v>2274</v>
      </c>
      <c r="H23" s="396"/>
      <c r="I23" s="396"/>
      <c r="J23" s="397" t="s">
        <v>2273</v>
      </c>
    </row>
    <row r="24" spans="1:10" s="1" customFormat="1" ht="41.25" customHeight="1" thickBot="1">
      <c r="B24" s="430" t="s">
        <v>2275</v>
      </c>
      <c r="C24" s="525" t="s">
        <v>2276</v>
      </c>
      <c r="D24" s="375" t="s">
        <v>2277</v>
      </c>
      <c r="E24" s="208" t="s">
        <v>2281</v>
      </c>
      <c r="F24" s="208" t="s">
        <v>2281</v>
      </c>
      <c r="G24" s="208" t="s">
        <v>2281</v>
      </c>
      <c r="H24" s="396"/>
      <c r="I24" s="526" t="s">
        <v>2281</v>
      </c>
      <c r="J24" s="397" t="s">
        <v>1738</v>
      </c>
    </row>
    <row r="25" spans="1:10" s="1" customFormat="1" ht="41.25" customHeight="1" thickBot="1">
      <c r="B25" s="430" t="s">
        <v>2278</v>
      </c>
      <c r="C25" s="525" t="s">
        <v>2279</v>
      </c>
      <c r="D25" s="375" t="s">
        <v>2280</v>
      </c>
      <c r="E25" s="208" t="s">
        <v>2282</v>
      </c>
      <c r="F25" s="208" t="s">
        <v>2282</v>
      </c>
      <c r="G25" s="208" t="s">
        <v>2282</v>
      </c>
      <c r="H25" s="396"/>
      <c r="I25" s="526" t="s">
        <v>2282</v>
      </c>
      <c r="J25" s="397" t="s">
        <v>1960</v>
      </c>
    </row>
    <row r="26" spans="1:10" s="1" customFormat="1" ht="41.25" customHeight="1" thickBot="1">
      <c r="B26" s="430" t="s">
        <v>2283</v>
      </c>
      <c r="C26" s="525" t="s">
        <v>2284</v>
      </c>
      <c r="D26" s="375" t="s">
        <v>2294</v>
      </c>
      <c r="E26" s="208" t="s">
        <v>2285</v>
      </c>
      <c r="F26" s="208" t="s">
        <v>2285</v>
      </c>
      <c r="G26" s="208" t="s">
        <v>2285</v>
      </c>
      <c r="H26" s="396"/>
      <c r="I26" s="526" t="s">
        <v>2285</v>
      </c>
      <c r="J26" s="397" t="s">
        <v>2270</v>
      </c>
    </row>
    <row r="27" spans="1:10" s="1" customFormat="1" ht="41.25" customHeight="1" thickBot="1">
      <c r="B27" s="430" t="s">
        <v>2286</v>
      </c>
      <c r="C27" s="525" t="s">
        <v>2287</v>
      </c>
      <c r="D27" s="375" t="s">
        <v>995</v>
      </c>
      <c r="E27" s="208" t="s">
        <v>2289</v>
      </c>
      <c r="F27" s="208" t="s">
        <v>2289</v>
      </c>
      <c r="G27" s="208" t="s">
        <v>2288</v>
      </c>
      <c r="H27" s="396"/>
      <c r="I27" s="396"/>
      <c r="J27" s="397" t="s">
        <v>2290</v>
      </c>
    </row>
    <row r="28" spans="1:10" s="1" customFormat="1" ht="41.25" customHeight="1" thickBot="1">
      <c r="B28" s="430" t="s">
        <v>2291</v>
      </c>
      <c r="C28" s="525" t="s">
        <v>2326</v>
      </c>
      <c r="D28" s="375" t="s">
        <v>1389</v>
      </c>
      <c r="E28" s="208" t="s">
        <v>2292</v>
      </c>
      <c r="F28" s="208" t="s">
        <v>2293</v>
      </c>
      <c r="G28" s="208" t="s">
        <v>2293</v>
      </c>
      <c r="H28" s="396"/>
      <c r="I28" s="396"/>
      <c r="J28" s="397" t="s">
        <v>1738</v>
      </c>
    </row>
    <row r="29" spans="1:10" s="1" customFormat="1" ht="41.25" customHeight="1" thickBot="1">
      <c r="B29" s="430" t="s">
        <v>2298</v>
      </c>
      <c r="C29" s="403" t="s">
        <v>1927</v>
      </c>
      <c r="D29" s="477" t="s">
        <v>1928</v>
      </c>
      <c r="E29" s="208" t="s">
        <v>2295</v>
      </c>
      <c r="F29" s="208" t="s">
        <v>2296</v>
      </c>
      <c r="G29" s="208" t="s">
        <v>2296</v>
      </c>
      <c r="H29" s="396"/>
      <c r="I29" s="396"/>
      <c r="J29" s="397" t="s">
        <v>2297</v>
      </c>
    </row>
    <row r="30" spans="1:10" s="1" customFormat="1" ht="41.25" customHeight="1" thickBot="1">
      <c r="B30" s="430" t="s">
        <v>2299</v>
      </c>
      <c r="C30" s="403" t="s">
        <v>2300</v>
      </c>
      <c r="D30" s="477" t="s">
        <v>1646</v>
      </c>
      <c r="E30" s="208" t="s">
        <v>2306</v>
      </c>
      <c r="F30" s="208" t="s">
        <v>2301</v>
      </c>
      <c r="G30" s="208" t="s">
        <v>2301</v>
      </c>
      <c r="H30" s="396"/>
      <c r="I30" s="396"/>
      <c r="J30" s="397" t="s">
        <v>2270</v>
      </c>
    </row>
    <row r="31" spans="1:10" s="1" customFormat="1" ht="41.25" customHeight="1" thickBot="1">
      <c r="B31" s="430" t="s">
        <v>2303</v>
      </c>
      <c r="C31" s="403" t="s">
        <v>2304</v>
      </c>
      <c r="D31" s="477" t="s">
        <v>1646</v>
      </c>
      <c r="E31" s="208" t="s">
        <v>2307</v>
      </c>
      <c r="F31" s="208" t="s">
        <v>2308</v>
      </c>
      <c r="G31" s="208" t="s">
        <v>2308</v>
      </c>
      <c r="H31" s="396"/>
      <c r="I31" s="396"/>
      <c r="J31" s="397" t="s">
        <v>2305</v>
      </c>
    </row>
    <row r="32" spans="1:10" s="1" customFormat="1" ht="41.25" customHeight="1" thickBot="1">
      <c r="B32" s="430" t="s">
        <v>2312</v>
      </c>
      <c r="C32" s="403" t="s">
        <v>2313</v>
      </c>
      <c r="D32" s="477" t="s">
        <v>2309</v>
      </c>
      <c r="E32" s="208" t="s">
        <v>2311</v>
      </c>
      <c r="F32" s="208" t="s">
        <v>2310</v>
      </c>
      <c r="G32" s="208" t="s">
        <v>2311</v>
      </c>
      <c r="H32" s="396"/>
      <c r="I32" s="396"/>
      <c r="J32" s="397" t="s">
        <v>1960</v>
      </c>
    </row>
    <row r="33" spans="1:10" s="1" customFormat="1" ht="41.25" customHeight="1" thickBot="1">
      <c r="B33" s="430" t="s">
        <v>2314</v>
      </c>
      <c r="C33" s="403" t="s">
        <v>2315</v>
      </c>
      <c r="D33" s="477" t="s">
        <v>2316</v>
      </c>
      <c r="E33" s="208" t="s">
        <v>2317</v>
      </c>
      <c r="F33" s="208" t="s">
        <v>2317</v>
      </c>
      <c r="G33" s="208" t="s">
        <v>2318</v>
      </c>
      <c r="H33" s="396"/>
      <c r="I33" s="396"/>
      <c r="J33" s="397" t="s">
        <v>1134</v>
      </c>
    </row>
    <row r="34" spans="1:10" s="1" customFormat="1" ht="41.25" customHeight="1" thickBot="1">
      <c r="B34" s="430" t="s">
        <v>2319</v>
      </c>
      <c r="C34" s="403" t="s">
        <v>2322</v>
      </c>
      <c r="D34" s="477" t="s">
        <v>2323</v>
      </c>
      <c r="E34" s="208" t="s">
        <v>2321</v>
      </c>
      <c r="F34" s="208" t="s">
        <v>2320</v>
      </c>
      <c r="G34" s="208" t="s">
        <v>2320</v>
      </c>
      <c r="H34" s="396"/>
      <c r="I34" s="396"/>
      <c r="J34" s="397" t="s">
        <v>1134</v>
      </c>
    </row>
    <row r="35" spans="1:10" s="1" customFormat="1" ht="50.25" customHeight="1" thickBot="1">
      <c r="B35" s="430" t="s">
        <v>2327</v>
      </c>
      <c r="C35" s="479" t="s">
        <v>2342</v>
      </c>
      <c r="D35" s="477" t="s">
        <v>2328</v>
      </c>
      <c r="E35" s="208" t="s">
        <v>2329</v>
      </c>
      <c r="F35" s="208" t="s">
        <v>2330</v>
      </c>
      <c r="G35" s="208" t="s">
        <v>2330</v>
      </c>
      <c r="H35" s="396"/>
      <c r="I35" s="396"/>
      <c r="J35" s="397" t="s">
        <v>2331</v>
      </c>
    </row>
    <row r="36" spans="1:10" s="437" customFormat="1" ht="41.25" customHeight="1" thickBot="1">
      <c r="A36" s="371" t="s">
        <v>1656</v>
      </c>
      <c r="B36" s="438" t="s">
        <v>2332</v>
      </c>
      <c r="C36" s="529" t="s">
        <v>2333</v>
      </c>
      <c r="D36" s="527" t="s">
        <v>2334</v>
      </c>
      <c r="E36" s="516" t="s">
        <v>2335</v>
      </c>
      <c r="F36" s="516" t="s">
        <v>2336</v>
      </c>
      <c r="G36" s="516" t="s">
        <v>2336</v>
      </c>
      <c r="H36" s="441"/>
      <c r="I36" s="441"/>
      <c r="J36" s="517"/>
    </row>
    <row r="37" spans="1:10" s="1" customFormat="1" ht="41.25" customHeight="1" thickBot="1">
      <c r="B37" s="430" t="s">
        <v>2337</v>
      </c>
      <c r="C37" s="479" t="s">
        <v>2338</v>
      </c>
      <c r="D37" s="477" t="s">
        <v>2339</v>
      </c>
      <c r="E37" s="208" t="s">
        <v>2341</v>
      </c>
      <c r="F37" s="208" t="s">
        <v>2340</v>
      </c>
      <c r="G37" s="208" t="s">
        <v>2341</v>
      </c>
      <c r="H37" s="396"/>
      <c r="I37" s="396"/>
      <c r="J37" s="397" t="s">
        <v>1134</v>
      </c>
    </row>
    <row r="38" spans="1:10" s="1" customFormat="1" ht="41.25" customHeight="1" thickBot="1">
      <c r="B38" s="430" t="s">
        <v>2343</v>
      </c>
      <c r="C38" s="479" t="s">
        <v>2344</v>
      </c>
      <c r="D38" s="477" t="s">
        <v>2345</v>
      </c>
      <c r="E38" s="208" t="s">
        <v>2346</v>
      </c>
      <c r="F38" s="208" t="s">
        <v>2347</v>
      </c>
      <c r="G38" s="208" t="s">
        <v>2346</v>
      </c>
      <c r="H38" s="396"/>
      <c r="I38" s="396"/>
      <c r="J38" s="397" t="s">
        <v>2348</v>
      </c>
    </row>
    <row r="39" spans="1:10" s="1" customFormat="1" ht="41.25" customHeight="1" thickBot="1">
      <c r="B39" s="430" t="s">
        <v>2349</v>
      </c>
      <c r="C39" s="479" t="s">
        <v>2350</v>
      </c>
      <c r="D39" s="477" t="s">
        <v>2351</v>
      </c>
      <c r="E39" s="208" t="s">
        <v>2352</v>
      </c>
      <c r="F39" s="208" t="s">
        <v>2352</v>
      </c>
      <c r="G39" s="208" t="s">
        <v>2353</v>
      </c>
      <c r="H39" s="396"/>
      <c r="I39" s="396"/>
      <c r="J39" s="397" t="s">
        <v>2348</v>
      </c>
    </row>
    <row r="40" spans="1:10" s="1" customFormat="1" ht="41.25" customHeight="1" thickBot="1">
      <c r="B40" s="430" t="s">
        <v>2354</v>
      </c>
      <c r="C40" s="479" t="s">
        <v>2355</v>
      </c>
      <c r="D40" s="477" t="s">
        <v>2356</v>
      </c>
      <c r="E40" s="208" t="s">
        <v>2357</v>
      </c>
      <c r="F40" s="208" t="s">
        <v>2358</v>
      </c>
      <c r="G40" s="208" t="s">
        <v>2357</v>
      </c>
      <c r="H40" s="396"/>
      <c r="I40" s="396"/>
      <c r="J40" s="397" t="s">
        <v>2084</v>
      </c>
    </row>
    <row r="41" spans="1:10" s="1" customFormat="1" ht="41.25" customHeight="1" thickBot="1">
      <c r="B41" s="430" t="s">
        <v>2359</v>
      </c>
      <c r="C41" s="479" t="s">
        <v>2360</v>
      </c>
      <c r="D41" s="477" t="s">
        <v>1878</v>
      </c>
      <c r="E41" s="208" t="s">
        <v>2361</v>
      </c>
      <c r="F41" s="208" t="s">
        <v>2362</v>
      </c>
      <c r="G41" s="208" t="s">
        <v>2362</v>
      </c>
      <c r="H41" s="396"/>
      <c r="I41" s="396"/>
      <c r="J41" s="397" t="s">
        <v>2084</v>
      </c>
    </row>
    <row r="42" spans="1:10" s="1" customFormat="1" ht="41.25" customHeight="1" thickBot="1">
      <c r="B42" s="430" t="s">
        <v>2363</v>
      </c>
      <c r="C42" s="479" t="s">
        <v>2364</v>
      </c>
      <c r="D42" s="477" t="s">
        <v>2365</v>
      </c>
      <c r="E42" s="208" t="s">
        <v>2367</v>
      </c>
      <c r="F42" s="208" t="s">
        <v>2367</v>
      </c>
      <c r="G42" s="208" t="s">
        <v>2366</v>
      </c>
      <c r="H42" s="396"/>
      <c r="I42" s="396"/>
      <c r="J42" s="397" t="s">
        <v>2290</v>
      </c>
    </row>
    <row r="43" spans="1:10" s="1" customFormat="1" ht="41.25" customHeight="1" thickBot="1">
      <c r="B43" s="430" t="s">
        <v>2368</v>
      </c>
      <c r="C43" s="479" t="s">
        <v>2369</v>
      </c>
      <c r="D43" s="477" t="s">
        <v>2365</v>
      </c>
      <c r="E43" s="208" t="s">
        <v>2370</v>
      </c>
      <c r="F43" s="208" t="s">
        <v>2370</v>
      </c>
      <c r="G43" s="208" t="s">
        <v>2371</v>
      </c>
      <c r="H43" s="396"/>
      <c r="I43" s="396"/>
      <c r="J43" s="397" t="s">
        <v>2290</v>
      </c>
    </row>
    <row r="44" spans="1:10" s="1" customFormat="1" ht="41.25" customHeight="1" thickBot="1">
      <c r="B44" s="430" t="s">
        <v>2375</v>
      </c>
      <c r="C44" s="479" t="s">
        <v>2373</v>
      </c>
      <c r="D44" s="477" t="s">
        <v>1023</v>
      </c>
      <c r="E44" s="208" t="s">
        <v>2372</v>
      </c>
      <c r="F44" s="208" t="s">
        <v>2374</v>
      </c>
      <c r="G44" s="208" t="s">
        <v>2374</v>
      </c>
      <c r="H44" s="396"/>
      <c r="I44" s="396"/>
      <c r="J44" s="397" t="s">
        <v>2290</v>
      </c>
    </row>
    <row r="45" spans="1:10" s="1" customFormat="1" ht="41.25" customHeight="1" thickBot="1">
      <c r="B45" s="430" t="s">
        <v>2376</v>
      </c>
      <c r="C45" s="479" t="s">
        <v>2379</v>
      </c>
      <c r="D45" s="477" t="s">
        <v>1023</v>
      </c>
      <c r="E45" s="208" t="s">
        <v>2377</v>
      </c>
      <c r="F45" s="208" t="s">
        <v>2378</v>
      </c>
      <c r="G45" s="208" t="s">
        <v>2378</v>
      </c>
      <c r="H45" s="396"/>
      <c r="I45" s="396"/>
      <c r="J45" s="397" t="s">
        <v>1738</v>
      </c>
    </row>
    <row r="46" spans="1:10" s="1" customFormat="1" ht="41.25" customHeight="1" thickBot="1">
      <c r="B46" s="430" t="s">
        <v>2381</v>
      </c>
      <c r="C46" s="479" t="s">
        <v>2382</v>
      </c>
      <c r="D46" s="477" t="s">
        <v>2383</v>
      </c>
      <c r="E46" s="208" t="s">
        <v>2384</v>
      </c>
      <c r="F46" s="208" t="s">
        <v>2385</v>
      </c>
      <c r="G46" s="208" t="s">
        <v>2385</v>
      </c>
      <c r="H46" s="396"/>
      <c r="I46" s="396"/>
      <c r="J46" s="397" t="s">
        <v>2270</v>
      </c>
    </row>
    <row r="47" spans="1:10" s="1" customFormat="1" ht="48" thickBot="1">
      <c r="B47" s="430" t="s">
        <v>2386</v>
      </c>
      <c r="C47" s="489" t="s">
        <v>2387</v>
      </c>
      <c r="D47" s="469" t="s">
        <v>2081</v>
      </c>
      <c r="E47" s="404" t="s">
        <v>2388</v>
      </c>
      <c r="F47" s="404" t="s">
        <v>2389</v>
      </c>
      <c r="G47" s="404" t="s">
        <v>2389</v>
      </c>
      <c r="H47" s="404" t="s">
        <v>2389</v>
      </c>
      <c r="I47" s="396"/>
      <c r="J47" s="433" t="s">
        <v>2084</v>
      </c>
    </row>
    <row r="48" spans="1:10" s="1" customFormat="1" ht="48" thickBot="1">
      <c r="B48" s="430" t="s">
        <v>2390</v>
      </c>
      <c r="C48" s="489" t="s">
        <v>2391</v>
      </c>
      <c r="D48" s="469" t="s">
        <v>2392</v>
      </c>
      <c r="E48" s="404" t="s">
        <v>2393</v>
      </c>
      <c r="F48" s="404" t="s">
        <v>2394</v>
      </c>
      <c r="G48" s="404" t="s">
        <v>2394</v>
      </c>
      <c r="H48" s="404" t="s">
        <v>2394</v>
      </c>
      <c r="I48" s="396"/>
      <c r="J48" s="433" t="s">
        <v>2419</v>
      </c>
    </row>
    <row r="49" spans="2:10" s="1" customFormat="1" ht="32.25" thickBot="1">
      <c r="B49" s="430" t="s">
        <v>2395</v>
      </c>
      <c r="C49" s="489" t="s">
        <v>2396</v>
      </c>
      <c r="D49" s="469" t="s">
        <v>1023</v>
      </c>
      <c r="E49" s="404" t="s">
        <v>2397</v>
      </c>
      <c r="F49" s="404" t="s">
        <v>2398</v>
      </c>
      <c r="G49" s="404" t="s">
        <v>2398</v>
      </c>
      <c r="H49" s="404" t="s">
        <v>2398</v>
      </c>
      <c r="I49" s="396"/>
      <c r="J49" s="433" t="s">
        <v>1892</v>
      </c>
    </row>
    <row r="50" spans="2:10" s="1" customFormat="1" ht="48" thickBot="1">
      <c r="B50" s="430" t="s">
        <v>2399</v>
      </c>
      <c r="C50" s="489" t="s">
        <v>2401</v>
      </c>
      <c r="D50" s="469" t="s">
        <v>1023</v>
      </c>
      <c r="E50" s="404" t="s">
        <v>2403</v>
      </c>
      <c r="F50" s="404" t="s">
        <v>2404</v>
      </c>
      <c r="G50" s="404" t="s">
        <v>2404</v>
      </c>
      <c r="H50" s="404" t="s">
        <v>2404</v>
      </c>
      <c r="I50" s="396"/>
      <c r="J50" s="433" t="s">
        <v>2305</v>
      </c>
    </row>
    <row r="51" spans="2:10" s="1" customFormat="1" ht="48" thickBot="1">
      <c r="B51" s="430" t="s">
        <v>2400</v>
      </c>
      <c r="C51" s="489" t="s">
        <v>2402</v>
      </c>
      <c r="D51" s="469" t="s">
        <v>995</v>
      </c>
      <c r="E51" s="404" t="s">
        <v>2406</v>
      </c>
      <c r="F51" s="404" t="s">
        <v>2406</v>
      </c>
      <c r="G51" s="404" t="s">
        <v>2405</v>
      </c>
      <c r="H51" s="404" t="s">
        <v>2406</v>
      </c>
      <c r="I51" s="396"/>
      <c r="J51" s="433" t="s">
        <v>2290</v>
      </c>
    </row>
    <row r="52" spans="2:10" s="1" customFormat="1" ht="32.25" thickBot="1">
      <c r="B52" s="430" t="s">
        <v>2407</v>
      </c>
      <c r="C52" s="489" t="s">
        <v>2412</v>
      </c>
      <c r="D52" s="469" t="s">
        <v>2413</v>
      </c>
      <c r="E52" s="404" t="s">
        <v>2409</v>
      </c>
      <c r="F52" s="404" t="s">
        <v>2408</v>
      </c>
      <c r="G52" s="404" t="s">
        <v>2408</v>
      </c>
      <c r="H52" s="404" t="s">
        <v>2410</v>
      </c>
      <c r="I52" s="396"/>
      <c r="J52" s="433" t="s">
        <v>2411</v>
      </c>
    </row>
    <row r="53" spans="2:10" s="1" customFormat="1" ht="31.5">
      <c r="B53" s="430" t="s">
        <v>2414</v>
      </c>
      <c r="C53" s="489" t="s">
        <v>2415</v>
      </c>
      <c r="D53" s="469" t="s">
        <v>2416</v>
      </c>
      <c r="E53" s="404" t="s">
        <v>2417</v>
      </c>
      <c r="F53" s="404" t="s">
        <v>2418</v>
      </c>
      <c r="G53" s="404" t="s">
        <v>2418</v>
      </c>
      <c r="H53" s="404" t="s">
        <v>2423</v>
      </c>
      <c r="I53" s="396"/>
      <c r="J53" s="530" t="s">
        <v>2420</v>
      </c>
    </row>
  </sheetData>
  <mergeCells count="3">
    <mergeCell ref="I2:I3"/>
    <mergeCell ref="J2:J3"/>
    <mergeCell ref="E7:I7"/>
  </mergeCells>
  <printOptions horizontalCentered="1"/>
  <pageMargins left="0" right="0" top="0.15748031496062992" bottom="0.15748031496062992" header="0.31496062992125984" footer="0.31496062992125984"/>
  <pageSetup paperSize="9" scale="66" fitToHeight="0"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27EE0-7DF7-47C9-893A-AB101439D5D3}">
  <dimension ref="A1:K121"/>
  <sheetViews>
    <sheetView topLeftCell="A13" workbookViewId="0">
      <selection activeCell="B19" sqref="B19"/>
    </sheetView>
  </sheetViews>
  <sheetFormatPr baseColWidth="10" defaultRowHeight="12.75"/>
  <cols>
    <col min="1" max="1" width="5.5703125" customWidth="1"/>
    <col min="2" max="2" width="19.42578125" customWidth="1"/>
    <col min="3" max="3" width="41" customWidth="1"/>
    <col min="4" max="4" width="57.42578125" customWidth="1"/>
    <col min="5" max="5" width="13" customWidth="1"/>
    <col min="6" max="6" width="14.5703125" customWidth="1"/>
    <col min="7" max="7" width="14" customWidth="1"/>
    <col min="8" max="8" width="13.5703125" customWidth="1"/>
    <col min="9" max="9" width="14.42578125" customWidth="1"/>
    <col min="10" max="10" width="47" customWidth="1"/>
  </cols>
  <sheetData>
    <row r="1" spans="1:11" s="20" customFormat="1" ht="6.75" customHeight="1">
      <c r="D1" s="119"/>
      <c r="J1" s="61"/>
    </row>
    <row r="2" spans="1:11" s="20" customFormat="1" ht="12.75" customHeight="1">
      <c r="D2" s="119"/>
      <c r="J2" s="1078"/>
    </row>
    <row r="3" spans="1:11" s="20" customFormat="1" ht="10.5" customHeight="1">
      <c r="D3" s="119"/>
      <c r="J3" s="1079"/>
    </row>
    <row r="4" spans="1:11" s="20" customFormat="1" ht="13.5" thickBot="1">
      <c r="D4" s="119"/>
      <c r="J4" s="61"/>
    </row>
    <row r="5" spans="1:11" s="336" customFormat="1" ht="21.75" thickTop="1" thickBot="1">
      <c r="B5" s="331" t="s">
        <v>2906</v>
      </c>
      <c r="C5" s="332"/>
      <c r="D5" s="333"/>
      <c r="E5" s="332"/>
      <c r="F5" s="334"/>
      <c r="G5" s="334"/>
      <c r="H5" s="334"/>
      <c r="I5" s="334"/>
      <c r="J5" s="335"/>
    </row>
    <row r="6" spans="1:11" s="20" customFormat="1" ht="17.25" thickTop="1" thickBot="1">
      <c r="A6" s="434" t="s">
        <v>1528</v>
      </c>
      <c r="B6" s="26"/>
      <c r="C6" s="26"/>
      <c r="E6" s="121"/>
      <c r="F6" s="27"/>
      <c r="G6" s="27"/>
      <c r="H6" s="27"/>
      <c r="I6" s="27"/>
      <c r="J6" s="63"/>
    </row>
    <row r="7" spans="1:11" s="20" customFormat="1" ht="16.5" customHeight="1" thickBot="1">
      <c r="B7" s="26"/>
      <c r="C7" s="26"/>
      <c r="D7" s="121"/>
      <c r="E7" s="1083" t="s">
        <v>1026</v>
      </c>
      <c r="F7" s="1084"/>
      <c r="G7" s="1084"/>
      <c r="H7" s="1084"/>
      <c r="I7" s="553"/>
      <c r="J7" s="63"/>
    </row>
    <row r="8" spans="1:11" s="330" customFormat="1" ht="19.5" customHeight="1" thickBot="1">
      <c r="B8" s="327" t="s">
        <v>992</v>
      </c>
      <c r="C8" s="327" t="s">
        <v>993</v>
      </c>
      <c r="D8" s="327" t="s">
        <v>994</v>
      </c>
      <c r="E8" s="327" t="s">
        <v>0</v>
      </c>
      <c r="F8" s="327" t="s">
        <v>1</v>
      </c>
      <c r="G8" s="327" t="s">
        <v>995</v>
      </c>
      <c r="H8" s="328" t="s">
        <v>996</v>
      </c>
      <c r="I8" s="328" t="s">
        <v>2511</v>
      </c>
      <c r="J8" s="327" t="s">
        <v>4</v>
      </c>
    </row>
    <row r="9" spans="1:11" s="1" customFormat="1" ht="41.25" customHeight="1">
      <c r="A9" s="1108" t="s">
        <v>2470</v>
      </c>
      <c r="B9" s="559" t="s">
        <v>2424</v>
      </c>
      <c r="C9" s="560" t="s">
        <v>2425</v>
      </c>
      <c r="D9" s="561"/>
      <c r="E9" s="561" t="s">
        <v>2424</v>
      </c>
      <c r="F9" s="561" t="s">
        <v>2424</v>
      </c>
      <c r="G9" s="561" t="s">
        <v>2424</v>
      </c>
      <c r="H9" s="561" t="s">
        <v>2424</v>
      </c>
      <c r="I9" s="562"/>
      <c r="J9" s="563" t="s">
        <v>2426</v>
      </c>
    </row>
    <row r="10" spans="1:11" s="1" customFormat="1" ht="41.25" customHeight="1">
      <c r="A10" s="1109"/>
      <c r="B10" s="702" t="s">
        <v>2427</v>
      </c>
      <c r="C10" s="703" t="s">
        <v>2428</v>
      </c>
      <c r="D10" s="704" t="s">
        <v>1023</v>
      </c>
      <c r="E10" s="705" t="s">
        <v>2427</v>
      </c>
      <c r="F10" s="705" t="s">
        <v>2429</v>
      </c>
      <c r="G10" s="705" t="s">
        <v>2429</v>
      </c>
      <c r="H10" s="705" t="s">
        <v>2429</v>
      </c>
      <c r="I10" s="706"/>
      <c r="J10" s="707" t="s">
        <v>2084</v>
      </c>
    </row>
    <row r="11" spans="1:11" s="1" customFormat="1" ht="41.25" customHeight="1">
      <c r="A11" s="1109"/>
      <c r="B11" s="564" t="s">
        <v>2430</v>
      </c>
      <c r="C11" s="534" t="s">
        <v>2431</v>
      </c>
      <c r="D11" s="532" t="s">
        <v>1023</v>
      </c>
      <c r="E11" s="148" t="s">
        <v>2430</v>
      </c>
      <c r="F11" s="148" t="s">
        <v>2432</v>
      </c>
      <c r="G11" s="148" t="s">
        <v>2432</v>
      </c>
      <c r="H11" s="148" t="s">
        <v>2432</v>
      </c>
      <c r="I11" s="554"/>
      <c r="J11" s="565" t="s">
        <v>960</v>
      </c>
    </row>
    <row r="12" spans="1:11" s="1" customFormat="1" ht="41.25" customHeight="1">
      <c r="A12" s="1109"/>
      <c r="B12" s="564" t="s">
        <v>2433</v>
      </c>
      <c r="C12" s="534" t="s">
        <v>2434</v>
      </c>
      <c r="D12" s="532" t="s">
        <v>995</v>
      </c>
      <c r="E12" s="148" t="s">
        <v>2435</v>
      </c>
      <c r="F12" s="148" t="s">
        <v>2435</v>
      </c>
      <c r="G12" s="148" t="s">
        <v>2433</v>
      </c>
      <c r="H12" s="148" t="s">
        <v>2435</v>
      </c>
      <c r="I12" s="554"/>
      <c r="J12" s="565" t="s">
        <v>2145</v>
      </c>
    </row>
    <row r="13" spans="1:11" s="1" customFormat="1" ht="41.25" customHeight="1">
      <c r="A13" s="1109"/>
      <c r="B13" s="564" t="s">
        <v>2436</v>
      </c>
      <c r="C13" s="383" t="s">
        <v>2437</v>
      </c>
      <c r="D13" s="532" t="s">
        <v>1023</v>
      </c>
      <c r="E13" s="540" t="s">
        <v>2436</v>
      </c>
      <c r="F13" s="540" t="s">
        <v>2438</v>
      </c>
      <c r="G13" s="540" t="s">
        <v>2438</v>
      </c>
      <c r="H13" s="540" t="s">
        <v>2438</v>
      </c>
      <c r="I13" s="550"/>
      <c r="J13" s="565" t="s">
        <v>2439</v>
      </c>
    </row>
    <row r="14" spans="1:11" s="437" customFormat="1" ht="41.25" customHeight="1">
      <c r="A14" s="1109"/>
      <c r="B14" s="566" t="s">
        <v>2440</v>
      </c>
      <c r="C14" s="544" t="s">
        <v>2441</v>
      </c>
      <c r="D14" s="537" t="s">
        <v>1023</v>
      </c>
      <c r="E14" s="545" t="s">
        <v>2440</v>
      </c>
      <c r="F14" s="545" t="s">
        <v>2442</v>
      </c>
      <c r="G14" s="545" t="s">
        <v>2442</v>
      </c>
      <c r="H14" s="545" t="s">
        <v>2442</v>
      </c>
      <c r="I14" s="548"/>
      <c r="J14" s="567" t="s">
        <v>2443</v>
      </c>
      <c r="K14" s="546" t="s">
        <v>2444</v>
      </c>
    </row>
    <row r="15" spans="1:11" s="1" customFormat="1" ht="41.25" customHeight="1">
      <c r="A15" s="1109"/>
      <c r="B15" s="564" t="s">
        <v>2448</v>
      </c>
      <c r="C15" s="542" t="s">
        <v>2446</v>
      </c>
      <c r="D15" s="532" t="s">
        <v>1023</v>
      </c>
      <c r="E15" s="540" t="s">
        <v>2448</v>
      </c>
      <c r="F15" s="540" t="s">
        <v>2449</v>
      </c>
      <c r="G15" s="540" t="s">
        <v>2449</v>
      </c>
      <c r="H15" s="540" t="s">
        <v>2449</v>
      </c>
      <c r="I15" s="550"/>
      <c r="J15" s="565" t="s">
        <v>2426</v>
      </c>
    </row>
    <row r="16" spans="1:11" s="437" customFormat="1" ht="41.25" customHeight="1">
      <c r="A16" s="1109"/>
      <c r="B16" s="566" t="s">
        <v>2445</v>
      </c>
      <c r="C16" s="547" t="s">
        <v>2450</v>
      </c>
      <c r="D16" s="537" t="s">
        <v>1023</v>
      </c>
      <c r="E16" s="545" t="s">
        <v>2445</v>
      </c>
      <c r="F16" s="545" t="s">
        <v>2447</v>
      </c>
      <c r="G16" s="545" t="s">
        <v>2447</v>
      </c>
      <c r="H16" s="545" t="s">
        <v>2447</v>
      </c>
      <c r="I16" s="548"/>
      <c r="J16" s="567" t="s">
        <v>2451</v>
      </c>
      <c r="K16" s="546" t="s">
        <v>2444</v>
      </c>
    </row>
    <row r="17" spans="1:11" s="1" customFormat="1" ht="41.25" customHeight="1">
      <c r="A17" s="1109"/>
      <c r="B17" s="564" t="s">
        <v>5239</v>
      </c>
      <c r="C17" s="542" t="s">
        <v>2453</v>
      </c>
      <c r="D17" s="532" t="s">
        <v>996</v>
      </c>
      <c r="E17" s="540" t="s">
        <v>2454</v>
      </c>
      <c r="F17" s="540" t="s">
        <v>2454</v>
      </c>
      <c r="G17" s="540" t="s">
        <v>2454</v>
      </c>
      <c r="H17" s="540" t="s">
        <v>2452</v>
      </c>
      <c r="I17" s="550"/>
      <c r="J17" s="565" t="s">
        <v>2426</v>
      </c>
    </row>
    <row r="18" spans="1:11" s="437" customFormat="1" ht="41.25" customHeight="1">
      <c r="A18" s="1109"/>
      <c r="B18" s="566" t="s">
        <v>5240</v>
      </c>
      <c r="C18" s="547" t="s">
        <v>2456</v>
      </c>
      <c r="D18" s="537" t="s">
        <v>996</v>
      </c>
      <c r="E18" s="545" t="s">
        <v>2457</v>
      </c>
      <c r="F18" s="545" t="s">
        <v>2457</v>
      </c>
      <c r="G18" s="545" t="s">
        <v>2457</v>
      </c>
      <c r="H18" s="545" t="s">
        <v>2455</v>
      </c>
      <c r="I18" s="548"/>
      <c r="J18" s="567" t="s">
        <v>2451</v>
      </c>
      <c r="K18" s="546" t="s">
        <v>2444</v>
      </c>
    </row>
    <row r="19" spans="1:11" s="1" customFormat="1" ht="41.25" customHeight="1">
      <c r="A19" s="1109"/>
      <c r="B19" s="564" t="s">
        <v>2458</v>
      </c>
      <c r="C19" s="542" t="s">
        <v>2459</v>
      </c>
      <c r="D19" s="532" t="s">
        <v>1</v>
      </c>
      <c r="E19" s="148" t="s">
        <v>2460</v>
      </c>
      <c r="F19" s="148" t="s">
        <v>2458</v>
      </c>
      <c r="G19" s="148" t="s">
        <v>2460</v>
      </c>
      <c r="H19" s="148" t="s">
        <v>2460</v>
      </c>
      <c r="I19" s="554"/>
      <c r="J19" s="565" t="s">
        <v>1235</v>
      </c>
    </row>
    <row r="20" spans="1:11" s="437" customFormat="1" ht="41.25" customHeight="1">
      <c r="A20" s="1109"/>
      <c r="B20" s="566" t="s">
        <v>2461</v>
      </c>
      <c r="C20" s="547" t="s">
        <v>2462</v>
      </c>
      <c r="D20" s="537" t="s">
        <v>1</v>
      </c>
      <c r="E20" s="543" t="s">
        <v>2463</v>
      </c>
      <c r="F20" s="543" t="s">
        <v>2461</v>
      </c>
      <c r="G20" s="543" t="s">
        <v>2463</v>
      </c>
      <c r="H20" s="543" t="s">
        <v>2463</v>
      </c>
      <c r="I20" s="555"/>
      <c r="J20" s="567" t="s">
        <v>2464</v>
      </c>
      <c r="K20" s="546" t="s">
        <v>2444</v>
      </c>
    </row>
    <row r="21" spans="1:11" s="1" customFormat="1" ht="41.25" customHeight="1" thickBot="1">
      <c r="A21" s="1110"/>
      <c r="B21" s="568" t="s">
        <v>2465</v>
      </c>
      <c r="C21" s="569" t="s">
        <v>2466</v>
      </c>
      <c r="D21" s="570" t="s">
        <v>2467</v>
      </c>
      <c r="E21" s="571" t="s">
        <v>2468</v>
      </c>
      <c r="F21" s="571" t="s">
        <v>2468</v>
      </c>
      <c r="G21" s="571" t="s">
        <v>2468</v>
      </c>
      <c r="H21" s="571" t="s">
        <v>2468</v>
      </c>
      <c r="I21" s="572"/>
      <c r="J21" s="573" t="s">
        <v>2469</v>
      </c>
    </row>
    <row r="22" spans="1:11" s="1" customFormat="1" ht="41.25" customHeight="1">
      <c r="B22" s="557" t="s">
        <v>2471</v>
      </c>
      <c r="C22" s="558" t="s">
        <v>2472</v>
      </c>
      <c r="D22" s="540" t="s">
        <v>1945</v>
      </c>
      <c r="E22" s="540" t="s">
        <v>2473</v>
      </c>
      <c r="F22" s="540" t="s">
        <v>2474</v>
      </c>
      <c r="G22" s="540" t="s">
        <v>2474</v>
      </c>
      <c r="H22" s="540" t="s">
        <v>2475</v>
      </c>
      <c r="I22" s="550"/>
      <c r="J22" s="541" t="s">
        <v>2476</v>
      </c>
      <c r="K22" s="458" t="s">
        <v>2477</v>
      </c>
    </row>
    <row r="23" spans="1:11" s="1" customFormat="1" ht="41.25" customHeight="1">
      <c r="B23" s="148" t="s">
        <v>2478</v>
      </c>
      <c r="C23" s="208" t="s">
        <v>2479</v>
      </c>
      <c r="D23" s="208" t="s">
        <v>1023</v>
      </c>
      <c r="E23" s="540" t="s">
        <v>2483</v>
      </c>
      <c r="F23" s="540" t="s">
        <v>2484</v>
      </c>
      <c r="G23" s="540" t="s">
        <v>2484</v>
      </c>
      <c r="H23" s="540" t="s">
        <v>2484</v>
      </c>
      <c r="I23" s="550"/>
      <c r="J23" s="533" t="s">
        <v>2480</v>
      </c>
      <c r="K23" s="458" t="s">
        <v>2487</v>
      </c>
    </row>
    <row r="24" spans="1:11" s="1" customFormat="1" ht="41.25" customHeight="1">
      <c r="B24" s="148" t="s">
        <v>2481</v>
      </c>
      <c r="C24" s="208" t="s">
        <v>2482</v>
      </c>
      <c r="D24" s="208" t="s">
        <v>1023</v>
      </c>
      <c r="E24" s="540" t="s">
        <v>2485</v>
      </c>
      <c r="F24" s="540" t="s">
        <v>2486</v>
      </c>
      <c r="G24" s="540" t="s">
        <v>2486</v>
      </c>
      <c r="H24" s="550"/>
      <c r="I24" s="550"/>
      <c r="J24" s="533" t="s">
        <v>1960</v>
      </c>
      <c r="K24" s="458" t="s">
        <v>2488</v>
      </c>
    </row>
    <row r="25" spans="1:11" s="1" customFormat="1" ht="41.25" customHeight="1">
      <c r="B25" s="148" t="s">
        <v>2489</v>
      </c>
      <c r="C25" s="528" t="s">
        <v>2493</v>
      </c>
      <c r="D25" s="208" t="s">
        <v>2492</v>
      </c>
      <c r="E25" s="540" t="s">
        <v>2491</v>
      </c>
      <c r="F25" s="540" t="s">
        <v>2491</v>
      </c>
      <c r="G25" s="540" t="s">
        <v>2490</v>
      </c>
      <c r="H25" s="550"/>
      <c r="I25" s="550"/>
      <c r="J25" s="533" t="s">
        <v>2480</v>
      </c>
      <c r="K25" s="458" t="s">
        <v>2487</v>
      </c>
    </row>
    <row r="26" spans="1:11" s="1" customFormat="1" ht="41.25" customHeight="1">
      <c r="B26" s="148" t="s">
        <v>2494</v>
      </c>
      <c r="C26" s="549" t="s">
        <v>2495</v>
      </c>
      <c r="D26" s="532" t="s">
        <v>1023</v>
      </c>
      <c r="E26" s="540" t="s">
        <v>2497</v>
      </c>
      <c r="F26" s="540" t="s">
        <v>2496</v>
      </c>
      <c r="G26" s="540" t="s">
        <v>2496</v>
      </c>
      <c r="H26" s="550"/>
      <c r="I26" s="550"/>
      <c r="J26" s="533"/>
    </row>
    <row r="27" spans="1:11" s="1" customFormat="1" ht="41.25" customHeight="1">
      <c r="B27" s="148" t="s">
        <v>2498</v>
      </c>
      <c r="C27" s="574" t="s">
        <v>2499</v>
      </c>
      <c r="D27" s="532" t="s">
        <v>995</v>
      </c>
      <c r="E27" s="540" t="s">
        <v>2500</v>
      </c>
      <c r="F27" s="540" t="s">
        <v>2501</v>
      </c>
      <c r="G27" s="540" t="s">
        <v>2501</v>
      </c>
      <c r="H27" s="550"/>
      <c r="I27" s="550"/>
      <c r="J27" s="533" t="s">
        <v>2290</v>
      </c>
    </row>
    <row r="28" spans="1:11" s="1" customFormat="1" ht="41.25" customHeight="1">
      <c r="B28" s="148" t="s">
        <v>2502</v>
      </c>
      <c r="C28" s="574" t="s">
        <v>2505</v>
      </c>
      <c r="D28" s="532" t="s">
        <v>1295</v>
      </c>
      <c r="E28" s="540" t="s">
        <v>2503</v>
      </c>
      <c r="F28" s="540" t="s">
        <v>2504</v>
      </c>
      <c r="G28" s="540" t="s">
        <v>2504</v>
      </c>
      <c r="H28" s="550"/>
      <c r="I28" s="550"/>
      <c r="J28" s="533" t="s">
        <v>1060</v>
      </c>
    </row>
    <row r="29" spans="1:11" s="437" customFormat="1" ht="41.25" customHeight="1">
      <c r="B29" s="543" t="s">
        <v>2506</v>
      </c>
      <c r="C29" s="551" t="s">
        <v>2507</v>
      </c>
      <c r="D29" s="552" t="s">
        <v>1023</v>
      </c>
      <c r="E29" s="545" t="s">
        <v>2508</v>
      </c>
      <c r="F29" s="545" t="s">
        <v>2509</v>
      </c>
      <c r="G29" s="545" t="s">
        <v>2509</v>
      </c>
      <c r="H29" s="548"/>
      <c r="I29" s="548"/>
      <c r="J29" s="538" t="s">
        <v>2510</v>
      </c>
    </row>
    <row r="30" spans="1:11" s="1" customFormat="1" ht="41.25" customHeight="1">
      <c r="B30" s="148" t="s">
        <v>2512</v>
      </c>
      <c r="C30" s="515" t="s">
        <v>2513</v>
      </c>
      <c r="D30" s="556" t="s">
        <v>2514</v>
      </c>
      <c r="E30" s="540" t="s">
        <v>2516</v>
      </c>
      <c r="F30" s="540" t="s">
        <v>2516</v>
      </c>
      <c r="G30" s="540" t="s">
        <v>2516</v>
      </c>
      <c r="H30" s="548"/>
      <c r="I30" s="540" t="s">
        <v>2515</v>
      </c>
      <c r="J30" s="533" t="s">
        <v>2467</v>
      </c>
    </row>
    <row r="31" spans="1:11" s="1" customFormat="1" ht="41.25" customHeight="1">
      <c r="B31" s="148" t="s">
        <v>2518</v>
      </c>
      <c r="C31" s="535" t="s">
        <v>2519</v>
      </c>
      <c r="D31" s="556" t="s">
        <v>1295</v>
      </c>
      <c r="E31" s="148" t="s">
        <v>2517</v>
      </c>
      <c r="F31" s="148" t="s">
        <v>2521</v>
      </c>
      <c r="G31" s="148" t="s">
        <v>2521</v>
      </c>
      <c r="H31" s="548"/>
      <c r="I31" s="548"/>
      <c r="J31" s="533" t="s">
        <v>2480</v>
      </c>
    </row>
    <row r="32" spans="1:11" s="587" customFormat="1" ht="41.25" customHeight="1">
      <c r="B32" s="588" t="s">
        <v>2532</v>
      </c>
      <c r="C32" s="589"/>
      <c r="D32" s="590"/>
      <c r="E32" s="588"/>
      <c r="F32" s="588"/>
      <c r="G32" s="588"/>
      <c r="H32" s="591"/>
      <c r="I32" s="591"/>
      <c r="J32" s="592"/>
    </row>
    <row r="33" spans="1:11" s="437" customFormat="1" ht="41.25" customHeight="1">
      <c r="B33" s="543" t="s">
        <v>2533</v>
      </c>
      <c r="C33" s="576" t="s">
        <v>2523</v>
      </c>
      <c r="D33" s="575" t="s">
        <v>2553</v>
      </c>
      <c r="E33" s="543" t="s">
        <v>2522</v>
      </c>
      <c r="F33" s="543" t="s">
        <v>2524</v>
      </c>
      <c r="G33" s="543" t="s">
        <v>2524</v>
      </c>
      <c r="H33" s="548"/>
      <c r="I33" s="548"/>
      <c r="J33" s="538" t="s">
        <v>2297</v>
      </c>
    </row>
    <row r="34" spans="1:11" s="437" customFormat="1" ht="41.25" customHeight="1">
      <c r="B34" s="543" t="s">
        <v>2534</v>
      </c>
      <c r="C34" s="576" t="s">
        <v>2526</v>
      </c>
      <c r="D34" s="575" t="s">
        <v>1023</v>
      </c>
      <c r="E34" s="543" t="s">
        <v>2525</v>
      </c>
      <c r="F34" s="543" t="s">
        <v>2527</v>
      </c>
      <c r="G34" s="543" t="s">
        <v>2527</v>
      </c>
      <c r="H34" s="548"/>
      <c r="I34" s="548"/>
      <c r="J34" s="538" t="s">
        <v>2297</v>
      </c>
    </row>
    <row r="35" spans="1:11" s="1" customFormat="1" ht="50.25" customHeight="1">
      <c r="B35" s="543" t="s">
        <v>2535</v>
      </c>
      <c r="C35" s="575" t="s">
        <v>2530</v>
      </c>
      <c r="D35" s="575" t="s">
        <v>995</v>
      </c>
      <c r="E35" s="545" t="s">
        <v>2529</v>
      </c>
      <c r="F35" s="545" t="s">
        <v>2529</v>
      </c>
      <c r="G35" s="545" t="s">
        <v>2528</v>
      </c>
      <c r="H35" s="548"/>
      <c r="I35" s="548"/>
      <c r="J35" s="538" t="s">
        <v>2539</v>
      </c>
    </row>
    <row r="36" spans="1:11" s="437" customFormat="1" ht="41.25" customHeight="1">
      <c r="A36" s="371"/>
      <c r="B36" s="543" t="s">
        <v>2531</v>
      </c>
      <c r="C36" s="575" t="s">
        <v>2538</v>
      </c>
      <c r="D36" s="575" t="s">
        <v>1330</v>
      </c>
      <c r="E36" s="543" t="s">
        <v>2531</v>
      </c>
      <c r="F36" s="543" t="s">
        <v>2536</v>
      </c>
      <c r="G36" s="543" t="s">
        <v>2536</v>
      </c>
      <c r="H36" s="548"/>
      <c r="I36" s="548"/>
      <c r="J36" s="538" t="s">
        <v>2537</v>
      </c>
    </row>
    <row r="37" spans="1:11" s="1" customFormat="1" ht="41.25" customHeight="1">
      <c r="B37" s="543" t="s">
        <v>2542</v>
      </c>
      <c r="C37" s="575" t="s">
        <v>2540</v>
      </c>
      <c r="D37" s="575" t="s">
        <v>2546</v>
      </c>
      <c r="E37" s="543" t="s">
        <v>2544</v>
      </c>
      <c r="F37" s="543" t="s">
        <v>2544</v>
      </c>
      <c r="G37" s="543" t="s">
        <v>2544</v>
      </c>
      <c r="H37" s="543" t="s">
        <v>2542</v>
      </c>
      <c r="I37" s="548"/>
      <c r="J37" s="533"/>
    </row>
    <row r="38" spans="1:11" s="1" customFormat="1" ht="41.25" customHeight="1">
      <c r="B38" s="543" t="s">
        <v>2543</v>
      </c>
      <c r="C38" s="575" t="s">
        <v>2541</v>
      </c>
      <c r="D38" s="575" t="s">
        <v>2547</v>
      </c>
      <c r="E38" s="543" t="s">
        <v>2545</v>
      </c>
      <c r="F38" s="543" t="s">
        <v>2545</v>
      </c>
      <c r="G38" s="543" t="s">
        <v>2545</v>
      </c>
      <c r="H38" s="543" t="s">
        <v>2543</v>
      </c>
      <c r="I38" s="548"/>
      <c r="J38" s="533"/>
    </row>
    <row r="39" spans="1:11" s="1" customFormat="1" ht="41.25" customHeight="1">
      <c r="A39" s="578"/>
      <c r="B39" s="148" t="s">
        <v>2548</v>
      </c>
      <c r="C39" s="1111" t="s">
        <v>2550</v>
      </c>
      <c r="D39" s="1111" t="s">
        <v>1945</v>
      </c>
      <c r="E39" s="148" t="s">
        <v>2548</v>
      </c>
      <c r="F39" s="148" t="s">
        <v>2551</v>
      </c>
      <c r="G39" s="148" t="s">
        <v>2551</v>
      </c>
      <c r="H39" s="148" t="s">
        <v>2551</v>
      </c>
      <c r="I39" s="548"/>
      <c r="J39" s="1113" t="s">
        <v>1843</v>
      </c>
      <c r="K39" s="577"/>
    </row>
    <row r="40" spans="1:11" s="1" customFormat="1" ht="41.25" customHeight="1">
      <c r="A40" s="579"/>
      <c r="B40" s="148" t="s">
        <v>2549</v>
      </c>
      <c r="C40" s="1112"/>
      <c r="D40" s="1112"/>
      <c r="E40" s="148" t="s">
        <v>2552</v>
      </c>
      <c r="F40" s="148" t="s">
        <v>2552</v>
      </c>
      <c r="G40" s="148" t="s">
        <v>2549</v>
      </c>
      <c r="H40" s="548"/>
      <c r="I40" s="548"/>
      <c r="J40" s="1114"/>
      <c r="K40" s="577"/>
    </row>
    <row r="41" spans="1:11" s="1" customFormat="1" ht="41.25" customHeight="1">
      <c r="B41" s="148" t="s">
        <v>2554</v>
      </c>
      <c r="C41" s="515" t="s">
        <v>2555</v>
      </c>
      <c r="D41" s="536" t="s">
        <v>2556</v>
      </c>
      <c r="E41" s="148" t="s">
        <v>2554</v>
      </c>
      <c r="F41" s="148" t="s">
        <v>2557</v>
      </c>
      <c r="G41" s="148" t="s">
        <v>2557</v>
      </c>
      <c r="H41" s="550"/>
      <c r="I41" s="550"/>
      <c r="J41" s="533" t="s">
        <v>1134</v>
      </c>
    </row>
    <row r="42" spans="1:11" s="437" customFormat="1" ht="41.25" customHeight="1">
      <c r="B42" s="543" t="s">
        <v>2558</v>
      </c>
      <c r="C42" s="580" t="s">
        <v>2559</v>
      </c>
      <c r="D42" s="581" t="s">
        <v>995</v>
      </c>
      <c r="E42" s="543" t="s">
        <v>2562</v>
      </c>
      <c r="F42" s="543" t="s">
        <v>2562</v>
      </c>
      <c r="G42" s="543" t="s">
        <v>2558</v>
      </c>
      <c r="H42" s="548"/>
      <c r="I42" s="548"/>
      <c r="J42" s="538"/>
    </row>
    <row r="43" spans="1:11" s="437" customFormat="1" ht="41.25" customHeight="1">
      <c r="B43" s="543" t="s">
        <v>2560</v>
      </c>
      <c r="C43" s="580" t="s">
        <v>2561</v>
      </c>
      <c r="D43" s="581" t="s">
        <v>995</v>
      </c>
      <c r="E43" s="543" t="s">
        <v>2563</v>
      </c>
      <c r="F43" s="543" t="s">
        <v>2563</v>
      </c>
      <c r="G43" s="543" t="s">
        <v>2560</v>
      </c>
      <c r="H43" s="548"/>
      <c r="I43" s="548"/>
      <c r="J43" s="538"/>
    </row>
    <row r="44" spans="1:11" s="1" customFormat="1" ht="41.25" customHeight="1">
      <c r="B44" s="148" t="s">
        <v>2564</v>
      </c>
      <c r="C44" s="515" t="s">
        <v>2565</v>
      </c>
      <c r="D44" s="536" t="s">
        <v>2581</v>
      </c>
      <c r="E44" s="532" t="s">
        <v>2564</v>
      </c>
      <c r="F44" s="532" t="s">
        <v>2566</v>
      </c>
      <c r="G44" s="532" t="s">
        <v>2564</v>
      </c>
      <c r="H44" s="540" t="s">
        <v>2578</v>
      </c>
      <c r="I44" s="550"/>
      <c r="J44" s="533" t="s">
        <v>2579</v>
      </c>
      <c r="K44" s="585" t="s">
        <v>2580</v>
      </c>
    </row>
    <row r="45" spans="1:11" s="1" customFormat="1" ht="41.25" customHeight="1">
      <c r="B45" s="543" t="s">
        <v>2567</v>
      </c>
      <c r="C45" s="580" t="s">
        <v>2568</v>
      </c>
      <c r="D45" s="581" t="s">
        <v>995</v>
      </c>
      <c r="E45" s="543" t="s">
        <v>2569</v>
      </c>
      <c r="F45" s="543" t="s">
        <v>2569</v>
      </c>
      <c r="G45" s="543" t="s">
        <v>2567</v>
      </c>
      <c r="H45" s="540"/>
      <c r="I45" s="540"/>
      <c r="J45" s="538" t="s">
        <v>2570</v>
      </c>
    </row>
    <row r="46" spans="1:11" s="1" customFormat="1" ht="41.25" customHeight="1">
      <c r="B46" s="148" t="s">
        <v>2571</v>
      </c>
      <c r="C46" s="515" t="s">
        <v>2572</v>
      </c>
      <c r="D46" s="536" t="s">
        <v>2573</v>
      </c>
      <c r="E46" s="540" t="s">
        <v>2574</v>
      </c>
      <c r="F46" s="540" t="s">
        <v>2574</v>
      </c>
      <c r="G46" s="540" t="s">
        <v>2574</v>
      </c>
      <c r="H46" s="550"/>
      <c r="I46" s="540" t="s">
        <v>2571</v>
      </c>
      <c r="J46" s="533" t="s">
        <v>2467</v>
      </c>
    </row>
    <row r="47" spans="1:11" s="437" customFormat="1" ht="47.25">
      <c r="B47" s="543" t="s">
        <v>2575</v>
      </c>
      <c r="C47" s="583" t="s">
        <v>2576</v>
      </c>
      <c r="D47" s="584" t="s">
        <v>1023</v>
      </c>
      <c r="E47" s="443" t="s">
        <v>2575</v>
      </c>
      <c r="F47" s="443" t="s">
        <v>2577</v>
      </c>
      <c r="G47" s="443" t="s">
        <v>2577</v>
      </c>
      <c r="H47" s="548"/>
      <c r="I47" s="548"/>
      <c r="J47" s="582"/>
    </row>
    <row r="48" spans="1:11" s="1" customFormat="1" ht="30">
      <c r="B48" s="148" t="s">
        <v>2582</v>
      </c>
      <c r="C48" s="515" t="s">
        <v>2583</v>
      </c>
      <c r="D48" s="539" t="s">
        <v>2675</v>
      </c>
      <c r="E48" s="291" t="s">
        <v>2582</v>
      </c>
      <c r="F48" s="291" t="s">
        <v>2584</v>
      </c>
      <c r="G48" s="291" t="s">
        <v>2584</v>
      </c>
      <c r="H48" s="550"/>
      <c r="I48" s="550"/>
      <c r="J48" s="531" t="s">
        <v>2297</v>
      </c>
    </row>
    <row r="49" spans="2:11" s="437" customFormat="1" ht="18">
      <c r="B49" s="543" t="s">
        <v>2587</v>
      </c>
      <c r="C49" s="576" t="s">
        <v>2585</v>
      </c>
      <c r="D49" s="584" t="s">
        <v>2586</v>
      </c>
      <c r="E49" s="443" t="s">
        <v>2587</v>
      </c>
      <c r="F49" s="443" t="s">
        <v>2588</v>
      </c>
      <c r="G49" s="443" t="s">
        <v>2588</v>
      </c>
      <c r="H49" s="443" t="s">
        <v>2705</v>
      </c>
      <c r="I49" s="548"/>
      <c r="J49" s="582"/>
    </row>
    <row r="50" spans="2:11" s="437" customFormat="1" ht="31.5">
      <c r="B50" s="543" t="s">
        <v>2589</v>
      </c>
      <c r="C50" s="583" t="s">
        <v>2590</v>
      </c>
      <c r="D50" s="584" t="s">
        <v>995</v>
      </c>
      <c r="E50" s="443" t="s">
        <v>2591</v>
      </c>
      <c r="F50" s="443" t="s">
        <v>2591</v>
      </c>
      <c r="G50" s="443" t="s">
        <v>2589</v>
      </c>
      <c r="H50" s="548"/>
      <c r="I50" s="548"/>
      <c r="J50" s="582" t="s">
        <v>2570</v>
      </c>
    </row>
    <row r="51" spans="2:11" s="1" customFormat="1" ht="31.5">
      <c r="B51" s="543" t="s">
        <v>2592</v>
      </c>
      <c r="C51" s="583" t="s">
        <v>2593</v>
      </c>
      <c r="D51" s="584" t="s">
        <v>995</v>
      </c>
      <c r="E51" s="443" t="s">
        <v>2594</v>
      </c>
      <c r="F51" s="443" t="s">
        <v>2594</v>
      </c>
      <c r="G51" s="443" t="s">
        <v>2592</v>
      </c>
      <c r="H51" s="548"/>
      <c r="I51" s="548"/>
      <c r="J51" s="582" t="s">
        <v>2570</v>
      </c>
    </row>
    <row r="52" spans="2:11" s="1" customFormat="1" ht="31.5">
      <c r="B52" s="543" t="s">
        <v>2595</v>
      </c>
      <c r="C52" s="583" t="s">
        <v>2596</v>
      </c>
      <c r="D52" s="584" t="s">
        <v>1023</v>
      </c>
      <c r="E52" s="443" t="s">
        <v>2595</v>
      </c>
      <c r="F52" s="443" t="s">
        <v>2597</v>
      </c>
      <c r="G52" s="443" t="s">
        <v>2597</v>
      </c>
      <c r="H52" s="548"/>
      <c r="I52" s="548"/>
      <c r="J52" s="582"/>
    </row>
    <row r="53" spans="2:11" s="1" customFormat="1" ht="47.25">
      <c r="B53" s="543" t="s">
        <v>2598</v>
      </c>
      <c r="C53" s="583" t="s">
        <v>2600</v>
      </c>
      <c r="D53" s="584" t="s">
        <v>2467</v>
      </c>
      <c r="E53" s="443" t="s">
        <v>2599</v>
      </c>
      <c r="F53" s="443" t="s">
        <v>2599</v>
      </c>
      <c r="G53" s="443" t="s">
        <v>2599</v>
      </c>
      <c r="H53" s="548"/>
      <c r="I53" s="443" t="s">
        <v>2598</v>
      </c>
      <c r="J53" s="582"/>
    </row>
    <row r="54" spans="2:11" s="1" customFormat="1" ht="31.5">
      <c r="B54" s="543" t="s">
        <v>2601</v>
      </c>
      <c r="C54" s="583" t="s">
        <v>2704</v>
      </c>
      <c r="D54" s="584" t="s">
        <v>1023</v>
      </c>
      <c r="E54" s="443" t="s">
        <v>2601</v>
      </c>
      <c r="F54" s="443" t="s">
        <v>2602</v>
      </c>
      <c r="G54" s="443" t="s">
        <v>2602</v>
      </c>
      <c r="H54" s="548"/>
      <c r="I54" s="548"/>
      <c r="J54" s="582" t="s">
        <v>2603</v>
      </c>
      <c r="K54" s="1" t="s">
        <v>2699</v>
      </c>
    </row>
    <row r="55" spans="2:11" s="1" customFormat="1" ht="18">
      <c r="B55" s="543" t="s">
        <v>2604</v>
      </c>
      <c r="C55" s="583" t="s">
        <v>2606</v>
      </c>
      <c r="D55" s="584" t="s">
        <v>2467</v>
      </c>
      <c r="E55" s="443" t="s">
        <v>2605</v>
      </c>
      <c r="F55" s="443" t="s">
        <v>2605</v>
      </c>
      <c r="G55" s="443" t="s">
        <v>2605</v>
      </c>
      <c r="H55" s="548"/>
      <c r="I55" s="443" t="s">
        <v>2604</v>
      </c>
      <c r="J55" s="582"/>
    </row>
    <row r="56" spans="2:11" s="1" customFormat="1" ht="31.5">
      <c r="B56" s="543" t="s">
        <v>2608</v>
      </c>
      <c r="C56" s="583" t="s">
        <v>2607</v>
      </c>
      <c r="D56" s="584" t="s">
        <v>1023</v>
      </c>
      <c r="E56" s="443" t="s">
        <v>2608</v>
      </c>
      <c r="F56" s="443" t="s">
        <v>2609</v>
      </c>
      <c r="G56" s="443" t="s">
        <v>2609</v>
      </c>
      <c r="H56" s="548"/>
      <c r="I56" s="548"/>
      <c r="J56" s="582"/>
    </row>
    <row r="57" spans="2:11" s="1" customFormat="1" ht="31.5">
      <c r="B57" s="543" t="s">
        <v>2626</v>
      </c>
      <c r="C57" s="583" t="s">
        <v>2624</v>
      </c>
      <c r="D57" s="584" t="s">
        <v>2747</v>
      </c>
      <c r="E57" s="443" t="s">
        <v>2627</v>
      </c>
      <c r="F57" s="443" t="s">
        <v>2627</v>
      </c>
      <c r="G57" s="443" t="s">
        <v>2627</v>
      </c>
      <c r="H57" s="443" t="s">
        <v>2626</v>
      </c>
      <c r="I57" s="548"/>
      <c r="J57" s="582"/>
      <c r="K57" s="1" t="s">
        <v>2625</v>
      </c>
    </row>
    <row r="58" spans="2:11" s="1" customFormat="1" ht="31.5">
      <c r="B58" s="543" t="s">
        <v>2613</v>
      </c>
      <c r="C58" s="583" t="s">
        <v>2614</v>
      </c>
      <c r="D58" s="584" t="s">
        <v>2620</v>
      </c>
      <c r="E58" s="443" t="s">
        <v>2613</v>
      </c>
      <c r="F58" s="443" t="s">
        <v>2615</v>
      </c>
      <c r="G58" s="443" t="s">
        <v>2615</v>
      </c>
      <c r="H58" s="548"/>
      <c r="I58" s="443" t="s">
        <v>2616</v>
      </c>
      <c r="J58" s="582"/>
      <c r="K58" s="1" t="s">
        <v>2617</v>
      </c>
    </row>
    <row r="59" spans="2:11" s="1" customFormat="1" ht="31.5">
      <c r="B59" s="543" t="s">
        <v>2618</v>
      </c>
      <c r="C59" s="583" t="s">
        <v>2619</v>
      </c>
      <c r="D59" s="584" t="s">
        <v>2621</v>
      </c>
      <c r="E59" s="443" t="s">
        <v>2622</v>
      </c>
      <c r="F59" s="443" t="s">
        <v>2618</v>
      </c>
      <c r="G59" s="443" t="s">
        <v>2622</v>
      </c>
      <c r="H59" s="548"/>
      <c r="I59" s="548"/>
      <c r="J59" s="582"/>
      <c r="K59" s="1" t="s">
        <v>2623</v>
      </c>
    </row>
    <row r="60" spans="2:11" s="1" customFormat="1" ht="47.25">
      <c r="B60" s="543" t="s">
        <v>2628</v>
      </c>
      <c r="C60" s="583" t="s">
        <v>2611</v>
      </c>
      <c r="D60" s="584" t="s">
        <v>2467</v>
      </c>
      <c r="E60" s="443" t="s">
        <v>2629</v>
      </c>
      <c r="F60" s="443" t="s">
        <v>2629</v>
      </c>
      <c r="G60" s="443" t="s">
        <v>2629</v>
      </c>
      <c r="H60" s="548"/>
      <c r="I60" s="443" t="s">
        <v>2610</v>
      </c>
      <c r="J60" s="582"/>
      <c r="K60" s="1" t="s">
        <v>2612</v>
      </c>
    </row>
    <row r="61" spans="2:11" s="1" customFormat="1" ht="30">
      <c r="B61" s="543" t="s">
        <v>2637</v>
      </c>
      <c r="C61" s="583" t="s">
        <v>2631</v>
      </c>
      <c r="D61" s="584" t="s">
        <v>2632</v>
      </c>
      <c r="E61" s="443" t="s">
        <v>2630</v>
      </c>
      <c r="F61" s="443" t="s">
        <v>2635</v>
      </c>
      <c r="G61" s="443" t="s">
        <v>2630</v>
      </c>
      <c r="H61" s="443" t="s">
        <v>2633</v>
      </c>
      <c r="I61" s="548"/>
      <c r="J61" s="582"/>
      <c r="K61" s="1" t="s">
        <v>2634</v>
      </c>
    </row>
    <row r="62" spans="2:11" s="1" customFormat="1" ht="18">
      <c r="B62" s="543" t="s">
        <v>2636</v>
      </c>
      <c r="C62" s="583" t="s">
        <v>2638</v>
      </c>
      <c r="D62" s="584" t="s">
        <v>1</v>
      </c>
      <c r="E62" s="443" t="s">
        <v>2639</v>
      </c>
      <c r="F62" s="443" t="s">
        <v>2636</v>
      </c>
      <c r="G62" s="443" t="s">
        <v>2639</v>
      </c>
      <c r="H62" s="548"/>
      <c r="I62" s="548"/>
      <c r="J62" s="582"/>
      <c r="K62" s="1" t="s">
        <v>2640</v>
      </c>
    </row>
    <row r="63" spans="2:11" s="1" customFormat="1" ht="47.25">
      <c r="B63" s="543" t="s">
        <v>2641</v>
      </c>
      <c r="C63" s="583" t="s">
        <v>2642</v>
      </c>
      <c r="D63" s="584" t="s">
        <v>1023</v>
      </c>
      <c r="E63" s="443" t="s">
        <v>2641</v>
      </c>
      <c r="F63" s="443" t="s">
        <v>2643</v>
      </c>
      <c r="G63" s="443" t="s">
        <v>2643</v>
      </c>
      <c r="H63" s="548"/>
      <c r="I63" s="548"/>
      <c r="J63" s="582"/>
      <c r="K63" s="1" t="s">
        <v>2644</v>
      </c>
    </row>
    <row r="64" spans="2:11" s="1" customFormat="1" ht="18">
      <c r="B64" s="543" t="s">
        <v>2645</v>
      </c>
      <c r="C64" s="583" t="s">
        <v>2647</v>
      </c>
      <c r="D64" s="584" t="s">
        <v>1023</v>
      </c>
      <c r="E64" s="443" t="s">
        <v>2645</v>
      </c>
      <c r="F64" s="443" t="s">
        <v>2646</v>
      </c>
      <c r="G64" s="443" t="s">
        <v>2646</v>
      </c>
      <c r="H64" s="548"/>
      <c r="I64" s="548"/>
      <c r="J64" s="582"/>
      <c r="K64" s="1" t="s">
        <v>2648</v>
      </c>
    </row>
    <row r="65" spans="2:11" s="1" customFormat="1" ht="18">
      <c r="B65" s="543" t="s">
        <v>2649</v>
      </c>
      <c r="C65" s="583" t="s">
        <v>2651</v>
      </c>
      <c r="D65" s="584" t="s">
        <v>1330</v>
      </c>
      <c r="E65" s="586" t="s">
        <v>2649</v>
      </c>
      <c r="F65" s="586" t="s">
        <v>2650</v>
      </c>
      <c r="G65" s="586" t="s">
        <v>2650</v>
      </c>
      <c r="H65" s="548"/>
      <c r="I65" s="548"/>
      <c r="J65" s="582" t="s">
        <v>2480</v>
      </c>
    </row>
    <row r="66" spans="2:11" s="1" customFormat="1" ht="47.25">
      <c r="B66" s="543" t="s">
        <v>2653</v>
      </c>
      <c r="C66" s="583" t="s">
        <v>2652</v>
      </c>
      <c r="D66" s="584" t="s">
        <v>2467</v>
      </c>
      <c r="E66" s="586" t="s">
        <v>2654</v>
      </c>
      <c r="F66" s="586" t="s">
        <v>2654</v>
      </c>
      <c r="G66" s="586" t="s">
        <v>2654</v>
      </c>
      <c r="H66" s="548"/>
      <c r="I66" s="586" t="s">
        <v>2653</v>
      </c>
      <c r="J66" s="582"/>
      <c r="K66" s="1" t="s">
        <v>2655</v>
      </c>
    </row>
    <row r="67" spans="2:11" s="1" customFormat="1" ht="31.5">
      <c r="B67" s="543" t="s">
        <v>2656</v>
      </c>
      <c r="C67" s="583" t="s">
        <v>2657</v>
      </c>
      <c r="D67" s="584" t="s">
        <v>1</v>
      </c>
      <c r="E67" s="586" t="s">
        <v>2658</v>
      </c>
      <c r="F67" s="586" t="s">
        <v>2656</v>
      </c>
      <c r="G67" s="586" t="s">
        <v>2658</v>
      </c>
      <c r="H67" s="548"/>
      <c r="I67" s="548"/>
      <c r="J67" s="582"/>
    </row>
    <row r="68" spans="2:11" s="1" customFormat="1" ht="47.25">
      <c r="B68" s="543" t="s">
        <v>2659</v>
      </c>
      <c r="C68" s="583" t="s">
        <v>2660</v>
      </c>
      <c r="D68" s="584" t="s">
        <v>2467</v>
      </c>
      <c r="E68" s="586" t="s">
        <v>2661</v>
      </c>
      <c r="F68" s="586" t="s">
        <v>2661</v>
      </c>
      <c r="G68" s="586" t="s">
        <v>2661</v>
      </c>
      <c r="H68" s="548"/>
      <c r="I68" s="586" t="s">
        <v>2659</v>
      </c>
      <c r="J68" s="582"/>
      <c r="K68" s="1" t="s">
        <v>2662</v>
      </c>
    </row>
    <row r="69" spans="2:11" s="1" customFormat="1" ht="47.25">
      <c r="B69" s="543" t="s">
        <v>2663</v>
      </c>
      <c r="C69" s="583" t="s">
        <v>2664</v>
      </c>
      <c r="D69" s="584" t="s">
        <v>995</v>
      </c>
      <c r="E69" s="586" t="s">
        <v>2665</v>
      </c>
      <c r="F69" s="586" t="s">
        <v>2665</v>
      </c>
      <c r="G69" s="586" t="s">
        <v>2663</v>
      </c>
      <c r="H69" s="548"/>
      <c r="I69" s="548"/>
      <c r="J69" s="582"/>
      <c r="K69" s="1" t="s">
        <v>2666</v>
      </c>
    </row>
    <row r="70" spans="2:11" s="1" customFormat="1" ht="18">
      <c r="B70" s="543" t="s">
        <v>2668</v>
      </c>
      <c r="C70" s="583" t="s">
        <v>2669</v>
      </c>
      <c r="D70" s="584" t="s">
        <v>996</v>
      </c>
      <c r="E70" s="543" t="s">
        <v>2670</v>
      </c>
      <c r="F70" s="543" t="s">
        <v>2670</v>
      </c>
      <c r="G70" s="543" t="s">
        <v>2670</v>
      </c>
      <c r="H70" s="543" t="s">
        <v>2668</v>
      </c>
      <c r="I70" s="548"/>
      <c r="J70" s="582"/>
      <c r="K70" s="1" t="s">
        <v>2667</v>
      </c>
    </row>
    <row r="71" spans="2:11" s="1" customFormat="1" ht="47.25">
      <c r="B71" s="543" t="s">
        <v>2671</v>
      </c>
      <c r="C71" s="583" t="s">
        <v>2672</v>
      </c>
      <c r="D71" s="584" t="s">
        <v>2621</v>
      </c>
      <c r="E71" s="543" t="s">
        <v>2673</v>
      </c>
      <c r="F71" s="543" t="s">
        <v>2671</v>
      </c>
      <c r="G71" s="543" t="s">
        <v>2673</v>
      </c>
      <c r="H71" s="548"/>
      <c r="I71" s="548"/>
      <c r="J71" s="582"/>
      <c r="K71" s="1" t="s">
        <v>2674</v>
      </c>
    </row>
    <row r="72" spans="2:11" s="1" customFormat="1" ht="31.5">
      <c r="B72" s="543" t="s">
        <v>2676</v>
      </c>
      <c r="C72" s="583" t="s">
        <v>2677</v>
      </c>
      <c r="D72" s="584" t="s">
        <v>1023</v>
      </c>
      <c r="E72" s="543" t="s">
        <v>2676</v>
      </c>
      <c r="F72" s="543" t="s">
        <v>2678</v>
      </c>
      <c r="G72" s="543" t="s">
        <v>2678</v>
      </c>
      <c r="H72" s="548"/>
      <c r="I72" s="548"/>
      <c r="J72" s="582"/>
      <c r="K72" s="1" t="s">
        <v>2679</v>
      </c>
    </row>
    <row r="73" spans="2:11" s="1" customFormat="1" ht="47.25">
      <c r="B73" s="543" t="s">
        <v>2680</v>
      </c>
      <c r="C73" s="583" t="s">
        <v>2681</v>
      </c>
      <c r="D73" s="584" t="s">
        <v>2682</v>
      </c>
      <c r="E73" s="543" t="s">
        <v>2683</v>
      </c>
      <c r="F73" s="543" t="s">
        <v>2680</v>
      </c>
      <c r="G73" s="543" t="s">
        <v>2683</v>
      </c>
      <c r="H73" s="548"/>
      <c r="I73" s="548"/>
      <c r="J73" s="582"/>
      <c r="K73" s="1" t="s">
        <v>2679</v>
      </c>
    </row>
    <row r="74" spans="2:11" s="1" customFormat="1" ht="31.5">
      <c r="B74" s="543" t="s">
        <v>2684</v>
      </c>
      <c r="C74" s="583" t="s">
        <v>2686</v>
      </c>
      <c r="D74" s="584" t="s">
        <v>2520</v>
      </c>
      <c r="E74" s="543" t="s">
        <v>2684</v>
      </c>
      <c r="F74" s="543" t="s">
        <v>2685</v>
      </c>
      <c r="G74" s="543" t="s">
        <v>2685</v>
      </c>
      <c r="H74" s="548"/>
      <c r="I74" s="548"/>
      <c r="J74" s="582"/>
      <c r="K74" s="1" t="s">
        <v>2679</v>
      </c>
    </row>
    <row r="75" spans="2:11" s="1" customFormat="1" ht="31.5">
      <c r="B75" s="543" t="s">
        <v>2687</v>
      </c>
      <c r="C75" s="583" t="s">
        <v>2688</v>
      </c>
      <c r="D75" s="584" t="s">
        <v>995</v>
      </c>
      <c r="E75" s="543" t="s">
        <v>2689</v>
      </c>
      <c r="F75" s="543" t="s">
        <v>2689</v>
      </c>
      <c r="G75" s="543" t="s">
        <v>2687</v>
      </c>
      <c r="H75" s="548"/>
      <c r="I75" s="548"/>
      <c r="J75" s="582"/>
      <c r="K75" s="1" t="s">
        <v>2690</v>
      </c>
    </row>
    <row r="76" spans="2:11" s="1" customFormat="1" ht="31.5">
      <c r="B76" s="543" t="s">
        <v>2691</v>
      </c>
      <c r="C76" s="583" t="s">
        <v>2692</v>
      </c>
      <c r="D76" s="584" t="s">
        <v>1330</v>
      </c>
      <c r="E76" s="543" t="s">
        <v>2693</v>
      </c>
      <c r="F76" s="543" t="s">
        <v>2693</v>
      </c>
      <c r="G76" s="543" t="s">
        <v>2691</v>
      </c>
      <c r="H76" s="548"/>
      <c r="I76" s="548"/>
      <c r="J76" s="582" t="s">
        <v>2480</v>
      </c>
      <c r="K76" s="1" t="s">
        <v>2694</v>
      </c>
    </row>
    <row r="77" spans="2:11" s="1" customFormat="1" ht="18">
      <c r="B77" s="543" t="s">
        <v>2695</v>
      </c>
      <c r="C77" s="583" t="s">
        <v>2696</v>
      </c>
      <c r="D77" s="584" t="s">
        <v>1330</v>
      </c>
      <c r="E77" s="543" t="s">
        <v>2695</v>
      </c>
      <c r="F77" s="543" t="s">
        <v>2697</v>
      </c>
      <c r="G77" s="543" t="s">
        <v>2697</v>
      </c>
      <c r="H77" s="548"/>
      <c r="I77" s="548"/>
      <c r="J77" s="582"/>
      <c r="K77" s="1" t="s">
        <v>2698</v>
      </c>
    </row>
    <row r="78" spans="2:11" s="1" customFormat="1" ht="18">
      <c r="B78" s="148" t="s">
        <v>2700</v>
      </c>
      <c r="C78" s="489" t="s">
        <v>2703</v>
      </c>
      <c r="D78" s="539" t="s">
        <v>995</v>
      </c>
      <c r="E78" s="148" t="s">
        <v>2701</v>
      </c>
      <c r="F78" s="148" t="s">
        <v>2701</v>
      </c>
      <c r="G78" s="148" t="s">
        <v>2700</v>
      </c>
      <c r="H78" s="550"/>
      <c r="I78" s="550"/>
      <c r="J78" s="531" t="s">
        <v>2145</v>
      </c>
      <c r="K78" s="1" t="s">
        <v>2702</v>
      </c>
    </row>
    <row r="79" spans="2:11" s="1" customFormat="1" ht="31.5">
      <c r="B79" s="543" t="s">
        <v>2706</v>
      </c>
      <c r="C79" s="583" t="s">
        <v>2707</v>
      </c>
      <c r="D79" s="584" t="s">
        <v>995</v>
      </c>
      <c r="E79" s="543" t="s">
        <v>2708</v>
      </c>
      <c r="F79" s="543" t="s">
        <v>2708</v>
      </c>
      <c r="G79" s="543" t="s">
        <v>2706</v>
      </c>
      <c r="H79" s="548"/>
      <c r="I79" s="548"/>
      <c r="J79" s="582" t="s">
        <v>2709</v>
      </c>
      <c r="K79" s="1" t="s">
        <v>2710</v>
      </c>
    </row>
    <row r="80" spans="2:11" s="1" customFormat="1" ht="31.5">
      <c r="B80" s="543" t="s">
        <v>2711</v>
      </c>
      <c r="C80" s="583" t="s">
        <v>2712</v>
      </c>
      <c r="D80" s="584" t="s">
        <v>2713</v>
      </c>
      <c r="E80" s="543" t="s">
        <v>2711</v>
      </c>
      <c r="F80" s="543" t="s">
        <v>2714</v>
      </c>
      <c r="G80" s="543" t="s">
        <v>2714</v>
      </c>
      <c r="H80" s="548"/>
      <c r="I80" s="543" t="s">
        <v>2715</v>
      </c>
      <c r="J80" s="582"/>
      <c r="K80" s="1" t="s">
        <v>2716</v>
      </c>
    </row>
    <row r="81" spans="2:11" s="1" customFormat="1" ht="29.25" customHeight="1">
      <c r="B81" s="543" t="s">
        <v>2717</v>
      </c>
      <c r="C81" s="583" t="s">
        <v>2718</v>
      </c>
      <c r="D81" s="584" t="s">
        <v>995</v>
      </c>
      <c r="E81" s="543" t="s">
        <v>2719</v>
      </c>
      <c r="F81" s="543" t="s">
        <v>2719</v>
      </c>
      <c r="G81" s="543" t="s">
        <v>2717</v>
      </c>
      <c r="H81" s="548"/>
      <c r="I81" s="548"/>
      <c r="J81" s="582" t="s">
        <v>2709</v>
      </c>
      <c r="K81" s="1" t="s">
        <v>2720</v>
      </c>
    </row>
    <row r="82" spans="2:11" s="1" customFormat="1" ht="29.25" customHeight="1">
      <c r="B82" s="148" t="s">
        <v>2721</v>
      </c>
      <c r="C82" s="489" t="s">
        <v>2722</v>
      </c>
      <c r="D82" s="539" t="s">
        <v>1295</v>
      </c>
      <c r="E82" s="148" t="s">
        <v>2721</v>
      </c>
      <c r="F82" s="148" t="s">
        <v>2723</v>
      </c>
      <c r="G82" s="148" t="s">
        <v>2723</v>
      </c>
      <c r="H82" s="550"/>
      <c r="I82" s="550"/>
      <c r="J82" s="531" t="s">
        <v>2724</v>
      </c>
      <c r="K82" s="1" t="s">
        <v>2725</v>
      </c>
    </row>
    <row r="83" spans="2:11" s="1" customFormat="1" ht="29.25" customHeight="1">
      <c r="B83" s="543" t="s">
        <v>2726</v>
      </c>
      <c r="C83" s="583" t="s">
        <v>2729</v>
      </c>
      <c r="D83" s="584" t="s">
        <v>2743</v>
      </c>
      <c r="E83" s="543" t="s">
        <v>2727</v>
      </c>
      <c r="F83" s="543" t="s">
        <v>2744</v>
      </c>
      <c r="G83" s="543" t="s">
        <v>2727</v>
      </c>
      <c r="H83" s="543" t="s">
        <v>2726</v>
      </c>
      <c r="I83" s="548"/>
      <c r="J83" s="582"/>
      <c r="K83" s="1" t="s">
        <v>2728</v>
      </c>
    </row>
    <row r="84" spans="2:11" s="1" customFormat="1" ht="29.25" customHeight="1">
      <c r="B84" s="148" t="s">
        <v>2730</v>
      </c>
      <c r="C84" s="489" t="s">
        <v>2731</v>
      </c>
      <c r="D84" s="539" t="s">
        <v>2732</v>
      </c>
      <c r="E84" s="148" t="s">
        <v>2730</v>
      </c>
      <c r="F84" s="148" t="s">
        <v>2733</v>
      </c>
      <c r="G84" s="148" t="s">
        <v>2733</v>
      </c>
      <c r="H84" s="550"/>
      <c r="I84" s="550"/>
      <c r="J84" s="531"/>
      <c r="K84" s="1" t="s">
        <v>2734</v>
      </c>
    </row>
    <row r="85" spans="2:11" s="1" customFormat="1" ht="29.25" customHeight="1">
      <c r="B85" s="543" t="s">
        <v>2736</v>
      </c>
      <c r="C85" s="583" t="s">
        <v>2738</v>
      </c>
      <c r="D85" s="584" t="s">
        <v>995</v>
      </c>
      <c r="E85" s="543" t="s">
        <v>2737</v>
      </c>
      <c r="F85" s="543" t="s">
        <v>2737</v>
      </c>
      <c r="G85" s="543" t="s">
        <v>2737</v>
      </c>
      <c r="H85" s="548"/>
      <c r="I85" s="548"/>
      <c r="J85" s="582"/>
      <c r="K85" s="1" t="s">
        <v>2735</v>
      </c>
    </row>
    <row r="86" spans="2:11" s="1" customFormat="1" ht="29.25" customHeight="1">
      <c r="B86" s="543" t="s">
        <v>2739</v>
      </c>
      <c r="C86" s="583" t="s">
        <v>2741</v>
      </c>
      <c r="D86" s="584" t="s">
        <v>2755</v>
      </c>
      <c r="E86" s="543" t="s">
        <v>2739</v>
      </c>
      <c r="F86" s="543" t="s">
        <v>2740</v>
      </c>
      <c r="G86" s="543" t="s">
        <v>2740</v>
      </c>
      <c r="H86" s="548"/>
      <c r="I86" s="543" t="s">
        <v>2754</v>
      </c>
      <c r="J86" s="582"/>
      <c r="K86" s="1" t="s">
        <v>2742</v>
      </c>
    </row>
    <row r="87" spans="2:11" s="1" customFormat="1" ht="29.25" customHeight="1">
      <c r="B87" s="543" t="s">
        <v>2745</v>
      </c>
      <c r="C87" s="583" t="s">
        <v>2748</v>
      </c>
      <c r="D87" s="584" t="s">
        <v>1023</v>
      </c>
      <c r="E87" s="543" t="s">
        <v>2745</v>
      </c>
      <c r="F87" s="543" t="s">
        <v>2746</v>
      </c>
      <c r="G87" s="543" t="s">
        <v>2746</v>
      </c>
      <c r="H87" s="548"/>
      <c r="I87" s="548"/>
      <c r="J87" s="582"/>
      <c r="K87" s="1" t="s">
        <v>2749</v>
      </c>
    </row>
    <row r="88" spans="2:11" s="1" customFormat="1" ht="29.25" customHeight="1">
      <c r="B88" s="543" t="s">
        <v>2750</v>
      </c>
      <c r="C88" s="583" t="s">
        <v>2751</v>
      </c>
      <c r="D88" s="584" t="s">
        <v>996</v>
      </c>
      <c r="E88" s="543" t="s">
        <v>2752</v>
      </c>
      <c r="F88" s="543" t="s">
        <v>2752</v>
      </c>
      <c r="G88" s="543" t="s">
        <v>2752</v>
      </c>
      <c r="H88" s="543" t="s">
        <v>2750</v>
      </c>
      <c r="I88" s="548"/>
      <c r="J88" s="582"/>
      <c r="K88" s="1" t="s">
        <v>2753</v>
      </c>
    </row>
    <row r="89" spans="2:11" s="1" customFormat="1" ht="29.25" customHeight="1">
      <c r="B89" s="543" t="s">
        <v>2756</v>
      </c>
      <c r="C89" s="583" t="s">
        <v>2759</v>
      </c>
      <c r="D89" s="584" t="s">
        <v>995</v>
      </c>
      <c r="E89" s="543" t="s">
        <v>2757</v>
      </c>
      <c r="F89" s="543" t="s">
        <v>2757</v>
      </c>
      <c r="G89" s="543" t="s">
        <v>2756</v>
      </c>
      <c r="H89" s="548"/>
      <c r="I89" s="548"/>
      <c r="J89" s="582"/>
      <c r="K89" s="1" t="s">
        <v>2758</v>
      </c>
    </row>
    <row r="90" spans="2:11" s="1" customFormat="1" ht="29.25" customHeight="1">
      <c r="B90" s="543" t="s">
        <v>2760</v>
      </c>
      <c r="C90" s="583" t="s">
        <v>2761</v>
      </c>
      <c r="D90" s="584" t="s">
        <v>995</v>
      </c>
      <c r="E90" s="543" t="s">
        <v>2762</v>
      </c>
      <c r="F90" s="543" t="s">
        <v>2762</v>
      </c>
      <c r="G90" s="543" t="s">
        <v>2760</v>
      </c>
      <c r="H90" s="548"/>
      <c r="I90" s="548"/>
      <c r="J90" s="582"/>
      <c r="K90" s="1" t="s">
        <v>2763</v>
      </c>
    </row>
    <row r="91" spans="2:11" s="1" customFormat="1" ht="29.25" customHeight="1">
      <c r="B91" s="148" t="s">
        <v>2764</v>
      </c>
      <c r="C91" s="489" t="s">
        <v>2799</v>
      </c>
      <c r="D91" s="539" t="s">
        <v>1686</v>
      </c>
      <c r="E91" s="148" t="s">
        <v>2764</v>
      </c>
      <c r="F91" s="148" t="s">
        <v>2765</v>
      </c>
      <c r="G91" s="148" t="s">
        <v>2765</v>
      </c>
      <c r="H91" s="550"/>
      <c r="I91" s="550"/>
      <c r="J91" s="531" t="s">
        <v>2439</v>
      </c>
    </row>
    <row r="92" spans="2:11" s="1" customFormat="1" ht="29.25" customHeight="1">
      <c r="B92" s="148" t="s">
        <v>2766</v>
      </c>
      <c r="C92" s="489" t="s">
        <v>2800</v>
      </c>
      <c r="D92" s="539" t="s">
        <v>1686</v>
      </c>
      <c r="E92" s="148" t="s">
        <v>2766</v>
      </c>
      <c r="F92" s="148" t="s">
        <v>2767</v>
      </c>
      <c r="G92" s="148" t="s">
        <v>2767</v>
      </c>
      <c r="H92" s="550"/>
      <c r="I92" s="550"/>
      <c r="J92" s="531" t="s">
        <v>2439</v>
      </c>
    </row>
    <row r="93" spans="2:11" s="1" customFormat="1" ht="29.25" customHeight="1">
      <c r="B93" s="148" t="s">
        <v>2768</v>
      </c>
      <c r="C93" s="489" t="s">
        <v>2801</v>
      </c>
      <c r="D93" s="539" t="s">
        <v>1686</v>
      </c>
      <c r="E93" s="148" t="s">
        <v>2768</v>
      </c>
      <c r="F93" s="148" t="s">
        <v>2769</v>
      </c>
      <c r="G93" s="148" t="s">
        <v>2769</v>
      </c>
      <c r="H93" s="550"/>
      <c r="I93" s="550"/>
      <c r="J93" s="531" t="s">
        <v>2439</v>
      </c>
    </row>
    <row r="94" spans="2:11" s="1" customFormat="1" ht="29.25" customHeight="1">
      <c r="B94" s="148" t="s">
        <v>2770</v>
      </c>
      <c r="C94" s="489" t="s">
        <v>2771</v>
      </c>
      <c r="D94" s="539" t="s">
        <v>2772</v>
      </c>
      <c r="E94" s="148" t="s">
        <v>2770</v>
      </c>
      <c r="F94" s="148" t="s">
        <v>2773</v>
      </c>
      <c r="G94" s="148" t="s">
        <v>2773</v>
      </c>
      <c r="H94" s="550"/>
      <c r="I94" s="550"/>
      <c r="J94" s="531" t="s">
        <v>957</v>
      </c>
    </row>
    <row r="95" spans="2:11" s="1" customFormat="1" ht="29.25" customHeight="1">
      <c r="B95" s="543" t="s">
        <v>2774</v>
      </c>
      <c r="C95" s="583" t="s">
        <v>2776</v>
      </c>
      <c r="D95" s="584" t="s">
        <v>995</v>
      </c>
      <c r="E95" s="543" t="s">
        <v>2775</v>
      </c>
      <c r="F95" s="543" t="s">
        <v>2775</v>
      </c>
      <c r="G95" s="543" t="s">
        <v>2774</v>
      </c>
      <c r="H95" s="548"/>
      <c r="I95" s="548"/>
      <c r="J95" s="582"/>
      <c r="K95" s="1" t="s">
        <v>2777</v>
      </c>
    </row>
    <row r="96" spans="2:11" s="1" customFormat="1" ht="29.25" customHeight="1">
      <c r="B96" s="148" t="s">
        <v>2778</v>
      </c>
      <c r="C96" s="489" t="s">
        <v>2779</v>
      </c>
      <c r="D96" s="539" t="s">
        <v>1023</v>
      </c>
      <c r="E96" s="148" t="s">
        <v>2778</v>
      </c>
      <c r="F96" s="148" t="s">
        <v>2780</v>
      </c>
      <c r="G96" s="148" t="s">
        <v>2780</v>
      </c>
      <c r="H96" s="550"/>
      <c r="I96" s="550"/>
      <c r="J96" s="531" t="s">
        <v>2270</v>
      </c>
      <c r="K96" s="1" t="s">
        <v>2781</v>
      </c>
    </row>
    <row r="97" spans="2:11" s="1" customFormat="1" ht="29.25" customHeight="1">
      <c r="B97" s="543" t="s">
        <v>2783</v>
      </c>
      <c r="C97" s="583" t="s">
        <v>2786</v>
      </c>
      <c r="D97" s="584" t="s">
        <v>2785</v>
      </c>
      <c r="E97" s="543" t="s">
        <v>2783</v>
      </c>
      <c r="F97" s="543" t="s">
        <v>2784</v>
      </c>
      <c r="G97" s="543" t="s">
        <v>2784</v>
      </c>
      <c r="H97" s="548"/>
      <c r="I97" s="548"/>
      <c r="J97" s="582" t="s">
        <v>2270</v>
      </c>
      <c r="K97" s="1" t="s">
        <v>2782</v>
      </c>
    </row>
    <row r="98" spans="2:11" s="1" customFormat="1" ht="29.25" customHeight="1">
      <c r="B98" s="543" t="s">
        <v>2787</v>
      </c>
      <c r="C98" s="583" t="s">
        <v>2788</v>
      </c>
      <c r="D98" s="584" t="s">
        <v>2795</v>
      </c>
      <c r="E98" s="594" t="s">
        <v>2787</v>
      </c>
      <c r="F98" s="543" t="s">
        <v>2789</v>
      </c>
      <c r="G98" s="543" t="s">
        <v>2789</v>
      </c>
      <c r="H98" s="548"/>
      <c r="I98" s="548"/>
      <c r="J98" s="582" t="s">
        <v>2790</v>
      </c>
    </row>
    <row r="99" spans="2:11" s="1" customFormat="1" ht="29.25" customHeight="1">
      <c r="B99" s="543" t="s">
        <v>2792</v>
      </c>
      <c r="C99" s="583" t="s">
        <v>2793</v>
      </c>
      <c r="D99" s="584" t="s">
        <v>2794</v>
      </c>
      <c r="E99" s="594" t="s">
        <v>2792</v>
      </c>
      <c r="F99" s="543" t="s">
        <v>2791</v>
      </c>
      <c r="G99" s="543" t="s">
        <v>2791</v>
      </c>
      <c r="H99" s="548"/>
      <c r="I99" s="548"/>
      <c r="J99" s="582" t="s">
        <v>2790</v>
      </c>
    </row>
    <row r="100" spans="2:11" ht="31.5">
      <c r="B100" s="543" t="s">
        <v>2796</v>
      </c>
      <c r="C100" s="583" t="s">
        <v>2802</v>
      </c>
      <c r="D100" s="595" t="s">
        <v>2804</v>
      </c>
      <c r="E100" s="594" t="s">
        <v>2796</v>
      </c>
      <c r="F100" s="543" t="s">
        <v>2797</v>
      </c>
      <c r="G100" s="543" t="s">
        <v>2797</v>
      </c>
      <c r="H100" s="548"/>
      <c r="I100" s="548"/>
      <c r="J100" s="593" t="s">
        <v>2439</v>
      </c>
    </row>
    <row r="101" spans="2:11" ht="31.5">
      <c r="B101" s="543" t="s">
        <v>2798</v>
      </c>
      <c r="C101" s="583" t="s">
        <v>2803</v>
      </c>
      <c r="D101" s="595" t="s">
        <v>2862</v>
      </c>
      <c r="E101" s="594" t="s">
        <v>2798</v>
      </c>
      <c r="F101" s="543" t="s">
        <v>2805</v>
      </c>
      <c r="G101" s="543" t="s">
        <v>2805</v>
      </c>
      <c r="H101" s="548"/>
      <c r="I101" s="548"/>
      <c r="J101" s="593" t="s">
        <v>2439</v>
      </c>
    </row>
    <row r="102" spans="2:11" ht="30">
      <c r="B102" s="537" t="s">
        <v>2806</v>
      </c>
      <c r="C102" s="596" t="s">
        <v>2807</v>
      </c>
      <c r="D102" s="581" t="s">
        <v>2915</v>
      </c>
      <c r="E102" s="545" t="s">
        <v>2914</v>
      </c>
      <c r="F102" s="545" t="s">
        <v>2913</v>
      </c>
      <c r="G102" s="548"/>
      <c r="H102" s="598" t="s">
        <v>2806</v>
      </c>
      <c r="I102" s="548"/>
      <c r="J102" s="593"/>
      <c r="K102" t="s">
        <v>2808</v>
      </c>
    </row>
    <row r="103" spans="2:11" ht="31.5">
      <c r="B103" s="543" t="s">
        <v>2809</v>
      </c>
      <c r="C103" s="583" t="s">
        <v>2810</v>
      </c>
      <c r="D103" s="595" t="s">
        <v>995</v>
      </c>
      <c r="E103" s="594" t="s">
        <v>2811</v>
      </c>
      <c r="F103" s="594" t="s">
        <v>2811</v>
      </c>
      <c r="G103" s="594" t="s">
        <v>2809</v>
      </c>
      <c r="H103" s="548"/>
      <c r="I103" s="548"/>
      <c r="J103" s="593" t="s">
        <v>2570</v>
      </c>
      <c r="K103" t="s">
        <v>2812</v>
      </c>
    </row>
    <row r="104" spans="2:11" ht="18">
      <c r="B104" s="543" t="s">
        <v>2813</v>
      </c>
      <c r="C104" s="583" t="s">
        <v>2814</v>
      </c>
      <c r="D104" s="595" t="s">
        <v>2511</v>
      </c>
      <c r="E104" s="548"/>
      <c r="F104" s="548"/>
      <c r="G104" s="548"/>
      <c r="H104" s="548"/>
      <c r="I104" s="594" t="s">
        <v>2813</v>
      </c>
      <c r="J104" s="593"/>
    </row>
    <row r="105" spans="2:11" ht="47.25">
      <c r="B105" s="543" t="s">
        <v>2816</v>
      </c>
      <c r="C105" s="583" t="s">
        <v>2817</v>
      </c>
      <c r="D105" s="595" t="s">
        <v>1</v>
      </c>
      <c r="E105" s="594" t="s">
        <v>2820</v>
      </c>
      <c r="F105" s="594" t="s">
        <v>2816</v>
      </c>
      <c r="G105" s="594" t="s">
        <v>2820</v>
      </c>
      <c r="H105" s="548"/>
      <c r="I105" s="548"/>
      <c r="J105" s="593" t="s">
        <v>2819</v>
      </c>
      <c r="K105" t="s">
        <v>2818</v>
      </c>
    </row>
    <row r="106" spans="2:11" ht="63">
      <c r="B106" s="543" t="s">
        <v>2821</v>
      </c>
      <c r="C106" s="583" t="s">
        <v>2823</v>
      </c>
      <c r="D106" s="595" t="s">
        <v>1023</v>
      </c>
      <c r="E106" s="594" t="s">
        <v>2821</v>
      </c>
      <c r="F106" s="594" t="s">
        <v>2822</v>
      </c>
      <c r="G106" s="594" t="s">
        <v>2822</v>
      </c>
      <c r="H106" s="548"/>
      <c r="I106" s="548"/>
      <c r="J106" s="593" t="s">
        <v>2819</v>
      </c>
      <c r="K106" t="s">
        <v>2818</v>
      </c>
    </row>
    <row r="107" spans="2:11" ht="47.25">
      <c r="B107" s="543" t="s">
        <v>2824</v>
      </c>
      <c r="C107" s="583" t="s">
        <v>2826</v>
      </c>
      <c r="D107" s="595" t="s">
        <v>2825</v>
      </c>
      <c r="E107" s="594" t="s">
        <v>2824</v>
      </c>
      <c r="F107" s="594" t="s">
        <v>2827</v>
      </c>
      <c r="G107" s="594" t="s">
        <v>2824</v>
      </c>
      <c r="H107" s="548"/>
      <c r="I107" s="548"/>
      <c r="J107" s="593"/>
    </row>
    <row r="108" spans="2:11" ht="31.5">
      <c r="B108" s="543" t="s">
        <v>2829</v>
      </c>
      <c r="C108" s="583" t="s">
        <v>2830</v>
      </c>
      <c r="D108" s="595" t="s">
        <v>2828</v>
      </c>
      <c r="E108" s="594" t="s">
        <v>2831</v>
      </c>
      <c r="F108" s="594" t="s">
        <v>2831</v>
      </c>
      <c r="G108" s="594" t="s">
        <v>2829</v>
      </c>
      <c r="H108" s="548"/>
      <c r="I108" s="548"/>
      <c r="J108" s="593" t="s">
        <v>2570</v>
      </c>
      <c r="K108" t="s">
        <v>2832</v>
      </c>
    </row>
    <row r="109" spans="2:11" ht="18">
      <c r="B109" s="543" t="s">
        <v>2833</v>
      </c>
      <c r="C109" s="583" t="s">
        <v>2834</v>
      </c>
      <c r="D109" s="595" t="s">
        <v>996</v>
      </c>
      <c r="E109" s="594" t="s">
        <v>2835</v>
      </c>
      <c r="F109" s="594" t="s">
        <v>2835</v>
      </c>
      <c r="G109" s="594" t="s">
        <v>2835</v>
      </c>
      <c r="H109" s="548"/>
      <c r="I109" s="548"/>
      <c r="J109" s="593" t="s">
        <v>2836</v>
      </c>
    </row>
    <row r="110" spans="2:11" ht="18.75" customHeight="1">
      <c r="B110" s="543" t="s">
        <v>2837</v>
      </c>
      <c r="C110" s="583" t="s">
        <v>2838</v>
      </c>
      <c r="D110" s="595" t="s">
        <v>1295</v>
      </c>
      <c r="E110" s="594" t="s">
        <v>2837</v>
      </c>
      <c r="F110" s="594" t="s">
        <v>2840</v>
      </c>
      <c r="G110" s="594" t="s">
        <v>2840</v>
      </c>
      <c r="H110" s="548"/>
      <c r="I110" s="548"/>
      <c r="J110" s="593" t="s">
        <v>2839</v>
      </c>
    </row>
    <row r="111" spans="2:11" ht="18.75" customHeight="1">
      <c r="B111" s="543" t="s">
        <v>2841</v>
      </c>
      <c r="C111" s="583" t="s">
        <v>2842</v>
      </c>
      <c r="D111" s="595" t="s">
        <v>2843</v>
      </c>
      <c r="E111" s="594" t="s">
        <v>2841</v>
      </c>
      <c r="F111" s="594" t="s">
        <v>2844</v>
      </c>
      <c r="G111" s="594" t="s">
        <v>2844</v>
      </c>
      <c r="H111" s="548"/>
      <c r="I111" s="548"/>
      <c r="J111" s="593" t="s">
        <v>1134</v>
      </c>
    </row>
    <row r="112" spans="2:11" ht="47.25">
      <c r="B112" s="543" t="s">
        <v>2846</v>
      </c>
      <c r="C112" s="583" t="s">
        <v>2845</v>
      </c>
      <c r="D112" s="595" t="s">
        <v>2682</v>
      </c>
      <c r="E112" s="594" t="s">
        <v>2847</v>
      </c>
      <c r="F112" s="594" t="s">
        <v>2846</v>
      </c>
      <c r="G112" s="594" t="s">
        <v>2847</v>
      </c>
      <c r="H112" s="548"/>
      <c r="I112" s="548"/>
      <c r="J112" s="593" t="s">
        <v>2464</v>
      </c>
      <c r="K112" s="599" t="s">
        <v>2848</v>
      </c>
    </row>
    <row r="113" spans="2:11" ht="31.5">
      <c r="B113" s="543" t="s">
        <v>2850</v>
      </c>
      <c r="C113" s="583" t="s">
        <v>2849</v>
      </c>
      <c r="D113" s="595" t="s">
        <v>1023</v>
      </c>
      <c r="E113" s="594" t="s">
        <v>2850</v>
      </c>
      <c r="F113" s="594" t="s">
        <v>2851</v>
      </c>
      <c r="G113" s="594" t="s">
        <v>2851</v>
      </c>
      <c r="H113" s="548"/>
      <c r="I113" s="548"/>
      <c r="J113" s="593"/>
    </row>
    <row r="114" spans="2:11" ht="47.25">
      <c r="B114" s="543" t="s">
        <v>2852</v>
      </c>
      <c r="C114" s="583" t="s">
        <v>2853</v>
      </c>
      <c r="D114" s="595" t="s">
        <v>2854</v>
      </c>
      <c r="E114" s="594" t="s">
        <v>2855</v>
      </c>
      <c r="F114" s="594" t="s">
        <v>2852</v>
      </c>
      <c r="G114" s="594" t="s">
        <v>2855</v>
      </c>
      <c r="H114" s="548"/>
      <c r="I114" s="548"/>
      <c r="J114" s="593" t="s">
        <v>2464</v>
      </c>
      <c r="K114" t="s">
        <v>2856</v>
      </c>
    </row>
    <row r="115" spans="2:11" ht="18">
      <c r="B115" s="543" t="s">
        <v>2857</v>
      </c>
      <c r="C115" s="583" t="s">
        <v>2863</v>
      </c>
      <c r="D115" s="595" t="s">
        <v>2858</v>
      </c>
      <c r="E115" s="594" t="s">
        <v>2857</v>
      </c>
      <c r="F115" s="594" t="s">
        <v>2859</v>
      </c>
      <c r="G115" s="594" t="s">
        <v>2859</v>
      </c>
      <c r="H115" s="548"/>
      <c r="I115" s="548"/>
      <c r="J115" s="593" t="s">
        <v>2860</v>
      </c>
      <c r="K115" t="s">
        <v>2861</v>
      </c>
    </row>
    <row r="116" spans="2:11" ht="31.5">
      <c r="B116" s="543" t="s">
        <v>2864</v>
      </c>
      <c r="C116" s="583" t="s">
        <v>2865</v>
      </c>
      <c r="D116" s="595" t="s">
        <v>2868</v>
      </c>
      <c r="E116" s="594" t="s">
        <v>2866</v>
      </c>
      <c r="F116" s="594" t="s">
        <v>2866</v>
      </c>
      <c r="G116" s="594" t="s">
        <v>2866</v>
      </c>
      <c r="H116" s="548"/>
      <c r="I116" s="594" t="s">
        <v>2864</v>
      </c>
      <c r="J116" s="593"/>
      <c r="K116" t="s">
        <v>2867</v>
      </c>
    </row>
    <row r="117" spans="2:11" ht="18">
      <c r="B117" s="543" t="s">
        <v>2869</v>
      </c>
      <c r="C117" s="583" t="s">
        <v>2870</v>
      </c>
      <c r="D117" s="600"/>
      <c r="E117" s="601"/>
      <c r="F117" s="601"/>
      <c r="G117" s="601"/>
      <c r="H117" s="548"/>
      <c r="I117" s="548"/>
      <c r="J117" s="593"/>
      <c r="K117" t="s">
        <v>2867</v>
      </c>
    </row>
    <row r="118" spans="2:11" ht="18">
      <c r="B118" s="543" t="s">
        <v>2871</v>
      </c>
      <c r="C118" s="583" t="s">
        <v>2872</v>
      </c>
      <c r="D118" s="597" t="s">
        <v>1023</v>
      </c>
      <c r="E118" s="598" t="s">
        <v>2871</v>
      </c>
      <c r="F118" s="598" t="s">
        <v>2873</v>
      </c>
      <c r="G118" s="598" t="s">
        <v>2873</v>
      </c>
      <c r="H118" s="548"/>
      <c r="I118" s="548"/>
      <c r="J118" s="593" t="s">
        <v>2270</v>
      </c>
      <c r="K118" t="s">
        <v>2874</v>
      </c>
    </row>
    <row r="119" spans="2:11" ht="31.5">
      <c r="B119" s="543" t="s">
        <v>2877</v>
      </c>
      <c r="C119" s="583" t="s">
        <v>2878</v>
      </c>
      <c r="D119" s="597" t="s">
        <v>995</v>
      </c>
      <c r="E119" s="598" t="s">
        <v>2879</v>
      </c>
      <c r="F119" s="598" t="s">
        <v>2879</v>
      </c>
      <c r="G119" s="598" t="s">
        <v>2877</v>
      </c>
      <c r="H119" s="548"/>
      <c r="I119" s="548"/>
      <c r="J119" s="593" t="s">
        <v>2570</v>
      </c>
      <c r="K119" t="s">
        <v>2880</v>
      </c>
    </row>
    <row r="120" spans="2:11" ht="31.5">
      <c r="B120" s="543" t="s">
        <v>2881</v>
      </c>
      <c r="C120" s="583" t="s">
        <v>2883</v>
      </c>
      <c r="D120" s="597" t="s">
        <v>2884</v>
      </c>
      <c r="E120" s="598" t="s">
        <v>2882</v>
      </c>
      <c r="F120" s="598" t="s">
        <v>2882</v>
      </c>
      <c r="G120" s="598" t="s">
        <v>2882</v>
      </c>
      <c r="H120" s="548"/>
      <c r="I120" s="598" t="s">
        <v>2881</v>
      </c>
      <c r="J120" s="593"/>
    </row>
    <row r="121" spans="2:11" ht="18">
      <c r="B121" s="543" t="s">
        <v>2875</v>
      </c>
      <c r="C121" s="583" t="s">
        <v>2876</v>
      </c>
      <c r="D121" s="597" t="s">
        <v>1023</v>
      </c>
      <c r="E121" s="598" t="s">
        <v>2875</v>
      </c>
      <c r="F121" s="602"/>
      <c r="G121" s="602"/>
      <c r="H121" s="548"/>
      <c r="I121" s="548"/>
      <c r="J121" s="593"/>
    </row>
  </sheetData>
  <mergeCells count="6">
    <mergeCell ref="J2:J3"/>
    <mergeCell ref="E7:H7"/>
    <mergeCell ref="A9:A21"/>
    <mergeCell ref="C39:C40"/>
    <mergeCell ref="D39:D40"/>
    <mergeCell ref="J39:J40"/>
  </mergeCells>
  <printOptions horizontalCentered="1"/>
  <pageMargins left="0" right="0" top="0.35433070866141736" bottom="0.35433070866141736" header="0.31496062992125984" footer="0.31496062992125984"/>
  <pageSetup paperSize="8" scale="70" orientation="landscape" verticalDpi="4294967295"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407C0-1249-4C88-807B-66E3D9321A88}">
  <dimension ref="A1:L88"/>
  <sheetViews>
    <sheetView topLeftCell="A58" workbookViewId="0">
      <selection activeCell="A58" sqref="A1:IV65536"/>
    </sheetView>
  </sheetViews>
  <sheetFormatPr baseColWidth="10" defaultRowHeight="12.75"/>
  <cols>
    <col min="1" max="1" width="5.5703125" customWidth="1"/>
    <col min="2" max="2" width="13" customWidth="1"/>
    <col min="3" max="3" width="7" customWidth="1"/>
    <col min="4" max="4" width="36.5703125" customWidth="1"/>
    <col min="5" max="5" width="47.42578125" bestFit="1" customWidth="1"/>
    <col min="6" max="6" width="12.5703125" customWidth="1"/>
    <col min="7" max="7" width="11.5703125" customWidth="1"/>
    <col min="8" max="8" width="13.5703125" customWidth="1"/>
    <col min="9" max="9" width="13.42578125" bestFit="1" customWidth="1"/>
    <col min="10" max="10" width="15" bestFit="1" customWidth="1"/>
    <col min="11" max="11" width="24.42578125" bestFit="1" customWidth="1"/>
  </cols>
  <sheetData>
    <row r="1" spans="1:12" s="20" customFormat="1" ht="6.75" customHeight="1">
      <c r="E1" s="119"/>
      <c r="K1" s="61"/>
    </row>
    <row r="2" spans="1:12" s="20" customFormat="1" ht="12.75" customHeight="1">
      <c r="E2" s="119"/>
      <c r="K2" s="1078"/>
    </row>
    <row r="3" spans="1:12" s="20" customFormat="1" ht="10.5" customHeight="1">
      <c r="E3" s="119"/>
      <c r="K3" s="1079"/>
    </row>
    <row r="4" spans="1:12" s="20" customFormat="1" ht="13.5" thickBot="1">
      <c r="E4" s="119"/>
      <c r="K4" s="61"/>
    </row>
    <row r="5" spans="1:12" s="336" customFormat="1" ht="21.75" thickTop="1" thickBot="1">
      <c r="B5" s="331" t="s">
        <v>2905</v>
      </c>
      <c r="C5" s="332"/>
      <c r="D5" s="332"/>
      <c r="E5" s="333"/>
      <c r="F5" s="332"/>
      <c r="G5" s="334"/>
      <c r="H5" s="334"/>
      <c r="I5" s="334"/>
      <c r="J5" s="334"/>
      <c r="K5" s="335"/>
    </row>
    <row r="6" spans="1:12" s="20" customFormat="1" ht="17.25" thickTop="1" thickBot="1">
      <c r="A6" s="434" t="s">
        <v>1528</v>
      </c>
      <c r="B6" s="26"/>
      <c r="C6" s="26"/>
      <c r="D6" s="26"/>
      <c r="F6" s="121"/>
      <c r="G6" s="27"/>
      <c r="H6" s="27"/>
      <c r="I6" s="27"/>
      <c r="J6" s="27"/>
      <c r="K6" s="63"/>
    </row>
    <row r="7" spans="1:12" s="20" customFormat="1" ht="16.5" customHeight="1" thickBot="1">
      <c r="B7" s="26"/>
      <c r="C7" s="26"/>
      <c r="D7" s="26"/>
      <c r="E7" s="121"/>
      <c r="F7" s="1083" t="s">
        <v>1026</v>
      </c>
      <c r="G7" s="1084"/>
      <c r="H7" s="1084"/>
      <c r="I7" s="1084"/>
      <c r="J7" s="553"/>
      <c r="K7" s="63"/>
    </row>
    <row r="8" spans="1:12" s="330" customFormat="1" ht="24" customHeight="1" thickBot="1">
      <c r="B8" s="327" t="s">
        <v>992</v>
      </c>
      <c r="C8" s="604" t="s">
        <v>2892</v>
      </c>
      <c r="D8" s="327" t="s">
        <v>993</v>
      </c>
      <c r="E8" s="327" t="s">
        <v>994</v>
      </c>
      <c r="F8" s="327" t="s">
        <v>0</v>
      </c>
      <c r="G8" s="327" t="s">
        <v>1</v>
      </c>
      <c r="H8" s="327" t="s">
        <v>995</v>
      </c>
      <c r="I8" s="328" t="s">
        <v>996</v>
      </c>
      <c r="J8" s="328" t="s">
        <v>2511</v>
      </c>
      <c r="K8" s="327" t="s">
        <v>4</v>
      </c>
    </row>
    <row r="9" spans="1:12" s="330" customFormat="1" ht="24" customHeight="1">
      <c r="B9" s="148" t="s">
        <v>3129</v>
      </c>
      <c r="C9" s="603" t="s">
        <v>2897</v>
      </c>
      <c r="D9" s="208" t="s">
        <v>3131</v>
      </c>
      <c r="E9" s="208" t="s">
        <v>3132</v>
      </c>
      <c r="F9" s="540" t="s">
        <v>3133</v>
      </c>
      <c r="G9" s="540" t="s">
        <v>3133</v>
      </c>
      <c r="H9" s="550"/>
      <c r="I9" s="550"/>
      <c r="J9" s="550"/>
      <c r="K9" s="533" t="s">
        <v>3134</v>
      </c>
      <c r="L9" s="458"/>
    </row>
    <row r="10" spans="1:12" s="1" customFormat="1" ht="41.25" customHeight="1">
      <c r="B10" s="148" t="s">
        <v>3130</v>
      </c>
      <c r="C10" s="603" t="s">
        <v>2897</v>
      </c>
      <c r="D10" s="208" t="s">
        <v>2898</v>
      </c>
      <c r="E10" s="208" t="s">
        <v>2899</v>
      </c>
      <c r="F10" s="540" t="s">
        <v>2900</v>
      </c>
      <c r="G10" s="540" t="s">
        <v>2900</v>
      </c>
      <c r="H10" s="540" t="s">
        <v>2900</v>
      </c>
      <c r="I10" s="540" t="s">
        <v>2900</v>
      </c>
      <c r="J10" s="550"/>
      <c r="K10" s="533" t="s">
        <v>2426</v>
      </c>
      <c r="L10" s="458" t="s">
        <v>2901</v>
      </c>
    </row>
    <row r="11" spans="1:12" s="587" customFormat="1" ht="41.25" customHeight="1">
      <c r="A11" s="478"/>
      <c r="B11" s="532" t="s">
        <v>2902</v>
      </c>
      <c r="C11" s="606" t="s">
        <v>2917</v>
      </c>
      <c r="D11" s="528" t="s">
        <v>2903</v>
      </c>
      <c r="E11" s="208" t="s">
        <v>1295</v>
      </c>
      <c r="F11" s="540" t="s">
        <v>2904</v>
      </c>
      <c r="G11" s="540" t="s">
        <v>2916</v>
      </c>
      <c r="H11" s="540" t="s">
        <v>2916</v>
      </c>
      <c r="I11" s="550"/>
      <c r="J11" s="550"/>
      <c r="K11" s="592" t="s">
        <v>1235</v>
      </c>
      <c r="L11" s="605"/>
    </row>
    <row r="12" spans="1:12" s="1" customFormat="1" ht="41.25" customHeight="1">
      <c r="B12" s="148" t="s">
        <v>2885</v>
      </c>
      <c r="C12" s="603" t="s">
        <v>2893</v>
      </c>
      <c r="D12" s="208" t="s">
        <v>2479</v>
      </c>
      <c r="E12" s="208" t="s">
        <v>1023</v>
      </c>
      <c r="F12" s="540" t="s">
        <v>2886</v>
      </c>
      <c r="G12" s="540" t="s">
        <v>2887</v>
      </c>
      <c r="H12" s="540" t="s">
        <v>2887</v>
      </c>
      <c r="I12" s="540" t="s">
        <v>2887</v>
      </c>
      <c r="J12" s="550"/>
      <c r="K12" s="533" t="s">
        <v>2888</v>
      </c>
      <c r="L12" s="458" t="s">
        <v>2487</v>
      </c>
    </row>
    <row r="13" spans="1:12" s="1" customFormat="1" ht="72">
      <c r="B13" s="148" t="s">
        <v>2889</v>
      </c>
      <c r="C13" s="603" t="s">
        <v>2894</v>
      </c>
      <c r="D13" s="528" t="s">
        <v>2890</v>
      </c>
      <c r="E13" s="208" t="s">
        <v>1295</v>
      </c>
      <c r="F13" s="540" t="s">
        <v>2891</v>
      </c>
      <c r="G13" s="540" t="s">
        <v>2895</v>
      </c>
      <c r="H13" s="540" t="s">
        <v>2895</v>
      </c>
      <c r="I13" s="550"/>
      <c r="J13" s="550"/>
      <c r="K13" s="533" t="s">
        <v>1060</v>
      </c>
      <c r="L13" s="458" t="s">
        <v>2896</v>
      </c>
    </row>
    <row r="14" spans="1:12" s="1" customFormat="1" ht="18">
      <c r="B14" s="148" t="s">
        <v>2907</v>
      </c>
      <c r="C14" s="603" t="s">
        <v>2908</v>
      </c>
      <c r="D14" s="528" t="s">
        <v>2909</v>
      </c>
      <c r="E14" s="208" t="s">
        <v>995</v>
      </c>
      <c r="F14" s="540" t="s">
        <v>2911</v>
      </c>
      <c r="G14" s="540" t="s">
        <v>2911</v>
      </c>
      <c r="H14" s="540" t="s">
        <v>2910</v>
      </c>
      <c r="I14" s="550"/>
      <c r="J14" s="550"/>
      <c r="K14" s="533" t="s">
        <v>2570</v>
      </c>
      <c r="L14" s="458" t="s">
        <v>2912</v>
      </c>
    </row>
    <row r="15" spans="1:12" s="1" customFormat="1" ht="18">
      <c r="B15" s="148" t="s">
        <v>2918</v>
      </c>
      <c r="C15" s="603" t="s">
        <v>2919</v>
      </c>
      <c r="D15" s="528" t="s">
        <v>2922</v>
      </c>
      <c r="E15" s="208" t="s">
        <v>1295</v>
      </c>
      <c r="F15" s="540" t="s">
        <v>2920</v>
      </c>
      <c r="G15" s="540" t="s">
        <v>2921</v>
      </c>
      <c r="H15" s="540" t="s">
        <v>2921</v>
      </c>
      <c r="I15" s="550"/>
      <c r="J15" s="550"/>
      <c r="K15" s="533" t="s">
        <v>1134</v>
      </c>
      <c r="L15" s="458"/>
    </row>
    <row r="16" spans="1:12" s="1" customFormat="1" ht="36">
      <c r="B16" s="148" t="s">
        <v>2923</v>
      </c>
      <c r="C16" s="603" t="s">
        <v>2908</v>
      </c>
      <c r="D16" s="528" t="s">
        <v>2924</v>
      </c>
      <c r="E16" s="208" t="s">
        <v>995</v>
      </c>
      <c r="F16" s="540" t="s">
        <v>2926</v>
      </c>
      <c r="G16" s="540" t="s">
        <v>2926</v>
      </c>
      <c r="H16" s="540" t="s">
        <v>2925</v>
      </c>
      <c r="I16" s="550"/>
      <c r="J16" s="550"/>
      <c r="K16" s="533" t="s">
        <v>2570</v>
      </c>
      <c r="L16" s="458" t="s">
        <v>2927</v>
      </c>
    </row>
    <row r="17" spans="2:12" s="1" customFormat="1" ht="18">
      <c r="B17" s="148" t="s">
        <v>2929</v>
      </c>
      <c r="C17" s="603" t="s">
        <v>2908</v>
      </c>
      <c r="D17" s="528" t="s">
        <v>2930</v>
      </c>
      <c r="E17" s="208" t="s">
        <v>2928</v>
      </c>
      <c r="F17" s="540" t="s">
        <v>2932</v>
      </c>
      <c r="G17" s="540" t="s">
        <v>2931</v>
      </c>
      <c r="H17" s="540" t="s">
        <v>2931</v>
      </c>
      <c r="I17" s="550"/>
      <c r="J17" s="550"/>
      <c r="K17" s="533" t="s">
        <v>2860</v>
      </c>
      <c r="L17" s="458" t="s">
        <v>2933</v>
      </c>
    </row>
    <row r="18" spans="2:12" s="437" customFormat="1" ht="36">
      <c r="B18" s="543" t="s">
        <v>2934</v>
      </c>
      <c r="C18" s="607" t="s">
        <v>2908</v>
      </c>
      <c r="D18" s="608" t="s">
        <v>2935</v>
      </c>
      <c r="E18" s="516" t="s">
        <v>1646</v>
      </c>
      <c r="F18" s="545" t="s">
        <v>2936</v>
      </c>
      <c r="G18" s="545" t="s">
        <v>2937</v>
      </c>
      <c r="H18" s="545" t="s">
        <v>2937</v>
      </c>
      <c r="I18" s="548"/>
      <c r="J18" s="548"/>
      <c r="K18" s="538"/>
      <c r="L18" s="465"/>
    </row>
    <row r="19" spans="2:12" s="1" customFormat="1" ht="54">
      <c r="B19" s="148" t="s">
        <v>2938</v>
      </c>
      <c r="C19" s="603" t="s">
        <v>2893</v>
      </c>
      <c r="D19" s="528" t="s">
        <v>2941</v>
      </c>
      <c r="E19" s="208" t="s">
        <v>1295</v>
      </c>
      <c r="F19" s="540" t="s">
        <v>2939</v>
      </c>
      <c r="G19" s="540" t="s">
        <v>2940</v>
      </c>
      <c r="H19" s="540" t="s">
        <v>2940</v>
      </c>
      <c r="I19" s="550"/>
      <c r="J19" s="550"/>
      <c r="K19" s="533" t="s">
        <v>957</v>
      </c>
      <c r="L19" s="458"/>
    </row>
    <row r="20" spans="2:12" s="1" customFormat="1" ht="18">
      <c r="B20" s="148" t="s">
        <v>2942</v>
      </c>
      <c r="C20" s="603" t="s">
        <v>2919</v>
      </c>
      <c r="D20" s="528" t="s">
        <v>2943</v>
      </c>
      <c r="E20" s="208" t="s">
        <v>1295</v>
      </c>
      <c r="F20" s="540" t="s">
        <v>2944</v>
      </c>
      <c r="G20" s="540" t="s">
        <v>2945</v>
      </c>
      <c r="H20" s="540" t="s">
        <v>2944</v>
      </c>
      <c r="I20" s="550"/>
      <c r="J20" s="550"/>
      <c r="K20" s="533" t="s">
        <v>2084</v>
      </c>
      <c r="L20" s="458" t="s">
        <v>2946</v>
      </c>
    </row>
    <row r="21" spans="2:12" s="437" customFormat="1" ht="18">
      <c r="B21" s="543" t="s">
        <v>2947</v>
      </c>
      <c r="C21" s="607" t="s">
        <v>2893</v>
      </c>
      <c r="D21" s="608" t="s">
        <v>2948</v>
      </c>
      <c r="E21" s="516" t="s">
        <v>1646</v>
      </c>
      <c r="F21" s="545" t="s">
        <v>2949</v>
      </c>
      <c r="G21" s="545" t="s">
        <v>2950</v>
      </c>
      <c r="H21" s="545" t="s">
        <v>2950</v>
      </c>
      <c r="I21" s="548"/>
      <c r="J21" s="548"/>
      <c r="K21" s="538" t="s">
        <v>960</v>
      </c>
      <c r="L21" s="465"/>
    </row>
    <row r="22" spans="2:12" s="1" customFormat="1" ht="72">
      <c r="B22" s="148" t="s">
        <v>2951</v>
      </c>
      <c r="C22" s="603" t="s">
        <v>2894</v>
      </c>
      <c r="D22" s="528" t="s">
        <v>2952</v>
      </c>
      <c r="E22" s="208" t="s">
        <v>1295</v>
      </c>
      <c r="F22" s="540" t="s">
        <v>2954</v>
      </c>
      <c r="G22" s="540" t="s">
        <v>2953</v>
      </c>
      <c r="H22" s="540" t="s">
        <v>2954</v>
      </c>
      <c r="I22" s="550"/>
      <c r="J22" s="550"/>
      <c r="K22" s="533" t="s">
        <v>2145</v>
      </c>
      <c r="L22" s="458" t="s">
        <v>2955</v>
      </c>
    </row>
    <row r="23" spans="2:12" s="1" customFormat="1" ht="36">
      <c r="B23" s="148" t="s">
        <v>2956</v>
      </c>
      <c r="C23" s="603" t="s">
        <v>2908</v>
      </c>
      <c r="D23" s="528" t="s">
        <v>2957</v>
      </c>
      <c r="E23" s="208" t="s">
        <v>995</v>
      </c>
      <c r="F23" s="540" t="s">
        <v>2958</v>
      </c>
      <c r="G23" s="540" t="s">
        <v>2958</v>
      </c>
      <c r="H23" s="540" t="s">
        <v>2959</v>
      </c>
      <c r="I23" s="550"/>
      <c r="J23" s="550"/>
      <c r="K23" s="533" t="s">
        <v>2570</v>
      </c>
      <c r="L23" s="458" t="s">
        <v>2960</v>
      </c>
    </row>
    <row r="24" spans="2:12" s="1" customFormat="1" ht="36">
      <c r="B24" s="148" t="s">
        <v>2961</v>
      </c>
      <c r="C24" s="603" t="s">
        <v>2962</v>
      </c>
      <c r="D24" s="528" t="s">
        <v>2963</v>
      </c>
      <c r="E24" s="208" t="s">
        <v>2467</v>
      </c>
      <c r="F24" s="540" t="s">
        <v>2964</v>
      </c>
      <c r="G24" s="540" t="s">
        <v>2964</v>
      </c>
      <c r="H24" s="540" t="s">
        <v>2964</v>
      </c>
      <c r="I24" s="550"/>
      <c r="J24" s="540" t="s">
        <v>2965</v>
      </c>
      <c r="K24" s="533"/>
      <c r="L24" s="458" t="s">
        <v>2966</v>
      </c>
    </row>
    <row r="25" spans="2:12" s="1" customFormat="1" ht="18">
      <c r="B25" s="148" t="s">
        <v>2967</v>
      </c>
      <c r="C25" s="603" t="s">
        <v>2962</v>
      </c>
      <c r="D25" s="528" t="s">
        <v>2968</v>
      </c>
      <c r="E25" s="208" t="s">
        <v>2467</v>
      </c>
      <c r="F25" s="540" t="s">
        <v>2969</v>
      </c>
      <c r="G25" s="540" t="s">
        <v>2969</v>
      </c>
      <c r="H25" s="540" t="s">
        <v>2969</v>
      </c>
      <c r="I25" s="550"/>
      <c r="J25" s="540" t="s">
        <v>2970</v>
      </c>
      <c r="K25" s="533"/>
      <c r="L25" s="458"/>
    </row>
    <row r="26" spans="2:12" s="1" customFormat="1" ht="36">
      <c r="B26" s="148" t="s">
        <v>2971</v>
      </c>
      <c r="C26" s="603" t="s">
        <v>2908</v>
      </c>
      <c r="D26" s="528" t="s">
        <v>2972</v>
      </c>
      <c r="E26" s="208" t="s">
        <v>995</v>
      </c>
      <c r="F26" s="540" t="s">
        <v>2973</v>
      </c>
      <c r="G26" s="540" t="s">
        <v>2973</v>
      </c>
      <c r="H26" s="540" t="s">
        <v>2974</v>
      </c>
      <c r="I26" s="550"/>
      <c r="J26" s="550"/>
      <c r="K26" s="533" t="s">
        <v>2570</v>
      </c>
      <c r="L26" s="458"/>
    </row>
    <row r="27" spans="2:12" s="1" customFormat="1" ht="31.5" customHeight="1">
      <c r="B27" s="148" t="s">
        <v>2975</v>
      </c>
      <c r="C27" s="603" t="s">
        <v>2908</v>
      </c>
      <c r="D27" s="528" t="s">
        <v>2976</v>
      </c>
      <c r="E27" s="208" t="s">
        <v>995</v>
      </c>
      <c r="F27" s="540" t="s">
        <v>2977</v>
      </c>
      <c r="G27" s="540" t="s">
        <v>2977</v>
      </c>
      <c r="H27" s="540" t="s">
        <v>2978</v>
      </c>
      <c r="I27" s="550"/>
      <c r="J27" s="550"/>
      <c r="K27" s="533" t="s">
        <v>2570</v>
      </c>
      <c r="L27" s="458" t="s">
        <v>2979</v>
      </c>
    </row>
    <row r="28" spans="2:12" s="1" customFormat="1" ht="31.5" customHeight="1">
      <c r="B28" s="148" t="s">
        <v>2982</v>
      </c>
      <c r="C28" s="603" t="s">
        <v>2908</v>
      </c>
      <c r="D28" s="528" t="s">
        <v>2983</v>
      </c>
      <c r="E28" s="208" t="s">
        <v>2520</v>
      </c>
      <c r="F28" s="540" t="s">
        <v>2981</v>
      </c>
      <c r="G28" s="540" t="s">
        <v>2980</v>
      </c>
      <c r="H28" s="540" t="s">
        <v>2980</v>
      </c>
      <c r="I28" s="550"/>
      <c r="J28" s="550"/>
      <c r="K28" s="533"/>
      <c r="L28" s="458"/>
    </row>
    <row r="29" spans="2:12" s="1" customFormat="1" ht="47.25">
      <c r="B29" s="148" t="s">
        <v>2984</v>
      </c>
      <c r="C29" s="603" t="s">
        <v>2893</v>
      </c>
      <c r="D29" s="609" t="s">
        <v>2985</v>
      </c>
      <c r="E29" s="528" t="s">
        <v>2986</v>
      </c>
      <c r="F29" s="540" t="s">
        <v>2988</v>
      </c>
      <c r="G29" s="540" t="s">
        <v>2988</v>
      </c>
      <c r="H29" s="540" t="s">
        <v>2988</v>
      </c>
      <c r="I29" s="540" t="s">
        <v>2987</v>
      </c>
      <c r="J29" s="550"/>
      <c r="K29" s="533" t="s">
        <v>2480</v>
      </c>
      <c r="L29" s="458"/>
    </row>
    <row r="30" spans="2:12" s="437" customFormat="1" ht="36">
      <c r="B30" s="543" t="s">
        <v>2989</v>
      </c>
      <c r="C30" s="607" t="s">
        <v>2893</v>
      </c>
      <c r="D30" s="610" t="s">
        <v>2990</v>
      </c>
      <c r="E30" s="608" t="s">
        <v>2992</v>
      </c>
      <c r="F30" s="545" t="s">
        <v>3031</v>
      </c>
      <c r="G30" s="545" t="s">
        <v>2991</v>
      </c>
      <c r="H30" s="545" t="s">
        <v>2991</v>
      </c>
      <c r="I30" s="548"/>
      <c r="J30" s="548"/>
      <c r="K30" s="538" t="s">
        <v>2480</v>
      </c>
      <c r="L30" s="465"/>
    </row>
    <row r="31" spans="2:12" s="437" customFormat="1" ht="47.25">
      <c r="B31" s="543" t="s">
        <v>2993</v>
      </c>
      <c r="C31" s="607" t="s">
        <v>2917</v>
      </c>
      <c r="D31" s="610" t="s">
        <v>2994</v>
      </c>
      <c r="E31" s="608" t="s">
        <v>2995</v>
      </c>
      <c r="F31" s="545" t="s">
        <v>2997</v>
      </c>
      <c r="G31" s="545" t="s">
        <v>2996</v>
      </c>
      <c r="H31" s="545" t="s">
        <v>2997</v>
      </c>
      <c r="I31" s="548"/>
      <c r="J31" s="548"/>
      <c r="K31" s="538" t="s">
        <v>1235</v>
      </c>
      <c r="L31" s="465" t="s">
        <v>2998</v>
      </c>
    </row>
    <row r="32" spans="2:12" s="437" customFormat="1" ht="36">
      <c r="B32" s="543" t="s">
        <v>2999</v>
      </c>
      <c r="C32" s="607" t="s">
        <v>2962</v>
      </c>
      <c r="D32" s="610" t="s">
        <v>3000</v>
      </c>
      <c r="E32" s="608" t="s">
        <v>3001</v>
      </c>
      <c r="F32" s="545" t="s">
        <v>3002</v>
      </c>
      <c r="G32" s="545" t="s">
        <v>3002</v>
      </c>
      <c r="H32" s="545" t="s">
        <v>3002</v>
      </c>
      <c r="I32" s="548"/>
      <c r="J32" s="545" t="s">
        <v>3003</v>
      </c>
      <c r="K32" s="538"/>
      <c r="L32" s="465" t="s">
        <v>3004</v>
      </c>
    </row>
    <row r="33" spans="2:12" s="437" customFormat="1" ht="31.5">
      <c r="B33" s="543" t="s">
        <v>3005</v>
      </c>
      <c r="C33" s="607" t="s">
        <v>2894</v>
      </c>
      <c r="D33" s="610" t="s">
        <v>3006</v>
      </c>
      <c r="E33" s="608" t="s">
        <v>995</v>
      </c>
      <c r="F33" s="545" t="s">
        <v>3007</v>
      </c>
      <c r="G33" s="545" t="s">
        <v>3007</v>
      </c>
      <c r="H33" s="545" t="s">
        <v>3008</v>
      </c>
      <c r="I33" s="548"/>
      <c r="J33" s="548"/>
      <c r="K33" s="538" t="s">
        <v>2145</v>
      </c>
      <c r="L33" s="465" t="s">
        <v>3009</v>
      </c>
    </row>
    <row r="34" spans="2:12" s="437" customFormat="1" ht="47.25">
      <c r="B34" s="543" t="s">
        <v>3010</v>
      </c>
      <c r="C34" s="607" t="s">
        <v>2908</v>
      </c>
      <c r="D34" s="610" t="s">
        <v>3013</v>
      </c>
      <c r="E34" s="608" t="s">
        <v>1023</v>
      </c>
      <c r="F34" s="545" t="s">
        <v>3011</v>
      </c>
      <c r="G34" s="545" t="s">
        <v>3012</v>
      </c>
      <c r="H34" s="545" t="s">
        <v>3012</v>
      </c>
      <c r="I34" s="548"/>
      <c r="J34" s="548"/>
      <c r="K34" s="538"/>
      <c r="L34" s="465" t="s">
        <v>3018</v>
      </c>
    </row>
    <row r="35" spans="2:12" s="437" customFormat="1" ht="47.25">
      <c r="B35" s="543" t="s">
        <v>3014</v>
      </c>
      <c r="C35" s="607" t="s">
        <v>2919</v>
      </c>
      <c r="D35" s="610" t="s">
        <v>3050</v>
      </c>
      <c r="E35" s="608" t="s">
        <v>1651</v>
      </c>
      <c r="F35" s="545" t="s">
        <v>3015</v>
      </c>
      <c r="G35" s="545" t="s">
        <v>3016</v>
      </c>
      <c r="H35" s="545" t="s">
        <v>3016</v>
      </c>
      <c r="I35" s="548"/>
      <c r="J35" s="548"/>
      <c r="K35" s="538" t="s">
        <v>3017</v>
      </c>
      <c r="L35" s="465" t="s">
        <v>3051</v>
      </c>
    </row>
    <row r="36" spans="2:12" s="437" customFormat="1" ht="18">
      <c r="B36" s="543" t="s">
        <v>3019</v>
      </c>
      <c r="C36" s="607" t="s">
        <v>2908</v>
      </c>
      <c r="D36" s="610" t="s">
        <v>3020</v>
      </c>
      <c r="E36" s="608" t="s">
        <v>1023</v>
      </c>
      <c r="F36" s="545" t="s">
        <v>3021</v>
      </c>
      <c r="G36" s="545" t="s">
        <v>3022</v>
      </c>
      <c r="H36" s="545" t="s">
        <v>3022</v>
      </c>
      <c r="I36" s="548"/>
      <c r="J36" s="548"/>
      <c r="K36" s="538"/>
      <c r="L36" s="465" t="s">
        <v>3023</v>
      </c>
    </row>
    <row r="37" spans="2:12" s="437" customFormat="1" ht="47.25">
      <c r="B37" s="1122" t="s">
        <v>3024</v>
      </c>
      <c r="C37" s="1124" t="s">
        <v>3025</v>
      </c>
      <c r="D37" s="610" t="s">
        <v>3029</v>
      </c>
      <c r="E37" s="608" t="s">
        <v>1646</v>
      </c>
      <c r="F37" s="1126" t="s">
        <v>3027</v>
      </c>
      <c r="G37" s="1126" t="s">
        <v>3028</v>
      </c>
      <c r="H37" s="1126" t="s">
        <v>3028</v>
      </c>
      <c r="I37" s="548"/>
      <c r="J37" s="548"/>
      <c r="K37" s="1128" t="s">
        <v>1960</v>
      </c>
      <c r="L37" s="465"/>
    </row>
    <row r="38" spans="2:12" s="437" customFormat="1" ht="31.5">
      <c r="B38" s="1123"/>
      <c r="C38" s="1125"/>
      <c r="D38" s="610" t="s">
        <v>3030</v>
      </c>
      <c r="E38" s="608" t="s">
        <v>3026</v>
      </c>
      <c r="F38" s="1127"/>
      <c r="G38" s="1127"/>
      <c r="H38" s="1127"/>
      <c r="I38" s="548"/>
      <c r="J38" s="548"/>
      <c r="K38" s="1123"/>
      <c r="L38" s="465"/>
    </row>
    <row r="39" spans="2:12" s="437" customFormat="1" ht="63">
      <c r="B39" s="543" t="s">
        <v>3035</v>
      </c>
      <c r="C39" s="607" t="s">
        <v>2919</v>
      </c>
      <c r="D39" s="610" t="s">
        <v>3034</v>
      </c>
      <c r="E39" s="608" t="s">
        <v>995</v>
      </c>
      <c r="F39" s="545" t="s">
        <v>3033</v>
      </c>
      <c r="G39" s="545" t="s">
        <v>3033</v>
      </c>
      <c r="H39" s="545" t="s">
        <v>3032</v>
      </c>
      <c r="I39" s="548"/>
      <c r="J39" s="548"/>
      <c r="K39" s="538"/>
      <c r="L39" s="465"/>
    </row>
    <row r="40" spans="2:12" s="437" customFormat="1" ht="18">
      <c r="B40" s="543" t="s">
        <v>3036</v>
      </c>
      <c r="C40" s="607" t="s">
        <v>2908</v>
      </c>
      <c r="D40" s="610" t="s">
        <v>3037</v>
      </c>
      <c r="E40" s="608" t="s">
        <v>995</v>
      </c>
      <c r="F40" s="545" t="s">
        <v>3039</v>
      </c>
      <c r="G40" s="545" t="s">
        <v>3039</v>
      </c>
      <c r="H40" s="545" t="s">
        <v>3040</v>
      </c>
      <c r="I40" s="548"/>
      <c r="J40" s="548"/>
      <c r="K40" s="538"/>
      <c r="L40" s="465" t="s">
        <v>3038</v>
      </c>
    </row>
    <row r="41" spans="2:12" s="437" customFormat="1" ht="31.5">
      <c r="B41" s="543" t="s">
        <v>3041</v>
      </c>
      <c r="C41" s="607" t="s">
        <v>2962</v>
      </c>
      <c r="D41" s="610" t="s">
        <v>3042</v>
      </c>
      <c r="E41" s="608" t="s">
        <v>2467</v>
      </c>
      <c r="F41" s="545" t="s">
        <v>3043</v>
      </c>
      <c r="G41" s="545" t="s">
        <v>3043</v>
      </c>
      <c r="H41" s="545" t="s">
        <v>3043</v>
      </c>
      <c r="I41" s="548"/>
      <c r="J41" s="545" t="s">
        <v>3044</v>
      </c>
      <c r="K41" s="538"/>
      <c r="L41" s="465" t="s">
        <v>2758</v>
      </c>
    </row>
    <row r="42" spans="2:12" s="437" customFormat="1" ht="47.25">
      <c r="B42" s="543" t="s">
        <v>3045</v>
      </c>
      <c r="C42" s="607" t="s">
        <v>2908</v>
      </c>
      <c r="D42" s="610" t="s">
        <v>3046</v>
      </c>
      <c r="E42" s="608" t="s">
        <v>2365</v>
      </c>
      <c r="F42" s="545" t="s">
        <v>3047</v>
      </c>
      <c r="G42" s="545" t="s">
        <v>3047</v>
      </c>
      <c r="H42" s="545" t="s">
        <v>3048</v>
      </c>
      <c r="I42" s="548"/>
      <c r="J42" s="548"/>
      <c r="K42" s="538"/>
      <c r="L42" s="465" t="s">
        <v>3049</v>
      </c>
    </row>
    <row r="43" spans="2:12" s="437" customFormat="1" ht="47.25">
      <c r="B43" s="543" t="s">
        <v>3052</v>
      </c>
      <c r="C43" s="607" t="s">
        <v>2908</v>
      </c>
      <c r="D43" s="610" t="s">
        <v>3053</v>
      </c>
      <c r="E43" s="608" t="s">
        <v>995</v>
      </c>
      <c r="F43" s="545" t="s">
        <v>3054</v>
      </c>
      <c r="G43" s="545" t="s">
        <v>3054</v>
      </c>
      <c r="H43" s="545" t="s">
        <v>3055</v>
      </c>
      <c r="I43" s="548"/>
      <c r="J43" s="548"/>
      <c r="K43" s="538"/>
      <c r="L43" s="465" t="s">
        <v>3056</v>
      </c>
    </row>
    <row r="44" spans="2:12" s="437" customFormat="1" ht="47.25">
      <c r="B44" s="543" t="s">
        <v>3057</v>
      </c>
      <c r="C44" s="607" t="s">
        <v>2917</v>
      </c>
      <c r="D44" s="610" t="s">
        <v>3060</v>
      </c>
      <c r="E44" s="608" t="s">
        <v>1295</v>
      </c>
      <c r="F44" s="545" t="s">
        <v>3058</v>
      </c>
      <c r="G44" s="545" t="s">
        <v>3059</v>
      </c>
      <c r="H44" s="545" t="s">
        <v>3059</v>
      </c>
      <c r="I44" s="548"/>
      <c r="J44" s="548"/>
      <c r="K44" s="538" t="s">
        <v>1235</v>
      </c>
      <c r="L44" s="465" t="s">
        <v>3061</v>
      </c>
    </row>
    <row r="45" spans="2:12" s="437" customFormat="1" ht="36">
      <c r="B45" s="543" t="s">
        <v>3062</v>
      </c>
      <c r="C45" s="607" t="s">
        <v>2919</v>
      </c>
      <c r="D45" s="610" t="s">
        <v>3063</v>
      </c>
      <c r="E45" s="608" t="s">
        <v>3064</v>
      </c>
      <c r="F45" s="545" t="s">
        <v>3065</v>
      </c>
      <c r="G45" s="545" t="s">
        <v>3066</v>
      </c>
      <c r="H45" s="545" t="s">
        <v>3066</v>
      </c>
      <c r="I45" s="548"/>
      <c r="J45" s="548"/>
      <c r="K45" s="538" t="s">
        <v>1134</v>
      </c>
      <c r="L45" s="465" t="s">
        <v>3067</v>
      </c>
    </row>
    <row r="46" spans="2:12" s="437" customFormat="1" ht="47.25">
      <c r="B46" s="543" t="s">
        <v>3068</v>
      </c>
      <c r="C46" s="607" t="s">
        <v>2893</v>
      </c>
      <c r="D46" s="610" t="s">
        <v>3069</v>
      </c>
      <c r="E46" s="608" t="s">
        <v>1330</v>
      </c>
      <c r="F46" s="545" t="s">
        <v>3070</v>
      </c>
      <c r="G46" s="545" t="s">
        <v>3071</v>
      </c>
      <c r="H46" s="545" t="s">
        <v>3071</v>
      </c>
      <c r="I46" s="548"/>
      <c r="J46" s="548"/>
      <c r="K46" s="538"/>
      <c r="L46" s="465" t="s">
        <v>2812</v>
      </c>
    </row>
    <row r="47" spans="2:12" s="437" customFormat="1" ht="31.5">
      <c r="B47" s="543" t="s">
        <v>3072</v>
      </c>
      <c r="C47" s="607" t="s">
        <v>2908</v>
      </c>
      <c r="D47" s="610" t="s">
        <v>3073</v>
      </c>
      <c r="E47" s="608" t="s">
        <v>995</v>
      </c>
      <c r="F47" s="545" t="s">
        <v>3074</v>
      </c>
      <c r="G47" s="545" t="s">
        <v>3074</v>
      </c>
      <c r="H47" s="545" t="s">
        <v>3075</v>
      </c>
      <c r="I47" s="548"/>
      <c r="J47" s="548"/>
      <c r="K47" s="538"/>
      <c r="L47" s="465" t="s">
        <v>3076</v>
      </c>
    </row>
    <row r="48" spans="2:12" s="437" customFormat="1" ht="18">
      <c r="B48" s="543" t="s">
        <v>3077</v>
      </c>
      <c r="C48" s="607" t="s">
        <v>2908</v>
      </c>
      <c r="D48" s="610" t="s">
        <v>3078</v>
      </c>
      <c r="E48" s="608" t="s">
        <v>1023</v>
      </c>
      <c r="F48" s="545" t="s">
        <v>3080</v>
      </c>
      <c r="G48" s="545" t="s">
        <v>3079</v>
      </c>
      <c r="H48" s="545" t="s">
        <v>3079</v>
      </c>
      <c r="I48" s="548"/>
      <c r="J48" s="548"/>
      <c r="K48" s="538" t="s">
        <v>3081</v>
      </c>
      <c r="L48" s="465" t="s">
        <v>3076</v>
      </c>
    </row>
    <row r="49" spans="2:12" s="437" customFormat="1" ht="18">
      <c r="B49" s="543" t="s">
        <v>3082</v>
      </c>
      <c r="C49" s="607" t="s">
        <v>3083</v>
      </c>
      <c r="D49" s="610" t="s">
        <v>3084</v>
      </c>
      <c r="E49" s="608" t="s">
        <v>1023</v>
      </c>
      <c r="F49" s="545" t="s">
        <v>3085</v>
      </c>
      <c r="G49" s="545" t="s">
        <v>3086</v>
      </c>
      <c r="H49" s="545" t="s">
        <v>3086</v>
      </c>
      <c r="I49" s="548"/>
      <c r="J49" s="548"/>
      <c r="K49" s="538" t="s">
        <v>3087</v>
      </c>
      <c r="L49" s="465" t="s">
        <v>3088</v>
      </c>
    </row>
    <row r="50" spans="2:12" s="437" customFormat="1" ht="47.25">
      <c r="B50" s="543" t="s">
        <v>3089</v>
      </c>
      <c r="C50" s="607" t="s">
        <v>2908</v>
      </c>
      <c r="D50" s="610" t="s">
        <v>3090</v>
      </c>
      <c r="E50" s="608" t="s">
        <v>1023</v>
      </c>
      <c r="F50" s="545" t="s">
        <v>3091</v>
      </c>
      <c r="G50" s="545" t="s">
        <v>3092</v>
      </c>
      <c r="H50" s="545" t="s">
        <v>3092</v>
      </c>
      <c r="I50" s="548"/>
      <c r="J50" s="548"/>
      <c r="K50" s="538" t="s">
        <v>2510</v>
      </c>
      <c r="L50" s="465" t="s">
        <v>3093</v>
      </c>
    </row>
    <row r="51" spans="2:12" s="437" customFormat="1" ht="31.5">
      <c r="B51" s="543" t="s">
        <v>3094</v>
      </c>
      <c r="C51" s="607" t="s">
        <v>2908</v>
      </c>
      <c r="D51" s="610" t="s">
        <v>3095</v>
      </c>
      <c r="E51" s="608" t="s">
        <v>1023</v>
      </c>
      <c r="F51" s="545" t="s">
        <v>3096</v>
      </c>
      <c r="G51" s="545" t="s">
        <v>3097</v>
      </c>
      <c r="H51" s="545" t="s">
        <v>3097</v>
      </c>
      <c r="I51" s="548"/>
      <c r="J51" s="548"/>
      <c r="K51" s="538"/>
      <c r="L51" s="465" t="s">
        <v>3098</v>
      </c>
    </row>
    <row r="52" spans="2:12" s="437" customFormat="1" ht="31.5">
      <c r="B52" s="543" t="s">
        <v>3099</v>
      </c>
      <c r="C52" s="607" t="s">
        <v>2908</v>
      </c>
      <c r="D52" s="610" t="s">
        <v>3100</v>
      </c>
      <c r="E52" s="608" t="s">
        <v>995</v>
      </c>
      <c r="F52" s="545" t="s">
        <v>3101</v>
      </c>
      <c r="G52" s="545" t="s">
        <v>3101</v>
      </c>
      <c r="H52" s="545" t="s">
        <v>3102</v>
      </c>
      <c r="I52" s="548"/>
      <c r="J52" s="548"/>
      <c r="K52" s="538"/>
      <c r="L52" s="465" t="s">
        <v>3103</v>
      </c>
    </row>
    <row r="53" spans="2:12" s="437" customFormat="1" ht="18">
      <c r="B53" s="543" t="s">
        <v>3107</v>
      </c>
      <c r="C53" s="607" t="s">
        <v>2908</v>
      </c>
      <c r="D53" s="610" t="s">
        <v>3108</v>
      </c>
      <c r="E53" s="608" t="s">
        <v>995</v>
      </c>
      <c r="F53" s="545" t="s">
        <v>3105</v>
      </c>
      <c r="G53" s="545" t="s">
        <v>3105</v>
      </c>
      <c r="H53" s="545" t="s">
        <v>3104</v>
      </c>
      <c r="I53" s="548"/>
      <c r="J53" s="548"/>
      <c r="K53" s="538" t="s">
        <v>3106</v>
      </c>
      <c r="L53" s="465"/>
    </row>
    <row r="54" spans="2:12" s="437" customFormat="1" ht="31.5" customHeight="1">
      <c r="B54" s="543" t="s">
        <v>3109</v>
      </c>
      <c r="C54" s="607" t="s">
        <v>2908</v>
      </c>
      <c r="D54" s="610" t="s">
        <v>3110</v>
      </c>
      <c r="E54" s="608" t="s">
        <v>1023</v>
      </c>
      <c r="F54" s="545" t="s">
        <v>3111</v>
      </c>
      <c r="G54" s="545" t="s">
        <v>3112</v>
      </c>
      <c r="H54" s="545" t="s">
        <v>3112</v>
      </c>
      <c r="I54" s="548"/>
      <c r="J54" s="548"/>
      <c r="K54" s="538"/>
      <c r="L54" s="465"/>
    </row>
    <row r="55" spans="2:12" s="437" customFormat="1" ht="31.5" customHeight="1">
      <c r="B55" s="543" t="s">
        <v>3113</v>
      </c>
      <c r="C55" s="607" t="s">
        <v>3114</v>
      </c>
      <c r="D55" s="610" t="s">
        <v>3115</v>
      </c>
      <c r="E55" s="608" t="s">
        <v>996</v>
      </c>
      <c r="F55" s="545" t="s">
        <v>3117</v>
      </c>
      <c r="G55" s="545" t="s">
        <v>3117</v>
      </c>
      <c r="H55" s="545" t="s">
        <v>3117</v>
      </c>
      <c r="I55" s="545" t="s">
        <v>3116</v>
      </c>
      <c r="J55" s="548"/>
      <c r="K55" s="538" t="s">
        <v>3118</v>
      </c>
      <c r="L55" s="465" t="s">
        <v>3119</v>
      </c>
    </row>
    <row r="56" spans="2:12" s="437" customFormat="1" ht="31.5" customHeight="1">
      <c r="B56" s="543" t="s">
        <v>3120</v>
      </c>
      <c r="C56" s="607" t="s">
        <v>2894</v>
      </c>
      <c r="D56" s="610" t="s">
        <v>3121</v>
      </c>
      <c r="E56" s="608" t="s">
        <v>1330</v>
      </c>
      <c r="F56" s="545" t="s">
        <v>3122</v>
      </c>
      <c r="G56" s="545" t="s">
        <v>3123</v>
      </c>
      <c r="H56" s="545" t="s">
        <v>3123</v>
      </c>
      <c r="I56" s="548"/>
      <c r="J56" s="548"/>
      <c r="K56" s="538" t="s">
        <v>3124</v>
      </c>
      <c r="L56" s="465" t="s">
        <v>2955</v>
      </c>
    </row>
    <row r="57" spans="2:12" s="437" customFormat="1" ht="31.5" customHeight="1">
      <c r="B57" s="543" t="s">
        <v>3125</v>
      </c>
      <c r="C57" s="607" t="s">
        <v>3025</v>
      </c>
      <c r="D57" s="610" t="s">
        <v>3126</v>
      </c>
      <c r="E57" s="608"/>
      <c r="F57" s="545" t="s">
        <v>3127</v>
      </c>
      <c r="G57" s="545" t="s">
        <v>3128</v>
      </c>
      <c r="H57" s="545" t="s">
        <v>3128</v>
      </c>
      <c r="I57" s="548"/>
      <c r="J57" s="548"/>
      <c r="K57" s="538" t="s">
        <v>2270</v>
      </c>
      <c r="L57" s="465"/>
    </row>
    <row r="58" spans="2:12" s="437" customFormat="1" ht="31.5" customHeight="1">
      <c r="B58" s="543" t="s">
        <v>3135</v>
      </c>
      <c r="C58" s="607" t="s">
        <v>2962</v>
      </c>
      <c r="D58" s="610" t="s">
        <v>3136</v>
      </c>
      <c r="E58" s="608" t="s">
        <v>2467</v>
      </c>
      <c r="F58" s="545" t="s">
        <v>3138</v>
      </c>
      <c r="G58" s="545" t="s">
        <v>3138</v>
      </c>
      <c r="H58" s="545" t="s">
        <v>3138</v>
      </c>
      <c r="I58" s="548"/>
      <c r="J58" s="545" t="s">
        <v>3137</v>
      </c>
      <c r="K58" s="538"/>
      <c r="L58" s="465" t="s">
        <v>3139</v>
      </c>
    </row>
    <row r="59" spans="2:12" s="437" customFormat="1" ht="31.5" customHeight="1">
      <c r="B59" s="543" t="s">
        <v>3140</v>
      </c>
      <c r="C59" s="607" t="s">
        <v>3141</v>
      </c>
      <c r="D59" s="610" t="s">
        <v>3142</v>
      </c>
      <c r="E59" s="608" t="s">
        <v>996</v>
      </c>
      <c r="F59" s="548"/>
      <c r="G59" s="548"/>
      <c r="H59" s="548"/>
      <c r="I59" s="548"/>
      <c r="J59" s="545" t="s">
        <v>3143</v>
      </c>
      <c r="K59" s="538" t="s">
        <v>3144</v>
      </c>
      <c r="L59" s="465" t="s">
        <v>3145</v>
      </c>
    </row>
    <row r="60" spans="2:12" s="1" customFormat="1" ht="31.5" customHeight="1">
      <c r="B60" s="148" t="s">
        <v>3146</v>
      </c>
      <c r="C60" s="603" t="s">
        <v>2908</v>
      </c>
      <c r="D60" s="609" t="s">
        <v>3147</v>
      </c>
      <c r="E60" s="528" t="s">
        <v>1023</v>
      </c>
      <c r="F60" s="540" t="s">
        <v>3148</v>
      </c>
      <c r="G60" s="540" t="s">
        <v>3149</v>
      </c>
      <c r="H60" s="540" t="s">
        <v>3149</v>
      </c>
      <c r="I60" s="550"/>
      <c r="J60" s="550"/>
      <c r="K60" s="533"/>
      <c r="L60" s="458" t="s">
        <v>3150</v>
      </c>
    </row>
    <row r="61" spans="2:12" s="1" customFormat="1" ht="31.5" customHeight="1">
      <c r="B61" s="148" t="s">
        <v>3151</v>
      </c>
      <c r="C61" s="603" t="s">
        <v>2908</v>
      </c>
      <c r="D61" s="609" t="s">
        <v>3152</v>
      </c>
      <c r="E61" s="528" t="s">
        <v>1023</v>
      </c>
      <c r="F61" s="540" t="s">
        <v>3153</v>
      </c>
      <c r="G61" s="540" t="s">
        <v>3154</v>
      </c>
      <c r="H61" s="540" t="s">
        <v>3154</v>
      </c>
      <c r="I61" s="550"/>
      <c r="J61" s="550"/>
      <c r="K61" s="533"/>
      <c r="L61" s="458" t="s">
        <v>3150</v>
      </c>
    </row>
    <row r="62" spans="2:12" s="1" customFormat="1" ht="47.25">
      <c r="B62" s="148" t="s">
        <v>3155</v>
      </c>
      <c r="C62" s="603" t="s">
        <v>2908</v>
      </c>
      <c r="D62" s="609" t="s">
        <v>3158</v>
      </c>
      <c r="E62" s="528" t="s">
        <v>1023</v>
      </c>
      <c r="F62" s="540" t="s">
        <v>3156</v>
      </c>
      <c r="G62" s="540" t="s">
        <v>3157</v>
      </c>
      <c r="H62" s="540" t="s">
        <v>3157</v>
      </c>
      <c r="I62" s="550"/>
      <c r="J62" s="550"/>
      <c r="K62" s="533"/>
      <c r="L62" s="458"/>
    </row>
    <row r="63" spans="2:12" s="1" customFormat="1" ht="36">
      <c r="B63" s="1115" t="s">
        <v>3159</v>
      </c>
      <c r="C63" s="1117" t="s">
        <v>2893</v>
      </c>
      <c r="D63" s="616" t="s">
        <v>3160</v>
      </c>
      <c r="E63" s="617" t="s">
        <v>3161</v>
      </c>
      <c r="F63" s="1119" t="s">
        <v>3162</v>
      </c>
      <c r="G63" s="1119" t="s">
        <v>3163</v>
      </c>
      <c r="H63" s="1119" t="s">
        <v>3163</v>
      </c>
      <c r="I63" s="1119" t="s">
        <v>3163</v>
      </c>
      <c r="J63" s="550"/>
      <c r="K63" s="1120" t="s">
        <v>2724</v>
      </c>
      <c r="L63" s="458" t="s">
        <v>3164</v>
      </c>
    </row>
    <row r="64" spans="2:12" s="475" customFormat="1" ht="31.5">
      <c r="B64" s="1116"/>
      <c r="C64" s="1118"/>
      <c r="D64" s="616" t="s">
        <v>3160</v>
      </c>
      <c r="E64" s="617" t="s">
        <v>1</v>
      </c>
      <c r="F64" s="1116"/>
      <c r="G64" s="1116"/>
      <c r="H64" s="1116"/>
      <c r="I64" s="1116"/>
      <c r="J64" s="550"/>
      <c r="K64" s="1121"/>
      <c r="L64" s="458" t="s">
        <v>3165</v>
      </c>
    </row>
    <row r="65" spans="2:12" s="1" customFormat="1" ht="31.5">
      <c r="B65" s="148" t="s">
        <v>3168</v>
      </c>
      <c r="C65" s="603" t="s">
        <v>2908</v>
      </c>
      <c r="D65" s="609" t="s">
        <v>3174</v>
      </c>
      <c r="E65" s="528" t="s">
        <v>1295</v>
      </c>
      <c r="F65" s="540" t="s">
        <v>3175</v>
      </c>
      <c r="G65" s="540" t="s">
        <v>3926</v>
      </c>
      <c r="H65" s="540" t="s">
        <v>3176</v>
      </c>
      <c r="I65" s="550"/>
      <c r="J65" s="550"/>
      <c r="K65" s="533"/>
      <c r="L65" s="458" t="s">
        <v>3177</v>
      </c>
    </row>
    <row r="66" spans="2:12" ht="47.25">
      <c r="B66" s="615" t="s">
        <v>3178</v>
      </c>
      <c r="C66" s="607" t="s">
        <v>2908</v>
      </c>
      <c r="D66" s="611" t="s">
        <v>3182</v>
      </c>
      <c r="E66" s="608" t="s">
        <v>3179</v>
      </c>
      <c r="F66" s="545" t="s">
        <v>3180</v>
      </c>
      <c r="G66" s="545" t="s">
        <v>3181</v>
      </c>
      <c r="H66" s="545" t="s">
        <v>3181</v>
      </c>
      <c r="I66" s="613"/>
      <c r="J66" s="548"/>
      <c r="K66" s="614"/>
      <c r="L66" s="465"/>
    </row>
    <row r="67" spans="2:12" s="475" customFormat="1" ht="31.5">
      <c r="B67" s="148" t="s">
        <v>3183</v>
      </c>
      <c r="C67" s="603" t="s">
        <v>2894</v>
      </c>
      <c r="D67" s="616" t="s">
        <v>3184</v>
      </c>
      <c r="E67" s="528" t="s">
        <v>1023</v>
      </c>
      <c r="F67" s="540" t="s">
        <v>3185</v>
      </c>
      <c r="G67" s="540" t="s">
        <v>3186</v>
      </c>
      <c r="H67" s="540" t="s">
        <v>3186</v>
      </c>
      <c r="I67" s="618"/>
      <c r="J67" s="550"/>
      <c r="K67" s="619"/>
      <c r="L67" s="458" t="s">
        <v>3187</v>
      </c>
    </row>
    <row r="68" spans="2:12" s="475" customFormat="1" ht="31.5">
      <c r="B68" s="148" t="s">
        <v>3188</v>
      </c>
      <c r="C68" s="603" t="s">
        <v>2908</v>
      </c>
      <c r="D68" s="616" t="s">
        <v>3191</v>
      </c>
      <c r="E68" s="528" t="s">
        <v>995</v>
      </c>
      <c r="F68" s="540" t="s">
        <v>3190</v>
      </c>
      <c r="G68" s="540" t="s">
        <v>3190</v>
      </c>
      <c r="H68" s="540" t="s">
        <v>3189</v>
      </c>
      <c r="I68" s="618"/>
      <c r="J68" s="550"/>
      <c r="K68" s="619"/>
      <c r="L68" s="458" t="s">
        <v>2912</v>
      </c>
    </row>
    <row r="69" spans="2:12" s="475" customFormat="1" ht="36">
      <c r="B69" s="148" t="s">
        <v>3192</v>
      </c>
      <c r="C69" s="603" t="s">
        <v>3025</v>
      </c>
      <c r="D69" s="616" t="s">
        <v>3193</v>
      </c>
      <c r="E69" s="528" t="s">
        <v>3194</v>
      </c>
      <c r="F69" s="540" t="s">
        <v>3195</v>
      </c>
      <c r="G69" s="540" t="s">
        <v>3196</v>
      </c>
      <c r="H69" s="540" t="s">
        <v>3196</v>
      </c>
      <c r="I69" s="618"/>
      <c r="J69" s="550"/>
      <c r="K69" s="619"/>
      <c r="L69" s="458" t="s">
        <v>3197</v>
      </c>
    </row>
    <row r="70" spans="2:12" ht="31.5">
      <c r="B70" s="615" t="s">
        <v>3199</v>
      </c>
      <c r="C70" s="607" t="s">
        <v>2908</v>
      </c>
      <c r="D70" s="611" t="s">
        <v>3198</v>
      </c>
      <c r="E70" s="612" t="s">
        <v>995</v>
      </c>
      <c r="F70" s="545" t="s">
        <v>3200</v>
      </c>
      <c r="G70" s="545" t="s">
        <v>3200</v>
      </c>
      <c r="H70" s="545" t="s">
        <v>3201</v>
      </c>
      <c r="I70" s="613"/>
      <c r="J70" s="548"/>
      <c r="K70" s="614" t="s">
        <v>2570</v>
      </c>
      <c r="L70" s="465" t="s">
        <v>3202</v>
      </c>
    </row>
    <row r="71" spans="2:12" s="475" customFormat="1" ht="18">
      <c r="B71" s="148" t="s">
        <v>3203</v>
      </c>
      <c r="C71" s="603" t="s">
        <v>2893</v>
      </c>
      <c r="D71" s="616" t="s">
        <v>3204</v>
      </c>
      <c r="E71" s="617" t="s">
        <v>1023</v>
      </c>
      <c r="F71" s="540" t="s">
        <v>3206</v>
      </c>
      <c r="G71" s="540" t="s">
        <v>3205</v>
      </c>
      <c r="H71" s="540" t="s">
        <v>3205</v>
      </c>
      <c r="I71" s="618"/>
      <c r="J71" s="550"/>
      <c r="K71" s="619" t="s">
        <v>957</v>
      </c>
      <c r="L71" s="458" t="s">
        <v>3207</v>
      </c>
    </row>
    <row r="72" spans="2:12" s="437" customFormat="1" ht="47.25">
      <c r="B72" s="615" t="s">
        <v>3171</v>
      </c>
      <c r="C72" s="607" t="s">
        <v>2919</v>
      </c>
      <c r="D72" s="610" t="s">
        <v>3169</v>
      </c>
      <c r="E72" s="608" t="s">
        <v>1023</v>
      </c>
      <c r="F72" s="545" t="s">
        <v>3172</v>
      </c>
      <c r="G72" s="545" t="s">
        <v>3173</v>
      </c>
      <c r="H72" s="545" t="s">
        <v>3173</v>
      </c>
      <c r="I72" s="548"/>
      <c r="J72" s="548"/>
      <c r="K72" s="538" t="s">
        <v>438</v>
      </c>
      <c r="L72" s="465" t="s">
        <v>3170</v>
      </c>
    </row>
    <row r="73" spans="2:12" s="437" customFormat="1" ht="47.25">
      <c r="B73" s="615" t="s">
        <v>3208</v>
      </c>
      <c r="C73" s="607" t="s">
        <v>2962</v>
      </c>
      <c r="D73" s="610" t="s">
        <v>3209</v>
      </c>
      <c r="E73" s="608" t="s">
        <v>2467</v>
      </c>
      <c r="F73" s="545" t="s">
        <v>3210</v>
      </c>
      <c r="G73" s="545" t="s">
        <v>3210</v>
      </c>
      <c r="H73" s="545" t="s">
        <v>3210</v>
      </c>
      <c r="I73" s="548"/>
      <c r="J73" s="545" t="s">
        <v>3210</v>
      </c>
      <c r="K73" s="538"/>
      <c r="L73" s="465" t="s">
        <v>3211</v>
      </c>
    </row>
    <row r="74" spans="2:12" s="437" customFormat="1" ht="31.5">
      <c r="B74" s="615" t="s">
        <v>3212</v>
      </c>
      <c r="C74" s="607" t="s">
        <v>2908</v>
      </c>
      <c r="D74" s="610" t="s">
        <v>3213</v>
      </c>
      <c r="E74" s="608" t="s">
        <v>1023</v>
      </c>
      <c r="F74" s="545" t="s">
        <v>3214</v>
      </c>
      <c r="G74" s="545" t="s">
        <v>3215</v>
      </c>
      <c r="H74" s="545" t="s">
        <v>3215</v>
      </c>
      <c r="I74" s="548"/>
      <c r="J74" s="548"/>
      <c r="K74" s="538"/>
      <c r="L74" s="465" t="s">
        <v>3216</v>
      </c>
    </row>
    <row r="75" spans="2:12" s="437" customFormat="1" ht="47.25">
      <c r="B75" s="615" t="s">
        <v>3217</v>
      </c>
      <c r="C75" s="607" t="s">
        <v>2893</v>
      </c>
      <c r="D75" s="610" t="s">
        <v>3222</v>
      </c>
      <c r="E75" s="608" t="s">
        <v>3219</v>
      </c>
      <c r="F75" s="545" t="s">
        <v>3220</v>
      </c>
      <c r="G75" s="545" t="s">
        <v>3221</v>
      </c>
      <c r="H75" s="545" t="s">
        <v>3221</v>
      </c>
      <c r="I75" s="548"/>
      <c r="J75" s="548"/>
      <c r="K75" s="538"/>
      <c r="L75" s="465"/>
    </row>
    <row r="76" spans="2:12" s="437" customFormat="1" ht="47.25">
      <c r="B76" s="615" t="s">
        <v>3218</v>
      </c>
      <c r="C76" s="607" t="s">
        <v>2893</v>
      </c>
      <c r="D76" s="610" t="s">
        <v>3223</v>
      </c>
      <c r="E76" s="608" t="s">
        <v>3219</v>
      </c>
      <c r="F76" s="545" t="s">
        <v>3224</v>
      </c>
      <c r="G76" s="545" t="s">
        <v>3225</v>
      </c>
      <c r="H76" s="545" t="s">
        <v>3225</v>
      </c>
      <c r="I76" s="545" t="s">
        <v>3225</v>
      </c>
      <c r="J76" s="548"/>
      <c r="K76" s="538"/>
      <c r="L76" s="465"/>
    </row>
    <row r="77" spans="2:12" s="437" customFormat="1" ht="18">
      <c r="B77" s="615" t="s">
        <v>3226</v>
      </c>
      <c r="C77" s="607" t="s">
        <v>2962</v>
      </c>
      <c r="D77" s="610" t="s">
        <v>3227</v>
      </c>
      <c r="E77" s="608" t="s">
        <v>2467</v>
      </c>
      <c r="F77" s="545" t="s">
        <v>3228</v>
      </c>
      <c r="G77" s="545" t="s">
        <v>3228</v>
      </c>
      <c r="H77" s="545" t="s">
        <v>3228</v>
      </c>
      <c r="I77" s="548"/>
      <c r="J77" s="545" t="s">
        <v>3231</v>
      </c>
      <c r="K77" s="538"/>
      <c r="L77" s="465"/>
    </row>
    <row r="78" spans="2:12" s="437" customFormat="1" ht="31.5">
      <c r="B78" s="615" t="s">
        <v>3229</v>
      </c>
      <c r="C78" s="607" t="s">
        <v>2962</v>
      </c>
      <c r="D78" s="610" t="s">
        <v>3234</v>
      </c>
      <c r="E78" s="608" t="s">
        <v>2467</v>
      </c>
      <c r="F78" s="545" t="s">
        <v>3233</v>
      </c>
      <c r="G78" s="545" t="s">
        <v>3233</v>
      </c>
      <c r="H78" s="545" t="s">
        <v>3233</v>
      </c>
      <c r="I78" s="548"/>
      <c r="J78" s="545" t="s">
        <v>3232</v>
      </c>
      <c r="K78" s="538"/>
      <c r="L78" s="465" t="s">
        <v>3230</v>
      </c>
    </row>
    <row r="79" spans="2:12" s="437" customFormat="1" ht="18">
      <c r="B79" s="615" t="s">
        <v>3235</v>
      </c>
      <c r="C79" s="607" t="s">
        <v>3083</v>
      </c>
      <c r="D79" s="610" t="s">
        <v>3238</v>
      </c>
      <c r="E79" s="608" t="s">
        <v>3239</v>
      </c>
      <c r="F79" s="545" t="s">
        <v>3236</v>
      </c>
      <c r="G79" s="545" t="s">
        <v>3237</v>
      </c>
      <c r="H79" s="545" t="s">
        <v>3237</v>
      </c>
      <c r="I79" s="545" t="s">
        <v>3240</v>
      </c>
      <c r="J79" s="548"/>
      <c r="K79" s="538"/>
      <c r="L79" s="465"/>
    </row>
    <row r="80" spans="2:12" s="1" customFormat="1" ht="31.5">
      <c r="B80" s="148" t="s">
        <v>3241</v>
      </c>
      <c r="C80" s="603" t="s">
        <v>2894</v>
      </c>
      <c r="D80" s="609" t="s">
        <v>3243</v>
      </c>
      <c r="E80" s="528" t="s">
        <v>1295</v>
      </c>
      <c r="F80" s="540" t="s">
        <v>3242</v>
      </c>
      <c r="G80" s="540" t="s">
        <v>3244</v>
      </c>
      <c r="H80" s="540" t="s">
        <v>3244</v>
      </c>
      <c r="I80" s="550"/>
      <c r="J80" s="550"/>
      <c r="K80" s="533" t="s">
        <v>1060</v>
      </c>
      <c r="L80" s="458"/>
    </row>
    <row r="81" spans="2:12" s="1" customFormat="1" ht="36">
      <c r="B81" s="148" t="s">
        <v>3245</v>
      </c>
      <c r="C81" s="603" t="s">
        <v>2908</v>
      </c>
      <c r="D81" s="609" t="s">
        <v>3246</v>
      </c>
      <c r="E81" s="528" t="s">
        <v>3247</v>
      </c>
      <c r="F81" s="540" t="s">
        <v>3248</v>
      </c>
      <c r="G81" s="540" t="s">
        <v>3249</v>
      </c>
      <c r="H81" s="540" t="s">
        <v>3249</v>
      </c>
      <c r="I81" s="550"/>
      <c r="J81" s="550"/>
      <c r="K81" s="533"/>
      <c r="L81" s="458" t="s">
        <v>3250</v>
      </c>
    </row>
    <row r="82" spans="2:12" s="1" customFormat="1" ht="36">
      <c r="B82" s="148" t="s">
        <v>3251</v>
      </c>
      <c r="C82" s="603" t="s">
        <v>3025</v>
      </c>
      <c r="D82" s="609" t="s">
        <v>3252</v>
      </c>
      <c r="E82" s="528" t="s">
        <v>3253</v>
      </c>
      <c r="F82" s="540" t="s">
        <v>3254</v>
      </c>
      <c r="G82" s="540" t="s">
        <v>3255</v>
      </c>
      <c r="H82" s="540" t="s">
        <v>3255</v>
      </c>
      <c r="I82" s="550"/>
      <c r="J82" s="550"/>
      <c r="K82" s="533" t="s">
        <v>3256</v>
      </c>
      <c r="L82" s="458"/>
    </row>
    <row r="83" spans="2:12" s="1" customFormat="1" ht="47.25">
      <c r="B83" s="148" t="s">
        <v>3257</v>
      </c>
      <c r="C83" s="603" t="s">
        <v>2919</v>
      </c>
      <c r="D83" s="609" t="s">
        <v>3258</v>
      </c>
      <c r="E83" s="528" t="s">
        <v>3259</v>
      </c>
      <c r="F83" s="540" t="s">
        <v>3260</v>
      </c>
      <c r="G83" s="540" t="s">
        <v>3261</v>
      </c>
      <c r="H83" s="540" t="s">
        <v>3261</v>
      </c>
      <c r="I83" s="550"/>
      <c r="J83" s="550"/>
      <c r="K83" s="533" t="s">
        <v>1134</v>
      </c>
      <c r="L83" s="458"/>
    </row>
    <row r="84" spans="2:12" s="1" customFormat="1" ht="31.5">
      <c r="B84" s="148" t="s">
        <v>3262</v>
      </c>
      <c r="C84" s="603" t="s">
        <v>3263</v>
      </c>
      <c r="D84" s="609" t="s">
        <v>3264</v>
      </c>
      <c r="E84" s="528" t="s">
        <v>3265</v>
      </c>
      <c r="F84" s="540" t="s">
        <v>3266</v>
      </c>
      <c r="G84" s="540" t="s">
        <v>3267</v>
      </c>
      <c r="H84" s="540" t="s">
        <v>3266</v>
      </c>
      <c r="I84" s="550"/>
      <c r="J84" s="550"/>
      <c r="K84" s="533" t="s">
        <v>2464</v>
      </c>
      <c r="L84" s="458" t="s">
        <v>3268</v>
      </c>
    </row>
    <row r="85" spans="2:12" s="1" customFormat="1" ht="47.25">
      <c r="B85" s="148" t="s">
        <v>3269</v>
      </c>
      <c r="C85" s="603" t="s">
        <v>2908</v>
      </c>
      <c r="D85" s="609" t="s">
        <v>3270</v>
      </c>
      <c r="E85" s="528" t="s">
        <v>3271</v>
      </c>
      <c r="F85" s="540" t="s">
        <v>3272</v>
      </c>
      <c r="G85" s="540" t="s">
        <v>3273</v>
      </c>
      <c r="H85" s="540" t="s">
        <v>3273</v>
      </c>
      <c r="I85" s="550"/>
      <c r="J85" s="550"/>
      <c r="K85" s="533"/>
      <c r="L85" s="458" t="s">
        <v>3274</v>
      </c>
    </row>
    <row r="86" spans="2:12" s="1" customFormat="1" ht="47.25">
      <c r="B86" s="148" t="s">
        <v>3275</v>
      </c>
      <c r="C86" s="603" t="s">
        <v>2908</v>
      </c>
      <c r="D86" s="609" t="s">
        <v>3276</v>
      </c>
      <c r="E86" s="528" t="s">
        <v>1023</v>
      </c>
      <c r="F86" s="540" t="s">
        <v>3277</v>
      </c>
      <c r="G86" s="540" t="s">
        <v>3278</v>
      </c>
      <c r="H86" s="540" t="s">
        <v>3278</v>
      </c>
      <c r="I86" s="550"/>
      <c r="J86" s="550"/>
      <c r="K86" s="533"/>
      <c r="L86" s="458"/>
    </row>
    <row r="87" spans="2:12" s="1" customFormat="1" ht="18">
      <c r="B87" s="148" t="s">
        <v>3279</v>
      </c>
      <c r="C87" s="603" t="s">
        <v>3263</v>
      </c>
      <c r="D87" s="609" t="s">
        <v>3280</v>
      </c>
      <c r="E87" s="528" t="s">
        <v>1</v>
      </c>
      <c r="F87" s="540" t="s">
        <v>3282</v>
      </c>
      <c r="G87" s="540" t="s">
        <v>3281</v>
      </c>
      <c r="H87" s="540" t="s">
        <v>3282</v>
      </c>
      <c r="I87" s="550"/>
      <c r="J87" s="550"/>
      <c r="K87" s="533" t="s">
        <v>2464</v>
      </c>
      <c r="L87" s="458" t="s">
        <v>3283</v>
      </c>
    </row>
    <row r="88" spans="2:12" s="1" customFormat="1" ht="31.5">
      <c r="B88" s="148" t="s">
        <v>3284</v>
      </c>
      <c r="C88" s="603" t="s">
        <v>2908</v>
      </c>
      <c r="D88" s="609" t="s">
        <v>3285</v>
      </c>
      <c r="E88" s="528" t="s">
        <v>1</v>
      </c>
      <c r="F88" s="540" t="s">
        <v>3286</v>
      </c>
      <c r="G88" s="540" t="s">
        <v>3287</v>
      </c>
      <c r="H88" s="540" t="s">
        <v>3286</v>
      </c>
      <c r="I88" s="550"/>
      <c r="J88" s="550"/>
      <c r="K88" s="533" t="s">
        <v>2464</v>
      </c>
      <c r="L88" s="458" t="s">
        <v>3023</v>
      </c>
    </row>
  </sheetData>
  <mergeCells count="15">
    <mergeCell ref="K2:K3"/>
    <mergeCell ref="F7:I7"/>
    <mergeCell ref="B37:B38"/>
    <mergeCell ref="C37:C38"/>
    <mergeCell ref="F37:F38"/>
    <mergeCell ref="G37:G38"/>
    <mergeCell ref="H37:H38"/>
    <mergeCell ref="K37:K38"/>
    <mergeCell ref="B63:B64"/>
    <mergeCell ref="C63:C64"/>
    <mergeCell ref="F63:F64"/>
    <mergeCell ref="G63:G64"/>
    <mergeCell ref="H63:H64"/>
    <mergeCell ref="K63:K64"/>
    <mergeCell ref="I63:I64"/>
  </mergeCells>
  <printOptions horizontalCentered="1"/>
  <pageMargins left="0" right="0" top="0.35433070866141736" bottom="0.15748031496062992" header="0.31496062992125984" footer="0.31496062992125984"/>
  <pageSetup paperSize="9" scale="65" orientation="landscape" horizontalDpi="4294967295" verticalDpi="4294967295"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3301B-896C-4C1A-9936-07837B6C03F8}">
  <dimension ref="A1:L110"/>
  <sheetViews>
    <sheetView workbookViewId="0">
      <selection activeCell="D18" sqref="D18"/>
    </sheetView>
  </sheetViews>
  <sheetFormatPr baseColWidth="10" defaultRowHeight="12.75"/>
  <cols>
    <col min="1" max="1" width="4.5703125" customWidth="1"/>
    <col min="3" max="3" width="9.5703125" customWidth="1"/>
    <col min="4" max="4" width="33.5703125" bestFit="1" customWidth="1"/>
    <col min="5" max="5" width="57.42578125" customWidth="1"/>
    <col min="6" max="6" width="12.5703125" customWidth="1"/>
    <col min="7" max="7" width="12.42578125" customWidth="1"/>
    <col min="8" max="8" width="11.5703125" customWidth="1"/>
    <col min="9" max="9" width="14.42578125" customWidth="1"/>
    <col min="10" max="10" width="15.5703125" customWidth="1"/>
    <col min="11" max="11" width="31.42578125" customWidth="1"/>
  </cols>
  <sheetData>
    <row r="1" spans="1:12" s="20" customFormat="1" ht="6.75" customHeight="1">
      <c r="E1" s="119"/>
      <c r="K1" s="61"/>
    </row>
    <row r="2" spans="1:12" s="20" customFormat="1" ht="12.75" customHeight="1">
      <c r="E2" s="119"/>
      <c r="K2" s="1078"/>
    </row>
    <row r="3" spans="1:12" s="20" customFormat="1" ht="10.5" customHeight="1">
      <c r="E3" s="119"/>
      <c r="K3" s="1079"/>
    </row>
    <row r="4" spans="1:12" s="20" customFormat="1" ht="13.5" thickBot="1">
      <c r="E4" s="119"/>
      <c r="K4" s="61"/>
    </row>
    <row r="5" spans="1:12" s="336" customFormat="1" ht="21.75" thickTop="1" thickBot="1">
      <c r="B5" s="331" t="s">
        <v>3294</v>
      </c>
      <c r="C5" s="332"/>
      <c r="D5" s="332"/>
      <c r="E5" s="333"/>
      <c r="F5" s="332"/>
      <c r="G5" s="334"/>
      <c r="H5" s="334"/>
      <c r="I5" s="334"/>
      <c r="J5" s="334"/>
      <c r="K5" s="623"/>
    </row>
    <row r="6" spans="1:12" s="20" customFormat="1" ht="17.25" thickTop="1" thickBot="1">
      <c r="A6" s="434" t="s">
        <v>1528</v>
      </c>
      <c r="B6" s="26"/>
      <c r="C6" s="26"/>
      <c r="D6" s="26"/>
      <c r="F6" s="121"/>
      <c r="G6" s="27"/>
      <c r="H6" s="27"/>
      <c r="I6" s="27"/>
      <c r="J6" s="27"/>
      <c r="K6" s="27"/>
    </row>
    <row r="7" spans="1:12" s="20" customFormat="1" ht="16.5" customHeight="1" thickBot="1">
      <c r="B7" s="26"/>
      <c r="C7" s="26"/>
      <c r="D7" s="26"/>
      <c r="E7" s="121"/>
      <c r="F7" s="1129" t="s">
        <v>1026</v>
      </c>
      <c r="G7" s="1130"/>
      <c r="H7" s="1130"/>
      <c r="I7" s="1130"/>
      <c r="J7" s="1131"/>
      <c r="K7" s="27"/>
    </row>
    <row r="8" spans="1:12" s="330" customFormat="1" ht="24" customHeight="1" thickBot="1">
      <c r="B8" s="624" t="s">
        <v>992</v>
      </c>
      <c r="C8" s="625" t="s">
        <v>2892</v>
      </c>
      <c r="D8" s="624" t="s">
        <v>993</v>
      </c>
      <c r="E8" s="624" t="s">
        <v>994</v>
      </c>
      <c r="F8" s="624" t="s">
        <v>0</v>
      </c>
      <c r="G8" s="624" t="s">
        <v>1</v>
      </c>
      <c r="H8" s="624" t="s">
        <v>995</v>
      </c>
      <c r="I8" s="626" t="s">
        <v>996</v>
      </c>
      <c r="J8" s="626" t="s">
        <v>2511</v>
      </c>
      <c r="K8" s="624" t="s">
        <v>4</v>
      </c>
    </row>
    <row r="9" spans="1:12" s="330" customFormat="1" ht="18">
      <c r="B9" s="148" t="s">
        <v>3697</v>
      </c>
      <c r="C9" s="603" t="s">
        <v>2908</v>
      </c>
      <c r="D9" s="620" t="s">
        <v>3698</v>
      </c>
      <c r="E9" s="528" t="s">
        <v>995</v>
      </c>
      <c r="F9" s="550"/>
      <c r="G9" s="550"/>
      <c r="H9" s="540" t="s">
        <v>3699</v>
      </c>
      <c r="I9" s="550"/>
      <c r="J9" s="550"/>
      <c r="K9" s="533" t="s">
        <v>3700</v>
      </c>
      <c r="L9" s="458"/>
    </row>
    <row r="10" spans="1:12" s="330" customFormat="1" ht="47.25">
      <c r="B10" s="148" t="s">
        <v>3288</v>
      </c>
      <c r="C10" s="603" t="s">
        <v>3289</v>
      </c>
      <c r="D10" s="620" t="s">
        <v>3290</v>
      </c>
      <c r="E10" s="528" t="s">
        <v>3291</v>
      </c>
      <c r="F10" s="540" t="s">
        <v>3292</v>
      </c>
      <c r="G10" s="540" t="s">
        <v>3293</v>
      </c>
      <c r="H10" s="540" t="s">
        <v>3293</v>
      </c>
      <c r="I10" s="550"/>
      <c r="J10" s="550"/>
      <c r="K10" s="533" t="s">
        <v>2480</v>
      </c>
      <c r="L10" s="458"/>
    </row>
    <row r="11" spans="1:12" s="330" customFormat="1" ht="47.25">
      <c r="B11" s="148" t="s">
        <v>3295</v>
      </c>
      <c r="C11" s="603" t="s">
        <v>3289</v>
      </c>
      <c r="D11" s="620" t="s">
        <v>3296</v>
      </c>
      <c r="E11" s="528" t="s">
        <v>3291</v>
      </c>
      <c r="F11" s="540" t="s">
        <v>3297</v>
      </c>
      <c r="G11" s="540" t="s">
        <v>3298</v>
      </c>
      <c r="H11" s="540" t="s">
        <v>3298</v>
      </c>
      <c r="I11" s="550"/>
      <c r="J11" s="550"/>
      <c r="K11" s="533" t="s">
        <v>2480</v>
      </c>
      <c r="L11" s="458"/>
    </row>
    <row r="12" spans="1:12" s="330" customFormat="1" ht="31.5">
      <c r="B12" s="148" t="s">
        <v>3299</v>
      </c>
      <c r="C12" s="603" t="s">
        <v>3289</v>
      </c>
      <c r="D12" s="620" t="s">
        <v>3300</v>
      </c>
      <c r="E12" s="528" t="s">
        <v>1481</v>
      </c>
      <c r="F12" s="540" t="s">
        <v>3301</v>
      </c>
      <c r="G12" s="540" t="s">
        <v>3302</v>
      </c>
      <c r="H12" s="540" t="s">
        <v>3302</v>
      </c>
      <c r="I12" s="550"/>
      <c r="J12" s="550"/>
      <c r="K12" s="533" t="s">
        <v>2480</v>
      </c>
      <c r="L12" s="458"/>
    </row>
    <row r="13" spans="1:12" s="330" customFormat="1" ht="31.5">
      <c r="B13" s="148" t="s">
        <v>3306</v>
      </c>
      <c r="C13" s="603" t="s">
        <v>2962</v>
      </c>
      <c r="D13" s="620" t="s">
        <v>3305</v>
      </c>
      <c r="E13" s="528" t="s">
        <v>2467</v>
      </c>
      <c r="F13" s="540" t="s">
        <v>3303</v>
      </c>
      <c r="G13" s="540" t="s">
        <v>3303</v>
      </c>
      <c r="H13" s="540" t="s">
        <v>3303</v>
      </c>
      <c r="I13" s="550"/>
      <c r="J13" s="540" t="s">
        <v>3304</v>
      </c>
      <c r="K13" s="533"/>
      <c r="L13" s="458"/>
    </row>
    <row r="14" spans="1:12" s="330" customFormat="1" ht="31.5">
      <c r="B14" s="148" t="s">
        <v>3307</v>
      </c>
      <c r="C14" s="603" t="s">
        <v>2908</v>
      </c>
      <c r="D14" s="620" t="s">
        <v>3308</v>
      </c>
      <c r="E14" s="528" t="s">
        <v>995</v>
      </c>
      <c r="F14" s="540" t="s">
        <v>3309</v>
      </c>
      <c r="G14" s="540" t="s">
        <v>3309</v>
      </c>
      <c r="H14" s="540" t="s">
        <v>3310</v>
      </c>
      <c r="I14" s="550"/>
      <c r="J14" s="550"/>
      <c r="K14" s="533" t="s">
        <v>2570</v>
      </c>
      <c r="L14" s="458" t="s">
        <v>3311</v>
      </c>
    </row>
    <row r="15" spans="1:12" s="330" customFormat="1" ht="18">
      <c r="B15" s="148" t="s">
        <v>3312</v>
      </c>
      <c r="C15" s="603" t="s">
        <v>3141</v>
      </c>
      <c r="D15" s="620" t="s">
        <v>3313</v>
      </c>
      <c r="E15" s="528" t="s">
        <v>996</v>
      </c>
      <c r="F15" s="540" t="s">
        <v>3314</v>
      </c>
      <c r="G15" s="540" t="s">
        <v>3314</v>
      </c>
      <c r="H15" s="540" t="s">
        <v>3314</v>
      </c>
      <c r="I15" s="540" t="s">
        <v>3315</v>
      </c>
      <c r="J15" s="550"/>
      <c r="K15" s="533"/>
      <c r="L15" s="458"/>
    </row>
    <row r="16" spans="1:12" s="330" customFormat="1" ht="18">
      <c r="B16" s="148" t="s">
        <v>3316</v>
      </c>
      <c r="C16" s="603" t="s">
        <v>2908</v>
      </c>
      <c r="D16" s="620" t="s">
        <v>3317</v>
      </c>
      <c r="E16" s="528" t="s">
        <v>3179</v>
      </c>
      <c r="F16" s="540" t="s">
        <v>3318</v>
      </c>
      <c r="G16" s="540" t="s">
        <v>3319</v>
      </c>
      <c r="H16" s="540" t="s">
        <v>3319</v>
      </c>
      <c r="I16" s="550"/>
      <c r="J16" s="550"/>
      <c r="K16" s="533" t="s">
        <v>2860</v>
      </c>
      <c r="L16" s="458" t="s">
        <v>3320</v>
      </c>
    </row>
    <row r="17" spans="2:12" s="330" customFormat="1" ht="31.5">
      <c r="B17" s="148" t="s">
        <v>3321</v>
      </c>
      <c r="C17" s="603" t="s">
        <v>2893</v>
      </c>
      <c r="D17" s="620" t="s">
        <v>3322</v>
      </c>
      <c r="E17" s="528" t="s">
        <v>1330</v>
      </c>
      <c r="F17" s="540" t="s">
        <v>3323</v>
      </c>
      <c r="G17" s="540" t="s">
        <v>3324</v>
      </c>
      <c r="H17" s="540" t="s">
        <v>3324</v>
      </c>
      <c r="I17" s="550"/>
      <c r="J17" s="550"/>
      <c r="K17" s="533" t="s">
        <v>898</v>
      </c>
      <c r="L17" s="458"/>
    </row>
    <row r="18" spans="2:12" s="1" customFormat="1" ht="36">
      <c r="B18" s="148" t="s">
        <v>3325</v>
      </c>
      <c r="C18" s="603" t="s">
        <v>2962</v>
      </c>
      <c r="D18" s="528" t="s">
        <v>3326</v>
      </c>
      <c r="E18" s="208" t="s">
        <v>2467</v>
      </c>
      <c r="F18" s="540" t="s">
        <v>3327</v>
      </c>
      <c r="G18" s="540" t="s">
        <v>3327</v>
      </c>
      <c r="H18" s="540" t="s">
        <v>3327</v>
      </c>
      <c r="I18" s="550"/>
      <c r="J18" s="540" t="s">
        <v>3328</v>
      </c>
      <c r="K18" s="533"/>
      <c r="L18" s="458"/>
    </row>
    <row r="19" spans="2:12" s="330" customFormat="1" ht="31.5">
      <c r="B19" s="148" t="s">
        <v>3329</v>
      </c>
      <c r="C19" s="603" t="s">
        <v>2908</v>
      </c>
      <c r="D19" s="620" t="s">
        <v>3330</v>
      </c>
      <c r="E19" s="528" t="s">
        <v>995</v>
      </c>
      <c r="F19" s="540" t="s">
        <v>3331</v>
      </c>
      <c r="G19" s="540" t="s">
        <v>3331</v>
      </c>
      <c r="H19" s="540" t="s">
        <v>3332</v>
      </c>
      <c r="I19" s="550"/>
      <c r="J19" s="550"/>
      <c r="K19" s="533" t="s">
        <v>2570</v>
      </c>
      <c r="L19" s="458" t="s">
        <v>3311</v>
      </c>
    </row>
    <row r="20" spans="2:12" s="330" customFormat="1" ht="31.5">
      <c r="B20" s="148" t="s">
        <v>3333</v>
      </c>
      <c r="C20" s="603" t="s">
        <v>3141</v>
      </c>
      <c r="D20" s="620" t="s">
        <v>3334</v>
      </c>
      <c r="E20" s="528" t="s">
        <v>3335</v>
      </c>
      <c r="F20" s="540" t="s">
        <v>3336</v>
      </c>
      <c r="G20" s="540" t="s">
        <v>3336</v>
      </c>
      <c r="H20" s="540" t="s">
        <v>3336</v>
      </c>
      <c r="I20" s="540" t="s">
        <v>3337</v>
      </c>
      <c r="J20" s="550"/>
      <c r="K20" s="533"/>
      <c r="L20" s="458" t="s">
        <v>3338</v>
      </c>
    </row>
    <row r="21" spans="2:12" s="330" customFormat="1" ht="31.5" customHeight="1">
      <c r="B21" s="148" t="s">
        <v>3339</v>
      </c>
      <c r="C21" s="603" t="s">
        <v>2919</v>
      </c>
      <c r="D21" s="620" t="s">
        <v>3340</v>
      </c>
      <c r="E21" s="528" t="s">
        <v>3341</v>
      </c>
      <c r="F21" s="540" t="s">
        <v>3342</v>
      </c>
      <c r="G21" s="540" t="s">
        <v>3343</v>
      </c>
      <c r="H21" s="540" t="s">
        <v>3343</v>
      </c>
      <c r="I21" s="550"/>
      <c r="J21" s="550"/>
      <c r="K21" s="533" t="s">
        <v>3344</v>
      </c>
      <c r="L21" s="458" t="s">
        <v>3345</v>
      </c>
    </row>
    <row r="22" spans="2:12" s="330" customFormat="1" ht="31.5" customHeight="1">
      <c r="B22" s="148" t="s">
        <v>3346</v>
      </c>
      <c r="C22" s="603" t="s">
        <v>3141</v>
      </c>
      <c r="D22" s="620" t="s">
        <v>3347</v>
      </c>
      <c r="E22" s="528" t="s">
        <v>996</v>
      </c>
      <c r="F22" s="540" t="s">
        <v>3348</v>
      </c>
      <c r="G22" s="540" t="s">
        <v>3348</v>
      </c>
      <c r="H22" s="540" t="s">
        <v>3348</v>
      </c>
      <c r="I22" s="540" t="s">
        <v>3349</v>
      </c>
      <c r="J22" s="550"/>
      <c r="K22" s="533"/>
      <c r="L22" s="458" t="s">
        <v>3350</v>
      </c>
    </row>
    <row r="23" spans="2:12" s="330" customFormat="1" ht="31.5" customHeight="1">
      <c r="B23" s="148" t="s">
        <v>3351</v>
      </c>
      <c r="C23" s="603" t="s">
        <v>2917</v>
      </c>
      <c r="D23" s="620" t="s">
        <v>3352</v>
      </c>
      <c r="E23" s="528" t="s">
        <v>1023</v>
      </c>
      <c r="F23" s="540" t="s">
        <v>3353</v>
      </c>
      <c r="G23" s="540" t="s">
        <v>3354</v>
      </c>
      <c r="H23" s="540" t="s">
        <v>3354</v>
      </c>
      <c r="I23" s="550"/>
      <c r="J23" s="550"/>
      <c r="K23" s="533"/>
      <c r="L23" s="458" t="s">
        <v>3355</v>
      </c>
    </row>
    <row r="24" spans="2:12" s="330" customFormat="1" ht="31.5" customHeight="1">
      <c r="B24" s="148" t="s">
        <v>3356</v>
      </c>
      <c r="C24" s="603" t="s">
        <v>2893</v>
      </c>
      <c r="D24" s="620" t="s">
        <v>3359</v>
      </c>
      <c r="E24" s="528" t="s">
        <v>1023</v>
      </c>
      <c r="F24" s="540" t="s">
        <v>3357</v>
      </c>
      <c r="G24" s="540" t="s">
        <v>3358</v>
      </c>
      <c r="H24" s="540" t="s">
        <v>3358</v>
      </c>
      <c r="I24" s="550"/>
      <c r="J24" s="550"/>
      <c r="K24" s="533" t="s">
        <v>2305</v>
      </c>
      <c r="L24" s="458" t="s">
        <v>3360</v>
      </c>
    </row>
    <row r="25" spans="2:12" s="330" customFormat="1" ht="31.5" customHeight="1">
      <c r="B25" s="148" t="s">
        <v>3361</v>
      </c>
      <c r="C25" s="603" t="s">
        <v>3362</v>
      </c>
      <c r="D25" s="620" t="s">
        <v>3363</v>
      </c>
      <c r="E25" s="528" t="s">
        <v>3364</v>
      </c>
      <c r="F25" s="540" t="s">
        <v>3365</v>
      </c>
      <c r="G25" s="540" t="s">
        <v>3366</v>
      </c>
      <c r="H25" s="540" t="s">
        <v>3366</v>
      </c>
      <c r="I25" s="540" t="s">
        <v>3367</v>
      </c>
      <c r="J25" s="550"/>
      <c r="K25" s="533" t="s">
        <v>3368</v>
      </c>
      <c r="L25" s="458" t="s">
        <v>3369</v>
      </c>
    </row>
    <row r="26" spans="2:12" s="330" customFormat="1" ht="31.5" customHeight="1">
      <c r="B26" s="148" t="s">
        <v>3370</v>
      </c>
      <c r="C26" s="603" t="s">
        <v>2908</v>
      </c>
      <c r="D26" s="620" t="s">
        <v>3371</v>
      </c>
      <c r="E26" s="528" t="s">
        <v>3372</v>
      </c>
      <c r="F26" s="540" t="s">
        <v>3374</v>
      </c>
      <c r="G26" s="540" t="s">
        <v>3374</v>
      </c>
      <c r="H26" s="540" t="s">
        <v>3373</v>
      </c>
      <c r="I26" s="550"/>
      <c r="J26" s="550"/>
      <c r="K26" s="533"/>
      <c r="L26" s="458"/>
    </row>
    <row r="27" spans="2:12" s="330" customFormat="1" ht="31.5" customHeight="1">
      <c r="B27" s="148" t="s">
        <v>3375</v>
      </c>
      <c r="C27" s="603" t="s">
        <v>3025</v>
      </c>
      <c r="D27" s="620" t="s">
        <v>3376</v>
      </c>
      <c r="E27" s="528" t="s">
        <v>3500</v>
      </c>
      <c r="F27" s="540" t="s">
        <v>3377</v>
      </c>
      <c r="G27" s="540" t="s">
        <v>3378</v>
      </c>
      <c r="H27" s="540" t="s">
        <v>3378</v>
      </c>
      <c r="I27" s="550"/>
      <c r="J27" s="550"/>
      <c r="K27" s="533"/>
      <c r="L27" s="458"/>
    </row>
    <row r="28" spans="2:12" s="330" customFormat="1" ht="31.5" customHeight="1">
      <c r="B28" s="148" t="s">
        <v>3379</v>
      </c>
      <c r="C28" s="603" t="s">
        <v>2908</v>
      </c>
      <c r="D28" s="620" t="s">
        <v>3380</v>
      </c>
      <c r="E28" s="528" t="s">
        <v>995</v>
      </c>
      <c r="F28" s="540" t="s">
        <v>3381</v>
      </c>
      <c r="G28" s="540" t="s">
        <v>3381</v>
      </c>
      <c r="H28" s="540" t="s">
        <v>3382</v>
      </c>
      <c r="I28" s="550"/>
      <c r="J28" s="550"/>
      <c r="K28" s="533" t="s">
        <v>2570</v>
      </c>
      <c r="L28" s="458" t="s">
        <v>3383</v>
      </c>
    </row>
    <row r="29" spans="2:12" s="330" customFormat="1" ht="31.5" customHeight="1">
      <c r="B29" s="148" t="s">
        <v>3384</v>
      </c>
      <c r="C29" s="603" t="s">
        <v>2919</v>
      </c>
      <c r="D29" s="620" t="s">
        <v>3385</v>
      </c>
      <c r="E29" s="528" t="s">
        <v>1023</v>
      </c>
      <c r="F29" s="540" t="s">
        <v>3386</v>
      </c>
      <c r="G29" s="540" t="s">
        <v>3387</v>
      </c>
      <c r="H29" s="540" t="s">
        <v>3387</v>
      </c>
      <c r="I29" s="550"/>
      <c r="J29" s="550"/>
      <c r="K29" s="533" t="s">
        <v>3388</v>
      </c>
      <c r="L29" s="458" t="s">
        <v>3360</v>
      </c>
    </row>
    <row r="30" spans="2:12" s="330" customFormat="1" ht="31.5" customHeight="1">
      <c r="B30" s="148" t="s">
        <v>3389</v>
      </c>
      <c r="C30" s="603" t="s">
        <v>2962</v>
      </c>
      <c r="D30" s="620" t="s">
        <v>3390</v>
      </c>
      <c r="E30" s="528" t="s">
        <v>2467</v>
      </c>
      <c r="F30" s="540" t="s">
        <v>3391</v>
      </c>
      <c r="G30" s="540" t="s">
        <v>3391</v>
      </c>
      <c r="H30" s="540" t="s">
        <v>3391</v>
      </c>
      <c r="I30" s="550"/>
      <c r="J30" s="540" t="s">
        <v>3392</v>
      </c>
      <c r="K30" s="533"/>
      <c r="L30" s="458"/>
    </row>
    <row r="31" spans="2:12" s="330" customFormat="1" ht="31.5" customHeight="1">
      <c r="B31" s="148" t="s">
        <v>3393</v>
      </c>
      <c r="C31" s="603" t="s">
        <v>3263</v>
      </c>
      <c r="D31" s="620" t="s">
        <v>3394</v>
      </c>
      <c r="E31" s="528" t="s">
        <v>1</v>
      </c>
      <c r="F31" s="540" t="s">
        <v>3395</v>
      </c>
      <c r="G31" s="540" t="s">
        <v>3396</v>
      </c>
      <c r="H31" s="540" t="s">
        <v>3395</v>
      </c>
      <c r="I31" s="550"/>
      <c r="J31" s="550"/>
      <c r="K31" s="533"/>
      <c r="L31" s="458" t="s">
        <v>3397</v>
      </c>
    </row>
    <row r="32" spans="2:12" s="330" customFormat="1" ht="31.5" customHeight="1">
      <c r="B32" s="148" t="s">
        <v>3398</v>
      </c>
      <c r="C32" s="603" t="s">
        <v>3399</v>
      </c>
      <c r="D32" s="488" t="s">
        <v>3400</v>
      </c>
      <c r="E32" s="528" t="s">
        <v>3404</v>
      </c>
      <c r="F32" s="540" t="s">
        <v>3401</v>
      </c>
      <c r="G32" s="540" t="s">
        <v>3402</v>
      </c>
      <c r="H32" s="540" t="s">
        <v>3402</v>
      </c>
      <c r="I32" s="540" t="s">
        <v>3403</v>
      </c>
      <c r="J32" s="550"/>
      <c r="K32" s="533"/>
      <c r="L32" s="458"/>
    </row>
    <row r="33" spans="2:12" s="330" customFormat="1" ht="31.5" customHeight="1">
      <c r="B33" s="148" t="s">
        <v>3405</v>
      </c>
      <c r="C33" s="603" t="s">
        <v>2919</v>
      </c>
      <c r="D33" s="488" t="s">
        <v>3406</v>
      </c>
      <c r="E33" s="528" t="s">
        <v>3407</v>
      </c>
      <c r="F33" s="540" t="s">
        <v>3408</v>
      </c>
      <c r="G33" s="540" t="s">
        <v>3409</v>
      </c>
      <c r="H33" s="540" t="s">
        <v>3409</v>
      </c>
      <c r="I33" s="550"/>
      <c r="J33" s="550"/>
      <c r="K33" s="533" t="s">
        <v>1134</v>
      </c>
      <c r="L33" s="458" t="s">
        <v>3410</v>
      </c>
    </row>
    <row r="34" spans="2:12" s="330" customFormat="1" ht="31.5" customHeight="1">
      <c r="B34" s="148" t="s">
        <v>3411</v>
      </c>
      <c r="C34" s="603" t="s">
        <v>2908</v>
      </c>
      <c r="D34" s="488" t="s">
        <v>3412</v>
      </c>
      <c r="E34" s="528" t="s">
        <v>995</v>
      </c>
      <c r="F34" s="540" t="s">
        <v>3413</v>
      </c>
      <c r="G34" s="540" t="s">
        <v>3413</v>
      </c>
      <c r="H34" s="540" t="s">
        <v>3414</v>
      </c>
      <c r="I34" s="550"/>
      <c r="J34" s="550"/>
      <c r="K34" s="533" t="s">
        <v>2570</v>
      </c>
      <c r="L34" s="458"/>
    </row>
    <row r="35" spans="2:12" s="330" customFormat="1" ht="31.5" customHeight="1">
      <c r="B35" s="148" t="s">
        <v>3415</v>
      </c>
      <c r="C35" s="603" t="s">
        <v>2908</v>
      </c>
      <c r="D35" s="488" t="s">
        <v>3416</v>
      </c>
      <c r="E35" s="528" t="s">
        <v>1023</v>
      </c>
      <c r="F35" s="540" t="s">
        <v>3417</v>
      </c>
      <c r="G35" s="540" t="s">
        <v>3418</v>
      </c>
      <c r="H35" s="540" t="s">
        <v>3418</v>
      </c>
      <c r="I35" s="550"/>
      <c r="J35" s="550"/>
      <c r="K35" s="533" t="s">
        <v>2510</v>
      </c>
      <c r="L35" s="458"/>
    </row>
    <row r="36" spans="2:12" s="330" customFormat="1" ht="31.5" customHeight="1">
      <c r="B36" s="148" t="s">
        <v>3419</v>
      </c>
      <c r="C36" s="603" t="s">
        <v>2908</v>
      </c>
      <c r="D36" s="488" t="s">
        <v>3420</v>
      </c>
      <c r="E36" s="528" t="s">
        <v>3421</v>
      </c>
      <c r="F36" s="540" t="s">
        <v>3423</v>
      </c>
      <c r="G36" s="540" t="s">
        <v>3423</v>
      </c>
      <c r="H36" s="540" t="s">
        <v>3422</v>
      </c>
      <c r="I36" s="550"/>
      <c r="J36" s="550"/>
      <c r="K36" s="533" t="s">
        <v>2570</v>
      </c>
      <c r="L36" s="458"/>
    </row>
    <row r="37" spans="2:12" s="330" customFormat="1" ht="31.5" customHeight="1">
      <c r="B37" s="148" t="s">
        <v>3424</v>
      </c>
      <c r="C37" s="603" t="s">
        <v>3426</v>
      </c>
      <c r="D37" s="488" t="s">
        <v>3429</v>
      </c>
      <c r="E37" s="528" t="s">
        <v>1023</v>
      </c>
      <c r="F37" s="540" t="s">
        <v>3425</v>
      </c>
      <c r="G37" s="540" t="s">
        <v>3427</v>
      </c>
      <c r="H37" s="540" t="s">
        <v>3427</v>
      </c>
      <c r="I37" s="550"/>
      <c r="J37" s="550"/>
      <c r="K37" s="533"/>
      <c r="L37" s="458" t="s">
        <v>3428</v>
      </c>
    </row>
    <row r="38" spans="2:12" s="330" customFormat="1" ht="31.5" customHeight="1">
      <c r="B38" s="148" t="s">
        <v>3430</v>
      </c>
      <c r="C38" s="603" t="s">
        <v>3025</v>
      </c>
      <c r="D38" s="488" t="s">
        <v>3431</v>
      </c>
      <c r="E38" s="528" t="s">
        <v>1023</v>
      </c>
      <c r="F38" s="540" t="s">
        <v>3432</v>
      </c>
      <c r="G38" s="540" t="s">
        <v>3433</v>
      </c>
      <c r="H38" s="540" t="s">
        <v>3433</v>
      </c>
      <c r="I38" s="550"/>
      <c r="J38" s="550"/>
      <c r="K38" s="533" t="s">
        <v>3434</v>
      </c>
      <c r="L38" s="458"/>
    </row>
    <row r="39" spans="2:12" s="330" customFormat="1" ht="33.6" customHeight="1">
      <c r="B39" s="148" t="s">
        <v>3435</v>
      </c>
      <c r="C39" s="603" t="s">
        <v>3025</v>
      </c>
      <c r="D39" s="488" t="s">
        <v>3436</v>
      </c>
      <c r="E39" s="528" t="s">
        <v>3437</v>
      </c>
      <c r="F39" s="540" t="s">
        <v>3438</v>
      </c>
      <c r="G39" s="540" t="s">
        <v>3439</v>
      </c>
      <c r="H39" s="540" t="s">
        <v>3439</v>
      </c>
      <c r="I39" s="550"/>
      <c r="J39" s="550"/>
      <c r="K39" s="533" t="s">
        <v>3434</v>
      </c>
      <c r="L39" s="458" t="s">
        <v>3440</v>
      </c>
    </row>
    <row r="40" spans="2:12" s="330" customFormat="1" ht="33.6" customHeight="1">
      <c r="B40" s="148" t="s">
        <v>3441</v>
      </c>
      <c r="C40" s="603" t="s">
        <v>2908</v>
      </c>
      <c r="D40" s="488" t="s">
        <v>3442</v>
      </c>
      <c r="E40" s="528" t="s">
        <v>1023</v>
      </c>
      <c r="F40" s="540" t="s">
        <v>3443</v>
      </c>
      <c r="G40" s="540" t="s">
        <v>3444</v>
      </c>
      <c r="H40" s="540" t="s">
        <v>3444</v>
      </c>
      <c r="I40" s="550"/>
      <c r="J40" s="550"/>
      <c r="K40" s="533"/>
      <c r="L40" s="458" t="s">
        <v>3445</v>
      </c>
    </row>
    <row r="41" spans="2:12" s="330" customFormat="1" ht="33.6" customHeight="1">
      <c r="B41" s="148" t="s">
        <v>3446</v>
      </c>
      <c r="C41" s="603" t="s">
        <v>2908</v>
      </c>
      <c r="D41" s="488" t="s">
        <v>3447</v>
      </c>
      <c r="E41" s="528" t="s">
        <v>3629</v>
      </c>
      <c r="F41" s="540" t="s">
        <v>3448</v>
      </c>
      <c r="G41" s="540" t="s">
        <v>3449</v>
      </c>
      <c r="H41" s="540" t="s">
        <v>3449</v>
      </c>
      <c r="I41" s="550"/>
      <c r="J41" s="550"/>
      <c r="K41" s="533"/>
      <c r="L41" s="458" t="s">
        <v>3450</v>
      </c>
    </row>
    <row r="42" spans="2:12" s="621" customFormat="1" ht="33.6" customHeight="1">
      <c r="B42" s="615" t="s">
        <v>3451</v>
      </c>
      <c r="C42" s="607" t="s">
        <v>2894</v>
      </c>
      <c r="D42" s="622" t="s">
        <v>3452</v>
      </c>
      <c r="E42" s="608" t="s">
        <v>3453</v>
      </c>
      <c r="F42" s="545" t="s">
        <v>3454</v>
      </c>
      <c r="G42" s="545" t="s">
        <v>3455</v>
      </c>
      <c r="H42" s="545" t="s">
        <v>3455</v>
      </c>
      <c r="I42" s="548"/>
      <c r="J42" s="548"/>
      <c r="K42" s="538"/>
      <c r="L42" s="465"/>
    </row>
    <row r="43" spans="2:12" s="621" customFormat="1" ht="33.6" customHeight="1">
      <c r="B43" s="615" t="s">
        <v>3456</v>
      </c>
      <c r="C43" s="607" t="s">
        <v>2908</v>
      </c>
      <c r="D43" s="622" t="s">
        <v>3457</v>
      </c>
      <c r="E43" s="608" t="s">
        <v>995</v>
      </c>
      <c r="F43" s="545" t="s">
        <v>3459</v>
      </c>
      <c r="G43" s="545" t="s">
        <v>3459</v>
      </c>
      <c r="H43" s="545" t="s">
        <v>3458</v>
      </c>
      <c r="I43" s="548"/>
      <c r="J43" s="548"/>
      <c r="K43" s="538"/>
      <c r="L43" s="465" t="s">
        <v>3460</v>
      </c>
    </row>
    <row r="44" spans="2:12" s="621" customFormat="1" ht="33.6" customHeight="1">
      <c r="B44" s="615" t="s">
        <v>3461</v>
      </c>
      <c r="C44" s="607" t="s">
        <v>2908</v>
      </c>
      <c r="D44" s="583" t="s">
        <v>3462</v>
      </c>
      <c r="E44" s="627" t="s">
        <v>3493</v>
      </c>
      <c r="F44" s="545" t="s">
        <v>3464</v>
      </c>
      <c r="G44" s="545" t="s">
        <v>3463</v>
      </c>
      <c r="H44" s="545" t="s">
        <v>3463</v>
      </c>
      <c r="I44" s="545" t="s">
        <v>3494</v>
      </c>
      <c r="J44" s="548"/>
      <c r="K44" s="538"/>
      <c r="L44" s="465" t="s">
        <v>3495</v>
      </c>
    </row>
    <row r="45" spans="2:12" s="330" customFormat="1" ht="54">
      <c r="B45" s="148" t="s">
        <v>3465</v>
      </c>
      <c r="C45" s="603" t="s">
        <v>2893</v>
      </c>
      <c r="D45" s="489" t="s">
        <v>3466</v>
      </c>
      <c r="E45" s="628" t="s">
        <v>3467</v>
      </c>
      <c r="F45" s="540" t="s">
        <v>3468</v>
      </c>
      <c r="G45" s="540" t="s">
        <v>3468</v>
      </c>
      <c r="H45" s="540" t="s">
        <v>3469</v>
      </c>
      <c r="I45" s="550"/>
      <c r="J45" s="550"/>
      <c r="K45" s="533" t="s">
        <v>3481</v>
      </c>
      <c r="L45" s="458"/>
    </row>
    <row r="46" spans="2:12" s="330" customFormat="1" ht="31.5">
      <c r="B46" s="148" t="s">
        <v>3470</v>
      </c>
      <c r="C46" s="603" t="s">
        <v>2893</v>
      </c>
      <c r="D46" s="489" t="s">
        <v>3471</v>
      </c>
      <c r="E46" s="628" t="s">
        <v>1295</v>
      </c>
      <c r="F46" s="540" t="s">
        <v>3472</v>
      </c>
      <c r="G46" s="540" t="s">
        <v>3473</v>
      </c>
      <c r="H46" s="540" t="s">
        <v>3473</v>
      </c>
      <c r="I46" s="550"/>
      <c r="J46" s="550"/>
      <c r="K46" s="533" t="s">
        <v>3475</v>
      </c>
      <c r="L46" s="458" t="s">
        <v>3474</v>
      </c>
    </row>
    <row r="47" spans="2:12" s="330" customFormat="1" ht="47.25">
      <c r="B47" s="148" t="s">
        <v>3476</v>
      </c>
      <c r="C47" s="603" t="s">
        <v>2893</v>
      </c>
      <c r="D47" s="489" t="s">
        <v>3477</v>
      </c>
      <c r="E47" s="628" t="s">
        <v>2302</v>
      </c>
      <c r="F47" s="540" t="s">
        <v>3478</v>
      </c>
      <c r="G47" s="540" t="s">
        <v>3479</v>
      </c>
      <c r="H47" s="540" t="s">
        <v>3479</v>
      </c>
      <c r="I47" s="550"/>
      <c r="J47" s="550"/>
      <c r="K47" s="533" t="s">
        <v>3481</v>
      </c>
      <c r="L47" s="458" t="s">
        <v>3480</v>
      </c>
    </row>
    <row r="48" spans="2:12" s="330" customFormat="1" ht="47.25">
      <c r="B48" s="148" t="s">
        <v>3482</v>
      </c>
      <c r="C48" s="603" t="s">
        <v>2919</v>
      </c>
      <c r="D48" s="489" t="s">
        <v>3483</v>
      </c>
      <c r="E48" s="628" t="s">
        <v>3484</v>
      </c>
      <c r="F48" s="540" t="s">
        <v>3485</v>
      </c>
      <c r="G48" s="540" t="s">
        <v>3486</v>
      </c>
      <c r="H48" s="540" t="s">
        <v>3486</v>
      </c>
      <c r="I48" s="550"/>
      <c r="J48" s="550"/>
      <c r="K48" s="533" t="s">
        <v>438</v>
      </c>
      <c r="L48" s="458" t="s">
        <v>3487</v>
      </c>
    </row>
    <row r="49" spans="2:12" s="621" customFormat="1" ht="47.25">
      <c r="B49" s="615" t="s">
        <v>3488</v>
      </c>
      <c r="C49" s="607" t="s">
        <v>2962</v>
      </c>
      <c r="D49" s="583" t="s">
        <v>3489</v>
      </c>
      <c r="E49" s="627" t="s">
        <v>2467</v>
      </c>
      <c r="F49" s="545" t="s">
        <v>3490</v>
      </c>
      <c r="G49" s="545" t="s">
        <v>3490</v>
      </c>
      <c r="H49" s="545" t="s">
        <v>3490</v>
      </c>
      <c r="I49" s="548"/>
      <c r="J49" s="545" t="s">
        <v>3491</v>
      </c>
      <c r="K49" s="538"/>
      <c r="L49" s="465" t="s">
        <v>3492</v>
      </c>
    </row>
    <row r="50" spans="2:12" s="621" customFormat="1" ht="31.5">
      <c r="B50" s="615" t="s">
        <v>3496</v>
      </c>
      <c r="C50" s="607" t="s">
        <v>2908</v>
      </c>
      <c r="D50" s="583" t="s">
        <v>3497</v>
      </c>
      <c r="E50" s="627" t="s">
        <v>995</v>
      </c>
      <c r="F50" s="545" t="s">
        <v>3498</v>
      </c>
      <c r="G50" s="545" t="s">
        <v>3498</v>
      </c>
      <c r="H50" s="545" t="s">
        <v>3499</v>
      </c>
      <c r="I50" s="548"/>
      <c r="J50" s="548"/>
      <c r="K50" s="538" t="s">
        <v>2570</v>
      </c>
      <c r="L50" s="465"/>
    </row>
    <row r="51" spans="2:12" s="621" customFormat="1" ht="18">
      <c r="B51" s="615" t="s">
        <v>3501</v>
      </c>
      <c r="C51" s="607" t="s">
        <v>2894</v>
      </c>
      <c r="D51" s="583" t="s">
        <v>3502</v>
      </c>
      <c r="E51" s="627" t="s">
        <v>1023</v>
      </c>
      <c r="F51" s="545" t="s">
        <v>3503</v>
      </c>
      <c r="G51" s="545" t="s">
        <v>3504</v>
      </c>
      <c r="H51" s="545" t="s">
        <v>3504</v>
      </c>
      <c r="I51" s="548"/>
      <c r="J51" s="548"/>
      <c r="K51" s="538" t="s">
        <v>1060</v>
      </c>
      <c r="L51" s="465" t="s">
        <v>3505</v>
      </c>
    </row>
    <row r="52" spans="2:12" s="621" customFormat="1" ht="18">
      <c r="B52" s="615" t="s">
        <v>3506</v>
      </c>
      <c r="C52" s="607" t="s">
        <v>2908</v>
      </c>
      <c r="D52" s="583" t="s">
        <v>3507</v>
      </c>
      <c r="E52" s="627" t="s">
        <v>995</v>
      </c>
      <c r="F52" s="545" t="s">
        <v>3508</v>
      </c>
      <c r="G52" s="545" t="s">
        <v>3508</v>
      </c>
      <c r="H52" s="545" t="s">
        <v>3509</v>
      </c>
      <c r="I52" s="548"/>
      <c r="J52" s="548"/>
      <c r="K52" s="538" t="s">
        <v>2860</v>
      </c>
      <c r="L52" s="465"/>
    </row>
    <row r="53" spans="2:12" s="621" customFormat="1" ht="63">
      <c r="B53" s="615" t="s">
        <v>3510</v>
      </c>
      <c r="C53" s="607" t="s">
        <v>3511</v>
      </c>
      <c r="D53" s="583" t="s">
        <v>3512</v>
      </c>
      <c r="E53" s="627" t="s">
        <v>1963</v>
      </c>
      <c r="F53" s="545" t="s">
        <v>3514</v>
      </c>
      <c r="G53" s="545" t="s">
        <v>3513</v>
      </c>
      <c r="H53" s="545" t="s">
        <v>3513</v>
      </c>
      <c r="I53" s="545" t="s">
        <v>3515</v>
      </c>
      <c r="J53" s="548"/>
      <c r="K53" s="538"/>
      <c r="L53" s="465" t="s">
        <v>3516</v>
      </c>
    </row>
    <row r="54" spans="2:12" s="621" customFormat="1" ht="31.5">
      <c r="B54" s="615" t="s">
        <v>3517</v>
      </c>
      <c r="C54" s="607" t="s">
        <v>2908</v>
      </c>
      <c r="D54" s="583" t="s">
        <v>3518</v>
      </c>
      <c r="E54" s="627" t="s">
        <v>995</v>
      </c>
      <c r="F54" s="545" t="s">
        <v>3519</v>
      </c>
      <c r="G54" s="545" t="s">
        <v>3519</v>
      </c>
      <c r="H54" s="545" t="s">
        <v>3520</v>
      </c>
      <c r="I54" s="548"/>
      <c r="J54" s="548"/>
      <c r="K54" s="538"/>
      <c r="L54" s="465"/>
    </row>
    <row r="55" spans="2:12" s="621" customFormat="1" ht="47.25">
      <c r="B55" s="615" t="s">
        <v>3521</v>
      </c>
      <c r="C55" s="607" t="s">
        <v>3141</v>
      </c>
      <c r="D55" s="583" t="s">
        <v>3522</v>
      </c>
      <c r="E55" s="627" t="s">
        <v>3523</v>
      </c>
      <c r="F55" s="545" t="s">
        <v>3524</v>
      </c>
      <c r="G55" s="545" t="s">
        <v>3524</v>
      </c>
      <c r="H55" s="545" t="s">
        <v>3524</v>
      </c>
      <c r="I55" s="545" t="s">
        <v>3525</v>
      </c>
      <c r="J55" s="548"/>
      <c r="K55" s="538"/>
      <c r="L55" s="465"/>
    </row>
    <row r="56" spans="2:12" s="636" customFormat="1" ht="47.25">
      <c r="B56" s="629" t="s">
        <v>3526</v>
      </c>
      <c r="C56" s="630" t="s">
        <v>2908</v>
      </c>
      <c r="D56" s="631" t="s">
        <v>3527</v>
      </c>
      <c r="E56" s="632" t="s">
        <v>1023</v>
      </c>
      <c r="F56" s="633" t="s">
        <v>3528</v>
      </c>
      <c r="G56" s="633" t="s">
        <v>3529</v>
      </c>
      <c r="H56" s="633" t="s">
        <v>3529</v>
      </c>
      <c r="I56" s="634"/>
      <c r="J56" s="634"/>
      <c r="K56" s="635"/>
      <c r="L56" s="637" t="s">
        <v>3545</v>
      </c>
    </row>
    <row r="57" spans="2:12" s="621" customFormat="1" ht="31.5">
      <c r="B57" s="615" t="s">
        <v>3530</v>
      </c>
      <c r="C57" s="607" t="s">
        <v>2962</v>
      </c>
      <c r="D57" s="583" t="s">
        <v>3531</v>
      </c>
      <c r="E57" s="627" t="s">
        <v>2467</v>
      </c>
      <c r="F57" s="545" t="s">
        <v>3532</v>
      </c>
      <c r="G57" s="545" t="s">
        <v>3532</v>
      </c>
      <c r="H57" s="545" t="s">
        <v>3532</v>
      </c>
      <c r="I57" s="548"/>
      <c r="J57" s="545" t="s">
        <v>3533</v>
      </c>
      <c r="K57" s="538"/>
      <c r="L57" s="465"/>
    </row>
    <row r="58" spans="2:12" s="621" customFormat="1" ht="31.5">
      <c r="B58" s="615" t="s">
        <v>3534</v>
      </c>
      <c r="C58" s="607" t="s">
        <v>2962</v>
      </c>
      <c r="D58" s="583" t="s">
        <v>3535</v>
      </c>
      <c r="E58" s="627" t="s">
        <v>3536</v>
      </c>
      <c r="F58" s="545" t="s">
        <v>3537</v>
      </c>
      <c r="G58" s="545" t="s">
        <v>3537</v>
      </c>
      <c r="H58" s="545" t="s">
        <v>3537</v>
      </c>
      <c r="I58" s="548"/>
      <c r="J58" s="545" t="s">
        <v>3538</v>
      </c>
      <c r="K58" s="538"/>
      <c r="L58" s="465"/>
    </row>
    <row r="59" spans="2:12" s="621" customFormat="1" ht="31.5">
      <c r="B59" s="615" t="s">
        <v>3539</v>
      </c>
      <c r="C59" s="607" t="s">
        <v>2919</v>
      </c>
      <c r="D59" s="583" t="s">
        <v>3540</v>
      </c>
      <c r="E59" s="627" t="s">
        <v>3541</v>
      </c>
      <c r="F59" s="545" t="s">
        <v>3542</v>
      </c>
      <c r="G59" s="545" t="s">
        <v>3543</v>
      </c>
      <c r="H59" s="545" t="s">
        <v>3543</v>
      </c>
      <c r="I59" s="548"/>
      <c r="J59" s="548"/>
      <c r="K59" s="538"/>
      <c r="L59" s="465" t="s">
        <v>3544</v>
      </c>
    </row>
    <row r="60" spans="2:12" s="621" customFormat="1" ht="18">
      <c r="B60" s="615" t="s">
        <v>3546</v>
      </c>
      <c r="C60" s="607" t="s">
        <v>2908</v>
      </c>
      <c r="D60" s="583" t="s">
        <v>3547</v>
      </c>
      <c r="E60" s="627" t="s">
        <v>995</v>
      </c>
      <c r="F60" s="545" t="s">
        <v>3549</v>
      </c>
      <c r="G60" s="545" t="s">
        <v>3549</v>
      </c>
      <c r="H60" s="545" t="s">
        <v>3548</v>
      </c>
      <c r="I60" s="548"/>
      <c r="J60" s="548"/>
      <c r="K60" s="538"/>
      <c r="L60" s="465"/>
    </row>
    <row r="61" spans="2:12" s="621" customFormat="1" ht="90">
      <c r="B61" s="615" t="s">
        <v>3550</v>
      </c>
      <c r="C61" s="607" t="s">
        <v>3141</v>
      </c>
      <c r="D61" s="583" t="s">
        <v>3551</v>
      </c>
      <c r="E61" s="627" t="s">
        <v>3897</v>
      </c>
      <c r="F61" s="646" t="s">
        <v>3895</v>
      </c>
      <c r="G61" s="646" t="s">
        <v>3896</v>
      </c>
      <c r="H61" s="548"/>
      <c r="I61" s="545" t="s">
        <v>3552</v>
      </c>
      <c r="J61" s="548"/>
      <c r="K61" s="538"/>
      <c r="L61" s="465" t="s">
        <v>3553</v>
      </c>
    </row>
    <row r="62" spans="2:12" s="621" customFormat="1" ht="44.25" customHeight="1">
      <c r="B62" s="615" t="s">
        <v>3557</v>
      </c>
      <c r="C62" s="607" t="s">
        <v>2908</v>
      </c>
      <c r="D62" s="583" t="s">
        <v>3554</v>
      </c>
      <c r="E62" s="627" t="s">
        <v>995</v>
      </c>
      <c r="F62" s="545" t="s">
        <v>3555</v>
      </c>
      <c r="G62" s="545" t="s">
        <v>3555</v>
      </c>
      <c r="H62" s="545" t="s">
        <v>3556</v>
      </c>
      <c r="I62" s="548"/>
      <c r="J62" s="548"/>
      <c r="K62" s="538"/>
      <c r="L62" s="465"/>
    </row>
    <row r="63" spans="2:12" s="621" customFormat="1" ht="72">
      <c r="B63" s="615" t="s">
        <v>3560</v>
      </c>
      <c r="C63" s="607" t="s">
        <v>3399</v>
      </c>
      <c r="D63" s="583" t="s">
        <v>3558</v>
      </c>
      <c r="E63" s="627" t="s">
        <v>3559</v>
      </c>
      <c r="F63" s="545" t="s">
        <v>3561</v>
      </c>
      <c r="G63" s="545" t="s">
        <v>3562</v>
      </c>
      <c r="H63" s="545" t="s">
        <v>3562</v>
      </c>
      <c r="I63" s="545" t="s">
        <v>3563</v>
      </c>
      <c r="J63" s="548"/>
      <c r="K63" s="538"/>
      <c r="L63" s="465"/>
    </row>
    <row r="64" spans="2:12" s="621" customFormat="1" ht="47.25">
      <c r="B64" s="615" t="s">
        <v>3564</v>
      </c>
      <c r="C64" s="607" t="s">
        <v>3141</v>
      </c>
      <c r="D64" s="583" t="s">
        <v>3522</v>
      </c>
      <c r="E64" s="627" t="s">
        <v>3565</v>
      </c>
      <c r="F64" s="545" t="s">
        <v>3566</v>
      </c>
      <c r="G64" s="545" t="s">
        <v>3566</v>
      </c>
      <c r="H64" s="545" t="s">
        <v>3566</v>
      </c>
      <c r="I64" s="545" t="s">
        <v>3567</v>
      </c>
      <c r="J64" s="548"/>
      <c r="K64" s="538"/>
      <c r="L64" s="465"/>
    </row>
    <row r="65" spans="2:12" s="621" customFormat="1" ht="47.25">
      <c r="B65" s="615" t="s">
        <v>3568</v>
      </c>
      <c r="C65" s="607" t="s">
        <v>2917</v>
      </c>
      <c r="D65" s="583" t="s">
        <v>3569</v>
      </c>
      <c r="E65" s="627" t="s">
        <v>1</v>
      </c>
      <c r="F65" s="545" t="s">
        <v>3570</v>
      </c>
      <c r="G65" s="545" t="s">
        <v>3571</v>
      </c>
      <c r="H65" s="545" t="s">
        <v>3570</v>
      </c>
      <c r="I65" s="548"/>
      <c r="J65" s="548"/>
      <c r="K65" s="538"/>
      <c r="L65" s="465" t="s">
        <v>3572</v>
      </c>
    </row>
    <row r="66" spans="2:12" s="621" customFormat="1" ht="31.5">
      <c r="B66" s="615" t="s">
        <v>3573</v>
      </c>
      <c r="C66" s="607" t="s">
        <v>3141</v>
      </c>
      <c r="D66" s="583" t="s">
        <v>3574</v>
      </c>
      <c r="E66" s="627" t="s">
        <v>996</v>
      </c>
      <c r="F66" s="545" t="s">
        <v>3575</v>
      </c>
      <c r="G66" s="545" t="s">
        <v>3575</v>
      </c>
      <c r="H66" s="545" t="s">
        <v>3575</v>
      </c>
      <c r="I66" s="545" t="s">
        <v>3576</v>
      </c>
      <c r="J66" s="548"/>
      <c r="K66" s="538"/>
      <c r="L66" s="465" t="s">
        <v>3577</v>
      </c>
    </row>
    <row r="67" spans="2:12" s="621" customFormat="1" ht="18">
      <c r="B67" s="615" t="s">
        <v>3578</v>
      </c>
      <c r="C67" s="615" t="s">
        <v>3579</v>
      </c>
      <c r="D67" s="583" t="s">
        <v>3580</v>
      </c>
      <c r="E67" s="638" t="s">
        <v>3581</v>
      </c>
      <c r="F67" s="555"/>
      <c r="G67" s="537" t="s">
        <v>3582</v>
      </c>
      <c r="H67" s="555"/>
      <c r="I67" s="537" t="s">
        <v>3583</v>
      </c>
      <c r="J67" s="555"/>
      <c r="K67" s="538"/>
      <c r="L67" s="465" t="s">
        <v>3584</v>
      </c>
    </row>
    <row r="68" spans="2:12" ht="47.25">
      <c r="B68" s="615" t="s">
        <v>3585</v>
      </c>
      <c r="C68" s="537" t="s">
        <v>3025</v>
      </c>
      <c r="D68" s="583" t="s">
        <v>2088</v>
      </c>
      <c r="E68" s="640" t="s">
        <v>3587</v>
      </c>
      <c r="F68" s="537" t="s">
        <v>3588</v>
      </c>
      <c r="G68" s="537" t="s">
        <v>3589</v>
      </c>
      <c r="H68" s="537" t="s">
        <v>3589</v>
      </c>
      <c r="I68" s="548"/>
      <c r="J68" s="548"/>
      <c r="K68" s="639"/>
    </row>
    <row r="69" spans="2:12" ht="47.25">
      <c r="B69" s="615" t="s">
        <v>3586</v>
      </c>
      <c r="C69" s="537" t="s">
        <v>3025</v>
      </c>
      <c r="D69" s="583" t="s">
        <v>2091</v>
      </c>
      <c r="E69" s="640" t="s">
        <v>1023</v>
      </c>
      <c r="F69" s="537" t="s">
        <v>3590</v>
      </c>
      <c r="G69" s="537" t="s">
        <v>3591</v>
      </c>
      <c r="H69" s="537" t="s">
        <v>3591</v>
      </c>
      <c r="I69" s="548"/>
      <c r="J69" s="548"/>
      <c r="K69" s="639"/>
    </row>
    <row r="70" spans="2:12" ht="47.25">
      <c r="B70" s="615" t="s">
        <v>3592</v>
      </c>
      <c r="C70" s="537" t="s">
        <v>3025</v>
      </c>
      <c r="D70" s="583" t="s">
        <v>3593</v>
      </c>
      <c r="E70" s="640" t="s">
        <v>1023</v>
      </c>
      <c r="F70" s="537" t="s">
        <v>3594</v>
      </c>
      <c r="G70" s="537" t="s">
        <v>3595</v>
      </c>
      <c r="H70" s="537" t="s">
        <v>3595</v>
      </c>
      <c r="I70" s="548"/>
      <c r="J70" s="548"/>
      <c r="K70" s="639"/>
    </row>
    <row r="71" spans="2:12" ht="47.25">
      <c r="B71" s="615" t="s">
        <v>3596</v>
      </c>
      <c r="C71" s="537" t="s">
        <v>2917</v>
      </c>
      <c r="D71" s="583" t="s">
        <v>3597</v>
      </c>
      <c r="E71" s="640" t="s">
        <v>3598</v>
      </c>
      <c r="F71" s="537" t="s">
        <v>3600</v>
      </c>
      <c r="G71" s="537" t="s">
        <v>3599</v>
      </c>
      <c r="H71" s="537" t="s">
        <v>3600</v>
      </c>
      <c r="I71" s="548"/>
      <c r="J71" s="548"/>
      <c r="K71" s="641" t="s">
        <v>1860</v>
      </c>
      <c r="L71" s="465" t="s">
        <v>3601</v>
      </c>
    </row>
    <row r="72" spans="2:12" ht="31.5">
      <c r="B72" s="615" t="s">
        <v>3602</v>
      </c>
      <c r="C72" s="537" t="s">
        <v>2908</v>
      </c>
      <c r="D72" s="583" t="s">
        <v>3603</v>
      </c>
      <c r="E72" s="640" t="s">
        <v>1023</v>
      </c>
      <c r="F72" s="537" t="s">
        <v>3605</v>
      </c>
      <c r="G72" s="537" t="s">
        <v>3604</v>
      </c>
      <c r="H72" s="537" t="s">
        <v>3604</v>
      </c>
      <c r="I72" s="548"/>
      <c r="J72" s="548"/>
      <c r="K72" s="641"/>
      <c r="L72" s="465" t="s">
        <v>3606</v>
      </c>
    </row>
    <row r="73" spans="2:12" ht="18">
      <c r="B73" s="615" t="s">
        <v>3607</v>
      </c>
      <c r="C73" s="537" t="s">
        <v>3141</v>
      </c>
      <c r="D73" s="583" t="s">
        <v>3609</v>
      </c>
      <c r="E73" s="640" t="s">
        <v>996</v>
      </c>
      <c r="F73" s="548"/>
      <c r="G73" s="548"/>
      <c r="H73" s="548"/>
      <c r="I73" s="545" t="s">
        <v>3608</v>
      </c>
      <c r="J73" s="548"/>
      <c r="K73" s="641"/>
      <c r="L73" s="465"/>
    </row>
    <row r="74" spans="2:12" ht="18">
      <c r="B74" s="615" t="s">
        <v>3610</v>
      </c>
      <c r="C74" s="537" t="s">
        <v>3141</v>
      </c>
      <c r="D74" s="583" t="s">
        <v>3611</v>
      </c>
      <c r="E74" s="640" t="s">
        <v>996</v>
      </c>
      <c r="F74" s="548"/>
      <c r="G74" s="548"/>
      <c r="H74" s="548"/>
      <c r="I74" s="545" t="s">
        <v>3612</v>
      </c>
      <c r="J74" s="548"/>
      <c r="K74" s="641"/>
      <c r="L74" s="465"/>
    </row>
    <row r="75" spans="2:12" ht="47.25">
      <c r="B75" s="615" t="s">
        <v>3613</v>
      </c>
      <c r="C75" s="537" t="s">
        <v>3141</v>
      </c>
      <c r="D75" s="583" t="s">
        <v>3614</v>
      </c>
      <c r="E75" s="640" t="s">
        <v>996</v>
      </c>
      <c r="F75" s="548"/>
      <c r="G75" s="548"/>
      <c r="H75" s="548"/>
      <c r="I75" s="545" t="s">
        <v>3615</v>
      </c>
      <c r="J75" s="548"/>
      <c r="K75" s="641"/>
      <c r="L75" s="465"/>
    </row>
    <row r="76" spans="2:12" ht="18">
      <c r="B76" s="615" t="s">
        <v>3616</v>
      </c>
      <c r="C76" s="537" t="s">
        <v>2908</v>
      </c>
      <c r="D76" s="583" t="s">
        <v>3617</v>
      </c>
      <c r="E76" s="640" t="s">
        <v>995</v>
      </c>
      <c r="F76" s="537" t="s">
        <v>3618</v>
      </c>
      <c r="G76" s="537" t="s">
        <v>3618</v>
      </c>
      <c r="H76" s="537" t="s">
        <v>3619</v>
      </c>
      <c r="I76" s="548"/>
      <c r="J76" s="548"/>
      <c r="K76" s="641"/>
      <c r="L76" s="465" t="s">
        <v>3620</v>
      </c>
    </row>
    <row r="77" spans="2:12" ht="18">
      <c r="B77" s="615" t="s">
        <v>3621</v>
      </c>
      <c r="C77" s="537" t="s">
        <v>3141</v>
      </c>
      <c r="D77" s="583" t="s">
        <v>3622</v>
      </c>
      <c r="E77" s="640" t="s">
        <v>996</v>
      </c>
      <c r="F77" s="548"/>
      <c r="G77" s="548"/>
      <c r="H77" s="555"/>
      <c r="I77" s="545" t="s">
        <v>3623</v>
      </c>
      <c r="J77" s="548"/>
      <c r="K77" s="641"/>
      <c r="L77" s="465"/>
    </row>
    <row r="78" spans="2:12" ht="31.5">
      <c r="B78" s="615" t="s">
        <v>3624</v>
      </c>
      <c r="C78" s="537" t="s">
        <v>3025</v>
      </c>
      <c r="D78" s="583" t="s">
        <v>3625</v>
      </c>
      <c r="E78" s="640" t="s">
        <v>1023</v>
      </c>
      <c r="F78" s="537" t="s">
        <v>3626</v>
      </c>
      <c r="G78" s="537" t="s">
        <v>3627</v>
      </c>
      <c r="H78" s="537" t="s">
        <v>3627</v>
      </c>
      <c r="I78" s="548"/>
      <c r="J78" s="548"/>
      <c r="K78" s="641"/>
      <c r="L78" s="465" t="s">
        <v>3628</v>
      </c>
    </row>
    <row r="79" spans="2:12" ht="31.5">
      <c r="B79" s="615" t="s">
        <v>3630</v>
      </c>
      <c r="C79" s="537" t="s">
        <v>3025</v>
      </c>
      <c r="D79" s="583" t="s">
        <v>3631</v>
      </c>
      <c r="E79" s="640" t="s">
        <v>3493</v>
      </c>
      <c r="F79" s="537" t="s">
        <v>3632</v>
      </c>
      <c r="G79" s="537" t="s">
        <v>3632</v>
      </c>
      <c r="H79" s="537" t="s">
        <v>3632</v>
      </c>
      <c r="I79" s="537" t="s">
        <v>3633</v>
      </c>
      <c r="J79" s="548"/>
      <c r="K79" s="641"/>
      <c r="L79" s="465" t="s">
        <v>3634</v>
      </c>
    </row>
    <row r="80" spans="2:12" ht="47.25">
      <c r="B80" s="615" t="s">
        <v>3635</v>
      </c>
      <c r="C80" s="537" t="s">
        <v>2908</v>
      </c>
      <c r="D80" s="583" t="s">
        <v>3636</v>
      </c>
      <c r="E80" s="640" t="s">
        <v>1023</v>
      </c>
      <c r="F80" s="537" t="s">
        <v>3637</v>
      </c>
      <c r="G80" s="537" t="s">
        <v>3638</v>
      </c>
      <c r="H80" s="537" t="s">
        <v>3638</v>
      </c>
      <c r="I80" s="555"/>
      <c r="J80" s="548"/>
      <c r="K80" s="641"/>
      <c r="L80" s="465" t="s">
        <v>3639</v>
      </c>
    </row>
    <row r="81" spans="2:12" ht="31.5">
      <c r="B81" s="615" t="s">
        <v>3640</v>
      </c>
      <c r="C81" s="537" t="s">
        <v>3263</v>
      </c>
      <c r="D81" s="583" t="s">
        <v>3641</v>
      </c>
      <c r="E81" s="640" t="s">
        <v>1</v>
      </c>
      <c r="F81" s="537" t="s">
        <v>3643</v>
      </c>
      <c r="G81" s="537" t="s">
        <v>3642</v>
      </c>
      <c r="H81" s="537" t="s">
        <v>3643</v>
      </c>
      <c r="I81" s="555"/>
      <c r="J81" s="548"/>
      <c r="K81" s="641"/>
      <c r="L81" s="465" t="s">
        <v>3283</v>
      </c>
    </row>
    <row r="82" spans="2:12" ht="63">
      <c r="B82" s="615" t="s">
        <v>3644</v>
      </c>
      <c r="C82" s="537" t="s">
        <v>2919</v>
      </c>
      <c r="D82" s="583" t="s">
        <v>3645</v>
      </c>
      <c r="E82" s="640" t="s">
        <v>1023</v>
      </c>
      <c r="F82" s="537" t="s">
        <v>3646</v>
      </c>
      <c r="G82" s="537" t="s">
        <v>3647</v>
      </c>
      <c r="H82" s="537" t="s">
        <v>3647</v>
      </c>
      <c r="I82" s="555"/>
      <c r="J82" s="548"/>
      <c r="K82" s="641" t="s">
        <v>3017</v>
      </c>
      <c r="L82" s="465" t="s">
        <v>3648</v>
      </c>
    </row>
    <row r="83" spans="2:12" ht="31.5">
      <c r="B83" s="615" t="s">
        <v>3649</v>
      </c>
      <c r="C83" s="537" t="s">
        <v>2908</v>
      </c>
      <c r="D83" s="583" t="s">
        <v>3650</v>
      </c>
      <c r="E83" s="640" t="s">
        <v>3716</v>
      </c>
      <c r="F83" s="537" t="s">
        <v>3651</v>
      </c>
      <c r="G83" s="537" t="s">
        <v>3652</v>
      </c>
      <c r="H83" s="537" t="s">
        <v>3652</v>
      </c>
      <c r="I83" s="555"/>
      <c r="J83" s="548"/>
      <c r="K83" s="641"/>
      <c r="L83" s="465" t="s">
        <v>3653</v>
      </c>
    </row>
    <row r="84" spans="2:12" ht="18">
      <c r="B84" s="615" t="s">
        <v>3654</v>
      </c>
      <c r="C84" s="537" t="s">
        <v>2919</v>
      </c>
      <c r="D84" s="583" t="s">
        <v>3655</v>
      </c>
      <c r="E84" s="640" t="s">
        <v>1023</v>
      </c>
      <c r="F84" s="537" t="s">
        <v>3656</v>
      </c>
      <c r="G84" s="537" t="s">
        <v>3657</v>
      </c>
      <c r="H84" s="537" t="s">
        <v>3657</v>
      </c>
      <c r="I84" s="555"/>
      <c r="J84" s="548"/>
      <c r="K84" s="641"/>
      <c r="L84" s="465"/>
    </row>
    <row r="85" spans="2:12" ht="31.5">
      <c r="B85" s="615" t="s">
        <v>3658</v>
      </c>
      <c r="C85" s="537" t="s">
        <v>3025</v>
      </c>
      <c r="D85" s="583" t="s">
        <v>3659</v>
      </c>
      <c r="E85" s="640" t="s">
        <v>1023</v>
      </c>
      <c r="F85" s="537" t="s">
        <v>3660</v>
      </c>
      <c r="G85" s="537" t="s">
        <v>3661</v>
      </c>
      <c r="H85" s="537" t="s">
        <v>3661</v>
      </c>
      <c r="I85" s="555"/>
      <c r="J85" s="548"/>
      <c r="K85" s="641"/>
      <c r="L85" s="465"/>
    </row>
    <row r="86" spans="2:12" ht="31.5">
      <c r="B86" s="615" t="s">
        <v>3662</v>
      </c>
      <c r="C86" s="537" t="s">
        <v>2893</v>
      </c>
      <c r="D86" s="583" t="s">
        <v>3665</v>
      </c>
      <c r="E86" s="640" t="s">
        <v>1330</v>
      </c>
      <c r="F86" s="537" t="s">
        <v>3663</v>
      </c>
      <c r="G86" s="537" t="s">
        <v>3664</v>
      </c>
      <c r="H86" s="537" t="s">
        <v>3664</v>
      </c>
      <c r="I86" s="555"/>
      <c r="J86" s="548"/>
      <c r="K86" s="641"/>
      <c r="L86" s="465"/>
    </row>
    <row r="87" spans="2:12" ht="47.25">
      <c r="B87" s="615" t="s">
        <v>3666</v>
      </c>
      <c r="C87" s="537" t="s">
        <v>2962</v>
      </c>
      <c r="D87" s="583" t="s">
        <v>3667</v>
      </c>
      <c r="E87" s="640" t="s">
        <v>2467</v>
      </c>
      <c r="F87" s="537" t="s">
        <v>3668</v>
      </c>
      <c r="G87" s="537" t="s">
        <v>3668</v>
      </c>
      <c r="H87" s="537" t="s">
        <v>3668</v>
      </c>
      <c r="I87" s="555"/>
      <c r="J87" s="537" t="s">
        <v>3669</v>
      </c>
      <c r="K87" s="641"/>
      <c r="L87" s="465"/>
    </row>
    <row r="88" spans="2:12" ht="31.5">
      <c r="B88" s="615" t="s">
        <v>3670</v>
      </c>
      <c r="C88" s="537" t="s">
        <v>2962</v>
      </c>
      <c r="D88" s="583" t="s">
        <v>3671</v>
      </c>
      <c r="E88" s="640" t="s">
        <v>2467</v>
      </c>
      <c r="F88" s="548"/>
      <c r="G88" s="548"/>
      <c r="H88" s="548"/>
      <c r="I88" s="555"/>
      <c r="J88" s="537" t="s">
        <v>3672</v>
      </c>
      <c r="K88" s="641"/>
      <c r="L88" s="465"/>
    </row>
    <row r="89" spans="2:12" ht="31.5">
      <c r="B89" s="615" t="s">
        <v>3673</v>
      </c>
      <c r="C89" s="537" t="s">
        <v>2917</v>
      </c>
      <c r="D89" s="583" t="s">
        <v>3675</v>
      </c>
      <c r="E89" s="640" t="s">
        <v>995</v>
      </c>
      <c r="F89" s="548"/>
      <c r="G89" s="548"/>
      <c r="H89" s="537" t="s">
        <v>3674</v>
      </c>
      <c r="I89" s="555"/>
      <c r="J89" s="555"/>
      <c r="K89" s="641"/>
      <c r="L89" s="465"/>
    </row>
    <row r="90" spans="2:12" ht="47.25">
      <c r="B90" s="615" t="s">
        <v>3676</v>
      </c>
      <c r="C90" s="537" t="s">
        <v>2908</v>
      </c>
      <c r="D90" s="583" t="s">
        <v>3677</v>
      </c>
      <c r="E90" s="640" t="s">
        <v>995</v>
      </c>
      <c r="F90" s="537" t="s">
        <v>3679</v>
      </c>
      <c r="G90" s="537" t="s">
        <v>3679</v>
      </c>
      <c r="H90" s="537" t="s">
        <v>3678</v>
      </c>
      <c r="I90" s="555"/>
      <c r="J90" s="555"/>
      <c r="K90" s="641"/>
      <c r="L90" s="465" t="s">
        <v>3680</v>
      </c>
    </row>
    <row r="91" spans="2:12" ht="47.25">
      <c r="B91" s="615" t="s">
        <v>3681</v>
      </c>
      <c r="C91" s="537" t="s">
        <v>2962</v>
      </c>
      <c r="D91" s="583" t="s">
        <v>3682</v>
      </c>
      <c r="E91" s="640" t="s">
        <v>2467</v>
      </c>
      <c r="F91" s="548"/>
      <c r="G91" s="548"/>
      <c r="H91" s="548"/>
      <c r="I91" s="555"/>
      <c r="J91" s="537" t="s">
        <v>3683</v>
      </c>
      <c r="K91" s="641"/>
      <c r="L91" s="465" t="s">
        <v>3684</v>
      </c>
    </row>
    <row r="92" spans="2:12" ht="18">
      <c r="B92" s="615" t="s">
        <v>3685</v>
      </c>
      <c r="C92" s="537" t="s">
        <v>2893</v>
      </c>
      <c r="D92" s="583" t="s">
        <v>3686</v>
      </c>
      <c r="E92" s="640" t="s">
        <v>1651</v>
      </c>
      <c r="F92" s="537" t="s">
        <v>3688</v>
      </c>
      <c r="G92" s="537" t="s">
        <v>3687</v>
      </c>
      <c r="H92" s="537" t="s">
        <v>3688</v>
      </c>
      <c r="I92" s="555"/>
      <c r="J92" s="555"/>
      <c r="K92" s="641"/>
      <c r="L92" s="465"/>
    </row>
    <row r="93" spans="2:12" ht="31.5">
      <c r="B93" s="615" t="s">
        <v>3689</v>
      </c>
      <c r="C93" s="537" t="s">
        <v>2893</v>
      </c>
      <c r="D93" s="583" t="s">
        <v>3690</v>
      </c>
      <c r="E93" s="640" t="s">
        <v>1295</v>
      </c>
      <c r="F93" s="537" t="s">
        <v>3691</v>
      </c>
      <c r="G93" s="537" t="s">
        <v>3692</v>
      </c>
      <c r="H93" s="537" t="s">
        <v>3692</v>
      </c>
      <c r="I93" s="555"/>
      <c r="J93" s="555"/>
      <c r="K93" s="641"/>
      <c r="L93" s="465"/>
    </row>
    <row r="94" spans="2:12" ht="31.5">
      <c r="B94" s="615" t="s">
        <v>3693</v>
      </c>
      <c r="C94" s="537" t="s">
        <v>3141</v>
      </c>
      <c r="D94" s="583" t="s">
        <v>3694</v>
      </c>
      <c r="E94" s="640" t="s">
        <v>996</v>
      </c>
      <c r="F94" s="548"/>
      <c r="G94" s="548"/>
      <c r="H94" s="555"/>
      <c r="I94" s="545" t="s">
        <v>3695</v>
      </c>
      <c r="J94" s="548"/>
      <c r="K94" s="641"/>
      <c r="L94" s="465" t="s">
        <v>3696</v>
      </c>
    </row>
    <row r="95" spans="2:12" ht="31.5">
      <c r="B95" s="615" t="s">
        <v>3701</v>
      </c>
      <c r="C95" s="537" t="s">
        <v>3141</v>
      </c>
      <c r="D95" s="583" t="s">
        <v>3702</v>
      </c>
      <c r="E95" s="640" t="s">
        <v>996</v>
      </c>
      <c r="F95" s="537" t="s">
        <v>3651</v>
      </c>
      <c r="G95" s="537" t="s">
        <v>3652</v>
      </c>
      <c r="H95" s="537" t="s">
        <v>3652</v>
      </c>
      <c r="I95" s="545" t="s">
        <v>3703</v>
      </c>
      <c r="J95" s="548"/>
      <c r="K95" s="641"/>
      <c r="L95" s="465" t="s">
        <v>3704</v>
      </c>
    </row>
    <row r="96" spans="2:12" ht="47.25">
      <c r="B96" s="615" t="s">
        <v>3705</v>
      </c>
      <c r="C96" s="537" t="s">
        <v>2962</v>
      </c>
      <c r="D96" s="583" t="s">
        <v>3706</v>
      </c>
      <c r="E96" s="640" t="s">
        <v>3707</v>
      </c>
      <c r="F96" s="548"/>
      <c r="G96" s="548"/>
      <c r="H96" s="548"/>
      <c r="I96" s="555"/>
      <c r="J96" s="537" t="s">
        <v>3683</v>
      </c>
      <c r="K96" s="641"/>
      <c r="L96" s="465" t="s">
        <v>3708</v>
      </c>
    </row>
    <row r="97" spans="1:12" ht="47.25">
      <c r="B97" s="615" t="s">
        <v>3709</v>
      </c>
      <c r="C97" s="537" t="s">
        <v>2908</v>
      </c>
      <c r="D97" s="583" t="s">
        <v>3713</v>
      </c>
      <c r="E97" s="640" t="s">
        <v>3714</v>
      </c>
      <c r="F97" s="537" t="s">
        <v>3711</v>
      </c>
      <c r="G97" s="537" t="s">
        <v>3710</v>
      </c>
      <c r="H97" s="537" t="s">
        <v>3710</v>
      </c>
      <c r="I97" s="537" t="s">
        <v>3715</v>
      </c>
      <c r="J97" s="555"/>
      <c r="K97" s="641"/>
      <c r="L97" s="465" t="s">
        <v>3712</v>
      </c>
    </row>
    <row r="98" spans="1:12" ht="31.5">
      <c r="B98" s="615" t="s">
        <v>3717</v>
      </c>
      <c r="C98" s="537" t="s">
        <v>2908</v>
      </c>
      <c r="D98" s="583" t="s">
        <v>3718</v>
      </c>
      <c r="E98" s="640" t="s">
        <v>1330</v>
      </c>
      <c r="F98" s="537" t="s">
        <v>3720</v>
      </c>
      <c r="G98" s="537" t="s">
        <v>3720</v>
      </c>
      <c r="H98" s="537" t="s">
        <v>3719</v>
      </c>
      <c r="I98" s="555"/>
      <c r="J98" s="555"/>
      <c r="K98" s="641"/>
      <c r="L98" s="465" t="s">
        <v>3721</v>
      </c>
    </row>
    <row r="99" spans="1:12" ht="18">
      <c r="B99" s="615" t="s">
        <v>3722</v>
      </c>
      <c r="C99" s="537" t="s">
        <v>3141</v>
      </c>
      <c r="D99" s="583" t="s">
        <v>3723</v>
      </c>
      <c r="E99" s="640" t="s">
        <v>996</v>
      </c>
      <c r="F99" s="548"/>
      <c r="G99" s="548"/>
      <c r="H99" s="555"/>
      <c r="I99" s="545" t="s">
        <v>3724</v>
      </c>
      <c r="J99" s="555"/>
      <c r="K99" s="641"/>
      <c r="L99" s="465" t="s">
        <v>3725</v>
      </c>
    </row>
    <row r="100" spans="1:12" ht="78.75">
      <c r="B100" s="615" t="s">
        <v>3726</v>
      </c>
      <c r="C100" s="537" t="s">
        <v>2908</v>
      </c>
      <c r="D100" s="583" t="s">
        <v>3727</v>
      </c>
      <c r="E100" s="640" t="s">
        <v>1023</v>
      </c>
      <c r="F100" s="537" t="s">
        <v>3728</v>
      </c>
      <c r="G100" s="537" t="s">
        <v>3730</v>
      </c>
      <c r="H100" s="537" t="s">
        <v>3730</v>
      </c>
      <c r="I100" s="555"/>
      <c r="J100" s="555"/>
      <c r="K100" s="641"/>
      <c r="L100" s="465" t="s">
        <v>3729</v>
      </c>
    </row>
    <row r="101" spans="1:12" ht="36">
      <c r="B101" s="615" t="s">
        <v>3731</v>
      </c>
      <c r="C101" s="537" t="s">
        <v>2893</v>
      </c>
      <c r="D101" s="583" t="s">
        <v>3732</v>
      </c>
      <c r="E101" s="640" t="s">
        <v>2302</v>
      </c>
      <c r="F101" s="537" t="s">
        <v>3733</v>
      </c>
      <c r="G101" s="537" t="s">
        <v>3734</v>
      </c>
      <c r="H101" s="537" t="s">
        <v>3734</v>
      </c>
      <c r="I101" s="555"/>
      <c r="J101" s="555"/>
      <c r="K101" s="641"/>
      <c r="L101" s="465"/>
    </row>
    <row r="102" spans="1:12" ht="31.5">
      <c r="B102" s="615" t="s">
        <v>3735</v>
      </c>
      <c r="C102" s="537" t="s">
        <v>2962</v>
      </c>
      <c r="D102" s="583" t="s">
        <v>3736</v>
      </c>
      <c r="E102" s="640" t="s">
        <v>2467</v>
      </c>
      <c r="F102" s="555"/>
      <c r="G102" s="555"/>
      <c r="H102" s="555"/>
      <c r="I102" s="555"/>
      <c r="J102" s="537" t="s">
        <v>3738</v>
      </c>
      <c r="K102" s="641"/>
      <c r="L102" s="465" t="s">
        <v>3737</v>
      </c>
    </row>
    <row r="103" spans="1:12" ht="18">
      <c r="B103" s="615" t="s">
        <v>3739</v>
      </c>
      <c r="C103" s="537" t="s">
        <v>3399</v>
      </c>
      <c r="D103" s="583" t="s">
        <v>3740</v>
      </c>
      <c r="E103" s="640" t="s">
        <v>2098</v>
      </c>
      <c r="F103" s="537" t="s">
        <v>3741</v>
      </c>
      <c r="G103" s="537" t="s">
        <v>3743</v>
      </c>
      <c r="H103" s="555"/>
      <c r="I103" s="537" t="s">
        <v>3742</v>
      </c>
      <c r="J103" s="555"/>
      <c r="K103" s="641"/>
      <c r="L103" s="465"/>
    </row>
    <row r="104" spans="1:12" ht="36">
      <c r="B104" s="615" t="s">
        <v>3754</v>
      </c>
      <c r="C104" s="537" t="s">
        <v>3362</v>
      </c>
      <c r="D104" s="583" t="s">
        <v>3748</v>
      </c>
      <c r="E104" s="640" t="s">
        <v>3749</v>
      </c>
      <c r="F104" s="537" t="s">
        <v>3750</v>
      </c>
      <c r="G104" s="537" t="s">
        <v>3751</v>
      </c>
      <c r="H104" s="537" t="s">
        <v>3750</v>
      </c>
      <c r="I104" s="537" t="s">
        <v>3752</v>
      </c>
      <c r="J104" s="555"/>
      <c r="K104" s="641"/>
      <c r="L104" s="465" t="s">
        <v>3753</v>
      </c>
    </row>
    <row r="105" spans="1:12" ht="47.25">
      <c r="B105" s="615" t="s">
        <v>3755</v>
      </c>
      <c r="C105" s="537" t="s">
        <v>2919</v>
      </c>
      <c r="D105" s="583" t="s">
        <v>3756</v>
      </c>
      <c r="E105" s="640" t="s">
        <v>1023</v>
      </c>
      <c r="F105" s="537" t="s">
        <v>3757</v>
      </c>
      <c r="G105" s="537" t="s">
        <v>3758</v>
      </c>
      <c r="H105" s="537" t="s">
        <v>3758</v>
      </c>
      <c r="I105" s="555"/>
      <c r="J105" s="555"/>
      <c r="K105" s="641" t="s">
        <v>3759</v>
      </c>
      <c r="L105" s="465"/>
    </row>
    <row r="106" spans="1:12" s="475" customFormat="1" ht="36">
      <c r="B106" s="642" t="s">
        <v>3760</v>
      </c>
      <c r="C106" s="642" t="s">
        <v>3114</v>
      </c>
      <c r="D106" s="643" t="s">
        <v>3813</v>
      </c>
      <c r="E106" s="528" t="s">
        <v>3814</v>
      </c>
      <c r="F106" s="554"/>
      <c r="G106" s="554"/>
      <c r="H106" s="554"/>
      <c r="I106" s="532" t="s">
        <v>3761</v>
      </c>
      <c r="J106" s="554"/>
      <c r="K106" s="644" t="s">
        <v>3815</v>
      </c>
      <c r="L106" s="458" t="s">
        <v>3816</v>
      </c>
    </row>
    <row r="107" spans="1:12" ht="36">
      <c r="B107" s="615" t="s">
        <v>3762</v>
      </c>
      <c r="C107" s="537" t="s">
        <v>2908</v>
      </c>
      <c r="D107" s="583" t="s">
        <v>3763</v>
      </c>
      <c r="E107" s="640" t="s">
        <v>3764</v>
      </c>
      <c r="F107" s="537" t="s">
        <v>3765</v>
      </c>
      <c r="G107" s="537" t="s">
        <v>3766</v>
      </c>
      <c r="H107" s="537" t="s">
        <v>3766</v>
      </c>
      <c r="I107" s="555"/>
      <c r="J107" s="555"/>
      <c r="K107" s="641"/>
      <c r="L107" s="465" t="s">
        <v>3767</v>
      </c>
    </row>
    <row r="108" spans="1:12" ht="31.5">
      <c r="B108" s="615" t="s">
        <v>3768</v>
      </c>
      <c r="C108" s="537"/>
      <c r="D108" s="583" t="s">
        <v>3945</v>
      </c>
      <c r="E108" s="640"/>
      <c r="F108" s="537"/>
      <c r="G108" s="537"/>
      <c r="H108" s="537"/>
      <c r="I108" s="555"/>
      <c r="J108" s="555"/>
      <c r="K108" s="641"/>
      <c r="L108" s="465"/>
    </row>
    <row r="109" spans="1:12" ht="36">
      <c r="B109" s="615" t="s">
        <v>3770</v>
      </c>
      <c r="C109" s="537" t="s">
        <v>3771</v>
      </c>
      <c r="D109" s="583" t="s">
        <v>3772</v>
      </c>
      <c r="E109" s="640" t="s">
        <v>3773</v>
      </c>
      <c r="F109" s="537" t="s">
        <v>3774</v>
      </c>
      <c r="G109" s="537" t="s">
        <v>3775</v>
      </c>
      <c r="H109" s="537" t="s">
        <v>3775</v>
      </c>
      <c r="I109" s="537" t="s">
        <v>3776</v>
      </c>
      <c r="J109" s="555"/>
      <c r="K109" s="641"/>
      <c r="L109" s="465"/>
    </row>
    <row r="110" spans="1:12" ht="53.25">
      <c r="A110" s="645" t="s">
        <v>3894</v>
      </c>
      <c r="B110" s="615" t="s">
        <v>3777</v>
      </c>
      <c r="C110" s="537" t="s">
        <v>2893</v>
      </c>
      <c r="D110" s="583" t="s">
        <v>3778</v>
      </c>
      <c r="E110" s="640" t="s">
        <v>3779</v>
      </c>
      <c r="F110" s="537" t="s">
        <v>3780</v>
      </c>
      <c r="G110" s="537" t="s">
        <v>3781</v>
      </c>
      <c r="H110" s="537" t="s">
        <v>3781</v>
      </c>
      <c r="I110" s="555"/>
      <c r="J110" s="555"/>
      <c r="K110" s="641" t="s">
        <v>3782</v>
      </c>
      <c r="L110" s="465"/>
    </row>
  </sheetData>
  <mergeCells count="2">
    <mergeCell ref="K2:K3"/>
    <mergeCell ref="F7:J7"/>
  </mergeCells>
  <printOptions horizontalCentered="1"/>
  <pageMargins left="0" right="0" top="0.35433070866141736" bottom="0.35433070866141736" header="0.31496062992125984" footer="0.31496062992125984"/>
  <pageSetup paperSize="8" scale="60" orientation="landscape" horizontalDpi="300" verticalDpi="300" r:id="rId1"/>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88DBA-05E2-494A-824B-9AFC56491748}">
  <dimension ref="A1:L150"/>
  <sheetViews>
    <sheetView topLeftCell="A109" zoomScale="115" zoomScaleNormal="115" workbookViewId="0">
      <selection activeCell="E114" sqref="E114"/>
    </sheetView>
  </sheetViews>
  <sheetFormatPr baseColWidth="10" defaultRowHeight="12.75"/>
  <cols>
    <col min="1" max="1" width="5" customWidth="1"/>
    <col min="2" max="2" width="13.5703125" bestFit="1" customWidth="1"/>
    <col min="4" max="4" width="38" customWidth="1"/>
    <col min="5" max="5" width="74.5703125" bestFit="1" customWidth="1"/>
    <col min="6" max="6" width="13.42578125" customWidth="1"/>
    <col min="9" max="9" width="12.5703125" customWidth="1"/>
    <col min="11" max="11" width="32.42578125" customWidth="1"/>
    <col min="12" max="12" width="25.42578125" bestFit="1" customWidth="1"/>
  </cols>
  <sheetData>
    <row r="1" spans="1:12" s="20" customFormat="1" ht="6.75" customHeight="1">
      <c r="E1" s="119"/>
      <c r="K1" s="61"/>
    </row>
    <row r="2" spans="1:12" s="20" customFormat="1" ht="12.75" customHeight="1">
      <c r="E2" s="119"/>
      <c r="K2" s="1078"/>
    </row>
    <row r="3" spans="1:12" s="20" customFormat="1" ht="10.5" customHeight="1">
      <c r="E3" s="119"/>
      <c r="K3" s="1079"/>
    </row>
    <row r="4" spans="1:12" s="20" customFormat="1" ht="13.5" thickBot="1">
      <c r="E4" s="119"/>
      <c r="K4" s="61"/>
    </row>
    <row r="5" spans="1:12" s="336" customFormat="1" ht="21.75" thickTop="1" thickBot="1">
      <c r="B5" s="331" t="s">
        <v>3747</v>
      </c>
      <c r="C5" s="332"/>
      <c r="D5" s="332"/>
      <c r="E5" s="333"/>
      <c r="F5" s="332"/>
      <c r="G5" s="334"/>
      <c r="H5" s="334"/>
      <c r="I5" s="334"/>
      <c r="J5" s="334"/>
      <c r="K5" s="623"/>
    </row>
    <row r="6" spans="1:12" s="20" customFormat="1" ht="17.25" thickTop="1" thickBot="1">
      <c r="A6" s="434" t="s">
        <v>1528</v>
      </c>
      <c r="B6" s="26"/>
      <c r="C6" s="26"/>
      <c r="D6" s="26"/>
      <c r="F6" s="121"/>
      <c r="G6" s="27"/>
      <c r="H6" s="27"/>
      <c r="I6" s="27"/>
      <c r="J6" s="27"/>
      <c r="K6" s="27"/>
    </row>
    <row r="7" spans="1:12" s="20" customFormat="1" ht="16.5" customHeight="1" thickBot="1">
      <c r="B7" s="26"/>
      <c r="C7" s="26"/>
      <c r="D7" s="26"/>
      <c r="E7" s="121"/>
      <c r="F7" s="1129" t="s">
        <v>1026</v>
      </c>
      <c r="G7" s="1130"/>
      <c r="H7" s="1130"/>
      <c r="I7" s="1130"/>
      <c r="J7" s="1131"/>
      <c r="K7" s="27"/>
    </row>
    <row r="8" spans="1:12" s="330" customFormat="1" ht="24" customHeight="1" thickBot="1">
      <c r="B8" s="624" t="s">
        <v>992</v>
      </c>
      <c r="C8" s="625" t="s">
        <v>2892</v>
      </c>
      <c r="D8" s="624" t="s">
        <v>993</v>
      </c>
      <c r="E8" s="624" t="s">
        <v>994</v>
      </c>
      <c r="F8" s="624" t="s">
        <v>0</v>
      </c>
      <c r="G8" s="624" t="s">
        <v>1</v>
      </c>
      <c r="H8" s="624" t="s">
        <v>995</v>
      </c>
      <c r="I8" s="626" t="s">
        <v>996</v>
      </c>
      <c r="J8" s="626" t="s">
        <v>2511</v>
      </c>
      <c r="K8" s="624" t="s">
        <v>4</v>
      </c>
    </row>
    <row r="9" spans="1:12" s="1" customFormat="1" ht="41.25" customHeight="1">
      <c r="B9" s="148" t="s">
        <v>3783</v>
      </c>
      <c r="C9" s="603" t="s">
        <v>2893</v>
      </c>
      <c r="D9" s="208" t="s">
        <v>3744</v>
      </c>
      <c r="E9" s="208" t="s">
        <v>1023</v>
      </c>
      <c r="F9" s="540" t="s">
        <v>3745</v>
      </c>
      <c r="G9" s="540" t="s">
        <v>3746</v>
      </c>
      <c r="H9" s="540" t="s">
        <v>3746</v>
      </c>
      <c r="I9" s="540" t="s">
        <v>3746</v>
      </c>
      <c r="J9" s="550"/>
      <c r="K9" s="533" t="s">
        <v>2888</v>
      </c>
      <c r="L9" s="458" t="s">
        <v>2487</v>
      </c>
    </row>
    <row r="10" spans="1:12" s="1" customFormat="1" ht="41.25" customHeight="1">
      <c r="B10" s="148" t="s">
        <v>3784</v>
      </c>
      <c r="C10" s="603" t="s">
        <v>3785</v>
      </c>
      <c r="D10" s="528" t="s">
        <v>3786</v>
      </c>
      <c r="E10" s="208" t="s">
        <v>3787</v>
      </c>
      <c r="F10" s="540" t="s">
        <v>3788</v>
      </c>
      <c r="G10" s="540" t="s">
        <v>3789</v>
      </c>
      <c r="H10" s="540" t="s">
        <v>3789</v>
      </c>
      <c r="I10" s="540" t="s">
        <v>3790</v>
      </c>
      <c r="J10" s="550"/>
      <c r="K10" s="533"/>
      <c r="L10" s="458"/>
    </row>
    <row r="11" spans="1:12" s="1" customFormat="1" ht="51.75" customHeight="1">
      <c r="B11" s="148" t="s">
        <v>3791</v>
      </c>
      <c r="C11" s="603" t="s">
        <v>2917</v>
      </c>
      <c r="D11" s="528" t="s">
        <v>3792</v>
      </c>
      <c r="E11" s="208" t="s">
        <v>3793</v>
      </c>
      <c r="F11" s="540" t="s">
        <v>3794</v>
      </c>
      <c r="G11" s="540" t="s">
        <v>3795</v>
      </c>
      <c r="H11" s="540" t="s">
        <v>3794</v>
      </c>
      <c r="I11" s="550"/>
      <c r="J11" s="550"/>
      <c r="K11" s="533" t="s">
        <v>3796</v>
      </c>
      <c r="L11" s="458"/>
    </row>
    <row r="12" spans="1:12" s="1" customFormat="1" ht="60.75" customHeight="1">
      <c r="B12" s="148" t="s">
        <v>3797</v>
      </c>
      <c r="C12" s="603" t="s">
        <v>3263</v>
      </c>
      <c r="D12" s="528" t="s">
        <v>3798</v>
      </c>
      <c r="E12" s="208" t="s">
        <v>2682</v>
      </c>
      <c r="F12" s="540" t="s">
        <v>3799</v>
      </c>
      <c r="G12" s="540" t="s">
        <v>3800</v>
      </c>
      <c r="H12" s="540" t="s">
        <v>3799</v>
      </c>
      <c r="I12" s="550"/>
      <c r="J12" s="550"/>
      <c r="K12" s="533"/>
      <c r="L12" s="458"/>
    </row>
    <row r="13" spans="1:12" s="1" customFormat="1" ht="72">
      <c r="B13" s="148" t="s">
        <v>3801</v>
      </c>
      <c r="C13" s="603" t="s">
        <v>2908</v>
      </c>
      <c r="D13" s="528" t="s">
        <v>3812</v>
      </c>
      <c r="E13" s="208" t="s">
        <v>3808</v>
      </c>
      <c r="F13" s="540" t="s">
        <v>3803</v>
      </c>
      <c r="G13" s="540" t="s">
        <v>3804</v>
      </c>
      <c r="H13" s="540" t="s">
        <v>3804</v>
      </c>
      <c r="I13" s="550"/>
      <c r="J13" s="550"/>
      <c r="K13" s="533" t="s">
        <v>3811</v>
      </c>
      <c r="L13" s="458"/>
    </row>
    <row r="14" spans="1:12" s="1" customFormat="1" ht="60.75" customHeight="1">
      <c r="B14" s="148" t="s">
        <v>3805</v>
      </c>
      <c r="C14" s="603" t="s">
        <v>3141</v>
      </c>
      <c r="D14" s="528" t="s">
        <v>3892</v>
      </c>
      <c r="E14" s="208" t="s">
        <v>3823</v>
      </c>
      <c r="F14" s="550"/>
      <c r="G14" s="550"/>
      <c r="H14" s="550"/>
      <c r="I14" s="540" t="s">
        <v>3806</v>
      </c>
      <c r="J14" s="550"/>
      <c r="K14" s="533"/>
      <c r="L14" s="458"/>
    </row>
    <row r="15" spans="1:12" s="1" customFormat="1" ht="60.75" customHeight="1">
      <c r="B15" s="148" t="s">
        <v>3807</v>
      </c>
      <c r="C15" s="603" t="s">
        <v>3785</v>
      </c>
      <c r="D15" s="528" t="s">
        <v>3802</v>
      </c>
      <c r="E15" s="208" t="s">
        <v>1023</v>
      </c>
      <c r="F15" s="540" t="s">
        <v>3809</v>
      </c>
      <c r="G15" s="540" t="s">
        <v>3810</v>
      </c>
      <c r="H15" s="540" t="s">
        <v>3810</v>
      </c>
      <c r="I15" s="550"/>
      <c r="J15" s="550"/>
      <c r="K15" s="533" t="s">
        <v>2510</v>
      </c>
      <c r="L15" s="458"/>
    </row>
    <row r="16" spans="1:12" s="1" customFormat="1" ht="60.75" customHeight="1">
      <c r="B16" s="148" t="s">
        <v>3817</v>
      </c>
      <c r="C16" s="603" t="s">
        <v>3263</v>
      </c>
      <c r="D16" s="528" t="s">
        <v>3818</v>
      </c>
      <c r="E16" s="208" t="s">
        <v>1</v>
      </c>
      <c r="F16" s="540" t="s">
        <v>3819</v>
      </c>
      <c r="G16" s="540" t="s">
        <v>3820</v>
      </c>
      <c r="H16" s="540" t="s">
        <v>3819</v>
      </c>
      <c r="I16" s="550"/>
      <c r="J16" s="550"/>
      <c r="K16" s="533" t="s">
        <v>3821</v>
      </c>
      <c r="L16" s="458" t="s">
        <v>3822</v>
      </c>
    </row>
    <row r="17" spans="1:12" s="1" customFormat="1" ht="68.849999999999994" customHeight="1">
      <c r="B17" s="148" t="s">
        <v>3824</v>
      </c>
      <c r="C17" s="603" t="s">
        <v>2908</v>
      </c>
      <c r="D17" s="528" t="s">
        <v>3825</v>
      </c>
      <c r="E17" s="208" t="s">
        <v>1023</v>
      </c>
      <c r="F17" s="540" t="s">
        <v>3826</v>
      </c>
      <c r="G17" s="540" t="s">
        <v>3827</v>
      </c>
      <c r="H17" s="540" t="s">
        <v>3827</v>
      </c>
      <c r="I17" s="550"/>
      <c r="J17" s="550"/>
      <c r="K17" s="533" t="s">
        <v>2443</v>
      </c>
      <c r="L17" s="458" t="s">
        <v>3828</v>
      </c>
    </row>
    <row r="18" spans="1:12" s="1" customFormat="1" ht="68.849999999999994" customHeight="1">
      <c r="B18" s="148" t="s">
        <v>3829</v>
      </c>
      <c r="C18" s="603" t="s">
        <v>2908</v>
      </c>
      <c r="D18" s="528" t="s">
        <v>3830</v>
      </c>
      <c r="E18" s="208" t="s">
        <v>995</v>
      </c>
      <c r="F18" s="540" t="s">
        <v>3831</v>
      </c>
      <c r="G18" s="540" t="s">
        <v>3831</v>
      </c>
      <c r="H18" s="540" t="s">
        <v>3832</v>
      </c>
      <c r="I18" s="550"/>
      <c r="J18" s="550"/>
      <c r="K18" s="533" t="s">
        <v>3833</v>
      </c>
      <c r="L18" s="458" t="s">
        <v>3834</v>
      </c>
    </row>
    <row r="19" spans="1:12" s="1" customFormat="1" ht="68.849999999999994" customHeight="1">
      <c r="B19" s="148" t="s">
        <v>3835</v>
      </c>
      <c r="C19" s="603" t="s">
        <v>2893</v>
      </c>
      <c r="D19" s="528" t="s">
        <v>3836</v>
      </c>
      <c r="E19" s="208" t="s">
        <v>3837</v>
      </c>
      <c r="F19" s="540" t="s">
        <v>3839</v>
      </c>
      <c r="G19" s="540" t="s">
        <v>3838</v>
      </c>
      <c r="H19" s="540" t="s">
        <v>3838</v>
      </c>
      <c r="I19" s="550"/>
      <c r="J19" s="550"/>
      <c r="K19" s="533" t="s">
        <v>3833</v>
      </c>
      <c r="L19" s="458"/>
    </row>
    <row r="20" spans="1:12" s="1" customFormat="1" ht="68.849999999999994" customHeight="1">
      <c r="B20" s="148" t="s">
        <v>3840</v>
      </c>
      <c r="C20" s="603" t="s">
        <v>2893</v>
      </c>
      <c r="D20" s="528" t="s">
        <v>3841</v>
      </c>
      <c r="E20" s="208" t="s">
        <v>3842</v>
      </c>
      <c r="F20" s="540" t="s">
        <v>3843</v>
      </c>
      <c r="G20" s="540" t="s">
        <v>3844</v>
      </c>
      <c r="H20" s="540" t="s">
        <v>3844</v>
      </c>
      <c r="I20" s="550"/>
      <c r="J20" s="550"/>
      <c r="K20" s="533"/>
      <c r="L20" s="458"/>
    </row>
    <row r="21" spans="1:12" s="1" customFormat="1" ht="68.849999999999994" customHeight="1">
      <c r="B21" s="148" t="s">
        <v>3845</v>
      </c>
      <c r="C21" s="603" t="s">
        <v>2893</v>
      </c>
      <c r="D21" s="528" t="s">
        <v>3846</v>
      </c>
      <c r="E21" s="208" t="s">
        <v>3847</v>
      </c>
      <c r="F21" s="540" t="s">
        <v>3850</v>
      </c>
      <c r="G21" s="540" t="s">
        <v>3851</v>
      </c>
      <c r="H21" s="540" t="s">
        <v>3851</v>
      </c>
      <c r="I21" s="550"/>
      <c r="J21" s="550"/>
      <c r="K21" s="533"/>
      <c r="L21" s="458"/>
    </row>
    <row r="22" spans="1:12" s="1" customFormat="1" ht="68.849999999999994" customHeight="1">
      <c r="B22" s="148" t="s">
        <v>3848</v>
      </c>
      <c r="C22" s="603" t="s">
        <v>2893</v>
      </c>
      <c r="D22" s="528" t="s">
        <v>3849</v>
      </c>
      <c r="E22" s="208" t="s">
        <v>3842</v>
      </c>
      <c r="F22" s="540" t="s">
        <v>3852</v>
      </c>
      <c r="G22" s="540" t="s">
        <v>3853</v>
      </c>
      <c r="H22" s="540" t="s">
        <v>3853</v>
      </c>
      <c r="I22" s="550"/>
      <c r="J22" s="550"/>
      <c r="K22" s="533"/>
      <c r="L22" s="458"/>
    </row>
    <row r="23" spans="1:12" s="437" customFormat="1" ht="68.849999999999994" customHeight="1">
      <c r="A23" s="645" t="s">
        <v>3893</v>
      </c>
      <c r="B23" s="615" t="s">
        <v>3854</v>
      </c>
      <c r="C23" s="607" t="s">
        <v>2917</v>
      </c>
      <c r="D23" s="608" t="s">
        <v>3855</v>
      </c>
      <c r="E23" s="516" t="s">
        <v>3856</v>
      </c>
      <c r="F23" s="545" t="s">
        <v>3858</v>
      </c>
      <c r="G23" s="545" t="s">
        <v>3857</v>
      </c>
      <c r="H23" s="545" t="s">
        <v>3858</v>
      </c>
      <c r="I23" s="548"/>
      <c r="J23" s="548"/>
      <c r="K23" s="538" t="s">
        <v>3859</v>
      </c>
      <c r="L23" s="465"/>
    </row>
    <row r="24" spans="1:12" s="437" customFormat="1" ht="68.849999999999994" customHeight="1">
      <c r="B24" s="615" t="s">
        <v>3860</v>
      </c>
      <c r="C24" s="607" t="s">
        <v>2962</v>
      </c>
      <c r="D24" s="608" t="s">
        <v>3861</v>
      </c>
      <c r="E24" s="516" t="s">
        <v>4135</v>
      </c>
      <c r="F24" s="545" t="s">
        <v>3862</v>
      </c>
      <c r="G24" s="545" t="s">
        <v>3862</v>
      </c>
      <c r="H24" s="545" t="s">
        <v>3862</v>
      </c>
      <c r="I24" s="548"/>
      <c r="J24" s="545" t="s">
        <v>3864</v>
      </c>
      <c r="K24" s="538" t="s">
        <v>3863</v>
      </c>
      <c r="L24" s="465" t="s">
        <v>3865</v>
      </c>
    </row>
    <row r="25" spans="1:12" s="437" customFormat="1" ht="68.849999999999994" customHeight="1">
      <c r="B25" s="615" t="s">
        <v>3866</v>
      </c>
      <c r="C25" s="607" t="s">
        <v>2908</v>
      </c>
      <c r="D25" s="608" t="s">
        <v>3867</v>
      </c>
      <c r="E25" s="516" t="s">
        <v>3869</v>
      </c>
      <c r="F25" s="545" t="s">
        <v>3870</v>
      </c>
      <c r="G25" s="545" t="s">
        <v>3871</v>
      </c>
      <c r="H25" s="545" t="s">
        <v>3871</v>
      </c>
      <c r="I25" s="548"/>
      <c r="J25" s="548"/>
      <c r="K25" s="538"/>
      <c r="L25" s="465" t="s">
        <v>3868</v>
      </c>
    </row>
    <row r="26" spans="1:12" s="437" customFormat="1" ht="70.5" customHeight="1">
      <c r="B26" s="615" t="s">
        <v>3872</v>
      </c>
      <c r="C26" s="607" t="s">
        <v>2908</v>
      </c>
      <c r="D26" s="608" t="s">
        <v>3873</v>
      </c>
      <c r="E26" s="516" t="s">
        <v>1023</v>
      </c>
      <c r="F26" s="545" t="s">
        <v>3874</v>
      </c>
      <c r="G26" s="545" t="s">
        <v>3875</v>
      </c>
      <c r="H26" s="545" t="s">
        <v>3875</v>
      </c>
      <c r="I26" s="548"/>
      <c r="J26" s="548"/>
      <c r="K26" s="538"/>
      <c r="L26" s="465" t="s">
        <v>3876</v>
      </c>
    </row>
    <row r="27" spans="1:12" s="437" customFormat="1" ht="70.5" customHeight="1">
      <c r="B27" s="615" t="s">
        <v>3877</v>
      </c>
      <c r="C27" s="607" t="s">
        <v>2919</v>
      </c>
      <c r="D27" s="608" t="s">
        <v>3878</v>
      </c>
      <c r="E27" s="516" t="s">
        <v>1023</v>
      </c>
      <c r="F27" s="545" t="s">
        <v>3879</v>
      </c>
      <c r="G27" s="545" t="s">
        <v>3880</v>
      </c>
      <c r="H27" s="545" t="s">
        <v>3880</v>
      </c>
      <c r="I27" s="548"/>
      <c r="J27" s="548"/>
      <c r="K27" s="538" t="s">
        <v>3017</v>
      </c>
      <c r="L27" s="465"/>
    </row>
    <row r="28" spans="1:12" s="437" customFormat="1" ht="70.5" customHeight="1">
      <c r="B28" s="615" t="s">
        <v>3881</v>
      </c>
      <c r="C28" s="607" t="s">
        <v>2919</v>
      </c>
      <c r="D28" s="608" t="s">
        <v>3882</v>
      </c>
      <c r="E28" s="516" t="s">
        <v>1023</v>
      </c>
      <c r="F28" s="545" t="s">
        <v>3883</v>
      </c>
      <c r="G28" s="545" t="s">
        <v>3884</v>
      </c>
      <c r="H28" s="545" t="s">
        <v>3884</v>
      </c>
      <c r="I28" s="548"/>
      <c r="J28" s="548"/>
      <c r="K28" s="538" t="s">
        <v>3889</v>
      </c>
      <c r="L28" s="465"/>
    </row>
    <row r="29" spans="1:12" s="437" customFormat="1" ht="70.5" customHeight="1">
      <c r="B29" s="615" t="s">
        <v>3885</v>
      </c>
      <c r="C29" s="607" t="s">
        <v>2919</v>
      </c>
      <c r="D29" s="608" t="s">
        <v>3891</v>
      </c>
      <c r="E29" s="516" t="s">
        <v>3886</v>
      </c>
      <c r="F29" s="545" t="s">
        <v>3887</v>
      </c>
      <c r="G29" s="545" t="s">
        <v>3888</v>
      </c>
      <c r="H29" s="545" t="s">
        <v>3888</v>
      </c>
      <c r="I29" s="548"/>
      <c r="J29" s="548"/>
      <c r="K29" s="538" t="s">
        <v>3889</v>
      </c>
      <c r="L29" s="465" t="s">
        <v>3890</v>
      </c>
    </row>
    <row r="30" spans="1:12" s="437" customFormat="1" ht="70.5" customHeight="1">
      <c r="B30" s="615" t="s">
        <v>3898</v>
      </c>
      <c r="C30" s="607" t="s">
        <v>2908</v>
      </c>
      <c r="D30" s="608" t="s">
        <v>3899</v>
      </c>
      <c r="E30" s="516" t="s">
        <v>1330</v>
      </c>
      <c r="F30" s="545" t="s">
        <v>3900</v>
      </c>
      <c r="G30" s="545" t="s">
        <v>3901</v>
      </c>
      <c r="H30" s="545" t="s">
        <v>3901</v>
      </c>
      <c r="I30" s="548"/>
      <c r="J30" s="548"/>
      <c r="K30" s="538"/>
      <c r="L30" s="465" t="s">
        <v>3909</v>
      </c>
    </row>
    <row r="31" spans="1:12">
      <c r="A31" s="648" t="s">
        <v>3902</v>
      </c>
      <c r="B31" s="647"/>
      <c r="C31" s="647"/>
      <c r="D31" s="647"/>
      <c r="E31" s="647"/>
      <c r="F31" s="647"/>
      <c r="G31" s="647"/>
      <c r="H31" s="647"/>
      <c r="I31" s="647"/>
      <c r="J31" s="647"/>
      <c r="K31" s="647"/>
    </row>
    <row r="32" spans="1:12" s="437" customFormat="1" ht="70.5" customHeight="1">
      <c r="B32" s="588" t="s">
        <v>3905</v>
      </c>
      <c r="C32" s="649" t="s">
        <v>2919</v>
      </c>
      <c r="D32" s="650" t="s">
        <v>3903</v>
      </c>
      <c r="E32" s="516" t="s">
        <v>3904</v>
      </c>
      <c r="F32" s="545" t="s">
        <v>3906</v>
      </c>
      <c r="G32" s="545" t="s">
        <v>3907</v>
      </c>
      <c r="H32" s="545" t="s">
        <v>3907</v>
      </c>
      <c r="I32" s="548"/>
      <c r="J32" s="548"/>
      <c r="K32" s="538" t="s">
        <v>3017</v>
      </c>
      <c r="L32" s="465" t="s">
        <v>3908</v>
      </c>
    </row>
    <row r="33" spans="2:12" s="437" customFormat="1" ht="70.5" customHeight="1">
      <c r="B33" s="588" t="s">
        <v>3910</v>
      </c>
      <c r="C33" s="649" t="s">
        <v>3141</v>
      </c>
      <c r="D33" s="650" t="s">
        <v>3911</v>
      </c>
      <c r="E33" s="516" t="s">
        <v>996</v>
      </c>
      <c r="F33" s="545" t="s">
        <v>3913</v>
      </c>
      <c r="G33" s="545" t="s">
        <v>3913</v>
      </c>
      <c r="H33" s="545" t="s">
        <v>3913</v>
      </c>
      <c r="I33" s="545" t="s">
        <v>3912</v>
      </c>
      <c r="J33" s="548"/>
      <c r="K33" s="538"/>
      <c r="L33" s="465" t="s">
        <v>3914</v>
      </c>
    </row>
    <row r="34" spans="2:12" s="437" customFormat="1" ht="70.5" customHeight="1">
      <c r="B34" s="588" t="s">
        <v>3915</v>
      </c>
      <c r="C34" s="649" t="s">
        <v>3916</v>
      </c>
      <c r="D34" s="650" t="s">
        <v>3917</v>
      </c>
      <c r="E34" s="516" t="s">
        <v>3918</v>
      </c>
      <c r="F34" s="545" t="s">
        <v>3919</v>
      </c>
      <c r="G34" s="548"/>
      <c r="H34" s="548"/>
      <c r="I34" s="548"/>
      <c r="J34" s="545" t="s">
        <v>3920</v>
      </c>
      <c r="K34" s="538"/>
      <c r="L34" s="465" t="s">
        <v>3927</v>
      </c>
    </row>
    <row r="35" spans="2:12" s="437" customFormat="1" ht="70.5" customHeight="1">
      <c r="B35" s="588" t="s">
        <v>3921</v>
      </c>
      <c r="C35" s="649" t="s">
        <v>2919</v>
      </c>
      <c r="D35" s="650" t="s">
        <v>3922</v>
      </c>
      <c r="E35" s="516" t="s">
        <v>1023</v>
      </c>
      <c r="F35" s="545" t="s">
        <v>3923</v>
      </c>
      <c r="G35" s="545" t="s">
        <v>3924</v>
      </c>
      <c r="H35" s="545" t="s">
        <v>3924</v>
      </c>
      <c r="I35" s="548"/>
      <c r="J35" s="548"/>
      <c r="K35" s="538" t="s">
        <v>3017</v>
      </c>
      <c r="L35" s="465" t="s">
        <v>3925</v>
      </c>
    </row>
    <row r="36" spans="2:12" s="437" customFormat="1" ht="70.5" customHeight="1">
      <c r="B36" s="588" t="s">
        <v>3928</v>
      </c>
      <c r="C36" s="649" t="s">
        <v>2908</v>
      </c>
      <c r="D36" s="650" t="s">
        <v>3930</v>
      </c>
      <c r="E36" s="516" t="s">
        <v>995</v>
      </c>
      <c r="F36" s="545" t="s">
        <v>3931</v>
      </c>
      <c r="G36" s="548"/>
      <c r="H36" s="545" t="s">
        <v>3932</v>
      </c>
      <c r="I36" s="548"/>
      <c r="J36" s="548"/>
      <c r="K36" s="538"/>
      <c r="L36" s="465"/>
    </row>
    <row r="37" spans="2:12" s="437" customFormat="1" ht="70.5" customHeight="1">
      <c r="B37" s="588" t="s">
        <v>3935</v>
      </c>
      <c r="C37" s="649" t="s">
        <v>2908</v>
      </c>
      <c r="D37" s="650" t="s">
        <v>3929</v>
      </c>
      <c r="E37" s="516" t="s">
        <v>995</v>
      </c>
      <c r="F37" s="545" t="s">
        <v>3933</v>
      </c>
      <c r="G37" s="548"/>
      <c r="H37" s="545" t="s">
        <v>3934</v>
      </c>
      <c r="I37" s="548"/>
      <c r="J37" s="548"/>
      <c r="K37" s="538"/>
      <c r="L37" s="465"/>
    </row>
    <row r="38" spans="2:12" s="437" customFormat="1" ht="70.5" customHeight="1">
      <c r="B38" s="588" t="s">
        <v>3936</v>
      </c>
      <c r="C38" s="649" t="s">
        <v>2894</v>
      </c>
      <c r="D38" s="650" t="s">
        <v>3937</v>
      </c>
      <c r="E38" s="516" t="s">
        <v>995</v>
      </c>
      <c r="F38" s="545" t="s">
        <v>3938</v>
      </c>
      <c r="G38" s="548"/>
      <c r="H38" s="545" t="s">
        <v>3939</v>
      </c>
      <c r="I38" s="548"/>
      <c r="J38" s="548"/>
      <c r="K38" s="538" t="s">
        <v>3940</v>
      </c>
      <c r="L38" s="465" t="s">
        <v>3941</v>
      </c>
    </row>
    <row r="39" spans="2:12" ht="31.5">
      <c r="B39" s="615" t="s">
        <v>3942</v>
      </c>
      <c r="C39" s="537" t="s">
        <v>3263</v>
      </c>
      <c r="D39" s="583" t="s">
        <v>3947</v>
      </c>
      <c r="E39" s="640" t="s">
        <v>1</v>
      </c>
      <c r="F39" s="537" t="s">
        <v>3943</v>
      </c>
      <c r="G39" s="537" t="s">
        <v>3944</v>
      </c>
      <c r="H39" s="537" t="s">
        <v>3943</v>
      </c>
      <c r="I39" s="555"/>
      <c r="J39" s="555"/>
      <c r="K39" s="641"/>
      <c r="L39" s="465" t="s">
        <v>3769</v>
      </c>
    </row>
    <row r="40" spans="2:12" ht="18">
      <c r="B40" s="615" t="s">
        <v>3946</v>
      </c>
      <c r="C40" s="537" t="s">
        <v>3263</v>
      </c>
      <c r="D40" s="583" t="s">
        <v>3948</v>
      </c>
      <c r="E40" s="640" t="s">
        <v>3949</v>
      </c>
      <c r="F40" s="537" t="s">
        <v>3950</v>
      </c>
      <c r="G40" s="537" t="s">
        <v>3951</v>
      </c>
      <c r="H40" s="537" t="s">
        <v>3950</v>
      </c>
      <c r="I40" s="555"/>
      <c r="J40" s="555"/>
      <c r="K40" s="641"/>
      <c r="L40" s="465" t="s">
        <v>3952</v>
      </c>
    </row>
    <row r="41" spans="2:12" ht="31.5">
      <c r="B41" s="615" t="s">
        <v>3953</v>
      </c>
      <c r="C41" s="537" t="s">
        <v>3141</v>
      </c>
      <c r="D41" s="583" t="s">
        <v>3954</v>
      </c>
      <c r="E41" s="640" t="s">
        <v>996</v>
      </c>
      <c r="F41" s="548"/>
      <c r="G41" s="548"/>
      <c r="H41" s="548"/>
      <c r="I41" s="545" t="s">
        <v>3955</v>
      </c>
      <c r="J41" s="555"/>
      <c r="K41" s="641"/>
      <c r="L41" s="465" t="s">
        <v>3956</v>
      </c>
    </row>
    <row r="42" spans="2:12" ht="31.5">
      <c r="B42" s="615" t="s">
        <v>3957</v>
      </c>
      <c r="C42" s="537" t="s">
        <v>3263</v>
      </c>
      <c r="D42" s="583" t="s">
        <v>3958</v>
      </c>
      <c r="E42" s="640" t="s">
        <v>2682</v>
      </c>
      <c r="F42" s="537" t="s">
        <v>3959</v>
      </c>
      <c r="G42" s="537" t="s">
        <v>3960</v>
      </c>
      <c r="H42" s="537" t="s">
        <v>3959</v>
      </c>
      <c r="I42" s="555"/>
      <c r="J42" s="555"/>
      <c r="K42" s="641"/>
      <c r="L42" s="465" t="s">
        <v>3961</v>
      </c>
    </row>
    <row r="43" spans="2:12" ht="31.5">
      <c r="B43" s="615" t="s">
        <v>3962</v>
      </c>
      <c r="C43" s="537" t="s">
        <v>2894</v>
      </c>
      <c r="D43" s="583" t="s">
        <v>3963</v>
      </c>
      <c r="E43" s="640" t="s">
        <v>995</v>
      </c>
      <c r="F43" s="537" t="s">
        <v>3964</v>
      </c>
      <c r="G43" s="537" t="s">
        <v>3964</v>
      </c>
      <c r="H43" s="537" t="s">
        <v>3965</v>
      </c>
      <c r="I43" s="555"/>
      <c r="J43" s="555"/>
      <c r="K43" s="641" t="s">
        <v>3967</v>
      </c>
      <c r="L43" s="465" t="s">
        <v>3966</v>
      </c>
    </row>
    <row r="44" spans="2:12" ht="47.25">
      <c r="B44" s="615" t="s">
        <v>3968</v>
      </c>
      <c r="C44" s="537" t="s">
        <v>3141</v>
      </c>
      <c r="D44" s="583" t="s">
        <v>3971</v>
      </c>
      <c r="E44" s="640" t="s">
        <v>996</v>
      </c>
      <c r="F44" s="548"/>
      <c r="G44" s="548"/>
      <c r="H44" s="548"/>
      <c r="I44" s="545" t="s">
        <v>3969</v>
      </c>
      <c r="J44" s="555"/>
      <c r="K44" s="641"/>
      <c r="L44" s="465" t="s">
        <v>3970</v>
      </c>
    </row>
    <row r="45" spans="2:12" ht="18">
      <c r="B45" s="615" t="s">
        <v>3972</v>
      </c>
      <c r="C45" s="537" t="s">
        <v>3141</v>
      </c>
      <c r="D45" s="583" t="s">
        <v>3973</v>
      </c>
      <c r="E45" s="640" t="s">
        <v>3974</v>
      </c>
      <c r="F45" s="548"/>
      <c r="G45" s="548"/>
      <c r="H45" s="548"/>
      <c r="I45" s="545" t="s">
        <v>3975</v>
      </c>
      <c r="J45" s="555"/>
      <c r="K45" s="641"/>
      <c r="L45" s="465"/>
    </row>
    <row r="46" spans="2:12" ht="47.25">
      <c r="B46" s="615" t="s">
        <v>3976</v>
      </c>
      <c r="C46" s="537" t="s">
        <v>2917</v>
      </c>
      <c r="D46" s="583" t="s">
        <v>3977</v>
      </c>
      <c r="E46" s="640" t="s">
        <v>3978</v>
      </c>
      <c r="F46" s="537" t="s">
        <v>3979</v>
      </c>
      <c r="G46" s="537" t="s">
        <v>3980</v>
      </c>
      <c r="H46" s="537" t="s">
        <v>3979</v>
      </c>
      <c r="I46" s="555"/>
      <c r="J46" s="555"/>
      <c r="K46" s="641"/>
      <c r="L46" s="465"/>
    </row>
    <row r="47" spans="2:12" ht="47.25">
      <c r="B47" s="615" t="s">
        <v>3981</v>
      </c>
      <c r="C47" s="537" t="s">
        <v>3025</v>
      </c>
      <c r="D47" s="583" t="s">
        <v>3982</v>
      </c>
      <c r="E47" s="640" t="s">
        <v>1330</v>
      </c>
      <c r="F47" s="537" t="s">
        <v>3983</v>
      </c>
      <c r="G47" s="537" t="s">
        <v>3984</v>
      </c>
      <c r="H47" s="537" t="s">
        <v>3984</v>
      </c>
      <c r="I47" s="555"/>
      <c r="J47" s="555"/>
      <c r="K47" s="641" t="s">
        <v>3985</v>
      </c>
      <c r="L47" s="465" t="s">
        <v>2758</v>
      </c>
    </row>
    <row r="48" spans="2:12" ht="18">
      <c r="B48" s="615" t="s">
        <v>3986</v>
      </c>
      <c r="C48" s="537" t="s">
        <v>2908</v>
      </c>
      <c r="D48" s="583" t="s">
        <v>3987</v>
      </c>
      <c r="E48" s="640" t="s">
        <v>1023</v>
      </c>
      <c r="F48" s="537" t="s">
        <v>3988</v>
      </c>
      <c r="G48" s="537" t="s">
        <v>3989</v>
      </c>
      <c r="H48" s="537" t="s">
        <v>3989</v>
      </c>
      <c r="I48" s="537" t="s">
        <v>3989</v>
      </c>
      <c r="J48" s="555"/>
      <c r="K48" s="641"/>
      <c r="L48" s="465"/>
    </row>
    <row r="49" spans="2:12" ht="47.25">
      <c r="B49" s="615" t="s">
        <v>3990</v>
      </c>
      <c r="C49" s="537" t="s">
        <v>2908</v>
      </c>
      <c r="D49" s="583" t="s">
        <v>3991</v>
      </c>
      <c r="E49" s="640" t="s">
        <v>1023</v>
      </c>
      <c r="F49" s="537" t="s">
        <v>3992</v>
      </c>
      <c r="G49" s="537" t="s">
        <v>3993</v>
      </c>
      <c r="H49" s="537" t="s">
        <v>3993</v>
      </c>
      <c r="I49" s="555"/>
      <c r="J49" s="555"/>
      <c r="K49" s="641"/>
      <c r="L49" s="465"/>
    </row>
    <row r="50" spans="2:12" ht="47.25">
      <c r="B50" s="615" t="s">
        <v>3994</v>
      </c>
      <c r="C50" s="537" t="s">
        <v>3141</v>
      </c>
      <c r="D50" s="583" t="s">
        <v>3995</v>
      </c>
      <c r="E50" s="640" t="s">
        <v>3996</v>
      </c>
      <c r="F50" s="548"/>
      <c r="G50" s="548"/>
      <c r="H50" s="548"/>
      <c r="I50" s="545" t="s">
        <v>3997</v>
      </c>
      <c r="J50" s="555"/>
      <c r="K50" s="641"/>
      <c r="L50" s="465" t="s">
        <v>3696</v>
      </c>
    </row>
    <row r="51" spans="2:12" ht="31.5">
      <c r="B51" s="615" t="s">
        <v>3998</v>
      </c>
      <c r="C51" s="537" t="s">
        <v>2962</v>
      </c>
      <c r="D51" s="583" t="s">
        <v>3999</v>
      </c>
      <c r="E51" s="640" t="s">
        <v>2467</v>
      </c>
      <c r="F51" s="537" t="s">
        <v>4000</v>
      </c>
      <c r="G51" s="537" t="s">
        <v>4000</v>
      </c>
      <c r="H51" s="537" t="s">
        <v>4000</v>
      </c>
      <c r="I51" s="555"/>
      <c r="J51" s="537" t="s">
        <v>4001</v>
      </c>
      <c r="K51" s="641"/>
      <c r="L51" s="465" t="s">
        <v>4002</v>
      </c>
    </row>
    <row r="52" spans="2:12" ht="47.25">
      <c r="B52" s="615" t="s">
        <v>4003</v>
      </c>
      <c r="C52" s="537" t="s">
        <v>3025</v>
      </c>
      <c r="D52" s="583" t="s">
        <v>4004</v>
      </c>
      <c r="E52" s="640" t="s">
        <v>4005</v>
      </c>
      <c r="F52" s="537" t="s">
        <v>4007</v>
      </c>
      <c r="G52" s="537" t="s">
        <v>4006</v>
      </c>
      <c r="H52" s="537" t="s">
        <v>4006</v>
      </c>
      <c r="I52" s="555"/>
      <c r="J52" s="555"/>
      <c r="K52" s="641"/>
      <c r="L52" s="465" t="s">
        <v>4008</v>
      </c>
    </row>
    <row r="53" spans="2:12" ht="47.25">
      <c r="B53" s="615" t="s">
        <v>4009</v>
      </c>
      <c r="C53" s="537" t="s">
        <v>3025</v>
      </c>
      <c r="D53" s="583" t="s">
        <v>4014</v>
      </c>
      <c r="E53" s="640" t="s">
        <v>4010</v>
      </c>
      <c r="F53" s="537" t="s">
        <v>4011</v>
      </c>
      <c r="G53" s="537" t="s">
        <v>4012</v>
      </c>
      <c r="H53" s="537" t="s">
        <v>4012</v>
      </c>
      <c r="I53" s="555"/>
      <c r="J53" s="555"/>
      <c r="K53" s="641"/>
      <c r="L53" s="465" t="s">
        <v>4013</v>
      </c>
    </row>
    <row r="54" spans="2:12" ht="31.5">
      <c r="B54" s="615" t="s">
        <v>4015</v>
      </c>
      <c r="C54" s="537" t="s">
        <v>2893</v>
      </c>
      <c r="D54" s="583" t="s">
        <v>4016</v>
      </c>
      <c r="E54" s="640" t="s">
        <v>4017</v>
      </c>
      <c r="F54" s="537" t="s">
        <v>4018</v>
      </c>
      <c r="G54" s="537" t="s">
        <v>4019</v>
      </c>
      <c r="H54" s="537" t="s">
        <v>4019</v>
      </c>
      <c r="I54" s="555"/>
      <c r="J54" s="555"/>
      <c r="K54" s="641"/>
      <c r="L54" s="465" t="s">
        <v>4020</v>
      </c>
    </row>
    <row r="55" spans="2:12" ht="18">
      <c r="B55" s="615" t="s">
        <v>4021</v>
      </c>
      <c r="C55" s="537" t="s">
        <v>2917</v>
      </c>
      <c r="D55" s="583" t="s">
        <v>4022</v>
      </c>
      <c r="E55" s="640" t="s">
        <v>4023</v>
      </c>
      <c r="F55" s="537" t="s">
        <v>4024</v>
      </c>
      <c r="G55" s="537" t="s">
        <v>4025</v>
      </c>
      <c r="H55" s="537" t="s">
        <v>4024</v>
      </c>
      <c r="I55" s="555"/>
      <c r="J55" s="555"/>
      <c r="K55" s="641"/>
      <c r="L55" s="465" t="s">
        <v>4026</v>
      </c>
    </row>
    <row r="56" spans="2:12" ht="47.25">
      <c r="B56" s="615" t="s">
        <v>4027</v>
      </c>
      <c r="C56" s="537" t="s">
        <v>3141</v>
      </c>
      <c r="D56" s="583" t="s">
        <v>4028</v>
      </c>
      <c r="E56" s="640" t="s">
        <v>996</v>
      </c>
      <c r="F56" s="548"/>
      <c r="G56" s="548"/>
      <c r="H56" s="548"/>
      <c r="I56" s="545" t="s">
        <v>4029</v>
      </c>
      <c r="J56" s="555"/>
      <c r="K56" s="641"/>
      <c r="L56" s="465" t="s">
        <v>4030</v>
      </c>
    </row>
    <row r="57" spans="2:12" ht="78.75">
      <c r="B57" s="615" t="s">
        <v>4031</v>
      </c>
      <c r="C57" s="537" t="s">
        <v>2894</v>
      </c>
      <c r="D57" s="583" t="s">
        <v>4032</v>
      </c>
      <c r="E57" s="640" t="s">
        <v>1330</v>
      </c>
      <c r="F57" s="537" t="s">
        <v>4033</v>
      </c>
      <c r="G57" s="537" t="s">
        <v>4034</v>
      </c>
      <c r="H57" s="537" t="s">
        <v>4034</v>
      </c>
      <c r="I57" s="555"/>
      <c r="J57" s="555"/>
      <c r="K57" s="641"/>
      <c r="L57" s="465"/>
    </row>
    <row r="58" spans="2:12" ht="31.5">
      <c r="B58" s="615" t="s">
        <v>4035</v>
      </c>
      <c r="C58" s="537" t="s">
        <v>3141</v>
      </c>
      <c r="D58" s="583" t="s">
        <v>4036</v>
      </c>
      <c r="E58" s="640" t="s">
        <v>996</v>
      </c>
      <c r="F58" s="548"/>
      <c r="G58" s="548"/>
      <c r="H58" s="548"/>
      <c r="I58" s="545" t="s">
        <v>4037</v>
      </c>
      <c r="J58" s="555"/>
      <c r="K58" s="641"/>
      <c r="L58" s="465" t="s">
        <v>4038</v>
      </c>
    </row>
    <row r="59" spans="2:12" ht="31.5">
      <c r="B59" s="615" t="s">
        <v>4039</v>
      </c>
      <c r="C59" s="537" t="s">
        <v>3025</v>
      </c>
      <c r="D59" s="583" t="s">
        <v>4040</v>
      </c>
      <c r="E59" s="640" t="s">
        <v>1023</v>
      </c>
      <c r="F59" s="537" t="s">
        <v>4041</v>
      </c>
      <c r="G59" s="537" t="s">
        <v>4042</v>
      </c>
      <c r="H59" s="537" t="s">
        <v>4042</v>
      </c>
      <c r="I59" s="555"/>
      <c r="J59" s="555"/>
      <c r="K59" s="641"/>
      <c r="L59" s="465"/>
    </row>
    <row r="60" spans="2:12" ht="31.5">
      <c r="B60" s="615" t="s">
        <v>4043</v>
      </c>
      <c r="C60" s="537" t="s">
        <v>2908</v>
      </c>
      <c r="D60" s="583" t="s">
        <v>4044</v>
      </c>
      <c r="E60" s="640" t="s">
        <v>1023</v>
      </c>
      <c r="F60" s="537" t="s">
        <v>4045</v>
      </c>
      <c r="G60" s="537" t="s">
        <v>4046</v>
      </c>
      <c r="H60" s="537" t="s">
        <v>4046</v>
      </c>
      <c r="I60" s="555"/>
      <c r="J60" s="555"/>
      <c r="K60" s="641"/>
      <c r="L60" s="465" t="s">
        <v>4047</v>
      </c>
    </row>
    <row r="61" spans="2:12" ht="31.5">
      <c r="B61" s="615" t="s">
        <v>4056</v>
      </c>
      <c r="C61" s="537" t="s">
        <v>2917</v>
      </c>
      <c r="D61" s="583" t="s">
        <v>4048</v>
      </c>
      <c r="E61" s="640" t="s">
        <v>1</v>
      </c>
      <c r="F61" s="537" t="s">
        <v>4050</v>
      </c>
      <c r="G61" s="537" t="s">
        <v>4049</v>
      </c>
      <c r="H61" s="537" t="s">
        <v>4050</v>
      </c>
      <c r="I61" s="555"/>
      <c r="J61" s="555"/>
      <c r="K61" s="641" t="s">
        <v>1860</v>
      </c>
      <c r="L61" s="465" t="s">
        <v>4051</v>
      </c>
    </row>
    <row r="62" spans="2:12" ht="47.25">
      <c r="B62" s="615" t="s">
        <v>4057</v>
      </c>
      <c r="C62" s="537" t="s">
        <v>2917</v>
      </c>
      <c r="D62" s="583" t="s">
        <v>4052</v>
      </c>
      <c r="E62" s="640" t="s">
        <v>1</v>
      </c>
      <c r="F62" s="537" t="s">
        <v>4053</v>
      </c>
      <c r="G62" s="537" t="s">
        <v>4054</v>
      </c>
      <c r="H62" s="537" t="s">
        <v>4053</v>
      </c>
      <c r="I62" s="555"/>
      <c r="J62" s="555"/>
      <c r="K62" s="641" t="s">
        <v>1860</v>
      </c>
      <c r="L62" s="465" t="s">
        <v>4055</v>
      </c>
    </row>
    <row r="63" spans="2:12" ht="31.5">
      <c r="B63" s="615" t="s">
        <v>4058</v>
      </c>
      <c r="C63" s="537" t="s">
        <v>2894</v>
      </c>
      <c r="D63" s="583" t="s">
        <v>4059</v>
      </c>
      <c r="E63" s="640" t="s">
        <v>1330</v>
      </c>
      <c r="F63" s="537" t="s">
        <v>4060</v>
      </c>
      <c r="G63" s="537" t="s">
        <v>4061</v>
      </c>
      <c r="H63" s="537" t="s">
        <v>4061</v>
      </c>
      <c r="I63" s="555"/>
      <c r="J63" s="555"/>
      <c r="K63" s="641" t="s">
        <v>4062</v>
      </c>
      <c r="L63" s="465" t="s">
        <v>2698</v>
      </c>
    </row>
    <row r="64" spans="2:12" ht="18">
      <c r="B64" s="615" t="s">
        <v>4063</v>
      </c>
      <c r="C64" s="537" t="s">
        <v>3025</v>
      </c>
      <c r="D64" s="583" t="s">
        <v>4064</v>
      </c>
      <c r="E64" s="640" t="s">
        <v>1023</v>
      </c>
      <c r="F64" s="537" t="s">
        <v>4065</v>
      </c>
      <c r="G64" s="537" t="s">
        <v>4066</v>
      </c>
      <c r="H64" s="537" t="s">
        <v>4066</v>
      </c>
      <c r="I64" s="555"/>
      <c r="J64" s="555"/>
      <c r="K64" s="641" t="s">
        <v>3434</v>
      </c>
      <c r="L64" s="465" t="s">
        <v>4067</v>
      </c>
    </row>
    <row r="65" spans="2:12" ht="47.25">
      <c r="B65" s="615" t="s">
        <v>4068</v>
      </c>
      <c r="C65" s="537" t="s">
        <v>2893</v>
      </c>
      <c r="D65" s="583" t="s">
        <v>4069</v>
      </c>
      <c r="E65" s="640" t="s">
        <v>4072</v>
      </c>
      <c r="F65" s="537" t="s">
        <v>4070</v>
      </c>
      <c r="G65" s="537" t="s">
        <v>4071</v>
      </c>
      <c r="H65" s="537" t="s">
        <v>4071</v>
      </c>
      <c r="I65" s="555"/>
      <c r="J65" s="555"/>
      <c r="K65" s="641" t="s">
        <v>4074</v>
      </c>
      <c r="L65" s="465" t="s">
        <v>4073</v>
      </c>
    </row>
    <row r="66" spans="2:12" ht="18">
      <c r="B66" s="615" t="s">
        <v>4075</v>
      </c>
      <c r="C66" s="537" t="s">
        <v>2893</v>
      </c>
      <c r="D66" s="583" t="s">
        <v>4076</v>
      </c>
      <c r="E66" s="640" t="s">
        <v>1295</v>
      </c>
      <c r="F66" s="537" t="s">
        <v>4077</v>
      </c>
      <c r="G66" s="537" t="s">
        <v>4078</v>
      </c>
      <c r="H66" s="537" t="s">
        <v>4078</v>
      </c>
      <c r="I66" s="555"/>
      <c r="J66" s="555"/>
      <c r="K66" s="641"/>
      <c r="L66" s="465"/>
    </row>
    <row r="67" spans="2:12" ht="31.5">
      <c r="B67" s="615" t="s">
        <v>4079</v>
      </c>
      <c r="C67" s="537" t="s">
        <v>3025</v>
      </c>
      <c r="D67" s="583" t="s">
        <v>4080</v>
      </c>
      <c r="E67" s="640" t="s">
        <v>4081</v>
      </c>
      <c r="F67" s="537" t="s">
        <v>4082</v>
      </c>
      <c r="G67" s="537" t="s">
        <v>4083</v>
      </c>
      <c r="H67" s="537" t="s">
        <v>4083</v>
      </c>
      <c r="I67" s="555"/>
      <c r="J67" s="555"/>
      <c r="K67" s="641" t="s">
        <v>4084</v>
      </c>
      <c r="L67" s="465"/>
    </row>
    <row r="68" spans="2:12" ht="47.25">
      <c r="B68" s="615" t="s">
        <v>4085</v>
      </c>
      <c r="C68" s="537" t="s">
        <v>2908</v>
      </c>
      <c r="D68" s="583" t="s">
        <v>4092</v>
      </c>
      <c r="E68" s="640" t="s">
        <v>1023</v>
      </c>
      <c r="F68" s="537" t="s">
        <v>4086</v>
      </c>
      <c r="G68" s="537" t="s">
        <v>4087</v>
      </c>
      <c r="H68" s="537" t="s">
        <v>4087</v>
      </c>
      <c r="I68" s="555"/>
      <c r="J68" s="555"/>
      <c r="K68" s="641"/>
      <c r="L68" s="465"/>
    </row>
    <row r="69" spans="2:12" ht="31.5">
      <c r="B69" s="615" t="s">
        <v>4088</v>
      </c>
      <c r="C69" s="537" t="s">
        <v>3141</v>
      </c>
      <c r="D69" s="583" t="s">
        <v>4089</v>
      </c>
      <c r="E69" s="640" t="s">
        <v>996</v>
      </c>
      <c r="F69" s="548"/>
      <c r="G69" s="548"/>
      <c r="H69" s="548"/>
      <c r="I69" s="545" t="s">
        <v>4090</v>
      </c>
      <c r="J69" s="555"/>
      <c r="K69" s="641"/>
      <c r="L69" s="465"/>
    </row>
    <row r="70" spans="2:12" ht="63">
      <c r="B70" s="615" t="s">
        <v>4091</v>
      </c>
      <c r="C70" s="537" t="s">
        <v>2908</v>
      </c>
      <c r="D70" s="583" t="s">
        <v>4093</v>
      </c>
      <c r="E70" s="640" t="s">
        <v>1023</v>
      </c>
      <c r="F70" s="537" t="s">
        <v>4094</v>
      </c>
      <c r="G70" s="537" t="s">
        <v>4095</v>
      </c>
      <c r="H70" s="537" t="s">
        <v>4095</v>
      </c>
      <c r="I70" s="555"/>
      <c r="J70" s="555"/>
      <c r="K70" s="641"/>
      <c r="L70" s="465"/>
    </row>
    <row r="71" spans="2:12" ht="31.5">
      <c r="B71" s="615" t="s">
        <v>4096</v>
      </c>
      <c r="C71" s="537" t="s">
        <v>2919</v>
      </c>
      <c r="D71" s="583" t="s">
        <v>4098</v>
      </c>
      <c r="E71" s="640" t="s">
        <v>4097</v>
      </c>
      <c r="F71" s="537" t="s">
        <v>4099</v>
      </c>
      <c r="G71" s="537" t="s">
        <v>4100</v>
      </c>
      <c r="H71" s="537" t="s">
        <v>4100</v>
      </c>
      <c r="I71" s="555"/>
      <c r="J71" s="555"/>
      <c r="K71" s="641" t="s">
        <v>4101</v>
      </c>
      <c r="L71" s="465" t="s">
        <v>2880</v>
      </c>
    </row>
    <row r="72" spans="2:12" ht="18">
      <c r="B72" s="615" t="s">
        <v>4102</v>
      </c>
      <c r="C72" s="537" t="s">
        <v>3771</v>
      </c>
      <c r="D72" s="583" t="s">
        <v>4103</v>
      </c>
      <c r="E72" s="640" t="s">
        <v>4105</v>
      </c>
      <c r="F72" s="537" t="s">
        <v>4111</v>
      </c>
      <c r="G72" s="548"/>
      <c r="H72" s="548"/>
      <c r="I72" s="545" t="s">
        <v>4104</v>
      </c>
      <c r="J72" s="555"/>
      <c r="K72" s="641" t="s">
        <v>4112</v>
      </c>
      <c r="L72" s="465"/>
    </row>
    <row r="73" spans="2:12" ht="47.25">
      <c r="B73" s="615" t="s">
        <v>4106</v>
      </c>
      <c r="C73" s="537" t="s">
        <v>2893</v>
      </c>
      <c r="D73" s="583" t="s">
        <v>4107</v>
      </c>
      <c r="E73" s="651"/>
      <c r="F73" s="537" t="s">
        <v>4108</v>
      </c>
      <c r="G73" s="537" t="s">
        <v>4109</v>
      </c>
      <c r="H73" s="537" t="s">
        <v>4109</v>
      </c>
      <c r="I73" s="555"/>
      <c r="J73" s="555"/>
      <c r="K73" s="641" t="s">
        <v>4110</v>
      </c>
      <c r="L73" s="465"/>
    </row>
    <row r="74" spans="2:12" ht="31.5">
      <c r="B74" s="615" t="s">
        <v>4113</v>
      </c>
      <c r="C74" s="537" t="s">
        <v>2894</v>
      </c>
      <c r="D74" s="583" t="s">
        <v>4114</v>
      </c>
      <c r="E74" s="638" t="s">
        <v>1023</v>
      </c>
      <c r="F74" s="537" t="s">
        <v>4115</v>
      </c>
      <c r="G74" s="537" t="s">
        <v>4116</v>
      </c>
      <c r="H74" s="537" t="s">
        <v>4116</v>
      </c>
      <c r="I74" s="555"/>
      <c r="J74" s="555"/>
      <c r="K74" s="641" t="s">
        <v>4117</v>
      </c>
      <c r="L74" s="465" t="s">
        <v>4118</v>
      </c>
    </row>
    <row r="75" spans="2:12" s="660" customFormat="1" ht="47.1" customHeight="1">
      <c r="B75" s="652" t="s">
        <v>4119</v>
      </c>
      <c r="C75" s="653" t="s">
        <v>2894</v>
      </c>
      <c r="D75" s="654" t="s">
        <v>4120</v>
      </c>
      <c r="E75" s="655" t="s">
        <v>1023</v>
      </c>
      <c r="F75" s="656" t="s">
        <v>4121</v>
      </c>
      <c r="G75" s="656" t="s">
        <v>4122</v>
      </c>
      <c r="H75" s="656" t="s">
        <v>4122</v>
      </c>
      <c r="I75" s="657"/>
      <c r="J75" s="657"/>
      <c r="K75" s="658" t="s">
        <v>1060</v>
      </c>
      <c r="L75" s="659" t="s">
        <v>4123</v>
      </c>
    </row>
    <row r="76" spans="2:12" ht="18">
      <c r="B76" s="615" t="s">
        <v>4124</v>
      </c>
      <c r="C76" s="537" t="s">
        <v>2894</v>
      </c>
      <c r="D76" s="583" t="s">
        <v>4127</v>
      </c>
      <c r="E76" s="638" t="s">
        <v>1023</v>
      </c>
      <c r="F76" s="537" t="s">
        <v>4125</v>
      </c>
      <c r="G76" s="537" t="s">
        <v>4126</v>
      </c>
      <c r="H76" s="537" t="s">
        <v>4126</v>
      </c>
      <c r="I76" s="555"/>
      <c r="J76" s="555"/>
      <c r="K76" s="641"/>
      <c r="L76" s="465"/>
    </row>
    <row r="77" spans="2:12" ht="18">
      <c r="B77" s="615" t="s">
        <v>4128</v>
      </c>
      <c r="C77" s="537" t="s">
        <v>2919</v>
      </c>
      <c r="D77" s="583" t="s">
        <v>4129</v>
      </c>
      <c r="E77" s="638" t="s">
        <v>1023</v>
      </c>
      <c r="F77" s="537" t="s">
        <v>4130</v>
      </c>
      <c r="G77" s="537" t="s">
        <v>4131</v>
      </c>
      <c r="H77" s="537" t="s">
        <v>4131</v>
      </c>
      <c r="I77" s="555"/>
      <c r="J77" s="555"/>
      <c r="K77" s="641" t="s">
        <v>1843</v>
      </c>
      <c r="L77" s="465" t="s">
        <v>4132</v>
      </c>
    </row>
    <row r="78" spans="2:12" ht="47.1" customHeight="1">
      <c r="B78" s="615" t="s">
        <v>4133</v>
      </c>
      <c r="C78" s="537" t="s">
        <v>2962</v>
      </c>
      <c r="D78" s="583" t="s">
        <v>4134</v>
      </c>
      <c r="E78" s="638" t="s">
        <v>4135</v>
      </c>
      <c r="F78" s="555"/>
      <c r="G78" s="555"/>
      <c r="H78" s="555"/>
      <c r="I78" s="555"/>
      <c r="J78" s="537" t="s">
        <v>4136</v>
      </c>
      <c r="K78" s="641" t="s">
        <v>3863</v>
      </c>
      <c r="L78" s="465" t="s">
        <v>4137</v>
      </c>
    </row>
    <row r="79" spans="2:12" ht="47.1" customHeight="1">
      <c r="B79" s="615" t="s">
        <v>4138</v>
      </c>
      <c r="C79" s="537" t="s">
        <v>3263</v>
      </c>
      <c r="D79" s="583" t="s">
        <v>4139</v>
      </c>
      <c r="E79" s="638" t="s">
        <v>1</v>
      </c>
      <c r="F79" s="537" t="s">
        <v>4141</v>
      </c>
      <c r="G79" s="537" t="s">
        <v>4142</v>
      </c>
      <c r="H79" s="537" t="s">
        <v>4141</v>
      </c>
      <c r="I79" s="555"/>
      <c r="J79" s="555"/>
      <c r="K79" s="641" t="s">
        <v>2819</v>
      </c>
      <c r="L79" s="465" t="s">
        <v>4140</v>
      </c>
    </row>
    <row r="80" spans="2:12" ht="47.1" customHeight="1">
      <c r="B80" s="615" t="s">
        <v>4373</v>
      </c>
      <c r="C80" s="537" t="s">
        <v>3771</v>
      </c>
      <c r="D80" s="583" t="s">
        <v>4143</v>
      </c>
      <c r="E80" s="638" t="s">
        <v>4144</v>
      </c>
      <c r="F80" s="537" t="s">
        <v>4371</v>
      </c>
      <c r="G80" s="537" t="s">
        <v>4372</v>
      </c>
      <c r="H80" s="537" t="s">
        <v>4372</v>
      </c>
      <c r="I80" s="537" t="s">
        <v>4145</v>
      </c>
      <c r="J80" s="555"/>
      <c r="K80" s="641"/>
      <c r="L80" s="465" t="s">
        <v>4146</v>
      </c>
    </row>
    <row r="81" spans="2:12" ht="47.1" customHeight="1">
      <c r="B81" s="615" t="s">
        <v>4147</v>
      </c>
      <c r="C81" s="537" t="s">
        <v>2919</v>
      </c>
      <c r="D81" s="583" t="s">
        <v>4148</v>
      </c>
      <c r="E81" s="638" t="s">
        <v>1023</v>
      </c>
      <c r="F81" s="537" t="s">
        <v>4149</v>
      </c>
      <c r="G81" s="537" t="s">
        <v>4150</v>
      </c>
      <c r="H81" s="537" t="s">
        <v>4150</v>
      </c>
      <c r="I81" s="555"/>
      <c r="J81" s="555"/>
      <c r="K81" s="641" t="s">
        <v>1843</v>
      </c>
      <c r="L81" s="465" t="s">
        <v>4151</v>
      </c>
    </row>
    <row r="82" spans="2:12" ht="47.1" customHeight="1">
      <c r="B82" s="615" t="s">
        <v>4152</v>
      </c>
      <c r="C82" s="537" t="s">
        <v>3785</v>
      </c>
      <c r="D82" s="583" t="s">
        <v>4153</v>
      </c>
      <c r="E82" s="638" t="s">
        <v>4154</v>
      </c>
      <c r="F82" s="537" t="s">
        <v>4155</v>
      </c>
      <c r="G82" s="537" t="s">
        <v>4155</v>
      </c>
      <c r="H82" s="537" t="s">
        <v>4156</v>
      </c>
      <c r="I82" s="537" t="s">
        <v>4157</v>
      </c>
      <c r="J82" s="555"/>
      <c r="K82" s="641"/>
      <c r="L82" s="465" t="s">
        <v>4158</v>
      </c>
    </row>
    <row r="83" spans="2:12" ht="47.1" customHeight="1">
      <c r="B83" s="615" t="s">
        <v>4159</v>
      </c>
      <c r="C83" s="537" t="s">
        <v>2919</v>
      </c>
      <c r="D83" s="583" t="s">
        <v>4160</v>
      </c>
      <c r="E83" s="638" t="s">
        <v>1023</v>
      </c>
      <c r="F83" s="537" t="s">
        <v>4161</v>
      </c>
      <c r="G83" s="537" t="s">
        <v>4162</v>
      </c>
      <c r="H83" s="537" t="s">
        <v>4162</v>
      </c>
      <c r="I83" s="555"/>
      <c r="J83" s="555"/>
      <c r="K83" s="641" t="s">
        <v>4163</v>
      </c>
      <c r="L83" s="465" t="s">
        <v>4164</v>
      </c>
    </row>
    <row r="84" spans="2:12" ht="47.1" customHeight="1">
      <c r="B84" s="615" t="s">
        <v>4165</v>
      </c>
      <c r="C84" s="537" t="s">
        <v>3263</v>
      </c>
      <c r="D84" s="583" t="s">
        <v>4166</v>
      </c>
      <c r="E84" s="638" t="s">
        <v>1</v>
      </c>
      <c r="F84" s="537" t="s">
        <v>4167</v>
      </c>
      <c r="G84" s="537" t="s">
        <v>4168</v>
      </c>
      <c r="H84" s="537" t="s">
        <v>4167</v>
      </c>
      <c r="I84" s="555"/>
      <c r="J84" s="555"/>
      <c r="K84" s="641"/>
      <c r="L84" s="465"/>
    </row>
    <row r="85" spans="2:12" s="660" customFormat="1" ht="47.1" customHeight="1">
      <c r="B85" s="652" t="s">
        <v>4169</v>
      </c>
      <c r="C85" s="653" t="s">
        <v>2893</v>
      </c>
      <c r="D85" s="654" t="s">
        <v>4172</v>
      </c>
      <c r="E85" s="655" t="s">
        <v>1295</v>
      </c>
      <c r="F85" s="656" t="s">
        <v>4170</v>
      </c>
      <c r="G85" s="656" t="s">
        <v>4171</v>
      </c>
      <c r="H85" s="656" t="s">
        <v>4171</v>
      </c>
      <c r="I85" s="657"/>
      <c r="J85" s="657"/>
      <c r="K85" s="658" t="s">
        <v>2724</v>
      </c>
      <c r="L85" s="659" t="s">
        <v>4038</v>
      </c>
    </row>
    <row r="86" spans="2:12" ht="47.1" customHeight="1">
      <c r="B86" s="615" t="s">
        <v>4173</v>
      </c>
      <c r="C86" s="537" t="s">
        <v>3263</v>
      </c>
      <c r="D86" s="583" t="s">
        <v>4174</v>
      </c>
      <c r="E86" s="638" t="s">
        <v>1</v>
      </c>
      <c r="F86" s="537" t="s">
        <v>4175</v>
      </c>
      <c r="G86" s="537" t="s">
        <v>4176</v>
      </c>
      <c r="H86" s="537" t="s">
        <v>4175</v>
      </c>
      <c r="I86" s="555"/>
      <c r="J86" s="555"/>
      <c r="K86" s="641"/>
      <c r="L86" s="465" t="s">
        <v>3283</v>
      </c>
    </row>
    <row r="87" spans="2:12" s="660" customFormat="1" ht="47.1" customHeight="1">
      <c r="B87" s="652" t="s">
        <v>4177</v>
      </c>
      <c r="C87" s="653" t="s">
        <v>2894</v>
      </c>
      <c r="D87" s="654" t="s">
        <v>4178</v>
      </c>
      <c r="E87" s="655" t="s">
        <v>4179</v>
      </c>
      <c r="F87" s="656" t="s">
        <v>4180</v>
      </c>
      <c r="G87" s="656" t="s">
        <v>4181</v>
      </c>
      <c r="H87" s="656" t="s">
        <v>4181</v>
      </c>
      <c r="I87" s="657"/>
      <c r="J87" s="657"/>
      <c r="K87" s="658"/>
      <c r="L87" s="659" t="s">
        <v>2655</v>
      </c>
    </row>
    <row r="88" spans="2:12" s="660" customFormat="1" ht="47.1" customHeight="1">
      <c r="B88" s="652" t="s">
        <v>4182</v>
      </c>
      <c r="C88" s="653" t="s">
        <v>2893</v>
      </c>
      <c r="D88" s="654" t="s">
        <v>4183</v>
      </c>
      <c r="E88" s="655" t="s">
        <v>1023</v>
      </c>
      <c r="F88" s="656" t="s">
        <v>4184</v>
      </c>
      <c r="G88" s="656" t="s">
        <v>4185</v>
      </c>
      <c r="H88" s="656" t="s">
        <v>4185</v>
      </c>
      <c r="I88" s="657"/>
      <c r="J88" s="657"/>
      <c r="K88" s="658"/>
      <c r="L88" s="659" t="s">
        <v>4186</v>
      </c>
    </row>
    <row r="89" spans="2:12" ht="47.1" customHeight="1">
      <c r="B89" s="615" t="s">
        <v>4187</v>
      </c>
      <c r="C89" s="537" t="s">
        <v>3263</v>
      </c>
      <c r="D89" s="583" t="s">
        <v>4188</v>
      </c>
      <c r="E89" s="638" t="s">
        <v>1</v>
      </c>
      <c r="F89" s="537" t="s">
        <v>4189</v>
      </c>
      <c r="G89" s="537" t="s">
        <v>4190</v>
      </c>
      <c r="H89" s="537" t="s">
        <v>4189</v>
      </c>
      <c r="I89" s="555"/>
      <c r="J89" s="555"/>
      <c r="K89" s="641"/>
      <c r="L89" s="465" t="s">
        <v>3708</v>
      </c>
    </row>
    <row r="90" spans="2:12" ht="47.1" customHeight="1">
      <c r="B90" s="615" t="s">
        <v>4191</v>
      </c>
      <c r="C90" s="537" t="s">
        <v>3263</v>
      </c>
      <c r="D90" s="583" t="s">
        <v>4192</v>
      </c>
      <c r="E90" s="638" t="s">
        <v>1</v>
      </c>
      <c r="F90" s="537" t="s">
        <v>4193</v>
      </c>
      <c r="G90" s="537" t="s">
        <v>4194</v>
      </c>
      <c r="H90" s="537" t="s">
        <v>4193</v>
      </c>
      <c r="I90" s="555"/>
      <c r="J90" s="555"/>
      <c r="K90" s="641"/>
      <c r="L90" s="465"/>
    </row>
    <row r="91" spans="2:12" ht="47.1" customHeight="1">
      <c r="B91" s="615" t="s">
        <v>4195</v>
      </c>
      <c r="C91" s="537" t="s">
        <v>3141</v>
      </c>
      <c r="D91" s="583" t="s">
        <v>4196</v>
      </c>
      <c r="E91" s="638" t="s">
        <v>996</v>
      </c>
      <c r="F91" s="548"/>
      <c r="G91" s="548"/>
      <c r="H91" s="548"/>
      <c r="I91" s="545" t="s">
        <v>4197</v>
      </c>
      <c r="J91" s="555"/>
      <c r="K91" s="641"/>
      <c r="L91" s="465"/>
    </row>
    <row r="92" spans="2:12" ht="47.1" customHeight="1">
      <c r="B92" s="615" t="s">
        <v>4204</v>
      </c>
      <c r="C92" s="537" t="s">
        <v>4198</v>
      </c>
      <c r="D92" s="583" t="s">
        <v>4199</v>
      </c>
      <c r="E92" s="638" t="s">
        <v>4200</v>
      </c>
      <c r="F92" s="545" t="s">
        <v>4201</v>
      </c>
      <c r="G92" s="545" t="s">
        <v>4202</v>
      </c>
      <c r="H92" s="545" t="s">
        <v>4202</v>
      </c>
      <c r="I92" s="545" t="s">
        <v>4203</v>
      </c>
      <c r="J92" s="555"/>
      <c r="K92" s="641"/>
      <c r="L92" s="465"/>
    </row>
    <row r="93" spans="2:12" ht="47.1" customHeight="1">
      <c r="B93" s="615" t="s">
        <v>4206</v>
      </c>
      <c r="C93" s="537" t="s">
        <v>2919</v>
      </c>
      <c r="D93" s="583" t="s">
        <v>4205</v>
      </c>
      <c r="E93" s="638" t="s">
        <v>1023</v>
      </c>
      <c r="F93" s="545" t="s">
        <v>4207</v>
      </c>
      <c r="G93" s="545" t="s">
        <v>4208</v>
      </c>
      <c r="H93" s="545" t="s">
        <v>4208</v>
      </c>
      <c r="I93" s="555"/>
      <c r="J93" s="555"/>
      <c r="K93" s="641" t="s">
        <v>3017</v>
      </c>
      <c r="L93" s="465" t="s">
        <v>4209</v>
      </c>
    </row>
    <row r="94" spans="2:12" ht="47.1" customHeight="1">
      <c r="B94" s="615" t="s">
        <v>4210</v>
      </c>
      <c r="C94" s="537" t="s">
        <v>2908</v>
      </c>
      <c r="D94" s="583" t="s">
        <v>4211</v>
      </c>
      <c r="E94" s="638" t="s">
        <v>1023</v>
      </c>
      <c r="F94" s="545" t="s">
        <v>4212</v>
      </c>
      <c r="G94" s="545" t="s">
        <v>4213</v>
      </c>
      <c r="H94" s="545" t="s">
        <v>4213</v>
      </c>
      <c r="I94" s="555"/>
      <c r="J94" s="555"/>
      <c r="K94" s="641"/>
      <c r="L94" s="465" t="s">
        <v>4214</v>
      </c>
    </row>
    <row r="95" spans="2:12" ht="47.1" customHeight="1">
      <c r="B95" s="615" t="s">
        <v>4215</v>
      </c>
      <c r="C95" s="537" t="s">
        <v>2908</v>
      </c>
      <c r="D95" s="583" t="s">
        <v>4216</v>
      </c>
      <c r="E95" s="638" t="s">
        <v>1023</v>
      </c>
      <c r="F95" s="545" t="s">
        <v>4217</v>
      </c>
      <c r="G95" s="545" t="s">
        <v>4218</v>
      </c>
      <c r="H95" s="545" t="s">
        <v>4218</v>
      </c>
      <c r="I95" s="555"/>
      <c r="J95" s="555"/>
      <c r="K95" s="641"/>
      <c r="L95" s="465" t="s">
        <v>4219</v>
      </c>
    </row>
    <row r="96" spans="2:12" ht="47.1" customHeight="1">
      <c r="B96" s="615" t="s">
        <v>4220</v>
      </c>
      <c r="C96" s="537" t="s">
        <v>2908</v>
      </c>
      <c r="D96" s="583" t="s">
        <v>4221</v>
      </c>
      <c r="E96" s="638" t="s">
        <v>995</v>
      </c>
      <c r="F96" s="545" t="s">
        <v>4222</v>
      </c>
      <c r="G96" s="545" t="s">
        <v>4222</v>
      </c>
      <c r="H96" s="545" t="s">
        <v>4223</v>
      </c>
      <c r="I96" s="555"/>
      <c r="J96" s="555"/>
      <c r="K96" s="641"/>
      <c r="L96" s="465" t="s">
        <v>3038</v>
      </c>
    </row>
    <row r="97" spans="2:12" ht="47.1" customHeight="1">
      <c r="B97" s="615" t="s">
        <v>4224</v>
      </c>
      <c r="C97" s="537" t="s">
        <v>3025</v>
      </c>
      <c r="D97" s="583" t="s">
        <v>4225</v>
      </c>
      <c r="E97" s="638" t="s">
        <v>1023</v>
      </c>
      <c r="F97" s="545" t="s">
        <v>4226</v>
      </c>
      <c r="G97" s="545" t="s">
        <v>4227</v>
      </c>
      <c r="H97" s="545" t="s">
        <v>4227</v>
      </c>
      <c r="I97" s="555"/>
      <c r="J97" s="555"/>
      <c r="K97" s="641" t="s">
        <v>2270</v>
      </c>
      <c r="L97" s="465" t="s">
        <v>4228</v>
      </c>
    </row>
    <row r="98" spans="2:12" ht="31.5" customHeight="1">
      <c r="B98" s="1122" t="s">
        <v>4229</v>
      </c>
      <c r="C98" s="537" t="s">
        <v>3025</v>
      </c>
      <c r="D98" s="583" t="s">
        <v>4230</v>
      </c>
      <c r="E98" s="1132" t="s">
        <v>1023</v>
      </c>
      <c r="F98" s="545" t="s">
        <v>4231</v>
      </c>
      <c r="G98" s="545"/>
      <c r="H98" s="545"/>
      <c r="I98" s="555"/>
      <c r="J98" s="555"/>
      <c r="K98" s="641" t="s">
        <v>4084</v>
      </c>
      <c r="L98" s="465"/>
    </row>
    <row r="99" spans="2:12" ht="34.5" customHeight="1">
      <c r="B99" s="1123"/>
      <c r="C99" s="537" t="s">
        <v>2893</v>
      </c>
      <c r="D99" s="583" t="s">
        <v>4230</v>
      </c>
      <c r="E99" s="1133"/>
      <c r="F99" s="545" t="s">
        <v>4232</v>
      </c>
      <c r="G99" s="545"/>
      <c r="H99" s="545"/>
      <c r="I99" s="555"/>
      <c r="J99" s="555"/>
      <c r="K99" s="641" t="s">
        <v>2724</v>
      </c>
      <c r="L99" s="465"/>
    </row>
    <row r="100" spans="2:12" ht="47.1" customHeight="1">
      <c r="B100" s="615" t="s">
        <v>4233</v>
      </c>
      <c r="C100" s="537" t="s">
        <v>2962</v>
      </c>
      <c r="D100" s="583" t="s">
        <v>4234</v>
      </c>
      <c r="E100" s="638" t="s">
        <v>2467</v>
      </c>
      <c r="F100" s="555"/>
      <c r="G100" s="555"/>
      <c r="H100" s="555"/>
      <c r="I100" s="555"/>
      <c r="J100" s="537" t="s">
        <v>4235</v>
      </c>
      <c r="K100" s="641" t="s">
        <v>3863</v>
      </c>
      <c r="L100" s="465"/>
    </row>
    <row r="101" spans="2:12" ht="47.1" customHeight="1">
      <c r="B101" s="615" t="s">
        <v>4236</v>
      </c>
      <c r="C101" s="537" t="s">
        <v>2919</v>
      </c>
      <c r="D101" s="583" t="s">
        <v>4237</v>
      </c>
      <c r="E101" s="638" t="s">
        <v>4238</v>
      </c>
      <c r="F101" s="545" t="s">
        <v>4239</v>
      </c>
      <c r="G101" s="545" t="s">
        <v>4240</v>
      </c>
      <c r="H101" s="545" t="s">
        <v>4240</v>
      </c>
      <c r="I101" s="555"/>
      <c r="J101" s="555"/>
      <c r="K101" s="641" t="s">
        <v>4163</v>
      </c>
      <c r="L101" s="465" t="s">
        <v>4241</v>
      </c>
    </row>
    <row r="102" spans="2:12" ht="47.1" customHeight="1">
      <c r="B102" s="615" t="s">
        <v>4242</v>
      </c>
      <c r="C102" s="537" t="s">
        <v>3263</v>
      </c>
      <c r="D102" s="583" t="s">
        <v>4243</v>
      </c>
      <c r="E102" s="638" t="s">
        <v>1</v>
      </c>
      <c r="F102" s="545" t="s">
        <v>4244</v>
      </c>
      <c r="G102" s="545" t="s">
        <v>4245</v>
      </c>
      <c r="H102" s="545" t="s">
        <v>4244</v>
      </c>
      <c r="I102" s="555"/>
      <c r="J102" s="555"/>
      <c r="K102" s="641" t="s">
        <v>4246</v>
      </c>
      <c r="L102" s="465" t="s">
        <v>4247</v>
      </c>
    </row>
    <row r="103" spans="2:12" ht="31.5" customHeight="1">
      <c r="B103" s="615" t="s">
        <v>4248</v>
      </c>
      <c r="C103" s="537" t="s">
        <v>2908</v>
      </c>
      <c r="D103" s="583" t="s">
        <v>4249</v>
      </c>
      <c r="E103" s="638" t="s">
        <v>1023</v>
      </c>
      <c r="F103" s="537" t="s">
        <v>4251</v>
      </c>
      <c r="G103" s="555"/>
      <c r="H103" s="537" t="s">
        <v>4252</v>
      </c>
      <c r="I103" s="555"/>
      <c r="J103" s="537" t="s">
        <v>4252</v>
      </c>
      <c r="K103" s="641"/>
      <c r="L103" s="465" t="s">
        <v>4254</v>
      </c>
    </row>
    <row r="104" spans="2:12" ht="34.5" customHeight="1">
      <c r="B104" s="615" t="s">
        <v>4257</v>
      </c>
      <c r="C104" s="537" t="s">
        <v>2908</v>
      </c>
      <c r="D104" s="583" t="s">
        <v>4250</v>
      </c>
      <c r="E104" s="638" t="s">
        <v>1963</v>
      </c>
      <c r="F104" s="537" t="s">
        <v>4255</v>
      </c>
      <c r="G104" s="555"/>
      <c r="H104" s="537" t="s">
        <v>4256</v>
      </c>
      <c r="I104" s="537" t="s">
        <v>4253</v>
      </c>
      <c r="J104" s="537" t="s">
        <v>4256</v>
      </c>
      <c r="K104" s="641"/>
      <c r="L104" s="465"/>
    </row>
    <row r="105" spans="2:12" ht="31.5">
      <c r="B105" s="615" t="s">
        <v>4258</v>
      </c>
      <c r="C105" s="537" t="s">
        <v>3141</v>
      </c>
      <c r="D105" s="583" t="s">
        <v>4259</v>
      </c>
      <c r="E105" s="640" t="s">
        <v>996</v>
      </c>
      <c r="F105" s="548"/>
      <c r="G105" s="548"/>
      <c r="H105" s="548"/>
      <c r="I105" s="545" t="s">
        <v>4260</v>
      </c>
      <c r="J105" s="555"/>
      <c r="K105" s="641"/>
      <c r="L105" s="465"/>
    </row>
    <row r="106" spans="2:12" ht="47.1" customHeight="1">
      <c r="B106" s="615" t="s">
        <v>4261</v>
      </c>
      <c r="C106" s="537" t="s">
        <v>2919</v>
      </c>
      <c r="D106" s="583" t="s">
        <v>4262</v>
      </c>
      <c r="E106" s="638" t="s">
        <v>1023</v>
      </c>
      <c r="F106" s="545" t="s">
        <v>4263</v>
      </c>
      <c r="G106" s="545" t="s">
        <v>4264</v>
      </c>
      <c r="H106" s="545" t="s">
        <v>4264</v>
      </c>
      <c r="I106" s="555"/>
      <c r="J106" s="555"/>
      <c r="K106" s="641" t="s">
        <v>3017</v>
      </c>
      <c r="L106" s="465" t="s">
        <v>4265</v>
      </c>
    </row>
    <row r="107" spans="2:12" ht="62.85" customHeight="1">
      <c r="B107" s="615" t="s">
        <v>4266</v>
      </c>
      <c r="C107" s="537" t="s">
        <v>2919</v>
      </c>
      <c r="D107" s="583" t="s">
        <v>4267</v>
      </c>
      <c r="E107" s="638" t="s">
        <v>1023</v>
      </c>
      <c r="F107" s="545" t="s">
        <v>4268</v>
      </c>
      <c r="G107" s="545" t="s">
        <v>4269</v>
      </c>
      <c r="H107" s="545" t="s">
        <v>4269</v>
      </c>
      <c r="I107" s="555"/>
      <c r="J107" s="555"/>
      <c r="K107" s="641" t="s">
        <v>3017</v>
      </c>
      <c r="L107" s="465" t="s">
        <v>4270</v>
      </c>
    </row>
    <row r="108" spans="2:12" ht="62.85" customHeight="1">
      <c r="B108" s="615" t="s">
        <v>4271</v>
      </c>
      <c r="C108" s="537" t="s">
        <v>2908</v>
      </c>
      <c r="D108" s="583" t="s">
        <v>4272</v>
      </c>
      <c r="E108" s="638" t="s">
        <v>4273</v>
      </c>
      <c r="F108" s="545" t="s">
        <v>4274</v>
      </c>
      <c r="G108" s="555"/>
      <c r="H108" s="537" t="s">
        <v>4275</v>
      </c>
      <c r="I108" s="555"/>
      <c r="J108" s="537" t="s">
        <v>4275</v>
      </c>
      <c r="K108" s="641" t="s">
        <v>4276</v>
      </c>
      <c r="L108" s="465" t="s">
        <v>4277</v>
      </c>
    </row>
    <row r="109" spans="2:12" ht="47.1" customHeight="1">
      <c r="B109" s="615" t="s">
        <v>4278</v>
      </c>
      <c r="C109" s="537" t="s">
        <v>2962</v>
      </c>
      <c r="D109" s="583" t="s">
        <v>4285</v>
      </c>
      <c r="E109" s="638" t="s">
        <v>2467</v>
      </c>
      <c r="F109" s="555"/>
      <c r="G109" s="555"/>
      <c r="H109" s="555"/>
      <c r="I109" s="555"/>
      <c r="J109" s="537" t="s">
        <v>4279</v>
      </c>
      <c r="K109" s="641" t="s">
        <v>3863</v>
      </c>
      <c r="L109" s="465" t="s">
        <v>4280</v>
      </c>
    </row>
    <row r="110" spans="2:12" ht="47.1" customHeight="1">
      <c r="B110" s="615" t="s">
        <v>4281</v>
      </c>
      <c r="C110" s="537" t="s">
        <v>2962</v>
      </c>
      <c r="D110" s="583" t="s">
        <v>4284</v>
      </c>
      <c r="E110" s="638" t="s">
        <v>2467</v>
      </c>
      <c r="F110" s="555"/>
      <c r="G110" s="555"/>
      <c r="H110" s="555"/>
      <c r="I110" s="555"/>
      <c r="J110" s="537" t="s">
        <v>4282</v>
      </c>
      <c r="K110" s="641" t="s">
        <v>3863</v>
      </c>
      <c r="L110" s="465" t="s">
        <v>4283</v>
      </c>
    </row>
    <row r="111" spans="2:12" ht="47.1" customHeight="1">
      <c r="B111" s="615" t="s">
        <v>4286</v>
      </c>
      <c r="C111" s="537" t="s">
        <v>2908</v>
      </c>
      <c r="D111" s="583" t="s">
        <v>4287</v>
      </c>
      <c r="E111" s="638" t="s">
        <v>1023</v>
      </c>
      <c r="F111" s="545" t="s">
        <v>4288</v>
      </c>
      <c r="G111" s="545" t="s">
        <v>4289</v>
      </c>
      <c r="H111" s="545" t="s">
        <v>4289</v>
      </c>
      <c r="I111" s="555"/>
      <c r="J111" s="555"/>
      <c r="K111" s="641" t="s">
        <v>4290</v>
      </c>
      <c r="L111" s="465" t="s">
        <v>4291</v>
      </c>
    </row>
    <row r="112" spans="2:12" s="660" customFormat="1" ht="47.1" customHeight="1">
      <c r="B112" s="652" t="s">
        <v>4292</v>
      </c>
      <c r="C112" s="653" t="s">
        <v>2893</v>
      </c>
      <c r="D112" s="654" t="s">
        <v>4293</v>
      </c>
      <c r="E112" s="655" t="s">
        <v>4294</v>
      </c>
      <c r="F112" s="656" t="s">
        <v>4299</v>
      </c>
      <c r="G112" s="656" t="s">
        <v>4300</v>
      </c>
      <c r="H112" s="656" t="s">
        <v>4300</v>
      </c>
      <c r="I112" s="657"/>
      <c r="J112" s="657"/>
      <c r="K112" s="658" t="s">
        <v>4303</v>
      </c>
      <c r="L112" s="659" t="s">
        <v>4295</v>
      </c>
    </row>
    <row r="113" spans="2:12" s="660" customFormat="1" ht="47.1" customHeight="1">
      <c r="B113" s="652" t="s">
        <v>4296</v>
      </c>
      <c r="C113" s="653" t="s">
        <v>2893</v>
      </c>
      <c r="D113" s="654" t="s">
        <v>4297</v>
      </c>
      <c r="E113" s="655" t="s">
        <v>4298</v>
      </c>
      <c r="F113" s="656" t="s">
        <v>4301</v>
      </c>
      <c r="G113" s="656" t="s">
        <v>4302</v>
      </c>
      <c r="H113" s="656" t="s">
        <v>4302</v>
      </c>
      <c r="I113" s="657"/>
      <c r="J113" s="657"/>
      <c r="K113" s="658" t="s">
        <v>4309</v>
      </c>
      <c r="L113" s="659"/>
    </row>
    <row r="114" spans="2:12" ht="47.1" customHeight="1">
      <c r="B114" s="615" t="s">
        <v>4304</v>
      </c>
      <c r="C114" s="537" t="s">
        <v>2893</v>
      </c>
      <c r="D114" s="583" t="s">
        <v>4305</v>
      </c>
      <c r="E114" s="638" t="s">
        <v>4306</v>
      </c>
      <c r="F114" s="545" t="s">
        <v>4307</v>
      </c>
      <c r="G114" s="545" t="s">
        <v>4308</v>
      </c>
      <c r="H114" s="545" t="s">
        <v>4308</v>
      </c>
      <c r="I114" s="555"/>
      <c r="J114" s="555"/>
      <c r="K114" s="641" t="s">
        <v>4310</v>
      </c>
      <c r="L114" s="465"/>
    </row>
    <row r="115" spans="2:12" ht="47.1" customHeight="1">
      <c r="B115" s="615" t="s">
        <v>4312</v>
      </c>
      <c r="C115" s="537" t="s">
        <v>3025</v>
      </c>
      <c r="D115" s="583" t="s">
        <v>4311</v>
      </c>
      <c r="E115" s="638" t="s">
        <v>3026</v>
      </c>
      <c r="F115" s="545" t="s">
        <v>4313</v>
      </c>
      <c r="G115" s="545" t="s">
        <v>4314</v>
      </c>
      <c r="H115" s="545" t="s">
        <v>4314</v>
      </c>
      <c r="I115" s="555"/>
      <c r="J115" s="555"/>
      <c r="K115" s="641" t="s">
        <v>2270</v>
      </c>
      <c r="L115" s="465" t="s">
        <v>4315</v>
      </c>
    </row>
    <row r="116" spans="2:12" ht="31.5">
      <c r="B116" s="615" t="s">
        <v>4316</v>
      </c>
      <c r="C116" s="537" t="s">
        <v>3141</v>
      </c>
      <c r="D116" s="583" t="s">
        <v>4317</v>
      </c>
      <c r="E116" s="640" t="s">
        <v>996</v>
      </c>
      <c r="F116" s="548"/>
      <c r="G116" s="548"/>
      <c r="H116" s="548"/>
      <c r="I116" s="545" t="s">
        <v>4318</v>
      </c>
      <c r="J116" s="555"/>
      <c r="K116" s="641"/>
      <c r="L116" s="465" t="s">
        <v>3428</v>
      </c>
    </row>
    <row r="117" spans="2:12" ht="47.25">
      <c r="B117" s="1122" t="s">
        <v>4319</v>
      </c>
      <c r="C117" s="1134" t="s">
        <v>2908</v>
      </c>
      <c r="D117" s="583" t="s">
        <v>4323</v>
      </c>
      <c r="E117" s="640" t="s">
        <v>4320</v>
      </c>
      <c r="F117" s="1134" t="s">
        <v>4321</v>
      </c>
      <c r="G117" s="1134" t="s">
        <v>4322</v>
      </c>
      <c r="H117" s="1134" t="s">
        <v>4322</v>
      </c>
      <c r="I117" s="555"/>
      <c r="J117" s="555"/>
      <c r="K117" s="1135" t="s">
        <v>2860</v>
      </c>
      <c r="L117" s="465" t="s">
        <v>4324</v>
      </c>
    </row>
    <row r="118" spans="2:12" ht="47.25">
      <c r="B118" s="1123"/>
      <c r="C118" s="1123"/>
      <c r="D118" s="583" t="s">
        <v>4384</v>
      </c>
      <c r="E118" s="640" t="s">
        <v>4385</v>
      </c>
      <c r="F118" s="1123"/>
      <c r="G118" s="1123"/>
      <c r="H118" s="1123"/>
      <c r="I118" s="548"/>
      <c r="J118" s="555"/>
      <c r="K118" s="1136"/>
      <c r="L118" s="465"/>
    </row>
    <row r="119" spans="2:12" ht="31.5">
      <c r="B119" s="615" t="s">
        <v>4325</v>
      </c>
      <c r="C119" s="537" t="s">
        <v>3141</v>
      </c>
      <c r="D119" s="583" t="s">
        <v>4329</v>
      </c>
      <c r="E119" s="640" t="s">
        <v>4328</v>
      </c>
      <c r="F119" s="548"/>
      <c r="G119" s="548"/>
      <c r="H119" s="548"/>
      <c r="I119" s="545" t="s">
        <v>4326</v>
      </c>
      <c r="J119" s="555"/>
      <c r="K119" s="641" t="s">
        <v>4330</v>
      </c>
      <c r="L119" s="465" t="s">
        <v>4327</v>
      </c>
    </row>
    <row r="120" spans="2:12" ht="31.5">
      <c r="B120" s="615" t="s">
        <v>4331</v>
      </c>
      <c r="C120" s="537" t="s">
        <v>3141</v>
      </c>
      <c r="D120" s="583" t="s">
        <v>4332</v>
      </c>
      <c r="E120" s="640" t="s">
        <v>4333</v>
      </c>
      <c r="F120" s="548"/>
      <c r="G120" s="548"/>
      <c r="H120" s="548"/>
      <c r="I120" s="545" t="s">
        <v>4334</v>
      </c>
      <c r="J120" s="555"/>
      <c r="K120" s="641"/>
      <c r="L120" s="465"/>
    </row>
    <row r="121" spans="2:12" ht="47.1" customHeight="1">
      <c r="B121" s="615" t="s">
        <v>4335</v>
      </c>
      <c r="C121" s="537" t="s">
        <v>3025</v>
      </c>
      <c r="D121" s="583" t="s">
        <v>4336</v>
      </c>
      <c r="E121" s="638" t="s">
        <v>4337</v>
      </c>
      <c r="F121" s="545" t="s">
        <v>4338</v>
      </c>
      <c r="G121" s="545" t="s">
        <v>4339</v>
      </c>
      <c r="H121" s="545" t="s">
        <v>4339</v>
      </c>
      <c r="I121" s="555"/>
      <c r="J121" s="555"/>
      <c r="K121" s="641" t="s">
        <v>3434</v>
      </c>
      <c r="L121" s="465"/>
    </row>
    <row r="122" spans="2:12" ht="47.1" customHeight="1">
      <c r="B122" s="615" t="s">
        <v>4340</v>
      </c>
      <c r="C122" s="537" t="s">
        <v>3025</v>
      </c>
      <c r="D122" s="583" t="s">
        <v>4379</v>
      </c>
      <c r="E122" s="638" t="s">
        <v>1023</v>
      </c>
      <c r="F122" s="545" t="s">
        <v>4341</v>
      </c>
      <c r="G122" s="545" t="s">
        <v>4342</v>
      </c>
      <c r="H122" s="545" t="s">
        <v>4342</v>
      </c>
      <c r="I122" s="555"/>
      <c r="J122" s="555"/>
      <c r="K122" s="641" t="s">
        <v>2290</v>
      </c>
      <c r="L122" s="465" t="s">
        <v>4343</v>
      </c>
    </row>
    <row r="123" spans="2:12" ht="47.1" customHeight="1">
      <c r="B123" s="615" t="s">
        <v>4344</v>
      </c>
      <c r="C123" s="537" t="s">
        <v>2908</v>
      </c>
      <c r="D123" s="583" t="s">
        <v>4345</v>
      </c>
      <c r="E123" s="638" t="s">
        <v>995</v>
      </c>
      <c r="F123" s="545" t="s">
        <v>4346</v>
      </c>
      <c r="G123" s="545" t="s">
        <v>4346</v>
      </c>
      <c r="H123" s="545" t="s">
        <v>4347</v>
      </c>
      <c r="I123" s="555"/>
      <c r="J123" s="555"/>
      <c r="K123" s="641" t="s">
        <v>4348</v>
      </c>
      <c r="L123" s="465"/>
    </row>
    <row r="124" spans="2:12" ht="47.1" customHeight="1">
      <c r="B124" s="615" t="s">
        <v>4349</v>
      </c>
      <c r="C124" s="537" t="s">
        <v>2908</v>
      </c>
      <c r="D124" s="583" t="s">
        <v>4350</v>
      </c>
      <c r="E124" s="638" t="s">
        <v>1023</v>
      </c>
      <c r="F124" s="545" t="s">
        <v>4352</v>
      </c>
      <c r="G124" s="545" t="s">
        <v>4351</v>
      </c>
      <c r="H124" s="545" t="s">
        <v>4351</v>
      </c>
      <c r="I124" s="555"/>
      <c r="J124" s="555"/>
      <c r="K124" s="641"/>
      <c r="L124" s="465" t="s">
        <v>4353</v>
      </c>
    </row>
    <row r="125" spans="2:12" ht="47.1" customHeight="1">
      <c r="B125" s="615" t="s">
        <v>4354</v>
      </c>
      <c r="C125" s="537" t="s">
        <v>2962</v>
      </c>
      <c r="D125" s="583" t="s">
        <v>4355</v>
      </c>
      <c r="E125" s="638" t="s">
        <v>2467</v>
      </c>
      <c r="F125" s="555"/>
      <c r="G125" s="555"/>
      <c r="H125" s="555"/>
      <c r="I125" s="555"/>
      <c r="J125" s="537" t="s">
        <v>4356</v>
      </c>
      <c r="K125" s="641" t="s">
        <v>3863</v>
      </c>
      <c r="L125" s="465" t="s">
        <v>4357</v>
      </c>
    </row>
    <row r="126" spans="2:12" ht="47.1" customHeight="1">
      <c r="B126" s="615" t="s">
        <v>4358</v>
      </c>
      <c r="C126" s="537" t="s">
        <v>2893</v>
      </c>
      <c r="D126" s="583" t="s">
        <v>4359</v>
      </c>
      <c r="E126" s="638" t="s">
        <v>4360</v>
      </c>
      <c r="F126" s="545" t="s">
        <v>4361</v>
      </c>
      <c r="G126" s="545" t="s">
        <v>4362</v>
      </c>
      <c r="H126" s="545" t="s">
        <v>4362</v>
      </c>
      <c r="I126" s="555"/>
      <c r="J126" s="555"/>
      <c r="K126" s="641"/>
      <c r="L126" s="465" t="s">
        <v>2812</v>
      </c>
    </row>
    <row r="127" spans="2:12" ht="47.1" customHeight="1">
      <c r="B127" s="615" t="s">
        <v>4363</v>
      </c>
      <c r="C127" s="537" t="s">
        <v>2917</v>
      </c>
      <c r="D127" s="583" t="s">
        <v>4364</v>
      </c>
      <c r="E127" s="638" t="s">
        <v>4378</v>
      </c>
      <c r="F127" s="545" t="s">
        <v>4365</v>
      </c>
      <c r="G127" s="545" t="s">
        <v>4366</v>
      </c>
      <c r="H127" s="545" t="s">
        <v>4365</v>
      </c>
      <c r="I127" s="555"/>
      <c r="J127" s="555"/>
      <c r="K127" s="641" t="s">
        <v>1860</v>
      </c>
      <c r="L127" s="465"/>
    </row>
    <row r="128" spans="2:12" ht="47.1" customHeight="1">
      <c r="B128" s="615" t="s">
        <v>4367</v>
      </c>
      <c r="C128" s="537" t="s">
        <v>2962</v>
      </c>
      <c r="D128" s="583" t="s">
        <v>4368</v>
      </c>
      <c r="E128" s="638" t="s">
        <v>2467</v>
      </c>
      <c r="F128" s="555"/>
      <c r="G128" s="555"/>
      <c r="H128" s="555"/>
      <c r="I128" s="555"/>
      <c r="J128" s="537" t="s">
        <v>4369</v>
      </c>
      <c r="K128" s="641" t="s">
        <v>3863</v>
      </c>
      <c r="L128" s="465" t="s">
        <v>4370</v>
      </c>
    </row>
    <row r="129" spans="2:12" ht="31.5">
      <c r="B129" s="615" t="s">
        <v>4374</v>
      </c>
      <c r="C129" s="537" t="s">
        <v>3141</v>
      </c>
      <c r="D129" s="583" t="s">
        <v>4375</v>
      </c>
      <c r="E129" s="640" t="s">
        <v>996</v>
      </c>
      <c r="F129" s="548"/>
      <c r="G129" s="548"/>
      <c r="H129" s="548"/>
      <c r="I129" s="545" t="s">
        <v>4376</v>
      </c>
      <c r="J129" s="555"/>
      <c r="K129" s="641"/>
      <c r="L129" s="465" t="s">
        <v>4377</v>
      </c>
    </row>
    <row r="130" spans="2:12" ht="31.5">
      <c r="B130" s="615" t="s">
        <v>4380</v>
      </c>
      <c r="C130" s="537" t="s">
        <v>2893</v>
      </c>
      <c r="D130" s="583" t="s">
        <v>4381</v>
      </c>
      <c r="E130" s="640" t="s">
        <v>1023</v>
      </c>
      <c r="F130" s="545" t="s">
        <v>4382</v>
      </c>
      <c r="G130" s="545" t="s">
        <v>4383</v>
      </c>
      <c r="H130" s="545" t="s">
        <v>4383</v>
      </c>
      <c r="I130" s="555"/>
      <c r="J130" s="555"/>
      <c r="K130" s="661" t="s">
        <v>3811</v>
      </c>
      <c r="L130" s="465" t="s">
        <v>2758</v>
      </c>
    </row>
    <row r="131" spans="2:12" ht="30">
      <c r="B131" s="615" t="s">
        <v>4390</v>
      </c>
      <c r="C131" s="537" t="s">
        <v>2919</v>
      </c>
      <c r="D131" s="529" t="s">
        <v>4386</v>
      </c>
      <c r="E131" s="638" t="s">
        <v>2339</v>
      </c>
      <c r="F131" s="545" t="s">
        <v>4388</v>
      </c>
      <c r="G131" s="545" t="s">
        <v>4387</v>
      </c>
      <c r="H131" s="545" t="s">
        <v>4388</v>
      </c>
      <c r="I131" s="555"/>
      <c r="J131" s="555"/>
      <c r="K131" s="641" t="s">
        <v>1134</v>
      </c>
      <c r="L131" s="465" t="s">
        <v>4389</v>
      </c>
    </row>
    <row r="132" spans="2:12" ht="30">
      <c r="B132" s="615" t="s">
        <v>4391</v>
      </c>
      <c r="C132" s="537" t="s">
        <v>2919</v>
      </c>
      <c r="D132" s="529" t="s">
        <v>4392</v>
      </c>
      <c r="E132" s="640" t="s">
        <v>4393</v>
      </c>
      <c r="F132" s="545" t="s">
        <v>4394</v>
      </c>
      <c r="G132" s="545" t="s">
        <v>4395</v>
      </c>
      <c r="H132" s="545" t="s">
        <v>4395</v>
      </c>
      <c r="I132" s="555"/>
      <c r="J132" s="555"/>
      <c r="K132" s="641" t="s">
        <v>1134</v>
      </c>
      <c r="L132" s="465" t="s">
        <v>4389</v>
      </c>
    </row>
    <row r="133" spans="2:12" ht="25.5" customHeight="1">
      <c r="B133" s="615" t="s">
        <v>4396</v>
      </c>
      <c r="C133" s="537" t="s">
        <v>3114</v>
      </c>
      <c r="D133" s="529" t="s">
        <v>4397</v>
      </c>
      <c r="E133" s="638" t="s">
        <v>4328</v>
      </c>
      <c r="F133" s="548"/>
      <c r="G133" s="548"/>
      <c r="H133" s="548"/>
      <c r="I133" s="545" t="s">
        <v>4398</v>
      </c>
      <c r="J133" s="555"/>
      <c r="K133" s="641" t="s">
        <v>3815</v>
      </c>
      <c r="L133" s="465" t="s">
        <v>4399</v>
      </c>
    </row>
    <row r="134" spans="2:12" ht="25.5" customHeight="1">
      <c r="B134" s="615" t="s">
        <v>4400</v>
      </c>
      <c r="C134" s="537" t="s">
        <v>2908</v>
      </c>
      <c r="D134" s="529" t="s">
        <v>4401</v>
      </c>
      <c r="E134" s="638" t="s">
        <v>995</v>
      </c>
      <c r="F134" s="545" t="s">
        <v>4402</v>
      </c>
      <c r="G134" s="545" t="s">
        <v>4402</v>
      </c>
      <c r="H134" s="545" t="s">
        <v>4403</v>
      </c>
      <c r="I134" s="555"/>
      <c r="J134" s="555"/>
      <c r="K134" s="641" t="s">
        <v>4348</v>
      </c>
      <c r="L134" s="465" t="s">
        <v>4404</v>
      </c>
    </row>
    <row r="135" spans="2:12" ht="25.5" customHeight="1">
      <c r="B135" s="615" t="s">
        <v>4405</v>
      </c>
      <c r="C135" s="537" t="s">
        <v>2908</v>
      </c>
      <c r="D135" s="529" t="s">
        <v>4406</v>
      </c>
      <c r="E135" s="638" t="s">
        <v>995</v>
      </c>
      <c r="F135" s="545" t="s">
        <v>4407</v>
      </c>
      <c r="G135" s="545" t="s">
        <v>4407</v>
      </c>
      <c r="H135" s="545" t="s">
        <v>4408</v>
      </c>
      <c r="I135" s="555"/>
      <c r="J135" s="555"/>
      <c r="K135" s="641" t="s">
        <v>4348</v>
      </c>
      <c r="L135" s="465"/>
    </row>
    <row r="136" spans="2:12" ht="47.1" customHeight="1">
      <c r="B136" s="615" t="s">
        <v>4411</v>
      </c>
      <c r="C136" s="537" t="s">
        <v>2962</v>
      </c>
      <c r="D136" s="583" t="s">
        <v>4412</v>
      </c>
      <c r="E136" s="638" t="s">
        <v>2467</v>
      </c>
      <c r="F136" s="555"/>
      <c r="G136" s="555"/>
      <c r="H136" s="555"/>
      <c r="I136" s="555"/>
      <c r="J136" s="537" t="s">
        <v>4409</v>
      </c>
      <c r="K136" s="641" t="s">
        <v>3863</v>
      </c>
      <c r="L136" s="465" t="s">
        <v>4410</v>
      </c>
    </row>
    <row r="137" spans="2:12" ht="47.1" customHeight="1">
      <c r="B137" s="615" t="s">
        <v>4413</v>
      </c>
      <c r="C137" s="537" t="s">
        <v>2919</v>
      </c>
      <c r="D137" s="583" t="s">
        <v>4414</v>
      </c>
      <c r="E137" s="638" t="s">
        <v>1023</v>
      </c>
      <c r="F137" s="545" t="s">
        <v>4416</v>
      </c>
      <c r="G137" s="545" t="s">
        <v>4417</v>
      </c>
      <c r="H137" s="545" t="s">
        <v>4417</v>
      </c>
      <c r="I137" s="555"/>
      <c r="J137" s="555"/>
      <c r="K137" s="661" t="s">
        <v>3759</v>
      </c>
      <c r="L137" s="465" t="s">
        <v>4415</v>
      </c>
    </row>
    <row r="138" spans="2:12" ht="47.1" customHeight="1">
      <c r="B138" s="615" t="s">
        <v>4418</v>
      </c>
      <c r="C138" s="537" t="s">
        <v>2908</v>
      </c>
      <c r="D138" s="583" t="s">
        <v>4422</v>
      </c>
      <c r="E138" s="638" t="s">
        <v>995</v>
      </c>
      <c r="F138" s="545" t="s">
        <v>4419</v>
      </c>
      <c r="G138" s="545" t="s">
        <v>4419</v>
      </c>
      <c r="H138" s="545" t="s">
        <v>4420</v>
      </c>
      <c r="I138" s="555"/>
      <c r="J138" s="555"/>
      <c r="K138" s="641" t="s">
        <v>4348</v>
      </c>
      <c r="L138" s="465" t="s">
        <v>4421</v>
      </c>
    </row>
    <row r="139" spans="2:12" ht="31.5">
      <c r="B139" s="615" t="s">
        <v>4423</v>
      </c>
      <c r="C139" s="537" t="s">
        <v>3141</v>
      </c>
      <c r="D139" s="583" t="s">
        <v>4424</v>
      </c>
      <c r="E139" s="640" t="s">
        <v>996</v>
      </c>
      <c r="F139" s="548"/>
      <c r="G139" s="548"/>
      <c r="H139" s="548"/>
      <c r="I139" s="545" t="s">
        <v>4425</v>
      </c>
      <c r="J139" s="555"/>
      <c r="K139" s="641" t="s">
        <v>2836</v>
      </c>
      <c r="L139" s="465" t="s">
        <v>4426</v>
      </c>
    </row>
    <row r="140" spans="2:12" ht="25.5" customHeight="1">
      <c r="B140" s="615" t="s">
        <v>4427</v>
      </c>
      <c r="C140" s="537" t="s">
        <v>4460</v>
      </c>
      <c r="D140" s="529" t="s">
        <v>4461</v>
      </c>
      <c r="E140" s="638" t="s">
        <v>4429</v>
      </c>
      <c r="F140" s="545" t="s">
        <v>4457</v>
      </c>
      <c r="G140" s="545" t="s">
        <v>4458</v>
      </c>
      <c r="H140" s="545" t="s">
        <v>4458</v>
      </c>
      <c r="I140" s="545" t="s">
        <v>4428</v>
      </c>
      <c r="J140" s="555"/>
      <c r="K140" s="641" t="s">
        <v>4459</v>
      </c>
      <c r="L140" s="465" t="s">
        <v>4430</v>
      </c>
    </row>
    <row r="141" spans="2:12" ht="25.5" customHeight="1">
      <c r="B141" s="615" t="s">
        <v>4431</v>
      </c>
      <c r="C141" s="537" t="s">
        <v>2919</v>
      </c>
      <c r="D141" s="529" t="s">
        <v>4462</v>
      </c>
      <c r="E141" s="638" t="s">
        <v>4432</v>
      </c>
      <c r="F141" s="545" t="s">
        <v>4433</v>
      </c>
      <c r="G141" s="545" t="s">
        <v>4434</v>
      </c>
      <c r="H141" s="545" t="s">
        <v>4434</v>
      </c>
      <c r="I141" s="555"/>
      <c r="J141" s="555"/>
      <c r="K141" s="641" t="s">
        <v>3811</v>
      </c>
      <c r="L141" s="465" t="s">
        <v>4435</v>
      </c>
    </row>
    <row r="142" spans="2:12" ht="25.5" customHeight="1">
      <c r="B142" s="615" t="s">
        <v>4436</v>
      </c>
      <c r="C142" s="537" t="s">
        <v>2908</v>
      </c>
      <c r="D142" s="529" t="s">
        <v>4437</v>
      </c>
      <c r="E142" s="638" t="s">
        <v>1023</v>
      </c>
      <c r="F142" s="545" t="s">
        <v>4440</v>
      </c>
      <c r="G142" s="545" t="s">
        <v>4441</v>
      </c>
      <c r="H142" s="545" t="s">
        <v>4441</v>
      </c>
      <c r="I142" s="555"/>
      <c r="J142" s="555"/>
      <c r="K142" s="641" t="s">
        <v>4438</v>
      </c>
      <c r="L142" s="465" t="s">
        <v>4439</v>
      </c>
    </row>
    <row r="143" spans="2:12" ht="25.5" customHeight="1">
      <c r="B143" s="615" t="s">
        <v>4442</v>
      </c>
      <c r="C143" s="537" t="s">
        <v>2893</v>
      </c>
      <c r="D143" s="529" t="s">
        <v>4443</v>
      </c>
      <c r="E143" s="638" t="s">
        <v>1023</v>
      </c>
      <c r="F143" s="545" t="s">
        <v>4444</v>
      </c>
      <c r="G143" s="545" t="s">
        <v>4445</v>
      </c>
      <c r="H143" s="545" t="s">
        <v>4445</v>
      </c>
      <c r="I143" s="555"/>
      <c r="J143" s="555"/>
      <c r="K143" s="641" t="s">
        <v>3811</v>
      </c>
      <c r="L143" s="465" t="s">
        <v>4446</v>
      </c>
    </row>
    <row r="144" spans="2:12" ht="25.5" customHeight="1">
      <c r="B144" s="615" t="s">
        <v>4447</v>
      </c>
      <c r="C144" s="537" t="s">
        <v>2893</v>
      </c>
      <c r="D144" s="529" t="s">
        <v>4448</v>
      </c>
      <c r="E144" s="638" t="s">
        <v>4449</v>
      </c>
      <c r="F144" s="545" t="s">
        <v>4450</v>
      </c>
      <c r="G144" s="545" t="s">
        <v>4451</v>
      </c>
      <c r="H144" s="545" t="s">
        <v>4451</v>
      </c>
      <c r="I144" s="555"/>
      <c r="J144" s="555"/>
      <c r="K144" s="641" t="s">
        <v>2724</v>
      </c>
      <c r="L144" s="465" t="s">
        <v>4452</v>
      </c>
    </row>
    <row r="145" spans="2:12" ht="25.5" customHeight="1">
      <c r="B145" s="615" t="s">
        <v>4423</v>
      </c>
      <c r="C145" s="537" t="s">
        <v>2917</v>
      </c>
      <c r="D145" s="529" t="s">
        <v>4453</v>
      </c>
      <c r="E145" s="638" t="s">
        <v>1</v>
      </c>
      <c r="F145" s="545" t="s">
        <v>4454</v>
      </c>
      <c r="G145" s="545" t="s">
        <v>4455</v>
      </c>
      <c r="H145" s="545" t="s">
        <v>4454</v>
      </c>
      <c r="I145" s="555"/>
      <c r="J145" s="555"/>
      <c r="K145" s="641" t="s">
        <v>4456</v>
      </c>
      <c r="L145" s="465" t="s">
        <v>2666</v>
      </c>
    </row>
    <row r="146" spans="2:12" ht="25.5" customHeight="1">
      <c r="B146" s="615" t="s">
        <v>4463</v>
      </c>
      <c r="C146" s="537" t="s">
        <v>2908</v>
      </c>
      <c r="D146" s="529" t="s">
        <v>4464</v>
      </c>
      <c r="E146" s="638" t="s">
        <v>4465</v>
      </c>
      <c r="F146" s="545" t="s">
        <v>4466</v>
      </c>
      <c r="G146" s="545" t="s">
        <v>4467</v>
      </c>
      <c r="H146" s="545" t="s">
        <v>4467</v>
      </c>
      <c r="I146" s="555"/>
      <c r="J146" s="555"/>
      <c r="K146" s="641" t="s">
        <v>4468</v>
      </c>
      <c r="L146" s="465" t="s">
        <v>4469</v>
      </c>
    </row>
    <row r="147" spans="2:12" ht="45">
      <c r="B147" s="615" t="s">
        <v>4470</v>
      </c>
      <c r="C147" s="537" t="s">
        <v>3399</v>
      </c>
      <c r="D147" s="529" t="s">
        <v>4471</v>
      </c>
      <c r="E147" s="638" t="s">
        <v>4472</v>
      </c>
      <c r="F147" s="545" t="s">
        <v>4473</v>
      </c>
      <c r="G147" s="545" t="s">
        <v>4474</v>
      </c>
      <c r="H147" s="545" t="s">
        <v>4474</v>
      </c>
      <c r="I147" s="545" t="s">
        <v>4475</v>
      </c>
      <c r="J147" s="555"/>
      <c r="K147" s="641" t="s">
        <v>4476</v>
      </c>
      <c r="L147" s="465"/>
    </row>
    <row r="148" spans="2:12" ht="30">
      <c r="B148" s="615" t="s">
        <v>4477</v>
      </c>
      <c r="C148" s="537" t="s">
        <v>3263</v>
      </c>
      <c r="D148" s="529" t="s">
        <v>4478</v>
      </c>
      <c r="E148" s="638" t="s">
        <v>4482</v>
      </c>
      <c r="F148" s="545" t="s">
        <v>4479</v>
      </c>
      <c r="G148" s="545" t="s">
        <v>4480</v>
      </c>
      <c r="H148" s="545" t="s">
        <v>4479</v>
      </c>
      <c r="I148" s="545" t="s">
        <v>4483</v>
      </c>
      <c r="J148" s="555"/>
      <c r="K148" s="641" t="s">
        <v>3821</v>
      </c>
      <c r="L148" s="465" t="s">
        <v>4481</v>
      </c>
    </row>
    <row r="149" spans="2:12" ht="45">
      <c r="B149" s="615" t="s">
        <v>4484</v>
      </c>
      <c r="C149" s="537" t="s">
        <v>2908</v>
      </c>
      <c r="D149" s="529" t="s">
        <v>4485</v>
      </c>
      <c r="E149" s="638" t="s">
        <v>4486</v>
      </c>
      <c r="F149" s="545" t="s">
        <v>4487</v>
      </c>
      <c r="G149" s="545" t="s">
        <v>4488</v>
      </c>
      <c r="H149" s="545" t="s">
        <v>4488</v>
      </c>
      <c r="I149" s="555"/>
      <c r="J149" s="555"/>
      <c r="K149" s="641"/>
      <c r="L149" s="465"/>
    </row>
    <row r="150" spans="2:12" ht="30">
      <c r="B150" s="615" t="s">
        <v>4489</v>
      </c>
      <c r="C150" s="537" t="s">
        <v>3141</v>
      </c>
      <c r="D150" s="529" t="s">
        <v>4490</v>
      </c>
      <c r="E150" s="638" t="s">
        <v>996</v>
      </c>
      <c r="F150" s="548"/>
      <c r="G150" s="548"/>
      <c r="H150" s="548"/>
      <c r="I150" s="545" t="s">
        <v>4491</v>
      </c>
      <c r="J150" s="555"/>
      <c r="K150" s="641" t="s">
        <v>2836</v>
      </c>
      <c r="L150" s="465" t="s">
        <v>4002</v>
      </c>
    </row>
  </sheetData>
  <mergeCells count="10">
    <mergeCell ref="K2:K3"/>
    <mergeCell ref="F7:J7"/>
    <mergeCell ref="B98:B99"/>
    <mergeCell ref="E98:E99"/>
    <mergeCell ref="F117:F118"/>
    <mergeCell ref="G117:G118"/>
    <mergeCell ref="H117:H118"/>
    <mergeCell ref="K117:K118"/>
    <mergeCell ref="C117:C118"/>
    <mergeCell ref="B117:B118"/>
  </mergeCells>
  <printOptions horizontalCentered="1"/>
  <pageMargins left="0" right="0" top="0.35433070866141736" bottom="0.35433070866141736" header="0.31496062992125984" footer="0.31496062992125984"/>
  <pageSetup paperSize="9" scale="55" orientation="landscape" horizontalDpi="4294967295" verticalDpi="4294967295" r:id="rId1"/>
  <drawing r:id="rId2"/>
  <legacy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DC076-C00C-4B4F-9BEA-CD23662CB997}">
  <dimension ref="A1:N149"/>
  <sheetViews>
    <sheetView topLeftCell="A8" workbookViewId="0">
      <selection activeCell="D11" sqref="D11"/>
    </sheetView>
  </sheetViews>
  <sheetFormatPr baseColWidth="10" defaultRowHeight="12.75"/>
  <cols>
    <col min="1" max="1" width="8.5703125" customWidth="1"/>
    <col min="2" max="2" width="19.5703125" customWidth="1"/>
    <col min="3" max="3" width="10.5703125" customWidth="1"/>
    <col min="4" max="4" width="42.42578125" customWidth="1"/>
    <col min="5" max="5" width="52.5703125" bestFit="1" customWidth="1"/>
    <col min="6" max="6" width="12.5703125" customWidth="1"/>
    <col min="7" max="7" width="14.42578125" customWidth="1"/>
    <col min="8" max="8" width="14.5703125" customWidth="1"/>
    <col min="9" max="9" width="12.5703125" bestFit="1" customWidth="1"/>
    <col min="10" max="10" width="16.42578125" customWidth="1"/>
    <col min="11" max="11" width="35.5703125" customWidth="1"/>
    <col min="12" max="12" width="49.5703125" bestFit="1" customWidth="1"/>
  </cols>
  <sheetData>
    <row r="1" spans="1:12" s="20" customFormat="1" ht="6.75" customHeight="1">
      <c r="E1" s="119"/>
      <c r="K1" s="61"/>
      <c r="L1" s="61"/>
    </row>
    <row r="2" spans="1:12" s="20" customFormat="1" ht="12.75" customHeight="1">
      <c r="E2" s="119"/>
      <c r="K2" s="1078"/>
      <c r="L2" s="1078"/>
    </row>
    <row r="3" spans="1:12" s="20" customFormat="1" ht="10.5" customHeight="1">
      <c r="E3" s="119"/>
      <c r="K3" s="1079"/>
      <c r="L3" s="1079"/>
    </row>
    <row r="4" spans="1:12" s="20" customFormat="1" ht="13.5" thickBot="1">
      <c r="E4" s="119"/>
      <c r="K4" s="61"/>
      <c r="L4" s="61"/>
    </row>
    <row r="5" spans="1:12" s="336" customFormat="1" ht="21.75" thickTop="1" thickBot="1">
      <c r="B5" s="331" t="s">
        <v>4496</v>
      </c>
      <c r="C5" s="332"/>
      <c r="D5" s="332"/>
      <c r="E5" s="333"/>
      <c r="F5" s="332"/>
      <c r="G5" s="334"/>
      <c r="H5" s="334"/>
      <c r="I5" s="334"/>
      <c r="J5" s="334"/>
      <c r="K5" s="623"/>
      <c r="L5" s="623"/>
    </row>
    <row r="6" spans="1:12" s="20" customFormat="1" ht="17.25" thickTop="1" thickBot="1">
      <c r="A6" s="434" t="s">
        <v>1528</v>
      </c>
      <c r="B6" s="26"/>
      <c r="C6" s="26"/>
      <c r="D6" s="26"/>
      <c r="F6" s="121"/>
      <c r="G6" s="27"/>
      <c r="H6" s="27"/>
      <c r="I6" s="27"/>
      <c r="J6" s="27"/>
      <c r="K6" s="27"/>
      <c r="L6" s="27"/>
    </row>
    <row r="7" spans="1:12" s="20" customFormat="1" ht="16.5" customHeight="1" thickBot="1">
      <c r="B7" s="26"/>
      <c r="C7" s="26"/>
      <c r="D7" s="26"/>
      <c r="E7" s="121"/>
      <c r="F7" s="1129" t="s">
        <v>1026</v>
      </c>
      <c r="G7" s="1130"/>
      <c r="H7" s="1130"/>
      <c r="I7" s="1130"/>
      <c r="J7" s="1131"/>
      <c r="K7" s="27"/>
      <c r="L7" s="27"/>
    </row>
    <row r="8" spans="1:12" s="330" customFormat="1" ht="24" customHeight="1" thickBot="1">
      <c r="B8" s="624" t="s">
        <v>992</v>
      </c>
      <c r="C8" s="625" t="s">
        <v>2892</v>
      </c>
      <c r="D8" s="624" t="s">
        <v>993</v>
      </c>
      <c r="E8" s="624" t="s">
        <v>994</v>
      </c>
      <c r="F8" s="624" t="s">
        <v>0</v>
      </c>
      <c r="G8" s="624" t="s">
        <v>1</v>
      </c>
      <c r="H8" s="624" t="s">
        <v>995</v>
      </c>
      <c r="I8" s="626" t="s">
        <v>996</v>
      </c>
      <c r="J8" s="626" t="s">
        <v>2511</v>
      </c>
      <c r="K8" s="624" t="s">
        <v>4</v>
      </c>
      <c r="L8" s="663" t="s">
        <v>4523</v>
      </c>
    </row>
    <row r="9" spans="1:12" s="1" customFormat="1" ht="41.25" customHeight="1">
      <c r="B9" s="148" t="s">
        <v>4492</v>
      </c>
      <c r="C9" s="603" t="s">
        <v>2893</v>
      </c>
      <c r="D9" s="208" t="s">
        <v>4493</v>
      </c>
      <c r="E9" s="208" t="s">
        <v>1023</v>
      </c>
      <c r="F9" s="540" t="s">
        <v>4494</v>
      </c>
      <c r="G9" s="540" t="s">
        <v>4495</v>
      </c>
      <c r="H9" s="540" t="s">
        <v>4495</v>
      </c>
      <c r="I9" s="540" t="s">
        <v>4495</v>
      </c>
      <c r="J9" s="550"/>
      <c r="K9" s="533" t="s">
        <v>2888</v>
      </c>
      <c r="L9" s="664" t="s">
        <v>2487</v>
      </c>
    </row>
    <row r="10" spans="1:12" s="1" customFormat="1" ht="72">
      <c r="B10" s="148" t="s">
        <v>4497</v>
      </c>
      <c r="C10" s="603" t="s">
        <v>2908</v>
      </c>
      <c r="D10" s="528" t="s">
        <v>4582</v>
      </c>
      <c r="E10" s="208" t="s">
        <v>1330</v>
      </c>
      <c r="F10" s="540" t="s">
        <v>4498</v>
      </c>
      <c r="G10" s="540" t="s">
        <v>4499</v>
      </c>
      <c r="H10" s="540" t="s">
        <v>4499</v>
      </c>
      <c r="I10" s="550"/>
      <c r="J10" s="540" t="s">
        <v>4499</v>
      </c>
      <c r="K10" s="533"/>
      <c r="L10" s="533"/>
    </row>
    <row r="11" spans="1:12" s="1" customFormat="1" ht="72">
      <c r="B11" s="148" t="s">
        <v>4500</v>
      </c>
      <c r="C11" s="603" t="s">
        <v>3916</v>
      </c>
      <c r="D11" s="528" t="s">
        <v>4513</v>
      </c>
      <c r="E11" s="208" t="s">
        <v>4501</v>
      </c>
      <c r="F11" s="540" t="s">
        <v>4502</v>
      </c>
      <c r="G11" s="540" t="s">
        <v>4499</v>
      </c>
      <c r="H11" s="540" t="s">
        <v>4499</v>
      </c>
      <c r="I11" s="550"/>
      <c r="J11" s="540" t="s">
        <v>4503</v>
      </c>
      <c r="K11" s="533"/>
      <c r="L11" s="533"/>
    </row>
    <row r="12" spans="1:12" s="1" customFormat="1" ht="36">
      <c r="B12" s="148" t="s">
        <v>4504</v>
      </c>
      <c r="C12" s="603" t="s">
        <v>2919</v>
      </c>
      <c r="D12" s="528" t="s">
        <v>4505</v>
      </c>
      <c r="E12" s="208" t="s">
        <v>1023</v>
      </c>
      <c r="F12" s="540" t="s">
        <v>4506</v>
      </c>
      <c r="G12" s="540" t="s">
        <v>4507</v>
      </c>
      <c r="H12" s="540" t="s">
        <v>4507</v>
      </c>
      <c r="I12" s="550"/>
      <c r="J12" s="550"/>
      <c r="K12" s="533" t="s">
        <v>1843</v>
      </c>
      <c r="L12" s="533"/>
    </row>
    <row r="13" spans="1:12" s="1" customFormat="1" ht="36">
      <c r="B13" s="148" t="s">
        <v>4508</v>
      </c>
      <c r="C13" s="603" t="s">
        <v>2919</v>
      </c>
      <c r="D13" s="528" t="s">
        <v>4511</v>
      </c>
      <c r="E13" s="208" t="s">
        <v>1023</v>
      </c>
      <c r="F13" s="540" t="s">
        <v>4509</v>
      </c>
      <c r="G13" s="540" t="s">
        <v>4510</v>
      </c>
      <c r="H13" s="540" t="s">
        <v>4510</v>
      </c>
      <c r="I13" s="550"/>
      <c r="J13" s="550"/>
      <c r="K13" s="533" t="s">
        <v>1843</v>
      </c>
      <c r="L13" s="533"/>
    </row>
    <row r="14" spans="1:12" s="1" customFormat="1" ht="94.5" customHeight="1">
      <c r="B14" s="148" t="s">
        <v>4512</v>
      </c>
      <c r="C14" s="603" t="s">
        <v>2908</v>
      </c>
      <c r="D14" s="528" t="s">
        <v>4514</v>
      </c>
      <c r="E14" s="208" t="s">
        <v>995</v>
      </c>
      <c r="F14" s="540" t="s">
        <v>4516</v>
      </c>
      <c r="G14" s="540" t="s">
        <v>4516</v>
      </c>
      <c r="H14" s="540" t="s">
        <v>4515</v>
      </c>
      <c r="I14" s="550"/>
      <c r="J14" s="550"/>
      <c r="K14" s="662" t="s">
        <v>4518</v>
      </c>
      <c r="L14" s="664" t="s">
        <v>4517</v>
      </c>
    </row>
    <row r="15" spans="1:12" s="1" customFormat="1" ht="94.5" customHeight="1">
      <c r="B15" s="148" t="s">
        <v>4519</v>
      </c>
      <c r="C15" s="603" t="s">
        <v>2908</v>
      </c>
      <c r="D15" s="528" t="s">
        <v>4520</v>
      </c>
      <c r="E15" s="208" t="s">
        <v>4521</v>
      </c>
      <c r="F15" s="540" t="s">
        <v>4524</v>
      </c>
      <c r="G15" s="540" t="s">
        <v>4524</v>
      </c>
      <c r="H15" s="540" t="s">
        <v>4525</v>
      </c>
      <c r="I15" s="550"/>
      <c r="J15" s="550"/>
      <c r="K15" s="662" t="s">
        <v>4526</v>
      </c>
      <c r="L15" s="664" t="s">
        <v>4522</v>
      </c>
    </row>
    <row r="16" spans="1:12" s="1" customFormat="1" ht="94.5" customHeight="1">
      <c r="B16" s="148" t="s">
        <v>4527</v>
      </c>
      <c r="C16" s="603" t="s">
        <v>3141</v>
      </c>
      <c r="D16" s="528" t="s">
        <v>4528</v>
      </c>
      <c r="E16" s="208" t="s">
        <v>996</v>
      </c>
      <c r="F16" s="550"/>
      <c r="G16" s="550"/>
      <c r="H16" s="550"/>
      <c r="I16" s="540" t="s">
        <v>4531</v>
      </c>
      <c r="J16" s="550"/>
      <c r="K16" s="662" t="s">
        <v>4529</v>
      </c>
      <c r="L16" s="664" t="s">
        <v>4530</v>
      </c>
    </row>
    <row r="17" spans="2:14" s="1" customFormat="1" ht="94.5" customHeight="1">
      <c r="B17" s="148" t="s">
        <v>4532</v>
      </c>
      <c r="C17" s="603" t="s">
        <v>2894</v>
      </c>
      <c r="D17" s="528" t="s">
        <v>4533</v>
      </c>
      <c r="E17" s="208" t="s">
        <v>995</v>
      </c>
      <c r="F17" s="540" t="s">
        <v>4534</v>
      </c>
      <c r="G17" s="540" t="s">
        <v>4534</v>
      </c>
      <c r="H17" s="540" t="s">
        <v>4535</v>
      </c>
      <c r="I17" s="550"/>
      <c r="J17" s="550"/>
      <c r="K17" s="662" t="s">
        <v>2145</v>
      </c>
      <c r="L17" s="664"/>
    </row>
    <row r="18" spans="2:14" s="1" customFormat="1" ht="94.5" customHeight="1">
      <c r="B18" s="148" t="s">
        <v>4536</v>
      </c>
      <c r="C18" s="603" t="s">
        <v>2894</v>
      </c>
      <c r="D18" s="528" t="s">
        <v>4537</v>
      </c>
      <c r="E18" s="208" t="s">
        <v>4538</v>
      </c>
      <c r="F18" s="540" t="s">
        <v>4539</v>
      </c>
      <c r="G18" s="550"/>
      <c r="H18" s="540" t="s">
        <v>4539</v>
      </c>
      <c r="I18" s="550"/>
      <c r="J18" s="550"/>
      <c r="K18" s="662" t="s">
        <v>2145</v>
      </c>
      <c r="L18" s="664"/>
    </row>
    <row r="19" spans="2:14" s="1" customFormat="1" ht="94.5" customHeight="1">
      <c r="B19" s="148" t="s">
        <v>4540</v>
      </c>
      <c r="C19" s="603" t="s">
        <v>2962</v>
      </c>
      <c r="D19" s="528" t="s">
        <v>4541</v>
      </c>
      <c r="E19" s="208" t="s">
        <v>2467</v>
      </c>
      <c r="F19" s="550"/>
      <c r="G19" s="550"/>
      <c r="H19" s="550"/>
      <c r="I19" s="550"/>
      <c r="J19" s="540" t="s">
        <v>4542</v>
      </c>
      <c r="K19" s="662"/>
      <c r="L19" s="664"/>
    </row>
    <row r="20" spans="2:14" s="1" customFormat="1" ht="94.5" customHeight="1">
      <c r="B20" s="148" t="s">
        <v>4543</v>
      </c>
      <c r="C20" s="603" t="s">
        <v>2908</v>
      </c>
      <c r="D20" s="528" t="s">
        <v>4544</v>
      </c>
      <c r="E20" s="208" t="s">
        <v>1023</v>
      </c>
      <c r="F20" s="540" t="s">
        <v>4545</v>
      </c>
      <c r="G20" s="540" t="s">
        <v>4546</v>
      </c>
      <c r="H20" s="540" t="s">
        <v>4546</v>
      </c>
      <c r="I20" s="550"/>
      <c r="J20" s="550"/>
      <c r="K20" s="665" t="s">
        <v>2860</v>
      </c>
      <c r="L20" s="664" t="s">
        <v>4522</v>
      </c>
    </row>
    <row r="21" spans="2:14" s="1" customFormat="1" ht="94.5" customHeight="1">
      <c r="B21" s="148" t="s">
        <v>4547</v>
      </c>
      <c r="C21" s="603" t="s">
        <v>2893</v>
      </c>
      <c r="D21" s="528" t="s">
        <v>4548</v>
      </c>
      <c r="E21" s="208" t="s">
        <v>2302</v>
      </c>
      <c r="F21" s="540" t="s">
        <v>4549</v>
      </c>
      <c r="G21" s="540" t="s">
        <v>4550</v>
      </c>
      <c r="H21" s="540" t="s">
        <v>4550</v>
      </c>
      <c r="I21" s="550"/>
      <c r="J21" s="550"/>
      <c r="K21" s="665" t="s">
        <v>4551</v>
      </c>
      <c r="L21" s="664" t="s">
        <v>4552</v>
      </c>
    </row>
    <row r="22" spans="2:14" s="1" customFormat="1" ht="94.5" customHeight="1">
      <c r="B22" s="148" t="s">
        <v>4553</v>
      </c>
      <c r="C22" s="603" t="s">
        <v>2908</v>
      </c>
      <c r="D22" s="528" t="s">
        <v>4554</v>
      </c>
      <c r="E22" s="208" t="s">
        <v>1023</v>
      </c>
      <c r="F22" s="540" t="s">
        <v>4555</v>
      </c>
      <c r="G22" s="540" t="s">
        <v>4556</v>
      </c>
      <c r="H22" s="540" t="s">
        <v>4556</v>
      </c>
      <c r="I22" s="550"/>
      <c r="J22" s="550"/>
      <c r="K22" s="665" t="s">
        <v>4557</v>
      </c>
      <c r="L22" s="664"/>
    </row>
    <row r="23" spans="2:14" s="1" customFormat="1" ht="94.5" customHeight="1">
      <c r="B23" s="148" t="s">
        <v>4558</v>
      </c>
      <c r="C23" s="603" t="s">
        <v>2894</v>
      </c>
      <c r="D23" s="528" t="s">
        <v>4559</v>
      </c>
      <c r="E23" s="208" t="s">
        <v>4560</v>
      </c>
      <c r="F23" s="540" t="s">
        <v>4561</v>
      </c>
      <c r="G23" s="540" t="s">
        <v>4562</v>
      </c>
      <c r="H23" s="540" t="s">
        <v>4562</v>
      </c>
      <c r="I23" s="550"/>
      <c r="J23" s="550"/>
      <c r="K23" s="665" t="s">
        <v>4564</v>
      </c>
      <c r="L23" s="664"/>
    </row>
    <row r="24" spans="2:14" s="1" customFormat="1" ht="94.5" customHeight="1">
      <c r="B24" s="148" t="s">
        <v>4563</v>
      </c>
      <c r="C24" s="603" t="s">
        <v>2894</v>
      </c>
      <c r="D24" s="528" t="s">
        <v>4565</v>
      </c>
      <c r="E24" s="208" t="s">
        <v>4560</v>
      </c>
      <c r="F24" s="540" t="s">
        <v>4567</v>
      </c>
      <c r="G24" s="540" t="s">
        <v>4568</v>
      </c>
      <c r="H24" s="540" t="s">
        <v>4568</v>
      </c>
      <c r="I24" s="550"/>
      <c r="J24" s="550"/>
      <c r="K24" s="665" t="s">
        <v>4564</v>
      </c>
      <c r="L24" s="664"/>
    </row>
    <row r="25" spans="2:14" s="1" customFormat="1" ht="94.5" customHeight="1">
      <c r="B25" s="148" t="s">
        <v>4571</v>
      </c>
      <c r="C25" s="603" t="s">
        <v>2894</v>
      </c>
      <c r="D25" s="528" t="s">
        <v>4566</v>
      </c>
      <c r="E25" s="208" t="s">
        <v>4560</v>
      </c>
      <c r="F25" s="540" t="s">
        <v>4569</v>
      </c>
      <c r="G25" s="540" t="s">
        <v>4570</v>
      </c>
      <c r="H25" s="540" t="s">
        <v>4570</v>
      </c>
      <c r="I25" s="550"/>
      <c r="J25" s="550"/>
      <c r="K25" s="665" t="s">
        <v>4564</v>
      </c>
      <c r="L25" s="664"/>
    </row>
    <row r="26" spans="2:14" s="1" customFormat="1" ht="94.5" customHeight="1">
      <c r="B26" s="148" t="s">
        <v>4572</v>
      </c>
      <c r="C26" s="603" t="s">
        <v>2894</v>
      </c>
      <c r="D26" s="528" t="s">
        <v>4573</v>
      </c>
      <c r="E26" s="208" t="s">
        <v>4574</v>
      </c>
      <c r="F26" s="540" t="s">
        <v>4575</v>
      </c>
      <c r="G26" s="540" t="s">
        <v>4576</v>
      </c>
      <c r="H26" s="540" t="s">
        <v>4576</v>
      </c>
      <c r="I26" s="550"/>
      <c r="J26" s="550"/>
      <c r="K26" s="665" t="s">
        <v>4564</v>
      </c>
      <c r="L26" s="665" t="s">
        <v>4687</v>
      </c>
    </row>
    <row r="27" spans="2:14" s="1" customFormat="1" ht="72">
      <c r="B27" s="148" t="s">
        <v>4579</v>
      </c>
      <c r="C27" s="603" t="s">
        <v>2908</v>
      </c>
      <c r="D27" s="528" t="s">
        <v>4577</v>
      </c>
      <c r="E27" s="208" t="s">
        <v>1330</v>
      </c>
      <c r="F27" s="540" t="s">
        <v>4580</v>
      </c>
      <c r="G27" s="540" t="s">
        <v>4581</v>
      </c>
      <c r="H27" s="540" t="s">
        <v>4581</v>
      </c>
      <c r="I27" s="550"/>
      <c r="J27" s="540" t="s">
        <v>4581</v>
      </c>
      <c r="K27" s="533" t="s">
        <v>2510</v>
      </c>
      <c r="L27" s="665" t="s">
        <v>4578</v>
      </c>
    </row>
    <row r="28" spans="2:14" s="1" customFormat="1" ht="36">
      <c r="B28" s="148" t="s">
        <v>4583</v>
      </c>
      <c r="C28" s="603" t="s">
        <v>2908</v>
      </c>
      <c r="D28" s="528" t="s">
        <v>4584</v>
      </c>
      <c r="E28" s="208" t="s">
        <v>1023</v>
      </c>
      <c r="F28" s="540" t="s">
        <v>4585</v>
      </c>
      <c r="G28" s="540" t="s">
        <v>4586</v>
      </c>
      <c r="H28" s="540" t="s">
        <v>4586</v>
      </c>
      <c r="I28" s="550"/>
      <c r="J28" s="550"/>
      <c r="K28" s="533"/>
      <c r="L28" s="665"/>
      <c r="M28" s="1" t="s">
        <v>4587</v>
      </c>
    </row>
    <row r="29" spans="2:14" s="1" customFormat="1" ht="36">
      <c r="B29" s="148" t="s">
        <v>4588</v>
      </c>
      <c r="C29" s="603" t="s">
        <v>2908</v>
      </c>
      <c r="D29" s="528" t="s">
        <v>4589</v>
      </c>
      <c r="E29" s="208" t="s">
        <v>1023</v>
      </c>
      <c r="F29" s="540" t="s">
        <v>4590</v>
      </c>
      <c r="G29" s="540" t="s">
        <v>4591</v>
      </c>
      <c r="H29" s="540" t="s">
        <v>4591</v>
      </c>
      <c r="I29" s="550"/>
      <c r="J29" s="550"/>
      <c r="K29" s="533" t="s">
        <v>2860</v>
      </c>
      <c r="L29" s="665"/>
      <c r="M29" s="1" t="s">
        <v>4587</v>
      </c>
    </row>
    <row r="30" spans="2:14" s="1" customFormat="1" ht="94.5" customHeight="1">
      <c r="B30" s="148" t="s">
        <v>4592</v>
      </c>
      <c r="C30" s="603" t="s">
        <v>3141</v>
      </c>
      <c r="D30" s="528" t="s">
        <v>4593</v>
      </c>
      <c r="E30" s="208" t="s">
        <v>996</v>
      </c>
      <c r="F30" s="550"/>
      <c r="G30" s="550"/>
      <c r="H30" s="550"/>
      <c r="I30" s="540" t="s">
        <v>4594</v>
      </c>
      <c r="J30" s="550"/>
      <c r="K30" s="665" t="s">
        <v>4596</v>
      </c>
      <c r="L30" s="664" t="s">
        <v>4530</v>
      </c>
      <c r="M30" s="1" t="s">
        <v>4595</v>
      </c>
    </row>
    <row r="31" spans="2:14" s="437" customFormat="1" ht="36">
      <c r="B31" s="615" t="s">
        <v>4597</v>
      </c>
      <c r="C31" s="607" t="s">
        <v>2919</v>
      </c>
      <c r="D31" s="608" t="s">
        <v>4598</v>
      </c>
      <c r="E31" s="516" t="s">
        <v>2081</v>
      </c>
      <c r="F31" s="545" t="s">
        <v>4599</v>
      </c>
      <c r="G31" s="545" t="s">
        <v>4600</v>
      </c>
      <c r="H31" s="545" t="s">
        <v>4600</v>
      </c>
      <c r="I31" s="548"/>
      <c r="J31" s="548"/>
      <c r="K31" s="538" t="s">
        <v>1134</v>
      </c>
      <c r="L31" s="662" t="s">
        <v>4601</v>
      </c>
      <c r="M31" s="437">
        <f>608.09*60%</f>
        <v>364.85399999999998</v>
      </c>
      <c r="N31" s="437" t="s">
        <v>4602</v>
      </c>
    </row>
    <row r="32" spans="2:14" s="1" customFormat="1" ht="36">
      <c r="B32" s="148" t="s">
        <v>4603</v>
      </c>
      <c r="C32" s="603" t="s">
        <v>2908</v>
      </c>
      <c r="D32" s="528" t="s">
        <v>4604</v>
      </c>
      <c r="E32" s="208" t="s">
        <v>1023</v>
      </c>
      <c r="F32" s="540" t="s">
        <v>4605</v>
      </c>
      <c r="G32" s="540" t="s">
        <v>4606</v>
      </c>
      <c r="H32" s="540" t="s">
        <v>4606</v>
      </c>
      <c r="I32" s="550"/>
      <c r="J32" s="550"/>
      <c r="K32" s="533"/>
      <c r="L32" s="665"/>
      <c r="N32" s="1" t="s">
        <v>4602</v>
      </c>
    </row>
    <row r="33" spans="2:14" s="1" customFormat="1" ht="54">
      <c r="B33" s="148" t="s">
        <v>4607</v>
      </c>
      <c r="C33" s="603" t="s">
        <v>2908</v>
      </c>
      <c r="D33" s="528" t="s">
        <v>4608</v>
      </c>
      <c r="E33" s="528" t="s">
        <v>4501</v>
      </c>
      <c r="F33" s="540" t="s">
        <v>4609</v>
      </c>
      <c r="G33" s="540" t="s">
        <v>4610</v>
      </c>
      <c r="H33" s="540" t="s">
        <v>4610</v>
      </c>
      <c r="I33" s="550"/>
      <c r="J33" s="540" t="s">
        <v>4610</v>
      </c>
      <c r="K33" s="533"/>
      <c r="L33" s="665"/>
      <c r="N33" s="1" t="s">
        <v>4602</v>
      </c>
    </row>
    <row r="34" spans="2:14" s="1" customFormat="1" ht="36">
      <c r="B34" s="148" t="s">
        <v>4611</v>
      </c>
      <c r="C34" s="603" t="s">
        <v>2893</v>
      </c>
      <c r="D34" s="528" t="s">
        <v>4612</v>
      </c>
      <c r="E34" s="208" t="s">
        <v>4613</v>
      </c>
      <c r="F34" s="540" t="s">
        <v>4614</v>
      </c>
      <c r="G34" s="540" t="s">
        <v>4615</v>
      </c>
      <c r="H34" s="540" t="s">
        <v>4615</v>
      </c>
      <c r="I34" s="550"/>
      <c r="J34" s="550"/>
      <c r="K34" s="533" t="s">
        <v>2724</v>
      </c>
      <c r="L34" s="665"/>
      <c r="N34" s="1" t="s">
        <v>4602</v>
      </c>
    </row>
    <row r="35" spans="2:14" s="1" customFormat="1" ht="72">
      <c r="B35" s="148" t="s">
        <v>4616</v>
      </c>
      <c r="C35" s="603" t="s">
        <v>2962</v>
      </c>
      <c r="D35" s="528" t="s">
        <v>4617</v>
      </c>
      <c r="E35" s="528" t="s">
        <v>4618</v>
      </c>
      <c r="F35" s="550"/>
      <c r="G35" s="550"/>
      <c r="H35" s="550"/>
      <c r="I35" s="550"/>
      <c r="J35" s="540" t="s">
        <v>4619</v>
      </c>
      <c r="K35" s="533"/>
      <c r="L35" s="665"/>
      <c r="N35" s="1" t="s">
        <v>4602</v>
      </c>
    </row>
    <row r="36" spans="2:14" s="1" customFormat="1" ht="36">
      <c r="B36" s="148" t="s">
        <v>4620</v>
      </c>
      <c r="C36" s="603" t="s">
        <v>2919</v>
      </c>
      <c r="D36" s="528" t="s">
        <v>4621</v>
      </c>
      <c r="E36" s="208" t="s">
        <v>4622</v>
      </c>
      <c r="F36" s="540" t="s">
        <v>4623</v>
      </c>
      <c r="G36" s="540" t="s">
        <v>4624</v>
      </c>
      <c r="H36" s="540" t="s">
        <v>4623</v>
      </c>
      <c r="I36" s="550"/>
      <c r="J36" s="550"/>
      <c r="K36" s="533"/>
      <c r="L36" s="665"/>
      <c r="N36" s="1" t="s">
        <v>4602</v>
      </c>
    </row>
    <row r="37" spans="2:14" s="1" customFormat="1" ht="36">
      <c r="B37" s="148" t="s">
        <v>4625</v>
      </c>
      <c r="C37" s="603" t="s">
        <v>2894</v>
      </c>
      <c r="D37" s="528" t="s">
        <v>4630</v>
      </c>
      <c r="E37" s="208" t="s">
        <v>4626</v>
      </c>
      <c r="F37" s="540" t="s">
        <v>4627</v>
      </c>
      <c r="G37" s="540" t="s">
        <v>4628</v>
      </c>
      <c r="H37" s="540" t="s">
        <v>4628</v>
      </c>
      <c r="I37" s="540" t="s">
        <v>4629</v>
      </c>
      <c r="J37" s="550"/>
      <c r="K37" s="533"/>
      <c r="L37" s="665" t="s">
        <v>4631</v>
      </c>
      <c r="N37" s="1" t="s">
        <v>4602</v>
      </c>
    </row>
    <row r="38" spans="2:14" s="1" customFormat="1" ht="36">
      <c r="B38" s="148" t="s">
        <v>4632</v>
      </c>
      <c r="C38" s="603" t="s">
        <v>2919</v>
      </c>
      <c r="D38" s="528" t="s">
        <v>4633</v>
      </c>
      <c r="E38" s="208" t="s">
        <v>995</v>
      </c>
      <c r="F38" s="540" t="s">
        <v>4635</v>
      </c>
      <c r="G38" s="540" t="s">
        <v>4635</v>
      </c>
      <c r="H38" s="540" t="s">
        <v>4634</v>
      </c>
      <c r="I38" s="550"/>
      <c r="J38" s="550"/>
      <c r="K38" s="533"/>
      <c r="L38" s="665"/>
      <c r="N38" s="1" t="s">
        <v>4602</v>
      </c>
    </row>
    <row r="39" spans="2:14" s="1" customFormat="1" ht="36">
      <c r="B39" s="148" t="s">
        <v>4636</v>
      </c>
      <c r="C39" s="603" t="s">
        <v>2962</v>
      </c>
      <c r="D39" s="528" t="s">
        <v>4637</v>
      </c>
      <c r="E39" s="208" t="s">
        <v>2467</v>
      </c>
      <c r="F39" s="550"/>
      <c r="G39" s="550"/>
      <c r="H39" s="550"/>
      <c r="I39" s="550"/>
      <c r="J39" s="540" t="s">
        <v>4638</v>
      </c>
      <c r="K39" s="533"/>
      <c r="L39" s="665"/>
      <c r="M39" s="1">
        <v>88.78</v>
      </c>
      <c r="N39" s="1" t="s">
        <v>4602</v>
      </c>
    </row>
    <row r="40" spans="2:14" s="1" customFormat="1" ht="54">
      <c r="B40" s="1137" t="s">
        <v>4639</v>
      </c>
      <c r="C40" s="1138" t="s">
        <v>2894</v>
      </c>
      <c r="D40" s="528" t="s">
        <v>4815</v>
      </c>
      <c r="E40" s="208" t="s">
        <v>4640</v>
      </c>
      <c r="F40" s="1143" t="s">
        <v>4641</v>
      </c>
      <c r="G40" s="1142" t="s">
        <v>4642</v>
      </c>
      <c r="H40" s="1142" t="s">
        <v>4642</v>
      </c>
      <c r="I40" s="550"/>
      <c r="J40" s="550"/>
      <c r="K40" s="533"/>
      <c r="L40" s="665"/>
      <c r="M40" s="1">
        <v>450</v>
      </c>
      <c r="N40" s="1" t="s">
        <v>4602</v>
      </c>
    </row>
    <row r="41" spans="2:14" s="1" customFormat="1" ht="54">
      <c r="B41" s="1123"/>
      <c r="C41" s="1125"/>
      <c r="D41" s="528" t="s">
        <v>4814</v>
      </c>
      <c r="E41" s="208" t="s">
        <v>4816</v>
      </c>
      <c r="F41" s="1127"/>
      <c r="G41" s="1123"/>
      <c r="H41" s="1123"/>
      <c r="I41" s="550"/>
      <c r="J41" s="550"/>
      <c r="K41" s="533"/>
      <c r="L41" s="665"/>
    </row>
    <row r="42" spans="2:14" s="1" customFormat="1" ht="36">
      <c r="B42" s="148" t="s">
        <v>4643</v>
      </c>
      <c r="C42" s="603" t="s">
        <v>3025</v>
      </c>
      <c r="D42" s="528" t="s">
        <v>4644</v>
      </c>
      <c r="E42" s="208" t="s">
        <v>4645</v>
      </c>
      <c r="F42" s="540" t="s">
        <v>4646</v>
      </c>
      <c r="G42" s="540" t="s">
        <v>4647</v>
      </c>
      <c r="H42" s="540" t="s">
        <v>4647</v>
      </c>
      <c r="I42" s="550"/>
      <c r="J42" s="550"/>
      <c r="K42" s="533" t="s">
        <v>4654</v>
      </c>
      <c r="L42" s="665"/>
      <c r="M42" s="666">
        <v>1946</v>
      </c>
      <c r="N42" s="1" t="s">
        <v>4602</v>
      </c>
    </row>
    <row r="43" spans="2:14" s="1" customFormat="1" ht="54">
      <c r="B43" s="1137" t="s">
        <v>4648</v>
      </c>
      <c r="C43" s="1138" t="s">
        <v>3025</v>
      </c>
      <c r="D43" s="528" t="s">
        <v>4649</v>
      </c>
      <c r="E43" s="208" t="s">
        <v>4651</v>
      </c>
      <c r="F43" s="1143" t="s">
        <v>4652</v>
      </c>
      <c r="G43" s="1142" t="s">
        <v>4653</v>
      </c>
      <c r="H43" s="1142" t="s">
        <v>4653</v>
      </c>
      <c r="I43" s="550"/>
      <c r="J43" s="550"/>
      <c r="K43" s="533" t="s">
        <v>4654</v>
      </c>
      <c r="L43" s="665"/>
      <c r="M43" s="666"/>
      <c r="N43" s="1" t="s">
        <v>4602</v>
      </c>
    </row>
    <row r="44" spans="2:14" s="1" customFormat="1" ht="72">
      <c r="B44" s="1123"/>
      <c r="C44" s="1125"/>
      <c r="D44" s="528" t="s">
        <v>4650</v>
      </c>
      <c r="E44" s="208" t="s">
        <v>4645</v>
      </c>
      <c r="F44" s="1127"/>
      <c r="G44" s="1123"/>
      <c r="H44" s="1123"/>
      <c r="I44" s="550"/>
      <c r="J44" s="550"/>
      <c r="K44" s="533" t="s">
        <v>4654</v>
      </c>
      <c r="L44" s="665"/>
      <c r="M44" s="666"/>
      <c r="N44" s="1" t="s">
        <v>4602</v>
      </c>
    </row>
    <row r="45" spans="2:14" s="1" customFormat="1" ht="18">
      <c r="B45" s="148" t="s">
        <v>4655</v>
      </c>
      <c r="C45" s="603" t="s">
        <v>2908</v>
      </c>
      <c r="D45" s="528" t="s">
        <v>4656</v>
      </c>
      <c r="E45" s="208" t="s">
        <v>995</v>
      </c>
      <c r="F45" s="540" t="s">
        <v>4657</v>
      </c>
      <c r="G45" s="540" t="s">
        <v>4657</v>
      </c>
      <c r="H45" s="540" t="s">
        <v>4658</v>
      </c>
      <c r="I45" s="550"/>
      <c r="J45" s="550"/>
      <c r="K45" s="533"/>
      <c r="L45" s="665"/>
      <c r="M45" s="666"/>
      <c r="N45" s="1" t="s">
        <v>4602</v>
      </c>
    </row>
    <row r="46" spans="2:14" s="1" customFormat="1" ht="36">
      <c r="B46" s="148" t="s">
        <v>4659</v>
      </c>
      <c r="C46" s="603" t="s">
        <v>2893</v>
      </c>
      <c r="D46" s="528" t="s">
        <v>4660</v>
      </c>
      <c r="E46" s="208" t="s">
        <v>1023</v>
      </c>
      <c r="F46" s="540" t="s">
        <v>4661</v>
      </c>
      <c r="G46" s="540" t="s">
        <v>4662</v>
      </c>
      <c r="H46" s="540" t="s">
        <v>4662</v>
      </c>
      <c r="I46" s="550"/>
      <c r="J46" s="550"/>
      <c r="K46" s="533"/>
      <c r="L46" s="665" t="s">
        <v>4711</v>
      </c>
      <c r="M46" s="666"/>
      <c r="N46" s="1" t="s">
        <v>4602</v>
      </c>
    </row>
    <row r="47" spans="2:14" s="1" customFormat="1" ht="36">
      <c r="B47" s="148" t="s">
        <v>4663</v>
      </c>
      <c r="C47" s="603" t="s">
        <v>2893</v>
      </c>
      <c r="D47" s="528" t="s">
        <v>4667</v>
      </c>
      <c r="E47" s="208" t="s">
        <v>4664</v>
      </c>
      <c r="F47" s="540" t="s">
        <v>4666</v>
      </c>
      <c r="G47" s="540" t="s">
        <v>4666</v>
      </c>
      <c r="H47" s="540" t="s">
        <v>4665</v>
      </c>
      <c r="I47" s="550"/>
      <c r="J47" s="550"/>
      <c r="K47" s="533" t="s">
        <v>4669</v>
      </c>
      <c r="L47" s="665"/>
      <c r="M47" s="666" t="s">
        <v>4668</v>
      </c>
    </row>
    <row r="48" spans="2:14" s="1" customFormat="1" ht="54">
      <c r="B48" s="148" t="s">
        <v>4670</v>
      </c>
      <c r="C48" s="603" t="s">
        <v>2919</v>
      </c>
      <c r="D48" s="528" t="s">
        <v>4671</v>
      </c>
      <c r="E48" s="208" t="s">
        <v>1</v>
      </c>
      <c r="F48" s="540" t="s">
        <v>4672</v>
      </c>
      <c r="G48" s="540" t="s">
        <v>4673</v>
      </c>
      <c r="H48" s="540" t="s">
        <v>4672</v>
      </c>
      <c r="I48" s="550"/>
      <c r="J48" s="550"/>
      <c r="K48" s="533" t="s">
        <v>3889</v>
      </c>
      <c r="L48" s="665"/>
      <c r="M48" s="666" t="s">
        <v>4674</v>
      </c>
    </row>
    <row r="49" spans="2:14" s="1" customFormat="1" ht="72">
      <c r="B49" s="148" t="s">
        <v>4675</v>
      </c>
      <c r="C49" s="603" t="s">
        <v>2917</v>
      </c>
      <c r="D49" s="528" t="s">
        <v>4680</v>
      </c>
      <c r="E49" s="208" t="s">
        <v>1</v>
      </c>
      <c r="F49" s="540" t="s">
        <v>4676</v>
      </c>
      <c r="G49" s="540" t="s">
        <v>4677</v>
      </c>
      <c r="H49" s="540" t="s">
        <v>4676</v>
      </c>
      <c r="I49" s="550"/>
      <c r="J49" s="550"/>
      <c r="K49" s="533" t="s">
        <v>4678</v>
      </c>
      <c r="L49" s="665"/>
      <c r="M49" s="666" t="s">
        <v>4679</v>
      </c>
    </row>
    <row r="50" spans="2:14" s="1" customFormat="1" ht="36">
      <c r="B50" s="148" t="s">
        <v>4681</v>
      </c>
      <c r="C50" s="603" t="s">
        <v>3025</v>
      </c>
      <c r="D50" s="528" t="s">
        <v>4682</v>
      </c>
      <c r="E50" s="208" t="s">
        <v>4683</v>
      </c>
      <c r="F50" s="540" t="s">
        <v>4684</v>
      </c>
      <c r="G50" s="540" t="s">
        <v>4685</v>
      </c>
      <c r="H50" s="540" t="s">
        <v>4685</v>
      </c>
      <c r="I50" s="540" t="s">
        <v>4685</v>
      </c>
      <c r="J50" s="550"/>
      <c r="K50" s="533" t="s">
        <v>3434</v>
      </c>
      <c r="L50" s="665" t="s">
        <v>4686</v>
      </c>
      <c r="M50" s="666"/>
    </row>
    <row r="51" spans="2:14" s="1" customFormat="1" ht="36">
      <c r="B51" s="148" t="s">
        <v>4688</v>
      </c>
      <c r="C51" s="603" t="s">
        <v>2962</v>
      </c>
      <c r="D51" s="528" t="s">
        <v>4689</v>
      </c>
      <c r="E51" s="208" t="s">
        <v>2467</v>
      </c>
      <c r="F51" s="540" t="s">
        <v>4691</v>
      </c>
      <c r="G51" s="540" t="s">
        <v>4691</v>
      </c>
      <c r="H51" s="540" t="s">
        <v>4691</v>
      </c>
      <c r="I51" s="550"/>
      <c r="J51" s="540" t="s">
        <v>4690</v>
      </c>
      <c r="K51" s="533"/>
      <c r="L51" s="665"/>
      <c r="M51" s="666" t="s">
        <v>3023</v>
      </c>
    </row>
    <row r="52" spans="2:14" s="1" customFormat="1" ht="36">
      <c r="B52" s="148" t="s">
        <v>4692</v>
      </c>
      <c r="C52" s="603" t="s">
        <v>3399</v>
      </c>
      <c r="D52" s="528" t="s">
        <v>4693</v>
      </c>
      <c r="E52" s="208" t="s">
        <v>4694</v>
      </c>
      <c r="F52" s="540" t="s">
        <v>4695</v>
      </c>
      <c r="G52" s="540" t="s">
        <v>4696</v>
      </c>
      <c r="H52" s="540" t="s">
        <v>4696</v>
      </c>
      <c r="I52" s="540" t="s">
        <v>4697</v>
      </c>
      <c r="J52" s="550"/>
      <c r="K52" s="533"/>
      <c r="L52" s="665" t="s">
        <v>4698</v>
      </c>
      <c r="M52" s="666"/>
    </row>
    <row r="53" spans="2:14" s="1" customFormat="1" ht="54">
      <c r="B53" s="148" t="s">
        <v>4699</v>
      </c>
      <c r="C53" s="603" t="s">
        <v>2919</v>
      </c>
      <c r="D53" s="528" t="s">
        <v>4700</v>
      </c>
      <c r="E53" s="208" t="s">
        <v>1023</v>
      </c>
      <c r="F53" s="540" t="s">
        <v>4701</v>
      </c>
      <c r="G53" s="540" t="s">
        <v>4702</v>
      </c>
      <c r="H53" s="540" t="s">
        <v>4702</v>
      </c>
      <c r="I53" s="550"/>
      <c r="J53" s="550"/>
      <c r="K53" s="533" t="s">
        <v>4163</v>
      </c>
      <c r="L53" s="665"/>
      <c r="M53" s="666" t="s">
        <v>4228</v>
      </c>
    </row>
    <row r="54" spans="2:14" s="1" customFormat="1" ht="36">
      <c r="B54" s="148" t="s">
        <v>4703</v>
      </c>
      <c r="C54" s="603" t="s">
        <v>3141</v>
      </c>
      <c r="D54" s="528" t="s">
        <v>4704</v>
      </c>
      <c r="E54" s="208" t="s">
        <v>996</v>
      </c>
      <c r="F54" s="550"/>
      <c r="G54" s="550"/>
      <c r="H54" s="550"/>
      <c r="I54" s="540" t="s">
        <v>4705</v>
      </c>
      <c r="J54" s="550"/>
      <c r="K54" s="533"/>
      <c r="L54" s="665"/>
      <c r="M54" s="666" t="s">
        <v>4706</v>
      </c>
    </row>
    <row r="55" spans="2:14" s="1" customFormat="1" ht="54">
      <c r="B55" s="148" t="s">
        <v>4707</v>
      </c>
      <c r="C55" s="603" t="s">
        <v>2893</v>
      </c>
      <c r="D55" s="528" t="s">
        <v>4708</v>
      </c>
      <c r="E55" s="208" t="s">
        <v>1023</v>
      </c>
      <c r="F55" s="540" t="s">
        <v>4709</v>
      </c>
      <c r="G55" s="540" t="s">
        <v>4710</v>
      </c>
      <c r="H55" s="540" t="s">
        <v>4710</v>
      </c>
      <c r="I55" s="550"/>
      <c r="J55" s="550"/>
      <c r="K55" s="533"/>
      <c r="L55" s="665" t="s">
        <v>4712</v>
      </c>
      <c r="M55" s="666"/>
      <c r="N55" s="1" t="s">
        <v>4602</v>
      </c>
    </row>
    <row r="56" spans="2:14" s="1" customFormat="1" ht="36">
      <c r="B56" s="148" t="s">
        <v>4713</v>
      </c>
      <c r="C56" s="603" t="s">
        <v>2893</v>
      </c>
      <c r="D56" s="528" t="s">
        <v>4714</v>
      </c>
      <c r="E56" s="208" t="s">
        <v>4715</v>
      </c>
      <c r="F56" s="540" t="s">
        <v>4716</v>
      </c>
      <c r="G56" s="540" t="s">
        <v>4716</v>
      </c>
      <c r="H56" s="540" t="s">
        <v>4718</v>
      </c>
      <c r="I56" s="550"/>
      <c r="J56" s="550"/>
      <c r="K56" s="533" t="s">
        <v>4669</v>
      </c>
      <c r="L56" s="665" t="s">
        <v>2324</v>
      </c>
      <c r="M56" s="666" t="s">
        <v>4717</v>
      </c>
    </row>
    <row r="57" spans="2:14" s="1" customFormat="1" ht="18">
      <c r="B57" s="148" t="s">
        <v>4719</v>
      </c>
      <c r="C57" s="603" t="s">
        <v>2908</v>
      </c>
      <c r="D57" s="528" t="s">
        <v>4720</v>
      </c>
      <c r="E57" s="208" t="s">
        <v>4721</v>
      </c>
      <c r="F57" s="540" t="s">
        <v>4722</v>
      </c>
      <c r="G57" s="540" t="s">
        <v>4723</v>
      </c>
      <c r="H57" s="540" t="s">
        <v>4723</v>
      </c>
      <c r="I57" s="550"/>
      <c r="J57" s="550"/>
      <c r="K57" s="533" t="s">
        <v>4724</v>
      </c>
      <c r="L57" s="665" t="s">
        <v>2324</v>
      </c>
      <c r="M57" s="666"/>
    </row>
    <row r="58" spans="2:14" s="1" customFormat="1" ht="36">
      <c r="B58" s="148" t="s">
        <v>4725</v>
      </c>
      <c r="C58" s="603" t="s">
        <v>2908</v>
      </c>
      <c r="D58" s="528" t="s">
        <v>4726</v>
      </c>
      <c r="E58" s="208" t="s">
        <v>995</v>
      </c>
      <c r="F58" s="540" t="s">
        <v>4727</v>
      </c>
      <c r="G58" s="540" t="s">
        <v>4727</v>
      </c>
      <c r="H58" s="540" t="s">
        <v>4728</v>
      </c>
      <c r="I58" s="550"/>
      <c r="J58" s="550"/>
      <c r="K58" s="533"/>
      <c r="L58" s="665" t="s">
        <v>2324</v>
      </c>
      <c r="M58" s="666"/>
    </row>
    <row r="59" spans="2:14" s="1" customFormat="1" ht="54">
      <c r="B59" s="148" t="s">
        <v>4729</v>
      </c>
      <c r="C59" s="603" t="s">
        <v>4198</v>
      </c>
      <c r="D59" s="528" t="s">
        <v>4730</v>
      </c>
      <c r="E59" s="208" t="s">
        <v>4731</v>
      </c>
      <c r="F59" s="540" t="s">
        <v>4732</v>
      </c>
      <c r="G59" s="540" t="s">
        <v>4732</v>
      </c>
      <c r="H59" s="540" t="s">
        <v>4764</v>
      </c>
      <c r="I59" s="540" t="s">
        <v>4733</v>
      </c>
      <c r="J59" s="550"/>
      <c r="K59" s="533"/>
      <c r="L59" s="665" t="s">
        <v>2324</v>
      </c>
      <c r="M59" s="666" t="s">
        <v>4734</v>
      </c>
    </row>
    <row r="60" spans="2:14" s="1" customFormat="1" ht="36">
      <c r="B60" s="148" t="s">
        <v>4735</v>
      </c>
      <c r="C60" s="603" t="s">
        <v>3263</v>
      </c>
      <c r="D60" s="528" t="s">
        <v>4736</v>
      </c>
      <c r="E60" s="208" t="s">
        <v>4737</v>
      </c>
      <c r="F60" s="540" t="s">
        <v>4739</v>
      </c>
      <c r="G60" s="540" t="s">
        <v>4738</v>
      </c>
      <c r="H60" s="540" t="s">
        <v>4739</v>
      </c>
      <c r="I60" s="550"/>
      <c r="J60" s="550"/>
      <c r="K60" s="533" t="s">
        <v>4740</v>
      </c>
      <c r="L60" s="665" t="s">
        <v>2324</v>
      </c>
      <c r="M60" s="666" t="s">
        <v>2648</v>
      </c>
    </row>
    <row r="61" spans="2:14" s="1" customFormat="1" ht="54">
      <c r="B61" s="148" t="s">
        <v>4741</v>
      </c>
      <c r="C61" s="603" t="s">
        <v>2908</v>
      </c>
      <c r="D61" s="528" t="s">
        <v>4742</v>
      </c>
      <c r="E61" s="208" t="s">
        <v>995</v>
      </c>
      <c r="F61" s="540" t="s">
        <v>4743</v>
      </c>
      <c r="G61" s="540" t="s">
        <v>4743</v>
      </c>
      <c r="H61" s="540" t="s">
        <v>4744</v>
      </c>
      <c r="I61" s="550"/>
      <c r="J61" s="550"/>
      <c r="K61" s="533"/>
      <c r="L61" s="665" t="s">
        <v>2324</v>
      </c>
      <c r="M61" s="666" t="s">
        <v>4745</v>
      </c>
    </row>
    <row r="62" spans="2:14" s="1" customFormat="1" ht="36">
      <c r="B62" s="148" t="s">
        <v>4746</v>
      </c>
      <c r="C62" s="603" t="s">
        <v>3771</v>
      </c>
      <c r="D62" s="528" t="s">
        <v>4747</v>
      </c>
      <c r="E62" s="528" t="s">
        <v>4748</v>
      </c>
      <c r="F62" s="540" t="s">
        <v>4749</v>
      </c>
      <c r="G62" s="540" t="s">
        <v>4750</v>
      </c>
      <c r="H62" s="540" t="s">
        <v>4750</v>
      </c>
      <c r="I62" s="540" t="s">
        <v>4751</v>
      </c>
      <c r="J62" s="550"/>
      <c r="K62" s="533"/>
      <c r="L62" s="665" t="s">
        <v>2324</v>
      </c>
      <c r="M62" s="666" t="s">
        <v>4745</v>
      </c>
    </row>
    <row r="63" spans="2:14" s="1" customFormat="1" ht="18">
      <c r="B63" s="148" t="s">
        <v>4752</v>
      </c>
      <c r="C63" s="603" t="s">
        <v>3025</v>
      </c>
      <c r="D63" s="528" t="s">
        <v>4753</v>
      </c>
      <c r="E63" s="208" t="s">
        <v>995</v>
      </c>
      <c r="F63" s="540" t="s">
        <v>4754</v>
      </c>
      <c r="G63" s="540" t="s">
        <v>4754</v>
      </c>
      <c r="H63" s="540" t="s">
        <v>4755</v>
      </c>
      <c r="I63" s="550"/>
      <c r="J63" s="550"/>
      <c r="K63" s="533"/>
      <c r="L63" s="665" t="s">
        <v>2324</v>
      </c>
      <c r="M63" s="666" t="s">
        <v>4745</v>
      </c>
    </row>
    <row r="64" spans="2:14" s="1" customFormat="1" ht="54">
      <c r="B64" s="148" t="s">
        <v>4756</v>
      </c>
      <c r="C64" s="603" t="s">
        <v>2919</v>
      </c>
      <c r="D64" s="528" t="s">
        <v>4757</v>
      </c>
      <c r="E64" s="208" t="s">
        <v>1023</v>
      </c>
      <c r="F64" s="540" t="s">
        <v>4758</v>
      </c>
      <c r="G64" s="540" t="s">
        <v>4759</v>
      </c>
      <c r="H64" s="540" t="s">
        <v>4759</v>
      </c>
      <c r="I64" s="550"/>
      <c r="J64" s="550"/>
      <c r="K64" s="533" t="s">
        <v>3017</v>
      </c>
      <c r="L64" s="665" t="s">
        <v>2324</v>
      </c>
      <c r="M64" s="666"/>
    </row>
    <row r="65" spans="1:14" s="1" customFormat="1" ht="72">
      <c r="B65" s="148" t="s">
        <v>4760</v>
      </c>
      <c r="C65" s="603" t="s">
        <v>2919</v>
      </c>
      <c r="D65" s="528" t="s">
        <v>4761</v>
      </c>
      <c r="E65" s="208" t="s">
        <v>2216</v>
      </c>
      <c r="F65" s="540" t="s">
        <v>4762</v>
      </c>
      <c r="G65" s="540" t="s">
        <v>4763</v>
      </c>
      <c r="H65" s="540" t="s">
        <v>4762</v>
      </c>
      <c r="I65" s="550"/>
      <c r="J65" s="550"/>
      <c r="K65" s="533" t="s">
        <v>3889</v>
      </c>
      <c r="L65" s="665" t="s">
        <v>2324</v>
      </c>
      <c r="M65" s="666"/>
    </row>
    <row r="66" spans="1:14" s="1" customFormat="1" ht="36">
      <c r="B66" s="148" t="s">
        <v>4765</v>
      </c>
      <c r="C66" s="603" t="s">
        <v>2917</v>
      </c>
      <c r="D66" s="528" t="s">
        <v>4766</v>
      </c>
      <c r="E66" s="208" t="s">
        <v>4767</v>
      </c>
      <c r="F66" s="540" t="s">
        <v>4768</v>
      </c>
      <c r="G66" s="540" t="s">
        <v>4769</v>
      </c>
      <c r="H66" s="540" t="s">
        <v>4768</v>
      </c>
      <c r="I66" s="550"/>
      <c r="J66" s="550"/>
      <c r="K66" s="533" t="s">
        <v>4678</v>
      </c>
      <c r="L66" s="665" t="s">
        <v>2324</v>
      </c>
      <c r="M66" s="666"/>
    </row>
    <row r="67" spans="1:14" s="1" customFormat="1" ht="68.849999999999994" customHeight="1">
      <c r="A67" s="669" t="s">
        <v>4781</v>
      </c>
      <c r="B67" s="148" t="s">
        <v>4771</v>
      </c>
      <c r="C67" s="603" t="s">
        <v>2917</v>
      </c>
      <c r="D67" s="528" t="s">
        <v>4770</v>
      </c>
      <c r="E67" s="528" t="s">
        <v>4772</v>
      </c>
      <c r="F67" s="540" t="s">
        <v>4773</v>
      </c>
      <c r="G67" s="540" t="s">
        <v>4774</v>
      </c>
      <c r="H67" s="540" t="s">
        <v>4773</v>
      </c>
      <c r="I67" s="550"/>
      <c r="J67" s="550"/>
      <c r="K67" s="533" t="s">
        <v>4456</v>
      </c>
      <c r="L67" s="664"/>
    </row>
    <row r="68" spans="1:14" ht="47.25">
      <c r="B68" s="148" t="s">
        <v>4775</v>
      </c>
      <c r="C68" s="532" t="s">
        <v>2893</v>
      </c>
      <c r="D68" s="489" t="s">
        <v>4776</v>
      </c>
      <c r="E68" s="668" t="s">
        <v>4010</v>
      </c>
      <c r="F68" s="532" t="s">
        <v>4779</v>
      </c>
      <c r="G68" s="532" t="s">
        <v>4780</v>
      </c>
      <c r="H68" s="532" t="s">
        <v>4780</v>
      </c>
      <c r="I68" s="555"/>
      <c r="J68" s="555"/>
      <c r="K68" s="533" t="s">
        <v>4778</v>
      </c>
      <c r="L68" s="667"/>
      <c r="M68" s="666" t="s">
        <v>4777</v>
      </c>
    </row>
    <row r="69" spans="1:14" s="1" customFormat="1" ht="54">
      <c r="B69" s="148" t="s">
        <v>4782</v>
      </c>
      <c r="C69" s="603" t="s">
        <v>4198</v>
      </c>
      <c r="D69" s="528" t="s">
        <v>4783</v>
      </c>
      <c r="E69" s="208" t="s">
        <v>4731</v>
      </c>
      <c r="F69" s="540" t="s">
        <v>4785</v>
      </c>
      <c r="G69" s="540" t="s">
        <v>4785</v>
      </c>
      <c r="H69" s="540" t="s">
        <v>4786</v>
      </c>
      <c r="I69" s="540" t="s">
        <v>4784</v>
      </c>
      <c r="J69" s="550"/>
      <c r="K69" s="533"/>
      <c r="L69" s="665"/>
      <c r="M69" s="666" t="s">
        <v>4357</v>
      </c>
    </row>
    <row r="70" spans="1:14" s="1" customFormat="1" ht="36">
      <c r="B70" s="148" t="s">
        <v>4787</v>
      </c>
      <c r="C70" s="603" t="s">
        <v>2908</v>
      </c>
      <c r="D70" s="528" t="s">
        <v>4788</v>
      </c>
      <c r="E70" s="208" t="s">
        <v>4789</v>
      </c>
      <c r="F70" s="540" t="s">
        <v>4790</v>
      </c>
      <c r="G70" s="540" t="s">
        <v>4790</v>
      </c>
      <c r="H70" s="540" t="s">
        <v>4791</v>
      </c>
      <c r="I70" s="550"/>
      <c r="J70" s="550"/>
      <c r="K70" s="533"/>
      <c r="L70" s="665"/>
      <c r="M70" s="666" t="s">
        <v>4357</v>
      </c>
    </row>
    <row r="71" spans="1:14" s="1" customFormat="1" ht="54">
      <c r="B71" s="148" t="s">
        <v>4792</v>
      </c>
      <c r="C71" s="603" t="s">
        <v>2893</v>
      </c>
      <c r="D71" s="528" t="s">
        <v>4793</v>
      </c>
      <c r="E71" s="208" t="s">
        <v>4613</v>
      </c>
      <c r="F71" s="540" t="s">
        <v>4794</v>
      </c>
      <c r="G71" s="540" t="s">
        <v>4795</v>
      </c>
      <c r="H71" s="540" t="s">
        <v>4795</v>
      </c>
      <c r="I71" s="550"/>
      <c r="J71" s="550"/>
      <c r="K71" s="533" t="s">
        <v>4797</v>
      </c>
      <c r="L71" s="665"/>
      <c r="M71" s="1" t="s">
        <v>4796</v>
      </c>
      <c r="N71" s="1" t="s">
        <v>2324</v>
      </c>
    </row>
    <row r="72" spans="1:14" s="1" customFormat="1" ht="36">
      <c r="B72" s="148" t="s">
        <v>4798</v>
      </c>
      <c r="C72" s="603" t="s">
        <v>2908</v>
      </c>
      <c r="D72" s="528" t="s">
        <v>4799</v>
      </c>
      <c r="E72" s="208" t="s">
        <v>1023</v>
      </c>
      <c r="F72" s="540" t="s">
        <v>4800</v>
      </c>
      <c r="G72" s="540" t="s">
        <v>4801</v>
      </c>
      <c r="H72" s="540" t="s">
        <v>4801</v>
      </c>
      <c r="I72" s="550"/>
      <c r="J72" s="550"/>
      <c r="K72" s="533"/>
      <c r="L72" s="665"/>
      <c r="M72" s="1" t="s">
        <v>4796</v>
      </c>
      <c r="N72" s="1" t="s">
        <v>2324</v>
      </c>
    </row>
    <row r="73" spans="1:14" s="1" customFormat="1" ht="54">
      <c r="B73" s="148" t="s">
        <v>4802</v>
      </c>
      <c r="C73" s="603" t="s">
        <v>3025</v>
      </c>
      <c r="D73" s="528" t="s">
        <v>4806</v>
      </c>
      <c r="E73" s="528" t="s">
        <v>4803</v>
      </c>
      <c r="F73" s="540" t="s">
        <v>4804</v>
      </c>
      <c r="G73" s="540" t="s">
        <v>4805</v>
      </c>
      <c r="H73" s="540" t="s">
        <v>4805</v>
      </c>
      <c r="I73" s="550"/>
      <c r="J73" s="550"/>
      <c r="K73" s="533"/>
      <c r="L73" s="665"/>
      <c r="N73" s="1" t="s">
        <v>2324</v>
      </c>
    </row>
    <row r="74" spans="1:14" s="1" customFormat="1" ht="72">
      <c r="B74" s="148" t="s">
        <v>4807</v>
      </c>
      <c r="C74" s="603" t="s">
        <v>2893</v>
      </c>
      <c r="D74" s="528" t="s">
        <v>4808</v>
      </c>
      <c r="E74" s="670" t="s">
        <v>4809</v>
      </c>
      <c r="F74" s="540" t="s">
        <v>4810</v>
      </c>
      <c r="G74" s="540" t="s">
        <v>4811</v>
      </c>
      <c r="H74" s="540" t="s">
        <v>4811</v>
      </c>
      <c r="I74" s="550"/>
      <c r="J74" s="550"/>
      <c r="K74" s="533" t="s">
        <v>4813</v>
      </c>
      <c r="L74" s="665"/>
      <c r="M74" s="1" t="s">
        <v>4812</v>
      </c>
    </row>
    <row r="75" spans="1:14" s="1" customFormat="1" ht="36">
      <c r="B75" s="148" t="s">
        <v>4817</v>
      </c>
      <c r="C75" s="603" t="s">
        <v>3025</v>
      </c>
      <c r="D75" s="528" t="s">
        <v>4818</v>
      </c>
      <c r="E75" s="670" t="s">
        <v>1</v>
      </c>
      <c r="F75" s="540" t="s">
        <v>4819</v>
      </c>
      <c r="G75" s="540" t="s">
        <v>4820</v>
      </c>
      <c r="H75" s="540" t="s">
        <v>4819</v>
      </c>
      <c r="I75" s="550"/>
      <c r="J75" s="550"/>
      <c r="K75" s="533" t="s">
        <v>3985</v>
      </c>
      <c r="L75" s="665" t="s">
        <v>4821</v>
      </c>
    </row>
    <row r="76" spans="1:14" ht="31.5">
      <c r="B76" s="148" t="s">
        <v>4822</v>
      </c>
      <c r="C76" s="532" t="s">
        <v>2893</v>
      </c>
      <c r="D76" s="489" t="s">
        <v>4823</v>
      </c>
      <c r="E76" s="668" t="s">
        <v>995</v>
      </c>
      <c r="F76" s="532" t="s">
        <v>4824</v>
      </c>
      <c r="G76" s="532" t="s">
        <v>4824</v>
      </c>
      <c r="H76" s="532" t="s">
        <v>4825</v>
      </c>
      <c r="I76" s="555"/>
      <c r="J76" s="555"/>
      <c r="K76" s="533" t="s">
        <v>957</v>
      </c>
      <c r="L76" s="667" t="s">
        <v>5066</v>
      </c>
      <c r="M76" s="666" t="s">
        <v>4826</v>
      </c>
    </row>
    <row r="77" spans="1:14" ht="32.85" customHeight="1">
      <c r="B77" s="148" t="s">
        <v>4827</v>
      </c>
      <c r="C77" s="532" t="s">
        <v>2908</v>
      </c>
      <c r="D77" s="489" t="s">
        <v>4828</v>
      </c>
      <c r="E77" s="668" t="s">
        <v>4829</v>
      </c>
      <c r="F77" s="532" t="s">
        <v>4830</v>
      </c>
      <c r="G77" s="532" t="s">
        <v>4831</v>
      </c>
      <c r="H77" s="532" t="s">
        <v>4831</v>
      </c>
      <c r="I77" s="532" t="s">
        <v>4848</v>
      </c>
      <c r="J77" s="555"/>
      <c r="K77" s="533"/>
      <c r="L77" s="667"/>
      <c r="M77" s="666"/>
    </row>
    <row r="78" spans="1:14" ht="32.85" customHeight="1">
      <c r="B78" s="148" t="s">
        <v>4832</v>
      </c>
      <c r="C78" s="532" t="s">
        <v>2962</v>
      </c>
      <c r="D78" s="489" t="s">
        <v>4833</v>
      </c>
      <c r="E78" s="668" t="s">
        <v>2467</v>
      </c>
      <c r="F78" s="532" t="s">
        <v>4834</v>
      </c>
      <c r="G78" s="532" t="s">
        <v>4834</v>
      </c>
      <c r="H78" s="532" t="s">
        <v>4834</v>
      </c>
      <c r="I78" s="555"/>
      <c r="J78" s="532" t="s">
        <v>4835</v>
      </c>
      <c r="K78" s="533"/>
      <c r="L78" s="667"/>
      <c r="M78" s="666" t="s">
        <v>4836</v>
      </c>
    </row>
    <row r="79" spans="1:14" ht="32.85" customHeight="1">
      <c r="B79" s="148" t="s">
        <v>4837</v>
      </c>
      <c r="C79" s="532" t="s">
        <v>2919</v>
      </c>
      <c r="D79" s="489" t="s">
        <v>4838</v>
      </c>
      <c r="E79" s="668" t="s">
        <v>1023</v>
      </c>
      <c r="F79" s="532" t="s">
        <v>4839</v>
      </c>
      <c r="G79" s="532" t="s">
        <v>4840</v>
      </c>
      <c r="H79" s="532" t="s">
        <v>4840</v>
      </c>
      <c r="I79" s="555"/>
      <c r="J79" s="555"/>
      <c r="K79" s="533" t="s">
        <v>4842</v>
      </c>
      <c r="L79" s="667"/>
      <c r="M79" s="666" t="s">
        <v>4841</v>
      </c>
    </row>
    <row r="80" spans="1:14" ht="32.85" customHeight="1">
      <c r="B80" s="148" t="s">
        <v>4843</v>
      </c>
      <c r="C80" s="532" t="s">
        <v>2919</v>
      </c>
      <c r="D80" s="489" t="s">
        <v>4844</v>
      </c>
      <c r="E80" s="668" t="s">
        <v>1023</v>
      </c>
      <c r="F80" s="532" t="s">
        <v>4845</v>
      </c>
      <c r="G80" s="532" t="s">
        <v>4846</v>
      </c>
      <c r="H80" s="532" t="s">
        <v>4846</v>
      </c>
      <c r="I80" s="555"/>
      <c r="J80" s="555"/>
      <c r="K80" s="533" t="s">
        <v>3344</v>
      </c>
      <c r="L80" s="667"/>
      <c r="M80" s="666" t="s">
        <v>4847</v>
      </c>
    </row>
    <row r="81" spans="2:13" ht="32.85" customHeight="1">
      <c r="B81" s="148" t="s">
        <v>4849</v>
      </c>
      <c r="C81" s="532" t="s">
        <v>3025</v>
      </c>
      <c r="D81" s="489" t="s">
        <v>4850</v>
      </c>
      <c r="E81" s="668" t="s">
        <v>1330</v>
      </c>
      <c r="F81" s="532" t="s">
        <v>4851</v>
      </c>
      <c r="G81" s="532" t="s">
        <v>4851</v>
      </c>
      <c r="H81" s="532" t="s">
        <v>4851</v>
      </c>
      <c r="I81" s="555"/>
      <c r="J81" s="555"/>
      <c r="K81" s="533" t="s">
        <v>4654</v>
      </c>
      <c r="L81" s="667"/>
      <c r="M81" s="666" t="s">
        <v>4852</v>
      </c>
    </row>
    <row r="82" spans="2:13" ht="47.25">
      <c r="B82" s="148" t="s">
        <v>4853</v>
      </c>
      <c r="C82" s="532" t="s">
        <v>3263</v>
      </c>
      <c r="D82" s="489" t="s">
        <v>4854</v>
      </c>
      <c r="E82" s="668" t="s">
        <v>4737</v>
      </c>
      <c r="F82" s="532" t="s">
        <v>4855</v>
      </c>
      <c r="G82" s="532" t="s">
        <v>4856</v>
      </c>
      <c r="H82" s="532" t="s">
        <v>4855</v>
      </c>
      <c r="I82" s="555"/>
      <c r="J82" s="555"/>
      <c r="K82" s="533" t="s">
        <v>2819</v>
      </c>
      <c r="L82" s="667"/>
      <c r="M82" s="666" t="s">
        <v>4857</v>
      </c>
    </row>
    <row r="83" spans="2:13" ht="18">
      <c r="B83" s="148" t="s">
        <v>4858</v>
      </c>
      <c r="C83" s="532" t="s">
        <v>2908</v>
      </c>
      <c r="D83" s="489" t="s">
        <v>4859</v>
      </c>
      <c r="E83" s="668" t="s">
        <v>1023</v>
      </c>
      <c r="F83" s="532" t="s">
        <v>4860</v>
      </c>
      <c r="G83" s="532" t="s">
        <v>4861</v>
      </c>
      <c r="H83" s="532" t="s">
        <v>4861</v>
      </c>
      <c r="I83" s="555"/>
      <c r="J83" s="555"/>
      <c r="K83" s="533" t="s">
        <v>4557</v>
      </c>
      <c r="L83" s="667"/>
      <c r="M83" s="666" t="s">
        <v>2912</v>
      </c>
    </row>
    <row r="84" spans="2:13" ht="31.5">
      <c r="B84" s="148" t="s">
        <v>4862</v>
      </c>
      <c r="C84" s="532" t="s">
        <v>3263</v>
      </c>
      <c r="D84" s="489" t="s">
        <v>4863</v>
      </c>
      <c r="E84" s="668" t="s">
        <v>1</v>
      </c>
      <c r="F84" s="532" t="s">
        <v>4865</v>
      </c>
      <c r="G84" s="532" t="s">
        <v>4864</v>
      </c>
      <c r="H84" s="532" t="s">
        <v>4865</v>
      </c>
      <c r="I84" s="555"/>
      <c r="J84" s="555"/>
      <c r="K84" s="533" t="s">
        <v>2819</v>
      </c>
      <c r="L84" s="667"/>
      <c r="M84" s="666"/>
    </row>
    <row r="85" spans="2:13" ht="47.25">
      <c r="B85" s="148" t="s">
        <v>4866</v>
      </c>
      <c r="C85" s="532" t="s">
        <v>3263</v>
      </c>
      <c r="D85" s="489" t="s">
        <v>4867</v>
      </c>
      <c r="E85" s="668" t="s">
        <v>1</v>
      </c>
      <c r="F85" s="532" t="s">
        <v>4868</v>
      </c>
      <c r="G85" s="532" t="s">
        <v>4869</v>
      </c>
      <c r="H85" s="532" t="s">
        <v>4869</v>
      </c>
      <c r="I85" s="555"/>
      <c r="J85" s="555"/>
      <c r="K85" s="533" t="s">
        <v>4870</v>
      </c>
      <c r="L85" s="667"/>
      <c r="M85" s="666" t="s">
        <v>4871</v>
      </c>
    </row>
    <row r="86" spans="2:13" ht="31.5">
      <c r="B86" s="148" t="s">
        <v>4873</v>
      </c>
      <c r="C86" s="532" t="s">
        <v>3399</v>
      </c>
      <c r="D86" s="489" t="s">
        <v>4874</v>
      </c>
      <c r="E86" s="668" t="s">
        <v>3493</v>
      </c>
      <c r="F86" s="532" t="s">
        <v>4872</v>
      </c>
      <c r="G86" s="532" t="s">
        <v>4875</v>
      </c>
      <c r="H86" s="532" t="s">
        <v>4875</v>
      </c>
      <c r="I86" s="532" t="s">
        <v>4876</v>
      </c>
      <c r="J86" s="555"/>
      <c r="K86" s="533"/>
      <c r="L86" s="667"/>
      <c r="M86" s="666" t="s">
        <v>4877</v>
      </c>
    </row>
    <row r="87" spans="2:13" ht="47.25">
      <c r="B87" s="148" t="s">
        <v>4878</v>
      </c>
      <c r="C87" s="532" t="s">
        <v>2919</v>
      </c>
      <c r="D87" s="489" t="s">
        <v>4879</v>
      </c>
      <c r="E87" s="668" t="s">
        <v>4816</v>
      </c>
      <c r="F87" s="532" t="s">
        <v>4880</v>
      </c>
      <c r="G87" s="532" t="s">
        <v>4881</v>
      </c>
      <c r="H87" s="532" t="s">
        <v>4881</v>
      </c>
      <c r="I87" s="555"/>
      <c r="J87" s="555"/>
      <c r="K87" s="533"/>
      <c r="L87" s="667"/>
      <c r="M87" s="666" t="s">
        <v>4882</v>
      </c>
    </row>
    <row r="88" spans="2:13" ht="47.25">
      <c r="B88" s="148" t="s">
        <v>4883</v>
      </c>
      <c r="C88" s="532" t="s">
        <v>2962</v>
      </c>
      <c r="D88" s="489" t="s">
        <v>4884</v>
      </c>
      <c r="E88" s="668" t="s">
        <v>2467</v>
      </c>
      <c r="F88" s="532" t="s">
        <v>4885</v>
      </c>
      <c r="G88" s="532" t="s">
        <v>4885</v>
      </c>
      <c r="H88" s="532" t="s">
        <v>4885</v>
      </c>
      <c r="I88" s="555"/>
      <c r="J88" s="532" t="s">
        <v>4886</v>
      </c>
      <c r="K88" s="533"/>
      <c r="L88" s="667"/>
      <c r="M88" s="666" t="s">
        <v>4887</v>
      </c>
    </row>
    <row r="89" spans="2:13" ht="32.85" customHeight="1">
      <c r="B89" s="148" t="s">
        <v>4888</v>
      </c>
      <c r="C89" s="532" t="s">
        <v>2893</v>
      </c>
      <c r="D89" s="489" t="s">
        <v>4889</v>
      </c>
      <c r="E89" s="668" t="s">
        <v>4890</v>
      </c>
      <c r="F89" s="532" t="s">
        <v>4891</v>
      </c>
      <c r="G89" s="532" t="s">
        <v>4892</v>
      </c>
      <c r="H89" s="532" t="s">
        <v>4892</v>
      </c>
      <c r="I89" s="555"/>
      <c r="J89" s="555"/>
      <c r="K89" s="533" t="s">
        <v>4893</v>
      </c>
      <c r="L89" s="667"/>
      <c r="M89" s="666" t="s">
        <v>4894</v>
      </c>
    </row>
    <row r="90" spans="2:13" ht="78.75">
      <c r="B90" s="148" t="s">
        <v>4895</v>
      </c>
      <c r="C90" s="532" t="s">
        <v>3025</v>
      </c>
      <c r="D90" s="489" t="s">
        <v>4896</v>
      </c>
      <c r="E90" s="668" t="s">
        <v>4897</v>
      </c>
      <c r="F90" s="532" t="s">
        <v>4898</v>
      </c>
      <c r="G90" s="532" t="s">
        <v>4899</v>
      </c>
      <c r="H90" s="532" t="s">
        <v>4898</v>
      </c>
      <c r="I90" s="555"/>
      <c r="J90" s="555"/>
      <c r="K90" s="533" t="s">
        <v>4900</v>
      </c>
      <c r="L90" s="667"/>
      <c r="M90" s="666" t="s">
        <v>4901</v>
      </c>
    </row>
    <row r="91" spans="2:13" ht="47.25">
      <c r="B91" s="148" t="s">
        <v>4902</v>
      </c>
      <c r="C91" s="532" t="s">
        <v>2919</v>
      </c>
      <c r="D91" s="489" t="s">
        <v>4903</v>
      </c>
      <c r="E91" s="668" t="s">
        <v>1023</v>
      </c>
      <c r="F91" s="532" t="s">
        <v>4904</v>
      </c>
      <c r="G91" s="532" t="s">
        <v>4905</v>
      </c>
      <c r="H91" s="532" t="s">
        <v>4905</v>
      </c>
      <c r="I91" s="555"/>
      <c r="J91" s="555"/>
      <c r="K91" s="533" t="s">
        <v>3889</v>
      </c>
      <c r="L91" s="667"/>
      <c r="M91" s="666" t="s">
        <v>4906</v>
      </c>
    </row>
    <row r="92" spans="2:13" ht="36">
      <c r="B92" s="148" t="s">
        <v>4907</v>
      </c>
      <c r="C92" s="532" t="s">
        <v>2919</v>
      </c>
      <c r="D92" s="489" t="s">
        <v>4908</v>
      </c>
      <c r="E92" s="668" t="s">
        <v>4909</v>
      </c>
      <c r="F92" s="532" t="s">
        <v>4911</v>
      </c>
      <c r="G92" s="532" t="s">
        <v>4910</v>
      </c>
      <c r="H92" s="532" t="s">
        <v>4911</v>
      </c>
      <c r="I92" s="555"/>
      <c r="J92" s="555"/>
      <c r="K92" s="533" t="s">
        <v>3017</v>
      </c>
      <c r="L92" s="667"/>
      <c r="M92" s="666" t="s">
        <v>4912</v>
      </c>
    </row>
    <row r="93" spans="2:13" ht="47.25">
      <c r="B93" s="148" t="s">
        <v>4913</v>
      </c>
      <c r="C93" s="532" t="s">
        <v>2962</v>
      </c>
      <c r="D93" s="489" t="s">
        <v>4914</v>
      </c>
      <c r="E93" s="668" t="s">
        <v>2467</v>
      </c>
      <c r="F93" s="532" t="s">
        <v>4915</v>
      </c>
      <c r="G93" s="532" t="s">
        <v>4915</v>
      </c>
      <c r="H93" s="532" t="s">
        <v>4915</v>
      </c>
      <c r="I93" s="555"/>
      <c r="J93" s="532" t="s">
        <v>4916</v>
      </c>
      <c r="K93" s="533"/>
      <c r="L93" s="667"/>
      <c r="M93" s="666" t="s">
        <v>2666</v>
      </c>
    </row>
    <row r="94" spans="2:13" ht="31.5">
      <c r="B94" s="148" t="s">
        <v>4917</v>
      </c>
      <c r="C94" s="532" t="s">
        <v>2894</v>
      </c>
      <c r="D94" s="489" t="s">
        <v>4918</v>
      </c>
      <c r="E94" s="668" t="s">
        <v>1023</v>
      </c>
      <c r="F94" s="532" t="s">
        <v>4919</v>
      </c>
      <c r="G94" s="532" t="s">
        <v>4920</v>
      </c>
      <c r="H94" s="532" t="s">
        <v>4920</v>
      </c>
      <c r="I94" s="555"/>
      <c r="J94" s="555"/>
      <c r="K94" s="533" t="s">
        <v>3256</v>
      </c>
      <c r="L94" s="667"/>
      <c r="M94" s="666" t="s">
        <v>2742</v>
      </c>
    </row>
    <row r="95" spans="2:13" ht="31.5">
      <c r="B95" s="148" t="s">
        <v>4921</v>
      </c>
      <c r="C95" s="532" t="s">
        <v>2894</v>
      </c>
      <c r="D95" s="489" t="s">
        <v>4922</v>
      </c>
      <c r="E95" s="668" t="s">
        <v>1023</v>
      </c>
      <c r="F95" s="532" t="s">
        <v>4923</v>
      </c>
      <c r="G95" s="532" t="s">
        <v>4924</v>
      </c>
      <c r="H95" s="532" t="s">
        <v>4924</v>
      </c>
      <c r="I95" s="555"/>
      <c r="J95" s="555"/>
      <c r="K95" s="533"/>
      <c r="L95" s="667"/>
      <c r="M95" s="666"/>
    </row>
    <row r="96" spans="2:13" ht="47.25">
      <c r="B96" s="148" t="s">
        <v>4925</v>
      </c>
      <c r="C96" s="532" t="s">
        <v>4198</v>
      </c>
      <c r="D96" s="489" t="s">
        <v>4926</v>
      </c>
      <c r="E96" s="668" t="s">
        <v>4927</v>
      </c>
      <c r="F96" s="532" t="s">
        <v>4928</v>
      </c>
      <c r="G96" s="532" t="s">
        <v>4929</v>
      </c>
      <c r="H96" s="532" t="s">
        <v>4928</v>
      </c>
      <c r="I96" s="532" t="s">
        <v>4930</v>
      </c>
      <c r="J96" s="555"/>
      <c r="K96" s="533"/>
      <c r="L96" s="667"/>
      <c r="M96" s="666" t="s">
        <v>4931</v>
      </c>
    </row>
    <row r="97" spans="2:13" ht="18">
      <c r="B97" s="148" t="s">
        <v>4932</v>
      </c>
      <c r="C97" s="532" t="s">
        <v>2919</v>
      </c>
      <c r="D97" s="489" t="s">
        <v>4933</v>
      </c>
      <c r="E97" s="668" t="s">
        <v>1023</v>
      </c>
      <c r="F97" s="532" t="s">
        <v>4934</v>
      </c>
      <c r="G97" s="532" t="s">
        <v>4935</v>
      </c>
      <c r="H97" s="532" t="s">
        <v>4935</v>
      </c>
      <c r="I97" s="555"/>
      <c r="J97" s="555"/>
      <c r="K97" s="533" t="s">
        <v>4936</v>
      </c>
      <c r="L97" s="667"/>
      <c r="M97" s="666" t="s">
        <v>4937</v>
      </c>
    </row>
    <row r="98" spans="2:13" ht="18">
      <c r="B98" s="148" t="s">
        <v>4938</v>
      </c>
      <c r="C98" s="532" t="s">
        <v>2962</v>
      </c>
      <c r="D98" s="489" t="s">
        <v>4939</v>
      </c>
      <c r="E98" s="668" t="s">
        <v>2467</v>
      </c>
      <c r="F98" s="532" t="s">
        <v>4940</v>
      </c>
      <c r="G98" s="532" t="s">
        <v>4940</v>
      </c>
      <c r="H98" s="532" t="s">
        <v>4940</v>
      </c>
      <c r="I98" s="555"/>
      <c r="J98" s="532" t="s">
        <v>4941</v>
      </c>
      <c r="K98" s="533"/>
      <c r="L98" s="667"/>
      <c r="M98" s="666" t="s">
        <v>4942</v>
      </c>
    </row>
    <row r="99" spans="2:13" ht="18">
      <c r="B99" s="148" t="s">
        <v>4945</v>
      </c>
      <c r="C99" s="532" t="s">
        <v>2962</v>
      </c>
      <c r="D99" s="489" t="s">
        <v>4946</v>
      </c>
      <c r="E99" s="668" t="s">
        <v>2467</v>
      </c>
      <c r="F99" s="532" t="s">
        <v>4943</v>
      </c>
      <c r="G99" s="532" t="s">
        <v>4943</v>
      </c>
      <c r="H99" s="532" t="s">
        <v>4943</v>
      </c>
      <c r="I99" s="555"/>
      <c r="J99" s="532" t="s">
        <v>4944</v>
      </c>
      <c r="K99" s="533"/>
      <c r="L99" s="667"/>
      <c r="M99" s="666" t="s">
        <v>4942</v>
      </c>
    </row>
    <row r="100" spans="2:13" ht="15.75">
      <c r="B100" s="1115" t="s">
        <v>4947</v>
      </c>
      <c r="C100" s="1119" t="s">
        <v>2962</v>
      </c>
      <c r="D100" s="489" t="s">
        <v>4951</v>
      </c>
      <c r="E100" s="1139" t="s">
        <v>4948</v>
      </c>
      <c r="F100" s="1119" t="s">
        <v>4949</v>
      </c>
      <c r="G100" s="1119" t="s">
        <v>4949</v>
      </c>
      <c r="H100" s="1119" t="s">
        <v>4949</v>
      </c>
      <c r="I100" s="1141"/>
      <c r="J100" s="1119" t="s">
        <v>4950</v>
      </c>
      <c r="K100" s="533"/>
      <c r="L100" s="667"/>
      <c r="M100" s="666"/>
    </row>
    <row r="101" spans="2:13" ht="15.75">
      <c r="B101" s="1140"/>
      <c r="C101" s="1140"/>
      <c r="D101" s="489" t="s">
        <v>4952</v>
      </c>
      <c r="E101" s="1140"/>
      <c r="F101" s="1140"/>
      <c r="G101" s="1140"/>
      <c r="H101" s="1140"/>
      <c r="I101" s="1140"/>
      <c r="J101" s="1140"/>
      <c r="K101" s="639"/>
      <c r="L101" s="639"/>
    </row>
    <row r="102" spans="2:13" ht="18">
      <c r="B102" s="148" t="s">
        <v>4957</v>
      </c>
      <c r="C102" s="532" t="s">
        <v>2962</v>
      </c>
      <c r="D102" s="489" t="s">
        <v>4953</v>
      </c>
      <c r="E102" s="668" t="s">
        <v>2467</v>
      </c>
      <c r="F102" s="532" t="s">
        <v>4954</v>
      </c>
      <c r="G102" s="532" t="s">
        <v>4954</v>
      </c>
      <c r="H102" s="532" t="s">
        <v>4954</v>
      </c>
      <c r="I102" s="671"/>
      <c r="J102" s="532" t="s">
        <v>4955</v>
      </c>
      <c r="K102" s="533"/>
      <c r="L102" s="667"/>
      <c r="M102" s="666" t="s">
        <v>4956</v>
      </c>
    </row>
    <row r="103" spans="2:13" ht="31.5">
      <c r="B103" s="148" t="s">
        <v>4958</v>
      </c>
      <c r="C103" s="532" t="s">
        <v>2908</v>
      </c>
      <c r="D103" s="489" t="s">
        <v>4959</v>
      </c>
      <c r="E103" s="668" t="s">
        <v>4960</v>
      </c>
      <c r="F103" s="532" t="s">
        <v>4961</v>
      </c>
      <c r="G103" s="532" t="s">
        <v>4962</v>
      </c>
      <c r="H103" s="532" t="s">
        <v>4962</v>
      </c>
      <c r="I103" s="672"/>
      <c r="J103" s="672"/>
      <c r="K103" s="533"/>
      <c r="L103" s="667"/>
      <c r="M103" s="666"/>
    </row>
    <row r="104" spans="2:13" ht="47.25">
      <c r="B104" s="148" t="s">
        <v>4963</v>
      </c>
      <c r="C104" s="532" t="s">
        <v>2962</v>
      </c>
      <c r="D104" s="489" t="s">
        <v>4967</v>
      </c>
      <c r="E104" s="668" t="s">
        <v>2467</v>
      </c>
      <c r="F104" s="532" t="s">
        <v>4964</v>
      </c>
      <c r="G104" s="532" t="s">
        <v>4964</v>
      </c>
      <c r="H104" s="532" t="s">
        <v>4964</v>
      </c>
      <c r="I104" s="673"/>
      <c r="J104" s="532" t="s">
        <v>4965</v>
      </c>
      <c r="K104" s="533"/>
      <c r="L104" s="667"/>
      <c r="M104" s="666" t="s">
        <v>4966</v>
      </c>
    </row>
    <row r="105" spans="2:13" ht="47.25">
      <c r="B105" s="148" t="s">
        <v>4968</v>
      </c>
      <c r="C105" s="532" t="s">
        <v>3025</v>
      </c>
      <c r="D105" s="489" t="s">
        <v>4971</v>
      </c>
      <c r="E105" s="668" t="s">
        <v>4973</v>
      </c>
      <c r="F105" s="532" t="s">
        <v>4970</v>
      </c>
      <c r="G105" s="532" t="s">
        <v>4969</v>
      </c>
      <c r="H105" s="532" t="s">
        <v>4970</v>
      </c>
      <c r="I105" s="674"/>
      <c r="J105" s="674"/>
      <c r="K105" s="533"/>
      <c r="L105" s="667"/>
      <c r="M105" s="666" t="s">
        <v>4972</v>
      </c>
    </row>
    <row r="106" spans="2:13" ht="18">
      <c r="B106" s="148" t="s">
        <v>4974</v>
      </c>
      <c r="C106" s="532" t="s">
        <v>3025</v>
      </c>
      <c r="D106" s="489" t="s">
        <v>4975</v>
      </c>
      <c r="E106" s="668" t="s">
        <v>1023</v>
      </c>
      <c r="F106" s="532" t="s">
        <v>4976</v>
      </c>
      <c r="G106" s="532" t="s">
        <v>4977</v>
      </c>
      <c r="H106" s="532" t="s">
        <v>4977</v>
      </c>
      <c r="I106" s="675"/>
      <c r="J106" s="675"/>
      <c r="K106" s="533" t="s">
        <v>4900</v>
      </c>
      <c r="L106" s="667"/>
      <c r="M106" s="666"/>
    </row>
    <row r="107" spans="2:13" ht="18">
      <c r="B107" s="1146" t="s">
        <v>4978</v>
      </c>
      <c r="C107" s="532" t="s">
        <v>3025</v>
      </c>
      <c r="D107" s="489" t="s">
        <v>4979</v>
      </c>
      <c r="E107" s="668" t="s">
        <v>1023</v>
      </c>
      <c r="F107" s="532" t="s">
        <v>4980</v>
      </c>
      <c r="G107" s="532" t="s">
        <v>4981</v>
      </c>
      <c r="H107" s="532" t="s">
        <v>4981</v>
      </c>
      <c r="I107" s="676"/>
      <c r="J107" s="676"/>
      <c r="K107" s="533" t="s">
        <v>2270</v>
      </c>
      <c r="L107" s="667"/>
      <c r="M107" s="666"/>
    </row>
    <row r="108" spans="2:13" s="475" customFormat="1" ht="18">
      <c r="B108" s="1112"/>
      <c r="C108" s="532" t="s">
        <v>2919</v>
      </c>
      <c r="D108" s="489" t="s">
        <v>4979</v>
      </c>
      <c r="E108" s="668" t="s">
        <v>1023</v>
      </c>
      <c r="F108" s="532" t="s">
        <v>4982</v>
      </c>
      <c r="G108" s="532" t="s">
        <v>4983</v>
      </c>
      <c r="H108" s="532" t="s">
        <v>4983</v>
      </c>
      <c r="I108" s="554"/>
      <c r="J108" s="554"/>
      <c r="K108" s="533" t="s">
        <v>1134</v>
      </c>
      <c r="L108" s="664"/>
      <c r="M108" s="666"/>
    </row>
    <row r="109" spans="2:13" ht="31.5">
      <c r="B109" s="148" t="s">
        <v>4984</v>
      </c>
      <c r="C109" s="532" t="s">
        <v>2893</v>
      </c>
      <c r="D109" s="489" t="s">
        <v>4985</v>
      </c>
      <c r="E109" s="668" t="s">
        <v>4986</v>
      </c>
      <c r="F109" s="532" t="s">
        <v>4987</v>
      </c>
      <c r="G109" s="532" t="s">
        <v>4988</v>
      </c>
      <c r="H109" s="532" t="s">
        <v>4988</v>
      </c>
      <c r="I109" s="677"/>
      <c r="J109" s="677"/>
      <c r="K109" s="533" t="s">
        <v>2290</v>
      </c>
      <c r="L109" s="667"/>
      <c r="M109" s="666" t="s">
        <v>4989</v>
      </c>
    </row>
    <row r="110" spans="2:13" s="681" customFormat="1" ht="31.5">
      <c r="B110" s="615" t="s">
        <v>4991</v>
      </c>
      <c r="C110" s="537" t="s">
        <v>3025</v>
      </c>
      <c r="D110" s="583" t="s">
        <v>4990</v>
      </c>
      <c r="E110" s="679" t="s">
        <v>2804</v>
      </c>
      <c r="F110" s="537" t="s">
        <v>4992</v>
      </c>
      <c r="G110" s="537" t="s">
        <v>4993</v>
      </c>
      <c r="H110" s="537" t="s">
        <v>4993</v>
      </c>
      <c r="I110" s="678"/>
      <c r="J110" s="678"/>
      <c r="K110" s="538"/>
      <c r="L110" s="680"/>
    </row>
    <row r="111" spans="2:13" s="475" customFormat="1" ht="31.5">
      <c r="B111" s="148" t="s">
        <v>4994</v>
      </c>
      <c r="C111" s="532" t="s">
        <v>2894</v>
      </c>
      <c r="D111" s="489" t="s">
        <v>4995</v>
      </c>
      <c r="E111" s="682" t="s">
        <v>1295</v>
      </c>
      <c r="F111" s="532" t="s">
        <v>4996</v>
      </c>
      <c r="G111" s="532" t="s">
        <v>4997</v>
      </c>
      <c r="H111" s="532" t="s">
        <v>4997</v>
      </c>
      <c r="I111" s="554"/>
      <c r="J111" s="554"/>
      <c r="K111" s="533"/>
      <c r="L111" s="683"/>
      <c r="M111" s="475" t="s">
        <v>4998</v>
      </c>
    </row>
    <row r="112" spans="2:13" s="1" customFormat="1" ht="51.75" customHeight="1">
      <c r="B112" s="148" t="s">
        <v>4999</v>
      </c>
      <c r="C112" s="603" t="s">
        <v>3025</v>
      </c>
      <c r="D112" s="528" t="s">
        <v>5002</v>
      </c>
      <c r="E112" s="208" t="s">
        <v>4378</v>
      </c>
      <c r="F112" s="540" t="s">
        <v>5000</v>
      </c>
      <c r="G112" s="540" t="s">
        <v>5001</v>
      </c>
      <c r="H112" s="540" t="s">
        <v>5000</v>
      </c>
      <c r="I112" s="550"/>
      <c r="J112" s="550"/>
      <c r="K112" s="533" t="s">
        <v>3985</v>
      </c>
      <c r="L112" s="458"/>
    </row>
    <row r="113" spans="2:13" s="1" customFormat="1" ht="51.75" customHeight="1">
      <c r="B113" s="148" t="s">
        <v>5003</v>
      </c>
      <c r="C113" s="603" t="s">
        <v>2919</v>
      </c>
      <c r="D113" s="528" t="s">
        <v>5004</v>
      </c>
      <c r="E113" s="208" t="s">
        <v>5005</v>
      </c>
      <c r="F113" s="540" t="s">
        <v>5007</v>
      </c>
      <c r="G113" s="540" t="s">
        <v>5006</v>
      </c>
      <c r="H113" s="540" t="s">
        <v>5006</v>
      </c>
      <c r="I113" s="550"/>
      <c r="J113" s="550"/>
      <c r="K113" s="533" t="s">
        <v>3811</v>
      </c>
      <c r="L113" s="458"/>
      <c r="M113" s="1" t="s">
        <v>5008</v>
      </c>
    </row>
    <row r="114" spans="2:13" s="1" customFormat="1" ht="51.75" customHeight="1">
      <c r="B114" s="148" t="s">
        <v>5009</v>
      </c>
      <c r="C114" s="603" t="s">
        <v>2894</v>
      </c>
      <c r="D114" s="528" t="s">
        <v>5010</v>
      </c>
      <c r="E114" s="208" t="s">
        <v>1023</v>
      </c>
      <c r="F114" s="540" t="s">
        <v>5011</v>
      </c>
      <c r="G114" s="540" t="s">
        <v>5012</v>
      </c>
      <c r="H114" s="540" t="s">
        <v>5012</v>
      </c>
      <c r="I114" s="550"/>
      <c r="J114" s="550"/>
      <c r="K114" s="533" t="s">
        <v>5013</v>
      </c>
      <c r="L114" s="458"/>
      <c r="M114" s="1" t="s">
        <v>3634</v>
      </c>
    </row>
    <row r="115" spans="2:13" s="1" customFormat="1" ht="51.75" customHeight="1">
      <c r="B115" s="148" t="s">
        <v>5014</v>
      </c>
      <c r="C115" s="603" t="s">
        <v>2893</v>
      </c>
      <c r="D115" s="528" t="s">
        <v>5017</v>
      </c>
      <c r="E115" s="208" t="s">
        <v>5016</v>
      </c>
      <c r="F115" s="540" t="s">
        <v>5018</v>
      </c>
      <c r="G115" s="540" t="s">
        <v>5019</v>
      </c>
      <c r="H115" s="540" t="s">
        <v>5019</v>
      </c>
      <c r="I115" s="550"/>
      <c r="J115" s="550"/>
      <c r="K115" s="533" t="s">
        <v>5015</v>
      </c>
      <c r="L115" s="458"/>
      <c r="M115" s="458" t="s">
        <v>5020</v>
      </c>
    </row>
    <row r="116" spans="2:13" s="1" customFormat="1" ht="36">
      <c r="B116" s="148" t="s">
        <v>5021</v>
      </c>
      <c r="C116" s="603" t="s">
        <v>2917</v>
      </c>
      <c r="D116" s="528" t="s">
        <v>5022</v>
      </c>
      <c r="E116" s="208" t="s">
        <v>5023</v>
      </c>
      <c r="F116" s="540" t="s">
        <v>5025</v>
      </c>
      <c r="G116" s="540" t="s">
        <v>5024</v>
      </c>
      <c r="H116" s="540" t="s">
        <v>5025</v>
      </c>
      <c r="I116" s="550"/>
      <c r="J116" s="550"/>
      <c r="K116" s="533"/>
      <c r="L116" s="665" t="s">
        <v>2324</v>
      </c>
      <c r="M116" s="666" t="s">
        <v>5026</v>
      </c>
    </row>
    <row r="117" spans="2:13" s="1" customFormat="1" ht="54">
      <c r="B117" s="148" t="s">
        <v>5027</v>
      </c>
      <c r="C117" s="603" t="s">
        <v>3141</v>
      </c>
      <c r="D117" s="528" t="s">
        <v>5028</v>
      </c>
      <c r="E117" s="208" t="s">
        <v>996</v>
      </c>
      <c r="F117" s="540" t="s">
        <v>5029</v>
      </c>
      <c r="G117" s="540" t="s">
        <v>5029</v>
      </c>
      <c r="H117" s="540" t="s">
        <v>5029</v>
      </c>
      <c r="I117" s="540" t="s">
        <v>5030</v>
      </c>
      <c r="J117" s="550"/>
      <c r="K117" s="533"/>
      <c r="L117" s="665" t="s">
        <v>2324</v>
      </c>
      <c r="M117" s="666" t="s">
        <v>5031</v>
      </c>
    </row>
    <row r="118" spans="2:13" s="1" customFormat="1" ht="18">
      <c r="B118" s="148" t="s">
        <v>5032</v>
      </c>
      <c r="C118" s="603" t="s">
        <v>2919</v>
      </c>
      <c r="D118" s="528" t="s">
        <v>5033</v>
      </c>
      <c r="E118" s="208" t="s">
        <v>1023</v>
      </c>
      <c r="F118" s="540" t="s">
        <v>5034</v>
      </c>
      <c r="G118" s="540" t="s">
        <v>5035</v>
      </c>
      <c r="H118" s="540" t="s">
        <v>5035</v>
      </c>
      <c r="I118" s="550"/>
      <c r="J118" s="550"/>
      <c r="K118" s="533" t="s">
        <v>3017</v>
      </c>
      <c r="L118" s="665" t="s">
        <v>2324</v>
      </c>
      <c r="M118" s="666" t="s">
        <v>5036</v>
      </c>
    </row>
    <row r="119" spans="2:13" s="1" customFormat="1" ht="36">
      <c r="B119" s="148" t="s">
        <v>5037</v>
      </c>
      <c r="C119" s="603" t="s">
        <v>3141</v>
      </c>
      <c r="D119" s="528" t="s">
        <v>5038</v>
      </c>
      <c r="E119" s="208" t="s">
        <v>5043</v>
      </c>
      <c r="F119" s="540" t="s">
        <v>5041</v>
      </c>
      <c r="G119" s="540" t="s">
        <v>5041</v>
      </c>
      <c r="H119" s="540" t="s">
        <v>5042</v>
      </c>
      <c r="I119" s="540" t="s">
        <v>5039</v>
      </c>
      <c r="J119" s="550"/>
      <c r="K119" s="533"/>
      <c r="L119" s="665" t="s">
        <v>2324</v>
      </c>
      <c r="M119" s="666" t="s">
        <v>5040</v>
      </c>
    </row>
    <row r="120" spans="2:13" s="1" customFormat="1" ht="36">
      <c r="B120" s="148" t="s">
        <v>5044</v>
      </c>
      <c r="C120" s="603" t="s">
        <v>2908</v>
      </c>
      <c r="D120" s="528" t="s">
        <v>4736</v>
      </c>
      <c r="E120" s="208" t="s">
        <v>5045</v>
      </c>
      <c r="F120" s="540" t="s">
        <v>5047</v>
      </c>
      <c r="G120" s="540" t="s">
        <v>5046</v>
      </c>
      <c r="H120" s="540" t="s">
        <v>5046</v>
      </c>
      <c r="I120" s="550"/>
      <c r="J120" s="550"/>
      <c r="K120" s="533"/>
      <c r="L120" s="665" t="s">
        <v>2324</v>
      </c>
      <c r="M120" s="666" t="s">
        <v>5040</v>
      </c>
    </row>
    <row r="121" spans="2:13" ht="31.5">
      <c r="B121" s="532" t="s">
        <v>5051</v>
      </c>
      <c r="C121" s="532" t="s">
        <v>3025</v>
      </c>
      <c r="D121" s="489" t="s">
        <v>5048</v>
      </c>
      <c r="E121" s="684" t="s">
        <v>1686</v>
      </c>
      <c r="F121" s="540" t="s">
        <v>5054</v>
      </c>
      <c r="G121" s="540" t="s">
        <v>5055</v>
      </c>
      <c r="H121" s="540" t="s">
        <v>5055</v>
      </c>
      <c r="I121" s="550"/>
      <c r="J121" s="550"/>
      <c r="K121" s="533"/>
      <c r="L121" s="665" t="s">
        <v>2324</v>
      </c>
    </row>
    <row r="122" spans="2:13" ht="31.5">
      <c r="B122" s="532" t="s">
        <v>5052</v>
      </c>
      <c r="C122" s="532" t="s">
        <v>3025</v>
      </c>
      <c r="D122" s="489" t="s">
        <v>5049</v>
      </c>
      <c r="E122" s="684" t="s">
        <v>1686</v>
      </c>
      <c r="F122" s="540" t="s">
        <v>5056</v>
      </c>
      <c r="G122" s="540" t="s">
        <v>5057</v>
      </c>
      <c r="H122" s="540" t="s">
        <v>5057</v>
      </c>
      <c r="I122" s="550"/>
      <c r="J122" s="550"/>
      <c r="K122" s="533"/>
      <c r="L122" s="665" t="s">
        <v>2324</v>
      </c>
    </row>
    <row r="123" spans="2:13" ht="31.5">
      <c r="B123" s="532" t="s">
        <v>5053</v>
      </c>
      <c r="C123" s="532" t="s">
        <v>3025</v>
      </c>
      <c r="D123" s="489" t="s">
        <v>5050</v>
      </c>
      <c r="E123" s="684" t="s">
        <v>1686</v>
      </c>
      <c r="F123" s="540" t="s">
        <v>5058</v>
      </c>
      <c r="G123" s="540" t="s">
        <v>5059</v>
      </c>
      <c r="H123" s="540" t="s">
        <v>5059</v>
      </c>
      <c r="I123" s="550"/>
      <c r="J123" s="550"/>
      <c r="K123" s="533"/>
      <c r="L123" s="665" t="s">
        <v>2324</v>
      </c>
    </row>
    <row r="124" spans="2:13" ht="31.5">
      <c r="B124" s="532" t="s">
        <v>5060</v>
      </c>
      <c r="C124" s="532" t="s">
        <v>3025</v>
      </c>
      <c r="D124" s="489" t="s">
        <v>5163</v>
      </c>
      <c r="E124" s="685" t="s">
        <v>2862</v>
      </c>
      <c r="F124" s="540" t="s">
        <v>5061</v>
      </c>
      <c r="G124" s="540" t="s">
        <v>5062</v>
      </c>
      <c r="H124" s="540" t="s">
        <v>5062</v>
      </c>
      <c r="I124" s="550"/>
      <c r="J124" s="550"/>
      <c r="K124" s="533"/>
      <c r="L124" s="665" t="s">
        <v>2324</v>
      </c>
    </row>
    <row r="125" spans="2:13" ht="18">
      <c r="B125" s="1142" t="s">
        <v>5063</v>
      </c>
      <c r="C125" s="532" t="s">
        <v>3114</v>
      </c>
      <c r="D125" s="489" t="s">
        <v>5064</v>
      </c>
      <c r="E125" s="685" t="s">
        <v>5067</v>
      </c>
      <c r="F125" s="550"/>
      <c r="G125" s="550"/>
      <c r="H125" s="550"/>
      <c r="I125" s="540" t="s">
        <v>5065</v>
      </c>
      <c r="J125" s="550"/>
      <c r="K125" s="533" t="s">
        <v>3815</v>
      </c>
      <c r="L125" s="665" t="s">
        <v>2324</v>
      </c>
      <c r="M125" t="s">
        <v>5068</v>
      </c>
    </row>
    <row r="126" spans="2:13" ht="31.5">
      <c r="B126" s="1123"/>
      <c r="C126" s="532" t="s">
        <v>2893</v>
      </c>
      <c r="D126" s="489" t="s">
        <v>5086</v>
      </c>
      <c r="E126" s="685" t="s">
        <v>1023</v>
      </c>
      <c r="F126" s="540" t="s">
        <v>5087</v>
      </c>
      <c r="G126" s="540" t="s">
        <v>5088</v>
      </c>
      <c r="H126" s="540" t="s">
        <v>5088</v>
      </c>
      <c r="I126" s="540"/>
      <c r="J126" s="550"/>
      <c r="K126" s="533" t="s">
        <v>5089</v>
      </c>
      <c r="L126" s="665"/>
    </row>
    <row r="127" spans="2:13" ht="18">
      <c r="B127" s="532" t="s">
        <v>5069</v>
      </c>
      <c r="C127" s="532" t="s">
        <v>2919</v>
      </c>
      <c r="D127" s="489" t="s">
        <v>5070</v>
      </c>
      <c r="E127" s="685" t="s">
        <v>5077</v>
      </c>
      <c r="F127" s="540" t="s">
        <v>5071</v>
      </c>
      <c r="G127" s="540" t="s">
        <v>5072</v>
      </c>
      <c r="H127" s="540" t="s">
        <v>5072</v>
      </c>
      <c r="I127" s="550"/>
      <c r="J127" s="550"/>
      <c r="K127" s="533" t="s">
        <v>3759</v>
      </c>
      <c r="L127" s="665" t="s">
        <v>2324</v>
      </c>
    </row>
    <row r="128" spans="2:13" ht="31.5">
      <c r="B128" s="532" t="s">
        <v>5073</v>
      </c>
      <c r="C128" s="532" t="s">
        <v>2919</v>
      </c>
      <c r="D128" s="489" t="s">
        <v>5074</v>
      </c>
      <c r="E128" s="685" t="s">
        <v>1023</v>
      </c>
      <c r="F128" s="540" t="s">
        <v>5075</v>
      </c>
      <c r="G128" s="540" t="s">
        <v>5076</v>
      </c>
      <c r="H128" s="540" t="s">
        <v>5076</v>
      </c>
      <c r="I128" s="550"/>
      <c r="J128" s="550"/>
      <c r="K128" s="533" t="s">
        <v>3759</v>
      </c>
      <c r="L128" s="665" t="s">
        <v>2324</v>
      </c>
    </row>
    <row r="129" spans="1:13" ht="47.25">
      <c r="B129" s="532" t="s">
        <v>5078</v>
      </c>
      <c r="C129" s="532" t="s">
        <v>2919</v>
      </c>
      <c r="D129" s="489" t="s">
        <v>5079</v>
      </c>
      <c r="E129" s="685" t="s">
        <v>1023</v>
      </c>
      <c r="F129" s="540" t="s">
        <v>5080</v>
      </c>
      <c r="G129" s="540" t="s">
        <v>5081</v>
      </c>
      <c r="H129" s="540" t="s">
        <v>5081</v>
      </c>
      <c r="I129" s="550"/>
      <c r="J129" s="550"/>
      <c r="K129" s="533" t="s">
        <v>3017</v>
      </c>
      <c r="L129" s="665" t="s">
        <v>2324</v>
      </c>
    </row>
    <row r="130" spans="1:13" ht="31.5">
      <c r="B130" s="532" t="s">
        <v>5082</v>
      </c>
      <c r="C130" s="532" t="s">
        <v>2919</v>
      </c>
      <c r="D130" s="489" t="s">
        <v>5083</v>
      </c>
      <c r="E130" s="685" t="s">
        <v>1023</v>
      </c>
      <c r="F130" s="540" t="s">
        <v>5084</v>
      </c>
      <c r="G130" s="540" t="s">
        <v>5085</v>
      </c>
      <c r="H130" s="540" t="s">
        <v>5085</v>
      </c>
      <c r="I130" s="550"/>
      <c r="J130" s="550"/>
      <c r="K130" s="533" t="s">
        <v>3017</v>
      </c>
      <c r="L130" s="665" t="s">
        <v>2324</v>
      </c>
    </row>
    <row r="131" spans="1:13" ht="18">
      <c r="B131" s="532" t="s">
        <v>5091</v>
      </c>
      <c r="C131" s="532" t="s">
        <v>2919</v>
      </c>
      <c r="D131" s="489" t="s">
        <v>5090</v>
      </c>
      <c r="E131" s="383" t="s">
        <v>995</v>
      </c>
      <c r="F131" s="540" t="s">
        <v>5093</v>
      </c>
      <c r="G131" s="540" t="s">
        <v>5093</v>
      </c>
      <c r="H131" s="540" t="s">
        <v>5092</v>
      </c>
      <c r="I131" s="550"/>
      <c r="J131" s="550"/>
      <c r="K131" s="533" t="s">
        <v>3017</v>
      </c>
      <c r="L131" s="665" t="s">
        <v>2324</v>
      </c>
    </row>
    <row r="132" spans="1:13" ht="31.5">
      <c r="B132" s="532" t="s">
        <v>5094</v>
      </c>
      <c r="C132" s="532" t="s">
        <v>2908</v>
      </c>
      <c r="D132" s="489" t="s">
        <v>5095</v>
      </c>
      <c r="E132" s="383" t="s">
        <v>1330</v>
      </c>
      <c r="F132" s="540" t="s">
        <v>5096</v>
      </c>
      <c r="G132" s="540" t="s">
        <v>5097</v>
      </c>
      <c r="H132" s="540" t="s">
        <v>5097</v>
      </c>
      <c r="I132" s="550"/>
      <c r="J132" s="550"/>
      <c r="K132" s="533"/>
      <c r="L132" s="665" t="s">
        <v>2324</v>
      </c>
      <c r="M132" t="s">
        <v>2694</v>
      </c>
    </row>
    <row r="133" spans="1:13" ht="31.5">
      <c r="B133" s="532" t="s">
        <v>5098</v>
      </c>
      <c r="C133" s="532" t="s">
        <v>2893</v>
      </c>
      <c r="D133" s="489" t="s">
        <v>5099</v>
      </c>
      <c r="E133" s="532" t="s">
        <v>5100</v>
      </c>
      <c r="F133" s="540" t="s">
        <v>5101</v>
      </c>
      <c r="G133" s="540" t="s">
        <v>5102</v>
      </c>
      <c r="H133" s="540" t="s">
        <v>5102</v>
      </c>
      <c r="I133" s="550"/>
      <c r="J133" s="550"/>
      <c r="K133" s="533" t="s">
        <v>957</v>
      </c>
      <c r="L133" s="665" t="s">
        <v>2324</v>
      </c>
      <c r="M133" t="s">
        <v>5103</v>
      </c>
    </row>
    <row r="134" spans="1:13" ht="18">
      <c r="B134" s="532" t="s">
        <v>5104</v>
      </c>
      <c r="C134" s="532" t="s">
        <v>2919</v>
      </c>
      <c r="D134" s="489" t="s">
        <v>5105</v>
      </c>
      <c r="E134" s="685" t="s">
        <v>1342</v>
      </c>
      <c r="F134" s="540" t="s">
        <v>5106</v>
      </c>
      <c r="G134" s="540" t="s">
        <v>5107</v>
      </c>
      <c r="H134" s="540" t="s">
        <v>5107</v>
      </c>
      <c r="I134" s="550"/>
      <c r="J134" s="550"/>
      <c r="K134" s="533"/>
      <c r="L134" s="665" t="s">
        <v>2324</v>
      </c>
      <c r="M134" t="s">
        <v>5108</v>
      </c>
    </row>
    <row r="135" spans="1:13" ht="31.5">
      <c r="B135" s="532" t="s">
        <v>5109</v>
      </c>
      <c r="C135" s="532" t="s">
        <v>3263</v>
      </c>
      <c r="D135" s="489" t="s">
        <v>5110</v>
      </c>
      <c r="E135" s="685" t="s">
        <v>1</v>
      </c>
      <c r="F135" s="540" t="s">
        <v>5111</v>
      </c>
      <c r="G135" s="540" t="s">
        <v>5112</v>
      </c>
      <c r="H135" s="540" t="s">
        <v>5111</v>
      </c>
      <c r="I135" s="550"/>
      <c r="J135" s="550"/>
      <c r="K135" s="533"/>
      <c r="L135" s="665" t="s">
        <v>2324</v>
      </c>
      <c r="M135" t="s">
        <v>5113</v>
      </c>
    </row>
    <row r="136" spans="1:13" ht="31.5">
      <c r="B136" s="532" t="s">
        <v>5114</v>
      </c>
      <c r="C136" s="532" t="s">
        <v>2962</v>
      </c>
      <c r="D136" s="489" t="s">
        <v>5115</v>
      </c>
      <c r="E136" s="685" t="s">
        <v>2467</v>
      </c>
      <c r="F136" s="532" t="s">
        <v>5116</v>
      </c>
      <c r="G136" s="532" t="s">
        <v>5116</v>
      </c>
      <c r="H136" s="532" t="s">
        <v>5116</v>
      </c>
      <c r="I136" s="686"/>
      <c r="J136" s="532" t="s">
        <v>5117</v>
      </c>
      <c r="K136" s="533"/>
      <c r="L136" s="665" t="s">
        <v>2324</v>
      </c>
      <c r="M136" t="s">
        <v>5113</v>
      </c>
    </row>
    <row r="137" spans="1:13" ht="31.5">
      <c r="B137" s="532" t="s">
        <v>5118</v>
      </c>
      <c r="C137" s="532" t="s">
        <v>4198</v>
      </c>
      <c r="D137" s="489" t="s">
        <v>5119</v>
      </c>
      <c r="E137" s="684" t="s">
        <v>5120</v>
      </c>
      <c r="F137" s="532" t="s">
        <v>5121</v>
      </c>
      <c r="G137" s="532" t="s">
        <v>5122</v>
      </c>
      <c r="H137" s="532" t="s">
        <v>5122</v>
      </c>
      <c r="I137" s="532" t="s">
        <v>5123</v>
      </c>
      <c r="J137" s="687"/>
      <c r="K137" s="533"/>
      <c r="L137" s="665" t="s">
        <v>2324</v>
      </c>
      <c r="M137" t="s">
        <v>5113</v>
      </c>
    </row>
    <row r="138" spans="1:13" ht="31.5">
      <c r="B138" s="532" t="s">
        <v>5124</v>
      </c>
      <c r="C138" s="532" t="s">
        <v>2893</v>
      </c>
      <c r="D138" s="489" t="s">
        <v>5125</v>
      </c>
      <c r="E138" s="684" t="s">
        <v>5126</v>
      </c>
      <c r="F138" s="532" t="s">
        <v>5127</v>
      </c>
      <c r="G138" s="532" t="s">
        <v>5128</v>
      </c>
      <c r="H138" s="532" t="s">
        <v>5128</v>
      </c>
      <c r="I138" s="550"/>
      <c r="J138" s="688"/>
      <c r="K138" s="533" t="s">
        <v>4813</v>
      </c>
      <c r="L138" s="665" t="s">
        <v>2324</v>
      </c>
      <c r="M138" t="s">
        <v>5129</v>
      </c>
    </row>
    <row r="139" spans="1:13" ht="31.5">
      <c r="B139" s="532" t="s">
        <v>5130</v>
      </c>
      <c r="C139" s="532" t="s">
        <v>2893</v>
      </c>
      <c r="D139" s="489" t="s">
        <v>5131</v>
      </c>
      <c r="E139" s="684" t="s">
        <v>5132</v>
      </c>
      <c r="F139" s="532" t="s">
        <v>5133</v>
      </c>
      <c r="G139" s="532" t="s">
        <v>5134</v>
      </c>
      <c r="H139" s="532" t="s">
        <v>5134</v>
      </c>
      <c r="I139" s="550"/>
      <c r="J139" s="689"/>
      <c r="K139" s="533" t="s">
        <v>5135</v>
      </c>
      <c r="L139" s="665" t="s">
        <v>2324</v>
      </c>
      <c r="M139" t="s">
        <v>5129</v>
      </c>
    </row>
    <row r="140" spans="1:13" ht="31.5">
      <c r="B140" s="532" t="s">
        <v>5136</v>
      </c>
      <c r="C140" s="532" t="s">
        <v>2962</v>
      </c>
      <c r="D140" s="489" t="s">
        <v>5137</v>
      </c>
      <c r="E140" s="685" t="s">
        <v>2467</v>
      </c>
      <c r="F140" s="532" t="s">
        <v>5138</v>
      </c>
      <c r="G140" s="532" t="s">
        <v>5138</v>
      </c>
      <c r="H140" s="532" t="s">
        <v>5138</v>
      </c>
      <c r="I140" s="690"/>
      <c r="J140" s="532" t="s">
        <v>5139</v>
      </c>
      <c r="K140" s="533"/>
      <c r="L140" s="665" t="s">
        <v>2324</v>
      </c>
    </row>
    <row r="141" spans="1:13" ht="53.25">
      <c r="A141" s="724" t="s">
        <v>5351</v>
      </c>
      <c r="B141" s="532" t="s">
        <v>5145</v>
      </c>
      <c r="C141" s="532" t="s">
        <v>2917</v>
      </c>
      <c r="D141" s="489" t="s">
        <v>5140</v>
      </c>
      <c r="E141" s="685" t="s">
        <v>5142</v>
      </c>
      <c r="F141" s="532" t="s">
        <v>5144</v>
      </c>
      <c r="G141" s="532" t="s">
        <v>5143</v>
      </c>
      <c r="H141" s="532" t="s">
        <v>5144</v>
      </c>
      <c r="I141" s="691" t="s">
        <v>2324</v>
      </c>
      <c r="J141" s="692" t="s">
        <v>2324</v>
      </c>
      <c r="K141" s="533"/>
      <c r="L141" s="665" t="s">
        <v>2324</v>
      </c>
      <c r="M141" t="s">
        <v>5141</v>
      </c>
    </row>
    <row r="142" spans="1:13" ht="63">
      <c r="B142" s="532" t="s">
        <v>5146</v>
      </c>
      <c r="C142" s="532" t="s">
        <v>2919</v>
      </c>
      <c r="D142" s="489" t="s">
        <v>5147</v>
      </c>
      <c r="E142" s="685" t="s">
        <v>1023</v>
      </c>
      <c r="F142" s="532" t="s">
        <v>5148</v>
      </c>
      <c r="G142" s="532" t="s">
        <v>5149</v>
      </c>
      <c r="H142" s="532" t="s">
        <v>5149</v>
      </c>
      <c r="I142" s="692" t="s">
        <v>2324</v>
      </c>
      <c r="J142" s="692" t="s">
        <v>2324</v>
      </c>
      <c r="K142" s="533" t="s">
        <v>5150</v>
      </c>
      <c r="L142" s="665" t="s">
        <v>2324</v>
      </c>
      <c r="M142" t="s">
        <v>5151</v>
      </c>
    </row>
    <row r="143" spans="1:13" ht="47.25">
      <c r="B143" s="532" t="s">
        <v>5152</v>
      </c>
      <c r="C143" s="532" t="s">
        <v>2919</v>
      </c>
      <c r="D143" s="489" t="s">
        <v>5157</v>
      </c>
      <c r="E143" s="685" t="s">
        <v>5153</v>
      </c>
      <c r="F143" s="532" t="s">
        <v>5154</v>
      </c>
      <c r="G143" s="532" t="s">
        <v>5155</v>
      </c>
      <c r="H143" s="532" t="s">
        <v>5154</v>
      </c>
      <c r="I143" s="692" t="s">
        <v>2324</v>
      </c>
      <c r="J143" s="692" t="s">
        <v>2324</v>
      </c>
      <c r="K143" s="533" t="s">
        <v>5150</v>
      </c>
      <c r="L143" s="665" t="s">
        <v>2324</v>
      </c>
      <c r="M143" t="s">
        <v>5156</v>
      </c>
    </row>
    <row r="144" spans="1:13" ht="18">
      <c r="B144" s="358" t="s">
        <v>5158</v>
      </c>
      <c r="C144" s="532" t="s">
        <v>2894</v>
      </c>
      <c r="D144" s="1144" t="s">
        <v>5159</v>
      </c>
      <c r="E144" s="1145" t="s">
        <v>1023</v>
      </c>
      <c r="F144" s="532" t="s">
        <v>5161</v>
      </c>
      <c r="G144" s="532" t="s">
        <v>5160</v>
      </c>
      <c r="H144" s="532" t="s">
        <v>5160</v>
      </c>
      <c r="I144" s="693" t="s">
        <v>2324</v>
      </c>
      <c r="J144" s="693" t="s">
        <v>2324</v>
      </c>
      <c r="K144" s="533" t="s">
        <v>5196</v>
      </c>
      <c r="L144" s="665" t="s">
        <v>2324</v>
      </c>
      <c r="M144" t="s">
        <v>5162</v>
      </c>
    </row>
    <row r="145" spans="2:13" ht="18">
      <c r="B145" s="358" t="s">
        <v>5193</v>
      </c>
      <c r="C145" s="532" t="s">
        <v>2894</v>
      </c>
      <c r="D145" s="1114"/>
      <c r="E145" s="1123"/>
      <c r="F145" s="532" t="s">
        <v>5194</v>
      </c>
      <c r="G145" s="532" t="s">
        <v>5195</v>
      </c>
      <c r="H145" s="532" t="s">
        <v>5195</v>
      </c>
      <c r="I145" s="696"/>
      <c r="J145" s="696"/>
      <c r="K145" s="533" t="s">
        <v>5197</v>
      </c>
      <c r="L145" s="665"/>
    </row>
    <row r="146" spans="2:13" ht="22.5" customHeight="1">
      <c r="B146" s="532" t="s">
        <v>5164</v>
      </c>
      <c r="C146" s="532" t="s">
        <v>2894</v>
      </c>
      <c r="D146" s="1144" t="s">
        <v>5165</v>
      </c>
      <c r="E146" s="1145" t="s">
        <v>1023</v>
      </c>
      <c r="F146" s="532" t="s">
        <v>5166</v>
      </c>
      <c r="G146" s="532" t="s">
        <v>5167</v>
      </c>
      <c r="H146" s="532" t="s">
        <v>5167</v>
      </c>
      <c r="I146" s="694" t="s">
        <v>2324</v>
      </c>
      <c r="J146" s="694" t="s">
        <v>2324</v>
      </c>
      <c r="K146" s="533"/>
      <c r="L146" s="665" t="s">
        <v>2324</v>
      </c>
      <c r="M146" t="s">
        <v>5168</v>
      </c>
    </row>
    <row r="147" spans="2:13" ht="23.25" customHeight="1">
      <c r="B147" s="532" t="s">
        <v>5294</v>
      </c>
      <c r="C147" s="532" t="s">
        <v>2894</v>
      </c>
      <c r="D147" s="1114"/>
      <c r="E147" s="1123"/>
      <c r="F147" s="532" t="s">
        <v>5295</v>
      </c>
      <c r="G147" s="532" t="s">
        <v>5296</v>
      </c>
      <c r="H147" s="532" t="s">
        <v>5296</v>
      </c>
      <c r="I147" s="715" t="s">
        <v>2324</v>
      </c>
      <c r="J147" s="715" t="s">
        <v>2324</v>
      </c>
      <c r="K147" s="533"/>
      <c r="L147" s="665" t="s">
        <v>2324</v>
      </c>
      <c r="M147" t="s">
        <v>5168</v>
      </c>
    </row>
    <row r="148" spans="2:13" ht="47.25">
      <c r="B148" s="532" t="s">
        <v>5169</v>
      </c>
      <c r="C148" s="532" t="s">
        <v>2908</v>
      </c>
      <c r="D148" s="489" t="s">
        <v>5170</v>
      </c>
      <c r="E148" s="685" t="s">
        <v>3179</v>
      </c>
      <c r="F148" s="532" t="s">
        <v>5171</v>
      </c>
      <c r="G148" s="532" t="s">
        <v>5172</v>
      </c>
      <c r="H148" s="532" t="s">
        <v>5172</v>
      </c>
      <c r="I148" s="695" t="s">
        <v>2324</v>
      </c>
      <c r="J148" s="695" t="s">
        <v>2324</v>
      </c>
      <c r="K148" s="533"/>
      <c r="L148" s="665" t="s">
        <v>2324</v>
      </c>
      <c r="M148" t="s">
        <v>5168</v>
      </c>
    </row>
    <row r="149" spans="2:13" ht="18">
      <c r="B149" s="532" t="s">
        <v>5173</v>
      </c>
      <c r="C149" s="532" t="s">
        <v>3141</v>
      </c>
      <c r="D149" s="489" t="s">
        <v>5174</v>
      </c>
      <c r="E149" s="685" t="s">
        <v>996</v>
      </c>
      <c r="F149" s="550"/>
      <c r="G149" s="550"/>
      <c r="H149" s="550"/>
      <c r="I149" s="540" t="s">
        <v>5175</v>
      </c>
      <c r="J149" s="550"/>
      <c r="K149" s="533"/>
      <c r="L149" s="665" t="s">
        <v>2324</v>
      </c>
      <c r="M149" t="s">
        <v>5176</v>
      </c>
    </row>
  </sheetData>
  <mergeCells count="27">
    <mergeCell ref="D146:D147"/>
    <mergeCell ref="E146:E147"/>
    <mergeCell ref="D144:D145"/>
    <mergeCell ref="E144:E145"/>
    <mergeCell ref="B40:B41"/>
    <mergeCell ref="C40:C41"/>
    <mergeCell ref="B125:B126"/>
    <mergeCell ref="B100:B101"/>
    <mergeCell ref="C100:C101"/>
    <mergeCell ref="B107:B108"/>
    <mergeCell ref="H43:H44"/>
    <mergeCell ref="K2:K3"/>
    <mergeCell ref="F7:J7"/>
    <mergeCell ref="G40:G41"/>
    <mergeCell ref="H40:H41"/>
    <mergeCell ref="F40:F41"/>
    <mergeCell ref="F43:F44"/>
    <mergeCell ref="B43:B44"/>
    <mergeCell ref="C43:C44"/>
    <mergeCell ref="L2:L3"/>
    <mergeCell ref="E100:E101"/>
    <mergeCell ref="F100:F101"/>
    <mergeCell ref="G100:G101"/>
    <mergeCell ref="H100:H101"/>
    <mergeCell ref="J100:J101"/>
    <mergeCell ref="I100:I101"/>
    <mergeCell ref="G43:G44"/>
  </mergeCells>
  <pageMargins left="0.7" right="0.7" top="0.75" bottom="0.75" header="0.3" footer="0.3"/>
  <pageSetup paperSize="9" orientation="portrait" horizontalDpi="4294967295" verticalDpi="4294967295"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B6462E-E72A-4A09-8041-3C11D6D058EA}">
  <dimension ref="A1:N112"/>
  <sheetViews>
    <sheetView topLeftCell="A76" workbookViewId="0">
      <selection activeCell="E49" sqref="E49"/>
    </sheetView>
  </sheetViews>
  <sheetFormatPr baseColWidth="10" defaultRowHeight="12.75"/>
  <cols>
    <col min="1" max="1" width="5.5703125" customWidth="1"/>
    <col min="4" max="4" width="49.5703125" customWidth="1"/>
    <col min="5" max="5" width="52" customWidth="1"/>
    <col min="6" max="6" width="14" customWidth="1"/>
    <col min="7" max="7" width="11.5703125" customWidth="1"/>
    <col min="8" max="8" width="12.5703125" customWidth="1"/>
    <col min="9" max="9" width="12.42578125" customWidth="1"/>
    <col min="10" max="10" width="14" customWidth="1"/>
    <col min="11" max="11" width="15.5703125" customWidth="1"/>
    <col min="12" max="12" width="40.140625" customWidth="1"/>
    <col min="13" max="13" width="23.5703125" bestFit="1" customWidth="1"/>
  </cols>
  <sheetData>
    <row r="1" spans="1:14" s="20" customFormat="1" ht="6.75" customHeight="1">
      <c r="E1" s="119"/>
      <c r="L1" s="61"/>
      <c r="M1" s="61"/>
    </row>
    <row r="2" spans="1:14" s="20" customFormat="1" ht="12.75" customHeight="1">
      <c r="E2" s="119"/>
      <c r="L2" s="1078"/>
      <c r="M2" s="1078"/>
    </row>
    <row r="3" spans="1:14" s="20" customFormat="1" ht="10.5" customHeight="1">
      <c r="E3" s="119"/>
      <c r="L3" s="1079"/>
      <c r="M3" s="1079"/>
    </row>
    <row r="4" spans="1:14" s="20" customFormat="1" ht="13.5" thickBot="1">
      <c r="E4" s="119"/>
      <c r="L4" s="61"/>
      <c r="M4" s="61"/>
    </row>
    <row r="5" spans="1:14" s="336" customFormat="1" ht="21.75" thickTop="1" thickBot="1">
      <c r="B5" s="331" t="s">
        <v>5178</v>
      </c>
      <c r="C5" s="332"/>
      <c r="D5" s="332"/>
      <c r="E5" s="333"/>
      <c r="F5" s="332"/>
      <c r="G5" s="334"/>
      <c r="H5" s="334"/>
      <c r="I5" s="334"/>
      <c r="J5" s="334"/>
      <c r="K5" s="334"/>
      <c r="L5" s="623"/>
      <c r="M5" s="623"/>
    </row>
    <row r="6" spans="1:14" s="20" customFormat="1" ht="17.25" thickTop="1" thickBot="1">
      <c r="A6" s="434" t="s">
        <v>1528</v>
      </c>
      <c r="B6" s="26"/>
      <c r="C6" s="26"/>
      <c r="D6" s="26"/>
      <c r="F6" s="121"/>
      <c r="G6" s="27"/>
      <c r="H6" s="27"/>
      <c r="I6" s="27"/>
      <c r="J6" s="27"/>
      <c r="K6" s="27"/>
      <c r="L6" s="27"/>
      <c r="M6" s="27"/>
    </row>
    <row r="7" spans="1:14" s="20" customFormat="1" ht="16.5" customHeight="1" thickBot="1">
      <c r="B7" s="26"/>
      <c r="C7" s="26"/>
      <c r="D7" s="26"/>
      <c r="E7" s="121"/>
      <c r="F7" s="1129" t="s">
        <v>1026</v>
      </c>
      <c r="G7" s="1130"/>
      <c r="H7" s="1130"/>
      <c r="I7" s="1130"/>
      <c r="J7" s="1130"/>
      <c r="K7" s="1131"/>
      <c r="L7" s="27"/>
      <c r="M7" s="27"/>
    </row>
    <row r="8" spans="1:14" s="330" customFormat="1" ht="24" customHeight="1" thickBot="1">
      <c r="B8" s="624" t="s">
        <v>992</v>
      </c>
      <c r="C8" s="625" t="s">
        <v>2892</v>
      </c>
      <c r="D8" s="624" t="s">
        <v>993</v>
      </c>
      <c r="E8" s="624" t="s">
        <v>994</v>
      </c>
      <c r="F8" s="624" t="s">
        <v>0</v>
      </c>
      <c r="G8" s="624" t="s">
        <v>1</v>
      </c>
      <c r="H8" s="624" t="s">
        <v>995</v>
      </c>
      <c r="I8" s="626" t="s">
        <v>996</v>
      </c>
      <c r="J8" s="626" t="s">
        <v>5822</v>
      </c>
      <c r="K8" s="626" t="s">
        <v>2511</v>
      </c>
      <c r="L8" s="624" t="s">
        <v>4</v>
      </c>
      <c r="M8" s="663" t="s">
        <v>4523</v>
      </c>
    </row>
    <row r="9" spans="1:14" s="1" customFormat="1" ht="41.25" customHeight="1">
      <c r="B9" s="148" t="s">
        <v>5177</v>
      </c>
      <c r="C9" s="603" t="s">
        <v>2893</v>
      </c>
      <c r="D9" s="208" t="s">
        <v>5181</v>
      </c>
      <c r="E9" s="208" t="s">
        <v>1023</v>
      </c>
      <c r="F9" s="540" t="s">
        <v>5179</v>
      </c>
      <c r="G9" s="540" t="s">
        <v>5180</v>
      </c>
      <c r="H9" s="540" t="s">
        <v>5180</v>
      </c>
      <c r="I9" s="540" t="s">
        <v>5180</v>
      </c>
      <c r="J9" s="540" t="s">
        <v>5179</v>
      </c>
      <c r="K9" s="550"/>
      <c r="L9" s="533" t="s">
        <v>2888</v>
      </c>
      <c r="M9" s="664" t="s">
        <v>2487</v>
      </c>
    </row>
    <row r="10" spans="1:14" s="1" customFormat="1" ht="70.349999999999994" customHeight="1">
      <c r="B10" s="148" t="s">
        <v>5182</v>
      </c>
      <c r="C10" s="603" t="s">
        <v>3025</v>
      </c>
      <c r="D10" s="528" t="s">
        <v>5183</v>
      </c>
      <c r="E10" s="208" t="s">
        <v>1342</v>
      </c>
      <c r="F10" s="540" t="s">
        <v>5184</v>
      </c>
      <c r="G10" s="540" t="s">
        <v>5185</v>
      </c>
      <c r="H10" s="540" t="s">
        <v>5185</v>
      </c>
      <c r="I10" s="550"/>
      <c r="J10" s="550"/>
      <c r="K10" s="550"/>
      <c r="L10" s="533" t="s">
        <v>5186</v>
      </c>
      <c r="M10" s="664" t="s">
        <v>2488</v>
      </c>
      <c r="N10" s="1" t="s">
        <v>5187</v>
      </c>
    </row>
    <row r="11" spans="1:14" s="1" customFormat="1" ht="54">
      <c r="A11" s="723" t="s">
        <v>5350</v>
      </c>
      <c r="B11" s="148" t="s">
        <v>5188</v>
      </c>
      <c r="C11" s="603" t="s">
        <v>2917</v>
      </c>
      <c r="D11" s="528" t="s">
        <v>5189</v>
      </c>
      <c r="E11" s="528" t="s">
        <v>5190</v>
      </c>
      <c r="F11" s="540" t="s">
        <v>5191</v>
      </c>
      <c r="G11" s="540" t="s">
        <v>5192</v>
      </c>
      <c r="H11" s="540" t="s">
        <v>5191</v>
      </c>
      <c r="I11" s="550"/>
      <c r="J11" s="550"/>
      <c r="K11" s="550"/>
      <c r="L11" s="533"/>
      <c r="M11" s="664"/>
    </row>
    <row r="12" spans="1:14" ht="36">
      <c r="B12" s="148" t="s">
        <v>5198</v>
      </c>
      <c r="C12" s="603" t="s">
        <v>3141</v>
      </c>
      <c r="D12" s="528" t="s">
        <v>5199</v>
      </c>
      <c r="E12" s="528" t="s">
        <v>996</v>
      </c>
      <c r="F12" s="550"/>
      <c r="G12" s="550"/>
      <c r="H12" s="550"/>
      <c r="I12" s="540" t="s">
        <v>5200</v>
      </c>
      <c r="J12" s="540"/>
      <c r="K12" s="550"/>
      <c r="L12" s="533"/>
      <c r="M12" s="664"/>
    </row>
    <row r="13" spans="1:14" ht="54">
      <c r="B13" s="148" t="s">
        <v>5201</v>
      </c>
      <c r="C13" s="603" t="s">
        <v>2894</v>
      </c>
      <c r="D13" s="528" t="s">
        <v>5202</v>
      </c>
      <c r="E13" s="208" t="s">
        <v>1023</v>
      </c>
      <c r="F13" s="540" t="s">
        <v>5203</v>
      </c>
      <c r="G13" s="540" t="s">
        <v>5204</v>
      </c>
      <c r="H13" s="540" t="s">
        <v>5204</v>
      </c>
      <c r="I13" s="550"/>
      <c r="J13" s="550"/>
      <c r="K13" s="550"/>
      <c r="L13" s="533"/>
      <c r="M13" s="664" t="s">
        <v>5205</v>
      </c>
    </row>
    <row r="14" spans="1:14" ht="54">
      <c r="B14" s="148" t="s">
        <v>5206</v>
      </c>
      <c r="C14" s="603" t="s">
        <v>3263</v>
      </c>
      <c r="D14" s="528" t="s">
        <v>5207</v>
      </c>
      <c r="E14" s="208" t="s">
        <v>1</v>
      </c>
      <c r="F14" s="540" t="s">
        <v>5209</v>
      </c>
      <c r="G14" s="540" t="s">
        <v>5208</v>
      </c>
      <c r="H14" s="540" t="s">
        <v>5209</v>
      </c>
      <c r="I14" s="550"/>
      <c r="J14" s="550"/>
      <c r="K14" s="550"/>
      <c r="L14" s="533" t="s">
        <v>2819</v>
      </c>
      <c r="M14" s="664" t="s">
        <v>5210</v>
      </c>
      <c r="N14" s="697" t="s">
        <v>2640</v>
      </c>
    </row>
    <row r="15" spans="1:14" ht="72">
      <c r="B15" s="148" t="s">
        <v>5211</v>
      </c>
      <c r="C15" s="603" t="s">
        <v>3263</v>
      </c>
      <c r="D15" s="528" t="s">
        <v>5212</v>
      </c>
      <c r="E15" s="208" t="s">
        <v>5213</v>
      </c>
      <c r="F15" s="540" t="s">
        <v>5214</v>
      </c>
      <c r="G15" s="540" t="s">
        <v>5215</v>
      </c>
      <c r="H15" s="540" t="s">
        <v>5214</v>
      </c>
      <c r="I15" s="550"/>
      <c r="J15" s="550"/>
      <c r="K15" s="550"/>
      <c r="L15" s="533" t="s">
        <v>2819</v>
      </c>
      <c r="M15" s="699" t="s">
        <v>5216</v>
      </c>
      <c r="N15" s="697"/>
    </row>
    <row r="16" spans="1:14" ht="31.5">
      <c r="B16" s="532" t="s">
        <v>5217</v>
      </c>
      <c r="C16" s="532" t="s">
        <v>2962</v>
      </c>
      <c r="D16" s="489" t="s">
        <v>5218</v>
      </c>
      <c r="E16" s="685" t="s">
        <v>2467</v>
      </c>
      <c r="F16" s="532" t="s">
        <v>5219</v>
      </c>
      <c r="G16" s="532" t="s">
        <v>5219</v>
      </c>
      <c r="H16" s="532" t="s">
        <v>5219</v>
      </c>
      <c r="I16" s="698"/>
      <c r="J16" s="806"/>
      <c r="K16" s="532" t="s">
        <v>5220</v>
      </c>
      <c r="L16" s="533"/>
      <c r="M16" s="665" t="s">
        <v>2324</v>
      </c>
      <c r="N16" t="s">
        <v>5221</v>
      </c>
    </row>
    <row r="17" spans="2:14" ht="18">
      <c r="B17" s="532" t="s">
        <v>5222</v>
      </c>
      <c r="C17" s="532" t="s">
        <v>2962</v>
      </c>
      <c r="D17" s="489" t="s">
        <v>5223</v>
      </c>
      <c r="E17" s="685" t="s">
        <v>5224</v>
      </c>
      <c r="F17" s="532" t="s">
        <v>5225</v>
      </c>
      <c r="G17" s="532" t="s">
        <v>5225</v>
      </c>
      <c r="H17" s="532" t="s">
        <v>5225</v>
      </c>
      <c r="I17" s="698"/>
      <c r="J17" s="806"/>
      <c r="K17" s="532" t="s">
        <v>5226</v>
      </c>
      <c r="L17" s="533"/>
      <c r="M17" s="665" t="s">
        <v>2324</v>
      </c>
      <c r="N17" t="s">
        <v>5227</v>
      </c>
    </row>
    <row r="18" spans="2:14" ht="18">
      <c r="B18" s="532" t="s">
        <v>5228</v>
      </c>
      <c r="C18" s="532" t="s">
        <v>2908</v>
      </c>
      <c r="D18" s="489" t="s">
        <v>5229</v>
      </c>
      <c r="E18" s="684" t="s">
        <v>5230</v>
      </c>
      <c r="F18" s="532" t="s">
        <v>5231</v>
      </c>
      <c r="G18" s="532" t="s">
        <v>5232</v>
      </c>
      <c r="H18" s="532" t="s">
        <v>5232</v>
      </c>
      <c r="I18" s="700"/>
      <c r="J18" s="806"/>
      <c r="K18" s="700"/>
      <c r="L18" s="533"/>
      <c r="M18" s="665" t="s">
        <v>2324</v>
      </c>
      <c r="N18" t="s">
        <v>5233</v>
      </c>
    </row>
    <row r="19" spans="2:14" ht="18">
      <c r="B19" s="532" t="s">
        <v>5234</v>
      </c>
      <c r="C19" s="532" t="s">
        <v>2908</v>
      </c>
      <c r="D19" s="489" t="s">
        <v>5235</v>
      </c>
      <c r="E19" s="684" t="s">
        <v>1330</v>
      </c>
      <c r="F19" s="532" t="s">
        <v>5236</v>
      </c>
      <c r="G19" s="532" t="s">
        <v>5237</v>
      </c>
      <c r="H19" s="532" t="s">
        <v>5237</v>
      </c>
      <c r="I19" s="700"/>
      <c r="J19" s="806"/>
      <c r="K19" s="700"/>
      <c r="L19" s="533"/>
      <c r="M19" s="665" t="s">
        <v>2324</v>
      </c>
      <c r="N19" t="s">
        <v>5238</v>
      </c>
    </row>
    <row r="20" spans="2:14" ht="18">
      <c r="B20" s="532" t="s">
        <v>5241</v>
      </c>
      <c r="C20" s="532" t="s">
        <v>2893</v>
      </c>
      <c r="D20" s="489" t="s">
        <v>5242</v>
      </c>
      <c r="E20" s="684" t="s">
        <v>995</v>
      </c>
      <c r="F20" s="532" t="s">
        <v>5244</v>
      </c>
      <c r="G20" s="532" t="s">
        <v>5244</v>
      </c>
      <c r="H20" s="532" t="s">
        <v>5243</v>
      </c>
      <c r="I20" s="701"/>
      <c r="J20" s="806"/>
      <c r="K20" s="701"/>
      <c r="L20" s="533"/>
      <c r="M20" s="665" t="s">
        <v>2324</v>
      </c>
    </row>
    <row r="21" spans="2:14" ht="31.5">
      <c r="B21" s="532" t="s">
        <v>5245</v>
      </c>
      <c r="C21" s="532" t="s">
        <v>2908</v>
      </c>
      <c r="D21" s="489" t="s">
        <v>5248</v>
      </c>
      <c r="E21" s="684" t="s">
        <v>5250</v>
      </c>
      <c r="F21" s="532" t="s">
        <v>5246</v>
      </c>
      <c r="G21" s="532" t="s">
        <v>5247</v>
      </c>
      <c r="H21" s="532" t="s">
        <v>5247</v>
      </c>
      <c r="I21" s="708"/>
      <c r="J21" s="806"/>
      <c r="K21" s="708"/>
      <c r="L21" s="533" t="s">
        <v>5251</v>
      </c>
      <c r="M21" s="665" t="s">
        <v>2324</v>
      </c>
      <c r="N21" t="s">
        <v>5249</v>
      </c>
    </row>
    <row r="22" spans="2:14" ht="36">
      <c r="B22" s="148" t="s">
        <v>5252</v>
      </c>
      <c r="C22" s="603" t="s">
        <v>3141</v>
      </c>
      <c r="D22" s="713" t="s">
        <v>5253</v>
      </c>
      <c r="E22" s="528" t="s">
        <v>996</v>
      </c>
      <c r="F22" s="550"/>
      <c r="G22" s="550"/>
      <c r="H22" s="550"/>
      <c r="I22" s="540" t="s">
        <v>5254</v>
      </c>
      <c r="J22" s="540"/>
      <c r="K22" s="550"/>
      <c r="L22" s="533"/>
      <c r="M22" s="664"/>
      <c r="N22" t="s">
        <v>5255</v>
      </c>
    </row>
    <row r="23" spans="2:14" ht="31.5">
      <c r="B23" s="532" t="s">
        <v>5256</v>
      </c>
      <c r="C23" s="532" t="s">
        <v>3025</v>
      </c>
      <c r="D23" s="489" t="s">
        <v>5257</v>
      </c>
      <c r="E23" s="684" t="s">
        <v>5258</v>
      </c>
      <c r="F23" s="532" t="s">
        <v>5259</v>
      </c>
      <c r="G23" s="532" t="s">
        <v>5260</v>
      </c>
      <c r="H23" s="532" t="s">
        <v>5260</v>
      </c>
      <c r="I23" s="709"/>
      <c r="J23" s="806"/>
      <c r="K23" s="709"/>
      <c r="L23" s="533"/>
      <c r="M23" s="665" t="s">
        <v>2324</v>
      </c>
    </row>
    <row r="24" spans="2:14" ht="18">
      <c r="B24" s="532" t="s">
        <v>5261</v>
      </c>
      <c r="C24" s="532" t="s">
        <v>2893</v>
      </c>
      <c r="D24" s="489" t="s">
        <v>5262</v>
      </c>
      <c r="E24" s="684" t="s">
        <v>5263</v>
      </c>
      <c r="F24" s="532" t="s">
        <v>5264</v>
      </c>
      <c r="G24" s="532" t="s">
        <v>5265</v>
      </c>
      <c r="H24" s="532" t="s">
        <v>5265</v>
      </c>
      <c r="I24" s="710"/>
      <c r="J24" s="806"/>
      <c r="K24" s="710"/>
      <c r="L24" s="533" t="s">
        <v>957</v>
      </c>
      <c r="M24" s="665" t="s">
        <v>2324</v>
      </c>
      <c r="N24" t="s">
        <v>5266</v>
      </c>
    </row>
    <row r="25" spans="2:14" ht="31.5">
      <c r="B25" s="532" t="s">
        <v>5267</v>
      </c>
      <c r="C25" s="532" t="s">
        <v>2908</v>
      </c>
      <c r="D25" s="489" t="s">
        <v>5268</v>
      </c>
      <c r="E25" s="684" t="s">
        <v>5269</v>
      </c>
      <c r="F25" s="532" t="s">
        <v>5270</v>
      </c>
      <c r="G25" s="532" t="s">
        <v>5271</v>
      </c>
      <c r="H25" s="532" t="s">
        <v>5271</v>
      </c>
      <c r="I25" s="711"/>
      <c r="J25" s="806"/>
      <c r="K25" s="711"/>
      <c r="L25" s="533" t="s">
        <v>2510</v>
      </c>
      <c r="M25" s="665" t="s">
        <v>2324</v>
      </c>
    </row>
    <row r="26" spans="2:14" ht="18">
      <c r="B26" s="532" t="s">
        <v>5272</v>
      </c>
      <c r="C26" s="532" t="s">
        <v>2908</v>
      </c>
      <c r="D26" s="489" t="s">
        <v>5273</v>
      </c>
      <c r="E26" s="684" t="s">
        <v>995</v>
      </c>
      <c r="F26" s="532" t="s">
        <v>5275</v>
      </c>
      <c r="G26" s="532" t="s">
        <v>5275</v>
      </c>
      <c r="H26" s="532" t="s">
        <v>5274</v>
      </c>
      <c r="I26" s="711"/>
      <c r="J26" s="806"/>
      <c r="K26" s="711"/>
      <c r="L26" s="533" t="s">
        <v>5251</v>
      </c>
      <c r="M26" s="665" t="s">
        <v>2324</v>
      </c>
    </row>
    <row r="27" spans="2:14" ht="31.5">
      <c r="B27" s="532" t="s">
        <v>5278</v>
      </c>
      <c r="C27" s="532" t="s">
        <v>2894</v>
      </c>
      <c r="D27" s="489" t="s">
        <v>5276</v>
      </c>
      <c r="E27" s="684" t="s">
        <v>1023</v>
      </c>
      <c r="F27" s="532" t="s">
        <v>5277</v>
      </c>
      <c r="G27" s="532" t="s">
        <v>5279</v>
      </c>
      <c r="H27" s="532" t="s">
        <v>5279</v>
      </c>
      <c r="I27" s="712"/>
      <c r="J27" s="806"/>
      <c r="K27" s="712"/>
      <c r="L27" s="533" t="s">
        <v>5280</v>
      </c>
      <c r="M27" s="665" t="s">
        <v>2324</v>
      </c>
    </row>
    <row r="28" spans="2:14" ht="18">
      <c r="B28" s="532" t="s">
        <v>5284</v>
      </c>
      <c r="C28" s="532" t="s">
        <v>2894</v>
      </c>
      <c r="D28" s="489" t="s">
        <v>5281</v>
      </c>
      <c r="E28" s="684" t="s">
        <v>1023</v>
      </c>
      <c r="F28" s="532" t="s">
        <v>5282</v>
      </c>
      <c r="G28" s="532" t="s">
        <v>5283</v>
      </c>
      <c r="H28" s="532" t="s">
        <v>5283</v>
      </c>
      <c r="I28" s="714"/>
      <c r="J28" s="806"/>
      <c r="K28" s="714"/>
      <c r="L28" s="533"/>
      <c r="M28" s="665" t="s">
        <v>2324</v>
      </c>
    </row>
    <row r="29" spans="2:14" ht="36">
      <c r="B29" s="148" t="s">
        <v>5285</v>
      </c>
      <c r="C29" s="603" t="s">
        <v>3141</v>
      </c>
      <c r="D29" s="713" t="s">
        <v>5286</v>
      </c>
      <c r="E29" s="684" t="s">
        <v>5287</v>
      </c>
      <c r="F29" s="550"/>
      <c r="G29" s="550"/>
      <c r="H29" s="550"/>
      <c r="I29" s="540" t="s">
        <v>5288</v>
      </c>
      <c r="J29" s="540"/>
      <c r="K29" s="550"/>
      <c r="L29" s="533"/>
      <c r="M29" s="664"/>
      <c r="N29" t="s">
        <v>5289</v>
      </c>
    </row>
    <row r="30" spans="2:14" ht="36">
      <c r="B30" s="148" t="s">
        <v>5290</v>
      </c>
      <c r="C30" s="603" t="s">
        <v>3141</v>
      </c>
      <c r="D30" s="713" t="s">
        <v>5291</v>
      </c>
      <c r="E30" s="684" t="s">
        <v>996</v>
      </c>
      <c r="F30" s="550"/>
      <c r="G30" s="550"/>
      <c r="H30" s="550"/>
      <c r="I30" s="540" t="s">
        <v>5292</v>
      </c>
      <c r="J30" s="540"/>
      <c r="K30" s="550"/>
      <c r="L30" s="533"/>
      <c r="M30" s="664"/>
      <c r="N30" t="s">
        <v>5293</v>
      </c>
    </row>
    <row r="31" spans="2:14" ht="36">
      <c r="B31" s="148" t="s">
        <v>5297</v>
      </c>
      <c r="C31" s="603" t="s">
        <v>3141</v>
      </c>
      <c r="D31" s="713" t="s">
        <v>5299</v>
      </c>
      <c r="E31" s="684" t="s">
        <v>996</v>
      </c>
      <c r="F31" s="550"/>
      <c r="G31" s="550"/>
      <c r="H31" s="550"/>
      <c r="I31" s="540" t="s">
        <v>5301</v>
      </c>
      <c r="J31" s="540"/>
      <c r="K31" s="550"/>
      <c r="L31" s="533"/>
      <c r="M31" s="664"/>
    </row>
    <row r="32" spans="2:14" ht="18">
      <c r="B32" s="148" t="s">
        <v>5298</v>
      </c>
      <c r="C32" s="603" t="s">
        <v>3141</v>
      </c>
      <c r="D32" s="713" t="s">
        <v>5300</v>
      </c>
      <c r="E32" s="684" t="s">
        <v>996</v>
      </c>
      <c r="F32" s="550"/>
      <c r="G32" s="550"/>
      <c r="H32" s="550"/>
      <c r="I32" s="540" t="s">
        <v>5302</v>
      </c>
      <c r="J32" s="540"/>
      <c r="K32" s="550"/>
      <c r="L32" s="533"/>
      <c r="M32" s="664"/>
    </row>
    <row r="33" spans="2:14" ht="18">
      <c r="B33" s="148" t="s">
        <v>5305</v>
      </c>
      <c r="C33" s="603" t="s">
        <v>3141</v>
      </c>
      <c r="D33" s="713" t="s">
        <v>5303</v>
      </c>
      <c r="E33" s="684" t="s">
        <v>996</v>
      </c>
      <c r="F33" s="550"/>
      <c r="G33" s="550"/>
      <c r="H33" s="550"/>
      <c r="I33" s="540" t="s">
        <v>5304</v>
      </c>
      <c r="J33" s="540"/>
      <c r="K33" s="550"/>
      <c r="L33" s="533"/>
      <c r="M33" s="664"/>
    </row>
    <row r="34" spans="2:14" ht="18">
      <c r="B34" s="532" t="s">
        <v>5306</v>
      </c>
      <c r="C34" s="532" t="s">
        <v>2908</v>
      </c>
      <c r="D34" s="489" t="s">
        <v>5307</v>
      </c>
      <c r="E34" s="684" t="s">
        <v>1023</v>
      </c>
      <c r="F34" s="532" t="s">
        <v>5308</v>
      </c>
      <c r="G34" s="532" t="s">
        <v>5309</v>
      </c>
      <c r="H34" s="532" t="s">
        <v>5309</v>
      </c>
      <c r="I34" s="716"/>
      <c r="J34" s="806"/>
      <c r="K34" s="716"/>
      <c r="L34" s="533" t="s">
        <v>5310</v>
      </c>
      <c r="M34" s="665" t="s">
        <v>2324</v>
      </c>
    </row>
    <row r="35" spans="2:14" ht="36">
      <c r="B35" s="148" t="s">
        <v>5311</v>
      </c>
      <c r="C35" s="603" t="s">
        <v>3141</v>
      </c>
      <c r="D35" s="713" t="s">
        <v>5312</v>
      </c>
      <c r="E35" s="684" t="s">
        <v>996</v>
      </c>
      <c r="F35" s="550"/>
      <c r="G35" s="550"/>
      <c r="H35" s="550"/>
      <c r="I35" s="540" t="s">
        <v>5313</v>
      </c>
      <c r="J35" s="540"/>
      <c r="K35" s="550"/>
      <c r="L35" s="533"/>
      <c r="M35" s="664"/>
      <c r="N35" t="s">
        <v>5314</v>
      </c>
    </row>
    <row r="36" spans="2:14" ht="18">
      <c r="B36" s="532" t="s">
        <v>5315</v>
      </c>
      <c r="C36" s="532" t="s">
        <v>5320</v>
      </c>
      <c r="D36" s="489" t="s">
        <v>5316</v>
      </c>
      <c r="E36" s="684" t="s">
        <v>5317</v>
      </c>
      <c r="F36" s="532" t="s">
        <v>5318</v>
      </c>
      <c r="G36" s="532" t="s">
        <v>5319</v>
      </c>
      <c r="H36" s="532" t="s">
        <v>5318</v>
      </c>
      <c r="I36" s="540" t="s">
        <v>5321</v>
      </c>
      <c r="J36" s="540"/>
      <c r="K36" s="717"/>
      <c r="L36" s="533" t="s">
        <v>5322</v>
      </c>
      <c r="M36" s="665" t="s">
        <v>2324</v>
      </c>
    </row>
    <row r="37" spans="2:14" ht="18">
      <c r="B37" s="532" t="s">
        <v>5323</v>
      </c>
      <c r="C37" s="532" t="s">
        <v>2908</v>
      </c>
      <c r="D37" s="489" t="s">
        <v>5324</v>
      </c>
      <c r="E37" s="684" t="s">
        <v>5325</v>
      </c>
      <c r="F37" s="532" t="s">
        <v>5326</v>
      </c>
      <c r="G37" s="532" t="s">
        <v>5326</v>
      </c>
      <c r="H37" s="532" t="s">
        <v>5327</v>
      </c>
      <c r="I37" s="718"/>
      <c r="J37" s="806"/>
      <c r="K37" s="718"/>
      <c r="L37" s="533"/>
      <c r="M37" s="665" t="s">
        <v>2324</v>
      </c>
      <c r="N37" t="s">
        <v>5328</v>
      </c>
    </row>
    <row r="38" spans="2:14" ht="31.5">
      <c r="B38" s="532" t="s">
        <v>5329</v>
      </c>
      <c r="C38" s="532" t="s">
        <v>3263</v>
      </c>
      <c r="D38" s="489" t="s">
        <v>5334</v>
      </c>
      <c r="E38" s="684" t="s">
        <v>5330</v>
      </c>
      <c r="F38" s="532" t="s">
        <v>5331</v>
      </c>
      <c r="G38" s="532" t="s">
        <v>5332</v>
      </c>
      <c r="H38" s="532" t="s">
        <v>5331</v>
      </c>
      <c r="I38" s="719"/>
      <c r="J38" s="806"/>
      <c r="K38" s="719"/>
      <c r="L38" s="533"/>
      <c r="M38" s="665" t="s">
        <v>2324</v>
      </c>
      <c r="N38" t="s">
        <v>5333</v>
      </c>
    </row>
    <row r="39" spans="2:14" ht="31.5">
      <c r="B39" s="532" t="s">
        <v>5336</v>
      </c>
      <c r="C39" s="532" t="s">
        <v>3141</v>
      </c>
      <c r="D39" s="489" t="s">
        <v>5337</v>
      </c>
      <c r="E39" s="684" t="s">
        <v>996</v>
      </c>
      <c r="F39" s="550"/>
      <c r="G39" s="550"/>
      <c r="H39" s="550"/>
      <c r="I39" s="540" t="s">
        <v>5335</v>
      </c>
      <c r="J39" s="540"/>
      <c r="K39" s="550"/>
      <c r="L39" s="533"/>
      <c r="M39" s="665" t="s">
        <v>2324</v>
      </c>
      <c r="N39" t="s">
        <v>5333</v>
      </c>
    </row>
    <row r="40" spans="2:14" ht="47.25">
      <c r="B40" s="532" t="s">
        <v>5341</v>
      </c>
      <c r="C40" s="532" t="s">
        <v>2908</v>
      </c>
      <c r="D40" s="489" t="s">
        <v>5338</v>
      </c>
      <c r="E40" s="684" t="s">
        <v>5339</v>
      </c>
      <c r="F40" s="532" t="s">
        <v>5340</v>
      </c>
      <c r="G40" s="532" t="s">
        <v>5342</v>
      </c>
      <c r="H40" s="532" t="s">
        <v>5342</v>
      </c>
      <c r="I40" s="720"/>
      <c r="J40" s="806"/>
      <c r="K40" s="720"/>
      <c r="L40" s="533" t="s">
        <v>5343</v>
      </c>
      <c r="M40" s="665" t="s">
        <v>2324</v>
      </c>
    </row>
    <row r="41" spans="2:14" ht="31.5">
      <c r="B41" s="532" t="s">
        <v>5344</v>
      </c>
      <c r="C41" s="532" t="s">
        <v>2908</v>
      </c>
      <c r="D41" s="489" t="s">
        <v>5348</v>
      </c>
      <c r="E41" s="684" t="s">
        <v>5345</v>
      </c>
      <c r="F41" s="532" t="s">
        <v>5346</v>
      </c>
      <c r="G41" s="532" t="s">
        <v>5347</v>
      </c>
      <c r="H41" s="532" t="s">
        <v>5347</v>
      </c>
      <c r="I41" s="721"/>
      <c r="J41" s="806"/>
      <c r="K41" s="721"/>
      <c r="L41" s="533" t="s">
        <v>2510</v>
      </c>
      <c r="M41" s="665" t="s">
        <v>2324</v>
      </c>
      <c r="N41" t="s">
        <v>5349</v>
      </c>
    </row>
    <row r="42" spans="2:14" ht="18">
      <c r="B42" s="532" t="s">
        <v>5352</v>
      </c>
      <c r="C42" s="532" t="s">
        <v>3263</v>
      </c>
      <c r="D42" s="489" t="s">
        <v>5353</v>
      </c>
      <c r="E42" s="684" t="s">
        <v>1</v>
      </c>
      <c r="F42" s="532" t="s">
        <v>5354</v>
      </c>
      <c r="G42" s="532" t="s">
        <v>5355</v>
      </c>
      <c r="H42" s="532" t="s">
        <v>5354</v>
      </c>
      <c r="I42" s="722"/>
      <c r="J42" s="806"/>
      <c r="K42" s="722"/>
      <c r="L42" s="533" t="s">
        <v>5356</v>
      </c>
      <c r="M42" s="665" t="s">
        <v>2324</v>
      </c>
      <c r="N42" t="s">
        <v>5357</v>
      </c>
    </row>
    <row r="43" spans="2:14" ht="18">
      <c r="B43" s="532" t="s">
        <v>5358</v>
      </c>
      <c r="C43" s="532" t="s">
        <v>2893</v>
      </c>
      <c r="D43" s="489" t="s">
        <v>5360</v>
      </c>
      <c r="E43" s="684" t="s">
        <v>5359</v>
      </c>
      <c r="F43" s="532" t="s">
        <v>5361</v>
      </c>
      <c r="G43" s="532" t="s">
        <v>5362</v>
      </c>
      <c r="H43" s="532" t="s">
        <v>5362</v>
      </c>
      <c r="I43" s="725"/>
      <c r="J43" s="806"/>
      <c r="K43" s="725"/>
      <c r="L43" s="533" t="s">
        <v>5363</v>
      </c>
      <c r="M43" s="665" t="s">
        <v>2324</v>
      </c>
      <c r="N43" t="s">
        <v>5364</v>
      </c>
    </row>
    <row r="44" spans="2:14" ht="31.5">
      <c r="B44" s="532" t="s">
        <v>5365</v>
      </c>
      <c r="C44" s="532" t="s">
        <v>2908</v>
      </c>
      <c r="D44" s="489" t="s">
        <v>5366</v>
      </c>
      <c r="E44" s="684" t="s">
        <v>1023</v>
      </c>
      <c r="F44" s="532" t="s">
        <v>5367</v>
      </c>
      <c r="G44" s="532" t="s">
        <v>5368</v>
      </c>
      <c r="H44" s="532" t="s">
        <v>5368</v>
      </c>
      <c r="I44" s="726"/>
      <c r="J44" s="806"/>
      <c r="K44" s="726"/>
      <c r="L44" s="533" t="s">
        <v>5369</v>
      </c>
      <c r="M44" s="665" t="s">
        <v>2324</v>
      </c>
    </row>
    <row r="45" spans="2:14" ht="31.5">
      <c r="B45" s="532" t="s">
        <v>5370</v>
      </c>
      <c r="C45" s="532" t="s">
        <v>2908</v>
      </c>
      <c r="D45" s="489" t="s">
        <v>5371</v>
      </c>
      <c r="E45" s="684" t="s">
        <v>1023</v>
      </c>
      <c r="F45" s="532" t="s">
        <v>5372</v>
      </c>
      <c r="G45" s="532" t="s">
        <v>5373</v>
      </c>
      <c r="H45" s="532" t="s">
        <v>5373</v>
      </c>
      <c r="I45" s="726"/>
      <c r="J45" s="806"/>
      <c r="K45" s="726"/>
      <c r="L45" s="533" t="s">
        <v>5369</v>
      </c>
      <c r="M45" s="665" t="s">
        <v>2324</v>
      </c>
    </row>
    <row r="46" spans="2:14" ht="18">
      <c r="B46" s="532" t="s">
        <v>5374</v>
      </c>
      <c r="C46" s="532" t="s">
        <v>3141</v>
      </c>
      <c r="D46" s="489" t="s">
        <v>5375</v>
      </c>
      <c r="E46" s="684" t="s">
        <v>996</v>
      </c>
      <c r="F46" s="550"/>
      <c r="G46" s="550"/>
      <c r="H46" s="550"/>
      <c r="I46" s="540" t="s">
        <v>5376</v>
      </c>
      <c r="J46" s="540"/>
      <c r="K46" s="550"/>
      <c r="L46" s="533"/>
      <c r="M46" s="665" t="s">
        <v>2324</v>
      </c>
      <c r="N46" t="s">
        <v>5377</v>
      </c>
    </row>
    <row r="47" spans="2:14" ht="18">
      <c r="B47" s="532" t="s">
        <v>5378</v>
      </c>
      <c r="C47" s="532" t="s">
        <v>2908</v>
      </c>
      <c r="D47" s="489" t="s">
        <v>5379</v>
      </c>
      <c r="E47" s="684" t="s">
        <v>1023</v>
      </c>
      <c r="F47" s="532" t="s">
        <v>5380</v>
      </c>
      <c r="G47" s="532" t="s">
        <v>5381</v>
      </c>
      <c r="H47" s="532" t="s">
        <v>5381</v>
      </c>
      <c r="I47" s="727"/>
      <c r="J47" s="806"/>
      <c r="K47" s="727"/>
      <c r="L47" s="533" t="s">
        <v>5382</v>
      </c>
      <c r="M47" s="665" t="s">
        <v>2324</v>
      </c>
    </row>
    <row r="48" spans="2:14" ht="47.25">
      <c r="B48" s="532" t="s">
        <v>5383</v>
      </c>
      <c r="C48" s="532" t="s">
        <v>4198</v>
      </c>
      <c r="D48" s="489" t="s">
        <v>5384</v>
      </c>
      <c r="E48" s="684" t="s">
        <v>1963</v>
      </c>
      <c r="F48" s="532" t="s">
        <v>5385</v>
      </c>
      <c r="G48" s="532" t="s">
        <v>5386</v>
      </c>
      <c r="H48" s="532" t="s">
        <v>5386</v>
      </c>
      <c r="I48" s="540" t="s">
        <v>5387</v>
      </c>
      <c r="J48" s="540"/>
      <c r="K48" s="728"/>
      <c r="L48" s="533"/>
      <c r="M48" s="665" t="s">
        <v>2324</v>
      </c>
    </row>
    <row r="49" spans="1:14" ht="18">
      <c r="B49" s="532" t="s">
        <v>5388</v>
      </c>
      <c r="C49" s="532" t="s">
        <v>2893</v>
      </c>
      <c r="D49" s="489" t="s">
        <v>5389</v>
      </c>
      <c r="E49" s="534" t="s">
        <v>4306</v>
      </c>
      <c r="F49" s="532" t="s">
        <v>5390</v>
      </c>
      <c r="G49" s="532" t="s">
        <v>5391</v>
      </c>
      <c r="H49" s="532" t="s">
        <v>5391</v>
      </c>
      <c r="I49" s="729"/>
      <c r="J49" s="806"/>
      <c r="K49" s="729"/>
      <c r="L49" s="533" t="s">
        <v>5089</v>
      </c>
      <c r="M49" s="665" t="s">
        <v>2324</v>
      </c>
      <c r="N49" t="s">
        <v>5392</v>
      </c>
    </row>
    <row r="50" spans="1:14" ht="31.5">
      <c r="B50" s="532" t="s">
        <v>5393</v>
      </c>
      <c r="C50" s="532" t="s">
        <v>2893</v>
      </c>
      <c r="D50" s="489" t="s">
        <v>5394</v>
      </c>
      <c r="E50" s="684" t="s">
        <v>5398</v>
      </c>
      <c r="F50" s="532" t="s">
        <v>5395</v>
      </c>
      <c r="G50" s="532" t="s">
        <v>5396</v>
      </c>
      <c r="H50" s="532" t="s">
        <v>5396</v>
      </c>
      <c r="I50" s="730"/>
      <c r="J50" s="806"/>
      <c r="K50" s="730"/>
      <c r="L50" s="533" t="s">
        <v>5397</v>
      </c>
      <c r="M50" s="665" t="s">
        <v>2324</v>
      </c>
    </row>
    <row r="51" spans="1:14" ht="31.5">
      <c r="B51" s="532" t="s">
        <v>5399</v>
      </c>
      <c r="C51" s="532" t="s">
        <v>2894</v>
      </c>
      <c r="D51" s="489" t="s">
        <v>5400</v>
      </c>
      <c r="E51" s="684" t="s">
        <v>5401</v>
      </c>
      <c r="F51" s="532" t="s">
        <v>5411</v>
      </c>
      <c r="G51" s="532" t="s">
        <v>5412</v>
      </c>
      <c r="H51" s="532" t="s">
        <v>5412</v>
      </c>
      <c r="I51" s="731"/>
      <c r="J51" s="806"/>
      <c r="K51" s="731"/>
      <c r="L51" s="533" t="s">
        <v>5402</v>
      </c>
      <c r="M51" s="665" t="s">
        <v>2324</v>
      </c>
      <c r="N51" t="s">
        <v>5403</v>
      </c>
    </row>
    <row r="52" spans="1:14" ht="18">
      <c r="B52" s="532" t="s">
        <v>5404</v>
      </c>
      <c r="C52" s="532" t="s">
        <v>2894</v>
      </c>
      <c r="D52" s="489" t="s">
        <v>5405</v>
      </c>
      <c r="E52" s="684" t="s">
        <v>5406</v>
      </c>
      <c r="F52" s="532" t="s">
        <v>5413</v>
      </c>
      <c r="G52" s="532" t="s">
        <v>5414</v>
      </c>
      <c r="H52" s="532" t="s">
        <v>5414</v>
      </c>
      <c r="I52" s="731"/>
      <c r="J52" s="806"/>
      <c r="K52" s="731"/>
      <c r="L52" s="533" t="s">
        <v>5407</v>
      </c>
      <c r="M52" s="665" t="s">
        <v>2324</v>
      </c>
      <c r="N52" t="s">
        <v>5408</v>
      </c>
    </row>
    <row r="53" spans="1:14" ht="31.5">
      <c r="B53" s="532" t="s">
        <v>5409</v>
      </c>
      <c r="C53" s="532" t="s">
        <v>2893</v>
      </c>
      <c r="D53" s="489" t="s">
        <v>5410</v>
      </c>
      <c r="E53" s="684" t="s">
        <v>5602</v>
      </c>
      <c r="F53" s="532" t="s">
        <v>5415</v>
      </c>
      <c r="G53" s="532" t="s">
        <v>5416</v>
      </c>
      <c r="H53" s="532" t="s">
        <v>5416</v>
      </c>
      <c r="I53" s="732"/>
      <c r="J53" s="806"/>
      <c r="K53" s="732"/>
      <c r="L53" s="533" t="s">
        <v>5417</v>
      </c>
      <c r="M53" s="665" t="s">
        <v>2324</v>
      </c>
    </row>
    <row r="54" spans="1:14" ht="18">
      <c r="B54" s="532" t="s">
        <v>5418</v>
      </c>
      <c r="C54" s="532" t="s">
        <v>3025</v>
      </c>
      <c r="D54" s="489" t="s">
        <v>5419</v>
      </c>
      <c r="E54" s="684" t="s">
        <v>5420</v>
      </c>
      <c r="F54" s="532" t="s">
        <v>5421</v>
      </c>
      <c r="G54" s="532" t="s">
        <v>5422</v>
      </c>
      <c r="H54" s="532" t="s">
        <v>5422</v>
      </c>
      <c r="I54" s="732"/>
      <c r="J54" s="806"/>
      <c r="K54" s="732"/>
      <c r="L54" s="533"/>
      <c r="M54" s="665" t="s">
        <v>2324</v>
      </c>
      <c r="N54" t="s">
        <v>3119</v>
      </c>
    </row>
    <row r="55" spans="1:14" ht="18">
      <c r="B55" s="532" t="s">
        <v>5423</v>
      </c>
      <c r="C55" s="532" t="s">
        <v>2894</v>
      </c>
      <c r="D55" s="489" t="s">
        <v>5424</v>
      </c>
      <c r="E55" s="684" t="s">
        <v>5426</v>
      </c>
      <c r="F55" s="532" t="s">
        <v>5431</v>
      </c>
      <c r="G55" s="532" t="s">
        <v>5432</v>
      </c>
      <c r="H55" s="532" t="s">
        <v>5432</v>
      </c>
      <c r="I55" s="733"/>
      <c r="J55" s="806"/>
      <c r="K55" s="733"/>
      <c r="L55" s="533" t="s">
        <v>4564</v>
      </c>
      <c r="M55" s="665" t="s">
        <v>2324</v>
      </c>
      <c r="N55" t="s">
        <v>5425</v>
      </c>
    </row>
    <row r="56" spans="1:14" ht="31.5">
      <c r="B56" s="532" t="s">
        <v>5427</v>
      </c>
      <c r="C56" s="532" t="s">
        <v>2908</v>
      </c>
      <c r="D56" s="489" t="s">
        <v>5428</v>
      </c>
      <c r="E56" s="684" t="s">
        <v>1023</v>
      </c>
      <c r="F56" s="532" t="s">
        <v>5429</v>
      </c>
      <c r="G56" s="532" t="s">
        <v>5430</v>
      </c>
      <c r="H56" s="532" t="s">
        <v>5430</v>
      </c>
      <c r="I56" s="734"/>
      <c r="J56" s="806"/>
      <c r="K56" s="734"/>
      <c r="L56" s="533"/>
      <c r="M56" s="665" t="s">
        <v>2324</v>
      </c>
    </row>
    <row r="57" spans="1:14" ht="48" thickBot="1">
      <c r="B57" s="532" t="s">
        <v>5433</v>
      </c>
      <c r="C57" s="532" t="s">
        <v>2962</v>
      </c>
      <c r="D57" s="489" t="s">
        <v>5434</v>
      </c>
      <c r="E57" s="684" t="s">
        <v>5435</v>
      </c>
      <c r="F57" s="532" t="s">
        <v>5436</v>
      </c>
      <c r="G57" s="532" t="s">
        <v>5437</v>
      </c>
      <c r="H57" s="532" t="s">
        <v>5437</v>
      </c>
      <c r="I57" s="735"/>
      <c r="J57" s="806"/>
      <c r="K57" s="735"/>
      <c r="L57" s="533"/>
      <c r="M57" s="665" t="s">
        <v>2324</v>
      </c>
      <c r="N57" t="s">
        <v>4841</v>
      </c>
    </row>
    <row r="58" spans="1:14" ht="31.5">
      <c r="A58" s="1148" t="s">
        <v>5538</v>
      </c>
      <c r="B58" s="1142" t="s">
        <v>5438</v>
      </c>
      <c r="C58" s="532" t="s">
        <v>5536</v>
      </c>
      <c r="D58" s="489" t="s">
        <v>5441</v>
      </c>
      <c r="E58" s="684" t="s">
        <v>5439</v>
      </c>
      <c r="F58" s="1142" t="s">
        <v>5442</v>
      </c>
      <c r="G58" s="1142" t="s">
        <v>5440</v>
      </c>
      <c r="H58" s="1142" t="s">
        <v>5442</v>
      </c>
      <c r="I58" s="736"/>
      <c r="J58" s="806"/>
      <c r="K58" s="736"/>
      <c r="L58" s="533"/>
      <c r="M58" s="665" t="s">
        <v>5443</v>
      </c>
      <c r="N58" t="s">
        <v>5444</v>
      </c>
    </row>
    <row r="59" spans="1:14" ht="32.25" thickBot="1">
      <c r="A59" s="1149"/>
      <c r="B59" s="1123"/>
      <c r="C59" s="532" t="s">
        <v>5537</v>
      </c>
      <c r="D59" s="489" t="s">
        <v>5458</v>
      </c>
      <c r="E59" s="684" t="s">
        <v>5459</v>
      </c>
      <c r="F59" s="1123"/>
      <c r="G59" s="1123"/>
      <c r="H59" s="1123"/>
      <c r="I59" s="758"/>
      <c r="J59" s="806"/>
      <c r="K59" s="758"/>
      <c r="L59" s="533"/>
      <c r="M59" s="665"/>
      <c r="N59" t="s">
        <v>5460</v>
      </c>
    </row>
    <row r="60" spans="1:14" ht="31.5">
      <c r="B60" s="532" t="s">
        <v>5445</v>
      </c>
      <c r="C60" s="532" t="s">
        <v>2908</v>
      </c>
      <c r="D60" s="489" t="s">
        <v>5450</v>
      </c>
      <c r="E60" s="684" t="s">
        <v>5339</v>
      </c>
      <c r="F60" s="532" t="s">
        <v>5446</v>
      </c>
      <c r="G60" s="532" t="s">
        <v>5447</v>
      </c>
      <c r="H60" s="532" t="s">
        <v>5447</v>
      </c>
      <c r="I60" s="737"/>
      <c r="J60" s="806"/>
      <c r="K60" s="737"/>
      <c r="L60" s="533" t="s">
        <v>5448</v>
      </c>
      <c r="M60" s="665"/>
      <c r="N60" t="s">
        <v>5449</v>
      </c>
    </row>
    <row r="61" spans="1:14" ht="31.5">
      <c r="B61" s="532" t="s">
        <v>5451</v>
      </c>
      <c r="C61" s="532" t="s">
        <v>2908</v>
      </c>
      <c r="D61" s="489" t="s">
        <v>5455</v>
      </c>
      <c r="E61" s="684" t="s">
        <v>5452</v>
      </c>
      <c r="F61" s="532" t="s">
        <v>5453</v>
      </c>
      <c r="G61" s="532" t="s">
        <v>5454</v>
      </c>
      <c r="H61" s="532" t="s">
        <v>5454</v>
      </c>
      <c r="I61" s="738"/>
      <c r="J61" s="806"/>
      <c r="K61" s="738"/>
      <c r="L61" s="533"/>
      <c r="M61" s="665"/>
      <c r="N61" t="s">
        <v>5456</v>
      </c>
    </row>
    <row r="62" spans="1:14" ht="18">
      <c r="B62" s="532" t="s">
        <v>5457</v>
      </c>
      <c r="C62" s="532" t="s">
        <v>3141</v>
      </c>
      <c r="D62" s="574" t="s">
        <v>5540</v>
      </c>
      <c r="E62" s="549" t="s">
        <v>5556</v>
      </c>
      <c r="F62" s="550"/>
      <c r="G62" s="550"/>
      <c r="H62" s="550"/>
      <c r="I62" s="540" t="s">
        <v>5541</v>
      </c>
      <c r="J62" s="540"/>
      <c r="K62" s="739"/>
      <c r="L62" s="533"/>
      <c r="M62" s="665" t="s">
        <v>2324</v>
      </c>
      <c r="N62" t="s">
        <v>5542</v>
      </c>
    </row>
    <row r="63" spans="1:14" ht="31.5">
      <c r="B63" s="532" t="s">
        <v>5461</v>
      </c>
      <c r="C63" s="532" t="s">
        <v>3263</v>
      </c>
      <c r="D63" s="489" t="s">
        <v>5462</v>
      </c>
      <c r="E63" s="684" t="s">
        <v>1</v>
      </c>
      <c r="F63" s="532" t="s">
        <v>5463</v>
      </c>
      <c r="G63" s="532" t="s">
        <v>5464</v>
      </c>
      <c r="H63" s="532" t="s">
        <v>5463</v>
      </c>
      <c r="I63" s="740"/>
      <c r="J63" s="806"/>
      <c r="K63" s="740"/>
      <c r="L63" s="533" t="s">
        <v>2819</v>
      </c>
      <c r="M63" s="665" t="s">
        <v>2324</v>
      </c>
    </row>
    <row r="64" spans="1:14" ht="31.5">
      <c r="B64" s="532" t="s">
        <v>5466</v>
      </c>
      <c r="C64" s="532" t="s">
        <v>3263</v>
      </c>
      <c r="D64" s="489" t="s">
        <v>5465</v>
      </c>
      <c r="E64" s="684" t="s">
        <v>1</v>
      </c>
      <c r="F64" s="532" t="s">
        <v>5467</v>
      </c>
      <c r="G64" s="532" t="s">
        <v>5468</v>
      </c>
      <c r="H64" s="532" t="s">
        <v>5467</v>
      </c>
      <c r="I64" s="741"/>
      <c r="J64" s="806"/>
      <c r="K64" s="741"/>
      <c r="L64" s="533" t="s">
        <v>2819</v>
      </c>
      <c r="M64" s="665" t="s">
        <v>2324</v>
      </c>
    </row>
    <row r="65" spans="1:14" ht="31.5">
      <c r="B65" s="532" t="s">
        <v>5469</v>
      </c>
      <c r="C65" s="532" t="s">
        <v>2962</v>
      </c>
      <c r="D65" s="489" t="s">
        <v>5470</v>
      </c>
      <c r="E65" s="684" t="s">
        <v>2467</v>
      </c>
      <c r="F65" s="532" t="s">
        <v>5471</v>
      </c>
      <c r="G65" s="532" t="s">
        <v>5471</v>
      </c>
      <c r="H65" s="532" t="s">
        <v>5471</v>
      </c>
      <c r="I65" s="742"/>
      <c r="J65" s="806"/>
      <c r="K65" s="532" t="s">
        <v>5472</v>
      </c>
      <c r="L65" s="533"/>
      <c r="M65" s="665" t="s">
        <v>2324</v>
      </c>
      <c r="N65" t="s">
        <v>5473</v>
      </c>
    </row>
    <row r="66" spans="1:14" ht="31.5">
      <c r="B66" s="532" t="s">
        <v>5474</v>
      </c>
      <c r="C66" s="532" t="s">
        <v>3263</v>
      </c>
      <c r="D66" s="489" t="s">
        <v>5475</v>
      </c>
      <c r="E66" s="684" t="s">
        <v>1</v>
      </c>
      <c r="F66" s="532" t="s">
        <v>5476</v>
      </c>
      <c r="G66" s="532" t="s">
        <v>5477</v>
      </c>
      <c r="H66" s="532" t="s">
        <v>5476</v>
      </c>
      <c r="I66" s="743"/>
      <c r="J66" s="806"/>
      <c r="K66" s="743"/>
      <c r="L66" s="533"/>
      <c r="M66" s="665" t="s">
        <v>2324</v>
      </c>
      <c r="N66" t="s">
        <v>5478</v>
      </c>
    </row>
    <row r="67" spans="1:14" ht="47.25">
      <c r="B67" s="532" t="s">
        <v>5479</v>
      </c>
      <c r="C67" s="532" t="s">
        <v>2962</v>
      </c>
      <c r="D67" s="489" t="s">
        <v>5480</v>
      </c>
      <c r="E67" s="684" t="s">
        <v>2467</v>
      </c>
      <c r="F67" s="532" t="s">
        <v>5481</v>
      </c>
      <c r="G67" s="532" t="s">
        <v>5481</v>
      </c>
      <c r="H67" s="532" t="s">
        <v>5481</v>
      </c>
      <c r="I67" s="744"/>
      <c r="J67" s="806"/>
      <c r="K67" s="532" t="s">
        <v>5482</v>
      </c>
      <c r="L67" s="533"/>
      <c r="M67" s="665" t="s">
        <v>2324</v>
      </c>
      <c r="N67" t="s">
        <v>5483</v>
      </c>
    </row>
    <row r="68" spans="1:14" ht="31.5">
      <c r="B68" s="532" t="s">
        <v>5484</v>
      </c>
      <c r="C68" s="532" t="s">
        <v>3025</v>
      </c>
      <c r="D68" s="489" t="s">
        <v>5485</v>
      </c>
      <c r="E68" s="684" t="s">
        <v>1330</v>
      </c>
      <c r="F68" s="532" t="s">
        <v>5486</v>
      </c>
      <c r="G68" s="532" t="s">
        <v>5487</v>
      </c>
      <c r="H68" s="532" t="s">
        <v>5487</v>
      </c>
      <c r="I68" s="745"/>
      <c r="J68" s="806"/>
      <c r="K68" s="745"/>
      <c r="L68" s="533"/>
      <c r="M68" s="665" t="s">
        <v>2324</v>
      </c>
      <c r="N68" t="s">
        <v>5488</v>
      </c>
    </row>
    <row r="69" spans="1:14" ht="32.25" thickBot="1">
      <c r="B69" s="532" t="s">
        <v>5489</v>
      </c>
      <c r="C69" s="532" t="s">
        <v>3114</v>
      </c>
      <c r="D69" s="489" t="s">
        <v>5490</v>
      </c>
      <c r="E69" s="684" t="s">
        <v>996</v>
      </c>
      <c r="F69" s="532" t="s">
        <v>5492</v>
      </c>
      <c r="G69" s="532" t="s">
        <v>5492</v>
      </c>
      <c r="H69" s="532" t="s">
        <v>5492</v>
      </c>
      <c r="I69" s="532" t="s">
        <v>5491</v>
      </c>
      <c r="J69" s="532"/>
      <c r="K69" s="746"/>
      <c r="L69" s="533" t="s">
        <v>3118</v>
      </c>
      <c r="M69" s="665" t="s">
        <v>2324</v>
      </c>
      <c r="N69" t="s">
        <v>5493</v>
      </c>
    </row>
    <row r="70" spans="1:14" ht="18">
      <c r="A70" s="1148" t="s">
        <v>5538</v>
      </c>
      <c r="B70" s="1150" t="s">
        <v>5494</v>
      </c>
      <c r="C70" s="532" t="s">
        <v>5536</v>
      </c>
      <c r="D70" s="489" t="s">
        <v>5500</v>
      </c>
      <c r="E70" s="684" t="s">
        <v>5495</v>
      </c>
      <c r="F70" s="1142" t="s">
        <v>5497</v>
      </c>
      <c r="G70" s="1142" t="s">
        <v>5496</v>
      </c>
      <c r="H70" s="1142" t="s">
        <v>5497</v>
      </c>
      <c r="I70" s="747"/>
      <c r="J70" s="806"/>
      <c r="K70" s="747"/>
      <c r="L70" s="1147" t="s">
        <v>4678</v>
      </c>
      <c r="M70" s="665" t="s">
        <v>2324</v>
      </c>
      <c r="N70" t="s">
        <v>2324</v>
      </c>
    </row>
    <row r="71" spans="1:14" ht="30.6" customHeight="1" thickBot="1">
      <c r="A71" s="1149"/>
      <c r="B71" s="1151"/>
      <c r="C71" s="532" t="s">
        <v>5537</v>
      </c>
      <c r="D71" s="489" t="s">
        <v>5501</v>
      </c>
      <c r="E71" s="684" t="s">
        <v>5499</v>
      </c>
      <c r="F71" s="1123"/>
      <c r="G71" s="1123"/>
      <c r="H71" s="1123"/>
      <c r="I71" s="758"/>
      <c r="J71" s="806"/>
      <c r="K71" s="758"/>
      <c r="L71" s="1136"/>
      <c r="M71" s="665"/>
    </row>
    <row r="72" spans="1:14" ht="48" thickBot="1">
      <c r="B72" s="532" t="s">
        <v>5498</v>
      </c>
      <c r="C72" s="532" t="s">
        <v>3263</v>
      </c>
      <c r="D72" s="574" t="s">
        <v>5551</v>
      </c>
      <c r="E72" s="549" t="s">
        <v>5554</v>
      </c>
      <c r="F72" s="532" t="s">
        <v>5552</v>
      </c>
      <c r="G72" s="532" t="s">
        <v>5553</v>
      </c>
      <c r="H72" s="532" t="s">
        <v>5552</v>
      </c>
      <c r="I72" s="748"/>
      <c r="J72" s="806"/>
      <c r="K72" s="748"/>
      <c r="L72" s="533"/>
      <c r="M72" s="665" t="s">
        <v>2324</v>
      </c>
      <c r="N72" s="761" t="s">
        <v>5555</v>
      </c>
    </row>
    <row r="73" spans="1:14" ht="34.5" customHeight="1">
      <c r="A73" s="1148" t="s">
        <v>5655</v>
      </c>
      <c r="B73" s="1142" t="s">
        <v>5502</v>
      </c>
      <c r="C73" s="532" t="s">
        <v>5546</v>
      </c>
      <c r="D73" s="489" t="s">
        <v>5539</v>
      </c>
      <c r="E73" s="684" t="s">
        <v>5504</v>
      </c>
      <c r="F73" s="1142" t="s">
        <v>5503</v>
      </c>
      <c r="G73" s="1142" t="s">
        <v>5505</v>
      </c>
      <c r="H73" s="1142" t="s">
        <v>5505</v>
      </c>
      <c r="I73" s="749"/>
      <c r="J73" s="806"/>
      <c r="K73" s="749"/>
      <c r="L73" s="533"/>
      <c r="M73" s="665" t="s">
        <v>2324</v>
      </c>
      <c r="N73" t="s">
        <v>5549</v>
      </c>
    </row>
    <row r="74" spans="1:14" ht="34.5" customHeight="1">
      <c r="A74" s="1152"/>
      <c r="B74" s="1153"/>
      <c r="C74" s="532" t="s">
        <v>5547</v>
      </c>
      <c r="D74" s="489" t="s">
        <v>5539</v>
      </c>
      <c r="E74" s="684" t="s">
        <v>5548</v>
      </c>
      <c r="F74" s="1153"/>
      <c r="G74" s="1153"/>
      <c r="H74" s="1153"/>
      <c r="I74" s="776"/>
      <c r="J74" s="806"/>
      <c r="K74" s="776"/>
      <c r="L74" s="533"/>
      <c r="M74" s="665"/>
      <c r="N74" t="s">
        <v>5550</v>
      </c>
    </row>
    <row r="75" spans="1:14" ht="18.75" thickBot="1">
      <c r="A75" s="1149"/>
      <c r="B75" s="1123"/>
      <c r="C75" s="532" t="s">
        <v>5658</v>
      </c>
      <c r="D75" s="778" t="s">
        <v>5656</v>
      </c>
      <c r="E75" s="779" t="s">
        <v>5657</v>
      </c>
      <c r="F75" s="1123"/>
      <c r="G75" s="1123"/>
      <c r="H75" s="1123"/>
      <c r="I75" s="759"/>
      <c r="J75" s="806"/>
      <c r="K75" s="759"/>
      <c r="L75" s="533"/>
      <c r="M75" s="665"/>
      <c r="N75" t="s">
        <v>5550</v>
      </c>
    </row>
    <row r="76" spans="1:14" ht="31.5">
      <c r="B76" s="532" t="s">
        <v>5506</v>
      </c>
      <c r="C76" s="532" t="s">
        <v>2962</v>
      </c>
      <c r="D76" s="489" t="s">
        <v>5507</v>
      </c>
      <c r="E76" s="684" t="s">
        <v>2467</v>
      </c>
      <c r="F76" s="532" t="s">
        <v>5508</v>
      </c>
      <c r="G76" s="532" t="s">
        <v>5508</v>
      </c>
      <c r="H76" s="532" t="s">
        <v>5508</v>
      </c>
      <c r="I76" s="750"/>
      <c r="J76" s="806"/>
      <c r="K76" s="532" t="s">
        <v>5509</v>
      </c>
      <c r="L76" s="533"/>
      <c r="M76" s="665" t="s">
        <v>2324</v>
      </c>
      <c r="N76" t="s">
        <v>5510</v>
      </c>
    </row>
    <row r="77" spans="1:14" ht="31.5">
      <c r="B77" s="532" t="s">
        <v>5511</v>
      </c>
      <c r="C77" s="754" t="s">
        <v>3114</v>
      </c>
      <c r="D77" s="755" t="s">
        <v>5517</v>
      </c>
      <c r="E77" s="756" t="s">
        <v>5518</v>
      </c>
      <c r="F77" s="532" t="s">
        <v>5543</v>
      </c>
      <c r="G77" s="532" t="s">
        <v>5544</v>
      </c>
      <c r="H77" s="532" t="s">
        <v>5544</v>
      </c>
      <c r="I77" s="751"/>
      <c r="J77" s="806"/>
      <c r="K77" s="532" t="s">
        <v>5516</v>
      </c>
      <c r="L77" s="533" t="s">
        <v>5520</v>
      </c>
      <c r="M77" s="665" t="s">
        <v>5545</v>
      </c>
      <c r="N77" t="s">
        <v>5519</v>
      </c>
    </row>
    <row r="78" spans="1:14" ht="31.5">
      <c r="B78" s="532" t="s">
        <v>5512</v>
      </c>
      <c r="C78" s="532" t="s">
        <v>2894</v>
      </c>
      <c r="D78" s="489" t="s">
        <v>5513</v>
      </c>
      <c r="E78" s="684" t="s">
        <v>1023</v>
      </c>
      <c r="F78" s="532" t="s">
        <v>5514</v>
      </c>
      <c r="G78" s="532" t="s">
        <v>5515</v>
      </c>
      <c r="H78" s="532" t="s">
        <v>5515</v>
      </c>
      <c r="I78" s="752"/>
      <c r="J78" s="806"/>
      <c r="K78" s="752"/>
      <c r="L78" s="533"/>
      <c r="M78" s="665" t="s">
        <v>2324</v>
      </c>
      <c r="N78" t="s">
        <v>2324</v>
      </c>
    </row>
    <row r="79" spans="1:14" ht="31.5">
      <c r="B79" s="1142" t="s">
        <v>5521</v>
      </c>
      <c r="C79" s="1142" t="s">
        <v>2893</v>
      </c>
      <c r="D79" s="489" t="s">
        <v>5522</v>
      </c>
      <c r="E79" s="684" t="s">
        <v>5523</v>
      </c>
      <c r="F79" s="1142" t="s">
        <v>5524</v>
      </c>
      <c r="G79" s="1142" t="s">
        <v>5525</v>
      </c>
      <c r="H79" s="1142" t="s">
        <v>5525</v>
      </c>
      <c r="I79" s="753"/>
      <c r="J79" s="806"/>
      <c r="K79" s="753"/>
      <c r="L79" s="1147" t="s">
        <v>957</v>
      </c>
      <c r="M79" s="665" t="s">
        <v>2324</v>
      </c>
      <c r="N79" t="s">
        <v>2324</v>
      </c>
    </row>
    <row r="80" spans="1:14" ht="31.5">
      <c r="B80" s="1123"/>
      <c r="C80" s="1123"/>
      <c r="D80" s="489" t="s">
        <v>5694</v>
      </c>
      <c r="E80" s="684" t="s">
        <v>5695</v>
      </c>
      <c r="F80" s="1123"/>
      <c r="G80" s="1123"/>
      <c r="H80" s="1123"/>
      <c r="I80" s="784"/>
      <c r="J80" s="806"/>
      <c r="K80" s="784"/>
      <c r="L80" s="1136"/>
      <c r="M80" s="665"/>
    </row>
    <row r="81" spans="2:14" ht="18">
      <c r="B81" s="532" t="s">
        <v>5526</v>
      </c>
      <c r="C81" s="532" t="s">
        <v>2894</v>
      </c>
      <c r="D81" s="489" t="s">
        <v>5527</v>
      </c>
      <c r="E81" s="684" t="s">
        <v>5528</v>
      </c>
      <c r="F81" s="532" t="s">
        <v>5529</v>
      </c>
      <c r="G81" s="532" t="s">
        <v>5530</v>
      </c>
      <c r="H81" s="532" t="s">
        <v>5530</v>
      </c>
      <c r="I81" s="532" t="s">
        <v>5531</v>
      </c>
      <c r="J81" s="532"/>
      <c r="K81" s="757"/>
      <c r="L81" s="533"/>
      <c r="M81" s="665" t="s">
        <v>2324</v>
      </c>
      <c r="N81" t="s">
        <v>2324</v>
      </c>
    </row>
    <row r="82" spans="2:14" ht="31.5">
      <c r="B82" s="532" t="s">
        <v>5532</v>
      </c>
      <c r="C82" s="532" t="s">
        <v>3141</v>
      </c>
      <c r="D82" s="489" t="s">
        <v>5535</v>
      </c>
      <c r="E82" s="684" t="s">
        <v>5823</v>
      </c>
      <c r="F82" s="550"/>
      <c r="G82" s="550"/>
      <c r="H82" s="550"/>
      <c r="I82" s="540" t="s">
        <v>5534</v>
      </c>
      <c r="J82" s="540"/>
      <c r="K82" s="550"/>
      <c r="L82" s="533"/>
      <c r="M82" s="665" t="s">
        <v>2324</v>
      </c>
    </row>
    <row r="83" spans="2:14" ht="31.5">
      <c r="B83" s="532" t="s">
        <v>5557</v>
      </c>
      <c r="C83" s="532" t="s">
        <v>2893</v>
      </c>
      <c r="D83" s="489" t="s">
        <v>5558</v>
      </c>
      <c r="E83" s="684" t="s">
        <v>5567</v>
      </c>
      <c r="F83" s="532" t="s">
        <v>5559</v>
      </c>
      <c r="G83" s="532" t="s">
        <v>5560</v>
      </c>
      <c r="H83" s="532" t="s">
        <v>5560</v>
      </c>
      <c r="I83" s="760"/>
      <c r="J83" s="806"/>
      <c r="K83" s="760"/>
      <c r="L83" s="665" t="s">
        <v>5545</v>
      </c>
      <c r="M83" s="665" t="s">
        <v>2324</v>
      </c>
      <c r="N83" t="s">
        <v>5561</v>
      </c>
    </row>
    <row r="84" spans="2:14" ht="31.5">
      <c r="B84" s="532" t="s">
        <v>5562</v>
      </c>
      <c r="C84" s="532" t="s">
        <v>2893</v>
      </c>
      <c r="D84" s="489" t="s">
        <v>5563</v>
      </c>
      <c r="E84" s="684" t="s">
        <v>5568</v>
      </c>
      <c r="F84" s="532" t="s">
        <v>5564</v>
      </c>
      <c r="G84" s="532" t="s">
        <v>5565</v>
      </c>
      <c r="H84" s="532" t="s">
        <v>5565</v>
      </c>
      <c r="I84" s="760"/>
      <c r="J84" s="806"/>
      <c r="K84" s="760"/>
      <c r="L84" s="665" t="s">
        <v>5545</v>
      </c>
      <c r="M84" s="665" t="s">
        <v>2324</v>
      </c>
      <c r="N84" t="s">
        <v>5566</v>
      </c>
    </row>
    <row r="85" spans="2:14" ht="31.5">
      <c r="B85" s="532" t="s">
        <v>5580</v>
      </c>
      <c r="C85" s="532" t="s">
        <v>2894</v>
      </c>
      <c r="D85" s="489" t="s">
        <v>5573</v>
      </c>
      <c r="E85" s="684" t="s">
        <v>5569</v>
      </c>
      <c r="F85" s="532" t="s">
        <v>5570</v>
      </c>
      <c r="G85" s="532" t="s">
        <v>5571</v>
      </c>
      <c r="H85" s="532" t="s">
        <v>5571</v>
      </c>
      <c r="I85" s="762"/>
      <c r="J85" s="806"/>
      <c r="K85" s="762"/>
      <c r="L85" s="665"/>
      <c r="M85" s="665" t="s">
        <v>2324</v>
      </c>
      <c r="N85" t="s">
        <v>5572</v>
      </c>
    </row>
    <row r="86" spans="2:14" ht="47.25">
      <c r="B86" s="532" t="s">
        <v>5574</v>
      </c>
      <c r="C86" s="532" t="s">
        <v>2893</v>
      </c>
      <c r="D86" s="489" t="s">
        <v>5575</v>
      </c>
      <c r="E86" s="684" t="s">
        <v>5576</v>
      </c>
      <c r="F86" s="532" t="s">
        <v>5577</v>
      </c>
      <c r="G86" s="532" t="s">
        <v>5579</v>
      </c>
      <c r="H86" s="532" t="s">
        <v>5579</v>
      </c>
      <c r="I86" s="532" t="s">
        <v>5579</v>
      </c>
      <c r="J86" s="532"/>
      <c r="K86" s="763"/>
      <c r="L86" s="665" t="s">
        <v>5578</v>
      </c>
      <c r="M86" s="665" t="s">
        <v>2324</v>
      </c>
      <c r="N86" t="s">
        <v>2324</v>
      </c>
    </row>
    <row r="87" spans="2:14" ht="31.5">
      <c r="B87" s="532" t="s">
        <v>5581</v>
      </c>
      <c r="C87" s="532" t="s">
        <v>2962</v>
      </c>
      <c r="D87" s="489" t="s">
        <v>5582</v>
      </c>
      <c r="E87" s="684" t="s">
        <v>2467</v>
      </c>
      <c r="F87" s="532" t="s">
        <v>5583</v>
      </c>
      <c r="G87" s="532" t="s">
        <v>5583</v>
      </c>
      <c r="H87" s="532" t="s">
        <v>5583</v>
      </c>
      <c r="I87" s="764"/>
      <c r="J87" s="806"/>
      <c r="K87" s="532" t="s">
        <v>5584</v>
      </c>
      <c r="L87" s="533"/>
      <c r="M87" s="665" t="s">
        <v>2324</v>
      </c>
      <c r="N87" t="s">
        <v>5585</v>
      </c>
    </row>
    <row r="88" spans="2:14" ht="18">
      <c r="B88" s="532" t="s">
        <v>5586</v>
      </c>
      <c r="C88" s="532" t="s">
        <v>3141</v>
      </c>
      <c r="D88" s="489" t="s">
        <v>5587</v>
      </c>
      <c r="E88" s="684" t="s">
        <v>5533</v>
      </c>
      <c r="F88" s="550"/>
      <c r="G88" s="550"/>
      <c r="H88" s="550"/>
      <c r="I88" s="540" t="s">
        <v>5588</v>
      </c>
      <c r="J88" s="540"/>
      <c r="K88" s="550"/>
      <c r="L88" s="533"/>
      <c r="M88" s="665" t="s">
        <v>2324</v>
      </c>
      <c r="N88">
        <v>464.9</v>
      </c>
    </row>
    <row r="89" spans="2:14" ht="18">
      <c r="B89" s="532" t="s">
        <v>5589</v>
      </c>
      <c r="C89" s="532" t="s">
        <v>3114</v>
      </c>
      <c r="D89" s="489" t="s">
        <v>5590</v>
      </c>
      <c r="E89" s="684" t="s">
        <v>996</v>
      </c>
      <c r="F89" s="550"/>
      <c r="G89" s="550"/>
      <c r="H89" s="550"/>
      <c r="I89" s="540" t="s">
        <v>5591</v>
      </c>
      <c r="J89" s="540"/>
      <c r="K89" s="550"/>
      <c r="L89" s="533"/>
      <c r="M89" s="665" t="s">
        <v>2324</v>
      </c>
      <c r="N89">
        <v>49.5</v>
      </c>
    </row>
    <row r="90" spans="2:14" ht="18">
      <c r="B90" s="532" t="s">
        <v>5592</v>
      </c>
      <c r="C90" s="532" t="s">
        <v>3141</v>
      </c>
      <c r="D90" s="489" t="s">
        <v>5593</v>
      </c>
      <c r="E90" s="684" t="s">
        <v>5594</v>
      </c>
      <c r="F90" s="550"/>
      <c r="G90" s="550"/>
      <c r="H90" s="550"/>
      <c r="I90" s="540" t="s">
        <v>5595</v>
      </c>
      <c r="J90" s="540"/>
      <c r="K90" s="550"/>
      <c r="L90" s="533"/>
      <c r="M90" s="665" t="s">
        <v>2324</v>
      </c>
    </row>
    <row r="91" spans="2:14" ht="47.25">
      <c r="B91" s="532" t="s">
        <v>5596</v>
      </c>
      <c r="C91" s="532" t="s">
        <v>2893</v>
      </c>
      <c r="D91" s="489" t="s">
        <v>5597</v>
      </c>
      <c r="E91" s="684" t="s">
        <v>5598</v>
      </c>
      <c r="F91" s="532" t="s">
        <v>5599</v>
      </c>
      <c r="G91" s="532" t="s">
        <v>5600</v>
      </c>
      <c r="H91" s="532" t="s">
        <v>5600</v>
      </c>
      <c r="I91" s="532" t="s">
        <v>5600</v>
      </c>
      <c r="J91" s="532"/>
      <c r="K91" s="765"/>
      <c r="L91" s="665" t="s">
        <v>5601</v>
      </c>
      <c r="M91" s="665" t="s">
        <v>2324</v>
      </c>
      <c r="N91" t="s">
        <v>2324</v>
      </c>
    </row>
    <row r="92" spans="2:14" ht="31.5">
      <c r="B92" s="532" t="s">
        <v>5603</v>
      </c>
      <c r="C92" s="532" t="s">
        <v>3025</v>
      </c>
      <c r="D92" s="489" t="s">
        <v>5604</v>
      </c>
      <c r="E92" s="684" t="s">
        <v>5605</v>
      </c>
      <c r="F92" s="532" t="s">
        <v>5606</v>
      </c>
      <c r="G92" s="532" t="s">
        <v>5607</v>
      </c>
      <c r="H92" s="532" t="s">
        <v>5607</v>
      </c>
      <c r="I92" s="550"/>
      <c r="J92" s="550"/>
      <c r="K92" s="766"/>
      <c r="L92" s="665" t="s">
        <v>3985</v>
      </c>
      <c r="M92" s="665" t="s">
        <v>2324</v>
      </c>
      <c r="N92" t="s">
        <v>5608</v>
      </c>
    </row>
    <row r="93" spans="2:14" ht="38.25">
      <c r="B93" s="532" t="s">
        <v>5609</v>
      </c>
      <c r="C93" s="532" t="s">
        <v>2894</v>
      </c>
      <c r="D93" s="489" t="s">
        <v>5610</v>
      </c>
      <c r="E93" s="684" t="s">
        <v>5639</v>
      </c>
      <c r="F93" s="532" t="s">
        <v>5611</v>
      </c>
      <c r="G93" s="532" t="s">
        <v>5612</v>
      </c>
      <c r="H93" s="532" t="s">
        <v>5611</v>
      </c>
      <c r="I93" s="550"/>
      <c r="J93" s="550"/>
      <c r="K93" s="767"/>
      <c r="L93" s="665" t="s">
        <v>3256</v>
      </c>
      <c r="M93" s="773" t="s">
        <v>5640</v>
      </c>
    </row>
    <row r="94" spans="2:14" ht="31.5">
      <c r="B94" s="1150" t="s">
        <v>5613</v>
      </c>
      <c r="C94" s="1150" t="s">
        <v>2893</v>
      </c>
      <c r="D94" s="755" t="s">
        <v>5614</v>
      </c>
      <c r="E94" s="756" t="s">
        <v>5615</v>
      </c>
      <c r="F94" s="1142" t="s">
        <v>5836</v>
      </c>
      <c r="G94" s="1142" t="s">
        <v>5836</v>
      </c>
      <c r="H94" s="1142" t="s">
        <v>5836</v>
      </c>
      <c r="I94" s="1142" t="s">
        <v>5835</v>
      </c>
      <c r="J94" s="807"/>
      <c r="K94" s="771"/>
      <c r="L94" s="1147" t="s">
        <v>3815</v>
      </c>
      <c r="M94" s="1154" t="s">
        <v>5837</v>
      </c>
    </row>
    <row r="95" spans="2:14" ht="31.5">
      <c r="B95" s="1151"/>
      <c r="C95" s="1151"/>
      <c r="D95" s="755" t="s">
        <v>5637</v>
      </c>
      <c r="E95" s="756" t="s">
        <v>5638</v>
      </c>
      <c r="F95" s="1123"/>
      <c r="G95" s="1123"/>
      <c r="H95" s="1123"/>
      <c r="I95" s="1123"/>
      <c r="J95" s="614"/>
      <c r="K95" s="771"/>
      <c r="L95" s="1136"/>
      <c r="M95" s="1155"/>
    </row>
    <row r="96" spans="2:14" ht="31.5">
      <c r="B96" s="532" t="s">
        <v>5616</v>
      </c>
      <c r="C96" s="754" t="s">
        <v>2894</v>
      </c>
      <c r="D96" s="755" t="s">
        <v>5621</v>
      </c>
      <c r="E96" s="756" t="s">
        <v>5617</v>
      </c>
      <c r="F96" s="532" t="s">
        <v>5618</v>
      </c>
      <c r="G96" s="532" t="s">
        <v>5619</v>
      </c>
      <c r="H96" s="532" t="s">
        <v>5619</v>
      </c>
      <c r="I96" s="768"/>
      <c r="J96" s="806"/>
      <c r="K96" s="768"/>
      <c r="L96" s="533" t="s">
        <v>5620</v>
      </c>
      <c r="M96" s="665"/>
    </row>
    <row r="97" spans="1:14" ht="31.5">
      <c r="B97" s="532" t="s">
        <v>5622</v>
      </c>
      <c r="C97" s="532" t="s">
        <v>3141</v>
      </c>
      <c r="D97" s="489" t="s">
        <v>5623</v>
      </c>
      <c r="E97" s="684" t="s">
        <v>2546</v>
      </c>
      <c r="F97" s="550"/>
      <c r="G97" s="550"/>
      <c r="H97" s="550"/>
      <c r="I97" s="540" t="s">
        <v>5624</v>
      </c>
      <c r="J97" s="540"/>
      <c r="K97" s="550"/>
      <c r="L97" s="533"/>
      <c r="M97" s="665" t="s">
        <v>2324</v>
      </c>
      <c r="N97" t="s">
        <v>5625</v>
      </c>
    </row>
    <row r="98" spans="1:14" ht="31.5">
      <c r="B98" s="532" t="s">
        <v>5626</v>
      </c>
      <c r="C98" s="532" t="s">
        <v>2962</v>
      </c>
      <c r="D98" s="489" t="s">
        <v>5627</v>
      </c>
      <c r="E98" s="684" t="s">
        <v>2467</v>
      </c>
      <c r="F98" s="532" t="s">
        <v>5628</v>
      </c>
      <c r="G98" s="532" t="s">
        <v>5628</v>
      </c>
      <c r="H98" s="532" t="s">
        <v>5628</v>
      </c>
      <c r="I98" s="769"/>
      <c r="J98" s="806"/>
      <c r="K98" s="532" t="s">
        <v>5629</v>
      </c>
      <c r="L98" s="533"/>
      <c r="M98" s="665" t="s">
        <v>2324</v>
      </c>
      <c r="N98" t="s">
        <v>5630</v>
      </c>
    </row>
    <row r="99" spans="1:14" ht="31.5">
      <c r="B99" s="532" t="s">
        <v>5631</v>
      </c>
      <c r="C99" s="532" t="s">
        <v>2908</v>
      </c>
      <c r="D99" s="489" t="s">
        <v>5632</v>
      </c>
      <c r="E99" s="684" t="s">
        <v>5633</v>
      </c>
      <c r="F99" s="532" t="s">
        <v>5634</v>
      </c>
      <c r="G99" s="532" t="s">
        <v>5635</v>
      </c>
      <c r="H99" s="532" t="s">
        <v>5635</v>
      </c>
      <c r="I99" s="770"/>
      <c r="J99" s="806"/>
      <c r="K99" s="770"/>
      <c r="L99" s="533"/>
      <c r="M99" s="665" t="s">
        <v>2324</v>
      </c>
      <c r="N99" t="s">
        <v>5636</v>
      </c>
    </row>
    <row r="100" spans="1:14" ht="18">
      <c r="B100" s="532" t="s">
        <v>5641</v>
      </c>
      <c r="C100" s="532" t="s">
        <v>2894</v>
      </c>
      <c r="D100" s="489" t="s">
        <v>5642</v>
      </c>
      <c r="E100" s="684" t="s">
        <v>1</v>
      </c>
      <c r="F100" s="532" t="s">
        <v>5644</v>
      </c>
      <c r="G100" s="532" t="s">
        <v>5643</v>
      </c>
      <c r="H100" s="532" t="s">
        <v>5644</v>
      </c>
      <c r="I100" s="772"/>
      <c r="J100" s="806"/>
      <c r="K100" s="772"/>
      <c r="L100" s="533" t="s">
        <v>5620</v>
      </c>
      <c r="M100" s="665" t="s">
        <v>2324</v>
      </c>
      <c r="N100" t="s">
        <v>5645</v>
      </c>
    </row>
    <row r="101" spans="1:14" ht="18">
      <c r="B101" s="532" t="s">
        <v>5646</v>
      </c>
      <c r="C101" s="532" t="s">
        <v>2908</v>
      </c>
      <c r="D101" s="489" t="s">
        <v>5647</v>
      </c>
      <c r="E101" s="684" t="s">
        <v>5648</v>
      </c>
      <c r="F101" s="532" t="s">
        <v>5649</v>
      </c>
      <c r="G101" s="532" t="s">
        <v>5650</v>
      </c>
      <c r="H101" s="532" t="s">
        <v>5650</v>
      </c>
      <c r="I101" s="774"/>
      <c r="J101" s="806"/>
      <c r="K101" s="774"/>
      <c r="L101" s="533"/>
      <c r="M101" s="665" t="s">
        <v>2324</v>
      </c>
    </row>
    <row r="102" spans="1:14" ht="31.5">
      <c r="B102" s="532" t="s">
        <v>5651</v>
      </c>
      <c r="C102" s="532" t="s">
        <v>3025</v>
      </c>
      <c r="D102" s="489" t="s">
        <v>5652</v>
      </c>
      <c r="E102" s="684" t="s">
        <v>2995</v>
      </c>
      <c r="F102" s="532" t="s">
        <v>5653</v>
      </c>
      <c r="G102" s="532" t="s">
        <v>5654</v>
      </c>
      <c r="H102" s="532" t="s">
        <v>5653</v>
      </c>
      <c r="I102" s="775"/>
      <c r="J102" s="806"/>
      <c r="K102" s="775"/>
      <c r="L102" s="533"/>
      <c r="M102" s="665" t="s">
        <v>2324</v>
      </c>
    </row>
    <row r="103" spans="1:14" ht="18">
      <c r="B103" s="532" t="s">
        <v>5659</v>
      </c>
      <c r="C103" s="532" t="s">
        <v>3114</v>
      </c>
      <c r="D103" s="489" t="s">
        <v>5660</v>
      </c>
      <c r="E103" s="684" t="s">
        <v>5661</v>
      </c>
      <c r="F103" s="550"/>
      <c r="G103" s="550"/>
      <c r="H103" s="550"/>
      <c r="I103" s="540" t="s">
        <v>5662</v>
      </c>
      <c r="J103" s="540"/>
      <c r="K103" s="777"/>
      <c r="L103" s="533" t="s">
        <v>3118</v>
      </c>
      <c r="M103" s="665" t="s">
        <v>2324</v>
      </c>
      <c r="N103" t="s">
        <v>5663</v>
      </c>
    </row>
    <row r="104" spans="1:14" ht="18">
      <c r="B104" s="532" t="s">
        <v>5664</v>
      </c>
      <c r="C104" s="532" t="s">
        <v>2917</v>
      </c>
      <c r="D104" s="489" t="s">
        <v>5669</v>
      </c>
      <c r="E104" s="684" t="s">
        <v>5665</v>
      </c>
      <c r="F104" s="782" t="s">
        <v>5667</v>
      </c>
      <c r="G104" s="782" t="s">
        <v>5666</v>
      </c>
      <c r="H104" s="782" t="s">
        <v>5667</v>
      </c>
      <c r="I104" s="780"/>
      <c r="J104" s="806"/>
      <c r="K104" s="780"/>
      <c r="L104" s="533" t="s">
        <v>2324</v>
      </c>
      <c r="M104" s="665" t="s">
        <v>2324</v>
      </c>
      <c r="N104" t="s">
        <v>5668</v>
      </c>
    </row>
    <row r="105" spans="1:14" ht="31.5">
      <c r="B105" s="532" t="s">
        <v>5670</v>
      </c>
      <c r="C105" s="532" t="s">
        <v>3141</v>
      </c>
      <c r="D105" s="489" t="s">
        <v>5673</v>
      </c>
      <c r="E105" s="684" t="s">
        <v>5671</v>
      </c>
      <c r="F105" s="550"/>
      <c r="G105" s="550"/>
      <c r="H105" s="550"/>
      <c r="I105" s="540" t="s">
        <v>5672</v>
      </c>
      <c r="J105" s="540"/>
      <c r="K105" s="781"/>
      <c r="L105" s="533"/>
      <c r="M105" s="665" t="s">
        <v>2324</v>
      </c>
      <c r="N105" t="s">
        <v>5674</v>
      </c>
    </row>
    <row r="106" spans="1:14" ht="47.25">
      <c r="B106" s="532" t="s">
        <v>5675</v>
      </c>
      <c r="C106" s="532" t="s">
        <v>5676</v>
      </c>
      <c r="D106" s="489" t="s">
        <v>5682</v>
      </c>
      <c r="E106" s="684" t="s">
        <v>5677</v>
      </c>
      <c r="F106" s="532" t="s">
        <v>5678</v>
      </c>
      <c r="G106" s="532" t="s">
        <v>5679</v>
      </c>
      <c r="H106" s="550"/>
      <c r="I106" s="532" t="s">
        <v>5680</v>
      </c>
      <c r="J106" s="532"/>
      <c r="K106" s="783"/>
      <c r="L106" s="665"/>
      <c r="M106" s="665" t="s">
        <v>2324</v>
      </c>
      <c r="N106" t="s">
        <v>5681</v>
      </c>
    </row>
    <row r="107" spans="1:14" s="800" customFormat="1" ht="18">
      <c r="B107" s="801" t="s">
        <v>5683</v>
      </c>
      <c r="C107" s="801" t="s">
        <v>3263</v>
      </c>
      <c r="D107" s="802" t="s">
        <v>5684</v>
      </c>
      <c r="E107" s="803" t="s">
        <v>1</v>
      </c>
      <c r="F107" s="801" t="s">
        <v>5686</v>
      </c>
      <c r="G107" s="801" t="s">
        <v>5687</v>
      </c>
      <c r="H107" s="801" t="s">
        <v>5686</v>
      </c>
      <c r="I107" s="804"/>
      <c r="J107" s="804"/>
      <c r="K107" s="801" t="s">
        <v>5686</v>
      </c>
      <c r="L107" s="805"/>
      <c r="M107" s="805" t="s">
        <v>2324</v>
      </c>
      <c r="N107" s="800" t="s">
        <v>5685</v>
      </c>
    </row>
    <row r="108" spans="1:14" ht="18">
      <c r="B108" s="532" t="s">
        <v>5688</v>
      </c>
      <c r="C108" s="532" t="s">
        <v>3025</v>
      </c>
      <c r="D108" s="489" t="s">
        <v>5693</v>
      </c>
      <c r="E108" s="684" t="s">
        <v>5689</v>
      </c>
      <c r="F108" s="532" t="s">
        <v>5690</v>
      </c>
      <c r="G108" s="532" t="s">
        <v>5691</v>
      </c>
      <c r="H108" s="532" t="s">
        <v>5690</v>
      </c>
      <c r="I108" s="550"/>
      <c r="J108" s="550"/>
      <c r="K108" s="550"/>
      <c r="L108" s="665"/>
      <c r="M108" s="665" t="s">
        <v>2324</v>
      </c>
      <c r="N108" t="s">
        <v>5692</v>
      </c>
    </row>
    <row r="109" spans="1:14" ht="63">
      <c r="A109" s="789"/>
      <c r="B109" s="540" t="s">
        <v>5696</v>
      </c>
      <c r="C109" s="540" t="s">
        <v>2893</v>
      </c>
      <c r="D109" s="755" t="s">
        <v>5697</v>
      </c>
      <c r="E109" s="756" t="s">
        <v>5698</v>
      </c>
      <c r="F109" s="532" t="s">
        <v>5699</v>
      </c>
      <c r="G109" s="532" t="s">
        <v>5700</v>
      </c>
      <c r="H109" s="532" t="s">
        <v>5700</v>
      </c>
      <c r="I109" s="787"/>
      <c r="J109" s="787"/>
      <c r="K109" s="785"/>
      <c r="L109" s="532" t="s">
        <v>5363</v>
      </c>
      <c r="M109" s="788"/>
      <c r="N109" t="s">
        <v>5701</v>
      </c>
    </row>
    <row r="110" spans="1:14" ht="31.5">
      <c r="A110" s="789"/>
      <c r="B110" s="540" t="s">
        <v>5702</v>
      </c>
      <c r="C110" s="540" t="s">
        <v>2894</v>
      </c>
      <c r="D110" s="755" t="s">
        <v>5703</v>
      </c>
      <c r="E110" s="756" t="s">
        <v>5704</v>
      </c>
      <c r="F110" s="532" t="s">
        <v>5705</v>
      </c>
      <c r="G110" s="532" t="s">
        <v>5706</v>
      </c>
      <c r="H110" s="532" t="s">
        <v>5706</v>
      </c>
      <c r="I110" s="787"/>
      <c r="J110" s="787"/>
      <c r="K110" s="786"/>
      <c r="L110" s="532" t="s">
        <v>3256</v>
      </c>
      <c r="M110" s="788"/>
      <c r="N110" t="s">
        <v>5707</v>
      </c>
    </row>
    <row r="111" spans="1:14" ht="31.5">
      <c r="B111" s="532" t="s">
        <v>5708</v>
      </c>
      <c r="C111" s="532" t="s">
        <v>2908</v>
      </c>
      <c r="D111" s="489" t="s">
        <v>5709</v>
      </c>
      <c r="E111" s="684" t="s">
        <v>1023</v>
      </c>
      <c r="F111" s="532" t="s">
        <v>5710</v>
      </c>
      <c r="G111" s="532" t="s">
        <v>5711</v>
      </c>
      <c r="H111" s="532" t="s">
        <v>5711</v>
      </c>
      <c r="I111" s="790"/>
      <c r="J111" s="806"/>
      <c r="K111" s="790"/>
      <c r="L111" s="533"/>
      <c r="M111" s="665" t="s">
        <v>2324</v>
      </c>
    </row>
    <row r="112" spans="1:14" ht="31.5">
      <c r="B112" s="532" t="s">
        <v>5712</v>
      </c>
      <c r="C112" s="532" t="s">
        <v>2893</v>
      </c>
      <c r="D112" s="489" t="s">
        <v>5715</v>
      </c>
      <c r="E112" s="684" t="s">
        <v>5713</v>
      </c>
      <c r="F112" s="532" t="s">
        <v>5714</v>
      </c>
      <c r="G112" s="532" t="s">
        <v>5716</v>
      </c>
      <c r="H112" s="532" t="s">
        <v>5716</v>
      </c>
      <c r="I112" s="791"/>
      <c r="J112" s="806"/>
      <c r="K112" s="791"/>
      <c r="L112" s="533" t="s">
        <v>2480</v>
      </c>
      <c r="M112" s="665" t="s">
        <v>2324</v>
      </c>
      <c r="N112" t="s">
        <v>5717</v>
      </c>
    </row>
  </sheetData>
  <mergeCells count="33">
    <mergeCell ref="M94:M95"/>
    <mergeCell ref="L94:L95"/>
    <mergeCell ref="B94:B95"/>
    <mergeCell ref="C94:C95"/>
    <mergeCell ref="F94:F95"/>
    <mergeCell ref="G94:G95"/>
    <mergeCell ref="H94:H95"/>
    <mergeCell ref="I94:I95"/>
    <mergeCell ref="A73:A75"/>
    <mergeCell ref="B58:B59"/>
    <mergeCell ref="F58:F59"/>
    <mergeCell ref="G58:G59"/>
    <mergeCell ref="H58:H59"/>
    <mergeCell ref="B73:B75"/>
    <mergeCell ref="F73:F75"/>
    <mergeCell ref="G73:G75"/>
    <mergeCell ref="H73:H75"/>
    <mergeCell ref="A70:A71"/>
    <mergeCell ref="A58:A59"/>
    <mergeCell ref="L2:L3"/>
    <mergeCell ref="M2:M3"/>
    <mergeCell ref="F7:K7"/>
    <mergeCell ref="B70:B71"/>
    <mergeCell ref="F70:F71"/>
    <mergeCell ref="G70:G71"/>
    <mergeCell ref="H70:H71"/>
    <mergeCell ref="L70:L71"/>
    <mergeCell ref="B79:B80"/>
    <mergeCell ref="C79:C80"/>
    <mergeCell ref="F79:F80"/>
    <mergeCell ref="G79:G80"/>
    <mergeCell ref="H79:H80"/>
    <mergeCell ref="L79:L80"/>
  </mergeCells>
  <pageMargins left="0.7" right="0.7" top="0.75" bottom="0.75" header="0.3" footer="0.3"/>
  <pageSetup paperSize="9" orientation="portrait" verticalDpi="4294967295"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73D57-BCD2-49DC-A55E-BC1150400F22}">
  <dimension ref="A1:O122"/>
  <sheetViews>
    <sheetView topLeftCell="B2" workbookViewId="0">
      <pane xSplit="1" ySplit="7" topLeftCell="C36" activePane="bottomRight" state="frozen"/>
      <selection activeCell="B2" sqref="B2"/>
      <selection pane="topRight" activeCell="C2" sqref="C2"/>
      <selection pane="bottomLeft" activeCell="B9" sqref="B9"/>
      <selection pane="bottomRight" activeCell="B116" sqref="B116:E116"/>
    </sheetView>
  </sheetViews>
  <sheetFormatPr baseColWidth="10" defaultRowHeight="12.75"/>
  <cols>
    <col min="1" max="1" width="4.85546875" customWidth="1"/>
    <col min="4" max="4" width="48.28515625" customWidth="1"/>
    <col min="5" max="5" width="37.7109375" customWidth="1"/>
    <col min="6" max="6" width="16" customWidth="1"/>
    <col min="7" max="7" width="12.7109375" customWidth="1"/>
    <col min="8" max="8" width="19" customWidth="1"/>
    <col min="9" max="9" width="13.42578125" customWidth="1"/>
    <col min="10" max="12" width="15.42578125" customWidth="1"/>
    <col min="13" max="13" width="20.28515625" customWidth="1"/>
    <col min="14" max="14" width="26.28515625" customWidth="1"/>
  </cols>
  <sheetData>
    <row r="1" spans="1:15" s="20" customFormat="1" ht="6.75" customHeight="1">
      <c r="E1" s="119"/>
      <c r="M1" s="61"/>
      <c r="N1" s="61"/>
    </row>
    <row r="2" spans="1:15" s="20" customFormat="1" ht="39.6" customHeight="1">
      <c r="E2" s="119"/>
      <c r="M2" s="1078"/>
      <c r="N2" s="1078"/>
    </row>
    <row r="3" spans="1:15" s="20" customFormat="1" ht="10.5" customHeight="1">
      <c r="E3" s="119"/>
      <c r="M3" s="1079"/>
      <c r="N3" s="1079"/>
    </row>
    <row r="4" spans="1:15" s="20" customFormat="1" ht="13.5" thickBot="1">
      <c r="E4" s="119"/>
      <c r="M4" s="61"/>
      <c r="N4" s="61"/>
    </row>
    <row r="5" spans="1:15" s="336" customFormat="1" ht="21" thickBot="1">
      <c r="B5" s="850" t="s">
        <v>5727</v>
      </c>
      <c r="C5" s="851"/>
      <c r="D5" s="851"/>
      <c r="E5" s="852"/>
      <c r="F5" s="851"/>
      <c r="G5" s="853"/>
      <c r="H5" s="853"/>
      <c r="I5" s="853"/>
      <c r="J5" s="853"/>
      <c r="K5" s="853"/>
      <c r="L5" s="853"/>
      <c r="M5" s="854"/>
      <c r="N5" s="855"/>
    </row>
    <row r="6" spans="1:15" s="20" customFormat="1" ht="17.25" thickTop="1" thickBot="1">
      <c r="A6" s="864" t="s">
        <v>1528</v>
      </c>
      <c r="B6" s="863"/>
      <c r="C6" s="26"/>
      <c r="D6" s="26"/>
      <c r="E6" s="857"/>
      <c r="F6" s="121"/>
      <c r="G6" s="27"/>
      <c r="H6" s="27"/>
      <c r="I6" s="27"/>
      <c r="J6" s="27"/>
      <c r="K6" s="27"/>
      <c r="L6" s="27"/>
      <c r="M6" s="27"/>
      <c r="N6" s="858"/>
    </row>
    <row r="7" spans="1:15" s="20" customFormat="1" ht="16.5" customHeight="1" thickBot="1">
      <c r="B7" s="856"/>
      <c r="C7" s="26"/>
      <c r="D7" s="26"/>
      <c r="E7" s="121"/>
      <c r="F7" s="1129" t="s">
        <v>1026</v>
      </c>
      <c r="G7" s="1130"/>
      <c r="H7" s="1130"/>
      <c r="I7" s="1130"/>
      <c r="J7" s="1162"/>
      <c r="K7" s="1163"/>
      <c r="L7" s="1164"/>
      <c r="M7" s="27"/>
      <c r="N7" s="858"/>
    </row>
    <row r="8" spans="1:15" s="330" customFormat="1" ht="34.5" customHeight="1" thickBot="1">
      <c r="B8" s="624" t="s">
        <v>992</v>
      </c>
      <c r="C8" s="625" t="s">
        <v>2892</v>
      </c>
      <c r="D8" s="624" t="s">
        <v>993</v>
      </c>
      <c r="E8" s="624" t="s">
        <v>994</v>
      </c>
      <c r="F8" s="860" t="s">
        <v>0</v>
      </c>
      <c r="G8" s="861" t="s">
        <v>1</v>
      </c>
      <c r="H8" s="862" t="s">
        <v>5730</v>
      </c>
      <c r="I8" s="859" t="s">
        <v>996</v>
      </c>
      <c r="J8" s="859" t="s">
        <v>2511</v>
      </c>
      <c r="K8" s="859" t="s">
        <v>5764</v>
      </c>
      <c r="L8" s="846" t="s">
        <v>6109</v>
      </c>
      <c r="M8" s="624" t="s">
        <v>4</v>
      </c>
      <c r="N8" s="624" t="s">
        <v>4523</v>
      </c>
    </row>
    <row r="9" spans="1:15" ht="31.5">
      <c r="A9" s="1158" t="s">
        <v>5538</v>
      </c>
      <c r="B9" s="1160" t="s">
        <v>5718</v>
      </c>
      <c r="C9" s="540" t="s">
        <v>5536</v>
      </c>
      <c r="D9" s="492" t="s">
        <v>5732</v>
      </c>
      <c r="E9" s="847" t="s">
        <v>5721</v>
      </c>
      <c r="F9" s="1153" t="s">
        <v>5719</v>
      </c>
      <c r="G9" s="1153" t="s">
        <v>5720</v>
      </c>
      <c r="H9" s="1153" t="s">
        <v>5719</v>
      </c>
      <c r="I9" s="548"/>
      <c r="J9" s="548"/>
      <c r="K9" s="848"/>
      <c r="L9" s="848"/>
      <c r="M9" s="1161" t="s">
        <v>5734</v>
      </c>
      <c r="N9" s="849" t="s">
        <v>2324</v>
      </c>
      <c r="O9" s="697" t="s">
        <v>5723</v>
      </c>
    </row>
    <row r="10" spans="1:15" ht="52.15" customHeight="1" thickBot="1">
      <c r="A10" s="1159"/>
      <c r="B10" s="1151"/>
      <c r="C10" s="532" t="s">
        <v>5537</v>
      </c>
      <c r="D10" s="489" t="s">
        <v>5733</v>
      </c>
      <c r="E10" s="684" t="s">
        <v>5722</v>
      </c>
      <c r="F10" s="1123"/>
      <c r="G10" s="1123"/>
      <c r="H10" s="1123"/>
      <c r="I10" s="792"/>
      <c r="J10" s="792"/>
      <c r="K10" s="548"/>
      <c r="L10" s="548"/>
      <c r="M10" s="1136"/>
      <c r="N10" s="665"/>
    </row>
    <row r="11" spans="1:15" ht="18">
      <c r="B11" s="532" t="s">
        <v>5724</v>
      </c>
      <c r="C11" s="532" t="s">
        <v>2893</v>
      </c>
      <c r="D11" s="489" t="s">
        <v>5728</v>
      </c>
      <c r="E11" s="684" t="s">
        <v>5729</v>
      </c>
      <c r="F11" s="532" t="s">
        <v>5725</v>
      </c>
      <c r="G11" s="532" t="s">
        <v>5726</v>
      </c>
      <c r="H11" s="532" t="s">
        <v>5726</v>
      </c>
      <c r="I11" s="793"/>
      <c r="J11" s="793"/>
      <c r="K11" s="797"/>
      <c r="L11" s="844"/>
      <c r="M11" s="533" t="s">
        <v>2480</v>
      </c>
      <c r="N11" s="665" t="s">
        <v>2324</v>
      </c>
      <c r="O11" t="s">
        <v>5731</v>
      </c>
    </row>
    <row r="12" spans="1:15" ht="31.5">
      <c r="B12" s="532" t="s">
        <v>5735</v>
      </c>
      <c r="C12" s="532" t="s">
        <v>2908</v>
      </c>
      <c r="D12" s="489" t="s">
        <v>5736</v>
      </c>
      <c r="E12" s="684" t="s">
        <v>5873</v>
      </c>
      <c r="F12" s="532" t="s">
        <v>5737</v>
      </c>
      <c r="G12" s="532" t="s">
        <v>5738</v>
      </c>
      <c r="H12" s="532" t="s">
        <v>5738</v>
      </c>
      <c r="I12" s="794"/>
      <c r="J12" s="794"/>
      <c r="K12" s="797"/>
      <c r="L12" s="844"/>
      <c r="M12" s="533" t="s">
        <v>5739</v>
      </c>
      <c r="N12" s="665" t="s">
        <v>2324</v>
      </c>
    </row>
    <row r="13" spans="1:15" ht="47.25">
      <c r="B13" s="532" t="s">
        <v>5740</v>
      </c>
      <c r="C13" s="532" t="s">
        <v>3025</v>
      </c>
      <c r="D13" s="489" t="s">
        <v>5745</v>
      </c>
      <c r="E13" s="684" t="s">
        <v>5741</v>
      </c>
      <c r="F13" s="532" t="s">
        <v>5742</v>
      </c>
      <c r="G13" s="532" t="s">
        <v>5742</v>
      </c>
      <c r="H13" s="532" t="s">
        <v>5743</v>
      </c>
      <c r="I13" s="795"/>
      <c r="J13" s="795"/>
      <c r="K13" s="532" t="s">
        <v>5769</v>
      </c>
      <c r="L13" s="532"/>
      <c r="M13" s="533" t="s">
        <v>2270</v>
      </c>
      <c r="N13" s="665" t="s">
        <v>2324</v>
      </c>
      <c r="O13" t="s">
        <v>5744</v>
      </c>
    </row>
    <row r="14" spans="1:15" ht="31.5">
      <c r="B14" s="532" t="s">
        <v>5746</v>
      </c>
      <c r="C14" s="532" t="s">
        <v>2893</v>
      </c>
      <c r="D14" s="489" t="s">
        <v>5750</v>
      </c>
      <c r="E14" s="684" t="s">
        <v>5747</v>
      </c>
      <c r="F14" s="532" t="s">
        <v>5748</v>
      </c>
      <c r="G14" s="532" t="s">
        <v>5751</v>
      </c>
      <c r="H14" s="532" t="s">
        <v>5751</v>
      </c>
      <c r="I14" s="796"/>
      <c r="J14" s="796"/>
      <c r="K14" s="797"/>
      <c r="L14" s="844"/>
      <c r="M14" s="533" t="s">
        <v>5752</v>
      </c>
      <c r="N14" s="665" t="s">
        <v>2324</v>
      </c>
      <c r="O14" t="s">
        <v>5749</v>
      </c>
    </row>
    <row r="15" spans="1:15" ht="36">
      <c r="B15" s="148" t="s">
        <v>5753</v>
      </c>
      <c r="C15" s="603" t="s">
        <v>3141</v>
      </c>
      <c r="D15" s="713" t="s">
        <v>5754</v>
      </c>
      <c r="E15" s="684" t="s">
        <v>996</v>
      </c>
      <c r="F15" s="550"/>
      <c r="G15" s="550"/>
      <c r="H15" s="550"/>
      <c r="I15" s="540" t="s">
        <v>5756</v>
      </c>
      <c r="J15" s="550"/>
      <c r="K15" s="550"/>
      <c r="L15" s="550"/>
      <c r="M15" s="533"/>
      <c r="N15" s="664"/>
    </row>
    <row r="16" spans="1:15" ht="36">
      <c r="B16" s="148" t="s">
        <v>5758</v>
      </c>
      <c r="C16" s="603" t="s">
        <v>3141</v>
      </c>
      <c r="D16" s="713" t="s">
        <v>5755</v>
      </c>
      <c r="E16" s="684" t="s">
        <v>996</v>
      </c>
      <c r="F16" s="550"/>
      <c r="G16" s="550"/>
      <c r="H16" s="550"/>
      <c r="I16" s="540" t="s">
        <v>5757</v>
      </c>
      <c r="J16" s="550"/>
      <c r="K16" s="550"/>
      <c r="L16" s="550"/>
      <c r="M16" s="533"/>
      <c r="N16" s="664"/>
    </row>
    <row r="17" spans="2:15" ht="54">
      <c r="B17" s="148" t="s">
        <v>5759</v>
      </c>
      <c r="C17" s="603" t="s">
        <v>2893</v>
      </c>
      <c r="D17" s="713" t="s">
        <v>5761</v>
      </c>
      <c r="E17" s="684" t="s">
        <v>5890</v>
      </c>
      <c r="F17" s="782" t="s">
        <v>5760</v>
      </c>
      <c r="G17" s="782" t="s">
        <v>5763</v>
      </c>
      <c r="H17" s="782" t="s">
        <v>5763</v>
      </c>
      <c r="I17" s="782" t="s">
        <v>5763</v>
      </c>
      <c r="J17" s="550"/>
      <c r="K17" s="550"/>
      <c r="L17" s="550"/>
      <c r="M17" s="533" t="s">
        <v>2480</v>
      </c>
      <c r="N17" s="664"/>
      <c r="O17" t="s">
        <v>5762</v>
      </c>
    </row>
    <row r="18" spans="2:15" ht="54">
      <c r="B18" s="148" t="s">
        <v>5765</v>
      </c>
      <c r="C18" s="603" t="s">
        <v>2894</v>
      </c>
      <c r="D18" s="713" t="s">
        <v>5766</v>
      </c>
      <c r="E18" s="684" t="s">
        <v>1023</v>
      </c>
      <c r="F18" s="782" t="s">
        <v>5767</v>
      </c>
      <c r="G18" s="782" t="s">
        <v>5768</v>
      </c>
      <c r="H18" s="782" t="s">
        <v>5768</v>
      </c>
      <c r="I18" s="797"/>
      <c r="J18" s="797"/>
      <c r="K18" s="797"/>
      <c r="L18" s="844"/>
      <c r="M18" s="533" t="s">
        <v>3124</v>
      </c>
      <c r="N18" s="664"/>
    </row>
    <row r="19" spans="2:15" ht="36">
      <c r="B19" s="148" t="s">
        <v>5770</v>
      </c>
      <c r="C19" s="603" t="s">
        <v>3263</v>
      </c>
      <c r="D19" s="713" t="s">
        <v>5771</v>
      </c>
      <c r="E19" s="684" t="s">
        <v>1</v>
      </c>
      <c r="F19" s="782" t="s">
        <v>5772</v>
      </c>
      <c r="G19" s="782" t="s">
        <v>5773</v>
      </c>
      <c r="H19" s="782" t="s">
        <v>5772</v>
      </c>
      <c r="I19" s="798"/>
      <c r="J19" s="798"/>
      <c r="K19" s="798"/>
      <c r="L19" s="844"/>
      <c r="M19" s="533" t="s">
        <v>5356</v>
      </c>
      <c r="N19" s="664"/>
    </row>
    <row r="20" spans="2:15" ht="38.25">
      <c r="B20" s="532" t="s">
        <v>5774</v>
      </c>
      <c r="C20" s="532" t="s">
        <v>5777</v>
      </c>
      <c r="D20" s="489" t="s">
        <v>5684</v>
      </c>
      <c r="E20" s="684" t="s">
        <v>5775</v>
      </c>
      <c r="F20" s="532" t="s">
        <v>5776</v>
      </c>
      <c r="G20" s="532" t="s">
        <v>5776</v>
      </c>
      <c r="H20" s="532" t="s">
        <v>5778</v>
      </c>
      <c r="I20" s="550"/>
      <c r="J20" s="532" t="s">
        <v>5779</v>
      </c>
      <c r="K20" s="665"/>
      <c r="L20" s="665"/>
      <c r="M20" s="665" t="s">
        <v>5780</v>
      </c>
      <c r="N20" s="799" t="s">
        <v>5781</v>
      </c>
    </row>
    <row r="21" spans="2:15" ht="47.25">
      <c r="B21" s="532" t="s">
        <v>5782</v>
      </c>
      <c r="C21" s="532" t="s">
        <v>2908</v>
      </c>
      <c r="D21" s="489" t="s">
        <v>5783</v>
      </c>
      <c r="E21" s="684" t="s">
        <v>5784</v>
      </c>
      <c r="F21" s="532" t="s">
        <v>5785</v>
      </c>
      <c r="G21" s="532" t="s">
        <v>5786</v>
      </c>
      <c r="H21" s="532" t="s">
        <v>5786</v>
      </c>
      <c r="I21" s="550"/>
      <c r="J21" s="550"/>
      <c r="K21" s="550"/>
      <c r="L21" s="550"/>
      <c r="M21" s="665" t="s">
        <v>5788</v>
      </c>
      <c r="N21" s="799" t="s">
        <v>5787</v>
      </c>
    </row>
    <row r="22" spans="2:15" ht="31.5">
      <c r="B22" s="532" t="s">
        <v>5789</v>
      </c>
      <c r="C22" s="532" t="s">
        <v>3114</v>
      </c>
      <c r="D22" s="489" t="s">
        <v>5790</v>
      </c>
      <c r="E22" s="684" t="s">
        <v>5791</v>
      </c>
      <c r="F22" s="532" t="s">
        <v>5795</v>
      </c>
      <c r="G22" s="532" t="s">
        <v>5795</v>
      </c>
      <c r="H22" s="532" t="s">
        <v>5795</v>
      </c>
      <c r="I22" s="532" t="s">
        <v>5796</v>
      </c>
      <c r="J22" s="550"/>
      <c r="K22" s="550"/>
      <c r="L22" s="550"/>
      <c r="M22" s="665" t="s">
        <v>3118</v>
      </c>
      <c r="N22" s="799"/>
    </row>
    <row r="23" spans="2:15" ht="31.5">
      <c r="B23" s="532" t="s">
        <v>5792</v>
      </c>
      <c r="C23" s="532" t="s">
        <v>2893</v>
      </c>
      <c r="D23" s="489" t="s">
        <v>5794</v>
      </c>
      <c r="E23" s="684" t="s">
        <v>5793</v>
      </c>
      <c r="F23" s="532" t="s">
        <v>5875</v>
      </c>
      <c r="G23" s="532" t="s">
        <v>5876</v>
      </c>
      <c r="H23" s="532" t="s">
        <v>5875</v>
      </c>
      <c r="I23" s="550"/>
      <c r="J23" s="550"/>
      <c r="K23" s="550"/>
      <c r="L23" s="550"/>
      <c r="M23" s="665" t="s">
        <v>2480</v>
      </c>
      <c r="N23" s="799"/>
    </row>
    <row r="24" spans="2:15" ht="18">
      <c r="B24" s="148" t="s">
        <v>5797</v>
      </c>
      <c r="C24" s="603" t="s">
        <v>3141</v>
      </c>
      <c r="D24" s="713" t="s">
        <v>5798</v>
      </c>
      <c r="E24" s="684" t="s">
        <v>996</v>
      </c>
      <c r="F24" s="550"/>
      <c r="G24" s="550"/>
      <c r="H24" s="550"/>
      <c r="I24" s="540" t="s">
        <v>5799</v>
      </c>
      <c r="J24" s="550"/>
      <c r="K24" s="550"/>
      <c r="L24" s="550"/>
      <c r="M24" s="533"/>
      <c r="N24" s="664"/>
      <c r="O24" t="s">
        <v>5800</v>
      </c>
    </row>
    <row r="25" spans="2:15" ht="38.25">
      <c r="B25" s="532" t="s">
        <v>5801</v>
      </c>
      <c r="C25" s="532" t="s">
        <v>2893</v>
      </c>
      <c r="D25" s="489" t="s">
        <v>5802</v>
      </c>
      <c r="E25" s="528" t="s">
        <v>3291</v>
      </c>
      <c r="F25" s="532" t="s">
        <v>5805</v>
      </c>
      <c r="G25" s="532" t="s">
        <v>5806</v>
      </c>
      <c r="H25" s="532" t="s">
        <v>5806</v>
      </c>
      <c r="I25" s="550"/>
      <c r="J25" s="550"/>
      <c r="K25" s="550"/>
      <c r="L25" s="550"/>
      <c r="M25" s="665" t="s">
        <v>5804</v>
      </c>
      <c r="N25" s="799" t="s">
        <v>5803</v>
      </c>
    </row>
    <row r="26" spans="2:15" ht="38.25">
      <c r="B26" s="532" t="s">
        <v>5807</v>
      </c>
      <c r="C26" s="532" t="s">
        <v>2893</v>
      </c>
      <c r="D26" s="489" t="s">
        <v>5802</v>
      </c>
      <c r="E26" s="208" t="s">
        <v>5808</v>
      </c>
      <c r="F26" s="532" t="s">
        <v>5810</v>
      </c>
      <c r="G26" s="532" t="s">
        <v>5811</v>
      </c>
      <c r="H26" s="532" t="s">
        <v>5811</v>
      </c>
      <c r="I26" s="550"/>
      <c r="J26" s="550"/>
      <c r="K26" s="550"/>
      <c r="L26" s="550"/>
      <c r="M26" s="665" t="s">
        <v>5804</v>
      </c>
      <c r="N26" s="799" t="s">
        <v>5809</v>
      </c>
    </row>
    <row r="27" spans="2:15" ht="31.5">
      <c r="B27" s="532" t="s">
        <v>5812</v>
      </c>
      <c r="C27" s="532" t="s">
        <v>3263</v>
      </c>
      <c r="D27" s="489" t="s">
        <v>5813</v>
      </c>
      <c r="E27" s="208" t="s">
        <v>5814</v>
      </c>
      <c r="F27" s="532" t="s">
        <v>5815</v>
      </c>
      <c r="G27" s="532" t="s">
        <v>5816</v>
      </c>
      <c r="H27" s="532" t="s">
        <v>5815</v>
      </c>
      <c r="I27" s="550"/>
      <c r="J27" s="550"/>
      <c r="K27" s="550"/>
      <c r="L27" s="550"/>
      <c r="M27" s="665" t="s">
        <v>5817</v>
      </c>
      <c r="N27" s="799"/>
    </row>
    <row r="28" spans="2:15" ht="47.25">
      <c r="B28" s="532" t="s">
        <v>5818</v>
      </c>
      <c r="C28" s="532" t="s">
        <v>3263</v>
      </c>
      <c r="D28" s="489" t="s">
        <v>5819</v>
      </c>
      <c r="E28" s="208" t="s">
        <v>1</v>
      </c>
      <c r="F28" s="532" t="s">
        <v>5820</v>
      </c>
      <c r="G28" s="532" t="s">
        <v>5821</v>
      </c>
      <c r="H28" s="532" t="s">
        <v>5820</v>
      </c>
      <c r="I28" s="550"/>
      <c r="J28" s="550"/>
      <c r="K28" s="550"/>
      <c r="L28" s="550"/>
      <c r="M28" s="665" t="s">
        <v>5817</v>
      </c>
      <c r="N28" s="799"/>
    </row>
    <row r="29" spans="2:15" ht="31.5">
      <c r="B29" s="532" t="s">
        <v>5824</v>
      </c>
      <c r="C29" s="532" t="s">
        <v>3114</v>
      </c>
      <c r="D29" s="489" t="s">
        <v>5825</v>
      </c>
      <c r="E29" s="208" t="s">
        <v>5826</v>
      </c>
      <c r="F29" s="532" t="s">
        <v>5828</v>
      </c>
      <c r="G29" s="532" t="s">
        <v>5828</v>
      </c>
      <c r="H29" s="532" t="s">
        <v>5827</v>
      </c>
      <c r="I29" s="532" t="s">
        <v>5827</v>
      </c>
      <c r="J29" s="550"/>
      <c r="K29" s="550"/>
      <c r="L29" s="550"/>
      <c r="M29" s="665" t="s">
        <v>3118</v>
      </c>
      <c r="N29" s="799" t="s">
        <v>5829</v>
      </c>
    </row>
    <row r="30" spans="2:15" ht="18">
      <c r="B30" s="532" t="s">
        <v>5830</v>
      </c>
      <c r="C30" s="532" t="s">
        <v>3141</v>
      </c>
      <c r="D30" s="489" t="s">
        <v>5831</v>
      </c>
      <c r="E30" s="208" t="s">
        <v>996</v>
      </c>
      <c r="F30" s="532" t="s">
        <v>5832</v>
      </c>
      <c r="G30" s="532" t="s">
        <v>5832</v>
      </c>
      <c r="H30" s="532" t="s">
        <v>5832</v>
      </c>
      <c r="I30" s="532" t="s">
        <v>5833</v>
      </c>
      <c r="J30" s="550"/>
      <c r="K30" s="550"/>
      <c r="L30" s="550"/>
      <c r="M30" s="665"/>
      <c r="N30" s="799" t="s">
        <v>5834</v>
      </c>
    </row>
    <row r="31" spans="2:15" ht="18">
      <c r="B31" s="532" t="s">
        <v>5842</v>
      </c>
      <c r="C31" s="532" t="s">
        <v>3083</v>
      </c>
      <c r="D31" s="489" t="s">
        <v>5838</v>
      </c>
      <c r="E31" s="208" t="s">
        <v>5822</v>
      </c>
      <c r="F31" s="532" t="s">
        <v>5839</v>
      </c>
      <c r="G31" s="532" t="s">
        <v>5839</v>
      </c>
      <c r="H31" s="532" t="s">
        <v>5839</v>
      </c>
      <c r="I31" s="532" t="s">
        <v>5839</v>
      </c>
      <c r="J31" s="550"/>
      <c r="K31" s="532" t="s">
        <v>5840</v>
      </c>
      <c r="L31" s="532"/>
      <c r="M31" s="665" t="s">
        <v>5841</v>
      </c>
      <c r="N31" s="799"/>
    </row>
    <row r="32" spans="2:15" ht="18">
      <c r="B32" s="532" t="s">
        <v>5843</v>
      </c>
      <c r="C32" s="532" t="s">
        <v>3141</v>
      </c>
      <c r="D32" s="489" t="s">
        <v>5844</v>
      </c>
      <c r="E32" s="208" t="s">
        <v>996</v>
      </c>
      <c r="F32" s="532" t="s">
        <v>5845</v>
      </c>
      <c r="G32" s="532" t="s">
        <v>5845</v>
      </c>
      <c r="H32" s="532" t="s">
        <v>5845</v>
      </c>
      <c r="I32" s="532" t="s">
        <v>5846</v>
      </c>
      <c r="J32" s="550"/>
      <c r="K32" s="550"/>
      <c r="L32" s="550"/>
      <c r="M32" s="665"/>
      <c r="N32" s="799" t="s">
        <v>5847</v>
      </c>
    </row>
    <row r="33" spans="2:15" ht="18">
      <c r="B33" s="532" t="s">
        <v>5848</v>
      </c>
      <c r="C33" s="532" t="s">
        <v>3141</v>
      </c>
      <c r="D33" s="489" t="s">
        <v>5849</v>
      </c>
      <c r="E33" s="208" t="s">
        <v>5853</v>
      </c>
      <c r="F33" s="532" t="s">
        <v>5850</v>
      </c>
      <c r="G33" s="532" t="s">
        <v>5850</v>
      </c>
      <c r="H33" s="532" t="s">
        <v>5850</v>
      </c>
      <c r="I33" s="532" t="s">
        <v>5851</v>
      </c>
      <c r="J33" s="550"/>
      <c r="K33" s="550"/>
      <c r="L33" s="550"/>
      <c r="M33" s="665"/>
      <c r="N33" s="799" t="s">
        <v>5852</v>
      </c>
    </row>
    <row r="34" spans="2:15" ht="31.5">
      <c r="B34" s="532" t="s">
        <v>5854</v>
      </c>
      <c r="C34" s="532" t="s">
        <v>2894</v>
      </c>
      <c r="D34" s="489" t="s">
        <v>5855</v>
      </c>
      <c r="E34" s="208" t="s">
        <v>5853</v>
      </c>
      <c r="F34" s="532" t="s">
        <v>5856</v>
      </c>
      <c r="G34" s="532" t="s">
        <v>5857</v>
      </c>
      <c r="H34" s="532" t="s">
        <v>5856</v>
      </c>
      <c r="I34" s="550"/>
      <c r="J34" s="550"/>
      <c r="K34" s="550"/>
      <c r="L34" s="550"/>
      <c r="M34" s="665"/>
      <c r="N34" s="799" t="s">
        <v>5858</v>
      </c>
    </row>
    <row r="35" spans="2:15" ht="18">
      <c r="B35" s="532" t="s">
        <v>5859</v>
      </c>
      <c r="C35" s="532" t="s">
        <v>2908</v>
      </c>
      <c r="D35" s="489" t="s">
        <v>5860</v>
      </c>
      <c r="E35" s="208" t="s">
        <v>1023</v>
      </c>
      <c r="F35" s="532" t="s">
        <v>5861</v>
      </c>
      <c r="G35" s="532" t="s">
        <v>5862</v>
      </c>
      <c r="H35" s="532" t="s">
        <v>5862</v>
      </c>
      <c r="I35" s="550"/>
      <c r="J35" s="550"/>
      <c r="K35" s="550"/>
      <c r="L35" s="550"/>
      <c r="M35" s="665" t="s">
        <v>5863</v>
      </c>
      <c r="N35" s="799"/>
    </row>
    <row r="36" spans="2:15" ht="31.5">
      <c r="B36" s="532" t="s">
        <v>5864</v>
      </c>
      <c r="C36" s="532" t="s">
        <v>3141</v>
      </c>
      <c r="D36" s="489" t="s">
        <v>5865</v>
      </c>
      <c r="E36" s="208" t="s">
        <v>996</v>
      </c>
      <c r="F36" s="532" t="s">
        <v>5866</v>
      </c>
      <c r="G36" s="532" t="s">
        <v>5866</v>
      </c>
      <c r="H36" s="532" t="s">
        <v>5866</v>
      </c>
      <c r="I36" s="532" t="s">
        <v>5867</v>
      </c>
      <c r="J36" s="550"/>
      <c r="K36" s="550"/>
      <c r="L36" s="550"/>
      <c r="M36" s="665" t="s">
        <v>4596</v>
      </c>
      <c r="N36" s="799" t="s">
        <v>4353</v>
      </c>
    </row>
    <row r="37" spans="2:15" ht="31.5">
      <c r="B37" s="532" t="s">
        <v>5868</v>
      </c>
      <c r="C37" s="532" t="s">
        <v>2893</v>
      </c>
      <c r="D37" s="489" t="s">
        <v>5869</v>
      </c>
      <c r="E37" s="208" t="s">
        <v>1023</v>
      </c>
      <c r="F37" s="532" t="s">
        <v>5870</v>
      </c>
      <c r="G37" s="532" t="s">
        <v>5871</v>
      </c>
      <c r="H37" s="532" t="s">
        <v>5871</v>
      </c>
      <c r="I37" s="550"/>
      <c r="J37" s="550"/>
      <c r="K37" s="550"/>
      <c r="L37" s="550"/>
      <c r="M37" s="665" t="s">
        <v>5872</v>
      </c>
      <c r="N37" s="799"/>
    </row>
    <row r="38" spans="2:15" ht="31.5">
      <c r="B38" s="532" t="s">
        <v>5874</v>
      </c>
      <c r="C38" s="532" t="s">
        <v>2893</v>
      </c>
      <c r="D38" s="489" t="s">
        <v>5879</v>
      </c>
      <c r="E38" s="684" t="s">
        <v>5793</v>
      </c>
      <c r="F38" s="532" t="s">
        <v>5877</v>
      </c>
      <c r="G38" s="532" t="s">
        <v>5878</v>
      </c>
      <c r="H38" s="532" t="s">
        <v>5877</v>
      </c>
      <c r="I38" s="550"/>
      <c r="J38" s="550"/>
      <c r="K38" s="550"/>
      <c r="L38" s="550"/>
      <c r="M38" s="665" t="s">
        <v>2480</v>
      </c>
      <c r="N38" s="799"/>
    </row>
    <row r="39" spans="2:15" ht="31.5">
      <c r="B39" s="532" t="s">
        <v>5880</v>
      </c>
      <c r="C39" s="532" t="s">
        <v>3263</v>
      </c>
      <c r="D39" s="489" t="s">
        <v>5883</v>
      </c>
      <c r="E39" s="208" t="s">
        <v>1</v>
      </c>
      <c r="F39" s="532" t="s">
        <v>5881</v>
      </c>
      <c r="G39" s="532" t="s">
        <v>5882</v>
      </c>
      <c r="H39" s="532" t="s">
        <v>5881</v>
      </c>
      <c r="I39" s="550"/>
      <c r="J39" s="550"/>
      <c r="K39" s="550"/>
      <c r="L39" s="550"/>
      <c r="M39" s="665" t="s">
        <v>5884</v>
      </c>
      <c r="N39" s="799" t="s">
        <v>5885</v>
      </c>
    </row>
    <row r="40" spans="2:15" ht="31.5">
      <c r="B40" s="532" t="s">
        <v>5891</v>
      </c>
      <c r="C40" s="532" t="s">
        <v>2894</v>
      </c>
      <c r="D40" s="489" t="s">
        <v>5886</v>
      </c>
      <c r="E40" s="208" t="s">
        <v>5887</v>
      </c>
      <c r="F40" s="532" t="s">
        <v>5888</v>
      </c>
      <c r="G40" s="532" t="s">
        <v>5889</v>
      </c>
      <c r="H40" s="532" t="s">
        <v>5889</v>
      </c>
      <c r="I40" s="550"/>
      <c r="J40" s="550"/>
      <c r="K40" s="550"/>
      <c r="L40" s="550"/>
      <c r="M40" s="665" t="s">
        <v>3124</v>
      </c>
      <c r="N40" s="799"/>
    </row>
    <row r="41" spans="2:15" ht="31.5">
      <c r="B41" s="532" t="s">
        <v>5892</v>
      </c>
      <c r="C41" s="532" t="s">
        <v>6007</v>
      </c>
      <c r="D41" s="489" t="s">
        <v>5893</v>
      </c>
      <c r="E41" s="208" t="s">
        <v>6005</v>
      </c>
      <c r="F41" s="532" t="s">
        <v>5894</v>
      </c>
      <c r="G41" s="532" t="s">
        <v>6006</v>
      </c>
      <c r="H41" s="532" t="s">
        <v>5894</v>
      </c>
      <c r="I41" s="532" t="s">
        <v>5895</v>
      </c>
      <c r="J41" s="550"/>
      <c r="K41" s="550"/>
      <c r="L41" s="550"/>
      <c r="M41" s="665" t="s">
        <v>5896</v>
      </c>
      <c r="N41" s="799" t="s">
        <v>5897</v>
      </c>
    </row>
    <row r="42" spans="2:15" ht="31.5">
      <c r="B42" s="532" t="s">
        <v>5898</v>
      </c>
      <c r="C42" s="532" t="s">
        <v>3263</v>
      </c>
      <c r="D42" s="489" t="s">
        <v>5900</v>
      </c>
      <c r="E42" s="208" t="s">
        <v>5899</v>
      </c>
      <c r="F42" s="532" t="s">
        <v>5901</v>
      </c>
      <c r="G42" s="532" t="s">
        <v>5902</v>
      </c>
      <c r="H42" s="532" t="s">
        <v>5901</v>
      </c>
      <c r="I42" s="550"/>
      <c r="J42" s="550"/>
      <c r="K42" s="550"/>
      <c r="L42" s="550"/>
      <c r="M42" s="665"/>
      <c r="N42" s="799"/>
    </row>
    <row r="43" spans="2:15" ht="31.5">
      <c r="B43" s="532" t="s">
        <v>5903</v>
      </c>
      <c r="C43" s="532" t="s">
        <v>3141</v>
      </c>
      <c r="D43" s="489" t="s">
        <v>5904</v>
      </c>
      <c r="E43" s="208" t="s">
        <v>2546</v>
      </c>
      <c r="F43" s="532" t="s">
        <v>5906</v>
      </c>
      <c r="G43" s="532" t="s">
        <v>5906</v>
      </c>
      <c r="H43" s="532" t="s">
        <v>5906</v>
      </c>
      <c r="I43" s="532" t="s">
        <v>5907</v>
      </c>
      <c r="J43" s="550"/>
      <c r="K43" s="550"/>
      <c r="L43" s="550"/>
      <c r="M43" s="665" t="s">
        <v>4596</v>
      </c>
      <c r="N43" s="799" t="s">
        <v>5905</v>
      </c>
    </row>
    <row r="44" spans="2:15" ht="47.25">
      <c r="B44" s="532" t="s">
        <v>5908</v>
      </c>
      <c r="C44" s="532" t="s">
        <v>2962</v>
      </c>
      <c r="D44" s="489" t="s">
        <v>5909</v>
      </c>
      <c r="E44" s="208" t="s">
        <v>2467</v>
      </c>
      <c r="F44" s="532" t="s">
        <v>5910</v>
      </c>
      <c r="G44" s="532" t="s">
        <v>5910</v>
      </c>
      <c r="H44" s="532" t="s">
        <v>5910</v>
      </c>
      <c r="I44" s="532" t="s">
        <v>5910</v>
      </c>
      <c r="J44" s="532" t="s">
        <v>5911</v>
      </c>
      <c r="K44" s="550"/>
      <c r="L44" s="550"/>
      <c r="M44" s="665" t="s">
        <v>3863</v>
      </c>
      <c r="N44" s="799" t="s">
        <v>5912</v>
      </c>
    </row>
    <row r="45" spans="2:15" ht="31.5">
      <c r="B45" s="532" t="s">
        <v>5913</v>
      </c>
      <c r="C45" s="532" t="s">
        <v>2962</v>
      </c>
      <c r="D45" s="489" t="s">
        <v>5918</v>
      </c>
      <c r="E45" s="208" t="s">
        <v>5914</v>
      </c>
      <c r="F45" s="532" t="s">
        <v>5915</v>
      </c>
      <c r="G45" s="532" t="s">
        <v>5915</v>
      </c>
      <c r="H45" s="532" t="s">
        <v>5915</v>
      </c>
      <c r="I45" s="532" t="s">
        <v>5915</v>
      </c>
      <c r="J45" s="532" t="s">
        <v>5916</v>
      </c>
      <c r="K45" s="550"/>
      <c r="L45" s="550"/>
      <c r="M45" s="665" t="s">
        <v>3863</v>
      </c>
      <c r="N45" s="799" t="s">
        <v>5917</v>
      </c>
    </row>
    <row r="46" spans="2:15" ht="18">
      <c r="B46" s="532" t="s">
        <v>5919</v>
      </c>
      <c r="C46" s="532" t="s">
        <v>3025</v>
      </c>
      <c r="D46" s="489" t="s">
        <v>5920</v>
      </c>
      <c r="E46" s="684" t="s">
        <v>1023</v>
      </c>
      <c r="F46" s="532" t="s">
        <v>5921</v>
      </c>
      <c r="G46" s="532" t="s">
        <v>5922</v>
      </c>
      <c r="H46" s="532" t="s">
        <v>5922</v>
      </c>
      <c r="I46" s="808"/>
      <c r="J46" s="808"/>
      <c r="K46" s="808"/>
      <c r="L46" s="844"/>
      <c r="M46" s="533" t="s">
        <v>2270</v>
      </c>
      <c r="N46" s="665" t="s">
        <v>2324</v>
      </c>
      <c r="O46" t="s">
        <v>5744</v>
      </c>
    </row>
    <row r="47" spans="2:15" ht="18">
      <c r="B47" s="532" t="s">
        <v>5923</v>
      </c>
      <c r="C47" s="532" t="s">
        <v>3114</v>
      </c>
      <c r="D47" s="489" t="s">
        <v>5924</v>
      </c>
      <c r="E47" s="684" t="s">
        <v>5925</v>
      </c>
      <c r="F47" s="532" t="s">
        <v>5926</v>
      </c>
      <c r="G47" s="532" t="s">
        <v>5926</v>
      </c>
      <c r="H47" s="532" t="s">
        <v>5926</v>
      </c>
      <c r="I47" s="532" t="s">
        <v>5927</v>
      </c>
      <c r="J47" s="809"/>
      <c r="K47" s="809"/>
      <c r="L47" s="844"/>
      <c r="M47" s="533" t="s">
        <v>3118</v>
      </c>
      <c r="N47" s="665" t="s">
        <v>5932</v>
      </c>
    </row>
    <row r="48" spans="2:15" ht="18">
      <c r="B48" s="532" t="s">
        <v>5928</v>
      </c>
      <c r="C48" s="532" t="s">
        <v>6098</v>
      </c>
      <c r="D48" s="489" t="s">
        <v>5929</v>
      </c>
      <c r="E48" s="684" t="s">
        <v>6096</v>
      </c>
      <c r="F48" s="532" t="s">
        <v>5930</v>
      </c>
      <c r="G48" s="532" t="s">
        <v>5931</v>
      </c>
      <c r="H48" s="532" t="s">
        <v>5931</v>
      </c>
      <c r="I48" s="532" t="s">
        <v>5931</v>
      </c>
      <c r="J48" s="810"/>
      <c r="K48" s="532" t="s">
        <v>6097</v>
      </c>
      <c r="L48" s="532"/>
      <c r="M48" s="533"/>
      <c r="N48" s="665" t="s">
        <v>5933</v>
      </c>
    </row>
    <row r="49" spans="2:15" ht="31.5">
      <c r="B49" s="532" t="s">
        <v>5934</v>
      </c>
      <c r="C49" s="532" t="s">
        <v>3025</v>
      </c>
      <c r="D49" s="489" t="s">
        <v>5935</v>
      </c>
      <c r="E49" s="684" t="s">
        <v>1023</v>
      </c>
      <c r="F49" s="532" t="s">
        <v>5936</v>
      </c>
      <c r="G49" s="532" t="s">
        <v>5937</v>
      </c>
      <c r="H49" s="532" t="s">
        <v>5937</v>
      </c>
      <c r="I49" s="532" t="s">
        <v>5937</v>
      </c>
      <c r="J49" s="811"/>
      <c r="K49" s="811"/>
      <c r="L49" s="844"/>
      <c r="M49" s="533" t="s">
        <v>3434</v>
      </c>
      <c r="N49" s="665"/>
    </row>
    <row r="50" spans="2:15" ht="63">
      <c r="B50" s="532" t="s">
        <v>5938</v>
      </c>
      <c r="C50" s="532" t="s">
        <v>3114</v>
      </c>
      <c r="D50" s="489" t="s">
        <v>5939</v>
      </c>
      <c r="E50" s="684" t="s">
        <v>5940</v>
      </c>
      <c r="F50" s="532" t="s">
        <v>5941</v>
      </c>
      <c r="G50" s="532" t="s">
        <v>5942</v>
      </c>
      <c r="H50" s="532" t="s">
        <v>5941</v>
      </c>
      <c r="I50" s="532" t="s">
        <v>5941</v>
      </c>
      <c r="J50" s="812"/>
      <c r="K50" s="812"/>
      <c r="L50" s="844"/>
      <c r="M50" s="533" t="s">
        <v>3118</v>
      </c>
      <c r="N50" s="665" t="s">
        <v>5943</v>
      </c>
      <c r="O50" t="s">
        <v>5944</v>
      </c>
    </row>
    <row r="51" spans="2:15" ht="36">
      <c r="B51" s="148" t="s">
        <v>5945</v>
      </c>
      <c r="C51" s="603" t="s">
        <v>5951</v>
      </c>
      <c r="D51" s="713" t="s">
        <v>5946</v>
      </c>
      <c r="E51" s="684" t="s">
        <v>5947</v>
      </c>
      <c r="F51" s="782" t="s">
        <v>5949</v>
      </c>
      <c r="G51" s="782" t="s">
        <v>5952</v>
      </c>
      <c r="H51" s="782" t="s">
        <v>5950</v>
      </c>
      <c r="I51" s="813"/>
      <c r="J51" s="813"/>
      <c r="K51" s="813"/>
      <c r="L51" s="844"/>
      <c r="M51" s="533" t="s">
        <v>2510</v>
      </c>
      <c r="N51" s="814" t="s">
        <v>5948</v>
      </c>
    </row>
    <row r="52" spans="2:15" ht="90">
      <c r="B52" s="148" t="s">
        <v>5953</v>
      </c>
      <c r="C52" s="603" t="s">
        <v>2908</v>
      </c>
      <c r="D52" s="713" t="s">
        <v>5954</v>
      </c>
      <c r="E52" s="684" t="s">
        <v>5729</v>
      </c>
      <c r="F52" s="782" t="s">
        <v>5955</v>
      </c>
      <c r="G52" s="782" t="s">
        <v>5956</v>
      </c>
      <c r="H52" s="782" t="s">
        <v>5956</v>
      </c>
      <c r="I52" s="815"/>
      <c r="J52" s="815"/>
      <c r="K52" s="815"/>
      <c r="L52" s="844"/>
      <c r="M52" s="533"/>
      <c r="N52" s="814"/>
      <c r="O52" t="s">
        <v>5957</v>
      </c>
    </row>
    <row r="53" spans="2:15" ht="36">
      <c r="B53" s="148" t="s">
        <v>5958</v>
      </c>
      <c r="C53" s="603" t="s">
        <v>2908</v>
      </c>
      <c r="D53" s="713" t="s">
        <v>5959</v>
      </c>
      <c r="E53" s="684" t="s">
        <v>5887</v>
      </c>
      <c r="F53" s="782" t="s">
        <v>5960</v>
      </c>
      <c r="G53" s="782" t="s">
        <v>5961</v>
      </c>
      <c r="H53" s="782" t="s">
        <v>5961</v>
      </c>
      <c r="I53" s="816"/>
      <c r="J53" s="816"/>
      <c r="K53" s="816"/>
      <c r="L53" s="844"/>
      <c r="M53" s="533" t="s">
        <v>5962</v>
      </c>
      <c r="N53" s="814"/>
      <c r="O53" t="s">
        <v>5963</v>
      </c>
    </row>
    <row r="54" spans="2:15" ht="54">
      <c r="B54" s="148" t="s">
        <v>5964</v>
      </c>
      <c r="C54" s="603" t="s">
        <v>2908</v>
      </c>
      <c r="D54" s="713" t="s">
        <v>5965</v>
      </c>
      <c r="E54" s="684" t="s">
        <v>5729</v>
      </c>
      <c r="F54" s="782" t="s">
        <v>5966</v>
      </c>
      <c r="G54" s="782" t="s">
        <v>5967</v>
      </c>
      <c r="H54" s="782" t="s">
        <v>5967</v>
      </c>
      <c r="I54" s="817"/>
      <c r="J54" s="817"/>
      <c r="K54" s="817"/>
      <c r="L54" s="844"/>
      <c r="M54" s="533" t="s">
        <v>5863</v>
      </c>
      <c r="N54" s="814"/>
      <c r="O54" t="s">
        <v>5968</v>
      </c>
    </row>
    <row r="55" spans="2:15" ht="66" customHeight="1">
      <c r="B55" s="1137" t="s">
        <v>5969</v>
      </c>
      <c r="C55" s="1138" t="s">
        <v>3141</v>
      </c>
      <c r="D55" s="713" t="s">
        <v>5970</v>
      </c>
      <c r="E55" s="1156" t="s">
        <v>996</v>
      </c>
      <c r="F55" s="818"/>
      <c r="G55" s="818"/>
      <c r="H55" s="818"/>
      <c r="I55" s="1142" t="s">
        <v>5971</v>
      </c>
      <c r="J55" s="818"/>
      <c r="K55" s="818"/>
      <c r="L55" s="844"/>
      <c r="M55" s="533"/>
      <c r="N55" s="814"/>
    </row>
    <row r="56" spans="2:15" ht="54">
      <c r="B56" s="1123"/>
      <c r="C56" s="1125"/>
      <c r="D56" s="713" t="s">
        <v>5974</v>
      </c>
      <c r="E56" s="1157"/>
      <c r="F56" s="821"/>
      <c r="G56" s="821"/>
      <c r="H56" s="821"/>
      <c r="I56" s="1123"/>
      <c r="J56" s="821"/>
      <c r="K56" s="821"/>
      <c r="L56" s="844"/>
      <c r="M56" s="533"/>
      <c r="N56" s="814"/>
    </row>
    <row r="57" spans="2:15" ht="36">
      <c r="B57" s="1137" t="s">
        <v>5972</v>
      </c>
      <c r="C57" s="1138" t="s">
        <v>3141</v>
      </c>
      <c r="D57" s="713" t="s">
        <v>5985</v>
      </c>
      <c r="E57" s="1156" t="s">
        <v>5533</v>
      </c>
      <c r="F57" s="821"/>
      <c r="G57" s="821"/>
      <c r="H57" s="821"/>
      <c r="I57" s="1142" t="s">
        <v>5973</v>
      </c>
      <c r="J57" s="821"/>
      <c r="K57" s="821"/>
      <c r="L57" s="844"/>
      <c r="M57" s="533"/>
      <c r="N57" s="814"/>
    </row>
    <row r="58" spans="2:15" ht="36">
      <c r="B58" s="1123"/>
      <c r="C58" s="1125"/>
      <c r="D58" s="713" t="s">
        <v>5986</v>
      </c>
      <c r="E58" s="1157"/>
      <c r="F58" s="821"/>
      <c r="G58" s="821"/>
      <c r="H58" s="821"/>
      <c r="I58" s="1123"/>
      <c r="J58" s="821"/>
      <c r="K58" s="821"/>
      <c r="L58" s="844"/>
      <c r="M58" s="533"/>
      <c r="N58" s="814"/>
    </row>
    <row r="59" spans="2:15" ht="72">
      <c r="B59" s="148" t="s">
        <v>5975</v>
      </c>
      <c r="C59" s="603" t="s">
        <v>2962</v>
      </c>
      <c r="D59" s="713" t="s">
        <v>5976</v>
      </c>
      <c r="E59" s="684" t="s">
        <v>2467</v>
      </c>
      <c r="F59" s="819"/>
      <c r="G59" s="819"/>
      <c r="H59" s="819"/>
      <c r="I59" s="819"/>
      <c r="J59" s="532" t="s">
        <v>5977</v>
      </c>
      <c r="K59" s="819"/>
      <c r="L59" s="844"/>
      <c r="M59" s="533"/>
      <c r="N59" s="814"/>
      <c r="O59" t="s">
        <v>5978</v>
      </c>
    </row>
    <row r="60" spans="2:15" ht="36">
      <c r="B60" s="148" t="s">
        <v>5979</v>
      </c>
      <c r="C60" s="603" t="s">
        <v>2893</v>
      </c>
      <c r="D60" s="713" t="s">
        <v>5980</v>
      </c>
      <c r="E60" s="684" t="s">
        <v>5981</v>
      </c>
      <c r="F60" s="532" t="s">
        <v>5982</v>
      </c>
      <c r="G60" s="532" t="s">
        <v>5983</v>
      </c>
      <c r="H60" s="532" t="s">
        <v>5983</v>
      </c>
      <c r="I60" s="820"/>
      <c r="J60" s="820" t="s">
        <v>2324</v>
      </c>
      <c r="K60" s="820"/>
      <c r="L60" s="844"/>
      <c r="M60" s="533" t="s">
        <v>2480</v>
      </c>
      <c r="N60" s="814"/>
      <c r="O60" t="s">
        <v>5984</v>
      </c>
    </row>
    <row r="61" spans="2:15" ht="54">
      <c r="B61" s="148" t="s">
        <v>5987</v>
      </c>
      <c r="C61" s="603" t="s">
        <v>2962</v>
      </c>
      <c r="D61" s="713" t="s">
        <v>5990</v>
      </c>
      <c r="E61" s="684" t="s">
        <v>2467</v>
      </c>
      <c r="F61" s="822"/>
      <c r="G61" s="822"/>
      <c r="H61" s="822"/>
      <c r="I61" s="822"/>
      <c r="J61" s="532" t="s">
        <v>5988</v>
      </c>
      <c r="K61" s="822"/>
      <c r="L61" s="844"/>
      <c r="M61" s="533"/>
      <c r="N61" s="814"/>
      <c r="O61" t="s">
        <v>5989</v>
      </c>
    </row>
    <row r="62" spans="2:15" ht="36">
      <c r="B62" s="148" t="s">
        <v>5991</v>
      </c>
      <c r="C62" s="603" t="s">
        <v>2894</v>
      </c>
      <c r="D62" s="713" t="s">
        <v>5996</v>
      </c>
      <c r="E62" s="684" t="s">
        <v>5992</v>
      </c>
      <c r="F62" s="532" t="s">
        <v>5993</v>
      </c>
      <c r="G62" s="532" t="s">
        <v>5994</v>
      </c>
      <c r="H62" s="532" t="s">
        <v>5994</v>
      </c>
      <c r="I62" s="823"/>
      <c r="J62" s="823" t="s">
        <v>2324</v>
      </c>
      <c r="K62" s="823"/>
      <c r="L62" s="844"/>
      <c r="M62" s="533"/>
      <c r="N62" s="814"/>
      <c r="O62" t="s">
        <v>5995</v>
      </c>
    </row>
    <row r="63" spans="2:15" ht="36">
      <c r="B63" s="148" t="s">
        <v>5997</v>
      </c>
      <c r="C63" s="603" t="s">
        <v>3141</v>
      </c>
      <c r="D63" s="713" t="s">
        <v>6000</v>
      </c>
      <c r="E63" s="684" t="s">
        <v>2546</v>
      </c>
      <c r="F63" s="824"/>
      <c r="G63" s="824"/>
      <c r="H63" s="824"/>
      <c r="I63" s="532" t="s">
        <v>6026</v>
      </c>
      <c r="J63" s="824" t="s">
        <v>2324</v>
      </c>
      <c r="K63" s="829" t="s">
        <v>2324</v>
      </c>
      <c r="L63" s="844"/>
      <c r="M63" s="533" t="s">
        <v>5999</v>
      </c>
      <c r="N63" s="814"/>
      <c r="O63" t="s">
        <v>5998</v>
      </c>
    </row>
    <row r="64" spans="2:15" ht="36">
      <c r="B64" s="148" t="s">
        <v>6002</v>
      </c>
      <c r="C64" s="603" t="s">
        <v>2962</v>
      </c>
      <c r="D64" s="713" t="s">
        <v>6003</v>
      </c>
      <c r="E64" s="684" t="s">
        <v>2467</v>
      </c>
      <c r="F64" s="825"/>
      <c r="G64" s="825"/>
      <c r="H64" s="825"/>
      <c r="I64" s="825"/>
      <c r="J64" s="532" t="s">
        <v>6001</v>
      </c>
      <c r="K64" s="825"/>
      <c r="L64" s="844"/>
      <c r="M64" s="533"/>
      <c r="N64" s="814"/>
      <c r="O64" t="s">
        <v>6004</v>
      </c>
    </row>
    <row r="65" spans="2:15" ht="36">
      <c r="B65" s="148" t="s">
        <v>6008</v>
      </c>
      <c r="C65" s="603" t="s">
        <v>3141</v>
      </c>
      <c r="D65" s="713" t="s">
        <v>6011</v>
      </c>
      <c r="E65" s="684" t="s">
        <v>6009</v>
      </c>
      <c r="F65" s="826"/>
      <c r="G65" s="826"/>
      <c r="H65" s="826"/>
      <c r="I65" s="532" t="s">
        <v>6010</v>
      </c>
      <c r="J65" s="826"/>
      <c r="K65" s="826"/>
      <c r="L65" s="844"/>
      <c r="M65" s="533"/>
      <c r="N65" s="814"/>
      <c r="O65" t="s">
        <v>6004</v>
      </c>
    </row>
    <row r="66" spans="2:15" ht="18">
      <c r="B66" s="148" t="s">
        <v>6012</v>
      </c>
      <c r="C66" s="603" t="s">
        <v>2893</v>
      </c>
      <c r="D66" s="713" t="s">
        <v>6013</v>
      </c>
      <c r="E66" s="684" t="s">
        <v>6014</v>
      </c>
      <c r="F66" s="754" t="s">
        <v>6015</v>
      </c>
      <c r="G66" s="754" t="s">
        <v>6017</v>
      </c>
      <c r="H66" s="754" t="s">
        <v>6017</v>
      </c>
      <c r="I66" s="754" t="s">
        <v>6017</v>
      </c>
      <c r="J66" s="827"/>
      <c r="K66" s="827"/>
      <c r="L66" s="844"/>
      <c r="M66" s="533" t="s">
        <v>6016</v>
      </c>
      <c r="N66" s="830" t="s">
        <v>6019</v>
      </c>
      <c r="O66" t="s">
        <v>6018</v>
      </c>
    </row>
    <row r="67" spans="2:15" ht="54">
      <c r="B67" s="148" t="s">
        <v>6020</v>
      </c>
      <c r="C67" s="603" t="s">
        <v>2908</v>
      </c>
      <c r="D67" s="713" t="s">
        <v>6021</v>
      </c>
      <c r="E67" s="684" t="s">
        <v>6022</v>
      </c>
      <c r="F67" s="532" t="s">
        <v>6023</v>
      </c>
      <c r="G67" s="532" t="s">
        <v>6024</v>
      </c>
      <c r="H67" s="532" t="s">
        <v>6024</v>
      </c>
      <c r="I67" s="828"/>
      <c r="J67" s="828" t="s">
        <v>2324</v>
      </c>
      <c r="K67" s="828"/>
      <c r="L67" s="844"/>
      <c r="M67" s="533"/>
      <c r="N67" s="814"/>
      <c r="O67" t="s">
        <v>6025</v>
      </c>
    </row>
    <row r="68" spans="2:15" ht="18">
      <c r="B68" s="148" t="s">
        <v>6027</v>
      </c>
      <c r="C68" s="603" t="s">
        <v>3083</v>
      </c>
      <c r="D68" s="713" t="s">
        <v>6030</v>
      </c>
      <c r="E68" s="684" t="s">
        <v>6037</v>
      </c>
      <c r="F68" s="829"/>
      <c r="G68" s="829"/>
      <c r="H68" s="829"/>
      <c r="I68" s="829"/>
      <c r="J68" s="829"/>
      <c r="K68" s="532" t="s">
        <v>6028</v>
      </c>
      <c r="L68" s="532"/>
      <c r="M68" s="533" t="s">
        <v>5841</v>
      </c>
      <c r="N68" s="814" t="s">
        <v>6029</v>
      </c>
    </row>
    <row r="69" spans="2:15" ht="18">
      <c r="B69" s="148" t="s">
        <v>6031</v>
      </c>
      <c r="C69" s="603" t="s">
        <v>2893</v>
      </c>
      <c r="D69" s="713" t="s">
        <v>6032</v>
      </c>
      <c r="E69" s="684" t="s">
        <v>6033</v>
      </c>
      <c r="F69" s="754" t="s">
        <v>6034</v>
      </c>
      <c r="G69" s="754" t="s">
        <v>6035</v>
      </c>
      <c r="H69" s="754" t="s">
        <v>6035</v>
      </c>
      <c r="I69" s="831"/>
      <c r="J69" s="831"/>
      <c r="K69" s="831"/>
      <c r="L69" s="844"/>
      <c r="M69" s="533" t="s">
        <v>2480</v>
      </c>
      <c r="N69" s="814" t="s">
        <v>2324</v>
      </c>
      <c r="O69" t="s">
        <v>6036</v>
      </c>
    </row>
    <row r="70" spans="2:15" ht="54">
      <c r="B70" s="148" t="s">
        <v>6038</v>
      </c>
      <c r="C70" s="603" t="s">
        <v>3083</v>
      </c>
      <c r="D70" s="713" t="s">
        <v>6041</v>
      </c>
      <c r="E70" s="684" t="s">
        <v>6037</v>
      </c>
      <c r="F70" s="832"/>
      <c r="G70" s="832"/>
      <c r="H70" s="832"/>
      <c r="I70" s="832"/>
      <c r="J70" s="832"/>
      <c r="K70" s="532" t="s">
        <v>6039</v>
      </c>
      <c r="L70" s="532"/>
      <c r="M70" s="533" t="s">
        <v>5841</v>
      </c>
      <c r="N70" s="814"/>
      <c r="O70" t="s">
        <v>6040</v>
      </c>
    </row>
    <row r="71" spans="2:15" ht="36">
      <c r="B71" s="148" t="s">
        <v>6042</v>
      </c>
      <c r="C71" s="603" t="s">
        <v>2894</v>
      </c>
      <c r="D71" s="713" t="s">
        <v>6043</v>
      </c>
      <c r="E71" s="684" t="s">
        <v>1023</v>
      </c>
      <c r="F71" s="754" t="s">
        <v>6044</v>
      </c>
      <c r="G71" s="754" t="s">
        <v>6045</v>
      </c>
      <c r="H71" s="754" t="s">
        <v>6045</v>
      </c>
      <c r="I71" s="833"/>
      <c r="J71" s="833"/>
      <c r="K71" s="833"/>
      <c r="L71" s="844"/>
      <c r="M71" s="533" t="s">
        <v>3124</v>
      </c>
      <c r="N71" s="814" t="s">
        <v>6046</v>
      </c>
      <c r="O71" t="s">
        <v>6047</v>
      </c>
    </row>
    <row r="72" spans="2:15" ht="18">
      <c r="B72" s="148" t="s">
        <v>6048</v>
      </c>
      <c r="C72" s="603" t="s">
        <v>3025</v>
      </c>
      <c r="D72" s="713" t="s">
        <v>6049</v>
      </c>
      <c r="E72" s="684" t="s">
        <v>6050</v>
      </c>
      <c r="F72" s="754" t="s">
        <v>6051</v>
      </c>
      <c r="G72" s="754" t="s">
        <v>6052</v>
      </c>
      <c r="H72" s="754" t="s">
        <v>6051</v>
      </c>
      <c r="I72" s="834"/>
      <c r="J72" s="834"/>
      <c r="K72" s="834"/>
      <c r="L72" s="844"/>
      <c r="M72" s="533" t="s">
        <v>6053</v>
      </c>
      <c r="N72" s="814"/>
    </row>
    <row r="73" spans="2:15" ht="18">
      <c r="B73" s="148" t="s">
        <v>6054</v>
      </c>
      <c r="C73" s="603" t="s">
        <v>3083</v>
      </c>
      <c r="D73" s="713" t="s">
        <v>6616</v>
      </c>
      <c r="E73" s="684" t="s">
        <v>6617</v>
      </c>
      <c r="F73" s="835"/>
      <c r="G73" s="835"/>
      <c r="H73" s="835"/>
      <c r="I73" s="835"/>
      <c r="J73" s="835"/>
      <c r="K73" s="532" t="s">
        <v>6055</v>
      </c>
      <c r="L73" s="532"/>
      <c r="M73" s="533" t="s">
        <v>5841</v>
      </c>
      <c r="N73" s="814" t="s">
        <v>6056</v>
      </c>
    </row>
    <row r="74" spans="2:15" ht="36">
      <c r="B74" s="148" t="s">
        <v>6057</v>
      </c>
      <c r="C74" s="603" t="s">
        <v>3141</v>
      </c>
      <c r="D74" s="713" t="s">
        <v>6058</v>
      </c>
      <c r="E74" s="684" t="s">
        <v>2546</v>
      </c>
      <c r="F74" s="836"/>
      <c r="G74" s="836"/>
      <c r="H74" s="836"/>
      <c r="I74" s="532" t="s">
        <v>6059</v>
      </c>
      <c r="J74" s="836" t="s">
        <v>2324</v>
      </c>
      <c r="K74" s="836" t="s">
        <v>2324</v>
      </c>
      <c r="L74" s="844"/>
      <c r="M74" s="533" t="s">
        <v>4596</v>
      </c>
      <c r="N74" s="814"/>
      <c r="O74" t="s">
        <v>6060</v>
      </c>
    </row>
    <row r="75" spans="2:15" ht="36">
      <c r="B75" s="148" t="s">
        <v>6061</v>
      </c>
      <c r="C75" s="603" t="s">
        <v>3141</v>
      </c>
      <c r="D75" s="713" t="s">
        <v>6065</v>
      </c>
      <c r="E75" s="684" t="s">
        <v>6062</v>
      </c>
      <c r="F75" s="532" t="s">
        <v>6131</v>
      </c>
      <c r="G75" s="532" t="s">
        <v>6132</v>
      </c>
      <c r="H75" s="532" t="s">
        <v>6132</v>
      </c>
      <c r="I75" s="532" t="s">
        <v>6063</v>
      </c>
      <c r="J75" s="836" t="s">
        <v>2324</v>
      </c>
      <c r="K75" s="836" t="s">
        <v>2324</v>
      </c>
      <c r="L75" s="844"/>
      <c r="M75" s="533" t="s">
        <v>4596</v>
      </c>
      <c r="N75" s="814"/>
      <c r="O75" t="s">
        <v>6064</v>
      </c>
    </row>
    <row r="76" spans="2:15" ht="36">
      <c r="B76" s="148" t="s">
        <v>6066</v>
      </c>
      <c r="C76" s="603" t="s">
        <v>3141</v>
      </c>
      <c r="D76" s="713" t="s">
        <v>6067</v>
      </c>
      <c r="E76" s="684" t="s">
        <v>996</v>
      </c>
      <c r="F76" s="837"/>
      <c r="G76" s="837"/>
      <c r="H76" s="837"/>
      <c r="I76" s="532" t="s">
        <v>6068</v>
      </c>
      <c r="J76" s="837" t="s">
        <v>2324</v>
      </c>
      <c r="K76" s="837" t="s">
        <v>2324</v>
      </c>
      <c r="L76" s="844"/>
      <c r="M76" s="533" t="s">
        <v>4596</v>
      </c>
      <c r="N76" s="814"/>
      <c r="O76" t="s">
        <v>6069</v>
      </c>
    </row>
    <row r="77" spans="2:15" ht="36">
      <c r="B77" s="148" t="s">
        <v>6070</v>
      </c>
      <c r="C77" s="603" t="s">
        <v>2962</v>
      </c>
      <c r="D77" s="713" t="s">
        <v>6071</v>
      </c>
      <c r="E77" s="684" t="s">
        <v>2467</v>
      </c>
      <c r="F77" s="837"/>
      <c r="G77" s="837"/>
      <c r="H77" s="837"/>
      <c r="I77" s="837"/>
      <c r="J77" s="532" t="s">
        <v>6072</v>
      </c>
      <c r="K77" s="837"/>
      <c r="L77" s="844"/>
      <c r="M77" s="533"/>
      <c r="N77" s="814"/>
      <c r="O77" t="s">
        <v>6004</v>
      </c>
    </row>
    <row r="78" spans="2:15" ht="31.5">
      <c r="B78" s="148" t="s">
        <v>6073</v>
      </c>
      <c r="C78" s="603" t="s">
        <v>3114</v>
      </c>
      <c r="D78" s="713" t="s">
        <v>6074</v>
      </c>
      <c r="E78" s="684" t="s">
        <v>6075</v>
      </c>
      <c r="F78" s="532" t="s">
        <v>6077</v>
      </c>
      <c r="G78" s="532" t="s">
        <v>6077</v>
      </c>
      <c r="H78" s="532" t="s">
        <v>6077</v>
      </c>
      <c r="I78" s="532" t="s">
        <v>6076</v>
      </c>
      <c r="J78" s="838"/>
      <c r="K78" s="838"/>
      <c r="L78" s="844"/>
      <c r="M78" s="533" t="s">
        <v>3118</v>
      </c>
      <c r="N78" s="814"/>
      <c r="O78" t="s">
        <v>6078</v>
      </c>
    </row>
    <row r="79" spans="2:15" ht="18">
      <c r="B79" s="148" t="s">
        <v>6079</v>
      </c>
      <c r="C79" s="603" t="s">
        <v>2917</v>
      </c>
      <c r="D79" s="713" t="s">
        <v>6080</v>
      </c>
      <c r="E79" s="684" t="s">
        <v>1</v>
      </c>
      <c r="F79" s="754" t="s">
        <v>6081</v>
      </c>
      <c r="G79" s="754" t="s">
        <v>6082</v>
      </c>
      <c r="H79" s="754" t="s">
        <v>6081</v>
      </c>
      <c r="I79" s="839"/>
      <c r="J79" s="839"/>
      <c r="K79" s="839"/>
      <c r="L79" s="844"/>
      <c r="M79" s="533" t="s">
        <v>2305</v>
      </c>
      <c r="N79" s="814"/>
    </row>
    <row r="80" spans="2:15" ht="36">
      <c r="B80" s="148" t="s">
        <v>6083</v>
      </c>
      <c r="C80" s="603" t="s">
        <v>3025</v>
      </c>
      <c r="D80" s="713" t="s">
        <v>6087</v>
      </c>
      <c r="E80" s="684" t="s">
        <v>6084</v>
      </c>
      <c r="F80" s="754" t="s">
        <v>6085</v>
      </c>
      <c r="G80" s="754" t="s">
        <v>6086</v>
      </c>
      <c r="H80" s="754" t="s">
        <v>6085</v>
      </c>
      <c r="I80" s="840"/>
      <c r="J80" s="840"/>
      <c r="K80" s="840"/>
      <c r="L80" s="844"/>
      <c r="M80" s="533"/>
      <c r="N80" s="814"/>
      <c r="O80" t="s">
        <v>6088</v>
      </c>
    </row>
    <row r="81" spans="2:15" ht="36">
      <c r="B81" s="148" t="s">
        <v>6089</v>
      </c>
      <c r="C81" s="603" t="s">
        <v>2893</v>
      </c>
      <c r="D81" s="713" t="s">
        <v>6090</v>
      </c>
      <c r="E81" s="684" t="s">
        <v>6091</v>
      </c>
      <c r="F81" s="754" t="s">
        <v>6092</v>
      </c>
      <c r="G81" s="754" t="s">
        <v>6093</v>
      </c>
      <c r="H81" s="754" t="s">
        <v>6093</v>
      </c>
      <c r="I81" s="841"/>
      <c r="J81" s="841"/>
      <c r="K81" s="841"/>
      <c r="L81" s="844"/>
      <c r="M81" s="533" t="s">
        <v>6094</v>
      </c>
      <c r="N81" s="814"/>
      <c r="O81" t="s">
        <v>6095</v>
      </c>
    </row>
    <row r="82" spans="2:15" ht="36">
      <c r="B82" s="148" t="s">
        <v>6099</v>
      </c>
      <c r="C82" s="603" t="s">
        <v>3141</v>
      </c>
      <c r="D82" s="713" t="s">
        <v>6100</v>
      </c>
      <c r="E82" s="684" t="s">
        <v>996</v>
      </c>
      <c r="F82" s="842"/>
      <c r="G82" s="842"/>
      <c r="H82" s="842"/>
      <c r="I82" s="532" t="s">
        <v>6101</v>
      </c>
      <c r="J82" s="842" t="s">
        <v>2324</v>
      </c>
      <c r="K82" s="842" t="s">
        <v>2324</v>
      </c>
      <c r="L82" s="844"/>
      <c r="M82" s="533"/>
      <c r="N82" s="814"/>
      <c r="O82" t="s">
        <v>6102</v>
      </c>
    </row>
    <row r="83" spans="2:15" ht="36">
      <c r="B83" s="148" t="s">
        <v>6103</v>
      </c>
      <c r="C83" s="603" t="s">
        <v>3025</v>
      </c>
      <c r="D83" s="713" t="s">
        <v>6104</v>
      </c>
      <c r="E83" s="684" t="s">
        <v>6105</v>
      </c>
      <c r="F83" s="754" t="s">
        <v>6106</v>
      </c>
      <c r="G83" s="754" t="s">
        <v>6106</v>
      </c>
      <c r="H83" s="754" t="s">
        <v>6107</v>
      </c>
      <c r="I83" s="843"/>
      <c r="J83" s="843" t="s">
        <v>2324</v>
      </c>
      <c r="K83" s="843" t="s">
        <v>2324</v>
      </c>
      <c r="L83" s="844"/>
      <c r="M83" s="533" t="s">
        <v>2270</v>
      </c>
      <c r="N83" s="814"/>
      <c r="O83" t="s">
        <v>6108</v>
      </c>
    </row>
    <row r="84" spans="2:15" s="697" customFormat="1" ht="54">
      <c r="B84" s="148" t="s">
        <v>6110</v>
      </c>
      <c r="C84" s="603" t="s">
        <v>6111</v>
      </c>
      <c r="D84" s="713" t="s">
        <v>6116</v>
      </c>
      <c r="E84" s="684" t="s">
        <v>6112</v>
      </c>
      <c r="F84" s="844"/>
      <c r="G84" s="844"/>
      <c r="H84" s="844"/>
      <c r="I84" s="844"/>
      <c r="J84" s="844" t="s">
        <v>2324</v>
      </c>
      <c r="K84" s="844"/>
      <c r="L84" s="532" t="s">
        <v>6113</v>
      </c>
      <c r="M84" s="533" t="s">
        <v>6114</v>
      </c>
      <c r="N84" s="814"/>
      <c r="O84" s="697" t="s">
        <v>6115</v>
      </c>
    </row>
    <row r="85" spans="2:15" s="697" customFormat="1" ht="54">
      <c r="B85" s="148" t="s">
        <v>6117</v>
      </c>
      <c r="C85" s="603" t="s">
        <v>6111</v>
      </c>
      <c r="D85" s="713" t="s">
        <v>6118</v>
      </c>
      <c r="E85" s="684" t="s">
        <v>6342</v>
      </c>
      <c r="F85" s="844"/>
      <c r="G85" s="844"/>
      <c r="H85" s="844"/>
      <c r="I85" s="844"/>
      <c r="J85" s="844" t="s">
        <v>2324</v>
      </c>
      <c r="K85" s="532" t="s">
        <v>6343</v>
      </c>
      <c r="L85" s="532" t="s">
        <v>6119</v>
      </c>
      <c r="M85" s="533" t="s">
        <v>6120</v>
      </c>
      <c r="N85" s="814"/>
      <c r="O85" s="697" t="s">
        <v>6115</v>
      </c>
    </row>
    <row r="86" spans="2:15" s="697" customFormat="1" ht="36">
      <c r="B86" s="148" t="s">
        <v>6121</v>
      </c>
      <c r="C86" s="603" t="s">
        <v>3083</v>
      </c>
      <c r="D86" s="713" t="s">
        <v>6124</v>
      </c>
      <c r="E86" s="684" t="s">
        <v>6122</v>
      </c>
      <c r="F86" s="845"/>
      <c r="G86" s="845"/>
      <c r="H86" s="845"/>
      <c r="I86" s="845"/>
      <c r="J86" s="845" t="s">
        <v>2324</v>
      </c>
      <c r="K86" s="532" t="s">
        <v>6123</v>
      </c>
      <c r="L86" s="845"/>
      <c r="M86" s="533" t="s">
        <v>5841</v>
      </c>
      <c r="N86" s="814"/>
      <c r="O86" s="697" t="s">
        <v>6125</v>
      </c>
    </row>
    <row r="87" spans="2:15" ht="36">
      <c r="B87" s="148" t="s">
        <v>6126</v>
      </c>
      <c r="C87" s="603" t="s">
        <v>3025</v>
      </c>
      <c r="D87" s="713" t="s">
        <v>6127</v>
      </c>
      <c r="E87" s="684" t="s">
        <v>1023</v>
      </c>
      <c r="F87" s="754" t="s">
        <v>6128</v>
      </c>
      <c r="G87" s="754" t="s">
        <v>6129</v>
      </c>
      <c r="H87" s="754" t="s">
        <v>6129</v>
      </c>
      <c r="I87" s="865"/>
      <c r="J87" s="865" t="s">
        <v>2324</v>
      </c>
      <c r="K87" s="865" t="s">
        <v>2324</v>
      </c>
      <c r="L87" s="865"/>
      <c r="M87" s="533" t="s">
        <v>2510</v>
      </c>
      <c r="N87" s="814"/>
      <c r="O87" t="s">
        <v>6130</v>
      </c>
    </row>
    <row r="88" spans="2:15" ht="36">
      <c r="B88" s="148" t="s">
        <v>6133</v>
      </c>
      <c r="C88" s="603" t="s">
        <v>3141</v>
      </c>
      <c r="D88" s="713" t="s">
        <v>6134</v>
      </c>
      <c r="E88" s="684" t="s">
        <v>996</v>
      </c>
      <c r="F88" s="866"/>
      <c r="G88" s="866"/>
      <c r="H88" s="866"/>
      <c r="I88" s="532" t="s">
        <v>6135</v>
      </c>
      <c r="J88" s="866" t="s">
        <v>2324</v>
      </c>
      <c r="K88" s="866" t="s">
        <v>2324</v>
      </c>
      <c r="L88" s="866"/>
      <c r="M88" s="533"/>
      <c r="N88" s="814"/>
      <c r="O88" t="s">
        <v>6136</v>
      </c>
    </row>
    <row r="89" spans="2:15" ht="18">
      <c r="B89" s="148" t="s">
        <v>6137</v>
      </c>
      <c r="C89" s="603" t="s">
        <v>3141</v>
      </c>
      <c r="D89" s="713" t="s">
        <v>6138</v>
      </c>
      <c r="E89" s="684" t="s">
        <v>996</v>
      </c>
      <c r="F89" s="867"/>
      <c r="G89" s="867"/>
      <c r="H89" s="867"/>
      <c r="I89" s="532" t="s">
        <v>6139</v>
      </c>
      <c r="J89" s="867" t="s">
        <v>2324</v>
      </c>
      <c r="K89" s="867" t="s">
        <v>2324</v>
      </c>
      <c r="L89" s="867"/>
      <c r="M89" s="533"/>
      <c r="N89" s="814"/>
      <c r="O89" t="s">
        <v>6140</v>
      </c>
    </row>
    <row r="90" spans="2:15" ht="36">
      <c r="B90" s="148" t="s">
        <v>6141</v>
      </c>
      <c r="C90" s="603" t="s">
        <v>2893</v>
      </c>
      <c r="D90" s="713" t="s">
        <v>6142</v>
      </c>
      <c r="E90" s="684" t="s">
        <v>6266</v>
      </c>
      <c r="F90" s="754" t="s">
        <v>6144</v>
      </c>
      <c r="G90" s="754" t="s">
        <v>6143</v>
      </c>
      <c r="H90" s="754" t="s">
        <v>6143</v>
      </c>
      <c r="I90" s="868" t="s">
        <v>2324</v>
      </c>
      <c r="J90" s="868" t="s">
        <v>2324</v>
      </c>
      <c r="K90" s="754" t="s">
        <v>6265</v>
      </c>
      <c r="L90" s="868"/>
      <c r="M90" s="533" t="s">
        <v>6145</v>
      </c>
      <c r="N90" s="814"/>
      <c r="O90" t="s">
        <v>6146</v>
      </c>
    </row>
    <row r="91" spans="2:15" s="697" customFormat="1" ht="18">
      <c r="B91" s="148" t="s">
        <v>6147</v>
      </c>
      <c r="C91" s="603" t="s">
        <v>3083</v>
      </c>
      <c r="D91" s="713" t="s">
        <v>6149</v>
      </c>
      <c r="E91" s="684" t="s">
        <v>6037</v>
      </c>
      <c r="F91" s="869"/>
      <c r="G91" s="869"/>
      <c r="H91" s="869"/>
      <c r="I91" s="869"/>
      <c r="J91" s="869" t="s">
        <v>2324</v>
      </c>
      <c r="K91" s="532" t="s">
        <v>6148</v>
      </c>
      <c r="L91" s="869"/>
      <c r="M91" s="533" t="s">
        <v>5841</v>
      </c>
      <c r="N91" s="814"/>
      <c r="O91" s="697" t="s">
        <v>6125</v>
      </c>
    </row>
    <row r="92" spans="2:15" s="697" customFormat="1" ht="18">
      <c r="B92" s="148" t="s">
        <v>6150</v>
      </c>
      <c r="C92" s="603" t="s">
        <v>3083</v>
      </c>
      <c r="D92" s="713" t="s">
        <v>6153</v>
      </c>
      <c r="E92" s="684" t="s">
        <v>6151</v>
      </c>
      <c r="F92" s="870"/>
      <c r="G92" s="870"/>
      <c r="H92" s="870"/>
      <c r="I92" s="870"/>
      <c r="J92" s="870" t="s">
        <v>2324</v>
      </c>
      <c r="K92" s="532" t="s">
        <v>6152</v>
      </c>
      <c r="L92" s="870"/>
      <c r="M92" s="533" t="s">
        <v>5841</v>
      </c>
      <c r="N92" s="814"/>
      <c r="O92" s="697" t="s">
        <v>6154</v>
      </c>
    </row>
    <row r="93" spans="2:15" ht="36">
      <c r="B93" s="148" t="s">
        <v>6155</v>
      </c>
      <c r="C93" s="603" t="s">
        <v>3141</v>
      </c>
      <c r="D93" s="713" t="s">
        <v>6156</v>
      </c>
      <c r="E93" s="684" t="s">
        <v>6157</v>
      </c>
      <c r="F93" s="871"/>
      <c r="G93" s="871"/>
      <c r="H93" s="871"/>
      <c r="I93" s="532" t="s">
        <v>6158</v>
      </c>
      <c r="J93" s="871" t="s">
        <v>2324</v>
      </c>
      <c r="K93" s="871" t="s">
        <v>2324</v>
      </c>
      <c r="L93" s="871"/>
      <c r="M93" s="533" t="s">
        <v>6159</v>
      </c>
      <c r="N93" s="814"/>
      <c r="O93" t="s">
        <v>6140</v>
      </c>
    </row>
    <row r="94" spans="2:15" s="876" customFormat="1" ht="54">
      <c r="B94" s="148" t="s">
        <v>6160</v>
      </c>
      <c r="C94" s="603" t="s">
        <v>2894</v>
      </c>
      <c r="D94" s="713" t="s">
        <v>6181</v>
      </c>
      <c r="E94" s="684" t="s">
        <v>6161</v>
      </c>
      <c r="F94" s="754" t="s">
        <v>6162</v>
      </c>
      <c r="G94" s="754" t="s">
        <v>6162</v>
      </c>
      <c r="H94" s="754" t="s">
        <v>6163</v>
      </c>
      <c r="I94" s="554" t="s">
        <v>2324</v>
      </c>
      <c r="J94" s="554" t="s">
        <v>2324</v>
      </c>
      <c r="K94" s="554" t="s">
        <v>2324</v>
      </c>
      <c r="L94" s="554"/>
      <c r="M94" s="533" t="s">
        <v>6164</v>
      </c>
      <c r="N94" s="875"/>
      <c r="O94" s="876" t="s">
        <v>6146</v>
      </c>
    </row>
    <row r="95" spans="2:15" ht="31.5">
      <c r="B95" s="148" t="s">
        <v>6169</v>
      </c>
      <c r="C95" s="603" t="s">
        <v>6165</v>
      </c>
      <c r="D95" s="713" t="s">
        <v>6166</v>
      </c>
      <c r="E95" s="684" t="s">
        <v>6167</v>
      </c>
      <c r="F95" s="754" t="s">
        <v>6168</v>
      </c>
      <c r="G95" s="754" t="s">
        <v>6170</v>
      </c>
      <c r="H95" s="754" t="s">
        <v>6170</v>
      </c>
      <c r="I95" s="872" t="s">
        <v>2324</v>
      </c>
      <c r="J95" s="754" t="s">
        <v>6171</v>
      </c>
      <c r="K95" s="872" t="s">
        <v>2324</v>
      </c>
      <c r="L95" s="872"/>
      <c r="M95" s="533" t="s">
        <v>3863</v>
      </c>
      <c r="N95" s="814"/>
      <c r="O95" t="s">
        <v>6172</v>
      </c>
    </row>
    <row r="96" spans="2:15" ht="31.5">
      <c r="B96" s="148" t="s">
        <v>6178</v>
      </c>
      <c r="C96" s="603" t="s">
        <v>6165</v>
      </c>
      <c r="D96" s="713" t="s">
        <v>6173</v>
      </c>
      <c r="E96" s="684" t="s">
        <v>6167</v>
      </c>
      <c r="F96" s="754" t="s">
        <v>6174</v>
      </c>
      <c r="G96" s="754" t="s">
        <v>6175</v>
      </c>
      <c r="H96" s="754" t="s">
        <v>6175</v>
      </c>
      <c r="I96" s="872" t="s">
        <v>2324</v>
      </c>
      <c r="J96" s="754" t="s">
        <v>6176</v>
      </c>
      <c r="K96" s="872" t="s">
        <v>2324</v>
      </c>
      <c r="L96" s="872"/>
      <c r="M96" s="533" t="s">
        <v>3863</v>
      </c>
      <c r="N96" s="814"/>
      <c r="O96" t="s">
        <v>6177</v>
      </c>
    </row>
    <row r="97" spans="2:15" ht="54">
      <c r="B97" s="148" t="s">
        <v>6179</v>
      </c>
      <c r="C97" s="603" t="s">
        <v>2894</v>
      </c>
      <c r="D97" s="713" t="s">
        <v>6182</v>
      </c>
      <c r="E97" s="684" t="s">
        <v>6180</v>
      </c>
      <c r="F97" s="754" t="s">
        <v>6183</v>
      </c>
      <c r="G97" s="754" t="s">
        <v>6184</v>
      </c>
      <c r="H97" s="754" t="s">
        <v>6184</v>
      </c>
      <c r="I97" s="873" t="s">
        <v>2324</v>
      </c>
      <c r="J97" s="873" t="s">
        <v>2324</v>
      </c>
      <c r="K97" s="873" t="s">
        <v>2324</v>
      </c>
      <c r="L97" s="873"/>
      <c r="M97" s="533" t="s">
        <v>6164</v>
      </c>
      <c r="N97" s="814"/>
      <c r="O97" t="s">
        <v>6185</v>
      </c>
    </row>
    <row r="98" spans="2:15" ht="18">
      <c r="B98" s="148" t="s">
        <v>6186</v>
      </c>
      <c r="C98" s="603" t="s">
        <v>2894</v>
      </c>
      <c r="D98" s="713" t="s">
        <v>6260</v>
      </c>
      <c r="E98" s="684" t="s">
        <v>1</v>
      </c>
      <c r="F98" s="754" t="s">
        <v>6258</v>
      </c>
      <c r="G98" s="754" t="s">
        <v>6257</v>
      </c>
      <c r="H98" s="754" t="s">
        <v>6258</v>
      </c>
      <c r="I98" s="874" t="s">
        <v>2324</v>
      </c>
      <c r="J98" s="888" t="s">
        <v>2324</v>
      </c>
      <c r="K98" s="874" t="s">
        <v>2324</v>
      </c>
      <c r="L98" s="874"/>
      <c r="M98" s="533" t="s">
        <v>6164</v>
      </c>
      <c r="N98" s="814"/>
      <c r="O98" t="s">
        <v>6259</v>
      </c>
    </row>
    <row r="99" spans="2:15" ht="54">
      <c r="B99" s="148" t="s">
        <v>6190</v>
      </c>
      <c r="C99" s="603" t="s">
        <v>2894</v>
      </c>
      <c r="D99" s="713" t="s">
        <v>6191</v>
      </c>
      <c r="E99" s="684" t="s">
        <v>1023</v>
      </c>
      <c r="F99" s="754" t="s">
        <v>6192</v>
      </c>
      <c r="G99" s="754" t="s">
        <v>6193</v>
      </c>
      <c r="H99" s="754" t="s">
        <v>6193</v>
      </c>
      <c r="I99" s="877" t="s">
        <v>2324</v>
      </c>
      <c r="J99" s="877" t="s">
        <v>2324</v>
      </c>
      <c r="K99" s="877" t="s">
        <v>2324</v>
      </c>
      <c r="L99" s="877"/>
      <c r="M99" s="533" t="s">
        <v>6164</v>
      </c>
      <c r="N99" s="814"/>
      <c r="O99" t="s">
        <v>6194</v>
      </c>
    </row>
    <row r="100" spans="2:15" ht="31.5">
      <c r="B100" s="148" t="s">
        <v>6195</v>
      </c>
      <c r="C100" s="603" t="s">
        <v>2917</v>
      </c>
      <c r="D100" s="713" t="s">
        <v>6196</v>
      </c>
      <c r="E100" s="684" t="s">
        <v>6197</v>
      </c>
      <c r="F100" s="754" t="s">
        <v>6199</v>
      </c>
      <c r="G100" s="754" t="s">
        <v>6198</v>
      </c>
      <c r="H100" s="754" t="s">
        <v>6199</v>
      </c>
      <c r="I100" s="878" t="s">
        <v>2324</v>
      </c>
      <c r="J100" s="878" t="s">
        <v>2324</v>
      </c>
      <c r="K100" s="878" t="s">
        <v>2324</v>
      </c>
      <c r="L100" s="878"/>
      <c r="M100" s="533" t="s">
        <v>6200</v>
      </c>
      <c r="N100" s="814"/>
      <c r="O100" t="s">
        <v>6201</v>
      </c>
    </row>
    <row r="101" spans="2:15" ht="18">
      <c r="B101" s="148" t="s">
        <v>6202</v>
      </c>
      <c r="C101" s="603" t="s">
        <v>2893</v>
      </c>
      <c r="D101" s="713" t="s">
        <v>6203</v>
      </c>
      <c r="E101" s="684" t="s">
        <v>5729</v>
      </c>
      <c r="F101" s="754" t="s">
        <v>6204</v>
      </c>
      <c r="G101" s="754" t="s">
        <v>6205</v>
      </c>
      <c r="H101" s="754" t="s">
        <v>6204</v>
      </c>
      <c r="I101" s="879" t="s">
        <v>2324</v>
      </c>
      <c r="J101" s="879" t="s">
        <v>2324</v>
      </c>
      <c r="K101" s="879" t="s">
        <v>2324</v>
      </c>
      <c r="L101" s="879"/>
      <c r="M101" s="533" t="s">
        <v>6206</v>
      </c>
      <c r="N101" s="814"/>
      <c r="O101" t="s">
        <v>6207</v>
      </c>
    </row>
    <row r="102" spans="2:15" ht="18">
      <c r="B102" s="148" t="s">
        <v>6208</v>
      </c>
      <c r="C102" s="603" t="s">
        <v>2908</v>
      </c>
      <c r="D102" s="713" t="s">
        <v>6209</v>
      </c>
      <c r="E102" s="684" t="s">
        <v>1023</v>
      </c>
      <c r="F102" s="754" t="s">
        <v>6210</v>
      </c>
      <c r="G102" s="754" t="s">
        <v>6211</v>
      </c>
      <c r="H102" s="754" t="s">
        <v>6211</v>
      </c>
      <c r="I102" s="880" t="s">
        <v>2324</v>
      </c>
      <c r="J102" s="880" t="s">
        <v>2324</v>
      </c>
      <c r="K102" s="880" t="s">
        <v>2324</v>
      </c>
      <c r="L102" s="880"/>
      <c r="M102" s="533" t="s">
        <v>5863</v>
      </c>
      <c r="N102" s="814"/>
    </row>
    <row r="103" spans="2:15" ht="36">
      <c r="B103" s="148" t="s">
        <v>6212</v>
      </c>
      <c r="C103" s="603" t="s">
        <v>2908</v>
      </c>
      <c r="D103" s="713" t="s">
        <v>6213</v>
      </c>
      <c r="E103" s="684" t="s">
        <v>6214</v>
      </c>
      <c r="F103" s="754" t="s">
        <v>6215</v>
      </c>
      <c r="G103" s="754" t="s">
        <v>6216</v>
      </c>
      <c r="H103" s="754" t="s">
        <v>6216</v>
      </c>
      <c r="I103" s="881" t="s">
        <v>2324</v>
      </c>
      <c r="J103" s="881" t="s">
        <v>2324</v>
      </c>
      <c r="K103" s="881" t="s">
        <v>2324</v>
      </c>
      <c r="L103" s="881"/>
      <c r="M103" s="533" t="s">
        <v>5863</v>
      </c>
      <c r="N103" s="814"/>
      <c r="O103" t="s">
        <v>6217</v>
      </c>
    </row>
    <row r="104" spans="2:15" ht="36">
      <c r="B104" s="148" t="s">
        <v>6218</v>
      </c>
      <c r="C104" s="603" t="s">
        <v>2893</v>
      </c>
      <c r="D104" s="713" t="s">
        <v>6219</v>
      </c>
      <c r="E104" s="684" t="s">
        <v>6220</v>
      </c>
      <c r="F104" s="754" t="s">
        <v>6221</v>
      </c>
      <c r="G104" s="754" t="s">
        <v>6222</v>
      </c>
      <c r="H104" s="754" t="s">
        <v>6222</v>
      </c>
      <c r="I104" s="882" t="s">
        <v>2324</v>
      </c>
      <c r="J104" s="882" t="s">
        <v>2324</v>
      </c>
      <c r="K104" s="882" t="s">
        <v>2324</v>
      </c>
      <c r="L104" s="882"/>
      <c r="M104" s="533" t="s">
        <v>6247</v>
      </c>
      <c r="N104" s="814"/>
      <c r="O104" t="s">
        <v>6223</v>
      </c>
    </row>
    <row r="105" spans="2:15" ht="36">
      <c r="B105" s="148" t="s">
        <v>6224</v>
      </c>
      <c r="C105" s="603" t="s">
        <v>2893</v>
      </c>
      <c r="D105" s="713" t="s">
        <v>6225</v>
      </c>
      <c r="E105" s="684" t="s">
        <v>6226</v>
      </c>
      <c r="F105" s="754" t="s">
        <v>6227</v>
      </c>
      <c r="G105" s="754" t="s">
        <v>6228</v>
      </c>
      <c r="H105" s="754" t="s">
        <v>6228</v>
      </c>
      <c r="I105" s="883" t="s">
        <v>2324</v>
      </c>
      <c r="J105" s="883" t="s">
        <v>2324</v>
      </c>
      <c r="K105" s="883" t="s">
        <v>2324</v>
      </c>
      <c r="L105" s="883"/>
      <c r="M105" s="533" t="s">
        <v>6247</v>
      </c>
      <c r="N105" s="814"/>
      <c r="O105" t="s">
        <v>6229</v>
      </c>
    </row>
    <row r="106" spans="2:15" ht="54">
      <c r="B106" s="148" t="s">
        <v>6230</v>
      </c>
      <c r="C106" s="603" t="s">
        <v>3263</v>
      </c>
      <c r="D106" s="713" t="s">
        <v>6235</v>
      </c>
      <c r="E106" s="684" t="s">
        <v>6231</v>
      </c>
      <c r="F106" s="754" t="s">
        <v>6233</v>
      </c>
      <c r="G106" s="754" t="s">
        <v>6232</v>
      </c>
      <c r="H106" s="754" t="s">
        <v>6233</v>
      </c>
      <c r="I106" s="884" t="s">
        <v>2324</v>
      </c>
      <c r="J106" s="884" t="s">
        <v>2324</v>
      </c>
      <c r="K106" s="884" t="s">
        <v>2324</v>
      </c>
      <c r="L106" s="884"/>
      <c r="M106" s="533" t="s">
        <v>2819</v>
      </c>
      <c r="N106" s="814"/>
      <c r="O106" t="s">
        <v>6234</v>
      </c>
    </row>
    <row r="107" spans="2:15" ht="18">
      <c r="B107" s="148" t="s">
        <v>6236</v>
      </c>
      <c r="C107" s="603" t="s">
        <v>2908</v>
      </c>
      <c r="D107" s="713" t="s">
        <v>6237</v>
      </c>
      <c r="E107" s="684" t="s">
        <v>6238</v>
      </c>
      <c r="F107" s="754" t="s">
        <v>6239</v>
      </c>
      <c r="G107" s="754" t="s">
        <v>6240</v>
      </c>
      <c r="H107" s="754" t="s">
        <v>6240</v>
      </c>
      <c r="I107" s="885" t="s">
        <v>2324</v>
      </c>
      <c r="J107" s="754" t="s">
        <v>6240</v>
      </c>
      <c r="K107" s="885" t="s">
        <v>2324</v>
      </c>
      <c r="L107" s="885"/>
      <c r="M107" s="533" t="s">
        <v>6241</v>
      </c>
      <c r="N107" s="814"/>
      <c r="O107" t="s">
        <v>6242</v>
      </c>
    </row>
    <row r="108" spans="2:15" ht="36">
      <c r="B108" s="148" t="s">
        <v>6243</v>
      </c>
      <c r="C108" s="603" t="s">
        <v>3141</v>
      </c>
      <c r="D108" s="713" t="s">
        <v>6244</v>
      </c>
      <c r="E108" s="684" t="s">
        <v>996</v>
      </c>
      <c r="F108" s="886"/>
      <c r="G108" s="886"/>
      <c r="H108" s="886"/>
      <c r="I108" s="532" t="s">
        <v>6245</v>
      </c>
      <c r="J108" s="886" t="s">
        <v>2324</v>
      </c>
      <c r="K108" s="886" t="s">
        <v>2324</v>
      </c>
      <c r="L108" s="886"/>
      <c r="M108" s="533" t="s">
        <v>4596</v>
      </c>
      <c r="N108" s="814"/>
      <c r="O108" t="s">
        <v>6246</v>
      </c>
    </row>
    <row r="109" spans="2:15" ht="36">
      <c r="B109" s="148" t="s">
        <v>6248</v>
      </c>
      <c r="C109" s="603" t="s">
        <v>2893</v>
      </c>
      <c r="D109" s="713" t="s">
        <v>6249</v>
      </c>
      <c r="E109" s="684" t="s">
        <v>6250</v>
      </c>
      <c r="F109" s="754" t="s">
        <v>6251</v>
      </c>
      <c r="G109" s="754" t="s">
        <v>6253</v>
      </c>
      <c r="H109" s="754" t="s">
        <v>6253</v>
      </c>
      <c r="I109" s="754" t="s">
        <v>6251</v>
      </c>
      <c r="J109" s="887" t="s">
        <v>2324</v>
      </c>
      <c r="K109" s="887" t="s">
        <v>2324</v>
      </c>
      <c r="L109" s="887"/>
      <c r="M109" s="533" t="s">
        <v>2324</v>
      </c>
      <c r="N109" s="814"/>
      <c r="O109" t="s">
        <v>6252</v>
      </c>
    </row>
    <row r="110" spans="2:15" ht="36">
      <c r="B110" s="148" t="s">
        <v>6254</v>
      </c>
      <c r="C110" s="603" t="s">
        <v>2962</v>
      </c>
      <c r="D110" s="713" t="s">
        <v>6187</v>
      </c>
      <c r="E110" s="684" t="s">
        <v>6188</v>
      </c>
      <c r="F110" s="754" t="s">
        <v>6255</v>
      </c>
      <c r="G110" s="754" t="s">
        <v>6255</v>
      </c>
      <c r="H110" s="754" t="s">
        <v>6255</v>
      </c>
      <c r="I110" s="888" t="s">
        <v>2324</v>
      </c>
      <c r="J110" s="754" t="s">
        <v>6256</v>
      </c>
      <c r="K110" s="888" t="s">
        <v>2324</v>
      </c>
      <c r="L110" s="888"/>
      <c r="M110" s="533" t="s">
        <v>3863</v>
      </c>
      <c r="N110" s="814"/>
      <c r="O110" t="s">
        <v>6189</v>
      </c>
    </row>
    <row r="111" spans="2:15" ht="18">
      <c r="B111" s="148" t="s">
        <v>6261</v>
      </c>
      <c r="C111" s="603" t="s">
        <v>2894</v>
      </c>
      <c r="D111" s="713" t="s">
        <v>6262</v>
      </c>
      <c r="E111" s="684" t="s">
        <v>1023</v>
      </c>
      <c r="F111" s="754" t="s">
        <v>6263</v>
      </c>
      <c r="G111" s="754" t="s">
        <v>6264</v>
      </c>
      <c r="H111" s="754" t="s">
        <v>6264</v>
      </c>
      <c r="I111" s="889" t="s">
        <v>2324</v>
      </c>
      <c r="J111" s="889" t="s">
        <v>2324</v>
      </c>
      <c r="K111" s="889" t="s">
        <v>2324</v>
      </c>
      <c r="L111" s="889"/>
      <c r="M111" s="533" t="s">
        <v>5013</v>
      </c>
      <c r="N111" s="814"/>
      <c r="O111" t="s">
        <v>2960</v>
      </c>
    </row>
    <row r="112" spans="2:15" ht="36">
      <c r="B112" s="148" t="s">
        <v>6269</v>
      </c>
      <c r="C112" s="603" t="s">
        <v>2893</v>
      </c>
      <c r="D112" s="713" t="s">
        <v>6267</v>
      </c>
      <c r="E112" s="684" t="s">
        <v>5729</v>
      </c>
      <c r="F112" s="754" t="s">
        <v>6270</v>
      </c>
      <c r="G112" s="754" t="s">
        <v>6276</v>
      </c>
      <c r="H112" s="754" t="s">
        <v>6276</v>
      </c>
      <c r="I112" s="890" t="s">
        <v>2324</v>
      </c>
      <c r="J112" s="890" t="s">
        <v>2324</v>
      </c>
      <c r="K112" s="890" t="s">
        <v>2324</v>
      </c>
      <c r="L112" s="890"/>
      <c r="M112" s="533" t="s">
        <v>2480</v>
      </c>
      <c r="N112" s="814"/>
      <c r="O112" t="s">
        <v>6268</v>
      </c>
    </row>
    <row r="113" spans="1:15" ht="36">
      <c r="B113" s="148" t="s">
        <v>6271</v>
      </c>
      <c r="C113" s="603" t="s">
        <v>2894</v>
      </c>
      <c r="D113" s="713" t="s">
        <v>6272</v>
      </c>
      <c r="E113" s="684" t="s">
        <v>1023</v>
      </c>
      <c r="F113" s="754" t="s">
        <v>6273</v>
      </c>
      <c r="G113" s="754" t="s">
        <v>6274</v>
      </c>
      <c r="H113" s="754" t="s">
        <v>6274</v>
      </c>
      <c r="I113" s="891" t="s">
        <v>2324</v>
      </c>
      <c r="J113" s="891" t="s">
        <v>2324</v>
      </c>
      <c r="K113" s="891" t="s">
        <v>2324</v>
      </c>
      <c r="L113" s="891"/>
      <c r="M113" s="533" t="s">
        <v>5013</v>
      </c>
      <c r="N113" s="814"/>
      <c r="O113" t="s">
        <v>6275</v>
      </c>
    </row>
    <row r="114" spans="1:15" ht="54">
      <c r="A114" t="s">
        <v>6299</v>
      </c>
      <c r="B114" s="148" t="s">
        <v>6277</v>
      </c>
      <c r="C114" s="603" t="s">
        <v>3083</v>
      </c>
      <c r="D114" s="713" t="s">
        <v>6278</v>
      </c>
      <c r="E114" s="684" t="s">
        <v>6279</v>
      </c>
      <c r="F114" s="892" t="s">
        <v>2324</v>
      </c>
      <c r="G114" s="892" t="s">
        <v>2324</v>
      </c>
      <c r="H114" s="892" t="s">
        <v>2324</v>
      </c>
      <c r="I114" s="892" t="s">
        <v>2324</v>
      </c>
      <c r="J114" s="892" t="s">
        <v>2324</v>
      </c>
      <c r="K114" s="754" t="s">
        <v>6280</v>
      </c>
      <c r="L114" s="892"/>
      <c r="M114" s="533" t="s">
        <v>5841</v>
      </c>
      <c r="N114" s="814" t="s">
        <v>6300</v>
      </c>
      <c r="O114" t="s">
        <v>6281</v>
      </c>
    </row>
    <row r="115" spans="1:15" ht="18">
      <c r="B115" s="148" t="s">
        <v>6282</v>
      </c>
      <c r="C115" s="603" t="s">
        <v>3141</v>
      </c>
      <c r="D115" s="713" t="s">
        <v>6283</v>
      </c>
      <c r="E115" s="684" t="s">
        <v>6284</v>
      </c>
      <c r="F115" s="893" t="s">
        <v>2324</v>
      </c>
      <c r="G115" s="893" t="s">
        <v>2324</v>
      </c>
      <c r="H115" s="893" t="s">
        <v>2324</v>
      </c>
      <c r="I115" s="532" t="s">
        <v>6285</v>
      </c>
      <c r="J115" s="893" t="s">
        <v>2324</v>
      </c>
      <c r="K115" s="893" t="s">
        <v>2324</v>
      </c>
      <c r="L115" s="893"/>
      <c r="M115" s="533" t="s">
        <v>6286</v>
      </c>
      <c r="N115" s="814"/>
    </row>
    <row r="116" spans="1:15" ht="36">
      <c r="B116" s="148" t="s">
        <v>6287</v>
      </c>
      <c r="C116" s="603" t="s">
        <v>3141</v>
      </c>
      <c r="D116" s="713" t="s">
        <v>6288</v>
      </c>
      <c r="E116" s="684" t="s">
        <v>996</v>
      </c>
      <c r="F116" s="894" t="s">
        <v>2324</v>
      </c>
      <c r="G116" s="894" t="s">
        <v>2324</v>
      </c>
      <c r="H116" s="894" t="s">
        <v>2324</v>
      </c>
      <c r="I116" s="532" t="s">
        <v>6289</v>
      </c>
      <c r="J116" s="894" t="s">
        <v>2324</v>
      </c>
      <c r="K116" s="894" t="s">
        <v>2324</v>
      </c>
      <c r="L116" s="894"/>
      <c r="M116" s="533"/>
      <c r="N116" s="814"/>
    </row>
    <row r="117" spans="1:15" ht="18">
      <c r="B117" s="148" t="s">
        <v>6290</v>
      </c>
      <c r="C117" s="603" t="s">
        <v>2908</v>
      </c>
      <c r="D117" s="713" t="s">
        <v>6291</v>
      </c>
      <c r="E117" s="684" t="s">
        <v>1023</v>
      </c>
      <c r="F117" s="754" t="s">
        <v>6292</v>
      </c>
      <c r="G117" s="754" t="s">
        <v>6293</v>
      </c>
      <c r="H117" s="754" t="s">
        <v>6293</v>
      </c>
      <c r="I117" s="895" t="s">
        <v>2324</v>
      </c>
      <c r="J117" s="895" t="s">
        <v>2324</v>
      </c>
      <c r="K117" s="895" t="s">
        <v>2324</v>
      </c>
      <c r="L117" s="895"/>
      <c r="M117" s="533"/>
      <c r="N117" s="814"/>
      <c r="O117" t="s">
        <v>6294</v>
      </c>
    </row>
    <row r="118" spans="1:15" ht="47.25">
      <c r="B118" s="148" t="s">
        <v>6295</v>
      </c>
      <c r="C118" s="603" t="s">
        <v>6322</v>
      </c>
      <c r="D118" s="713" t="s">
        <v>6296</v>
      </c>
      <c r="E118" s="684" t="s">
        <v>6318</v>
      </c>
      <c r="F118" s="754" t="s">
        <v>6319</v>
      </c>
      <c r="G118" s="754" t="s">
        <v>6320</v>
      </c>
      <c r="H118" s="754" t="s">
        <v>6320</v>
      </c>
      <c r="I118" s="754" t="s">
        <v>6297</v>
      </c>
      <c r="J118" s="896" t="s">
        <v>2324</v>
      </c>
      <c r="K118" s="896" t="s">
        <v>2324</v>
      </c>
      <c r="L118" s="896"/>
      <c r="M118" s="533" t="s">
        <v>6321</v>
      </c>
      <c r="N118" s="814"/>
      <c r="O118" t="s">
        <v>6298</v>
      </c>
    </row>
    <row r="119" spans="1:15" ht="54">
      <c r="B119" s="148" t="s">
        <v>6301</v>
      </c>
      <c r="C119" s="603" t="s">
        <v>3141</v>
      </c>
      <c r="D119" s="713" t="s">
        <v>6302</v>
      </c>
      <c r="E119" s="684" t="s">
        <v>996</v>
      </c>
      <c r="F119" s="754" t="s">
        <v>6304</v>
      </c>
      <c r="G119" s="754" t="s">
        <v>6304</v>
      </c>
      <c r="H119" s="754" t="s">
        <v>6304</v>
      </c>
      <c r="I119" s="754" t="s">
        <v>6305</v>
      </c>
      <c r="J119" s="897" t="s">
        <v>2324</v>
      </c>
      <c r="K119" s="897" t="s">
        <v>2324</v>
      </c>
      <c r="L119" s="897"/>
      <c r="M119" s="533"/>
      <c r="N119" s="814"/>
      <c r="O119" t="s">
        <v>6303</v>
      </c>
    </row>
    <row r="120" spans="1:15" ht="36">
      <c r="B120" s="148" t="s">
        <v>6306</v>
      </c>
      <c r="C120" s="603" t="s">
        <v>2893</v>
      </c>
      <c r="D120" s="489" t="s">
        <v>6311</v>
      </c>
      <c r="E120" s="534" t="s">
        <v>4306</v>
      </c>
      <c r="F120" s="754" t="s">
        <v>6307</v>
      </c>
      <c r="G120" s="754" t="s">
        <v>6308</v>
      </c>
      <c r="H120" s="754" t="s">
        <v>6308</v>
      </c>
      <c r="I120" s="754" t="s">
        <v>6308</v>
      </c>
      <c r="J120" s="898" t="s">
        <v>2324</v>
      </c>
      <c r="K120" s="898" t="s">
        <v>2324</v>
      </c>
      <c r="L120" s="898"/>
      <c r="M120" s="533" t="s">
        <v>6309</v>
      </c>
      <c r="N120" s="814"/>
      <c r="O120" t="s">
        <v>6310</v>
      </c>
    </row>
    <row r="121" spans="1:15" ht="18">
      <c r="B121" s="148" t="s">
        <v>6312</v>
      </c>
      <c r="C121" s="603" t="s">
        <v>2893</v>
      </c>
      <c r="D121" s="489" t="s">
        <v>6313</v>
      </c>
      <c r="E121" s="534" t="s">
        <v>1023</v>
      </c>
      <c r="F121" s="754" t="s">
        <v>6314</v>
      </c>
      <c r="G121" s="754" t="s">
        <v>6315</v>
      </c>
      <c r="H121" s="754" t="s">
        <v>6315</v>
      </c>
      <c r="I121" s="754" t="s">
        <v>6315</v>
      </c>
      <c r="J121" s="899" t="s">
        <v>2324</v>
      </c>
      <c r="K121" s="899" t="s">
        <v>2324</v>
      </c>
      <c r="L121" s="899"/>
      <c r="M121" s="533" t="s">
        <v>6316</v>
      </c>
      <c r="N121" s="814"/>
      <c r="O121" t="s">
        <v>6317</v>
      </c>
    </row>
    <row r="122" spans="1:15" ht="31.5">
      <c r="B122" s="148" t="s">
        <v>6323</v>
      </c>
      <c r="C122" s="603" t="s">
        <v>2894</v>
      </c>
      <c r="D122" s="489" t="s">
        <v>6324</v>
      </c>
      <c r="E122" s="534" t="s">
        <v>1023</v>
      </c>
      <c r="F122" s="754" t="s">
        <v>6325</v>
      </c>
      <c r="G122" s="754" t="s">
        <v>6326</v>
      </c>
      <c r="H122" s="754" t="s">
        <v>6326</v>
      </c>
      <c r="I122" s="900" t="s">
        <v>2324</v>
      </c>
      <c r="J122" s="900" t="s">
        <v>2324</v>
      </c>
      <c r="K122" s="900" t="s">
        <v>2324</v>
      </c>
      <c r="L122" s="900"/>
      <c r="M122" s="533" t="s">
        <v>6327</v>
      </c>
      <c r="N122" s="814"/>
      <c r="O122" t="s">
        <v>6328</v>
      </c>
    </row>
  </sheetData>
  <mergeCells count="17">
    <mergeCell ref="M2:M3"/>
    <mergeCell ref="N2:N3"/>
    <mergeCell ref="A9:A10"/>
    <mergeCell ref="B9:B10"/>
    <mergeCell ref="F9:F10"/>
    <mergeCell ref="G9:G10"/>
    <mergeCell ref="H9:H10"/>
    <mergeCell ref="M9:M10"/>
    <mergeCell ref="F7:L7"/>
    <mergeCell ref="B55:B56"/>
    <mergeCell ref="C55:C56"/>
    <mergeCell ref="I55:I56"/>
    <mergeCell ref="E55:E56"/>
    <mergeCell ref="B57:B58"/>
    <mergeCell ref="C57:C58"/>
    <mergeCell ref="E57:E58"/>
    <mergeCell ref="I57:I58"/>
  </mergeCells>
  <pageMargins left="0.7" right="0.7" top="0.75" bottom="0.75"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2E9973-90D5-464E-B1CD-F5E15578397C}">
  <dimension ref="A1:Q128"/>
  <sheetViews>
    <sheetView topLeftCell="A104" workbookViewId="0">
      <selection activeCell="M117" sqref="M117"/>
    </sheetView>
  </sheetViews>
  <sheetFormatPr baseColWidth="10" defaultRowHeight="12.75"/>
  <cols>
    <col min="1" max="1" width="5" customWidth="1"/>
    <col min="2" max="2" width="13" customWidth="1"/>
    <col min="3" max="3" width="10.140625" customWidth="1"/>
    <col min="4" max="4" width="59.7109375" customWidth="1"/>
    <col min="5" max="5" width="33.140625" customWidth="1"/>
    <col min="8" max="8" width="12.7109375" customWidth="1"/>
    <col min="13" max="13" width="35.5703125" customWidth="1"/>
    <col min="14" max="14" width="23.42578125" customWidth="1"/>
    <col min="15" max="15" width="29.28515625" customWidth="1"/>
    <col min="16" max="16" width="33.42578125" customWidth="1"/>
  </cols>
  <sheetData>
    <row r="1" spans="1:17" s="20" customFormat="1" ht="39.6" customHeight="1">
      <c r="E1" s="119"/>
      <c r="M1" s="1078"/>
      <c r="N1" s="948"/>
      <c r="O1" s="948"/>
      <c r="P1" s="1078"/>
    </row>
    <row r="2" spans="1:17" s="20" customFormat="1" ht="10.5" customHeight="1">
      <c r="E2" s="119"/>
      <c r="M2" s="1079"/>
      <c r="N2" s="949"/>
      <c r="O2" s="949"/>
      <c r="P2" s="1079"/>
    </row>
    <row r="3" spans="1:17" s="20" customFormat="1" ht="13.5" thickBot="1">
      <c r="E3" s="119"/>
      <c r="M3" s="61"/>
      <c r="N3" s="61"/>
      <c r="O3" s="61"/>
      <c r="P3" s="61"/>
    </row>
    <row r="4" spans="1:17" s="336" customFormat="1" ht="21" thickBot="1">
      <c r="B4" s="850" t="s">
        <v>6329</v>
      </c>
      <c r="C4" s="851"/>
      <c r="D4" s="851"/>
      <c r="E4" s="852"/>
      <c r="F4" s="851"/>
      <c r="G4" s="853"/>
      <c r="H4" s="853"/>
      <c r="I4" s="853"/>
      <c r="J4" s="853"/>
      <c r="K4" s="853"/>
      <c r="L4" s="853"/>
      <c r="M4" s="854"/>
      <c r="N4" s="853"/>
      <c r="O4" s="853"/>
      <c r="P4" s="855"/>
    </row>
    <row r="5" spans="1:17" s="20" customFormat="1" ht="17.25" thickTop="1" thickBot="1">
      <c r="A5" s="864" t="s">
        <v>1528</v>
      </c>
      <c r="B5" s="863"/>
      <c r="C5" s="26"/>
      <c r="D5" s="26"/>
      <c r="E5" s="857"/>
      <c r="F5" s="121"/>
      <c r="G5" s="27"/>
      <c r="H5" s="27"/>
      <c r="I5" s="27"/>
      <c r="J5" s="27"/>
      <c r="K5" s="27"/>
      <c r="L5" s="27"/>
      <c r="M5" s="27"/>
      <c r="N5" s="27"/>
      <c r="O5" s="27"/>
      <c r="P5" s="858"/>
    </row>
    <row r="6" spans="1:17" s="20" customFormat="1" ht="16.5" customHeight="1" thickBot="1">
      <c r="B6" s="856"/>
      <c r="C6" s="26"/>
      <c r="D6" s="26"/>
      <c r="E6" s="121"/>
      <c r="F6" s="1129" t="s">
        <v>1026</v>
      </c>
      <c r="G6" s="1130"/>
      <c r="H6" s="1130"/>
      <c r="I6" s="1130"/>
      <c r="J6" s="1162"/>
      <c r="K6" s="1163"/>
      <c r="L6" s="1164"/>
      <c r="M6" s="27"/>
      <c r="N6" s="27"/>
      <c r="O6" s="27"/>
      <c r="P6" s="858"/>
    </row>
    <row r="7" spans="1:17" s="330" customFormat="1" ht="34.5" customHeight="1" thickTop="1" thickBot="1">
      <c r="B7" s="624" t="s">
        <v>992</v>
      </c>
      <c r="C7" s="625" t="s">
        <v>2892</v>
      </c>
      <c r="D7" s="624" t="s">
        <v>993</v>
      </c>
      <c r="E7" s="624" t="s">
        <v>994</v>
      </c>
      <c r="F7" s="860" t="s">
        <v>0</v>
      </c>
      <c r="G7" s="861" t="s">
        <v>1</v>
      </c>
      <c r="H7" s="862" t="s">
        <v>5730</v>
      </c>
      <c r="I7" s="859" t="s">
        <v>996</v>
      </c>
      <c r="J7" s="859" t="s">
        <v>2511</v>
      </c>
      <c r="K7" s="859" t="s">
        <v>5764</v>
      </c>
      <c r="L7" s="846" t="s">
        <v>6109</v>
      </c>
      <c r="M7" s="986" t="s">
        <v>4</v>
      </c>
      <c r="N7" s="996" t="s">
        <v>6805</v>
      </c>
      <c r="O7" s="989" t="s">
        <v>6614</v>
      </c>
      <c r="P7" s="624" t="s">
        <v>4523</v>
      </c>
    </row>
    <row r="8" spans="1:17" ht="18">
      <c r="B8" s="532" t="s">
        <v>6344</v>
      </c>
      <c r="C8" s="532" t="s">
        <v>2917</v>
      </c>
      <c r="D8" s="489" t="s">
        <v>6345</v>
      </c>
      <c r="E8" s="684" t="s">
        <v>1</v>
      </c>
      <c r="F8" s="532" t="s">
        <v>6347</v>
      </c>
      <c r="G8" s="532" t="s">
        <v>6346</v>
      </c>
      <c r="H8" s="532" t="s">
        <v>6347</v>
      </c>
      <c r="I8" s="903"/>
      <c r="J8" s="903"/>
      <c r="K8" s="903"/>
      <c r="L8" s="903"/>
      <c r="M8" s="987" t="s">
        <v>6348</v>
      </c>
      <c r="N8" s="997"/>
      <c r="O8" s="990"/>
      <c r="P8" s="665" t="s">
        <v>2324</v>
      </c>
      <c r="Q8" t="s">
        <v>5249</v>
      </c>
    </row>
    <row r="9" spans="1:17" ht="18">
      <c r="B9" s="532" t="s">
        <v>6330</v>
      </c>
      <c r="C9" s="532" t="s">
        <v>2894</v>
      </c>
      <c r="D9" s="489" t="s">
        <v>6331</v>
      </c>
      <c r="E9" s="684" t="s">
        <v>1023</v>
      </c>
      <c r="F9" s="532" t="s">
        <v>6332</v>
      </c>
      <c r="G9" s="532" t="s">
        <v>6333</v>
      </c>
      <c r="H9" s="532" t="s">
        <v>6333</v>
      </c>
      <c r="I9" s="901"/>
      <c r="J9" s="901"/>
      <c r="K9" s="901"/>
      <c r="L9" s="901"/>
      <c r="M9" s="987" t="s">
        <v>6334</v>
      </c>
      <c r="N9" s="997"/>
      <c r="O9" s="990"/>
      <c r="P9" s="665" t="s">
        <v>2324</v>
      </c>
      <c r="Q9" t="s">
        <v>6335</v>
      </c>
    </row>
    <row r="10" spans="1:17" ht="31.5">
      <c r="B10" s="532" t="s">
        <v>6336</v>
      </c>
      <c r="C10" s="532" t="s">
        <v>2894</v>
      </c>
      <c r="D10" s="489" t="s">
        <v>6337</v>
      </c>
      <c r="E10" s="684" t="s">
        <v>6340</v>
      </c>
      <c r="F10" s="532" t="s">
        <v>6338</v>
      </c>
      <c r="G10" s="532" t="s">
        <v>6339</v>
      </c>
      <c r="H10" s="532" t="s">
        <v>6339</v>
      </c>
      <c r="I10" s="902"/>
      <c r="J10" s="902"/>
      <c r="K10" s="902"/>
      <c r="L10" s="902"/>
      <c r="M10" s="987" t="s">
        <v>6334</v>
      </c>
      <c r="N10" s="997"/>
      <c r="O10" s="990"/>
      <c r="P10" s="665" t="s">
        <v>2324</v>
      </c>
      <c r="Q10" t="s">
        <v>6341</v>
      </c>
    </row>
    <row r="11" spans="1:17" ht="18">
      <c r="B11" s="532" t="s">
        <v>6349</v>
      </c>
      <c r="C11" s="532" t="s">
        <v>2893</v>
      </c>
      <c r="D11" s="489" t="s">
        <v>6350</v>
      </c>
      <c r="E11" s="684" t="s">
        <v>1023</v>
      </c>
      <c r="F11" s="532" t="s">
        <v>6351</v>
      </c>
      <c r="G11" s="532" t="s">
        <v>6352</v>
      </c>
      <c r="H11" s="532" t="s">
        <v>6352</v>
      </c>
      <c r="I11" s="903"/>
      <c r="J11" s="903"/>
      <c r="K11" s="903"/>
      <c r="L11" s="903"/>
      <c r="M11" s="987" t="s">
        <v>2480</v>
      </c>
      <c r="N11" s="997"/>
      <c r="O11" s="990"/>
      <c r="P11" s="905" t="s">
        <v>6353</v>
      </c>
    </row>
    <row r="12" spans="1:17" ht="31.5">
      <c r="B12" s="532" t="s">
        <v>6354</v>
      </c>
      <c r="C12" s="532" t="s">
        <v>3263</v>
      </c>
      <c r="D12" s="489" t="s">
        <v>6355</v>
      </c>
      <c r="E12" s="684" t="s">
        <v>1</v>
      </c>
      <c r="F12" s="532" t="s">
        <v>6356</v>
      </c>
      <c r="G12" s="532" t="s">
        <v>6357</v>
      </c>
      <c r="H12" s="532" t="s">
        <v>6356</v>
      </c>
      <c r="I12" s="904"/>
      <c r="J12" s="904"/>
      <c r="K12" s="904"/>
      <c r="L12" s="904"/>
      <c r="M12" s="987"/>
      <c r="N12" s="997"/>
      <c r="O12" s="990"/>
      <c r="P12" s="905"/>
      <c r="Q12" t="s">
        <v>3572</v>
      </c>
    </row>
    <row r="13" spans="1:17" ht="31.5">
      <c r="B13" s="532" t="s">
        <v>6358</v>
      </c>
      <c r="C13" s="532" t="s">
        <v>6361</v>
      </c>
      <c r="D13" s="489" t="s">
        <v>6359</v>
      </c>
      <c r="E13" s="684" t="s">
        <v>6647</v>
      </c>
      <c r="F13" s="532" t="s">
        <v>6366</v>
      </c>
      <c r="G13" s="532" t="s">
        <v>6367</v>
      </c>
      <c r="H13" s="532" t="s">
        <v>6367</v>
      </c>
      <c r="I13" s="906"/>
      <c r="J13" s="906"/>
      <c r="K13" s="532" t="s">
        <v>6368</v>
      </c>
      <c r="L13" s="906"/>
      <c r="M13" s="987" t="s">
        <v>6360</v>
      </c>
      <c r="N13" s="998" t="s">
        <v>6806</v>
      </c>
      <c r="O13" s="990"/>
      <c r="P13" s="905"/>
      <c r="Q13" t="s">
        <v>2874</v>
      </c>
    </row>
    <row r="14" spans="1:17" ht="31.5">
      <c r="B14" s="532" t="s">
        <v>6362</v>
      </c>
      <c r="C14" s="532" t="s">
        <v>3083</v>
      </c>
      <c r="D14" s="489" t="s">
        <v>6363</v>
      </c>
      <c r="E14" s="684" t="s">
        <v>6364</v>
      </c>
      <c r="F14" s="532" t="s">
        <v>6365</v>
      </c>
      <c r="G14" s="532" t="s">
        <v>6365</v>
      </c>
      <c r="H14" s="532" t="s">
        <v>6365</v>
      </c>
      <c r="I14" s="906"/>
      <c r="J14" s="906"/>
      <c r="K14" s="532" t="s">
        <v>6369</v>
      </c>
      <c r="L14" s="906"/>
      <c r="M14" s="987" t="s">
        <v>6370</v>
      </c>
      <c r="N14" s="997"/>
      <c r="O14" s="990"/>
      <c r="P14" s="905"/>
      <c r="Q14" t="s">
        <v>3009</v>
      </c>
    </row>
    <row r="15" spans="1:17" ht="47.25">
      <c r="B15" s="532" t="s">
        <v>6371</v>
      </c>
      <c r="C15" s="532" t="s">
        <v>3083</v>
      </c>
      <c r="D15" s="489" t="s">
        <v>6382</v>
      </c>
      <c r="E15" s="684" t="s">
        <v>6373</v>
      </c>
      <c r="F15" s="532" t="s">
        <v>6374</v>
      </c>
      <c r="G15" s="532" t="s">
        <v>6374</v>
      </c>
      <c r="H15" s="532" t="s">
        <v>6374</v>
      </c>
      <c r="I15" s="906"/>
      <c r="J15" s="906"/>
      <c r="K15" s="532" t="s">
        <v>6375</v>
      </c>
      <c r="L15" s="906"/>
      <c r="M15" s="987" t="s">
        <v>6376</v>
      </c>
      <c r="N15" s="997"/>
      <c r="O15" s="990"/>
      <c r="P15" s="905"/>
      <c r="Q15" t="s">
        <v>6377</v>
      </c>
    </row>
    <row r="16" spans="1:17" ht="47.25">
      <c r="B16" s="532" t="s">
        <v>6372</v>
      </c>
      <c r="C16" s="532" t="s">
        <v>3083</v>
      </c>
      <c r="D16" s="489" t="s">
        <v>6383</v>
      </c>
      <c r="E16" s="684" t="s">
        <v>6379</v>
      </c>
      <c r="F16" s="532" t="s">
        <v>6380</v>
      </c>
      <c r="G16" s="532" t="s">
        <v>6381</v>
      </c>
      <c r="H16" s="532" t="s">
        <v>6381</v>
      </c>
      <c r="I16" s="906"/>
      <c r="J16" s="906"/>
      <c r="K16" s="532" t="s">
        <v>6378</v>
      </c>
      <c r="L16" s="906"/>
      <c r="M16" s="987" t="s">
        <v>6376</v>
      </c>
      <c r="N16" s="997"/>
      <c r="O16" s="990"/>
      <c r="P16" s="905"/>
      <c r="Q16" t="s">
        <v>6384</v>
      </c>
    </row>
    <row r="17" spans="2:17" ht="31.5">
      <c r="B17" s="532" t="s">
        <v>6385</v>
      </c>
      <c r="C17" s="532" t="s">
        <v>3025</v>
      </c>
      <c r="D17" s="489" t="s">
        <v>6386</v>
      </c>
      <c r="E17" s="684" t="s">
        <v>6387</v>
      </c>
      <c r="F17" s="532" t="s">
        <v>6388</v>
      </c>
      <c r="G17" s="532" t="s">
        <v>6389</v>
      </c>
      <c r="H17" s="532" t="s">
        <v>6389</v>
      </c>
      <c r="I17" s="907"/>
      <c r="J17" s="907"/>
      <c r="K17" s="907"/>
      <c r="L17" s="907"/>
      <c r="M17" s="987" t="s">
        <v>3434</v>
      </c>
      <c r="N17" s="997"/>
      <c r="O17" s="990"/>
      <c r="P17" s="905"/>
    </row>
    <row r="18" spans="2:17" ht="31.5">
      <c r="B18" s="532" t="s">
        <v>6390</v>
      </c>
      <c r="C18" s="532" t="s">
        <v>3141</v>
      </c>
      <c r="D18" s="489" t="s">
        <v>6391</v>
      </c>
      <c r="E18" s="684" t="s">
        <v>6829</v>
      </c>
      <c r="F18" s="908"/>
      <c r="G18" s="908"/>
      <c r="H18" s="908"/>
      <c r="I18" s="532" t="s">
        <v>6392</v>
      </c>
      <c r="J18" s="908"/>
      <c r="K18" s="908"/>
      <c r="L18" s="908"/>
      <c r="M18" s="987" t="s">
        <v>6393</v>
      </c>
      <c r="N18" s="997"/>
      <c r="O18" s="990"/>
      <c r="P18" s="905"/>
    </row>
    <row r="19" spans="2:17" ht="31.5">
      <c r="B19" s="532" t="s">
        <v>6394</v>
      </c>
      <c r="C19" s="532" t="s">
        <v>3025</v>
      </c>
      <c r="D19" s="489" t="s">
        <v>6397</v>
      </c>
      <c r="E19" s="684" t="s">
        <v>6398</v>
      </c>
      <c r="F19" s="532" t="s">
        <v>6395</v>
      </c>
      <c r="G19" s="532" t="s">
        <v>6396</v>
      </c>
      <c r="H19" s="532" t="s">
        <v>6396</v>
      </c>
      <c r="I19" s="909"/>
      <c r="J19" s="909"/>
      <c r="K19" s="909"/>
      <c r="L19" s="909"/>
      <c r="M19" s="987" t="s">
        <v>3434</v>
      </c>
      <c r="N19" s="997"/>
      <c r="O19" s="990"/>
      <c r="P19" s="905"/>
    </row>
    <row r="20" spans="2:17" ht="18">
      <c r="B20" s="532" t="s">
        <v>6399</v>
      </c>
      <c r="C20" s="532" t="s">
        <v>3141</v>
      </c>
      <c r="D20" s="489" t="s">
        <v>6404</v>
      </c>
      <c r="E20" s="684" t="s">
        <v>996</v>
      </c>
      <c r="F20" s="910"/>
      <c r="G20" s="910"/>
      <c r="H20" s="910"/>
      <c r="I20" s="532" t="s">
        <v>6400</v>
      </c>
      <c r="J20" s="910"/>
      <c r="K20" s="910"/>
      <c r="L20" s="910"/>
      <c r="M20" s="987"/>
      <c r="N20" s="997"/>
      <c r="O20" s="990"/>
      <c r="P20" s="905"/>
    </row>
    <row r="21" spans="2:17" ht="18">
      <c r="B21" s="532" t="s">
        <v>6403</v>
      </c>
      <c r="C21" s="532" t="s">
        <v>3141</v>
      </c>
      <c r="D21" s="489" t="s">
        <v>6401</v>
      </c>
      <c r="E21" s="684" t="s">
        <v>996</v>
      </c>
      <c r="F21" s="910"/>
      <c r="G21" s="910"/>
      <c r="H21" s="910"/>
      <c r="I21" s="532" t="s">
        <v>6402</v>
      </c>
      <c r="J21" s="910"/>
      <c r="K21" s="910"/>
      <c r="L21" s="910"/>
      <c r="M21" s="987"/>
      <c r="N21" s="997"/>
      <c r="O21" s="990"/>
      <c r="P21" s="905"/>
    </row>
    <row r="22" spans="2:17" ht="18">
      <c r="B22" s="532" t="s">
        <v>6405</v>
      </c>
      <c r="C22" s="532" t="s">
        <v>2894</v>
      </c>
      <c r="D22" s="489" t="s">
        <v>6406</v>
      </c>
      <c r="E22" s="684" t="s">
        <v>1023</v>
      </c>
      <c r="F22" s="532" t="s">
        <v>6407</v>
      </c>
      <c r="G22" s="532" t="s">
        <v>6408</v>
      </c>
      <c r="H22" s="532" t="s">
        <v>6408</v>
      </c>
      <c r="I22" s="911"/>
      <c r="J22" s="911"/>
      <c r="K22" s="911"/>
      <c r="L22" s="911"/>
      <c r="M22" s="987" t="s">
        <v>3124</v>
      </c>
      <c r="N22" s="997"/>
      <c r="O22" s="990"/>
      <c r="P22" s="905"/>
      <c r="Q22" t="s">
        <v>6409</v>
      </c>
    </row>
    <row r="23" spans="2:17" ht="18">
      <c r="B23" s="532" t="s">
        <v>6410</v>
      </c>
      <c r="C23" s="532" t="s">
        <v>2917</v>
      </c>
      <c r="D23" s="489" t="s">
        <v>6413</v>
      </c>
      <c r="E23" s="684" t="s">
        <v>6411</v>
      </c>
      <c r="F23" s="532" t="s">
        <v>6415</v>
      </c>
      <c r="G23" s="532" t="s">
        <v>6412</v>
      </c>
      <c r="H23" s="532" t="s">
        <v>6415</v>
      </c>
      <c r="I23" s="912"/>
      <c r="J23" s="912"/>
      <c r="K23" s="912"/>
      <c r="L23" s="912"/>
      <c r="M23" s="987" t="s">
        <v>1235</v>
      </c>
      <c r="N23" s="997"/>
      <c r="O23" s="990"/>
      <c r="P23" s="905"/>
      <c r="Q23" t="s">
        <v>6414</v>
      </c>
    </row>
    <row r="24" spans="2:17" ht="31.5">
      <c r="B24" s="532" t="s">
        <v>6416</v>
      </c>
      <c r="C24" s="532" t="s">
        <v>2893</v>
      </c>
      <c r="D24" s="489" t="s">
        <v>6417</v>
      </c>
      <c r="E24" s="684" t="s">
        <v>5729</v>
      </c>
      <c r="F24" s="532" t="s">
        <v>6418</v>
      </c>
      <c r="G24" s="532" t="s">
        <v>6419</v>
      </c>
      <c r="H24" s="532" t="s">
        <v>6419</v>
      </c>
      <c r="I24" s="913"/>
      <c r="J24" s="913"/>
      <c r="K24" s="913"/>
      <c r="L24" s="913"/>
      <c r="M24" s="987" t="s">
        <v>2480</v>
      </c>
      <c r="N24" s="997" t="s">
        <v>6898</v>
      </c>
      <c r="O24" s="990"/>
      <c r="P24" s="905"/>
      <c r="Q24" t="s">
        <v>6420</v>
      </c>
    </row>
    <row r="25" spans="2:17" ht="31.5">
      <c r="B25" s="532" t="s">
        <v>6421</v>
      </c>
      <c r="C25" s="532" t="s">
        <v>2894</v>
      </c>
      <c r="D25" s="489" t="s">
        <v>6422</v>
      </c>
      <c r="E25" s="684" t="s">
        <v>1023</v>
      </c>
      <c r="F25" s="532" t="s">
        <v>6423</v>
      </c>
      <c r="G25" s="532" t="s">
        <v>6424</v>
      </c>
      <c r="H25" s="532" t="s">
        <v>6424</v>
      </c>
      <c r="I25" s="914"/>
      <c r="J25" s="914"/>
      <c r="K25" s="914"/>
      <c r="L25" s="914"/>
      <c r="M25" s="987"/>
      <c r="N25" s="997"/>
      <c r="O25" s="990"/>
      <c r="P25" s="905"/>
      <c r="Q25" t="s">
        <v>6425</v>
      </c>
    </row>
    <row r="26" spans="2:17" ht="31.5">
      <c r="B26" s="532" t="s">
        <v>6426</v>
      </c>
      <c r="C26" s="532" t="s">
        <v>2962</v>
      </c>
      <c r="D26" s="489" t="s">
        <v>6427</v>
      </c>
      <c r="E26" s="684" t="s">
        <v>2467</v>
      </c>
      <c r="F26" s="532" t="s">
        <v>6428</v>
      </c>
      <c r="G26" s="532" t="s">
        <v>6428</v>
      </c>
      <c r="H26" s="532" t="s">
        <v>6428</v>
      </c>
      <c r="I26" s="915"/>
      <c r="J26" s="532" t="s">
        <v>6429</v>
      </c>
      <c r="K26" s="915"/>
      <c r="L26" s="915"/>
      <c r="M26" s="987"/>
      <c r="N26" s="997"/>
      <c r="O26" s="990"/>
      <c r="P26" s="905"/>
      <c r="Q26" t="s">
        <v>6430</v>
      </c>
    </row>
    <row r="27" spans="2:17" ht="31.5">
      <c r="B27" s="532" t="s">
        <v>6431</v>
      </c>
      <c r="C27" s="532" t="s">
        <v>3025</v>
      </c>
      <c r="D27" s="489" t="s">
        <v>6432</v>
      </c>
      <c r="E27" s="684" t="s">
        <v>6433</v>
      </c>
      <c r="F27" s="532" t="s">
        <v>6434</v>
      </c>
      <c r="G27" s="532" t="s">
        <v>6435</v>
      </c>
      <c r="H27" s="532" t="s">
        <v>6435</v>
      </c>
      <c r="I27" s="916"/>
      <c r="J27" s="916"/>
      <c r="K27" s="916"/>
      <c r="L27" s="916"/>
      <c r="M27" s="987"/>
      <c r="N27" s="997"/>
      <c r="O27" s="990"/>
      <c r="P27" s="905"/>
      <c r="Q27" t="s">
        <v>6436</v>
      </c>
    </row>
    <row r="28" spans="2:17" ht="31.5">
      <c r="B28" s="532" t="s">
        <v>6437</v>
      </c>
      <c r="C28" s="532" t="s">
        <v>3025</v>
      </c>
      <c r="D28" s="489" t="s">
        <v>6438</v>
      </c>
      <c r="E28" s="684" t="s">
        <v>6439</v>
      </c>
      <c r="F28" s="532" t="s">
        <v>6440</v>
      </c>
      <c r="G28" s="532" t="s">
        <v>6441</v>
      </c>
      <c r="H28" s="532" t="s">
        <v>6441</v>
      </c>
      <c r="I28" s="917"/>
      <c r="J28" s="917"/>
      <c r="K28" s="917"/>
      <c r="L28" s="917"/>
      <c r="M28" s="987"/>
      <c r="N28" s="997"/>
      <c r="O28" s="990"/>
      <c r="P28" s="905"/>
      <c r="Q28" t="s">
        <v>6442</v>
      </c>
    </row>
    <row r="29" spans="2:17" ht="18">
      <c r="B29" s="532" t="s">
        <v>6443</v>
      </c>
      <c r="C29" s="532" t="s">
        <v>2908</v>
      </c>
      <c r="D29" s="489" t="s">
        <v>6444</v>
      </c>
      <c r="E29" s="684" t="s">
        <v>1023</v>
      </c>
      <c r="F29" s="532" t="s">
        <v>6445</v>
      </c>
      <c r="G29" s="532" t="s">
        <v>6446</v>
      </c>
      <c r="H29" s="532" t="s">
        <v>6446</v>
      </c>
      <c r="I29" s="918"/>
      <c r="J29" s="918"/>
      <c r="K29" s="918"/>
      <c r="L29" s="918"/>
      <c r="M29" s="987"/>
      <c r="N29" s="997"/>
      <c r="O29" s="990"/>
      <c r="P29" s="905"/>
    </row>
    <row r="30" spans="2:17" ht="18">
      <c r="B30" s="532" t="s">
        <v>6447</v>
      </c>
      <c r="C30" s="532" t="s">
        <v>3263</v>
      </c>
      <c r="D30" s="489" t="s">
        <v>6448</v>
      </c>
      <c r="E30" s="684" t="s">
        <v>6449</v>
      </c>
      <c r="F30" s="532" t="s">
        <v>6450</v>
      </c>
      <c r="G30" s="532" t="s">
        <v>6451</v>
      </c>
      <c r="H30" s="532" t="s">
        <v>6450</v>
      </c>
      <c r="I30" s="919"/>
      <c r="J30" s="919"/>
      <c r="K30" s="919"/>
      <c r="L30" s="919"/>
      <c r="M30" s="987"/>
      <c r="N30" s="997"/>
      <c r="O30" s="990"/>
      <c r="P30" s="905"/>
      <c r="Q30" t="s">
        <v>6452</v>
      </c>
    </row>
    <row r="31" spans="2:17" ht="31.5">
      <c r="B31" s="532" t="s">
        <v>6453</v>
      </c>
      <c r="C31" s="532" t="s">
        <v>2893</v>
      </c>
      <c r="D31" s="489" t="s">
        <v>6454</v>
      </c>
      <c r="E31" s="684" t="s">
        <v>6455</v>
      </c>
      <c r="F31" s="532" t="s">
        <v>6456</v>
      </c>
      <c r="G31" s="532" t="s">
        <v>6456</v>
      </c>
      <c r="H31" s="532" t="s">
        <v>6457</v>
      </c>
      <c r="I31" s="920"/>
      <c r="J31" s="920"/>
      <c r="K31" s="920"/>
      <c r="L31" s="920"/>
      <c r="M31" s="987"/>
      <c r="N31" s="997"/>
      <c r="O31" s="990"/>
      <c r="P31" s="905"/>
      <c r="Q31" t="s">
        <v>6458</v>
      </c>
    </row>
    <row r="32" spans="2:17" ht="18">
      <c r="B32" s="532" t="s">
        <v>6459</v>
      </c>
      <c r="C32" s="532" t="s">
        <v>2893</v>
      </c>
      <c r="D32" s="489" t="s">
        <v>6460</v>
      </c>
      <c r="E32" s="684" t="s">
        <v>6461</v>
      </c>
      <c r="F32" s="532" t="s">
        <v>6462</v>
      </c>
      <c r="G32" s="532" t="s">
        <v>6463</v>
      </c>
      <c r="H32" s="532" t="s">
        <v>6463</v>
      </c>
      <c r="I32" s="921"/>
      <c r="J32" s="921"/>
      <c r="K32" s="921"/>
      <c r="L32" s="921"/>
      <c r="M32" s="987"/>
      <c r="N32" s="997"/>
      <c r="O32" s="990"/>
      <c r="P32" s="905"/>
    </row>
    <row r="33" spans="2:17" ht="47.25">
      <c r="B33" s="532" t="s">
        <v>6464</v>
      </c>
      <c r="C33" s="532" t="s">
        <v>2893</v>
      </c>
      <c r="D33" s="489" t="s">
        <v>6466</v>
      </c>
      <c r="E33" s="684" t="s">
        <v>6465</v>
      </c>
      <c r="F33" s="532" t="s">
        <v>6467</v>
      </c>
      <c r="G33" s="532" t="s">
        <v>6468</v>
      </c>
      <c r="H33" s="532" t="s">
        <v>6468</v>
      </c>
      <c r="I33" s="922"/>
      <c r="J33" s="922"/>
      <c r="K33" s="922"/>
      <c r="L33" s="922"/>
      <c r="M33" s="987"/>
      <c r="N33" s="997"/>
      <c r="O33" s="990"/>
      <c r="P33" s="905"/>
    </row>
    <row r="34" spans="2:17" ht="31.5">
      <c r="B34" s="532" t="s">
        <v>6469</v>
      </c>
      <c r="C34" s="532" t="s">
        <v>3263</v>
      </c>
      <c r="D34" s="489" t="s">
        <v>6470</v>
      </c>
      <c r="E34" s="684" t="s">
        <v>6449</v>
      </c>
      <c r="F34" s="532" t="s">
        <v>6471</v>
      </c>
      <c r="G34" s="532" t="s">
        <v>6472</v>
      </c>
      <c r="H34" s="532" t="s">
        <v>6471</v>
      </c>
      <c r="I34" s="923"/>
      <c r="J34" s="923"/>
      <c r="K34" s="923"/>
      <c r="L34" s="923"/>
      <c r="M34" s="987"/>
      <c r="N34" s="997"/>
      <c r="O34" s="990"/>
      <c r="P34" s="905"/>
    </row>
    <row r="35" spans="2:17" ht="18">
      <c r="B35" s="532" t="s">
        <v>6473</v>
      </c>
      <c r="C35" s="532" t="s">
        <v>3114</v>
      </c>
      <c r="D35" s="489" t="s">
        <v>6474</v>
      </c>
      <c r="E35" s="684" t="s">
        <v>996</v>
      </c>
      <c r="F35" s="925"/>
      <c r="G35" s="925"/>
      <c r="H35" s="925"/>
      <c r="I35" s="532" t="s">
        <v>6475</v>
      </c>
      <c r="J35" s="924"/>
      <c r="K35" s="924"/>
      <c r="L35" s="924"/>
      <c r="M35" s="987" t="s">
        <v>3815</v>
      </c>
      <c r="N35" s="997"/>
      <c r="O35" s="990"/>
      <c r="P35" s="905"/>
      <c r="Q35" t="s">
        <v>4435</v>
      </c>
    </row>
    <row r="36" spans="2:17" ht="47.25">
      <c r="B36" s="532" t="s">
        <v>6476</v>
      </c>
      <c r="C36" s="532" t="s">
        <v>3141</v>
      </c>
      <c r="D36" s="489" t="s">
        <v>6477</v>
      </c>
      <c r="E36" s="684" t="s">
        <v>6658</v>
      </c>
      <c r="F36" s="532" t="s">
        <v>6582</v>
      </c>
      <c r="G36" s="925"/>
      <c r="H36" s="925"/>
      <c r="I36" s="532" t="s">
        <v>6478</v>
      </c>
      <c r="J36" s="925"/>
      <c r="K36" s="925"/>
      <c r="L36" s="925"/>
      <c r="M36" s="987" t="s">
        <v>6479</v>
      </c>
      <c r="N36" s="997"/>
      <c r="O36" s="990"/>
      <c r="P36" s="905"/>
    </row>
    <row r="37" spans="2:17" ht="18">
      <c r="B37" s="532" t="s">
        <v>6480</v>
      </c>
      <c r="C37" s="532" t="s">
        <v>2917</v>
      </c>
      <c r="D37" s="489" t="s">
        <v>6481</v>
      </c>
      <c r="E37" s="684" t="s">
        <v>6482</v>
      </c>
      <c r="F37" s="532" t="s">
        <v>6484</v>
      </c>
      <c r="G37" s="532" t="s">
        <v>6483</v>
      </c>
      <c r="H37" s="532" t="s">
        <v>6484</v>
      </c>
      <c r="I37" s="927"/>
      <c r="J37" s="926"/>
      <c r="K37" s="926"/>
      <c r="L37" s="926"/>
      <c r="M37" s="987" t="s">
        <v>2305</v>
      </c>
      <c r="N37" s="997"/>
      <c r="O37" s="990"/>
      <c r="P37" s="905"/>
      <c r="Q37" t="s">
        <v>6490</v>
      </c>
    </row>
    <row r="38" spans="2:17" ht="18">
      <c r="B38" s="532" t="s">
        <v>6485</v>
      </c>
      <c r="C38" s="532" t="s">
        <v>2894</v>
      </c>
      <c r="D38" s="489" t="s">
        <v>6486</v>
      </c>
      <c r="E38" s="684" t="s">
        <v>6487</v>
      </c>
      <c r="F38" s="532" t="s">
        <v>6488</v>
      </c>
      <c r="G38" s="532" t="s">
        <v>6489</v>
      </c>
      <c r="H38" s="532" t="s">
        <v>6489</v>
      </c>
      <c r="I38" s="927"/>
      <c r="J38" s="927"/>
      <c r="K38" s="927"/>
      <c r="L38" s="927"/>
      <c r="M38" s="987"/>
      <c r="N38" s="997"/>
      <c r="O38" s="990"/>
      <c r="P38" s="905"/>
      <c r="Q38" t="s">
        <v>6491</v>
      </c>
    </row>
    <row r="39" spans="2:17" ht="18">
      <c r="B39" s="532" t="s">
        <v>6492</v>
      </c>
      <c r="C39" s="532" t="s">
        <v>2894</v>
      </c>
      <c r="D39" s="489" t="s">
        <v>6493</v>
      </c>
      <c r="E39" s="684" t="s">
        <v>1023</v>
      </c>
      <c r="F39" s="532" t="s">
        <v>6494</v>
      </c>
      <c r="G39" s="532" t="s">
        <v>6495</v>
      </c>
      <c r="H39" s="532" t="s">
        <v>6495</v>
      </c>
      <c r="I39" s="928"/>
      <c r="J39" s="928"/>
      <c r="K39" s="928"/>
      <c r="L39" s="928"/>
      <c r="M39" s="987" t="s">
        <v>5013</v>
      </c>
      <c r="N39" s="997"/>
      <c r="O39" s="990"/>
      <c r="P39" s="905"/>
      <c r="Q39" t="s">
        <v>6496</v>
      </c>
    </row>
    <row r="40" spans="2:17" ht="18">
      <c r="B40" s="532" t="s">
        <v>6497</v>
      </c>
      <c r="C40" s="532" t="s">
        <v>3114</v>
      </c>
      <c r="D40" s="489" t="s">
        <v>6498</v>
      </c>
      <c r="E40" s="684" t="s">
        <v>996</v>
      </c>
      <c r="F40" s="929"/>
      <c r="G40" s="929"/>
      <c r="H40" s="929"/>
      <c r="I40" s="532" t="s">
        <v>6499</v>
      </c>
      <c r="J40" s="929"/>
      <c r="K40" s="929"/>
      <c r="L40" s="929"/>
      <c r="M40" s="987" t="s">
        <v>3815</v>
      </c>
      <c r="N40" s="997"/>
      <c r="O40" s="990"/>
      <c r="P40" s="905"/>
      <c r="Q40" t="s">
        <v>6500</v>
      </c>
    </row>
    <row r="41" spans="2:17" ht="18">
      <c r="B41" s="532" t="s">
        <v>6501</v>
      </c>
      <c r="C41" s="532" t="s">
        <v>3141</v>
      </c>
      <c r="D41" s="489" t="s">
        <v>6502</v>
      </c>
      <c r="E41" s="391" t="s">
        <v>5853</v>
      </c>
      <c r="F41" s="532" t="s">
        <v>6503</v>
      </c>
      <c r="G41" s="532" t="s">
        <v>6503</v>
      </c>
      <c r="H41" s="532" t="s">
        <v>6503</v>
      </c>
      <c r="I41" s="532" t="s">
        <v>6504</v>
      </c>
      <c r="J41" s="550"/>
      <c r="K41" s="550"/>
      <c r="L41" s="550"/>
      <c r="M41" s="988" t="s">
        <v>4330</v>
      </c>
      <c r="N41" s="999"/>
      <c r="O41" s="991"/>
      <c r="P41" s="905"/>
    </row>
    <row r="42" spans="2:17" ht="18">
      <c r="B42" s="532" t="s">
        <v>6505</v>
      </c>
      <c r="C42" s="532" t="s">
        <v>3114</v>
      </c>
      <c r="D42" s="489" t="s">
        <v>6506</v>
      </c>
      <c r="E42" s="391" t="s">
        <v>6508</v>
      </c>
      <c r="F42" s="930"/>
      <c r="G42" s="930"/>
      <c r="H42" s="930"/>
      <c r="I42" s="532" t="s">
        <v>6507</v>
      </c>
      <c r="J42" s="550"/>
      <c r="K42" s="550"/>
      <c r="L42" s="550"/>
      <c r="M42" s="988" t="s">
        <v>3815</v>
      </c>
      <c r="N42" s="999"/>
      <c r="O42" s="991"/>
      <c r="P42" s="905"/>
      <c r="Q42" t="s">
        <v>4841</v>
      </c>
    </row>
    <row r="43" spans="2:17" ht="18">
      <c r="B43" s="532" t="s">
        <v>6509</v>
      </c>
      <c r="C43" s="532" t="s">
        <v>3025</v>
      </c>
      <c r="D43" s="489" t="s">
        <v>6510</v>
      </c>
      <c r="E43" s="391" t="s">
        <v>1023</v>
      </c>
      <c r="F43" s="532" t="s">
        <v>6511</v>
      </c>
      <c r="G43" s="532" t="s">
        <v>6512</v>
      </c>
      <c r="H43" s="532" t="s">
        <v>6512</v>
      </c>
      <c r="I43" s="931"/>
      <c r="J43" s="550"/>
      <c r="K43" s="550"/>
      <c r="L43" s="550"/>
      <c r="M43" s="988" t="s">
        <v>3434</v>
      </c>
      <c r="N43" s="999"/>
      <c r="O43" s="991"/>
      <c r="P43" s="905" t="s">
        <v>6513</v>
      </c>
      <c r="Q43" t="s">
        <v>6514</v>
      </c>
    </row>
    <row r="44" spans="2:17" ht="18">
      <c r="B44" s="532" t="s">
        <v>6515</v>
      </c>
      <c r="C44" s="532" t="s">
        <v>2893</v>
      </c>
      <c r="D44" s="489" t="s">
        <v>6520</v>
      </c>
      <c r="E44" s="391" t="s">
        <v>6516</v>
      </c>
      <c r="F44" s="532" t="s">
        <v>6517</v>
      </c>
      <c r="G44" s="532" t="s">
        <v>6518</v>
      </c>
      <c r="H44" s="532" t="s">
        <v>6518</v>
      </c>
      <c r="I44" s="932"/>
      <c r="J44" s="550"/>
      <c r="K44" s="550"/>
      <c r="L44" s="550"/>
      <c r="M44" s="988" t="s">
        <v>6016</v>
      </c>
      <c r="N44" s="999"/>
      <c r="O44" s="991"/>
      <c r="P44" s="905" t="s">
        <v>2324</v>
      </c>
      <c r="Q44" t="s">
        <v>6519</v>
      </c>
    </row>
    <row r="45" spans="2:17" ht="30">
      <c r="B45" s="532" t="s">
        <v>6521</v>
      </c>
      <c r="C45" s="532" t="s">
        <v>2962</v>
      </c>
      <c r="D45" s="489" t="s">
        <v>6526</v>
      </c>
      <c r="E45" s="958" t="s">
        <v>6522</v>
      </c>
      <c r="F45" s="532" t="s">
        <v>6523</v>
      </c>
      <c r="G45" s="532" t="s">
        <v>6523</v>
      </c>
      <c r="H45" s="532" t="s">
        <v>6523</v>
      </c>
      <c r="I45" s="933"/>
      <c r="J45" s="532" t="s">
        <v>6524</v>
      </c>
      <c r="K45" s="550"/>
      <c r="L45" s="550"/>
      <c r="M45" s="988"/>
      <c r="N45" s="999"/>
      <c r="O45" s="991"/>
      <c r="P45" s="905" t="s">
        <v>6532</v>
      </c>
      <c r="Q45" t="s">
        <v>6525</v>
      </c>
    </row>
    <row r="46" spans="2:17" ht="31.5">
      <c r="B46" s="532" t="s">
        <v>6527</v>
      </c>
      <c r="C46" s="532" t="s">
        <v>2894</v>
      </c>
      <c r="D46" s="489" t="s">
        <v>6533</v>
      </c>
      <c r="E46" s="391" t="s">
        <v>6528</v>
      </c>
      <c r="F46" s="532" t="s">
        <v>6529</v>
      </c>
      <c r="G46" s="532" t="s">
        <v>6530</v>
      </c>
      <c r="H46" s="532" t="s">
        <v>6530</v>
      </c>
      <c r="I46" s="934"/>
      <c r="J46" s="934"/>
      <c r="K46" s="550"/>
      <c r="L46" s="550"/>
      <c r="M46" s="988"/>
      <c r="N46" s="999"/>
      <c r="O46" s="991"/>
      <c r="P46" s="905" t="s">
        <v>6531</v>
      </c>
      <c r="Q46" t="s">
        <v>6534</v>
      </c>
    </row>
    <row r="47" spans="2:17" ht="45">
      <c r="B47" s="532" t="s">
        <v>6535</v>
      </c>
      <c r="C47" s="532" t="s">
        <v>6542</v>
      </c>
      <c r="D47" s="489" t="s">
        <v>6536</v>
      </c>
      <c r="E47" s="958" t="s">
        <v>6537</v>
      </c>
      <c r="F47" s="532" t="s">
        <v>6541</v>
      </c>
      <c r="G47" s="532" t="s">
        <v>6543</v>
      </c>
      <c r="H47" s="532" t="s">
        <v>6544</v>
      </c>
      <c r="I47" s="532" t="s">
        <v>6538</v>
      </c>
      <c r="J47" s="935"/>
      <c r="K47" s="550"/>
      <c r="L47" s="550"/>
      <c r="M47" s="988" t="s">
        <v>6545</v>
      </c>
      <c r="N47" s="999"/>
      <c r="O47" s="991"/>
      <c r="P47" s="905" t="s">
        <v>6539</v>
      </c>
      <c r="Q47" t="s">
        <v>6540</v>
      </c>
    </row>
    <row r="48" spans="2:17" ht="31.5">
      <c r="B48" s="532" t="s">
        <v>6546</v>
      </c>
      <c r="C48" s="532" t="s">
        <v>2908</v>
      </c>
      <c r="D48" s="489" t="s">
        <v>6547</v>
      </c>
      <c r="E48" s="391" t="s">
        <v>1023</v>
      </c>
      <c r="F48" s="532" t="s">
        <v>6548</v>
      </c>
      <c r="G48" s="532" t="s">
        <v>6549</v>
      </c>
      <c r="H48" s="532" t="s">
        <v>6549</v>
      </c>
      <c r="I48" s="936"/>
      <c r="J48" s="936"/>
      <c r="K48" s="550"/>
      <c r="L48" s="550"/>
      <c r="M48" s="988"/>
      <c r="N48" s="999"/>
      <c r="O48" s="991"/>
      <c r="P48" s="905"/>
      <c r="Q48" t="s">
        <v>6550</v>
      </c>
    </row>
    <row r="49" spans="2:17" ht="31.5">
      <c r="B49" s="532" t="s">
        <v>6551</v>
      </c>
      <c r="C49" s="532" t="s">
        <v>3141</v>
      </c>
      <c r="D49" s="489" t="s">
        <v>6552</v>
      </c>
      <c r="E49" s="684" t="s">
        <v>996</v>
      </c>
      <c r="F49" s="936"/>
      <c r="G49" s="936"/>
      <c r="H49" s="936"/>
      <c r="I49" s="532" t="s">
        <v>6553</v>
      </c>
      <c r="J49" s="936"/>
      <c r="K49" s="936"/>
      <c r="L49" s="936"/>
      <c r="M49" s="987"/>
      <c r="N49" s="997"/>
      <c r="O49" s="990"/>
      <c r="P49" s="905"/>
    </row>
    <row r="50" spans="2:17" ht="18">
      <c r="B50" s="532" t="s">
        <v>6554</v>
      </c>
      <c r="C50" s="532" t="s">
        <v>3141</v>
      </c>
      <c r="D50" s="489" t="s">
        <v>6555</v>
      </c>
      <c r="E50" s="684" t="s">
        <v>996</v>
      </c>
      <c r="F50" s="937"/>
      <c r="G50" s="937"/>
      <c r="H50" s="937"/>
      <c r="I50" s="532" t="s">
        <v>6556</v>
      </c>
      <c r="J50" s="937"/>
      <c r="K50" s="937"/>
      <c r="L50" s="937"/>
      <c r="M50" s="987"/>
      <c r="N50" s="997"/>
      <c r="O50" s="990"/>
      <c r="P50" s="905"/>
      <c r="Q50" t="s">
        <v>6557</v>
      </c>
    </row>
    <row r="51" spans="2:17" ht="18">
      <c r="B51" s="532" t="s">
        <v>6558</v>
      </c>
      <c r="C51" s="532" t="s">
        <v>3083</v>
      </c>
      <c r="D51" s="489" t="s">
        <v>6559</v>
      </c>
      <c r="E51" s="684" t="s">
        <v>5822</v>
      </c>
      <c r="F51" s="532" t="s">
        <v>6560</v>
      </c>
      <c r="G51" s="532" t="s">
        <v>6560</v>
      </c>
      <c r="H51" s="532" t="s">
        <v>6560</v>
      </c>
      <c r="I51" s="938"/>
      <c r="J51" s="938"/>
      <c r="K51" s="532" t="s">
        <v>6561</v>
      </c>
      <c r="L51" s="938"/>
      <c r="M51" s="987" t="s">
        <v>6562</v>
      </c>
      <c r="N51" s="997"/>
      <c r="O51" s="990"/>
      <c r="P51" s="905"/>
    </row>
    <row r="52" spans="2:17" ht="18">
      <c r="B52" s="532" t="s">
        <v>6563</v>
      </c>
      <c r="C52" s="532" t="s">
        <v>3141</v>
      </c>
      <c r="D52" s="489" t="s">
        <v>6564</v>
      </c>
      <c r="E52" s="684" t="s">
        <v>996</v>
      </c>
      <c r="F52" s="939"/>
      <c r="G52" s="939"/>
      <c r="H52" s="939"/>
      <c r="I52" s="532" t="s">
        <v>6565</v>
      </c>
      <c r="J52" s="939"/>
      <c r="K52" s="939"/>
      <c r="L52" s="939"/>
      <c r="M52" s="987" t="s">
        <v>6566</v>
      </c>
      <c r="N52" s="997"/>
      <c r="O52" s="990"/>
      <c r="P52" s="905"/>
      <c r="Q52" t="s">
        <v>3009</v>
      </c>
    </row>
    <row r="53" spans="2:17" ht="18">
      <c r="B53" s="532" t="s">
        <v>6567</v>
      </c>
      <c r="C53" s="532" t="s">
        <v>3141</v>
      </c>
      <c r="D53" s="489" t="s">
        <v>6568</v>
      </c>
      <c r="E53" s="684" t="s">
        <v>996</v>
      </c>
      <c r="F53" s="940"/>
      <c r="G53" s="940"/>
      <c r="H53" s="940"/>
      <c r="I53" s="532" t="s">
        <v>6569</v>
      </c>
      <c r="J53" s="940"/>
      <c r="K53" s="940"/>
      <c r="L53" s="940"/>
      <c r="M53" s="987" t="s">
        <v>4596</v>
      </c>
      <c r="N53" s="997"/>
      <c r="O53" s="990"/>
      <c r="P53" s="905"/>
      <c r="Q53" t="s">
        <v>6570</v>
      </c>
    </row>
    <row r="54" spans="2:17" ht="25.9" customHeight="1">
      <c r="B54" s="532" t="s">
        <v>6571</v>
      </c>
      <c r="C54" s="532" t="s">
        <v>2962</v>
      </c>
      <c r="D54" s="489" t="s">
        <v>6572</v>
      </c>
      <c r="E54" s="684" t="s">
        <v>2467</v>
      </c>
      <c r="F54" s="941"/>
      <c r="G54" s="941"/>
      <c r="H54" s="941"/>
      <c r="I54" s="941"/>
      <c r="J54" s="532" t="s">
        <v>6573</v>
      </c>
      <c r="K54" s="941"/>
      <c r="L54" s="941"/>
      <c r="M54" s="987" t="s">
        <v>6574</v>
      </c>
      <c r="N54" s="997"/>
      <c r="O54" s="990"/>
      <c r="P54" s="905"/>
      <c r="Q54" t="s">
        <v>6575</v>
      </c>
    </row>
    <row r="55" spans="2:17" ht="25.9" customHeight="1">
      <c r="B55" s="532" t="s">
        <v>6576</v>
      </c>
      <c r="C55" s="532" t="s">
        <v>2962</v>
      </c>
      <c r="D55" s="489" t="s">
        <v>6577</v>
      </c>
      <c r="E55" s="684" t="s">
        <v>2467</v>
      </c>
      <c r="F55" s="942"/>
      <c r="G55" s="942"/>
      <c r="H55" s="942"/>
      <c r="I55" s="942"/>
      <c r="J55" s="532" t="s">
        <v>6578</v>
      </c>
      <c r="K55" s="942"/>
      <c r="L55" s="942"/>
      <c r="M55" s="987" t="s">
        <v>6574</v>
      </c>
      <c r="N55" s="997"/>
      <c r="O55" s="990"/>
      <c r="P55" s="905"/>
      <c r="Q55" t="s">
        <v>3038</v>
      </c>
    </row>
    <row r="56" spans="2:17" ht="31.5">
      <c r="B56" s="532" t="s">
        <v>6579</v>
      </c>
      <c r="C56" s="532" t="s">
        <v>3141</v>
      </c>
      <c r="D56" s="489" t="s">
        <v>6580</v>
      </c>
      <c r="E56" s="684" t="s">
        <v>996</v>
      </c>
      <c r="F56" s="942"/>
      <c r="G56" s="942"/>
      <c r="H56" s="942"/>
      <c r="I56" s="532" t="s">
        <v>6581</v>
      </c>
      <c r="J56" s="942"/>
      <c r="K56" s="942"/>
      <c r="L56" s="942"/>
      <c r="M56" s="987" t="s">
        <v>4330</v>
      </c>
      <c r="N56" s="997"/>
      <c r="O56" s="990"/>
      <c r="P56" s="905"/>
      <c r="Q56" t="s">
        <v>2644</v>
      </c>
    </row>
    <row r="57" spans="2:17" ht="47.25">
      <c r="B57" s="532" t="s">
        <v>6583</v>
      </c>
      <c r="C57" s="532" t="s">
        <v>2893</v>
      </c>
      <c r="D57" s="489" t="s">
        <v>6597</v>
      </c>
      <c r="E57" s="684" t="s">
        <v>6807</v>
      </c>
      <c r="F57" s="532" t="s">
        <v>6584</v>
      </c>
      <c r="G57" s="532" t="s">
        <v>6585</v>
      </c>
      <c r="H57" s="532" t="s">
        <v>6585</v>
      </c>
      <c r="I57" s="943"/>
      <c r="J57" s="943"/>
      <c r="K57" s="943"/>
      <c r="L57" s="532" t="s">
        <v>6808</v>
      </c>
      <c r="M57" s="987" t="s">
        <v>2480</v>
      </c>
      <c r="N57" s="1000"/>
      <c r="O57" s="990" t="s">
        <v>6634</v>
      </c>
      <c r="P57" s="995" t="s">
        <v>6809</v>
      </c>
      <c r="Q57" t="s">
        <v>6586</v>
      </c>
    </row>
    <row r="58" spans="2:17" ht="31.5">
      <c r="B58" s="532" t="s">
        <v>6588</v>
      </c>
      <c r="C58" s="532" t="s">
        <v>6697</v>
      </c>
      <c r="D58" s="489" t="s">
        <v>6587</v>
      </c>
      <c r="E58" s="684" t="s">
        <v>6593</v>
      </c>
      <c r="F58" s="532" t="s">
        <v>6589</v>
      </c>
      <c r="G58" s="532" t="s">
        <v>6590</v>
      </c>
      <c r="H58" s="532" t="s">
        <v>6590</v>
      </c>
      <c r="I58" s="944"/>
      <c r="J58" s="944"/>
      <c r="K58" s="532" t="s">
        <v>6594</v>
      </c>
      <c r="L58" s="944"/>
      <c r="M58" s="987" t="s">
        <v>6591</v>
      </c>
      <c r="N58" s="997"/>
      <c r="O58" s="990"/>
      <c r="P58" s="945" t="s">
        <v>6595</v>
      </c>
      <c r="Q58" t="s">
        <v>6592</v>
      </c>
    </row>
    <row r="59" spans="2:17" ht="31.5">
      <c r="B59" s="532" t="s">
        <v>6596</v>
      </c>
      <c r="C59" s="532" t="s">
        <v>2908</v>
      </c>
      <c r="D59" s="489" t="s">
        <v>6602</v>
      </c>
      <c r="E59" s="684" t="s">
        <v>6022</v>
      </c>
      <c r="F59" s="532" t="s">
        <v>6598</v>
      </c>
      <c r="G59" s="532" t="s">
        <v>6599</v>
      </c>
      <c r="H59" s="532" t="s">
        <v>6599</v>
      </c>
      <c r="I59" s="946"/>
      <c r="J59" s="946"/>
      <c r="K59" s="946"/>
      <c r="L59" s="946"/>
      <c r="M59" s="987" t="s">
        <v>6600</v>
      </c>
      <c r="N59" s="997"/>
      <c r="O59" s="990"/>
      <c r="P59" s="945"/>
      <c r="Q59" t="s">
        <v>6601</v>
      </c>
    </row>
    <row r="60" spans="2:17" ht="31.5">
      <c r="B60" s="532" t="s">
        <v>6603</v>
      </c>
      <c r="C60" s="532" t="s">
        <v>2908</v>
      </c>
      <c r="D60" s="489" t="s">
        <v>6604</v>
      </c>
      <c r="E60" s="684" t="s">
        <v>5729</v>
      </c>
      <c r="F60" s="532" t="s">
        <v>6605</v>
      </c>
      <c r="G60" s="532" t="s">
        <v>6606</v>
      </c>
      <c r="H60" s="532" t="s">
        <v>6606</v>
      </c>
      <c r="I60" s="946"/>
      <c r="J60" s="946"/>
      <c r="K60" s="946"/>
      <c r="L60" s="946"/>
      <c r="M60" s="987"/>
      <c r="N60" s="997"/>
      <c r="O60" s="990"/>
      <c r="P60" s="945"/>
      <c r="Q60" t="s">
        <v>6607</v>
      </c>
    </row>
    <row r="61" spans="2:17" ht="31.5">
      <c r="B61" s="532" t="s">
        <v>6608</v>
      </c>
      <c r="C61" s="532" t="s">
        <v>2893</v>
      </c>
      <c r="D61" s="489" t="s">
        <v>6609</v>
      </c>
      <c r="E61" s="684" t="s">
        <v>6610</v>
      </c>
      <c r="F61" s="532" t="s">
        <v>6611</v>
      </c>
      <c r="G61" s="532" t="s">
        <v>6612</v>
      </c>
      <c r="H61" s="532" t="s">
        <v>6612</v>
      </c>
      <c r="I61" s="947"/>
      <c r="J61" s="947"/>
      <c r="K61" s="532" t="s">
        <v>6615</v>
      </c>
      <c r="L61" s="947"/>
      <c r="M61" s="987"/>
      <c r="N61" s="997"/>
      <c r="O61" s="992" t="s">
        <v>6634</v>
      </c>
      <c r="P61" s="945"/>
      <c r="Q61" t="s">
        <v>6613</v>
      </c>
    </row>
    <row r="62" spans="2:17" ht="31.5">
      <c r="B62" s="148" t="s">
        <v>6618</v>
      </c>
      <c r="C62" s="603" t="s">
        <v>3083</v>
      </c>
      <c r="D62" s="713" t="s">
        <v>6616</v>
      </c>
      <c r="E62" s="684" t="s">
        <v>6619</v>
      </c>
      <c r="F62" s="950"/>
      <c r="G62" s="950"/>
      <c r="H62" s="950"/>
      <c r="I62" s="950"/>
      <c r="J62" s="950"/>
      <c r="K62" s="532" t="s">
        <v>6620</v>
      </c>
      <c r="L62" s="954"/>
      <c r="M62" s="987" t="s">
        <v>6621</v>
      </c>
      <c r="N62" s="997"/>
      <c r="O62" s="993" t="s">
        <v>6056</v>
      </c>
      <c r="P62" s="945"/>
    </row>
    <row r="63" spans="2:17" ht="31.5">
      <c r="B63" s="148" t="s">
        <v>6622</v>
      </c>
      <c r="C63" s="603" t="s">
        <v>2893</v>
      </c>
      <c r="D63" s="713" t="s">
        <v>6623</v>
      </c>
      <c r="E63" s="684" t="s">
        <v>6624</v>
      </c>
      <c r="F63" s="754" t="s">
        <v>6625</v>
      </c>
      <c r="G63" s="754" t="s">
        <v>6626</v>
      </c>
      <c r="H63" s="754" t="s">
        <v>6626</v>
      </c>
      <c r="I63" s="954"/>
      <c r="J63" s="951"/>
      <c r="K63" s="951"/>
      <c r="L63" s="954"/>
      <c r="M63" s="987" t="s">
        <v>6627</v>
      </c>
      <c r="N63" s="997"/>
      <c r="O63" s="993" t="s">
        <v>6628</v>
      </c>
      <c r="P63" s="945" t="s">
        <v>6629</v>
      </c>
    </row>
    <row r="64" spans="2:17" ht="36">
      <c r="B64" s="148" t="s">
        <v>6630</v>
      </c>
      <c r="C64" s="603" t="s">
        <v>2893</v>
      </c>
      <c r="D64" s="713" t="s">
        <v>6631</v>
      </c>
      <c r="E64" s="684" t="s">
        <v>5729</v>
      </c>
      <c r="F64" s="754" t="s">
        <v>6632</v>
      </c>
      <c r="G64" s="754" t="s">
        <v>6633</v>
      </c>
      <c r="H64" s="754" t="s">
        <v>6633</v>
      </c>
      <c r="I64" s="954"/>
      <c r="J64" s="952"/>
      <c r="K64" s="952"/>
      <c r="L64" s="954"/>
      <c r="M64" s="987" t="s">
        <v>2480</v>
      </c>
      <c r="N64" s="997"/>
      <c r="O64" s="992" t="s">
        <v>6634</v>
      </c>
      <c r="P64" s="945" t="s">
        <v>2324</v>
      </c>
      <c r="Q64" t="s">
        <v>6635</v>
      </c>
    </row>
    <row r="65" spans="2:17" ht="18">
      <c r="B65" s="148" t="s">
        <v>6636</v>
      </c>
      <c r="C65" s="603" t="s">
        <v>2917</v>
      </c>
      <c r="D65" s="713" t="s">
        <v>6637</v>
      </c>
      <c r="E65" s="684" t="s">
        <v>6482</v>
      </c>
      <c r="F65" s="754" t="s">
        <v>6639</v>
      </c>
      <c r="G65" s="754" t="s">
        <v>6638</v>
      </c>
      <c r="H65" s="754" t="s">
        <v>6639</v>
      </c>
      <c r="I65" s="953"/>
      <c r="J65" s="953"/>
      <c r="K65" s="953"/>
      <c r="L65" s="954"/>
      <c r="M65" s="987" t="s">
        <v>6640</v>
      </c>
      <c r="N65" s="997"/>
      <c r="O65" s="992" t="s">
        <v>6634</v>
      </c>
      <c r="P65" s="945" t="s">
        <v>2324</v>
      </c>
      <c r="Q65" t="s">
        <v>6641</v>
      </c>
    </row>
    <row r="66" spans="2:17" ht="18">
      <c r="B66" s="148" t="s">
        <v>6642</v>
      </c>
      <c r="C66" s="603" t="s">
        <v>2908</v>
      </c>
      <c r="D66" s="713" t="s">
        <v>6643</v>
      </c>
      <c r="E66" s="684" t="s">
        <v>5729</v>
      </c>
      <c r="F66" s="754" t="s">
        <v>6644</v>
      </c>
      <c r="G66" s="754" t="s">
        <v>6646</v>
      </c>
      <c r="H66" s="754" t="s">
        <v>6646</v>
      </c>
      <c r="I66" s="954"/>
      <c r="J66" s="954"/>
      <c r="K66" s="954"/>
      <c r="L66" s="954"/>
      <c r="M66" s="987" t="s">
        <v>6645</v>
      </c>
      <c r="N66" s="997"/>
      <c r="O66" s="990"/>
      <c r="P66" s="945" t="s">
        <v>2324</v>
      </c>
    </row>
    <row r="67" spans="2:17" ht="36">
      <c r="B67" s="148" t="s">
        <v>6648</v>
      </c>
      <c r="C67" s="603" t="s">
        <v>3263</v>
      </c>
      <c r="D67" s="713" t="s">
        <v>6649</v>
      </c>
      <c r="E67" s="684" t="s">
        <v>6653</v>
      </c>
      <c r="F67" s="754" t="s">
        <v>6650</v>
      </c>
      <c r="G67" s="754" t="s">
        <v>6651</v>
      </c>
      <c r="H67" s="754" t="s">
        <v>6650</v>
      </c>
      <c r="I67" s="955"/>
      <c r="J67" s="955"/>
      <c r="K67" s="955"/>
      <c r="L67" s="955"/>
      <c r="M67" s="987" t="s">
        <v>2819</v>
      </c>
      <c r="N67" s="997"/>
      <c r="O67" s="990"/>
      <c r="P67" s="945" t="s">
        <v>2324</v>
      </c>
      <c r="Q67" t="s">
        <v>6652</v>
      </c>
    </row>
    <row r="68" spans="2:17" ht="47.25">
      <c r="B68" s="532" t="s">
        <v>6654</v>
      </c>
      <c r="C68" s="532" t="s">
        <v>3141</v>
      </c>
      <c r="D68" s="489" t="s">
        <v>6655</v>
      </c>
      <c r="E68" s="684" t="s">
        <v>6656</v>
      </c>
      <c r="F68" s="956"/>
      <c r="G68" s="956"/>
      <c r="H68" s="956"/>
      <c r="I68" s="532" t="s">
        <v>6657</v>
      </c>
      <c r="J68" s="956"/>
      <c r="K68" s="956"/>
      <c r="L68" s="956"/>
      <c r="M68" s="987" t="s">
        <v>4330</v>
      </c>
      <c r="N68" s="997"/>
      <c r="O68" s="990"/>
      <c r="P68" s="905"/>
      <c r="Q68" t="s">
        <v>2644</v>
      </c>
    </row>
    <row r="69" spans="2:17" ht="18">
      <c r="B69" s="532" t="s">
        <v>6659</v>
      </c>
      <c r="C69" s="532" t="s">
        <v>2894</v>
      </c>
      <c r="D69" s="489" t="s">
        <v>6660</v>
      </c>
      <c r="E69" s="684" t="s">
        <v>5729</v>
      </c>
      <c r="F69" s="754" t="s">
        <v>6661</v>
      </c>
      <c r="G69" s="754" t="s">
        <v>6662</v>
      </c>
      <c r="H69" s="754" t="s">
        <v>6662</v>
      </c>
      <c r="I69" s="957"/>
      <c r="J69" s="957"/>
      <c r="K69" s="957"/>
      <c r="L69" s="957"/>
      <c r="M69" s="987" t="s">
        <v>6663</v>
      </c>
      <c r="N69" s="997"/>
      <c r="O69" s="990"/>
      <c r="P69" s="905"/>
      <c r="Q69" t="s">
        <v>3355</v>
      </c>
    </row>
    <row r="70" spans="2:17" ht="18">
      <c r="B70" s="532" t="s">
        <v>6664</v>
      </c>
      <c r="C70" s="532" t="s">
        <v>2894</v>
      </c>
      <c r="D70" s="489" t="s">
        <v>6665</v>
      </c>
      <c r="E70" s="684" t="s">
        <v>5729</v>
      </c>
      <c r="F70" s="754" t="s">
        <v>6666</v>
      </c>
      <c r="G70" s="754" t="s">
        <v>6667</v>
      </c>
      <c r="H70" s="754" t="s">
        <v>6667</v>
      </c>
      <c r="I70" s="957"/>
      <c r="J70" s="957"/>
      <c r="K70" s="957"/>
      <c r="L70" s="957"/>
      <c r="M70" s="987" t="s">
        <v>6663</v>
      </c>
      <c r="N70" s="997"/>
      <c r="O70" s="990"/>
      <c r="P70" s="905"/>
      <c r="Q70" t="s">
        <v>3355</v>
      </c>
    </row>
    <row r="71" spans="2:17" ht="31.5">
      <c r="B71" s="532" t="s">
        <v>6668</v>
      </c>
      <c r="C71" s="532" t="s">
        <v>2894</v>
      </c>
      <c r="D71" s="489" t="s">
        <v>6672</v>
      </c>
      <c r="E71" s="684" t="s">
        <v>6669</v>
      </c>
      <c r="F71" s="754" t="s">
        <v>6670</v>
      </c>
      <c r="G71" s="754" t="s">
        <v>6671</v>
      </c>
      <c r="H71" s="754" t="s">
        <v>6671</v>
      </c>
      <c r="I71" s="959"/>
      <c r="J71" s="959"/>
      <c r="K71" s="959"/>
      <c r="L71" s="959"/>
      <c r="M71" s="987" t="s">
        <v>6674</v>
      </c>
      <c r="N71" s="997"/>
      <c r="O71" s="990"/>
      <c r="P71" s="905"/>
      <c r="Q71" t="s">
        <v>6673</v>
      </c>
    </row>
    <row r="72" spans="2:17" ht="18">
      <c r="B72" s="532" t="s">
        <v>6675</v>
      </c>
      <c r="C72" s="532" t="s">
        <v>3141</v>
      </c>
      <c r="D72" s="489" t="s">
        <v>6676</v>
      </c>
      <c r="E72" s="684" t="s">
        <v>996</v>
      </c>
      <c r="F72" s="960"/>
      <c r="G72" s="960"/>
      <c r="H72" s="960"/>
      <c r="I72" s="532" t="s">
        <v>6677</v>
      </c>
      <c r="J72" s="960"/>
      <c r="K72" s="960"/>
      <c r="L72" s="960"/>
      <c r="M72" s="987" t="s">
        <v>6684</v>
      </c>
      <c r="N72" s="997"/>
      <c r="O72" s="990"/>
      <c r="P72" s="905"/>
      <c r="Q72" t="s">
        <v>6678</v>
      </c>
    </row>
    <row r="73" spans="2:17" ht="31.5">
      <c r="B73" s="532" t="s">
        <v>6681</v>
      </c>
      <c r="C73" s="532" t="s">
        <v>2894</v>
      </c>
      <c r="D73" s="489" t="s">
        <v>6679</v>
      </c>
      <c r="E73" s="684" t="s">
        <v>1023</v>
      </c>
      <c r="F73" s="754" t="s">
        <v>6680</v>
      </c>
      <c r="G73" s="754" t="s">
        <v>6682</v>
      </c>
      <c r="H73" s="754" t="s">
        <v>6682</v>
      </c>
      <c r="I73" s="961"/>
      <c r="J73" s="961"/>
      <c r="K73" s="961"/>
      <c r="L73" s="961"/>
      <c r="M73" s="987" t="s">
        <v>5013</v>
      </c>
      <c r="N73" s="997"/>
      <c r="O73" s="990"/>
      <c r="P73" s="905"/>
      <c r="Q73" t="s">
        <v>6683</v>
      </c>
    </row>
    <row r="74" spans="2:17" ht="18">
      <c r="B74" s="532" t="s">
        <v>6685</v>
      </c>
      <c r="C74" s="532" t="s">
        <v>2893</v>
      </c>
      <c r="D74" s="489" t="s">
        <v>6686</v>
      </c>
      <c r="E74" s="964" t="s">
        <v>6687</v>
      </c>
      <c r="F74" s="754" t="s">
        <v>6688</v>
      </c>
      <c r="G74" s="754" t="s">
        <v>6690</v>
      </c>
      <c r="H74" s="754" t="s">
        <v>6690</v>
      </c>
      <c r="I74" s="962"/>
      <c r="J74" s="962"/>
      <c r="K74" s="962"/>
      <c r="L74" s="962"/>
      <c r="M74" s="987" t="s">
        <v>6846</v>
      </c>
      <c r="N74" s="997"/>
      <c r="O74" s="990"/>
      <c r="P74" s="905"/>
      <c r="Q74" t="s">
        <v>6689</v>
      </c>
    </row>
    <row r="75" spans="2:17" ht="31.5">
      <c r="B75" s="532" t="s">
        <v>6691</v>
      </c>
      <c r="C75" s="532" t="s">
        <v>2893</v>
      </c>
      <c r="D75" s="489" t="s">
        <v>6692</v>
      </c>
      <c r="E75" s="964" t="s">
        <v>6695</v>
      </c>
      <c r="F75" s="754" t="s">
        <v>6693</v>
      </c>
      <c r="G75" s="754" t="s">
        <v>6694</v>
      </c>
      <c r="H75" s="754" t="s">
        <v>6694</v>
      </c>
      <c r="I75" s="963"/>
      <c r="J75" s="963"/>
      <c r="K75" s="963"/>
      <c r="L75" s="963"/>
      <c r="M75" s="987" t="s">
        <v>957</v>
      </c>
      <c r="N75" s="997"/>
      <c r="O75" s="994" t="s">
        <v>6804</v>
      </c>
      <c r="P75" s="905"/>
      <c r="Q75" t="s">
        <v>6696</v>
      </c>
    </row>
    <row r="76" spans="2:17" ht="18">
      <c r="B76" s="148" t="s">
        <v>6698</v>
      </c>
      <c r="C76" s="603" t="s">
        <v>2908</v>
      </c>
      <c r="D76" s="713" t="s">
        <v>6699</v>
      </c>
      <c r="E76" s="684" t="s">
        <v>3364</v>
      </c>
      <c r="F76" s="754" t="s">
        <v>6702</v>
      </c>
      <c r="G76" s="754" t="s">
        <v>6703</v>
      </c>
      <c r="H76" s="754" t="s">
        <v>6703</v>
      </c>
      <c r="I76" s="965"/>
      <c r="J76" s="965"/>
      <c r="K76" s="965"/>
      <c r="L76" s="965"/>
      <c r="M76" s="987" t="s">
        <v>6701</v>
      </c>
      <c r="N76" s="997"/>
      <c r="O76" s="992" t="s">
        <v>6700</v>
      </c>
      <c r="P76" s="945" t="s">
        <v>2324</v>
      </c>
    </row>
    <row r="77" spans="2:17" ht="36">
      <c r="B77" s="148" t="s">
        <v>6704</v>
      </c>
      <c r="C77" s="603" t="s">
        <v>2894</v>
      </c>
      <c r="D77" s="713" t="s">
        <v>6705</v>
      </c>
      <c r="E77" s="684" t="s">
        <v>5887</v>
      </c>
      <c r="F77" s="754" t="s">
        <v>6706</v>
      </c>
      <c r="G77" s="754" t="s">
        <v>6707</v>
      </c>
      <c r="H77" s="754" t="s">
        <v>6707</v>
      </c>
      <c r="I77" s="966"/>
      <c r="J77" s="966"/>
      <c r="K77" s="966"/>
      <c r="L77" s="966"/>
      <c r="M77" s="987" t="s">
        <v>6709</v>
      </c>
      <c r="N77" s="997"/>
      <c r="O77" s="992"/>
      <c r="P77" s="945" t="s">
        <v>2324</v>
      </c>
      <c r="Q77" t="s">
        <v>6708</v>
      </c>
    </row>
    <row r="78" spans="2:17" ht="47.25">
      <c r="B78" s="148" t="s">
        <v>6710</v>
      </c>
      <c r="C78" s="603" t="s">
        <v>6711</v>
      </c>
      <c r="D78" s="713" t="s">
        <v>6712</v>
      </c>
      <c r="E78" s="684" t="s">
        <v>6713</v>
      </c>
      <c r="F78" s="754" t="s">
        <v>6714</v>
      </c>
      <c r="G78" s="754" t="s">
        <v>6715</v>
      </c>
      <c r="H78" s="754" t="s">
        <v>6715</v>
      </c>
      <c r="I78" s="754" t="s">
        <v>6716</v>
      </c>
      <c r="J78" s="967"/>
      <c r="K78" s="967"/>
      <c r="L78" s="967"/>
      <c r="M78" s="987" t="s">
        <v>6717</v>
      </c>
      <c r="N78" s="997"/>
      <c r="O78" s="992"/>
      <c r="P78" s="945" t="s">
        <v>2324</v>
      </c>
      <c r="Q78" t="s">
        <v>6718</v>
      </c>
    </row>
    <row r="79" spans="2:17" ht="54">
      <c r="B79" s="148" t="s">
        <v>6719</v>
      </c>
      <c r="C79" s="603" t="s">
        <v>2908</v>
      </c>
      <c r="D79" s="713" t="s">
        <v>6720</v>
      </c>
      <c r="E79" s="684" t="s">
        <v>1023</v>
      </c>
      <c r="F79" s="754" t="s">
        <v>6721</v>
      </c>
      <c r="G79" s="754" t="s">
        <v>6722</v>
      </c>
      <c r="H79" s="754" t="s">
        <v>6722</v>
      </c>
      <c r="I79" s="968"/>
      <c r="J79" s="968"/>
      <c r="K79" s="968"/>
      <c r="L79" s="968"/>
      <c r="M79" s="987" t="s">
        <v>6701</v>
      </c>
      <c r="N79" s="997"/>
      <c r="O79" s="992"/>
      <c r="P79" s="945" t="s">
        <v>2324</v>
      </c>
      <c r="Q79" t="s">
        <v>6723</v>
      </c>
    </row>
    <row r="80" spans="2:17" ht="18">
      <c r="B80" s="148" t="s">
        <v>6724</v>
      </c>
      <c r="C80" s="603" t="s">
        <v>3114</v>
      </c>
      <c r="D80" s="713" t="s">
        <v>6725</v>
      </c>
      <c r="E80" s="684" t="s">
        <v>996</v>
      </c>
      <c r="F80" s="969"/>
      <c r="G80" s="969"/>
      <c r="H80" s="969"/>
      <c r="I80" s="754" t="s">
        <v>6726</v>
      </c>
      <c r="J80" s="969"/>
      <c r="K80" s="969"/>
      <c r="L80" s="969"/>
      <c r="M80" s="987" t="s">
        <v>6728</v>
      </c>
      <c r="N80" s="997"/>
      <c r="O80" s="992" t="s">
        <v>6727</v>
      </c>
      <c r="P80" s="945" t="s">
        <v>2324</v>
      </c>
      <c r="Q80" t="s">
        <v>6729</v>
      </c>
    </row>
    <row r="81" spans="1:17" ht="36">
      <c r="B81" s="148" t="s">
        <v>6730</v>
      </c>
      <c r="C81" s="603" t="s">
        <v>2962</v>
      </c>
      <c r="D81" s="713" t="s">
        <v>6734</v>
      </c>
      <c r="E81" s="684" t="s">
        <v>6731</v>
      </c>
      <c r="F81" s="532" t="s">
        <v>6735</v>
      </c>
      <c r="G81" s="532" t="s">
        <v>6735</v>
      </c>
      <c r="H81" s="532" t="s">
        <v>6735</v>
      </c>
      <c r="I81" s="970"/>
      <c r="J81" s="532" t="s">
        <v>6732</v>
      </c>
      <c r="K81" s="970"/>
      <c r="L81" s="970"/>
      <c r="M81" s="987" t="s">
        <v>3863</v>
      </c>
      <c r="N81" s="997"/>
      <c r="O81" s="992"/>
      <c r="P81" s="945" t="s">
        <v>2324</v>
      </c>
      <c r="Q81" t="s">
        <v>6733</v>
      </c>
    </row>
    <row r="82" spans="1:17" ht="36.75" thickBot="1">
      <c r="B82" s="148" t="s">
        <v>6736</v>
      </c>
      <c r="C82" s="603" t="s">
        <v>2908</v>
      </c>
      <c r="D82" s="713" t="s">
        <v>6737</v>
      </c>
      <c r="E82" s="684" t="s">
        <v>5729</v>
      </c>
      <c r="F82" s="532" t="s">
        <v>6738</v>
      </c>
      <c r="G82" s="532" t="s">
        <v>6739</v>
      </c>
      <c r="H82" s="532" t="s">
        <v>6739</v>
      </c>
      <c r="I82" s="971"/>
      <c r="J82" s="971"/>
      <c r="K82" s="971"/>
      <c r="L82" s="971"/>
      <c r="M82" s="987"/>
      <c r="N82" s="997"/>
      <c r="O82" s="992"/>
      <c r="P82" s="945" t="s">
        <v>2324</v>
      </c>
    </row>
    <row r="83" spans="1:17" ht="18">
      <c r="A83" s="980"/>
      <c r="B83" s="149" t="s">
        <v>6740</v>
      </c>
      <c r="C83" s="603" t="s">
        <v>2894</v>
      </c>
      <c r="D83" s="713" t="s">
        <v>6741</v>
      </c>
      <c r="E83" s="684" t="s">
        <v>1023</v>
      </c>
      <c r="F83" s="532" t="s">
        <v>6742</v>
      </c>
      <c r="G83" s="532" t="s">
        <v>6743</v>
      </c>
      <c r="H83" s="532" t="s">
        <v>6743</v>
      </c>
      <c r="I83" s="971"/>
      <c r="J83" s="971"/>
      <c r="K83" s="971"/>
      <c r="L83" s="971"/>
      <c r="M83" s="987" t="s">
        <v>6744</v>
      </c>
      <c r="N83" s="997"/>
      <c r="O83" s="992"/>
      <c r="P83" s="945" t="s">
        <v>2324</v>
      </c>
      <c r="Q83" t="s">
        <v>6745</v>
      </c>
    </row>
    <row r="84" spans="1:17" ht="36.75" thickBot="1">
      <c r="A84" s="981"/>
      <c r="B84" s="149" t="s">
        <v>6740</v>
      </c>
      <c r="C84" s="603" t="s">
        <v>3114</v>
      </c>
      <c r="D84" s="713" t="s">
        <v>6777</v>
      </c>
      <c r="E84" s="684" t="s">
        <v>996</v>
      </c>
      <c r="F84" s="978"/>
      <c r="G84" s="978"/>
      <c r="H84" s="978"/>
      <c r="I84" s="754" t="s">
        <v>6778</v>
      </c>
      <c r="J84" s="978"/>
      <c r="K84" s="978"/>
      <c r="L84" s="978"/>
      <c r="M84" s="987" t="s">
        <v>6779</v>
      </c>
      <c r="N84" s="997"/>
      <c r="O84" s="992"/>
      <c r="P84" s="945"/>
      <c r="Q84" t="s">
        <v>6780</v>
      </c>
    </row>
    <row r="85" spans="1:17" ht="18">
      <c r="B85" s="148" t="s">
        <v>6746</v>
      </c>
      <c r="C85" s="603" t="s">
        <v>3141</v>
      </c>
      <c r="D85" s="713" t="s">
        <v>6747</v>
      </c>
      <c r="E85" s="684" t="s">
        <v>996</v>
      </c>
      <c r="F85" s="971"/>
      <c r="G85" s="971"/>
      <c r="H85" s="971"/>
      <c r="I85" s="754" t="s">
        <v>6748</v>
      </c>
      <c r="J85" s="971"/>
      <c r="K85" s="971"/>
      <c r="L85" s="971"/>
      <c r="M85" s="987" t="s">
        <v>6749</v>
      </c>
      <c r="N85" s="997"/>
      <c r="O85" s="992"/>
      <c r="P85" s="945" t="s">
        <v>2324</v>
      </c>
    </row>
    <row r="86" spans="1:17" ht="31.5">
      <c r="B86" s="148" t="s">
        <v>6750</v>
      </c>
      <c r="C86" s="603" t="s">
        <v>3141</v>
      </c>
      <c r="D86" s="713" t="s">
        <v>6751</v>
      </c>
      <c r="E86" s="684" t="s">
        <v>7023</v>
      </c>
      <c r="F86" s="532" t="s">
        <v>6930</v>
      </c>
      <c r="G86" s="532" t="s">
        <v>6931</v>
      </c>
      <c r="H86" s="532" t="s">
        <v>6931</v>
      </c>
      <c r="I86" s="754" t="s">
        <v>6752</v>
      </c>
      <c r="J86" s="972"/>
      <c r="K86" s="972"/>
      <c r="L86" s="972"/>
      <c r="M86" s="987" t="s">
        <v>6753</v>
      </c>
      <c r="N86" s="997"/>
      <c r="O86" s="992"/>
      <c r="P86" s="945" t="s">
        <v>2324</v>
      </c>
    </row>
    <row r="87" spans="1:17" ht="36">
      <c r="B87" s="148" t="s">
        <v>6754</v>
      </c>
      <c r="C87" s="603" t="s">
        <v>3025</v>
      </c>
      <c r="D87" s="713" t="s">
        <v>6755</v>
      </c>
      <c r="E87" s="684" t="s">
        <v>5729</v>
      </c>
      <c r="F87" s="754" t="s">
        <v>6756</v>
      </c>
      <c r="G87" s="754" t="s">
        <v>6757</v>
      </c>
      <c r="H87" s="754" t="s">
        <v>6757</v>
      </c>
      <c r="I87" s="973"/>
      <c r="J87" s="973"/>
      <c r="K87" s="973"/>
      <c r="L87" s="973"/>
      <c r="M87" s="987"/>
      <c r="N87" s="997"/>
      <c r="O87" s="992"/>
      <c r="P87" s="945" t="s">
        <v>2324</v>
      </c>
      <c r="Q87" t="s">
        <v>6758</v>
      </c>
    </row>
    <row r="88" spans="1:17" ht="31.5">
      <c r="B88" s="148" t="s">
        <v>6759</v>
      </c>
      <c r="C88" s="603" t="s">
        <v>3025</v>
      </c>
      <c r="D88" s="713" t="s">
        <v>6760</v>
      </c>
      <c r="E88" s="684" t="s">
        <v>6761</v>
      </c>
      <c r="F88" s="754" t="s">
        <v>6762</v>
      </c>
      <c r="G88" s="754" t="s">
        <v>6763</v>
      </c>
      <c r="H88" s="754" t="s">
        <v>6763</v>
      </c>
      <c r="I88" s="974"/>
      <c r="J88" s="974"/>
      <c r="K88" s="974"/>
      <c r="L88" s="974"/>
      <c r="M88" s="987"/>
      <c r="N88" s="997"/>
      <c r="O88" s="992"/>
      <c r="P88" s="945" t="s">
        <v>2324</v>
      </c>
      <c r="Q88" t="s">
        <v>6764</v>
      </c>
    </row>
    <row r="89" spans="1:17" ht="36">
      <c r="B89" s="148" t="s">
        <v>6765</v>
      </c>
      <c r="C89" s="603" t="s">
        <v>2908</v>
      </c>
      <c r="D89" s="713" t="s">
        <v>6766</v>
      </c>
      <c r="E89" s="684" t="s">
        <v>6767</v>
      </c>
      <c r="F89" s="754" t="s">
        <v>6768</v>
      </c>
      <c r="G89" s="754" t="s">
        <v>6769</v>
      </c>
      <c r="H89" s="754" t="s">
        <v>6769</v>
      </c>
      <c r="I89" s="975"/>
      <c r="J89" s="975"/>
      <c r="K89" s="975"/>
      <c r="L89" s="975"/>
      <c r="M89" s="987"/>
      <c r="N89" s="997"/>
      <c r="O89" s="992"/>
      <c r="P89" s="945" t="s">
        <v>2324</v>
      </c>
      <c r="Q89" t="s">
        <v>5978</v>
      </c>
    </row>
    <row r="90" spans="1:17" ht="36">
      <c r="B90" s="148" t="s">
        <v>6770</v>
      </c>
      <c r="C90" s="603" t="s">
        <v>3141</v>
      </c>
      <c r="D90" s="713" t="s">
        <v>6771</v>
      </c>
      <c r="E90" s="684" t="s">
        <v>996</v>
      </c>
      <c r="F90" s="976"/>
      <c r="G90" s="976"/>
      <c r="H90" s="976"/>
      <c r="I90" s="754" t="s">
        <v>6772</v>
      </c>
      <c r="J90" s="976"/>
      <c r="K90" s="976"/>
      <c r="L90" s="976"/>
      <c r="M90" s="987" t="s">
        <v>4330</v>
      </c>
      <c r="N90" s="997"/>
      <c r="O90" s="992"/>
      <c r="P90" s="945" t="s">
        <v>2324</v>
      </c>
      <c r="Q90" t="s">
        <v>6773</v>
      </c>
    </row>
    <row r="91" spans="1:17" ht="72">
      <c r="B91" s="148" t="s">
        <v>6776</v>
      </c>
      <c r="C91" s="603" t="s">
        <v>3141</v>
      </c>
      <c r="D91" s="713" t="s">
        <v>6774</v>
      </c>
      <c r="E91" s="684" t="s">
        <v>996</v>
      </c>
      <c r="F91" s="977"/>
      <c r="G91" s="977"/>
      <c r="H91" s="977"/>
      <c r="I91" s="754" t="s">
        <v>6775</v>
      </c>
      <c r="J91" s="977"/>
      <c r="K91" s="977"/>
      <c r="L91" s="977"/>
      <c r="M91" s="987" t="s">
        <v>4330</v>
      </c>
      <c r="N91" s="997"/>
      <c r="O91" s="992"/>
      <c r="P91" s="945" t="s">
        <v>2324</v>
      </c>
    </row>
    <row r="92" spans="1:17" ht="18">
      <c r="B92" s="148" t="s">
        <v>6781</v>
      </c>
      <c r="C92" s="603" t="s">
        <v>3025</v>
      </c>
      <c r="D92" s="713" t="s">
        <v>6049</v>
      </c>
      <c r="E92" s="684" t="s">
        <v>6050</v>
      </c>
      <c r="F92" s="754" t="s">
        <v>6782</v>
      </c>
      <c r="G92" s="754" t="s">
        <v>6783</v>
      </c>
      <c r="H92" s="754" t="s">
        <v>6783</v>
      </c>
      <c r="I92" s="979"/>
      <c r="J92" s="979"/>
      <c r="K92" s="979"/>
      <c r="L92" s="979"/>
      <c r="M92" s="987"/>
      <c r="N92" s="997"/>
      <c r="O92" s="992"/>
      <c r="P92" s="945" t="s">
        <v>2324</v>
      </c>
      <c r="Q92" t="s">
        <v>6764</v>
      </c>
    </row>
    <row r="93" spans="1:17" ht="54">
      <c r="B93" s="148" t="s">
        <v>6784</v>
      </c>
      <c r="C93" s="603" t="s">
        <v>2908</v>
      </c>
      <c r="D93" s="713" t="s">
        <v>6785</v>
      </c>
      <c r="E93" s="684" t="s">
        <v>1023</v>
      </c>
      <c r="F93" s="754" t="s">
        <v>6786</v>
      </c>
      <c r="G93" s="754" t="s">
        <v>6787</v>
      </c>
      <c r="H93" s="754" t="s">
        <v>6787</v>
      </c>
      <c r="I93" s="982"/>
      <c r="J93" s="982"/>
      <c r="K93" s="982"/>
      <c r="L93" s="982"/>
      <c r="M93" s="987"/>
      <c r="N93" s="997"/>
      <c r="O93" s="992"/>
      <c r="P93" s="945" t="s">
        <v>2324</v>
      </c>
    </row>
    <row r="94" spans="1:17" ht="36">
      <c r="B94" s="148" t="s">
        <v>6788</v>
      </c>
      <c r="C94" s="603" t="s">
        <v>2962</v>
      </c>
      <c r="D94" s="713" t="s">
        <v>6789</v>
      </c>
      <c r="E94" s="684" t="s">
        <v>2467</v>
      </c>
      <c r="F94" s="532" t="s">
        <v>6790</v>
      </c>
      <c r="G94" s="532" t="s">
        <v>6790</v>
      </c>
      <c r="H94" s="532" t="s">
        <v>6790</v>
      </c>
      <c r="I94" s="983"/>
      <c r="J94" s="532" t="s">
        <v>6791</v>
      </c>
      <c r="K94" s="983"/>
      <c r="L94" s="983"/>
      <c r="M94" s="987" t="s">
        <v>3863</v>
      </c>
      <c r="N94" s="997"/>
      <c r="O94" s="992"/>
      <c r="P94" s="945" t="s">
        <v>2324</v>
      </c>
      <c r="Q94" t="s">
        <v>6792</v>
      </c>
    </row>
    <row r="95" spans="1:17" ht="36">
      <c r="B95" s="148" t="s">
        <v>6793</v>
      </c>
      <c r="C95" s="603" t="s">
        <v>2962</v>
      </c>
      <c r="D95" s="713" t="s">
        <v>6797</v>
      </c>
      <c r="E95" s="684" t="s">
        <v>6794</v>
      </c>
      <c r="F95" s="532" t="s">
        <v>6795</v>
      </c>
      <c r="G95" s="532" t="s">
        <v>6795</v>
      </c>
      <c r="H95" s="532" t="s">
        <v>6795</v>
      </c>
      <c r="I95" s="983"/>
      <c r="J95" s="532" t="s">
        <v>6796</v>
      </c>
      <c r="K95" s="983"/>
      <c r="L95" s="983"/>
      <c r="M95" s="987" t="s">
        <v>3863</v>
      </c>
      <c r="N95" s="997"/>
      <c r="O95" s="992"/>
      <c r="P95" s="945" t="s">
        <v>2324</v>
      </c>
      <c r="Q95" t="s">
        <v>6798</v>
      </c>
    </row>
    <row r="96" spans="1:17" ht="36">
      <c r="B96" s="148" t="s">
        <v>6799</v>
      </c>
      <c r="C96" s="603" t="s">
        <v>2908</v>
      </c>
      <c r="D96" s="713" t="s">
        <v>6800</v>
      </c>
      <c r="E96" s="684" t="s">
        <v>5729</v>
      </c>
      <c r="F96" s="754" t="s">
        <v>6801</v>
      </c>
      <c r="G96" s="754" t="s">
        <v>6802</v>
      </c>
      <c r="H96" s="754" t="s">
        <v>6802</v>
      </c>
      <c r="I96" s="984"/>
      <c r="J96" s="984"/>
      <c r="K96" s="984"/>
      <c r="L96" s="984"/>
      <c r="M96" s="987"/>
      <c r="N96" s="997"/>
      <c r="O96" s="992"/>
      <c r="P96" s="945" t="s">
        <v>2324</v>
      </c>
      <c r="Q96" t="s">
        <v>6803</v>
      </c>
    </row>
    <row r="97" spans="2:17" ht="48" thickBot="1">
      <c r="B97" s="148" t="s">
        <v>6810</v>
      </c>
      <c r="C97" s="603" t="s">
        <v>6817</v>
      </c>
      <c r="D97" s="713" t="s">
        <v>6812</v>
      </c>
      <c r="E97" s="684" t="s">
        <v>6819</v>
      </c>
      <c r="F97" s="754" t="s">
        <v>6813</v>
      </c>
      <c r="G97" s="754" t="s">
        <v>6818</v>
      </c>
      <c r="H97" s="754" t="s">
        <v>6818</v>
      </c>
      <c r="I97" s="754" t="s">
        <v>6814</v>
      </c>
      <c r="J97" s="985"/>
      <c r="K97" s="985"/>
      <c r="L97" s="985"/>
      <c r="M97" s="987" t="s">
        <v>6815</v>
      </c>
      <c r="N97" s="1001" t="s">
        <v>6811</v>
      </c>
      <c r="O97" s="994" t="s">
        <v>6816</v>
      </c>
      <c r="P97" s="945" t="s">
        <v>2324</v>
      </c>
    </row>
    <row r="98" spans="2:17" ht="18.75" thickTop="1">
      <c r="B98" s="148" t="s">
        <v>6820</v>
      </c>
      <c r="C98" s="603" t="s">
        <v>2894</v>
      </c>
      <c r="D98" s="713" t="s">
        <v>6821</v>
      </c>
      <c r="E98" s="684" t="s">
        <v>1</v>
      </c>
      <c r="F98" s="754" t="s">
        <v>6822</v>
      </c>
      <c r="G98" s="754" t="s">
        <v>6823</v>
      </c>
      <c r="H98" s="754" t="s">
        <v>6822</v>
      </c>
      <c r="I98" s="1002"/>
      <c r="J98" s="1002"/>
      <c r="K98" s="1002"/>
      <c r="L98" s="1002"/>
      <c r="M98" s="987" t="s">
        <v>5013</v>
      </c>
      <c r="N98" s="997"/>
      <c r="O98" s="992"/>
      <c r="P98" s="945" t="s">
        <v>2324</v>
      </c>
      <c r="Q98" t="s">
        <v>5227</v>
      </c>
    </row>
    <row r="99" spans="2:17" ht="18">
      <c r="B99" s="532" t="s">
        <v>6824</v>
      </c>
      <c r="C99" s="532" t="s">
        <v>3025</v>
      </c>
      <c r="D99" s="489" t="s">
        <v>6825</v>
      </c>
      <c r="E99" s="391" t="s">
        <v>1023</v>
      </c>
      <c r="F99" s="532" t="s">
        <v>6826</v>
      </c>
      <c r="G99" s="532" t="s">
        <v>6827</v>
      </c>
      <c r="H99" s="532" t="s">
        <v>6827</v>
      </c>
      <c r="I99" s="1003"/>
      <c r="J99" s="550"/>
      <c r="K99" s="550"/>
      <c r="L99" s="550"/>
      <c r="M99" s="988" t="s">
        <v>3434</v>
      </c>
      <c r="N99" s="999"/>
      <c r="O99" s="991"/>
      <c r="P99" s="905"/>
      <c r="Q99" t="s">
        <v>6828</v>
      </c>
    </row>
    <row r="100" spans="2:17" ht="45">
      <c r="B100" s="532" t="s">
        <v>6830</v>
      </c>
      <c r="C100" s="532" t="s">
        <v>2894</v>
      </c>
      <c r="D100" s="489" t="s">
        <v>6831</v>
      </c>
      <c r="E100" s="958" t="s">
        <v>6832</v>
      </c>
      <c r="F100" s="532" t="s">
        <v>6833</v>
      </c>
      <c r="G100" s="532" t="s">
        <v>6834</v>
      </c>
      <c r="H100" s="532" t="s">
        <v>6834</v>
      </c>
      <c r="I100" s="532" t="s">
        <v>6836</v>
      </c>
      <c r="J100" s="550"/>
      <c r="K100" s="550"/>
      <c r="L100" s="550"/>
      <c r="M100" s="988"/>
      <c r="N100" s="999"/>
      <c r="O100" s="991"/>
      <c r="P100" s="905"/>
      <c r="Q100" t="s">
        <v>6835</v>
      </c>
    </row>
    <row r="101" spans="2:17" ht="31.5">
      <c r="B101" s="532" t="s">
        <v>6837</v>
      </c>
      <c r="C101" s="532" t="s">
        <v>2908</v>
      </c>
      <c r="D101" s="489" t="s">
        <v>6838</v>
      </c>
      <c r="E101" s="958" t="s">
        <v>5729</v>
      </c>
      <c r="F101" s="532" t="s">
        <v>6839</v>
      </c>
      <c r="G101" s="532" t="s">
        <v>6840</v>
      </c>
      <c r="H101" s="532" t="s">
        <v>6840</v>
      </c>
      <c r="I101" s="1004"/>
      <c r="J101" s="550"/>
      <c r="K101" s="550"/>
      <c r="L101" s="550"/>
      <c r="M101" s="988"/>
      <c r="N101" s="999"/>
      <c r="O101" s="991"/>
      <c r="P101" s="905"/>
      <c r="Q101" t="s">
        <v>6519</v>
      </c>
    </row>
    <row r="102" spans="2:17" ht="31.5">
      <c r="B102" s="532" t="s">
        <v>6841</v>
      </c>
      <c r="C102" s="532" t="s">
        <v>3141</v>
      </c>
      <c r="D102" s="489" t="s">
        <v>6842</v>
      </c>
      <c r="E102" s="958" t="s">
        <v>6843</v>
      </c>
      <c r="F102" s="1005"/>
      <c r="G102" s="1005"/>
      <c r="H102" s="1005"/>
      <c r="I102" s="754" t="s">
        <v>6845</v>
      </c>
      <c r="J102" s="1005"/>
      <c r="K102" s="1005"/>
      <c r="L102" s="1005"/>
      <c r="M102" s="987" t="s">
        <v>6844</v>
      </c>
      <c r="N102" s="999"/>
      <c r="O102" s="991"/>
      <c r="P102" s="905"/>
    </row>
    <row r="103" spans="2:17" ht="31.5">
      <c r="B103" s="532" t="s">
        <v>6847</v>
      </c>
      <c r="C103" s="532" t="s">
        <v>2917</v>
      </c>
      <c r="D103" s="489" t="s">
        <v>6848</v>
      </c>
      <c r="E103" s="958" t="s">
        <v>1</v>
      </c>
      <c r="F103" s="754" t="s">
        <v>6850</v>
      </c>
      <c r="G103" s="754" t="s">
        <v>6849</v>
      </c>
      <c r="H103" s="754" t="s">
        <v>6850</v>
      </c>
      <c r="I103" s="1006"/>
      <c r="J103" s="1006"/>
      <c r="K103" s="1006"/>
      <c r="L103" s="1006"/>
      <c r="M103" s="987" t="s">
        <v>3859</v>
      </c>
      <c r="N103" s="1008" t="s">
        <v>6852</v>
      </c>
      <c r="O103" s="991"/>
      <c r="P103" s="905"/>
      <c r="Q103" t="s">
        <v>6851</v>
      </c>
    </row>
    <row r="104" spans="2:17" ht="47.25">
      <c r="B104" s="532" t="s">
        <v>6853</v>
      </c>
      <c r="C104" s="532" t="s">
        <v>2908</v>
      </c>
      <c r="D104" s="489" t="s">
        <v>6854</v>
      </c>
      <c r="E104" s="958" t="s">
        <v>1023</v>
      </c>
      <c r="F104" s="754" t="s">
        <v>6855</v>
      </c>
      <c r="G104" s="754" t="s">
        <v>6856</v>
      </c>
      <c r="H104" s="754" t="s">
        <v>6856</v>
      </c>
      <c r="I104" s="1007"/>
      <c r="J104" s="1007"/>
      <c r="K104" s="1007"/>
      <c r="L104" s="1007"/>
      <c r="M104" s="987"/>
      <c r="N104" s="1008"/>
      <c r="O104" s="991"/>
      <c r="P104" s="905"/>
    </row>
    <row r="105" spans="2:17" ht="25.5" customHeight="1">
      <c r="B105" s="532" t="s">
        <v>6857</v>
      </c>
      <c r="C105" s="532" t="s">
        <v>6858</v>
      </c>
      <c r="D105" s="489" t="s">
        <v>6865</v>
      </c>
      <c r="E105" s="958" t="s">
        <v>3364</v>
      </c>
      <c r="F105" s="754" t="s">
        <v>6861</v>
      </c>
      <c r="G105" s="754" t="s">
        <v>6862</v>
      </c>
      <c r="H105" s="754" t="s">
        <v>6862</v>
      </c>
      <c r="I105" s="754" t="s">
        <v>6863</v>
      </c>
      <c r="J105" s="1009"/>
      <c r="K105" s="1009"/>
      <c r="L105" s="1009"/>
      <c r="M105" s="987" t="s">
        <v>6864</v>
      </c>
      <c r="N105" s="1008"/>
      <c r="O105" s="991"/>
      <c r="P105" s="905"/>
    </row>
    <row r="106" spans="2:17" ht="25.5" customHeight="1">
      <c r="B106" s="532" t="s">
        <v>6859</v>
      </c>
      <c r="C106" s="532" t="s">
        <v>2908</v>
      </c>
      <c r="D106" s="489" t="s">
        <v>6860</v>
      </c>
      <c r="E106" s="958" t="s">
        <v>1023</v>
      </c>
      <c r="F106" s="754" t="s">
        <v>6869</v>
      </c>
      <c r="G106" s="754" t="s">
        <v>6870</v>
      </c>
      <c r="H106" s="754" t="s">
        <v>6870</v>
      </c>
      <c r="I106" s="1009"/>
      <c r="J106" s="1009"/>
      <c r="K106" s="1009"/>
      <c r="L106" s="1009"/>
      <c r="M106" s="987" t="s">
        <v>6600</v>
      </c>
      <c r="N106" s="1008"/>
      <c r="O106" s="991"/>
      <c r="P106" s="905"/>
    </row>
    <row r="107" spans="2:17" ht="25.5" customHeight="1">
      <c r="B107" s="532" t="s">
        <v>6866</v>
      </c>
      <c r="C107" s="532" t="s">
        <v>3025</v>
      </c>
      <c r="D107" s="489" t="s">
        <v>6867</v>
      </c>
      <c r="E107" s="958" t="s">
        <v>1023</v>
      </c>
      <c r="F107" s="754" t="s">
        <v>6871</v>
      </c>
      <c r="G107" s="754" t="s">
        <v>6872</v>
      </c>
      <c r="H107" s="754" t="s">
        <v>6872</v>
      </c>
      <c r="I107" s="1010"/>
      <c r="J107" s="1010"/>
      <c r="K107" s="1010"/>
      <c r="L107" s="1010"/>
      <c r="M107" s="987" t="s">
        <v>1069</v>
      </c>
      <c r="N107" s="1008"/>
      <c r="O107" s="991"/>
      <c r="P107" s="905"/>
    </row>
    <row r="108" spans="2:17" ht="25.5" customHeight="1">
      <c r="B108" s="532" t="s">
        <v>6873</v>
      </c>
      <c r="C108" s="532" t="s">
        <v>3025</v>
      </c>
      <c r="D108" s="489" t="s">
        <v>6868</v>
      </c>
      <c r="E108" s="958" t="s">
        <v>1023</v>
      </c>
      <c r="F108" s="754" t="s">
        <v>6874</v>
      </c>
      <c r="G108" s="754" t="s">
        <v>6875</v>
      </c>
      <c r="H108" s="754" t="s">
        <v>6875</v>
      </c>
      <c r="I108" s="1010"/>
      <c r="J108" s="1010"/>
      <c r="K108" s="1010"/>
      <c r="L108" s="1010"/>
      <c r="M108" s="987" t="s">
        <v>2270</v>
      </c>
      <c r="N108" s="1008"/>
      <c r="O108" s="991"/>
      <c r="P108" s="905"/>
    </row>
    <row r="109" spans="2:17" ht="25.5" customHeight="1">
      <c r="B109" s="532" t="s">
        <v>6876</v>
      </c>
      <c r="C109" s="532" t="s">
        <v>2908</v>
      </c>
      <c r="D109" s="489" t="s">
        <v>6877</v>
      </c>
      <c r="E109" s="958" t="s">
        <v>5729</v>
      </c>
      <c r="F109" s="754" t="s">
        <v>6878</v>
      </c>
      <c r="G109" s="754" t="s">
        <v>6879</v>
      </c>
      <c r="H109" s="754" t="s">
        <v>6879</v>
      </c>
      <c r="I109" s="1011"/>
      <c r="J109" s="1011"/>
      <c r="K109" s="1011"/>
      <c r="L109" s="1011"/>
      <c r="M109" s="987"/>
      <c r="N109" s="1008"/>
      <c r="O109" s="991"/>
      <c r="P109" s="905"/>
      <c r="Q109" t="s">
        <v>6880</v>
      </c>
    </row>
    <row r="110" spans="2:17" ht="25.5" customHeight="1">
      <c r="B110" s="532" t="s">
        <v>6881</v>
      </c>
      <c r="C110" s="532" t="s">
        <v>2962</v>
      </c>
      <c r="D110" s="489" t="s">
        <v>6882</v>
      </c>
      <c r="E110" s="958" t="s">
        <v>2467</v>
      </c>
      <c r="F110" s="754" t="s">
        <v>6883</v>
      </c>
      <c r="G110" s="754" t="s">
        <v>6883</v>
      </c>
      <c r="H110" s="754" t="s">
        <v>6883</v>
      </c>
      <c r="I110" s="1012"/>
      <c r="J110" s="754" t="s">
        <v>6884</v>
      </c>
      <c r="K110" s="1012"/>
      <c r="L110" s="1012"/>
      <c r="M110" s="987"/>
      <c r="N110" s="1008"/>
      <c r="O110" s="991"/>
      <c r="P110" s="905"/>
    </row>
    <row r="111" spans="2:17" ht="25.5" customHeight="1">
      <c r="B111" s="532" t="s">
        <v>6893</v>
      </c>
      <c r="C111" s="532" t="s">
        <v>2893</v>
      </c>
      <c r="D111" s="489" t="s">
        <v>6888</v>
      </c>
      <c r="E111" s="958" t="s">
        <v>6885</v>
      </c>
      <c r="F111" s="754" t="s">
        <v>6886</v>
      </c>
      <c r="G111" s="754" t="s">
        <v>6892</v>
      </c>
      <c r="H111" s="754" t="s">
        <v>6892</v>
      </c>
      <c r="I111" s="1013"/>
      <c r="J111" s="1013"/>
      <c r="K111" s="1013"/>
      <c r="L111" s="1013"/>
      <c r="M111" s="987" t="s">
        <v>2480</v>
      </c>
      <c r="N111" s="1008" t="s">
        <v>6887</v>
      </c>
      <c r="O111" s="991" t="s">
        <v>6890</v>
      </c>
      <c r="P111" s="905" t="s">
        <v>6891</v>
      </c>
      <c r="Q111" t="s">
        <v>6889</v>
      </c>
    </row>
    <row r="112" spans="2:17" ht="94.5">
      <c r="B112" s="532" t="s">
        <v>6894</v>
      </c>
      <c r="C112" s="532" t="s">
        <v>3263</v>
      </c>
      <c r="D112" s="489" t="s">
        <v>6897</v>
      </c>
      <c r="E112" s="958" t="s">
        <v>1</v>
      </c>
      <c r="F112" s="754" t="s">
        <v>6895</v>
      </c>
      <c r="G112" s="754" t="s">
        <v>6896</v>
      </c>
      <c r="H112" s="754" t="s">
        <v>6895</v>
      </c>
      <c r="I112" s="1014"/>
      <c r="J112" s="1014"/>
      <c r="K112" s="1014"/>
      <c r="L112" s="1014"/>
      <c r="M112" s="987"/>
      <c r="N112" s="1008"/>
      <c r="O112" s="991"/>
      <c r="P112" s="905"/>
    </row>
    <row r="113" spans="2:17" ht="31.5">
      <c r="B113" s="532" t="s">
        <v>6899</v>
      </c>
      <c r="C113" s="532" t="s">
        <v>2893</v>
      </c>
      <c r="D113" s="489" t="s">
        <v>6900</v>
      </c>
      <c r="E113" s="958" t="s">
        <v>1023</v>
      </c>
      <c r="F113" s="1016" t="s">
        <v>6901</v>
      </c>
      <c r="G113" s="1016" t="s">
        <v>6902</v>
      </c>
      <c r="H113" s="1016" t="s">
        <v>6902</v>
      </c>
      <c r="I113" s="1015"/>
      <c r="J113" s="1015"/>
      <c r="K113" s="1015"/>
      <c r="L113" s="1015"/>
      <c r="M113" s="987" t="s">
        <v>6903</v>
      </c>
      <c r="N113" s="1008" t="s">
        <v>6904</v>
      </c>
      <c r="O113" s="991"/>
      <c r="P113" s="905"/>
      <c r="Q113" s="1017" t="s">
        <v>6905</v>
      </c>
    </row>
    <row r="114" spans="2:17" ht="18">
      <c r="B114" s="532" t="s">
        <v>6906</v>
      </c>
      <c r="C114" s="532" t="s">
        <v>3025</v>
      </c>
      <c r="D114" s="489" t="s">
        <v>6907</v>
      </c>
      <c r="E114" s="958" t="s">
        <v>1023</v>
      </c>
      <c r="F114" s="1016" t="s">
        <v>6908</v>
      </c>
      <c r="G114" s="1016" t="s">
        <v>6909</v>
      </c>
      <c r="H114" s="1016" t="s">
        <v>6909</v>
      </c>
      <c r="I114" s="1018"/>
      <c r="J114" s="1018"/>
      <c r="K114" s="1018"/>
      <c r="L114" s="1018"/>
      <c r="M114" s="987" t="s">
        <v>6910</v>
      </c>
      <c r="N114" s="1008"/>
      <c r="O114" s="991"/>
      <c r="P114" s="905"/>
      <c r="Q114" s="1017"/>
    </row>
    <row r="115" spans="2:17" ht="18">
      <c r="B115" s="532" t="s">
        <v>6911</v>
      </c>
      <c r="C115" s="532" t="s">
        <v>3141</v>
      </c>
      <c r="D115" s="489" t="s">
        <v>6912</v>
      </c>
      <c r="E115" s="958" t="s">
        <v>996</v>
      </c>
      <c r="F115" s="1019"/>
      <c r="G115" s="1019"/>
      <c r="H115" s="1019"/>
      <c r="I115" s="754" t="s">
        <v>6913</v>
      </c>
      <c r="J115" s="1019"/>
      <c r="K115" s="1019"/>
      <c r="L115" s="1019"/>
      <c r="M115" s="987"/>
      <c r="N115" s="1008"/>
      <c r="O115" s="991"/>
      <c r="P115" s="905"/>
      <c r="Q115" s="1017" t="s">
        <v>6914</v>
      </c>
    </row>
    <row r="116" spans="2:17" ht="31.5">
      <c r="B116" s="532" t="s">
        <v>6915</v>
      </c>
      <c r="C116" s="532" t="s">
        <v>3025</v>
      </c>
      <c r="D116" s="489" t="s">
        <v>6972</v>
      </c>
      <c r="E116" s="958" t="s">
        <v>6916</v>
      </c>
      <c r="F116" s="1016" t="s">
        <v>6917</v>
      </c>
      <c r="G116" s="1016" t="s">
        <v>6918</v>
      </c>
      <c r="H116" s="1016" t="s">
        <v>6918</v>
      </c>
      <c r="I116" s="1020"/>
      <c r="J116" s="1020"/>
      <c r="K116" s="1020"/>
      <c r="L116" s="1020"/>
      <c r="M116" s="987"/>
      <c r="N116" s="1008"/>
      <c r="O116" s="991"/>
      <c r="P116" s="905"/>
      <c r="Q116" s="1017"/>
    </row>
    <row r="117" spans="2:17" ht="47.25">
      <c r="B117" s="532" t="s">
        <v>6919</v>
      </c>
      <c r="C117" s="532" t="s">
        <v>6711</v>
      </c>
      <c r="D117" s="489" t="s">
        <v>6924</v>
      </c>
      <c r="E117" s="958" t="s">
        <v>6920</v>
      </c>
      <c r="F117" s="1016" t="s">
        <v>6921</v>
      </c>
      <c r="G117" s="1016" t="s">
        <v>6922</v>
      </c>
      <c r="H117" s="1016" t="s">
        <v>6922</v>
      </c>
      <c r="I117" s="1016" t="s">
        <v>6923</v>
      </c>
      <c r="J117" s="1021"/>
      <c r="K117" s="1021"/>
      <c r="L117" s="1021"/>
      <c r="M117" s="987"/>
      <c r="N117" s="1008"/>
      <c r="O117" s="991"/>
      <c r="P117" s="905"/>
      <c r="Q117" s="1017"/>
    </row>
    <row r="118" spans="2:17" ht="31.5">
      <c r="B118" s="532" t="s">
        <v>6925</v>
      </c>
      <c r="C118" s="532" t="s">
        <v>3025</v>
      </c>
      <c r="D118" s="489" t="s">
        <v>6929</v>
      </c>
      <c r="E118" s="958" t="s">
        <v>6926</v>
      </c>
      <c r="F118" s="1016" t="s">
        <v>6927</v>
      </c>
      <c r="G118" s="1016" t="s">
        <v>6927</v>
      </c>
      <c r="H118" s="1016" t="s">
        <v>6927</v>
      </c>
      <c r="I118" s="1022"/>
      <c r="J118" s="1022"/>
      <c r="K118" s="383" t="s">
        <v>6928</v>
      </c>
      <c r="L118" s="1022"/>
      <c r="M118" s="987"/>
      <c r="N118" s="1008"/>
      <c r="O118" s="991"/>
      <c r="P118" s="905"/>
      <c r="Q118" s="1017"/>
    </row>
    <row r="119" spans="2:17" ht="31.5">
      <c r="B119" s="532" t="s">
        <v>6932</v>
      </c>
      <c r="C119" s="532" t="s">
        <v>3141</v>
      </c>
      <c r="D119" s="489" t="s">
        <v>6933</v>
      </c>
      <c r="E119" s="958" t="s">
        <v>7247</v>
      </c>
      <c r="F119" s="1076" t="s">
        <v>7245</v>
      </c>
      <c r="G119" s="1076" t="s">
        <v>7246</v>
      </c>
      <c r="H119" s="1076" t="s">
        <v>7246</v>
      </c>
      <c r="I119" s="754" t="s">
        <v>6934</v>
      </c>
      <c r="J119" s="1023"/>
      <c r="K119" s="1023"/>
      <c r="L119" s="1023"/>
      <c r="M119" s="987" t="s">
        <v>6936</v>
      </c>
      <c r="N119" s="1008"/>
      <c r="O119" s="991"/>
      <c r="P119" s="905"/>
      <c r="Q119" s="1017" t="s">
        <v>6935</v>
      </c>
    </row>
    <row r="120" spans="2:17" ht="25.5">
      <c r="B120" s="532" t="s">
        <v>6937</v>
      </c>
      <c r="C120" s="532" t="s">
        <v>2908</v>
      </c>
      <c r="D120" s="489" t="s">
        <v>6938</v>
      </c>
      <c r="E120" s="958" t="s">
        <v>5729</v>
      </c>
      <c r="F120" s="1016" t="s">
        <v>6939</v>
      </c>
      <c r="G120" s="1016" t="s">
        <v>6940</v>
      </c>
      <c r="H120" s="1016" t="s">
        <v>6939</v>
      </c>
      <c r="I120" s="1024"/>
      <c r="J120" s="1024"/>
      <c r="K120" s="1024"/>
      <c r="L120" s="1024"/>
      <c r="M120" s="987" t="s">
        <v>6941</v>
      </c>
      <c r="N120" s="1008"/>
      <c r="O120" s="991"/>
      <c r="P120" s="1026" t="s">
        <v>6950</v>
      </c>
      <c r="Q120" s="1017"/>
    </row>
    <row r="121" spans="2:17" ht="25.5">
      <c r="B121" s="532" t="s">
        <v>6942</v>
      </c>
      <c r="C121" s="532" t="s">
        <v>2908</v>
      </c>
      <c r="D121" s="489" t="s">
        <v>6944</v>
      </c>
      <c r="E121" s="958" t="s">
        <v>5729</v>
      </c>
      <c r="F121" s="1016" t="s">
        <v>6946</v>
      </c>
      <c r="G121" s="1016" t="s">
        <v>6947</v>
      </c>
      <c r="H121" s="1016" t="s">
        <v>6946</v>
      </c>
      <c r="I121" s="1024"/>
      <c r="J121" s="1024"/>
      <c r="K121" s="1024"/>
      <c r="L121" s="1024"/>
      <c r="M121" s="987" t="s">
        <v>6941</v>
      </c>
      <c r="N121" s="1008"/>
      <c r="O121" s="991"/>
      <c r="P121" s="1026" t="s">
        <v>6950</v>
      </c>
      <c r="Q121" s="1017"/>
    </row>
    <row r="122" spans="2:17" ht="25.5">
      <c r="B122" s="532" t="s">
        <v>6943</v>
      </c>
      <c r="C122" s="532" t="s">
        <v>2908</v>
      </c>
      <c r="D122" s="489" t="s">
        <v>6945</v>
      </c>
      <c r="E122" s="958" t="s">
        <v>5729</v>
      </c>
      <c r="F122" s="1016" t="s">
        <v>6948</v>
      </c>
      <c r="G122" s="1016" t="s">
        <v>6949</v>
      </c>
      <c r="H122" s="1016" t="s">
        <v>6948</v>
      </c>
      <c r="I122" s="1024"/>
      <c r="J122" s="1024"/>
      <c r="K122" s="1024"/>
      <c r="L122" s="1024"/>
      <c r="M122" s="987" t="s">
        <v>6941</v>
      </c>
      <c r="N122" s="1008"/>
      <c r="O122" s="991"/>
      <c r="P122" s="1026" t="s">
        <v>6950</v>
      </c>
      <c r="Q122" s="1017"/>
    </row>
    <row r="123" spans="2:17" ht="38.25">
      <c r="B123" s="532" t="s">
        <v>6951</v>
      </c>
      <c r="C123" s="532" t="s">
        <v>2908</v>
      </c>
      <c r="D123" s="489" t="s">
        <v>6952</v>
      </c>
      <c r="E123" s="958" t="s">
        <v>1023</v>
      </c>
      <c r="F123" s="1016" t="s">
        <v>6953</v>
      </c>
      <c r="G123" s="1016" t="s">
        <v>6954</v>
      </c>
      <c r="H123" s="1016" t="s">
        <v>6954</v>
      </c>
      <c r="I123" s="1025"/>
      <c r="J123" s="1025"/>
      <c r="K123" s="1025"/>
      <c r="L123" s="1025"/>
      <c r="M123" s="987" t="s">
        <v>6955</v>
      </c>
      <c r="N123" s="1008"/>
      <c r="O123" s="991"/>
      <c r="P123" s="1026" t="s">
        <v>6956</v>
      </c>
      <c r="Q123" s="1017"/>
    </row>
    <row r="124" spans="2:17" ht="31.5">
      <c r="B124" s="532" t="s">
        <v>6957</v>
      </c>
      <c r="C124" s="532" t="s">
        <v>2894</v>
      </c>
      <c r="D124" s="489" t="s">
        <v>6958</v>
      </c>
      <c r="E124" s="958" t="s">
        <v>1023</v>
      </c>
      <c r="F124" s="1016" t="s">
        <v>6959</v>
      </c>
      <c r="G124" s="1016" t="s">
        <v>6960</v>
      </c>
      <c r="H124" s="1016" t="s">
        <v>6960</v>
      </c>
      <c r="I124" s="1027"/>
      <c r="J124" s="1027"/>
      <c r="K124" s="1027"/>
      <c r="L124" s="1027"/>
      <c r="M124" s="987"/>
      <c r="N124" s="1008"/>
      <c r="O124" s="991"/>
      <c r="P124" s="1026"/>
      <c r="Q124" s="1017" t="s">
        <v>6961</v>
      </c>
    </row>
    <row r="125" spans="2:17" ht="18">
      <c r="B125" s="532" t="s">
        <v>6962</v>
      </c>
      <c r="C125" s="532" t="s">
        <v>2894</v>
      </c>
      <c r="D125" s="489" t="s">
        <v>6963</v>
      </c>
      <c r="E125" s="958" t="s">
        <v>1023</v>
      </c>
      <c r="F125" s="1016" t="s">
        <v>6965</v>
      </c>
      <c r="G125" s="1016" t="s">
        <v>6966</v>
      </c>
      <c r="H125" s="1016" t="s">
        <v>6966</v>
      </c>
      <c r="I125" s="1028"/>
      <c r="J125" s="1028"/>
      <c r="K125" s="1028"/>
      <c r="L125" s="1028"/>
      <c r="M125" s="987"/>
      <c r="N125" s="1008"/>
      <c r="O125" s="991"/>
      <c r="P125" s="1026" t="s">
        <v>6964</v>
      </c>
      <c r="Q125" s="1017"/>
    </row>
    <row r="126" spans="2:17" ht="31.5">
      <c r="B126" s="532" t="s">
        <v>6967</v>
      </c>
      <c r="C126" s="532" t="s">
        <v>2908</v>
      </c>
      <c r="D126" s="489" t="s">
        <v>6968</v>
      </c>
      <c r="E126" s="958" t="s">
        <v>1023</v>
      </c>
      <c r="F126" s="1016" t="s">
        <v>6970</v>
      </c>
      <c r="G126" s="1016" t="s">
        <v>6971</v>
      </c>
      <c r="H126" s="1016" t="s">
        <v>6971</v>
      </c>
      <c r="I126" s="1029"/>
      <c r="J126" s="1029"/>
      <c r="K126" s="1029"/>
      <c r="L126" s="1029"/>
      <c r="M126" s="987"/>
      <c r="N126" s="1008"/>
      <c r="O126" s="991" t="s">
        <v>6969</v>
      </c>
      <c r="P126" s="1026"/>
      <c r="Q126" s="1017"/>
    </row>
    <row r="127" spans="2:17" ht="31.5">
      <c r="B127" s="532" t="s">
        <v>6973</v>
      </c>
      <c r="C127" s="532" t="s">
        <v>3025</v>
      </c>
      <c r="D127" s="489" t="s">
        <v>6974</v>
      </c>
      <c r="E127" s="958" t="s">
        <v>1023</v>
      </c>
      <c r="F127" s="1016" t="s">
        <v>6975</v>
      </c>
      <c r="G127" s="1016" t="s">
        <v>6976</v>
      </c>
      <c r="H127" s="1016" t="s">
        <v>6976</v>
      </c>
      <c r="I127" s="1030"/>
      <c r="J127" s="1030"/>
      <c r="K127" s="1030"/>
      <c r="L127" s="1030"/>
      <c r="M127" s="987"/>
      <c r="N127" s="1008"/>
      <c r="O127" s="991"/>
      <c r="P127" s="1026" t="s">
        <v>2324</v>
      </c>
      <c r="Q127" s="1017" t="s">
        <v>2667</v>
      </c>
    </row>
    <row r="128" spans="2:17" ht="18">
      <c r="B128" s="532" t="s">
        <v>6977</v>
      </c>
      <c r="C128" s="532" t="s">
        <v>2894</v>
      </c>
      <c r="D128" s="489" t="s">
        <v>6978</v>
      </c>
      <c r="E128" s="958" t="s">
        <v>5887</v>
      </c>
      <c r="F128" s="1016" t="s">
        <v>6979</v>
      </c>
      <c r="G128" s="1016" t="s">
        <v>6980</v>
      </c>
      <c r="H128" s="1016" t="s">
        <v>6980</v>
      </c>
      <c r="I128" s="1031"/>
      <c r="J128" s="1031"/>
      <c r="K128" s="1031"/>
      <c r="L128" s="1031"/>
      <c r="M128" s="987"/>
      <c r="N128" s="1008"/>
      <c r="O128" s="991"/>
      <c r="P128" s="1026" t="s">
        <v>6964</v>
      </c>
      <c r="Q128" s="1017"/>
    </row>
  </sheetData>
  <mergeCells count="3">
    <mergeCell ref="M1:M2"/>
    <mergeCell ref="P1:P2"/>
    <mergeCell ref="F6:L6"/>
  </mergeCells>
  <pageMargins left="0.70866141732283472" right="0.70866141732283472" top="0.74803149606299213" bottom="0.74803149606299213" header="0.31496062992125984" footer="0.31496062992125984"/>
  <pageSetup paperSize="9" orientation="landscape"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D0B58-E291-4778-8D22-07F414754591}">
  <dimension ref="A1:R117"/>
  <sheetViews>
    <sheetView tabSelected="1" topLeftCell="F57" workbookViewId="0">
      <selection activeCell="R71" sqref="R71"/>
    </sheetView>
  </sheetViews>
  <sheetFormatPr baseColWidth="10" defaultRowHeight="12.75"/>
  <cols>
    <col min="1" max="1" width="5" customWidth="1"/>
    <col min="2" max="2" width="13" customWidth="1"/>
    <col min="3" max="3" width="10.140625" customWidth="1"/>
    <col min="4" max="4" width="59.7109375" customWidth="1"/>
    <col min="5" max="5" width="29.85546875" customWidth="1"/>
    <col min="6" max="6" width="14.140625" customWidth="1"/>
    <col min="7" max="7" width="13" customWidth="1"/>
    <col min="8" max="8" width="15.28515625" customWidth="1"/>
    <col min="9" max="9" width="13.140625" customWidth="1"/>
    <col min="10" max="10" width="14.28515625" customWidth="1"/>
    <col min="12" max="12" width="16.140625" customWidth="1"/>
    <col min="13" max="13" width="32.85546875" customWidth="1"/>
    <col min="14" max="14" width="29" customWidth="1"/>
    <col min="15" max="15" width="29.28515625" customWidth="1"/>
    <col min="16" max="16" width="22.140625" customWidth="1"/>
    <col min="17" max="17" width="33.42578125" customWidth="1"/>
  </cols>
  <sheetData>
    <row r="1" spans="1:18" s="20" customFormat="1" ht="39.6" customHeight="1">
      <c r="E1" s="119"/>
      <c r="M1" s="1078"/>
      <c r="N1" s="948"/>
      <c r="O1" s="948"/>
      <c r="P1" s="948"/>
      <c r="Q1" s="1078"/>
    </row>
    <row r="2" spans="1:18" s="20" customFormat="1" ht="10.5" customHeight="1">
      <c r="E2" s="119"/>
      <c r="M2" s="1079"/>
      <c r="N2" s="949"/>
      <c r="O2" s="949"/>
      <c r="P2" s="949"/>
      <c r="Q2" s="1079"/>
    </row>
    <row r="3" spans="1:18" s="20" customFormat="1" ht="10.5" customHeight="1" thickBot="1">
      <c r="A3" s="864"/>
      <c r="E3" s="119"/>
      <c r="M3" s="949"/>
      <c r="N3" s="949"/>
      <c r="O3" s="949"/>
      <c r="P3" s="949"/>
      <c r="Q3" s="949"/>
    </row>
    <row r="4" spans="1:18" s="1032" customFormat="1" ht="21.75" thickBot="1">
      <c r="B4" s="1170" t="s">
        <v>6981</v>
      </c>
      <c r="C4" s="1171"/>
      <c r="D4" s="1171"/>
      <c r="E4" s="1171"/>
      <c r="F4" s="1171"/>
      <c r="G4" s="1171"/>
      <c r="H4" s="1171"/>
      <c r="I4" s="1171"/>
      <c r="J4" s="1171"/>
      <c r="K4" s="1171"/>
      <c r="L4" s="1171"/>
      <c r="M4" s="1171"/>
      <c r="N4" s="1171"/>
      <c r="O4" s="1171"/>
      <c r="P4" s="1171"/>
      <c r="Q4" s="1071"/>
    </row>
    <row r="5" spans="1:18" s="20" customFormat="1" ht="14.25" thickTop="1" thickBot="1">
      <c r="A5" s="864" t="s">
        <v>1528</v>
      </c>
      <c r="B5" s="1038"/>
      <c r="E5" s="119"/>
      <c r="M5" s="61"/>
      <c r="N5" s="61"/>
      <c r="O5" s="61"/>
      <c r="P5" s="61"/>
      <c r="Q5" s="61"/>
    </row>
    <row r="6" spans="1:18" s="336" customFormat="1" ht="21" thickBot="1">
      <c r="B6" s="850"/>
      <c r="C6" s="851"/>
      <c r="D6" s="851"/>
      <c r="E6" s="852"/>
      <c r="F6" s="851"/>
      <c r="G6" s="853"/>
      <c r="H6" s="853"/>
      <c r="I6" s="853"/>
      <c r="J6" s="853"/>
      <c r="K6" s="853"/>
      <c r="L6" s="853"/>
      <c r="M6" s="854"/>
      <c r="N6" s="853"/>
      <c r="O6" s="853"/>
      <c r="P6" s="853"/>
      <c r="Q6" s="855"/>
    </row>
    <row r="7" spans="1:18" s="20" customFormat="1" ht="17.25" thickTop="1" thickBot="1">
      <c r="A7" s="864"/>
      <c r="B7" s="863"/>
      <c r="C7" s="26"/>
      <c r="D7" s="26"/>
      <c r="E7" s="857"/>
      <c r="F7" s="121"/>
      <c r="G7" s="27"/>
      <c r="H7" s="27"/>
      <c r="I7" s="27"/>
      <c r="J7" s="27"/>
      <c r="K7" s="27"/>
      <c r="L7" s="27"/>
      <c r="M7" s="27"/>
      <c r="N7" s="27"/>
      <c r="O7" s="27"/>
      <c r="P7" s="27"/>
      <c r="Q7" s="858"/>
    </row>
    <row r="8" spans="1:18" s="20" customFormat="1" ht="16.5" customHeight="1" thickBot="1">
      <c r="B8" s="856"/>
      <c r="C8" s="26"/>
      <c r="D8" s="26"/>
      <c r="E8" s="121"/>
      <c r="F8" s="1165" t="s">
        <v>1026</v>
      </c>
      <c r="G8" s="1166"/>
      <c r="H8" s="1166"/>
      <c r="I8" s="1166"/>
      <c r="J8" s="1167"/>
      <c r="K8" s="1168"/>
      <c r="L8" s="1169"/>
      <c r="M8" s="27"/>
      <c r="N8" s="27"/>
      <c r="O8" s="27"/>
      <c r="P8" s="27"/>
      <c r="Q8" s="858"/>
    </row>
    <row r="9" spans="1:18" s="330" customFormat="1" ht="34.5" customHeight="1" thickTop="1" thickBot="1">
      <c r="B9" s="1039" t="s">
        <v>992</v>
      </c>
      <c r="C9" s="1040" t="s">
        <v>2892</v>
      </c>
      <c r="D9" s="1039" t="s">
        <v>993</v>
      </c>
      <c r="E9" s="1041" t="s">
        <v>994</v>
      </c>
      <c r="F9" s="1042" t="s">
        <v>0</v>
      </c>
      <c r="G9" s="1043" t="s">
        <v>1</v>
      </c>
      <c r="H9" s="1044" t="s">
        <v>5730</v>
      </c>
      <c r="I9" s="1044" t="s">
        <v>996</v>
      </c>
      <c r="J9" s="1044" t="s">
        <v>2511</v>
      </c>
      <c r="K9" s="1044" t="s">
        <v>5764</v>
      </c>
      <c r="L9" s="1045" t="s">
        <v>6109</v>
      </c>
      <c r="M9" s="1046" t="s">
        <v>4</v>
      </c>
      <c r="N9" s="996" t="s">
        <v>6805</v>
      </c>
      <c r="O9" s="989" t="s">
        <v>6614</v>
      </c>
      <c r="P9" s="989" t="s">
        <v>6988</v>
      </c>
      <c r="Q9" s="624" t="s">
        <v>4523</v>
      </c>
    </row>
    <row r="10" spans="1:18" ht="28.5">
      <c r="B10" s="532" t="s">
        <v>6982</v>
      </c>
      <c r="C10" s="532" t="s">
        <v>2893</v>
      </c>
      <c r="D10" s="489" t="s">
        <v>6983</v>
      </c>
      <c r="E10" s="1057" t="s">
        <v>1023</v>
      </c>
      <c r="F10" s="1035" t="s">
        <v>6986</v>
      </c>
      <c r="G10" s="754" t="s">
        <v>6987</v>
      </c>
      <c r="H10" s="754" t="s">
        <v>6987</v>
      </c>
      <c r="I10" s="1047"/>
      <c r="J10" s="1047"/>
      <c r="K10" s="1047"/>
      <c r="L10" s="1048"/>
      <c r="M10" s="1051" t="s">
        <v>6990</v>
      </c>
      <c r="N10" s="998" t="s">
        <v>6984</v>
      </c>
      <c r="O10" s="1050" t="s">
        <v>6985</v>
      </c>
      <c r="P10" s="1049" t="s">
        <v>6989</v>
      </c>
      <c r="Q10" s="1055"/>
      <c r="R10" s="1053">
        <v>173500</v>
      </c>
    </row>
    <row r="11" spans="1:18" ht="30">
      <c r="B11" s="532" t="s">
        <v>6991</v>
      </c>
      <c r="C11" s="532" t="s">
        <v>2893</v>
      </c>
      <c r="D11" s="489" t="s">
        <v>6999</v>
      </c>
      <c r="E11" s="1057" t="s">
        <v>7000</v>
      </c>
      <c r="F11" s="1035" t="s">
        <v>7058</v>
      </c>
      <c r="G11" s="754" t="s">
        <v>7059</v>
      </c>
      <c r="H11" s="754" t="s">
        <v>7059</v>
      </c>
      <c r="I11" s="1047"/>
      <c r="J11" s="1047"/>
      <c r="K11" s="1047"/>
      <c r="L11" s="1060" t="s">
        <v>7058</v>
      </c>
      <c r="M11" s="1051" t="s">
        <v>7113</v>
      </c>
      <c r="N11" s="998" t="s">
        <v>7115</v>
      </c>
      <c r="O11" s="1050" t="s">
        <v>7114</v>
      </c>
      <c r="P11" s="1068" t="s">
        <v>7001</v>
      </c>
      <c r="Q11" s="1055"/>
      <c r="R11" s="1054" t="s">
        <v>7065</v>
      </c>
    </row>
    <row r="12" spans="1:18" ht="18">
      <c r="B12" s="532" t="s">
        <v>6998</v>
      </c>
      <c r="C12" s="532" t="s">
        <v>3114</v>
      </c>
      <c r="D12" s="489" t="s">
        <v>6992</v>
      </c>
      <c r="E12" s="1057" t="s">
        <v>6993</v>
      </c>
      <c r="F12" s="1035" t="s">
        <v>7310</v>
      </c>
      <c r="G12" s="1035" t="s">
        <v>7309</v>
      </c>
      <c r="H12" s="1035" t="s">
        <v>7309</v>
      </c>
      <c r="I12" s="754" t="s">
        <v>7308</v>
      </c>
      <c r="J12" s="1047"/>
      <c r="K12" s="1047"/>
      <c r="L12" s="1048"/>
      <c r="M12" s="1051" t="s">
        <v>6997</v>
      </c>
      <c r="N12" s="998" t="s">
        <v>6994</v>
      </c>
      <c r="O12" s="1050" t="s">
        <v>7031</v>
      </c>
      <c r="P12" s="1068" t="s">
        <v>6996</v>
      </c>
      <c r="Q12" s="1055"/>
      <c r="R12" s="1054" t="s">
        <v>6995</v>
      </c>
    </row>
    <row r="13" spans="1:18" ht="30">
      <c r="B13" s="532" t="s">
        <v>7002</v>
      </c>
      <c r="C13" s="532" t="s">
        <v>3141</v>
      </c>
      <c r="D13" s="489" t="s">
        <v>7003</v>
      </c>
      <c r="E13" s="1057" t="s">
        <v>996</v>
      </c>
      <c r="F13" s="1061"/>
      <c r="G13" s="1062"/>
      <c r="H13" s="1062"/>
      <c r="I13" s="754" t="s">
        <v>7004</v>
      </c>
      <c r="J13" s="1047"/>
      <c r="K13" s="1047"/>
      <c r="L13" s="1047"/>
      <c r="M13" s="1051" t="s">
        <v>7005</v>
      </c>
      <c r="N13" s="998"/>
      <c r="O13" s="1050"/>
      <c r="P13" s="1068"/>
      <c r="Q13" s="1056" t="s">
        <v>7006</v>
      </c>
      <c r="R13" s="1054"/>
    </row>
    <row r="14" spans="1:18" ht="30">
      <c r="B14" s="532" t="s">
        <v>7007</v>
      </c>
      <c r="C14" s="532" t="s">
        <v>7008</v>
      </c>
      <c r="D14" s="489" t="s">
        <v>7009</v>
      </c>
      <c r="E14" s="1057" t="s">
        <v>7010</v>
      </c>
      <c r="F14" s="1065" t="s">
        <v>7011</v>
      </c>
      <c r="G14" s="1065" t="s">
        <v>7012</v>
      </c>
      <c r="H14" s="1066" t="s">
        <v>7013</v>
      </c>
      <c r="I14" s="754" t="s">
        <v>7014</v>
      </c>
      <c r="J14" s="1047"/>
      <c r="K14" s="1047"/>
      <c r="L14" s="1048"/>
      <c r="M14" s="1051" t="s">
        <v>7016</v>
      </c>
      <c r="N14" s="998"/>
      <c r="O14" s="1064"/>
      <c r="P14" s="1068" t="s">
        <v>7015</v>
      </c>
      <c r="Q14" s="1067" t="s">
        <v>7017</v>
      </c>
      <c r="R14" s="1063" t="s">
        <v>7018</v>
      </c>
    </row>
    <row r="15" spans="1:18" ht="18">
      <c r="B15" s="532" t="s">
        <v>7019</v>
      </c>
      <c r="C15" s="532" t="s">
        <v>3141</v>
      </c>
      <c r="D15" s="489" t="s">
        <v>7020</v>
      </c>
      <c r="E15" s="1057" t="s">
        <v>996</v>
      </c>
      <c r="F15" s="1061"/>
      <c r="G15" s="1062"/>
      <c r="H15" s="1062"/>
      <c r="I15" s="754" t="s">
        <v>7021</v>
      </c>
      <c r="J15" s="1047"/>
      <c r="K15" s="1047"/>
      <c r="L15" s="1048"/>
      <c r="M15" s="1051" t="s">
        <v>4596</v>
      </c>
      <c r="N15" s="998"/>
      <c r="O15" s="1050"/>
      <c r="P15" s="1068" t="s">
        <v>7022</v>
      </c>
      <c r="Q15" s="1056"/>
      <c r="R15" s="1054" t="s">
        <v>5957</v>
      </c>
    </row>
    <row r="16" spans="1:18" ht="30">
      <c r="B16" s="532" t="s">
        <v>7024</v>
      </c>
      <c r="C16" s="532" t="s">
        <v>3263</v>
      </c>
      <c r="D16" s="489" t="s">
        <v>7029</v>
      </c>
      <c r="E16" s="1057" t="s">
        <v>1</v>
      </c>
      <c r="F16" s="1035" t="s">
        <v>7025</v>
      </c>
      <c r="G16" s="1035" t="s">
        <v>7026</v>
      </c>
      <c r="H16" s="1035" t="s">
        <v>7025</v>
      </c>
      <c r="I16" s="1047"/>
      <c r="J16" s="1047"/>
      <c r="K16" s="1047"/>
      <c r="L16" s="1048"/>
      <c r="M16" s="1051" t="s">
        <v>7027</v>
      </c>
      <c r="N16" s="998"/>
      <c r="O16" s="1050"/>
      <c r="P16" s="1068" t="s">
        <v>7028</v>
      </c>
      <c r="Q16" s="1056"/>
      <c r="R16" s="1063" t="s">
        <v>7030</v>
      </c>
    </row>
    <row r="17" spans="2:18" ht="18">
      <c r="B17" s="532" t="s">
        <v>7032</v>
      </c>
      <c r="C17" s="532" t="s">
        <v>2962</v>
      </c>
      <c r="D17" s="489" t="s">
        <v>7033</v>
      </c>
      <c r="E17" s="1057" t="s">
        <v>2467</v>
      </c>
      <c r="F17" s="1047"/>
      <c r="G17" s="1047"/>
      <c r="H17" s="1047"/>
      <c r="I17" s="1047"/>
      <c r="J17" s="1070" t="s">
        <v>7034</v>
      </c>
      <c r="K17" s="1047"/>
      <c r="L17" s="1047"/>
      <c r="M17" s="1051"/>
      <c r="N17" s="998"/>
      <c r="O17" s="1050"/>
      <c r="P17" s="1068"/>
      <c r="Q17" s="1056"/>
      <c r="R17" s="1054"/>
    </row>
    <row r="18" spans="2:18" ht="31.5">
      <c r="B18" s="532" t="s">
        <v>7040</v>
      </c>
      <c r="C18" s="532" t="s">
        <v>2962</v>
      </c>
      <c r="D18" s="489" t="s">
        <v>7035</v>
      </c>
      <c r="E18" s="1057" t="s">
        <v>7038</v>
      </c>
      <c r="F18" s="1047"/>
      <c r="G18" s="1047"/>
      <c r="H18" s="1047"/>
      <c r="I18" s="1047"/>
      <c r="J18" s="1070" t="s">
        <v>7044</v>
      </c>
      <c r="K18" s="1047"/>
      <c r="L18" s="1047"/>
      <c r="M18" s="1051"/>
      <c r="N18" s="998"/>
      <c r="O18" s="1050"/>
      <c r="P18" s="1068"/>
      <c r="Q18" s="1056"/>
      <c r="R18" s="1054"/>
    </row>
    <row r="19" spans="2:18" ht="31.5">
      <c r="B19" s="532" t="s">
        <v>7041</v>
      </c>
      <c r="C19" s="532" t="s">
        <v>2962</v>
      </c>
      <c r="D19" s="489" t="s">
        <v>7036</v>
      </c>
      <c r="E19" s="1057" t="s">
        <v>7039</v>
      </c>
      <c r="F19" s="1047"/>
      <c r="G19" s="1047"/>
      <c r="H19" s="1047"/>
      <c r="I19" s="1047"/>
      <c r="J19" s="1070" t="s">
        <v>7045</v>
      </c>
      <c r="K19" s="1047"/>
      <c r="L19" s="1047"/>
      <c r="M19" s="1051"/>
      <c r="N19" s="998"/>
      <c r="O19" s="1050"/>
      <c r="P19" s="1068"/>
      <c r="Q19" s="1056"/>
      <c r="R19" s="1054" t="s">
        <v>7048</v>
      </c>
    </row>
    <row r="20" spans="2:18" ht="31.5">
      <c r="B20" s="532" t="s">
        <v>7042</v>
      </c>
      <c r="C20" s="532" t="s">
        <v>2962</v>
      </c>
      <c r="D20" s="489" t="s">
        <v>7037</v>
      </c>
      <c r="E20" s="1057" t="s">
        <v>6731</v>
      </c>
      <c r="F20" s="1070" t="s">
        <v>7051</v>
      </c>
      <c r="G20" s="1047"/>
      <c r="H20" s="1047"/>
      <c r="I20" s="1047"/>
      <c r="J20" s="1070" t="s">
        <v>7046</v>
      </c>
      <c r="K20" s="1047"/>
      <c r="L20" s="1047"/>
      <c r="M20" s="1051"/>
      <c r="N20" s="998"/>
      <c r="O20" s="1050"/>
      <c r="P20" s="1068"/>
      <c r="Q20" s="1056"/>
      <c r="R20" s="1054"/>
    </row>
    <row r="21" spans="2:18" ht="31.5">
      <c r="B21" s="532" t="s">
        <v>7043</v>
      </c>
      <c r="C21" s="532" t="s">
        <v>2962</v>
      </c>
      <c r="D21" s="489" t="s">
        <v>7050</v>
      </c>
      <c r="E21" s="1057" t="s">
        <v>2467</v>
      </c>
      <c r="F21" s="1047"/>
      <c r="G21" s="1047"/>
      <c r="H21" s="1047"/>
      <c r="I21" s="1047"/>
      <c r="J21" s="1070" t="s">
        <v>7047</v>
      </c>
      <c r="K21" s="1033"/>
      <c r="L21" s="1036"/>
      <c r="M21" s="1051"/>
      <c r="N21" s="998"/>
      <c r="O21" s="1050"/>
      <c r="P21" s="1068" t="s">
        <v>7049</v>
      </c>
      <c r="Q21" s="1056"/>
      <c r="R21" s="1054"/>
    </row>
    <row r="22" spans="2:18" ht="31.5">
      <c r="B22" s="532" t="s">
        <v>7052</v>
      </c>
      <c r="C22" s="532" t="s">
        <v>2908</v>
      </c>
      <c r="D22" s="489" t="s">
        <v>7053</v>
      </c>
      <c r="E22" s="1057" t="s">
        <v>5729</v>
      </c>
      <c r="F22" s="1070" t="s">
        <v>7054</v>
      </c>
      <c r="G22" s="1070" t="s">
        <v>7055</v>
      </c>
      <c r="H22" s="1070" t="s">
        <v>7055</v>
      </c>
      <c r="I22" s="1047"/>
      <c r="J22" s="1047"/>
      <c r="K22" s="1047"/>
      <c r="L22" s="1047"/>
      <c r="M22" s="1051"/>
      <c r="N22" s="998"/>
      <c r="O22" s="1050"/>
      <c r="P22" s="1068" t="s">
        <v>7056</v>
      </c>
      <c r="Q22" s="1056"/>
      <c r="R22" s="1054" t="s">
        <v>7057</v>
      </c>
    </row>
    <row r="23" spans="2:18" ht="30">
      <c r="B23" s="532" t="s">
        <v>7060</v>
      </c>
      <c r="C23" s="532" t="s">
        <v>3025</v>
      </c>
      <c r="D23" s="489" t="s">
        <v>7061</v>
      </c>
      <c r="E23" s="1057" t="s">
        <v>7062</v>
      </c>
      <c r="F23" s="1070" t="s">
        <v>7063</v>
      </c>
      <c r="G23" s="1070" t="s">
        <v>7064</v>
      </c>
      <c r="H23" s="1070" t="s">
        <v>7064</v>
      </c>
      <c r="I23" s="1047"/>
      <c r="J23" s="1047"/>
      <c r="K23" s="1047"/>
      <c r="L23" s="1047"/>
      <c r="M23" s="1051"/>
      <c r="N23" s="998"/>
      <c r="O23" s="1050"/>
      <c r="P23" s="1068" t="s">
        <v>7056</v>
      </c>
      <c r="Q23" s="1056"/>
      <c r="R23" s="1054" t="s">
        <v>7057</v>
      </c>
    </row>
    <row r="24" spans="2:18" ht="18">
      <c r="B24" s="532" t="s">
        <v>7066</v>
      </c>
      <c r="C24" s="532" t="s">
        <v>3141</v>
      </c>
      <c r="D24" s="489" t="s">
        <v>7067</v>
      </c>
      <c r="E24" s="1057" t="s">
        <v>996</v>
      </c>
      <c r="F24" s="1061"/>
      <c r="G24" s="1062"/>
      <c r="H24" s="1062"/>
      <c r="I24" s="754" t="s">
        <v>7068</v>
      </c>
      <c r="J24" s="1047"/>
      <c r="K24" s="1047"/>
      <c r="L24" s="1048"/>
      <c r="M24" s="1051" t="s">
        <v>4330</v>
      </c>
      <c r="N24" s="998" t="s">
        <v>7070</v>
      </c>
      <c r="O24" s="1050"/>
      <c r="P24" s="1068" t="s">
        <v>7069</v>
      </c>
      <c r="Q24" s="1056"/>
      <c r="R24" s="1054" t="s">
        <v>5957</v>
      </c>
    </row>
    <row r="25" spans="2:18" ht="30">
      <c r="B25" s="532" t="s">
        <v>7071</v>
      </c>
      <c r="C25" s="532" t="s">
        <v>2908</v>
      </c>
      <c r="D25" s="489" t="s">
        <v>7072</v>
      </c>
      <c r="E25" s="1057" t="s">
        <v>7073</v>
      </c>
      <c r="F25" s="1070" t="s">
        <v>7074</v>
      </c>
      <c r="G25" s="1070" t="s">
        <v>7075</v>
      </c>
      <c r="H25" s="1070" t="s">
        <v>7075</v>
      </c>
      <c r="I25" s="1047"/>
      <c r="J25" s="1047"/>
      <c r="K25" s="1047"/>
      <c r="L25" s="1047"/>
      <c r="M25" s="1051"/>
      <c r="N25" s="998"/>
      <c r="O25" s="1050"/>
      <c r="P25" s="1068" t="s">
        <v>7076</v>
      </c>
      <c r="Q25" s="1056"/>
      <c r="R25" s="1063" t="s">
        <v>7077</v>
      </c>
    </row>
    <row r="26" spans="2:18" ht="60">
      <c r="B26" s="532" t="s">
        <v>7078</v>
      </c>
      <c r="C26" s="532" t="s">
        <v>2894</v>
      </c>
      <c r="D26" s="489" t="s">
        <v>7079</v>
      </c>
      <c r="E26" s="1057" t="s">
        <v>7080</v>
      </c>
      <c r="F26" s="1035" t="s">
        <v>7081</v>
      </c>
      <c r="G26" s="1035" t="s">
        <v>7082</v>
      </c>
      <c r="H26" s="1035" t="s">
        <v>7082</v>
      </c>
      <c r="I26" s="754" t="s">
        <v>7083</v>
      </c>
      <c r="J26" s="1033"/>
      <c r="K26" s="1033"/>
      <c r="L26" s="1036"/>
      <c r="M26" s="1051"/>
      <c r="N26" s="998"/>
      <c r="O26" s="1050"/>
      <c r="P26" s="1068"/>
      <c r="Q26" s="1056"/>
      <c r="R26" s="1063" t="s">
        <v>7084</v>
      </c>
    </row>
    <row r="27" spans="2:18" ht="63">
      <c r="B27" s="532" t="s">
        <v>7085</v>
      </c>
      <c r="C27" s="532" t="s">
        <v>2894</v>
      </c>
      <c r="D27" s="489" t="s">
        <v>7240</v>
      </c>
      <c r="E27" s="1057" t="s">
        <v>1023</v>
      </c>
      <c r="F27" s="1035" t="s">
        <v>7086</v>
      </c>
      <c r="G27" s="1035" t="s">
        <v>7087</v>
      </c>
      <c r="H27" s="1035" t="s">
        <v>7087</v>
      </c>
      <c r="I27" s="1047"/>
      <c r="J27" s="1047"/>
      <c r="K27" s="1047"/>
      <c r="L27" s="1047"/>
      <c r="M27" s="1051"/>
      <c r="N27" s="998"/>
      <c r="O27" s="1050"/>
      <c r="P27" s="1068"/>
      <c r="Q27" s="1056"/>
      <c r="R27" s="1054" t="s">
        <v>7088</v>
      </c>
    </row>
    <row r="28" spans="2:18" ht="31.5">
      <c r="B28" s="532" t="s">
        <v>7089</v>
      </c>
      <c r="C28" s="532" t="s">
        <v>3141</v>
      </c>
      <c r="D28" s="489" t="s">
        <v>7090</v>
      </c>
      <c r="E28" s="1057" t="s">
        <v>996</v>
      </c>
      <c r="F28" s="1061"/>
      <c r="G28" s="1062"/>
      <c r="H28" s="1062"/>
      <c r="I28" s="754" t="s">
        <v>7091</v>
      </c>
      <c r="J28" s="1047"/>
      <c r="K28" s="1047"/>
      <c r="L28" s="1048"/>
      <c r="M28" s="1051" t="s">
        <v>4330</v>
      </c>
      <c r="N28" s="998"/>
      <c r="O28" s="1050"/>
      <c r="P28" s="1052" t="s">
        <v>7092</v>
      </c>
      <c r="Q28" s="1056" t="s">
        <v>7093</v>
      </c>
      <c r="R28" s="1054" t="s">
        <v>7094</v>
      </c>
    </row>
    <row r="29" spans="2:18" ht="47.25">
      <c r="B29" s="532" t="s">
        <v>7095</v>
      </c>
      <c r="C29" s="532" t="s">
        <v>3025</v>
      </c>
      <c r="D29" s="489" t="s">
        <v>7096</v>
      </c>
      <c r="E29" s="1057" t="s">
        <v>1023</v>
      </c>
      <c r="F29" s="1035" t="s">
        <v>7097</v>
      </c>
      <c r="G29" s="1035" t="s">
        <v>7098</v>
      </c>
      <c r="H29" s="1035" t="s">
        <v>7098</v>
      </c>
      <c r="I29" s="1047"/>
      <c r="J29" s="1047"/>
      <c r="K29" s="1047"/>
      <c r="L29" s="1047"/>
      <c r="M29" s="1051" t="s">
        <v>7099</v>
      </c>
      <c r="N29" s="998" t="s">
        <v>7100</v>
      </c>
      <c r="O29" s="990"/>
      <c r="P29" s="1052" t="s">
        <v>7101</v>
      </c>
      <c r="Q29" s="1056"/>
      <c r="R29" s="1054" t="s">
        <v>7102</v>
      </c>
    </row>
    <row r="30" spans="2:18" ht="30">
      <c r="B30" s="532" t="s">
        <v>7103</v>
      </c>
      <c r="C30" s="532" t="s">
        <v>2908</v>
      </c>
      <c r="D30" s="489" t="s">
        <v>7104</v>
      </c>
      <c r="E30" s="1057" t="s">
        <v>1023</v>
      </c>
      <c r="F30" s="1035" t="s">
        <v>7105</v>
      </c>
      <c r="G30" s="1035" t="s">
        <v>7106</v>
      </c>
      <c r="H30" s="1035" t="s">
        <v>7106</v>
      </c>
      <c r="I30" s="1047"/>
      <c r="J30" s="1047"/>
      <c r="K30" s="1047"/>
      <c r="L30" s="1047"/>
      <c r="M30" s="1051" t="s">
        <v>7107</v>
      </c>
      <c r="N30" s="998"/>
      <c r="O30" s="990"/>
      <c r="P30" s="1052"/>
      <c r="Q30" s="1056"/>
      <c r="R30" s="1054"/>
    </row>
    <row r="31" spans="2:18" ht="31.5">
      <c r="B31" s="532" t="s">
        <v>7108</v>
      </c>
      <c r="C31" s="532" t="s">
        <v>3141</v>
      </c>
      <c r="D31" s="489" t="s">
        <v>7109</v>
      </c>
      <c r="E31" s="1057" t="s">
        <v>7111</v>
      </c>
      <c r="F31" s="1061"/>
      <c r="G31" s="1062"/>
      <c r="H31" s="1062"/>
      <c r="I31" s="754" t="s">
        <v>7110</v>
      </c>
      <c r="J31" s="1047"/>
      <c r="K31" s="1047"/>
      <c r="L31" s="1048"/>
      <c r="M31" s="1051" t="s">
        <v>7112</v>
      </c>
      <c r="N31" s="998"/>
      <c r="O31" s="990"/>
      <c r="P31" s="1052" t="s">
        <v>7015</v>
      </c>
      <c r="Q31" s="1056"/>
    </row>
    <row r="32" spans="2:18" ht="31.5">
      <c r="B32" s="532" t="s">
        <v>7123</v>
      </c>
      <c r="C32" s="532" t="s">
        <v>2962</v>
      </c>
      <c r="D32" s="489" t="s">
        <v>7116</v>
      </c>
      <c r="E32" s="1057" t="s">
        <v>7117</v>
      </c>
      <c r="F32" s="1047"/>
      <c r="G32" s="1047"/>
      <c r="H32" s="1047"/>
      <c r="I32" s="1047"/>
      <c r="J32" s="1070" t="s">
        <v>7118</v>
      </c>
      <c r="K32" s="1033"/>
      <c r="L32" s="1036"/>
      <c r="M32" s="1051"/>
      <c r="N32" s="998"/>
      <c r="O32" s="1050"/>
      <c r="P32" s="1068" t="s">
        <v>7119</v>
      </c>
      <c r="Q32" s="1056"/>
      <c r="R32" s="1054" t="s">
        <v>7120</v>
      </c>
    </row>
    <row r="33" spans="2:18" ht="18">
      <c r="B33" s="532" t="s">
        <v>7124</v>
      </c>
      <c r="C33" s="532" t="s">
        <v>3141</v>
      </c>
      <c r="D33" s="489" t="s">
        <v>7121</v>
      </c>
      <c r="E33" s="1057" t="s">
        <v>996</v>
      </c>
      <c r="F33" s="1061"/>
      <c r="G33" s="1062"/>
      <c r="H33" s="1062"/>
      <c r="I33" s="754" t="s">
        <v>7125</v>
      </c>
      <c r="J33" s="1047"/>
      <c r="K33" s="1047"/>
      <c r="L33" s="1048"/>
      <c r="M33" s="1051"/>
      <c r="N33" s="998"/>
      <c r="O33" s="990"/>
      <c r="P33" s="1052"/>
      <c r="Q33" s="1056"/>
      <c r="R33" s="1054" t="s">
        <v>7122</v>
      </c>
    </row>
    <row r="34" spans="2:18" ht="31.5">
      <c r="B34" s="532" t="s">
        <v>7126</v>
      </c>
      <c r="C34" s="532" t="s">
        <v>2894</v>
      </c>
      <c r="D34" s="489" t="s">
        <v>7128</v>
      </c>
      <c r="E34" s="1057" t="s">
        <v>7127</v>
      </c>
      <c r="F34" s="1035" t="s">
        <v>7129</v>
      </c>
      <c r="G34" s="1035" t="s">
        <v>7130</v>
      </c>
      <c r="H34" s="1035" t="s">
        <v>7130</v>
      </c>
      <c r="I34" s="1047"/>
      <c r="J34" s="1047"/>
      <c r="K34" s="1047"/>
      <c r="L34" s="1047"/>
      <c r="M34" s="1051" t="s">
        <v>7134</v>
      </c>
      <c r="N34" s="998" t="s">
        <v>7131</v>
      </c>
      <c r="O34" s="990" t="s">
        <v>7135</v>
      </c>
      <c r="P34" s="1052" t="s">
        <v>7132</v>
      </c>
      <c r="Q34" s="1056"/>
      <c r="R34" s="1063" t="s">
        <v>7133</v>
      </c>
    </row>
    <row r="35" spans="2:18" ht="18">
      <c r="B35" s="532" t="s">
        <v>7136</v>
      </c>
      <c r="C35" s="532" t="s">
        <v>3141</v>
      </c>
      <c r="D35" s="489" t="s">
        <v>7137</v>
      </c>
      <c r="E35" s="1057" t="s">
        <v>996</v>
      </c>
      <c r="F35" s="1061"/>
      <c r="G35" s="1062"/>
      <c r="H35" s="1062"/>
      <c r="I35" s="754" t="s">
        <v>7138</v>
      </c>
      <c r="J35" s="1047"/>
      <c r="K35" s="1047"/>
      <c r="L35" s="1048"/>
      <c r="M35" s="1051" t="s">
        <v>4330</v>
      </c>
      <c r="N35" s="998"/>
      <c r="O35" s="990"/>
      <c r="P35" s="1052"/>
      <c r="Q35" s="1056"/>
      <c r="R35" s="1054" t="s">
        <v>7122</v>
      </c>
    </row>
    <row r="36" spans="2:18" ht="18">
      <c r="B36" s="532" t="s">
        <v>7140</v>
      </c>
      <c r="C36" s="532" t="s">
        <v>3263</v>
      </c>
      <c r="D36" s="489" t="s">
        <v>7139</v>
      </c>
      <c r="E36" s="1057" t="s">
        <v>1</v>
      </c>
      <c r="F36" s="1035" t="s">
        <v>7141</v>
      </c>
      <c r="G36" s="1035" t="s">
        <v>7142</v>
      </c>
      <c r="H36" s="1035" t="s">
        <v>7141</v>
      </c>
      <c r="I36" s="1047"/>
      <c r="J36" s="1047"/>
      <c r="K36" s="1047"/>
      <c r="L36" s="1047"/>
      <c r="M36" s="1051"/>
      <c r="N36" s="998"/>
      <c r="O36" s="990"/>
      <c r="P36" s="1052" t="s">
        <v>7144</v>
      </c>
      <c r="Q36" s="1056"/>
      <c r="R36" s="1054" t="s">
        <v>7143</v>
      </c>
    </row>
    <row r="37" spans="2:18" ht="18">
      <c r="B37" s="532" t="s">
        <v>7145</v>
      </c>
      <c r="C37" s="532" t="s">
        <v>2908</v>
      </c>
      <c r="D37" s="489" t="s">
        <v>7146</v>
      </c>
      <c r="E37" s="1057" t="s">
        <v>1023</v>
      </c>
      <c r="F37" s="1035" t="s">
        <v>7147</v>
      </c>
      <c r="G37" s="1035" t="s">
        <v>7148</v>
      </c>
      <c r="H37" s="1035" t="s">
        <v>7148</v>
      </c>
      <c r="I37" s="1047"/>
      <c r="J37" s="1047"/>
      <c r="K37" s="1047"/>
      <c r="L37" s="1047"/>
      <c r="M37" s="1051" t="s">
        <v>6955</v>
      </c>
      <c r="N37" s="998"/>
      <c r="O37" s="990"/>
      <c r="P37" s="1052"/>
      <c r="Q37" s="1056"/>
    </row>
    <row r="38" spans="2:18" ht="47.25">
      <c r="B38" s="532" t="s">
        <v>7149</v>
      </c>
      <c r="C38" s="532" t="s">
        <v>2917</v>
      </c>
      <c r="D38" s="489" t="s">
        <v>7150</v>
      </c>
      <c r="E38" s="1057" t="s">
        <v>1</v>
      </c>
      <c r="F38" s="1035" t="s">
        <v>7151</v>
      </c>
      <c r="G38" s="1035" t="s">
        <v>7152</v>
      </c>
      <c r="H38" s="1035" t="s">
        <v>7151</v>
      </c>
      <c r="I38" s="1047"/>
      <c r="J38" s="1047"/>
      <c r="K38" s="1047"/>
      <c r="L38" s="1047"/>
      <c r="M38" s="1051" t="s">
        <v>7153</v>
      </c>
      <c r="N38" s="998" t="s">
        <v>7292</v>
      </c>
      <c r="O38" s="990" t="s">
        <v>7222</v>
      </c>
      <c r="P38" s="1052" t="s">
        <v>7154</v>
      </c>
      <c r="Q38" s="1056" t="s">
        <v>7155</v>
      </c>
      <c r="R38" s="1054" t="s">
        <v>7156</v>
      </c>
    </row>
    <row r="39" spans="2:18" s="475" customFormat="1" ht="18">
      <c r="B39" s="532" t="s">
        <v>7158</v>
      </c>
      <c r="C39" s="532" t="s">
        <v>2894</v>
      </c>
      <c r="D39" s="489" t="s">
        <v>7157</v>
      </c>
      <c r="E39" s="1073" t="s">
        <v>1023</v>
      </c>
      <c r="F39" s="1035" t="s">
        <v>7159</v>
      </c>
      <c r="G39" s="1035" t="s">
        <v>7160</v>
      </c>
      <c r="H39" s="1035" t="s">
        <v>7160</v>
      </c>
      <c r="I39" s="1047"/>
      <c r="J39" s="1047"/>
      <c r="K39" s="1047"/>
      <c r="L39" s="1047"/>
      <c r="M39" s="1051"/>
      <c r="N39" s="1072"/>
      <c r="O39" s="990"/>
      <c r="P39" s="1052"/>
      <c r="Q39" s="1056"/>
    </row>
    <row r="40" spans="2:18" ht="31.5">
      <c r="B40" s="532" t="s">
        <v>7161</v>
      </c>
      <c r="C40" s="532" t="s">
        <v>2893</v>
      </c>
      <c r="D40" s="489" t="s">
        <v>7162</v>
      </c>
      <c r="E40" s="1057" t="s">
        <v>6465</v>
      </c>
      <c r="F40" s="1035" t="s">
        <v>7163</v>
      </c>
      <c r="G40" s="1035" t="s">
        <v>7164</v>
      </c>
      <c r="H40" s="1035" t="s">
        <v>7164</v>
      </c>
      <c r="I40" s="1047"/>
      <c r="J40" s="1047"/>
      <c r="K40" s="1047"/>
      <c r="L40" s="1047"/>
      <c r="M40" s="1051" t="s">
        <v>7194</v>
      </c>
      <c r="N40" s="998" t="s">
        <v>7242</v>
      </c>
      <c r="O40" s="990" t="s">
        <v>7293</v>
      </c>
      <c r="P40" s="1052" t="s">
        <v>7294</v>
      </c>
      <c r="Q40" s="1056"/>
      <c r="R40" s="1054" t="s">
        <v>7165</v>
      </c>
    </row>
    <row r="41" spans="2:18" ht="31.5">
      <c r="B41" s="532" t="s">
        <v>7166</v>
      </c>
      <c r="C41" s="532" t="s">
        <v>2894</v>
      </c>
      <c r="D41" s="489" t="s">
        <v>7167</v>
      </c>
      <c r="E41" s="1057" t="s">
        <v>7168</v>
      </c>
      <c r="F41" s="1035" t="s">
        <v>7169</v>
      </c>
      <c r="G41" s="1035" t="s">
        <v>7170</v>
      </c>
      <c r="H41" s="1035" t="s">
        <v>7170</v>
      </c>
      <c r="I41" s="1047"/>
      <c r="J41" s="1047"/>
      <c r="K41" s="1047"/>
      <c r="L41" s="1047"/>
      <c r="M41" s="1051"/>
      <c r="N41" s="1074" t="s">
        <v>7171</v>
      </c>
      <c r="O41" s="990"/>
      <c r="P41" s="1052" t="s">
        <v>7172</v>
      </c>
      <c r="Q41" s="1056" t="s">
        <v>7173</v>
      </c>
    </row>
    <row r="42" spans="2:18" ht="18">
      <c r="B42" s="532" t="s">
        <v>7174</v>
      </c>
      <c r="C42" s="532" t="s">
        <v>3141</v>
      </c>
      <c r="D42" s="489" t="s">
        <v>7175</v>
      </c>
      <c r="E42" s="1057" t="s">
        <v>996</v>
      </c>
      <c r="F42" s="1047"/>
      <c r="G42" s="1047"/>
      <c r="H42" s="1047"/>
      <c r="I42" s="754" t="s">
        <v>7176</v>
      </c>
      <c r="J42" s="1047"/>
      <c r="K42" s="1047"/>
      <c r="L42" s="1047"/>
      <c r="M42" s="1051"/>
      <c r="N42" s="998"/>
      <c r="O42" s="990"/>
      <c r="P42" s="1052"/>
      <c r="Q42" s="1056"/>
    </row>
    <row r="43" spans="2:18" ht="51">
      <c r="B43" s="532" t="s">
        <v>7184</v>
      </c>
      <c r="C43" s="532" t="s">
        <v>2893</v>
      </c>
      <c r="D43" s="489" t="s">
        <v>7177</v>
      </c>
      <c r="E43" s="1059" t="s">
        <v>7178</v>
      </c>
      <c r="F43" s="1035" t="s">
        <v>7179</v>
      </c>
      <c r="G43" s="1035" t="s">
        <v>7179</v>
      </c>
      <c r="H43" s="1035" t="s">
        <v>7180</v>
      </c>
      <c r="I43" s="1047"/>
      <c r="J43" s="1047"/>
      <c r="K43" s="1047"/>
      <c r="L43" s="1047"/>
      <c r="M43" s="1051" t="s">
        <v>7181</v>
      </c>
      <c r="N43" s="1008" t="s">
        <v>7298</v>
      </c>
      <c r="O43" s="991"/>
      <c r="P43" s="1052" t="s">
        <v>7183</v>
      </c>
      <c r="Q43" s="1056" t="s">
        <v>7182</v>
      </c>
      <c r="R43" t="s">
        <v>7185</v>
      </c>
    </row>
    <row r="44" spans="2:18" ht="30">
      <c r="B44" s="532" t="s">
        <v>7186</v>
      </c>
      <c r="C44" s="532" t="s">
        <v>2893</v>
      </c>
      <c r="D44" s="489" t="s">
        <v>7187</v>
      </c>
      <c r="E44" s="1059" t="s">
        <v>7188</v>
      </c>
      <c r="F44" s="1035" t="s">
        <v>7189</v>
      </c>
      <c r="G44" s="1035" t="s">
        <v>7190</v>
      </c>
      <c r="H44" s="1035" t="s">
        <v>7190</v>
      </c>
      <c r="I44" s="1047"/>
      <c r="J44" s="1047"/>
      <c r="K44" s="1047"/>
      <c r="L44" s="1047"/>
      <c r="M44" s="1051" t="s">
        <v>7195</v>
      </c>
      <c r="N44" s="1008" t="s">
        <v>7191</v>
      </c>
      <c r="O44" s="991" t="s">
        <v>7295</v>
      </c>
      <c r="P44" s="1052" t="s">
        <v>7192</v>
      </c>
      <c r="Q44" s="1056" t="s">
        <v>7193</v>
      </c>
      <c r="R44" t="s">
        <v>7243</v>
      </c>
    </row>
    <row r="45" spans="2:18" ht="18">
      <c r="B45" s="532" t="s">
        <v>7196</v>
      </c>
      <c r="C45" s="532" t="s">
        <v>2893</v>
      </c>
      <c r="D45" s="489" t="s">
        <v>7197</v>
      </c>
      <c r="E45" s="1058" t="s">
        <v>4179</v>
      </c>
      <c r="F45" s="1035" t="s">
        <v>7198</v>
      </c>
      <c r="G45" s="754" t="s">
        <v>7198</v>
      </c>
      <c r="H45" s="754" t="s">
        <v>7199</v>
      </c>
      <c r="I45" s="1047"/>
      <c r="J45" s="1047"/>
      <c r="K45" s="1047"/>
      <c r="L45" s="1047"/>
      <c r="M45" s="1051" t="s">
        <v>5578</v>
      </c>
      <c r="N45" s="1008" t="s">
        <v>7296</v>
      </c>
      <c r="O45" s="991" t="s">
        <v>7297</v>
      </c>
      <c r="P45" s="1052" t="s">
        <v>7223</v>
      </c>
      <c r="Q45" s="1056" t="s">
        <v>7224</v>
      </c>
      <c r="R45" t="s">
        <v>5392</v>
      </c>
    </row>
    <row r="46" spans="2:18" ht="47.25">
      <c r="B46" s="532" t="s">
        <v>7200</v>
      </c>
      <c r="C46" s="532" t="s">
        <v>7201</v>
      </c>
      <c r="D46" s="489" t="s">
        <v>7205</v>
      </c>
      <c r="E46" s="1058" t="s">
        <v>6731</v>
      </c>
      <c r="F46" s="1035" t="s">
        <v>7202</v>
      </c>
      <c r="G46" s="1035" t="s">
        <v>7203</v>
      </c>
      <c r="H46" s="1035" t="s">
        <v>7203</v>
      </c>
      <c r="I46" s="1047"/>
      <c r="J46" s="782" t="s">
        <v>7204</v>
      </c>
      <c r="K46" s="1047"/>
      <c r="L46" s="1047"/>
      <c r="M46" s="1051" t="s">
        <v>7207</v>
      </c>
      <c r="N46" s="1008"/>
      <c r="O46" s="991"/>
      <c r="P46" s="1052"/>
      <c r="Q46" s="1056"/>
      <c r="R46" t="s">
        <v>7206</v>
      </c>
    </row>
    <row r="47" spans="2:18" ht="32.25" thickBot="1">
      <c r="B47" s="532" t="s">
        <v>7208</v>
      </c>
      <c r="C47" s="532" t="s">
        <v>2908</v>
      </c>
      <c r="D47" s="489" t="s">
        <v>7209</v>
      </c>
      <c r="E47" s="1059" t="s">
        <v>7210</v>
      </c>
      <c r="F47" s="1037" t="s">
        <v>7213</v>
      </c>
      <c r="G47" s="1037" t="s">
        <v>7214</v>
      </c>
      <c r="H47" s="1037" t="s">
        <v>7214</v>
      </c>
      <c r="I47" s="1047"/>
      <c r="J47" s="1047"/>
      <c r="K47" s="1047"/>
      <c r="L47" s="1047"/>
      <c r="M47" s="1051"/>
      <c r="N47" s="1008" t="s">
        <v>7211</v>
      </c>
      <c r="O47" s="991"/>
      <c r="P47" s="1052" t="s">
        <v>7212</v>
      </c>
      <c r="Q47" s="1056"/>
      <c r="R47" t="s">
        <v>7215</v>
      </c>
    </row>
    <row r="48" spans="2:18" ht="32.25" thickBot="1">
      <c r="B48" s="532" t="s">
        <v>7216</v>
      </c>
      <c r="C48" s="532" t="s">
        <v>2917</v>
      </c>
      <c r="D48" s="489" t="s">
        <v>7217</v>
      </c>
      <c r="E48" s="1059" t="s">
        <v>1</v>
      </c>
      <c r="F48" s="1037" t="s">
        <v>7218</v>
      </c>
      <c r="G48" s="1037" t="s">
        <v>7219</v>
      </c>
      <c r="H48" s="1037" t="s">
        <v>7218</v>
      </c>
      <c r="I48" s="1047"/>
      <c r="J48" s="1047"/>
      <c r="K48" s="1047"/>
      <c r="L48" s="1047"/>
      <c r="M48" s="1051" t="s">
        <v>6200</v>
      </c>
      <c r="N48" s="1075">
        <v>202623150100</v>
      </c>
      <c r="O48" s="1052" t="s">
        <v>7222</v>
      </c>
      <c r="P48" s="1052" t="s">
        <v>7220</v>
      </c>
      <c r="Q48" s="1056" t="s">
        <v>7244</v>
      </c>
      <c r="R48" t="s">
        <v>7221</v>
      </c>
    </row>
    <row r="49" spans="2:18" ht="18.75" thickBot="1">
      <c r="B49" s="532" t="s">
        <v>7225</v>
      </c>
      <c r="C49" s="532" t="s">
        <v>3263</v>
      </c>
      <c r="D49" s="489" t="s">
        <v>7226</v>
      </c>
      <c r="E49" s="1059" t="s">
        <v>1</v>
      </c>
      <c r="F49" s="1037" t="s">
        <v>7227</v>
      </c>
      <c r="G49" s="1037" t="s">
        <v>7228</v>
      </c>
      <c r="H49" s="1037" t="s">
        <v>7227</v>
      </c>
      <c r="I49" s="1047"/>
      <c r="J49" s="1047"/>
      <c r="K49" s="1047"/>
      <c r="L49" s="1047"/>
      <c r="M49" s="1051" t="s">
        <v>7229</v>
      </c>
      <c r="N49" s="1075"/>
      <c r="O49" s="1052"/>
      <c r="P49" s="1052" t="s">
        <v>7056</v>
      </c>
      <c r="Q49" s="1056"/>
      <c r="R49" t="s">
        <v>7230</v>
      </c>
    </row>
    <row r="50" spans="2:18" ht="32.25" thickBot="1">
      <c r="B50" s="532" t="s">
        <v>7231</v>
      </c>
      <c r="C50" s="532" t="s">
        <v>6322</v>
      </c>
      <c r="D50" s="489" t="s">
        <v>7232</v>
      </c>
      <c r="E50" s="1059" t="s">
        <v>3364</v>
      </c>
      <c r="F50" s="1037" t="s">
        <v>7233</v>
      </c>
      <c r="G50" s="1037" t="s">
        <v>7234</v>
      </c>
      <c r="H50" s="1037" t="s">
        <v>7234</v>
      </c>
      <c r="I50" s="532" t="s">
        <v>7235</v>
      </c>
      <c r="J50" s="1047"/>
      <c r="K50" s="1047"/>
      <c r="L50" s="1047"/>
      <c r="M50" s="1051" t="s">
        <v>7236</v>
      </c>
      <c r="N50" s="1075" t="s">
        <v>7237</v>
      </c>
      <c r="O50" s="1052" t="s">
        <v>7299</v>
      </c>
      <c r="P50" s="1052" t="s">
        <v>7238</v>
      </c>
      <c r="Q50" s="1056" t="s">
        <v>7241</v>
      </c>
      <c r="R50" t="s">
        <v>7239</v>
      </c>
    </row>
    <row r="51" spans="2:18" ht="32.25" thickBot="1">
      <c r="B51" s="532" t="s">
        <v>7248</v>
      </c>
      <c r="C51" s="532" t="s">
        <v>3263</v>
      </c>
      <c r="D51" s="489" t="s">
        <v>7249</v>
      </c>
      <c r="E51" s="1059" t="s">
        <v>1</v>
      </c>
      <c r="F51" s="1037" t="s">
        <v>7250</v>
      </c>
      <c r="G51" s="1037" t="s">
        <v>7251</v>
      </c>
      <c r="H51" s="1037" t="s">
        <v>7250</v>
      </c>
      <c r="I51" s="1047"/>
      <c r="J51" s="1047"/>
      <c r="K51" s="1047"/>
      <c r="L51" s="1047"/>
      <c r="M51" s="1051" t="s">
        <v>7229</v>
      </c>
      <c r="N51" s="1075"/>
      <c r="O51" s="1052"/>
      <c r="P51" s="1052" t="s">
        <v>7252</v>
      </c>
      <c r="Q51" s="1056"/>
      <c r="R51" t="s">
        <v>7253</v>
      </c>
    </row>
    <row r="52" spans="2:18" ht="48" thickBot="1">
      <c r="B52" s="532" t="s">
        <v>7254</v>
      </c>
      <c r="C52" s="532" t="s">
        <v>2962</v>
      </c>
      <c r="D52" s="489" t="s">
        <v>7255</v>
      </c>
      <c r="E52" s="1059" t="s">
        <v>7256</v>
      </c>
      <c r="F52" s="1037" t="s">
        <v>7258</v>
      </c>
      <c r="G52" s="1037" t="s">
        <v>7258</v>
      </c>
      <c r="H52" s="1037" t="s">
        <v>7258</v>
      </c>
      <c r="I52" s="1047"/>
      <c r="J52" s="1037" t="s">
        <v>7257</v>
      </c>
      <c r="K52" s="1047"/>
      <c r="L52" s="1047"/>
      <c r="M52" s="1051" t="s">
        <v>3863</v>
      </c>
      <c r="N52" s="1075" t="s">
        <v>7259</v>
      </c>
      <c r="O52" s="1052" t="s">
        <v>7260</v>
      </c>
      <c r="P52" s="1052" t="s">
        <v>7252</v>
      </c>
      <c r="Q52" s="1056" t="s">
        <v>7261</v>
      </c>
      <c r="R52" t="s">
        <v>6047</v>
      </c>
    </row>
    <row r="53" spans="2:18" ht="18.75" thickBot="1">
      <c r="B53" s="532" t="s">
        <v>7262</v>
      </c>
      <c r="C53" s="532" t="s">
        <v>2908</v>
      </c>
      <c r="D53" s="489" t="s">
        <v>7265</v>
      </c>
      <c r="E53" s="1059" t="s">
        <v>1023</v>
      </c>
      <c r="F53" s="1037" t="s">
        <v>7263</v>
      </c>
      <c r="G53" s="1037" t="s">
        <v>7264</v>
      </c>
      <c r="H53" s="1037" t="s">
        <v>7264</v>
      </c>
      <c r="I53" s="1047"/>
      <c r="J53" s="1047"/>
      <c r="K53" s="1047"/>
      <c r="L53" s="1047"/>
      <c r="M53" s="1051" t="s">
        <v>2860</v>
      </c>
      <c r="N53" s="1075"/>
      <c r="O53" s="1052"/>
      <c r="P53" s="1052"/>
      <c r="Q53" s="1056"/>
      <c r="R53" t="s">
        <v>4426</v>
      </c>
    </row>
    <row r="54" spans="2:18" ht="31.5">
      <c r="B54" s="532" t="s">
        <v>7266</v>
      </c>
      <c r="C54" s="532" t="s">
        <v>2962</v>
      </c>
      <c r="D54" s="489" t="s">
        <v>7267</v>
      </c>
      <c r="E54" s="1057" t="s">
        <v>6188</v>
      </c>
      <c r="F54" s="1047"/>
      <c r="G54" s="1047"/>
      <c r="H54" s="1047"/>
      <c r="I54" s="1047"/>
      <c r="J54" s="1070" t="s">
        <v>7268</v>
      </c>
      <c r="K54" s="1033"/>
      <c r="L54" s="1036"/>
      <c r="M54" s="1051" t="s">
        <v>3863</v>
      </c>
      <c r="N54" s="998"/>
      <c r="O54" s="1050"/>
      <c r="P54" s="1068" t="s">
        <v>7269</v>
      </c>
      <c r="Q54" s="1056"/>
      <c r="R54" s="1054" t="s">
        <v>7270</v>
      </c>
    </row>
    <row r="55" spans="2:18" ht="31.5">
      <c r="B55" s="532" t="s">
        <v>7271</v>
      </c>
      <c r="C55" s="532" t="s">
        <v>2962</v>
      </c>
      <c r="D55" s="489" t="s">
        <v>7272</v>
      </c>
      <c r="E55" s="1057" t="s">
        <v>6188</v>
      </c>
      <c r="F55" s="1047"/>
      <c r="G55" s="1047"/>
      <c r="H55" s="1047"/>
      <c r="I55" s="1047"/>
      <c r="J55" s="1070" t="s">
        <v>7273</v>
      </c>
      <c r="K55" s="1033"/>
      <c r="L55" s="1036"/>
      <c r="M55" s="1051" t="s">
        <v>3863</v>
      </c>
      <c r="N55" s="998" t="s">
        <v>7274</v>
      </c>
      <c r="O55" s="1050"/>
      <c r="P55" s="1068" t="s">
        <v>7275</v>
      </c>
      <c r="Q55" s="1056"/>
      <c r="R55" s="1054" t="s">
        <v>7276</v>
      </c>
    </row>
    <row r="56" spans="2:18" ht="48" thickBot="1">
      <c r="B56" s="532" t="s">
        <v>7277</v>
      </c>
      <c r="C56" s="532" t="s">
        <v>2908</v>
      </c>
      <c r="D56" s="489" t="s">
        <v>7278</v>
      </c>
      <c r="E56" s="1057" t="s">
        <v>7283</v>
      </c>
      <c r="F56" s="1037" t="s">
        <v>7279</v>
      </c>
      <c r="G56" s="1037" t="s">
        <v>7280</v>
      </c>
      <c r="H56" s="1037" t="s">
        <v>7280</v>
      </c>
      <c r="I56" s="1047"/>
      <c r="J56" s="1047"/>
      <c r="K56" s="1033"/>
      <c r="L56" s="1036"/>
      <c r="M56" s="1051"/>
      <c r="N56" s="998"/>
      <c r="O56" s="1050"/>
      <c r="P56" s="1068" t="s">
        <v>7281</v>
      </c>
      <c r="Q56" s="1056"/>
      <c r="R56" s="1054" t="s">
        <v>7282</v>
      </c>
    </row>
    <row r="57" spans="2:18" ht="45.75" thickBot="1">
      <c r="B57" s="532" t="s">
        <v>7284</v>
      </c>
      <c r="C57" s="532" t="s">
        <v>7285</v>
      </c>
      <c r="D57" s="489" t="s">
        <v>7286</v>
      </c>
      <c r="E57" s="1057" t="s">
        <v>7287</v>
      </c>
      <c r="F57" s="1037" t="s">
        <v>7288</v>
      </c>
      <c r="G57" s="1037" t="s">
        <v>7289</v>
      </c>
      <c r="H57" s="1037" t="s">
        <v>7289</v>
      </c>
      <c r="I57" s="1037" t="s">
        <v>7290</v>
      </c>
      <c r="J57" s="1047"/>
      <c r="K57" s="1033"/>
      <c r="L57" s="1036"/>
      <c r="M57" s="1051"/>
      <c r="N57" s="998"/>
      <c r="O57" s="1050"/>
      <c r="P57" s="1068" t="s">
        <v>7291</v>
      </c>
      <c r="Q57" s="1056"/>
      <c r="R57" s="1054"/>
    </row>
    <row r="58" spans="2:18" ht="32.25" thickBot="1">
      <c r="B58" s="532" t="s">
        <v>7300</v>
      </c>
      <c r="C58" s="532" t="s">
        <v>2893</v>
      </c>
      <c r="D58" s="489" t="s">
        <v>7301</v>
      </c>
      <c r="E58" s="1057" t="s">
        <v>7302</v>
      </c>
      <c r="F58" s="1037" t="s">
        <v>7303</v>
      </c>
      <c r="G58" s="1037" t="s">
        <v>7304</v>
      </c>
      <c r="H58" s="1037" t="s">
        <v>7304</v>
      </c>
      <c r="I58" s="1047"/>
      <c r="J58" s="1047"/>
      <c r="K58" s="1033"/>
      <c r="L58" s="1036"/>
      <c r="M58" s="1051" t="s">
        <v>7305</v>
      </c>
      <c r="N58" s="998" t="s">
        <v>7306</v>
      </c>
      <c r="O58" s="1050"/>
      <c r="P58" s="1068" t="s">
        <v>7307</v>
      </c>
      <c r="Q58" s="1056"/>
      <c r="R58" s="1054"/>
    </row>
    <row r="59" spans="2:18" ht="30">
      <c r="B59" s="532" t="s">
        <v>7311</v>
      </c>
      <c r="C59" s="532" t="s">
        <v>3141</v>
      </c>
      <c r="D59" s="489" t="s">
        <v>7312</v>
      </c>
      <c r="E59" s="1057" t="s">
        <v>996</v>
      </c>
      <c r="F59" s="1047"/>
      <c r="G59" s="1047"/>
      <c r="H59" s="1047"/>
      <c r="I59" s="754" t="s">
        <v>7313</v>
      </c>
      <c r="J59" s="1047"/>
      <c r="K59" s="1033"/>
      <c r="L59" s="1036"/>
      <c r="M59" s="1051" t="s">
        <v>4596</v>
      </c>
      <c r="N59" s="998"/>
      <c r="O59" s="1050"/>
      <c r="P59" s="1068" t="s">
        <v>7314</v>
      </c>
      <c r="Q59" s="1056"/>
      <c r="R59" s="1054"/>
    </row>
    <row r="60" spans="2:18" ht="31.5">
      <c r="B60" s="532" t="s">
        <v>7315</v>
      </c>
      <c r="C60" s="532" t="s">
        <v>2962</v>
      </c>
      <c r="D60" s="489" t="s">
        <v>7316</v>
      </c>
      <c r="E60" s="1057" t="s">
        <v>2467</v>
      </c>
      <c r="F60" s="1047"/>
      <c r="G60" s="1047"/>
      <c r="H60" s="1047"/>
      <c r="I60" s="1047"/>
      <c r="J60" s="754" t="s">
        <v>7317</v>
      </c>
      <c r="K60" s="1033"/>
      <c r="L60" s="1036"/>
      <c r="M60" s="1051" t="s">
        <v>3863</v>
      </c>
      <c r="N60" s="998" t="s">
        <v>7318</v>
      </c>
      <c r="O60" s="1050"/>
      <c r="P60" s="1068" t="s">
        <v>7319</v>
      </c>
      <c r="Q60" s="1056"/>
      <c r="R60" s="1054" t="s">
        <v>7320</v>
      </c>
    </row>
    <row r="61" spans="2:18" ht="30.75" thickBot="1">
      <c r="B61" s="532" t="s">
        <v>7321</v>
      </c>
      <c r="C61" s="532" t="s">
        <v>2893</v>
      </c>
      <c r="D61" s="489" t="s">
        <v>7322</v>
      </c>
      <c r="E61" s="1057" t="s">
        <v>7127</v>
      </c>
      <c r="F61" s="1037" t="s">
        <v>7323</v>
      </c>
      <c r="G61" s="1037" t="s">
        <v>7324</v>
      </c>
      <c r="H61" s="1037" t="s">
        <v>7324</v>
      </c>
      <c r="I61" s="1047"/>
      <c r="J61" s="1047"/>
      <c r="K61" s="1033"/>
      <c r="L61" s="1036"/>
      <c r="M61" s="1051" t="s">
        <v>7325</v>
      </c>
      <c r="N61" s="998" t="s">
        <v>7326</v>
      </c>
      <c r="O61" s="1050"/>
      <c r="P61" s="1068" t="s">
        <v>7327</v>
      </c>
      <c r="Q61" s="1056" t="s">
        <v>7328</v>
      </c>
      <c r="R61" s="1054" t="s">
        <v>7329</v>
      </c>
    </row>
    <row r="62" spans="2:18" ht="45">
      <c r="B62" s="532" t="s">
        <v>7330</v>
      </c>
      <c r="C62" s="532" t="s">
        <v>3141</v>
      </c>
      <c r="D62" s="489" t="s">
        <v>7331</v>
      </c>
      <c r="E62" s="1057" t="s">
        <v>7332</v>
      </c>
      <c r="F62" s="1047"/>
      <c r="G62" s="1047"/>
      <c r="H62" s="1047"/>
      <c r="I62" s="754" t="s">
        <v>7333</v>
      </c>
      <c r="J62" s="1047"/>
      <c r="K62" s="1033"/>
      <c r="L62" s="1036"/>
      <c r="M62" s="1051" t="s">
        <v>7336</v>
      </c>
      <c r="N62" s="998" t="s">
        <v>7337</v>
      </c>
      <c r="O62" s="1050"/>
      <c r="P62" s="1068" t="s">
        <v>7335</v>
      </c>
      <c r="Q62" s="1056"/>
      <c r="R62" s="1063" t="s">
        <v>7334</v>
      </c>
    </row>
    <row r="63" spans="2:18" ht="31.5">
      <c r="B63" s="532" t="s">
        <v>7338</v>
      </c>
      <c r="C63" s="532" t="s">
        <v>2962</v>
      </c>
      <c r="D63" s="489" t="s">
        <v>7339</v>
      </c>
      <c r="E63" s="1057" t="s">
        <v>6188</v>
      </c>
      <c r="F63" s="1047"/>
      <c r="G63" s="1047"/>
      <c r="H63" s="1047"/>
      <c r="I63" s="1047"/>
      <c r="J63" s="1070" t="s">
        <v>7340</v>
      </c>
      <c r="K63" s="1033"/>
      <c r="L63" s="1036"/>
      <c r="M63" s="1051" t="s">
        <v>3863</v>
      </c>
      <c r="N63" s="998"/>
      <c r="O63" s="1050"/>
      <c r="P63" s="1068" t="s">
        <v>7341</v>
      </c>
      <c r="Q63" s="1056"/>
      <c r="R63" s="1054" t="s">
        <v>7342</v>
      </c>
    </row>
    <row r="64" spans="2:18" ht="38.25">
      <c r="B64" s="532" t="s">
        <v>7343</v>
      </c>
      <c r="C64" s="532" t="s">
        <v>3141</v>
      </c>
      <c r="D64" s="489" t="s">
        <v>7344</v>
      </c>
      <c r="E64" s="1057" t="s">
        <v>996</v>
      </c>
      <c r="F64" s="1047"/>
      <c r="G64" s="1047"/>
      <c r="H64" s="1047"/>
      <c r="I64" s="754" t="s">
        <v>7345</v>
      </c>
      <c r="J64" s="1047"/>
      <c r="K64" s="1033"/>
      <c r="L64" s="1036"/>
      <c r="M64" s="1051" t="s">
        <v>4596</v>
      </c>
      <c r="N64" s="998" t="s">
        <v>7346</v>
      </c>
      <c r="O64" s="1050"/>
      <c r="P64" s="1068" t="s">
        <v>7015</v>
      </c>
      <c r="Q64" s="1056" t="s">
        <v>7347</v>
      </c>
      <c r="R64" s="1054"/>
    </row>
    <row r="65" spans="2:18" ht="18">
      <c r="B65" s="532" t="s">
        <v>7348</v>
      </c>
      <c r="C65" s="532" t="s">
        <v>6711</v>
      </c>
      <c r="D65" s="489" t="s">
        <v>7349</v>
      </c>
      <c r="E65" s="1077" t="s">
        <v>6993</v>
      </c>
      <c r="F65" s="754" t="s">
        <v>7350</v>
      </c>
      <c r="G65" s="754" t="s">
        <v>7351</v>
      </c>
      <c r="H65" s="754" t="s">
        <v>7351</v>
      </c>
      <c r="I65" s="754" t="s">
        <v>7352</v>
      </c>
      <c r="J65" s="1047"/>
      <c r="K65" s="1033"/>
      <c r="L65" s="1036"/>
      <c r="M65" s="1051"/>
      <c r="N65" s="998"/>
      <c r="O65" s="1050"/>
      <c r="P65" s="1068" t="s">
        <v>7353</v>
      </c>
      <c r="Q65" s="1056"/>
      <c r="R65" s="1054"/>
    </row>
    <row r="66" spans="2:18" ht="31.5">
      <c r="B66" s="532" t="s">
        <v>7363</v>
      </c>
      <c r="C66" s="532" t="s">
        <v>7354</v>
      </c>
      <c r="D66" s="489" t="s">
        <v>7355</v>
      </c>
      <c r="E66" s="1077" t="s">
        <v>7356</v>
      </c>
      <c r="F66" s="754" t="s">
        <v>7357</v>
      </c>
      <c r="G66" s="754" t="s">
        <v>7358</v>
      </c>
      <c r="H66" s="754" t="s">
        <v>7358</v>
      </c>
      <c r="I66" s="754" t="s">
        <v>7359</v>
      </c>
      <c r="J66" s="1047"/>
      <c r="K66" s="1033"/>
      <c r="L66" s="1036"/>
      <c r="M66" s="1051"/>
      <c r="N66" s="998" t="s">
        <v>7360</v>
      </c>
      <c r="O66" s="1050"/>
      <c r="P66" s="1068" t="s">
        <v>7361</v>
      </c>
      <c r="Q66" s="1056"/>
      <c r="R66" s="1063" t="s">
        <v>7362</v>
      </c>
    </row>
    <row r="67" spans="2:18" ht="18">
      <c r="B67" s="532" t="s">
        <v>7364</v>
      </c>
      <c r="C67" s="532" t="s">
        <v>2962</v>
      </c>
      <c r="D67" s="489" t="s">
        <v>7365</v>
      </c>
      <c r="E67" s="1057" t="s">
        <v>6188</v>
      </c>
      <c r="F67" s="1047"/>
      <c r="G67" s="1047"/>
      <c r="H67" s="1047"/>
      <c r="I67" s="1047"/>
      <c r="J67" s="1070" t="s">
        <v>7366</v>
      </c>
      <c r="K67" s="1033"/>
      <c r="L67" s="1036"/>
      <c r="M67" s="1051" t="s">
        <v>3863</v>
      </c>
      <c r="N67" s="998"/>
      <c r="O67" s="1050"/>
      <c r="P67" s="1068"/>
      <c r="Q67" s="1056"/>
      <c r="R67" s="1054"/>
    </row>
    <row r="68" spans="2:18" ht="31.5">
      <c r="B68" s="532" t="s">
        <v>7367</v>
      </c>
      <c r="C68" s="532" t="s">
        <v>2908</v>
      </c>
      <c r="D68" s="489" t="s">
        <v>7368</v>
      </c>
      <c r="E68" s="1077" t="s">
        <v>7369</v>
      </c>
      <c r="F68" s="754" t="s">
        <v>7370</v>
      </c>
      <c r="G68" s="754" t="s">
        <v>7371</v>
      </c>
      <c r="H68" s="754" t="s">
        <v>7371</v>
      </c>
      <c r="I68" s="1047"/>
      <c r="J68" s="1047"/>
      <c r="K68" s="1033"/>
      <c r="L68" s="1036"/>
      <c r="M68" s="1051" t="s">
        <v>2510</v>
      </c>
      <c r="N68" s="998" t="s">
        <v>7372</v>
      </c>
      <c r="O68" s="1050"/>
      <c r="P68" s="1068" t="s">
        <v>7373</v>
      </c>
      <c r="Q68" s="1056"/>
      <c r="R68" s="1054" t="s">
        <v>7374</v>
      </c>
    </row>
    <row r="69" spans="2:18">
      <c r="F69" s="1034"/>
      <c r="G69" s="1034"/>
      <c r="H69" s="1034"/>
      <c r="I69" s="1034"/>
      <c r="J69" s="1034"/>
      <c r="K69" s="1034"/>
      <c r="L69" s="1034"/>
      <c r="M69" s="1069"/>
      <c r="P69" s="475"/>
      <c r="Q69" s="475"/>
    </row>
    <row r="70" spans="2:18">
      <c r="F70" s="1034"/>
      <c r="G70" s="1034"/>
      <c r="H70" s="1034"/>
      <c r="I70" s="1034"/>
      <c r="J70" s="1034"/>
      <c r="K70" s="1034"/>
      <c r="L70" s="1034"/>
      <c r="M70" s="1069"/>
      <c r="P70" s="475"/>
      <c r="Q70" s="475"/>
    </row>
    <row r="71" spans="2:18">
      <c r="F71" s="1034"/>
      <c r="G71" s="1034"/>
      <c r="H71" s="1034"/>
      <c r="I71" s="1034"/>
      <c r="J71" s="1034"/>
      <c r="K71" s="1034"/>
      <c r="L71" s="1034"/>
      <c r="M71" s="1069"/>
      <c r="P71" s="475"/>
      <c r="Q71" s="475"/>
    </row>
    <row r="72" spans="2:18">
      <c r="F72" s="1034"/>
      <c r="G72" s="1034"/>
      <c r="H72" s="1034"/>
      <c r="I72" s="1034"/>
      <c r="J72" s="1034"/>
      <c r="K72" s="1034"/>
      <c r="L72" s="1034"/>
      <c r="M72" s="1069"/>
      <c r="P72" s="475"/>
      <c r="Q72" s="475"/>
    </row>
    <row r="73" spans="2:18">
      <c r="F73" s="1034"/>
      <c r="G73" s="1034"/>
      <c r="H73" s="1034"/>
      <c r="I73" s="1034"/>
      <c r="J73" s="1034"/>
      <c r="K73" s="1034"/>
      <c r="L73" s="1034"/>
      <c r="M73" s="1069"/>
      <c r="P73" s="475"/>
      <c r="Q73" s="475"/>
    </row>
    <row r="74" spans="2:18">
      <c r="F74" s="1034"/>
      <c r="G74" s="1034"/>
      <c r="H74" s="1034"/>
      <c r="I74" s="1034"/>
      <c r="J74" s="1034"/>
      <c r="K74" s="1034"/>
      <c r="L74" s="1034"/>
      <c r="M74" s="1069"/>
      <c r="P74" s="475"/>
      <c r="Q74" s="475"/>
    </row>
    <row r="75" spans="2:18">
      <c r="F75" s="1034"/>
      <c r="G75" s="1034"/>
      <c r="H75" s="1034"/>
      <c r="I75" s="1034"/>
      <c r="J75" s="1034"/>
      <c r="K75" s="1034"/>
      <c r="L75" s="1034"/>
      <c r="M75" s="1069"/>
      <c r="P75" s="475"/>
      <c r="Q75" s="475"/>
    </row>
    <row r="76" spans="2:18">
      <c r="F76" s="1034"/>
      <c r="G76" s="1034"/>
      <c r="H76" s="1034"/>
      <c r="I76" s="1034"/>
      <c r="J76" s="1034"/>
      <c r="K76" s="1034"/>
      <c r="L76" s="1034"/>
      <c r="M76" s="1069"/>
      <c r="P76" s="475"/>
      <c r="Q76" s="475"/>
    </row>
    <row r="77" spans="2:18">
      <c r="F77" s="1034"/>
      <c r="G77" s="1034"/>
      <c r="H77" s="1034"/>
      <c r="I77" s="1034"/>
      <c r="J77" s="1034"/>
      <c r="K77" s="1034"/>
      <c r="L77" s="1034"/>
      <c r="M77" s="1069"/>
      <c r="P77" s="475"/>
      <c r="Q77" s="475"/>
    </row>
    <row r="78" spans="2:18">
      <c r="F78" s="1034"/>
      <c r="G78" s="1034"/>
      <c r="H78" s="1034"/>
      <c r="I78" s="1034"/>
      <c r="J78" s="1034"/>
      <c r="K78" s="1034"/>
      <c r="L78" s="1034"/>
      <c r="M78" s="1069"/>
      <c r="P78" s="475"/>
      <c r="Q78" s="475"/>
    </row>
    <row r="79" spans="2:18">
      <c r="F79" s="1034"/>
      <c r="G79" s="1034"/>
      <c r="H79" s="1034"/>
      <c r="I79" s="1034"/>
      <c r="J79" s="1034"/>
      <c r="K79" s="1034"/>
      <c r="L79" s="1034"/>
      <c r="M79" s="1069"/>
      <c r="P79" s="475"/>
      <c r="Q79" s="475"/>
    </row>
    <row r="80" spans="2:18">
      <c r="F80" s="1034"/>
      <c r="G80" s="1034"/>
      <c r="H80" s="1034"/>
      <c r="I80" s="1034"/>
      <c r="J80" s="1034"/>
      <c r="K80" s="1034"/>
      <c r="L80" s="1034"/>
      <c r="M80" s="1069"/>
      <c r="P80" s="475"/>
      <c r="Q80" s="475"/>
    </row>
    <row r="81" spans="6:17">
      <c r="F81" s="1034"/>
      <c r="G81" s="1034"/>
      <c r="H81" s="1034"/>
      <c r="I81" s="1034"/>
      <c r="J81" s="1034"/>
      <c r="K81" s="1034"/>
      <c r="L81" s="1034"/>
      <c r="M81" s="1069"/>
      <c r="P81" s="475"/>
      <c r="Q81" s="475"/>
    </row>
    <row r="82" spans="6:17">
      <c r="F82" s="1034"/>
      <c r="G82" s="1034"/>
      <c r="H82" s="1034"/>
      <c r="I82" s="1034"/>
      <c r="J82" s="1034"/>
      <c r="K82" s="1034"/>
      <c r="L82" s="1034"/>
      <c r="M82" s="1069"/>
      <c r="P82" s="475"/>
      <c r="Q82" s="475"/>
    </row>
    <row r="83" spans="6:17">
      <c r="F83" s="1034"/>
      <c r="G83" s="1034"/>
      <c r="H83" s="1034"/>
      <c r="I83" s="1034"/>
      <c r="J83" s="1034"/>
      <c r="K83" s="1034"/>
      <c r="L83" s="1034"/>
      <c r="M83" s="1069"/>
      <c r="P83" s="475"/>
      <c r="Q83" s="475"/>
    </row>
    <row r="84" spans="6:17">
      <c r="F84" s="1034"/>
      <c r="G84" s="1034"/>
      <c r="H84" s="1034"/>
      <c r="I84" s="1034"/>
      <c r="J84" s="1034"/>
      <c r="K84" s="1034"/>
      <c r="L84" s="1034"/>
      <c r="M84" s="1069"/>
    </row>
    <row r="85" spans="6:17">
      <c r="F85" s="1034"/>
      <c r="G85" s="1034"/>
      <c r="H85" s="1034"/>
      <c r="I85" s="1034"/>
      <c r="J85" s="1034"/>
      <c r="K85" s="1034"/>
      <c r="L85" s="1034"/>
      <c r="M85" s="1069"/>
    </row>
    <row r="86" spans="6:17">
      <c r="F86" s="1034"/>
      <c r="G86" s="1034"/>
      <c r="H86" s="1034"/>
      <c r="I86" s="1034"/>
      <c r="J86" s="1034"/>
      <c r="K86" s="1034"/>
      <c r="L86" s="1034"/>
    </row>
    <row r="87" spans="6:17">
      <c r="F87" s="1034"/>
      <c r="G87" s="1034"/>
      <c r="H87" s="1034"/>
      <c r="I87" s="1034"/>
      <c r="J87" s="1034"/>
      <c r="K87" s="1034"/>
      <c r="L87" s="1034"/>
    </row>
    <row r="88" spans="6:17">
      <c r="F88" s="1034"/>
      <c r="G88" s="1034"/>
      <c r="H88" s="1034"/>
      <c r="I88" s="1034"/>
      <c r="J88" s="1034"/>
      <c r="K88" s="1034"/>
      <c r="L88" s="1034"/>
    </row>
    <row r="89" spans="6:17">
      <c r="F89" s="1034"/>
      <c r="G89" s="1034"/>
      <c r="H89" s="1034"/>
      <c r="I89" s="1034"/>
      <c r="J89" s="1034"/>
      <c r="K89" s="1034"/>
      <c r="L89" s="1034"/>
    </row>
    <row r="90" spans="6:17">
      <c r="F90" s="1034"/>
      <c r="G90" s="1034"/>
      <c r="H90" s="1034"/>
      <c r="I90" s="1034"/>
      <c r="J90" s="1034"/>
      <c r="K90" s="1034"/>
      <c r="L90" s="1034"/>
    </row>
    <row r="91" spans="6:17">
      <c r="F91" s="1034"/>
      <c r="G91" s="1034"/>
      <c r="H91" s="1034"/>
      <c r="I91" s="1034"/>
      <c r="J91" s="1034"/>
      <c r="K91" s="1034"/>
      <c r="L91" s="1034"/>
    </row>
    <row r="92" spans="6:17">
      <c r="F92" s="1034"/>
      <c r="G92" s="1034"/>
      <c r="H92" s="1034"/>
      <c r="I92" s="1034"/>
      <c r="J92" s="1034"/>
      <c r="K92" s="1034"/>
      <c r="L92" s="1034"/>
    </row>
    <row r="93" spans="6:17">
      <c r="F93" s="1034"/>
      <c r="G93" s="1034"/>
      <c r="H93" s="1034"/>
      <c r="I93" s="1034"/>
      <c r="J93" s="1034"/>
      <c r="K93" s="1034"/>
      <c r="L93" s="1034"/>
    </row>
    <row r="94" spans="6:17">
      <c r="F94" s="1034"/>
      <c r="G94" s="1034"/>
      <c r="H94" s="1034"/>
      <c r="I94" s="1034"/>
      <c r="J94" s="1034"/>
      <c r="K94" s="1034"/>
      <c r="L94" s="1034"/>
    </row>
    <row r="95" spans="6:17">
      <c r="F95" s="1034"/>
      <c r="G95" s="1034"/>
      <c r="H95" s="1034"/>
      <c r="I95" s="1034"/>
      <c r="J95" s="1034"/>
      <c r="K95" s="1034"/>
      <c r="L95" s="1034"/>
    </row>
    <row r="96" spans="6:17">
      <c r="F96" s="1034"/>
      <c r="G96" s="1034"/>
      <c r="H96" s="1034"/>
      <c r="I96" s="1034"/>
      <c r="J96" s="1034"/>
      <c r="K96" s="1034"/>
      <c r="L96" s="1034"/>
    </row>
    <row r="97" spans="6:12">
      <c r="F97" s="1034"/>
      <c r="G97" s="1034"/>
      <c r="H97" s="1034"/>
      <c r="I97" s="1034"/>
      <c r="J97" s="1034"/>
      <c r="K97" s="1034"/>
      <c r="L97" s="1034"/>
    </row>
    <row r="98" spans="6:12">
      <c r="F98" s="1034"/>
      <c r="G98" s="1034"/>
      <c r="H98" s="1034"/>
      <c r="I98" s="1034"/>
      <c r="J98" s="1034"/>
      <c r="K98" s="1034"/>
      <c r="L98" s="1034"/>
    </row>
    <row r="99" spans="6:12">
      <c r="F99" s="1034"/>
      <c r="G99" s="1034"/>
      <c r="H99" s="1034"/>
      <c r="I99" s="1034"/>
      <c r="J99" s="1034"/>
      <c r="K99" s="1034"/>
      <c r="L99" s="1034"/>
    </row>
    <row r="100" spans="6:12">
      <c r="F100" s="1034"/>
      <c r="G100" s="1034"/>
      <c r="H100" s="1034"/>
      <c r="I100" s="1034"/>
      <c r="J100" s="1034"/>
      <c r="K100" s="1034"/>
      <c r="L100" s="1034"/>
    </row>
    <row r="101" spans="6:12">
      <c r="F101" s="1034"/>
      <c r="G101" s="1034"/>
      <c r="H101" s="1034"/>
      <c r="I101" s="1034"/>
      <c r="J101" s="1034"/>
      <c r="K101" s="1034"/>
      <c r="L101" s="1034"/>
    </row>
    <row r="102" spans="6:12">
      <c r="F102" s="1034"/>
      <c r="G102" s="1034"/>
      <c r="H102" s="1034"/>
      <c r="I102" s="1034"/>
      <c r="J102" s="1034"/>
      <c r="K102" s="1034"/>
      <c r="L102" s="1034"/>
    </row>
    <row r="103" spans="6:12">
      <c r="F103" s="1034"/>
      <c r="G103" s="1034"/>
      <c r="H103" s="1034"/>
      <c r="I103" s="1034"/>
      <c r="J103" s="1034"/>
      <c r="K103" s="1034"/>
      <c r="L103" s="1034"/>
    </row>
    <row r="104" spans="6:12">
      <c r="F104" s="1034"/>
      <c r="G104" s="1034"/>
      <c r="H104" s="1034"/>
      <c r="I104" s="1034"/>
      <c r="J104" s="1034"/>
      <c r="K104" s="1034"/>
      <c r="L104" s="1034"/>
    </row>
    <row r="105" spans="6:12">
      <c r="F105" s="1034"/>
      <c r="G105" s="1034"/>
      <c r="H105" s="1034"/>
      <c r="I105" s="1034"/>
      <c r="J105" s="1034"/>
      <c r="K105" s="1034"/>
      <c r="L105" s="1034"/>
    </row>
    <row r="106" spans="6:12">
      <c r="F106" s="1034"/>
      <c r="G106" s="1034"/>
      <c r="H106" s="1034"/>
      <c r="I106" s="1034"/>
      <c r="J106" s="1034"/>
      <c r="K106" s="1034"/>
      <c r="L106" s="1034"/>
    </row>
    <row r="107" spans="6:12">
      <c r="F107" s="1034"/>
      <c r="G107" s="1034"/>
      <c r="H107" s="1034"/>
      <c r="I107" s="1034"/>
      <c r="J107" s="1034"/>
      <c r="K107" s="1034"/>
      <c r="L107" s="1034"/>
    </row>
    <row r="108" spans="6:12">
      <c r="F108" s="1034"/>
      <c r="G108" s="1034"/>
      <c r="H108" s="1034"/>
      <c r="I108" s="1034"/>
      <c r="J108" s="1034"/>
      <c r="K108" s="1034"/>
      <c r="L108" s="1034"/>
    </row>
    <row r="109" spans="6:12">
      <c r="F109" s="1034"/>
      <c r="G109" s="1034"/>
      <c r="H109" s="1034"/>
      <c r="I109" s="1034"/>
      <c r="J109" s="1034"/>
      <c r="K109" s="1034"/>
      <c r="L109" s="1034"/>
    </row>
    <row r="110" spans="6:12">
      <c r="F110" s="1034"/>
      <c r="G110" s="1034"/>
      <c r="H110" s="1034"/>
      <c r="I110" s="1034"/>
      <c r="J110" s="1034"/>
      <c r="K110" s="1034"/>
      <c r="L110" s="1034"/>
    </row>
    <row r="111" spans="6:12">
      <c r="F111" s="1034"/>
      <c r="G111" s="1034"/>
      <c r="H111" s="1034"/>
      <c r="I111" s="1034"/>
      <c r="J111" s="1034"/>
      <c r="K111" s="1034"/>
      <c r="L111" s="1034"/>
    </row>
    <row r="112" spans="6:12">
      <c r="F112" s="1034"/>
      <c r="G112" s="1034"/>
      <c r="H112" s="1034"/>
      <c r="I112" s="1034"/>
      <c r="J112" s="1034"/>
      <c r="K112" s="1034"/>
      <c r="L112" s="1034"/>
    </row>
    <row r="113" spans="6:12">
      <c r="F113" s="1034"/>
      <c r="G113" s="1034"/>
      <c r="H113" s="1034"/>
      <c r="I113" s="1034"/>
      <c r="J113" s="1034"/>
      <c r="K113" s="1034"/>
      <c r="L113" s="1034"/>
    </row>
    <row r="114" spans="6:12">
      <c r="F114" s="1034"/>
      <c r="G114" s="1034"/>
      <c r="H114" s="1034"/>
      <c r="I114" s="1034"/>
      <c r="J114" s="1034"/>
      <c r="K114" s="1034"/>
      <c r="L114" s="1034"/>
    </row>
    <row r="115" spans="6:12">
      <c r="F115" s="1034"/>
      <c r="G115" s="1034"/>
      <c r="H115" s="1034"/>
      <c r="I115" s="1034"/>
      <c r="J115" s="1034"/>
      <c r="K115" s="1034"/>
      <c r="L115" s="1034"/>
    </row>
    <row r="116" spans="6:12">
      <c r="F116" s="1034"/>
      <c r="G116" s="1034"/>
      <c r="H116" s="1034"/>
      <c r="I116" s="1034"/>
      <c r="J116" s="1034"/>
      <c r="K116" s="1034"/>
      <c r="L116" s="1034"/>
    </row>
    <row r="117" spans="6:12">
      <c r="F117" s="1034"/>
      <c r="G117" s="1034"/>
      <c r="H117" s="1034"/>
      <c r="I117" s="1034"/>
      <c r="J117" s="1034"/>
      <c r="K117" s="1034"/>
      <c r="L117" s="1034"/>
    </row>
  </sheetData>
  <mergeCells count="4">
    <mergeCell ref="M1:M2"/>
    <mergeCell ref="Q1:Q2"/>
    <mergeCell ref="F8:L8"/>
    <mergeCell ref="B4:P4"/>
  </mergeCells>
  <pageMargins left="0" right="0" top="0" bottom="0" header="0.31496062992125984" footer="0.31496062992125984"/>
  <pageSetup paperSize="9"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29C669F6D65CE46B7D048DF695FBFD8" ma:contentTypeVersion="13" ma:contentTypeDescription="Crée un document." ma:contentTypeScope="" ma:versionID="0c5759b7acfddca80be3e9ae4b0c8dd1">
  <xsd:schema xmlns:xsd="http://www.w3.org/2001/XMLSchema" xmlns:xs="http://www.w3.org/2001/XMLSchema" xmlns:p="http://schemas.microsoft.com/office/2006/metadata/properties" xmlns:ns2="3ef3bd7a-2663-4b01-b6ab-11337a8a4924" xmlns:ns3="5f5a31bb-fa39-447f-a741-54428e3092ba" targetNamespace="http://schemas.microsoft.com/office/2006/metadata/properties" ma:root="true" ma:fieldsID="04bb21421f655dde1c942625c3723555" ns2:_="" ns3:_="">
    <xsd:import namespace="3ef3bd7a-2663-4b01-b6ab-11337a8a4924"/>
    <xsd:import namespace="5f5a31bb-fa39-447f-a741-54428e3092b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Location" minOccurs="0"/>
                <xsd:element ref="ns2:MediaServiceBillingMetadata"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ef3bd7a-2663-4b01-b6ab-11337a8a49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Location" ma:index="15" nillable="true" ma:displayName="Location" ma:indexed="true" ma:internalName="MediaServiceLocation" ma:readOnly="true">
      <xsd:simpleType>
        <xsd:restriction base="dms:Text"/>
      </xsd:simpleType>
    </xsd:element>
    <xsd:element name="MediaServiceBillingMetadata" ma:index="16" nillable="true" ma:displayName="MediaServiceBillingMetadata" ma:hidden="true" ma:internalName="MediaServiceBillingMetadata" ma:readOnly="true">
      <xsd:simpleType>
        <xsd:restriction base="dms:Note"/>
      </xsd:simpleType>
    </xsd:element>
    <xsd:element name="lcf76f155ced4ddcb4097134ff3c332f" ma:index="18" nillable="true" ma:taxonomy="true" ma:internalName="lcf76f155ced4ddcb4097134ff3c332f" ma:taxonomyFieldName="MediaServiceImageTags" ma:displayName="Balises d’images" ma:readOnly="false" ma:fieldId="{5cf76f15-5ced-4ddc-b409-7134ff3c332f}" ma:taxonomyMulti="true" ma:sspId="2de30655-58d6-405c-b76f-318c55c6c931"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f5a31bb-fa39-447f-a741-54428e3092ba"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797292c7-257d-4fc1-82f2-e3e9b634916a}" ma:internalName="TaxCatchAll" ma:showField="CatchAllData" ma:web="5f5a31bb-fa39-447f-a741-54428e3092b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ef3bd7a-2663-4b01-b6ab-11337a8a4924">
      <Terms xmlns="http://schemas.microsoft.com/office/infopath/2007/PartnerControls"/>
    </lcf76f155ced4ddcb4097134ff3c332f>
    <TaxCatchAll xmlns="5f5a31bb-fa39-447f-a741-54428e3092ba"/>
  </documentManagement>
</p:properties>
</file>

<file path=customXml/itemProps1.xml><?xml version="1.0" encoding="utf-8"?>
<ds:datastoreItem xmlns:ds="http://schemas.openxmlformats.org/officeDocument/2006/customXml" ds:itemID="{6AF5614E-359E-4B9E-ACB5-F7B1EA81A0BE}">
  <ds:schemaRefs>
    <ds:schemaRef ds:uri="http://schemas.microsoft.com/sharepoint/v3/contenttype/forms"/>
  </ds:schemaRefs>
</ds:datastoreItem>
</file>

<file path=customXml/itemProps2.xml><?xml version="1.0" encoding="utf-8"?>
<ds:datastoreItem xmlns:ds="http://schemas.openxmlformats.org/officeDocument/2006/customXml" ds:itemID="{4501A7C7-6A08-4133-ACD7-6DB36A0F3D2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ef3bd7a-2663-4b01-b6ab-11337a8a4924"/>
    <ds:schemaRef ds:uri="5f5a31bb-fa39-447f-a741-54428e3092b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46C9A09-EA47-4A56-B8CA-F921221F7751}">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17</vt:i4>
      </vt:variant>
      <vt:variant>
        <vt:lpstr>Plages nommées</vt:lpstr>
      </vt:variant>
      <vt:variant>
        <vt:i4>14</vt:i4>
      </vt:variant>
    </vt:vector>
  </HeadingPairs>
  <TitlesOfParts>
    <vt:vector size="31" baseType="lpstr">
      <vt:lpstr>AFFAIRES 2011</vt:lpstr>
      <vt:lpstr>AFFAIRES AU 1er SEPT 2011</vt:lpstr>
      <vt:lpstr>2012</vt:lpstr>
      <vt:lpstr>2013</vt:lpstr>
      <vt:lpstr>2014</vt:lpstr>
      <vt:lpstr>2015</vt:lpstr>
      <vt:lpstr>2016</vt:lpstr>
      <vt:lpstr>2017</vt:lpstr>
      <vt:lpstr>2018</vt:lpstr>
      <vt:lpstr>2019</vt:lpstr>
      <vt:lpstr>2020</vt:lpstr>
      <vt:lpstr>2021</vt:lpstr>
      <vt:lpstr>2022</vt:lpstr>
      <vt:lpstr>2023</vt:lpstr>
      <vt:lpstr>2024</vt:lpstr>
      <vt:lpstr>2025</vt:lpstr>
      <vt:lpstr>2026</vt:lpstr>
      <vt:lpstr>Base_de_donnees</vt:lpstr>
      <vt:lpstr>'2012'!Zone_d_impression</vt:lpstr>
      <vt:lpstr>'2013'!Zone_d_impression</vt:lpstr>
      <vt:lpstr>'2014'!Zone_d_impression</vt:lpstr>
      <vt:lpstr>'2015'!Zone_d_impression</vt:lpstr>
      <vt:lpstr>'2016'!Zone_d_impression</vt:lpstr>
      <vt:lpstr>'2017'!Zone_d_impression</vt:lpstr>
      <vt:lpstr>'2018'!Zone_d_impression</vt:lpstr>
      <vt:lpstr>'2019'!Zone_d_impression</vt:lpstr>
      <vt:lpstr>'2020'!Zone_d_impression</vt:lpstr>
      <vt:lpstr>'2021'!Zone_d_impression</vt:lpstr>
      <vt:lpstr>'2022'!Zone_d_impression</vt:lpstr>
      <vt:lpstr>'AFFAIRES 2011'!Zone_d_impression</vt:lpstr>
      <vt:lpstr>'AFFAIRES AU 1er SEPT 2011'!Zone_d_impression</vt:lpstr>
    </vt:vector>
  </TitlesOfParts>
  <Company>GENERALE ROUTIERE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GUINTOLI</dc:creator>
  <cp:lastModifiedBy>COSTA PEREIRA Marco paulo</cp:lastModifiedBy>
  <cp:lastPrinted>2025-05-12T13:21:03Z</cp:lastPrinted>
  <dcterms:created xsi:type="dcterms:W3CDTF">1999-02-02T10:06:37Z</dcterms:created>
  <dcterms:modified xsi:type="dcterms:W3CDTF">2026-06-04T07:44:46Z</dcterms:modified>
</cp:coreProperties>
</file>